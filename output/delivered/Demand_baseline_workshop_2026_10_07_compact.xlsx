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780a182e94e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shop" sheetId="1" r:id="R84e818a61a2245d2"/>
    <x:sheet xmlns:r="http://schemas.openxmlformats.org/officeDocument/2006/relationships" name="Baseline" sheetId="10" r:id="R2465255e0701492b"/>
    <x:sheet xmlns:r="http://schemas.openxmlformats.org/officeDocument/2006/relationships" name="Source selection" sheetId="15" r:id="R0cfe375f027a4d04"/>
    <x:sheet xmlns:r="http://schemas.openxmlformats.org/officeDocument/2006/relationships" name="Methods" sheetId="2" r:id="Rfb96065648b847ce"/>
    <x:sheet xmlns:r="http://schemas.openxmlformats.org/officeDocument/2006/relationships" name="Petrol" sheetId="3" r:id="R98437ae3b9a144e0"/>
    <x:sheet xmlns:r="http://schemas.openxmlformats.org/officeDocument/2006/relationships" name="Freight" sheetId="4" r:id="R9a17b727b1174814"/>
    <x:sheet xmlns:r="http://schemas.openxmlformats.org/officeDocument/2006/relationships" name="Agriculture" sheetId="5" r:id="Rf4837f90924c4b4b"/>
    <x:sheet xmlns:r="http://schemas.openxmlformats.org/officeDocument/2006/relationships" name="Manufacturing" sheetId="8" r:id="R2243d3773e0745cc"/>
    <x:sheet xmlns:r="http://schemas.openxmlformats.org/officeDocument/2006/relationships" name="Mining" sheetId="9" r:id="Rad664e068d4b425e"/>
    <x:sheet xmlns:r="http://schemas.openxmlformats.org/officeDocument/2006/relationships" name="Other demand" sheetId="11" r:id="R57374f3587084ceb"/>
    <x:sheet xmlns:r="http://schemas.openxmlformats.org/officeDocument/2006/relationships" name="Provincial" sheetId="6" r:id="Rc6c6227d1ee7473d"/>
    <x:sheet xmlns:r="http://schemas.openxmlformats.org/officeDocument/2006/relationships" name="Evidence" sheetId="13" r:id="R396753253e1d4846"/>
    <x:sheet xmlns:r="http://schemas.openxmlformats.org/officeDocument/2006/relationships" name="Model run" sheetId="14" r:id="Raee56aec98474600"/>
    <x:sheet xmlns:r="http://schemas.openxmlformats.org/officeDocument/2006/relationships" name="Data gaps" sheetId="12" r:id="R11dd8abe0bdb4005"/>
    <x:sheet xmlns:r="http://schemas.openxmlformats.org/officeDocument/2006/relationships" name="Notes" sheetId="16" r:id="Rf0a0eab7d4ab4a6b"/>
    <x:sheet xmlns:r="http://schemas.openxmlformats.org/officeDocument/2006/relationships" name="HML" sheetId="7" r:id="Rbf430eafd1984b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"/>
    <x:numFmt numFmtId="201" formatCode="0.0%"/>
    <x:numFmt numFmtId="202" formatCode="#,##0"/>
    <x:numFmt numFmtId="203" formatCode="0"/>
    <x:numFmt numFmtId="204" formatCode="0.00%"/>
    <x:numFmt numFmtId="205" formatCode="0.0000"/>
    <x:numFmt numFmtId="206" formatCode="#,##0.0000"/>
  </x:numFmts>
  <x:fonts count="7">
    <x:font>
      <x:sz val="11"/>
      <x:name val="Carlito"/>
    </x:font>
    <x:font>
      <x:sz val="10"/>
      <x:color rgb="FF243B53"/>
      <x:name val="Arial"/>
    </x:font>
    <x:font>
      <x:b/>
      <x:sz val="15"/>
      <x:color rgb="FF243B53"/>
      <x:name val="Arial"/>
    </x:font>
    <x:font>
      <x:sz val="10"/>
      <x:color rgb="FF526575"/>
      <x:name val="Arial"/>
    </x:font>
    <x:font>
      <x:b/>
      <x:sz val="10"/>
      <x:color rgb="FFFFFFFF"/>
      <x:name val="Arial"/>
    </x:font>
    <x:font>
      <x:b/>
      <x:sz val="10"/>
      <x:color rgb="FF243B53"/>
      <x:name val="Arial"/>
    </x:font>
    <x:font>
      <x:b/>
      <x:sz val="16"/>
      <x:color rgb="FF243B53"/>
      <x:name val="Arial"/>
    </x:font>
  </x:fonts>
  <x:fills count="20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2CC"/>
      </x:patternFill>
    </x:fill>
    <x:fill>
      <x:patternFill patternType="solid">
        <x:fgColor rgb="FFEAF0F5"/>
      </x:patternFill>
    </x:fill>
    <x:fill>
      <x:patternFill patternType="solid">
        <x:fgColor rgb="FFEAF3ED"/>
      </x:patternFill>
    </x:fill>
    <x:fill>
      <x:patternFill patternType="solid">
        <x:fgColor rgb="FF243B53"/>
      </x:patternFill>
    </x:fill>
    <x:fill>
      <x:patternFill patternType="solid">
        <x:fgColor rgb="FFEAF0F5"/>
      </x:patternFill>
    </x:fill>
    <x:fill>
      <x:patternFill patternType="solid">
        <x:fgColor rgb="FFFFF2CC"/>
      </x:patternFill>
    </x:fill>
    <x:fill>
      <x:patternFill patternType="solid">
        <x:fgColor rgb="FFEAF3ED"/>
      </x:patternFill>
    </x:fill>
    <x:fill>
      <x:patternFill patternType="solid">
        <x:fgColor rgb="FFFFFFFF"/>
      </x:patternFill>
    </x:fill>
    <x:fill>
      <x:patternFill patternType="solid">
        <x:fgColor rgb="FF243B53"/>
      </x:patternFill>
    </x:fill>
    <x:fill>
      <x:patternFill patternType="solid">
        <x:fgColor rgb="FFEAF0F5"/>
      </x:patternFill>
    </x:fill>
    <x:fill>
      <x:patternFill patternType="solid">
        <x:fgColor rgb="FFEDF3FA"/>
      </x:patternFill>
    </x:fill>
    <x:fill>
      <x:patternFill patternType="solid">
        <x:fgColor rgb="FFEAF3ED"/>
      </x:patternFill>
    </x:fill>
    <x:fill>
      <x:patternFill patternType="solid">
        <x:fgColor rgb="FFFFF2CC"/>
      </x:patternFill>
    </x:fill>
    <x:fill>
      <x:patternFill patternType="solid">
        <x:fgColor rgb="FF243B53"/>
      </x:patternFill>
    </x:fill>
    <x:fill>
      <x:patternFill patternType="solid">
        <x:fgColor rgb="FFEAF3ED"/>
      </x:patternFill>
    </x:fill>
    <x:fill>
      <x:patternFill patternType="solid">
        <x:fgColor rgb="FFEDF3FA"/>
      </x:patternFill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2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4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2" fontId="1" fillId="5" borderId="0" xfId="0" applyNumberFormat="1" applyFont="1" applyFill="1" applyBorder="1" applyAlignment="1">
      <x:alignment vertical="center" wrapText="0"/>
    </x:xf>
    <x:xf numFmtId="200" fontId="1" fillId="5" borderId="0" xfId="0" applyNumberFormat="1" applyFont="1" applyFill="1" applyBorder="1" applyAlignment="1">
      <x:alignment vertical="center" wrapText="0"/>
    </x:xf>
    <x:xf numFmtId="200" fontId="1" fillId="3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 wrapText="0"/>
    </x:xf>
    <x:xf numFmtId="203" fontId="1" fillId="0" borderId="0" xfId="0" applyNumberFormat="1" applyFont="1" applyFill="1" applyBorder="1" applyAlignment="1">
      <x:alignment vertical="center" wrapText="0"/>
    </x:xf>
    <x:xf numFmtId="205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0"/>
    </x:xf>
    <x:xf numFmtId="0" fontId="5" fillId="7" borderId="0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200" fontId="1" fillId="8" borderId="0" xfId="0" applyNumberFormat="1" applyFont="1" applyFill="1" applyBorder="1" applyAlignment="1">
      <x:alignment vertical="center" wrapText="0"/>
    </x:xf>
    <x:xf numFmtId="203" fontId="1" fillId="8" borderId="0" xfId="0" applyNumberFormat="1" applyFont="1" applyFill="1" applyBorder="1" applyAlignment="1">
      <x:alignment vertical="center" wrapText="1"/>
    </x:xf>
    <x:xf numFmtId="203" fontId="1" fillId="8" borderId="0" xfId="0" applyNumberFormat="1" applyFont="1" applyFill="1" applyBorder="1" applyAlignment="1">
      <x:alignment vertical="center" wrapText="0"/>
    </x:xf>
    <x:xf numFmtId="0" fontId="1" fillId="9" borderId="0" xfId="0" applyNumberFormat="1" applyFont="1" applyFill="1" applyBorder="1" applyAlignment="1">
      <x:alignment vertical="center" wrapText="1"/>
    </x:xf>
    <x:xf numFmtId="202" fontId="1" fillId="9" borderId="0" xfId="0" applyNumberFormat="1" applyFont="1" applyFill="1" applyBorder="1" applyAlignment="1">
      <x:alignment vertical="center" wrapText="1"/>
    </x:xf>
    <x:xf numFmtId="202" fontId="1" fillId="9" borderId="0" xfId="0" applyNumberFormat="1" applyFont="1" applyFill="1" applyBorder="1" applyAlignment="1">
      <x:alignment vertical="center" wrapText="0"/>
    </x:xf>
    <x:xf numFmtId="200" fontId="1" fillId="9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0"/>
    </x:xf>
    <x:xf numFmtId="204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0"/>
    </x:xf>
    <x:xf numFmtId="204" fontId="1" fillId="9" borderId="0" xfId="0" applyNumberFormat="1" applyFont="1" applyFill="1" applyBorder="1" applyAlignment="1">
      <x:alignment vertical="center" wrapText="1"/>
    </x:xf>
    <x:xf numFmtId="204" fontId="1" fillId="9" borderId="0" xfId="0" applyNumberFormat="1" applyFont="1" applyFill="1" applyBorder="1" applyAlignment="1">
      <x:alignment vertical="center" wrapText="0"/>
    </x:xf>
    <x:xf numFmtId="201" fontId="1" fillId="8" borderId="0" xfId="0" applyNumberFormat="1" applyFont="1" applyFill="1" applyBorder="1" applyAlignment="1">
      <x:alignment vertical="center" wrapText="1"/>
    </x:xf>
    <x:xf numFmtId="201" fontId="1" fillId="8" borderId="0" xfId="0" applyNumberFormat="1" applyFont="1" applyFill="1" applyBorder="1" applyAlignment="1">
      <x:alignment vertical="center" wrapText="0"/>
    </x:xf>
    <x:xf numFmtId="0" fontId="5" fillId="10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3" fontId="1" fillId="10" borderId="0" xfId="0" applyNumberFormat="1" applyFont="1" applyFill="1" applyBorder="1" applyAlignment="1">
      <x:alignment vertical="center" wrapText="1"/>
    </x:xf>
    <x:xf numFmtId="204" fontId="1" fillId="8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0"/>
    </x:xf>
    <x:xf numFmtId="0" fontId="5" fillId="12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0"/>
    </x:xf>
    <x:xf numFmtId="0" fontId="1" fillId="14" borderId="0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 wrapText="1"/>
    </x:xf>
    <x:xf numFmtId="200" fontId="1" fillId="14" borderId="0" xfId="0" applyNumberFormat="1" applyFont="1" applyFill="1" applyBorder="1" applyAlignment="1">
      <x:alignment vertical="center" wrapText="0"/>
    </x:xf>
    <x:xf numFmtId="0" fontId="1" fillId="15" borderId="0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 wrapText="0"/>
    </x:xf>
    <x:xf numFmtId="204" fontId="1" fillId="14" borderId="0" xfId="0" applyNumberFormat="1" applyFont="1" applyFill="1" applyBorder="1" applyAlignment="1">
      <x:alignment vertical="center" wrapText="0"/>
    </x:xf>
    <x:xf numFmtId="201" fontId="1" fillId="13" borderId="0" xfId="0" applyNumberFormat="1" applyFont="1" applyFill="1" applyBorder="1" applyAlignment="1">
      <x:alignment vertical="center" wrapText="0"/>
    </x:xf>
    <x:xf numFmtId="201" fontId="1" fillId="13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0"/>
    </x:xf>
    <x:xf numFmtId="0" fontId="1" fillId="16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wrapText="1"/>
    </x:xf>
    <x:xf numFmtId="200" fontId="1" fillId="17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vertical="center" wrapText="1"/>
    </x:xf>
    <x:xf numFmtId="200" fontId="0" fillId="17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 wrapText="1"/>
    </x:xf>
    <x:xf numFmtId="200" fontId="1" fillId="18" borderId="0" xfId="0" applyNumberFormat="1" applyFont="1" applyFill="1" applyBorder="1" applyAlignment="1">
      <x:alignment vertical="center" wrapText="0"/>
    </x:xf>
    <x:xf numFmtId="206" fontId="1" fillId="17" borderId="0" xfId="0" applyNumberFormat="1" applyFont="1" applyFill="1" applyBorder="1" applyAlignment="1">
      <x:alignment vertical="center" wrapText="1"/>
    </x:xf>
    <x:xf numFmtId="200" fontId="1" fillId="17" borderId="0" xfId="0" applyNumberFormat="1" applyFont="1" applyFill="1" applyBorder="1" applyAlignment="1">
      <x:alignment vertical="center" wrapText="0"/>
    </x:xf>
    <x:xf numFmtId="204" fontId="1" fillId="17" borderId="0" xfId="0" applyNumberFormat="1" applyFont="1" applyFill="1" applyBorder="1" applyAlignment="1">
      <x:alignment vertical="center" wrapText="1"/>
    </x:xf>
    <x:xf numFmtId="204" fontId="1" fillId="17" borderId="0" xfId="0" applyNumberFormat="1" applyFont="1" applyFill="1" applyBorder="1" applyAlignment="1">
      <x:alignment vertical="center" wrapText="0"/>
    </x:xf>
    <x:xf numFmtId="204" fontId="1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4" fontId="1" fillId="5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0"/>
    </x:xf>
    <x:xf numFmtId="200" fontId="0" fillId="5" borderId="0" xfId="0" applyNumberFormat="1" applyFont="1" applyFill="1" applyBorder="1" applyAlignment="1">
      <x:alignment vertical="center" wrapText="0"/>
    </x:xf>
    <x:xf numFmtId="203" fontId="1" fillId="3" borderId="0" xfId="0" applyNumberFormat="1" applyFont="1" applyFill="1" applyBorder="1" applyAlignment="1">
      <x:alignment vertical="center" wrapText="1"/>
    </x:xf>
    <x:xf numFmtId="203" fontId="1" fillId="3" borderId="0" xfId="0" applyNumberFormat="1" applyFont="1" applyFill="1" applyBorder="1" applyAlignment="1">
      <x:alignment vertical="center" wrapText="0"/>
    </x:xf>
    <x:xf numFmtId="206" fontId="1" fillId="5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4" fillId="1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0108112a55472a" /><Relationship Type="http://schemas.openxmlformats.org/officeDocument/2006/relationships/theme" Target="/xl/theme/theme1.xml" Id="R791c405a64e0487e" /><Relationship Type="http://schemas.openxmlformats.org/officeDocument/2006/relationships/sharedStrings" Target="/xl/sharedStrings.xml" Id="R9bbe59a772e543db" /><Relationship Type="http://schemas.openxmlformats.org/officeDocument/2006/relationships/worksheet" Target="/xl/worksheets/sheet1.xml" Id="R84e818a61a2245d2" /><Relationship Type="http://schemas.openxmlformats.org/officeDocument/2006/relationships/worksheet" Target="/xl/worksheets/sheet2.xml" Id="R2465255e0701492b" /><Relationship Type="http://schemas.openxmlformats.org/officeDocument/2006/relationships/worksheet" Target="/xl/worksheets/sheet3.xml" Id="R0cfe375f027a4d04" /><Relationship Type="http://schemas.openxmlformats.org/officeDocument/2006/relationships/worksheet" Target="/xl/worksheets/sheet4.xml" Id="Rfb96065648b847ce" /><Relationship Type="http://schemas.openxmlformats.org/officeDocument/2006/relationships/worksheet" Target="/xl/worksheets/sheet5.xml" Id="R98437ae3b9a144e0" /><Relationship Type="http://schemas.openxmlformats.org/officeDocument/2006/relationships/worksheet" Target="/xl/worksheets/sheet6.xml" Id="R9a17b727b1174814" /><Relationship Type="http://schemas.openxmlformats.org/officeDocument/2006/relationships/worksheet" Target="/xl/worksheets/sheet7.xml" Id="Rf4837f90924c4b4b" /><Relationship Type="http://schemas.openxmlformats.org/officeDocument/2006/relationships/worksheet" Target="/xl/worksheets/sheet8.xml" Id="R2243d3773e0745cc" /><Relationship Type="http://schemas.openxmlformats.org/officeDocument/2006/relationships/worksheet" Target="/xl/worksheets/sheet9.xml" Id="Rad664e068d4b425e" /><Relationship Type="http://schemas.openxmlformats.org/officeDocument/2006/relationships/worksheet" Target="/xl/worksheets/sheet10.xml" Id="R57374f3587084ceb" /><Relationship Type="http://schemas.openxmlformats.org/officeDocument/2006/relationships/worksheet" Target="/xl/worksheets/sheet11.xml" Id="Rc6c6227d1ee7473d" /><Relationship Type="http://schemas.openxmlformats.org/officeDocument/2006/relationships/worksheet" Target="/xl/worksheets/sheet12.xml" Id="R396753253e1d4846" /><Relationship Type="http://schemas.openxmlformats.org/officeDocument/2006/relationships/worksheet" Target="/xl/worksheets/sheet13.xml" Id="Raee56aec98474600" /><Relationship Type="http://schemas.openxmlformats.org/officeDocument/2006/relationships/worksheet" Target="/xl/worksheets/sheet14.xml" Id="R11dd8abe0bdb4005" /><Relationship Type="http://schemas.openxmlformats.org/officeDocument/2006/relationships/worksheet" Target="/xl/worksheets/sheet15.xml" Id="Rbf430eafd1984b48" /><Relationship Type="http://schemas.openxmlformats.org/officeDocument/2006/relationships/worksheet" Target="/xl/worksheets/sheet16.xml" Id="Rf0a0eab7d4ab4a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8799991607666" hidden="0" customWidth="1"/>
    <x:col min="2" max="2" width="45" hidden="0" customWidth="1"/>
    <x:col min="3" max="3" width="41.25" hidden="0" customWidth="1"/>
    <x:col min="4" max="4" width="18.75" hidden="0" customWidth="1"/>
    <x:col min="5" max="5" width="37.5" hidden="0" customWidth="1"/>
    <x:col min="6" max="6" width="27.5" hidden="0" customWidth="1"/>
  </x:cols>
  <x:sheetData>
    <x:row r="1" ht="28" customHeight="1">
      <x:c r="A1" s="5" t="str">
        <x:v>Demand forecasting workshop</x:v>
      </x:c>
      <x:c r="B1" s="3"/>
      <x:c r="C1" s="3"/>
      <x:c r="D1" s="3"/>
      <x:c r="E1" s="3"/>
      <x:c r="F1" s="3"/>
    </x:row>
    <x:row r="2" ht="24" customHeight="1">
      <x:c r="A2" s="7" t="str">
        <x:v>South Africa • 7 October 2026 • Proposed direction and provisional current-model examples</x:v>
      </x:c>
      <x:c r="B2" s="3"/>
      <x:c r="C2" s="3"/>
      <x:c r="D2" s="3"/>
      <x:c r="E2" s="3"/>
      <x:c r="F2" s="3"/>
    </x:row>
    <x:row r="3">
      <x:c r="A3" s="3"/>
      <x:c r="B3" s="3"/>
      <x:c r="C3" s="3"/>
      <x:c r="D3" s="3"/>
      <x:c r="E3" s="3"/>
      <x:c r="F3" s="3"/>
    </x:row>
    <x:row r="4" ht="38" customHeight="1">
      <x:c r="A4" s="9" t="str">
        <x:v>Discussion</x:v>
      </x:c>
      <x:c r="B4" s="9" t="str">
        <x:v>Starting position</x:v>
      </x:c>
      <x:c r="C4" s="9" t="str">
        <x:v>Decision to record</x:v>
      </x:c>
      <x:c r="D4" s="9" t="str">
        <x:v>Lead / reviewer</x:v>
      </x:c>
      <x:c r="E4" s="9" t="str">
        <x:v>Agreed decision</x:v>
      </x:c>
      <x:c r="F4" s="9" t="str">
        <x:v>Next action / date</x:v>
      </x:c>
    </x:row>
    <x:row r="5" ht="52" customHeight="1">
      <x:c r="A5" s="3" t="str">
        <x:v>Purpose</x:v>
      </x:c>
      <x:c r="B5" s="3" t="str">
        <x:v>Start with Baseline; follow formulas to sector blocks, Model run and Evidence.</x:v>
      </x:c>
      <x:c r="C5" s="3" t="str">
        <x:v>Source selection holds each historical comparator choice. FIASA is provisional; HML remains last.</x:v>
      </x:c>
      <x:c r="D5" s="3" t="str">
        <x:v>Nigel + Manish</x:v>
      </x:c>
      <x:c r="E5" s="10"/>
      <x:c r="F5" s="10"/>
    </x:row>
    <x:row r="6" ht="52" customHeight="1">
      <x:c r="A6" s="3" t="str">
        <x:v>1. Segment methods</x:v>
      </x:c>
      <x:c r="B6" s="3" t="str">
        <x:v>Methods sheet distinguishes the existing engine from the proposed method.</x:v>
      </x:c>
      <x:c r="C6" s="3" t="str">
        <x:v>Agree method, segment boundaries and missing components.</x:v>
      </x:c>
      <x:c r="D6" s="3" t="str">
        <x:v>Manish / Nigel</x:v>
      </x:c>
      <x:c r="E6" s="10"/>
      <x:c r="F6" s="10"/>
    </x:row>
    <x:row r="7" ht="52" customHeight="1">
      <x:c r="A7" s="3" t="str">
        <x:v>2. Geography</x:v>
      </x:c>
      <x:c r="B7" s="3" t="str">
        <x:v>Use national allocation where local evidence is weak; provincial calculations where defensible.</x:v>
      </x:c>
      <x:c r="C7" s="3" t="str">
        <x:v>Choose method by segment and define sales versus consumption location.</x:v>
      </x:c>
      <x:c r="D7" s="3" t="str">
        <x:v>Manish / Nigel</x:v>
      </x:c>
      <x:c r="E7" s="10"/>
      <x:c r="F7" s="10"/>
    </x:row>
    <x:row r="8" ht="52" customHeight="1">
      <x:c r="A8" s="3" t="str">
        <x:v>3. Worked examples</x:v>
      </x:c>
      <x:c r="B8" s="3" t="str">
        <x:v>Excel recalculates source choices, linked reporting totals, unit conversions and differences.</x:v>
      </x:c>
      <x:c r="C8" s="3" t="str">
        <x:v>Engine results are a frozen Python run. Input/scenario changes require a Python rerun and refreshed export.</x:v>
      </x:c>
      <x:c r="D8" s="3" t="str">
        <x:v>Manish / Nigel</x:v>
      </x:c>
      <x:c r="E8" s="10"/>
      <x:c r="F8" s="10"/>
    </x:row>
    <x:row r="9" ht="52" customHeight="1">
      <x:c r="A9" s="3" t="str">
        <x:v>4. Input ranges</x:v>
      </x:c>
      <x:c r="B9" s="3" t="str">
        <x:v>HML contains existing proposed demand ranges plus blank brackets for missing drivers.</x:v>
      </x:c>
      <x:c r="C9" s="3" t="str">
        <x:v>Agree low / medium / high inputs, reference case and annual paths.</x:v>
      </x:c>
      <x:c r="D9" s="3" t="str">
        <x:v>Nigel / Henry</x:v>
      </x:c>
      <x:c r="E9" s="10"/>
      <x:c r="F9" s="10"/>
    </x:row>
    <x:row r="10" ht="52" customHeight="1">
      <x:c r="A10" s="3" t="str">
        <x:v>5. Scenario combinations</x:v>
      </x:c>
      <x:c r="B10" s="3" t="str">
        <x:v>A higher input can raise or lower demand. Medium is not an approved baseline.</x:v>
      </x:c>
      <x:c r="C10" s="3" t="str">
        <x:v>Select compatible inputs; assess demand and supply independently.</x:v>
      </x:c>
      <x:c r="D10" s="3" t="str">
        <x:v>Nigel / Henry</x:v>
      </x:c>
      <x:c r="E10" s="10"/>
      <x:c r="F10" s="10"/>
    </x:row>
    <x:row r="11" ht="52" customHeight="1">
      <x:c r="A11" s="3" t="str">
        <x:v>6. Acceptance</x:v>
      </x:c>
      <x:c r="B11" s="3" t="str">
        <x:v>Review corrections before engine integration.</x:v>
      </x:c>
      <x:c r="C11" s="3" t="str">
        <x:v>Record evidence, decision, owner and next review trigger.</x:v>
      </x:c>
      <x:c r="D11" s="3" t="str">
        <x:v>Nigel</x:v>
      </x:c>
      <x:c r="E11" s="10"/>
      <x:c r="F11" s="10"/>
    </x:row>
    <x:row r="12" ht="52" customHeight="1">
      <x:c r="A12" s="3" t="str">
        <x:v>Example scope</x:v>
      </x:c>
      <x:c r="B12" s="3" t="str">
        <x:v>Current high_demand scenario, vintage 2026. This is one existing case, not the proposed medium case.</x:v>
      </x:c>
      <x:c r="C12" s="3" t="str">
        <x:v>2022–2023 model backcast; 2024–2035 model horizon. No row is observed merely because its year is historical.</x:v>
      </x:c>
      <x:c r="D12" s="3" t="str">
        <x:v>All readers</x:v>
      </x:c>
      <x:c r="E12" s="10"/>
      <x:c r="F12" s="10"/>
    </x:row>
    <x:row r="13" ht="52" customHeight="1">
      <x:c r="A13" s="3" t="str">
        <x:v>Editable cells</x:v>
      </x:c>
      <x:c r="B13" s="3" t="str">
        <x:v>Yellow = missing/discussion inputs; blue = staged observations; green = current model or reporting calculations.</x:v>
      </x:c>
      <x:c r="C13" s="3" t="str">
        <x:v>Full-year observations stay in year columns. D may contain a clearly dated latest YTD/snapshot or older anchor.</x:v>
      </x:c>
      <x:c r="D13" s="3" t="str">
        <x:v>All readers</x:v>
      </x:c>
      <x:c r="E13" s="10"/>
      <x:c r="F13" s="10"/>
    </x:row>
    <x:row r="14" ht="52" customHeight="1">
      <x:c r="A14" s="3" t="str">
        <x:v>Calculation boundary</x:v>
      </x:c>
      <x:c r="B14" s="3" t="str">
        <x:v>Demand figures are snapshots from the Python engine. Editing a discussion input does not rerun the engine.</x:v>
      </x:c>
      <x:c r="C14" s="3" t="str">
        <x:v>Only explicit reconciliation / allocation formulas recalculate in Excel.</x:v>
      </x:c>
      <x:c r="D14" s="3" t="str">
        <x:v>Manish</x:v>
      </x:c>
      <x:c r="E14" s="10"/>
      <x:c r="F14" s="10"/>
    </x:row>
    <x:row r="15" ht="52" customHeight="1">
      <x:c r="A15" s="3" t="str">
        <x:v>Provincial example</x:v>
      </x:c>
      <x:c r="B15" s="3" t="str">
        <x:v>2022 observed provincial petrol/diesel and Q1 2023 partial values are now shown below the allocation template.</x:v>
      </x:c>
      <x:c r="C15" s="3" t="str">
        <x:v>Sales location differs from consumption. No passenger allocation shares have been silently populated.</x:v>
      </x:c>
      <x:c r="D15" s="3" t="str">
        <x:v>Manish / Nigel</x:v>
      </x:c>
      <x:c r="E15" s="10"/>
      <x:c r="F15" s="10"/>
    </x:row>
    <x:row r="16" ht="52" customHeight="1">
      <x:c r="A16" s="3" t="str">
        <x:v>Sources and run</x:v>
      </x:c>
      <x:c r="B16" s="3" t="str">
        <x:v>Recorded engine run: 2026-10-07T10:48:46.852505+00:00; commit 8c69f8333192483f19cd80911cb90fcd0943eb6b; high_demand; vintage 2026.</x:v>
      </x:c>
      <x:c r="C16" s="3" t="str">
        <x:v>Input and evidence SHA256 hashes are retained in workshop_data.json; no new model assumptions adopted.</x:v>
      </x:c>
      <x:c r="D16" s="3" t="str">
        <x:v>2026 draft vintage</x:v>
      </x:c>
      <x:c r="E16" s="10"/>
      <x:c r="F16" s="10"/>
    </x:row>
    <x:row r="17" ht="52" customHeight="1">
      <x:c r="A17" s="3" t="str">
        <x:v>Acceptance boundary</x:v>
      </x:c>
      <x:c r="B17" s="3" t="str">
        <x:v>54 open exceptions at workbook preparation. Current inputs and outputs remain provisional.</x:v>
      </x:c>
      <x:c r="C17" s="3" t="str">
        <x:v>No source approval, peer-review completion or client acceptance is inferred.</x:v>
      </x:c>
      <x:c r="D17" s="3" t="str">
        <x:v>Nigel</x:v>
      </x:c>
      <x:c r="E17" s="10"/>
      <x:c r="F17" s="10"/>
    </x:row>
    <x:row r="18" ht="52" customHeight="1">
      <x:c r="A18" s="3"/>
      <x:c r="B18" s="3"/>
      <x:c r="C18" s="3"/>
      <x:c r="D18" s="3"/>
      <x:c r="E18" s="3"/>
      <x:c r="F18" s="3"/>
    </x:row>
    <x:row r="19" ht="52" customHeight="1">
      <x:c r="A19" s="3"/>
      <x:c r="B19" s="3"/>
      <x:c r="C19" s="3"/>
      <x:c r="D19" s="3"/>
      <x:c r="E19" s="3"/>
      <x:c r="F19" s="3"/>
    </x:row>
    <x:row r="20" ht="52" customHeight="1">
      <x:c r="A20" s="3"/>
      <x:c r="B20" s="3"/>
      <x:c r="C20" s="3"/>
      <x:c r="D20" s="3"/>
      <x:c r="E20" s="3"/>
      <x:c r="F20" s="3"/>
    </x:row>
    <x:row r="21" ht="52" customHeight="1">
      <x:c r="A21" s="3"/>
      <x:c r="B21" s="3"/>
      <x:c r="C21" s="3"/>
      <x:c r="D21" s="3"/>
      <x:c r="E21" s="3"/>
      <x:c r="F21" s="3"/>
    </x:row>
    <x:row r="22" ht="52" customHeight="1">
      <x:c r="A22" s="3"/>
      <x:c r="B22" s="3"/>
      <x:c r="C22" s="3"/>
      <x:c r="D22" s="3"/>
      <x:c r="E22" s="3"/>
      <x:c r="F22" s="3"/>
    </x:row>
    <x:row r="23" ht="52" customHeight="1">
      <x:c r="A23" s="3"/>
      <x:c r="B23" s="3"/>
      <x:c r="C23" s="3"/>
      <x:c r="D23" s="3"/>
      <x:c r="E23" s="3"/>
      <x:c r="F23" s="3"/>
    </x:row>
    <x:row r="24" ht="52" customHeight="1">
      <x:c r="A24" s="3"/>
      <x:c r="B24" s="3"/>
      <x:c r="C24" s="3"/>
      <x:c r="D24" s="3"/>
      <x:c r="E24" s="3"/>
      <x:c r="F24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8.1299991607666" hidden="0" customWidth="1"/>
    <x:col min="2" max="2" width="12.5" hidden="0" customWidth="1"/>
    <x:col min="3" max="3" width="15.630000114440918" hidden="0" customWidth="1"/>
    <x:col min="4" max="4" width="15" hidden="0" customWidth="1"/>
    <x:col min="5" max="5" width="40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13.75" hidden="0" customWidth="1"/>
    <x:col min="11" max="11" width="13.75" hidden="0" customWidth="1"/>
    <x:col min="12" max="12" width="13.75" hidden="0" customWidth="1"/>
    <x:col min="13" max="13" width="13.75" hidden="0" customWidth="1"/>
    <x:col min="14" max="14" width="13.75" hidden="0" customWidth="1"/>
    <x:col min="15" max="15" width="13.75" hidden="0" customWidth="1"/>
    <x:col min="16" max="16" width="13.75" hidden="0" customWidth="1"/>
    <x:col min="17" max="17" width="13.75" hidden="0" customWidth="1"/>
    <x:col min="18" max="18" width="13.75" hidden="0" customWidth="1"/>
    <x:col min="19" max="19" width="13.75" hidden="0" customWidth="1"/>
    <x:col min="20" max="20" width="31.8799991607666" hidden="0" customWidth="1"/>
    <x:col min="21" max="21" width="36.25" hidden="0" customWidth="1"/>
    <x:col min="22" max="22" width="36.25" hidden="0" customWidth="1"/>
  </x:cols>
  <x:sheetData>
    <x:row r="1" ht="25" customHeight="1">
      <x:c r="A1" s="5" t="str">
        <x:v>Demand baseline and reconciliation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1" customHeight="1">
      <x:c r="A2" s="6" t="str">
        <x:v>Linked demand comparison. Full definitions: Notes. Historical sources: Source selection.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30" customHeight="1">
      <x:c r="A4" s="9" t="str">
        <x:v>Driver / output</x:v>
      </x:c>
      <x:c r="B4" s="9" t="str">
        <x:v>Unit</x:v>
      </x:c>
      <x:c r="C4" s="9" t="str">
        <x:v>Role</x:v>
      </x:c>
      <x:c r="D4" s="9" t="str">
        <x:v>Scalar / latest value</x:v>
      </x:c>
      <x:c r="E4" s="9" t="str">
        <x:v>Definition / period</x:v>
      </x:c>
      <x:c r="F4" s="9" t="n">
        <x:v>2022</x:v>
      </x:c>
      <x:c r="G4" s="9" t="n">
        <x:v>2023</x:v>
      </x:c>
      <x:c r="H4" s="9" t="n">
        <x:v>2024</x:v>
      </x:c>
      <x:c r="I4" s="9" t="n">
        <x:v>2025</x:v>
      </x:c>
      <x:c r="J4" s="9" t="n">
        <x:v>2026</x:v>
      </x:c>
      <x:c r="K4" s="9" t="n">
        <x:v>2027</x:v>
      </x:c>
      <x:c r="L4" s="9" t="n">
        <x:v>2028</x:v>
      </x:c>
      <x:c r="M4" s="9" t="n">
        <x:v>2029</x:v>
      </x:c>
      <x:c r="N4" s="9" t="n">
        <x:v>2030</x:v>
      </x:c>
      <x:c r="O4" s="9" t="n">
        <x:v>2031</x:v>
      </x:c>
      <x:c r="P4" s="9" t="n">
        <x:v>2032</x:v>
      </x:c>
      <x:c r="Q4" s="9" t="n">
        <x:v>2033</x:v>
      </x:c>
      <x:c r="R4" s="9" t="n">
        <x:v>2034</x:v>
      </x:c>
      <x:c r="S4" s="9" t="n">
        <x:v>2035</x:v>
      </x:c>
      <x:c r="T4" s="9" t="str">
        <x:v>Coverage / status</x:v>
      </x:c>
      <x:c r="U4" s="9" t="str">
        <x:v>Source</x:v>
      </x:c>
      <x:c r="V4" s="9" t="str">
        <x:v>Missing evidence / next action</x:v>
      </x:c>
    </x:row>
    <x:row r="5" ht="28" customHeight="1">
      <x:c r="A5" s="12" t="str">
        <x:v>Petrol: national product comparison</x:v>
      </x:c>
      <x:c r="B5" s="11"/>
      <x:c r="C5" s="11"/>
      <x:c r="D5" s="11"/>
      <x:c r="E5" s="11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11"/>
      <x:c r="U5" s="11"/>
      <x:c r="V5" s="11"/>
    </x:row>
    <x:row r="6" ht="30" customHeight="1">
      <x:c r="A6" s="65" t="str">
        <x:v>Selected historical petrol sales</x:v>
      </x:c>
      <x:c r="B6" s="65" t="str">
        <x:v>million L/year</x:v>
      </x:c>
      <x:c r="C6" s="65" t="str">
        <x:v>Linked observation</x:v>
      </x:c>
      <x:c r="D6" s="66"/>
      <x:c r="E6" s="65" t="str">
        <x:v>Selected historical sales; see Source selection. [N001]</x:v>
      </x:c>
      <x:c r="F6" s="67" t="n">
        <x:f>IF(ISNUMBER('Source selection'!F5),'Source selection'!F5,"")</x:f>
        <x:v>9185</x:v>
      </x:c>
      <x:c r="G6" s="67" t="n">
        <x:f>IF(ISNUMBER('Source selection'!F6),'Source selection'!F6,"")</x:f>
        <x:v>9037</x:v>
      </x:c>
      <x:c r="H6" s="67" t="n">
        <x:f>IF(ISNUMBER('Source selection'!F7),'Source selection'!F7,"")</x:f>
        <x:v>9029</x:v>
      </x:c>
      <x:c r="I6" s="67" t="str">
        <x:f>IF(ISNUMBER('Source selection'!F8),'Source selection'!F8,"")</x:f>
      </x:c>
      <x:c r="J6" s="67" t="str">
        <x:f>IF(ISNUMBER('Source selection'!F9),'Source selection'!F9,"")</x:f>
      </x:c>
      <x:c r="K6" s="67"/>
      <x:c r="L6" s="67"/>
      <x:c r="M6" s="67"/>
      <x:c r="N6" s="67"/>
      <x:c r="O6" s="67"/>
      <x:c r="P6" s="67"/>
      <x:c r="Q6" s="67"/>
      <x:c r="R6" s="67"/>
      <x:c r="S6" s="67"/>
      <x:c r="T6" s="3" t="str">
        <x:v>Working comparator; not approved</x:v>
      </x:c>
      <x:c r="U6" s="3" t="str">
        <x:v>Source selection → Evidence</x:v>
      </x:c>
      <x:c r="V6" s="3" t="str">
        <x:v>Manish reconciles scope/revisions; Nigel accepts source.</x:v>
      </x:c>
    </x:row>
    <x:row r="7" ht="30" customHeight="1">
      <x:c r="A7" s="65" t="str">
        <x:v>Historical source / status</x:v>
      </x:c>
      <x:c r="B7" s="65" t="str">
        <x:v>text</x:v>
      </x:c>
      <x:c r="C7" s="65" t="str">
        <x:v>Selection status</x:v>
      </x:c>
      <x:c r="D7" s="66"/>
      <x:c r="E7" s="65" t="str">
        <x:v>Selected source, or unresolved when unavailable. [N002]</x:v>
      </x:c>
      <x:c r="F7" s="67" t="str">
        <x:f>IF(ISNUMBER('Source selection'!F5),'Source selection'!E5,"Unresolved")</x:f>
        <x:v>FIASA</x:v>
      </x:c>
      <x:c r="G7" s="67" t="str">
        <x:f>IF(ISNUMBER('Source selection'!F6),'Source selection'!E6,"Unresolved")</x:f>
        <x:v>FIASA</x:v>
      </x:c>
      <x:c r="H7" s="67" t="str">
        <x:f>IF(ISNUMBER('Source selection'!F7),'Source selection'!E7,"Unresolved")</x:f>
        <x:v>FIASA</x:v>
      </x:c>
      <x:c r="I7" s="67" t="str">
        <x:f>IF(ISNUMBER('Source selection'!F8),'Source selection'!E8,"Unresolved")</x:f>
        <x:v>Unresolved</x:v>
      </x:c>
      <x:c r="J7" s="67" t="str">
        <x:f>IF(ISNUMBER('Source selection'!F9),'Source selection'!E9,"Unresolved")</x:f>
        <x:v>Unresolved</x:v>
      </x:c>
      <x:c r="K7" s="67"/>
      <x:c r="L7" s="67"/>
      <x:c r="M7" s="67"/>
      <x:c r="N7" s="67"/>
      <x:c r="O7" s="67"/>
      <x:c r="P7" s="67"/>
      <x:c r="Q7" s="67"/>
      <x:c r="R7" s="67"/>
      <x:c r="S7" s="67"/>
      <x:c r="T7" s="3" t="str">
        <x:v>Not an additional demand series</x:v>
      </x:c>
      <x:c r="U7" s="3" t="str">
        <x:v>Source selection</x:v>
      </x:c>
      <x:c r="V7" s="3" t="str">
        <x:v>Review selected source before calibration.</x:v>
      </x:c>
    </x:row>
    <x:row r="8" ht="30" customHeight="1">
      <x:c r="A8" s="16" t="str">
        <x:v>Current model road petrol</x:v>
      </x:c>
      <x:c r="B8" s="16" t="str">
        <x:v>million L/year</x:v>
      </x:c>
      <x:c r="C8" s="16" t="str">
        <x:v>Model output</x:v>
      </x:c>
      <x:c r="D8" s="18"/>
      <x:c r="E8" s="16" t="str">
        <x:v>Passenger + LCV petrol. All-grade sales comparison. [N003]</x:v>
      </x:c>
      <x:c r="F8" s="29" t="n">
        <x:f>IF(ISNUMBER('Petrol'!F23),'Petrol'!F23/1000000,"")</x:f>
        <x:v>7524.313292876868</x:v>
      </x:c>
      <x:c r="G8" s="29" t="n">
        <x:f>IF(ISNUMBER('Petrol'!G23),'Petrol'!G23/1000000,"")</x:f>
        <x:v>7742.855189752117</x:v>
      </x:c>
      <x:c r="H8" s="29" t="n">
        <x:f>IF(ISNUMBER('Petrol'!H23),'Petrol'!H23/1000000,"")</x:f>
        <x:v>7929.685371405511</x:v>
      </x:c>
      <x:c r="I8" s="29" t="n">
        <x:f>IF(ISNUMBER('Petrol'!I23),'Petrol'!I23/1000000,"")</x:f>
        <x:v>8083.956751428674</x:v>
      </x:c>
      <x:c r="J8" s="29" t="n">
        <x:f>IF(ISNUMBER('Petrol'!J23),'Petrol'!J23/1000000,"")</x:f>
        <x:v>8244.02524086649</x:v>
      </x:c>
      <x:c r="K8" s="29" t="n">
        <x:f>IF(ISNUMBER('Petrol'!K23),'Petrol'!K23/1000000,"")</x:f>
        <x:v>8410.462249470675</x:v>
      </x:c>
      <x:c r="L8" s="29" t="n">
        <x:f>IF(ISNUMBER('Petrol'!L23),'Petrol'!L23/1000000,"")</x:f>
        <x:v>8583.707326682596</x:v>
      </x:c>
      <x:c r="M8" s="29" t="n">
        <x:f>IF(ISNUMBER('Petrol'!M23),'Petrol'!M23/1000000,"")</x:f>
        <x:v>8763.946422052999</x:v>
      </x:c>
      <x:c r="N8" s="29" t="n">
        <x:f>IF(ISNUMBER('Petrol'!N23),'Petrol'!N23/1000000,"")</x:f>
        <x:v>8951.057412033466</x:v>
      </x:c>
      <x:c r="O8" s="29" t="n">
        <x:f>IF(ISNUMBER('Petrol'!O23),'Petrol'!O23/1000000,"")</x:f>
        <x:v>9143.853712900025</x:v>
      </x:c>
      <x:c r="P8" s="29" t="n">
        <x:f>IF(ISNUMBER('Petrol'!P23),'Petrol'!P23/1000000,"")</x:f>
        <x:v>9340.960238495894</x:v>
      </x:c>
      <x:c r="Q8" s="29" t="n">
        <x:f>IF(ISNUMBER('Petrol'!Q23),'Petrol'!Q23/1000000,"")</x:f>
        <x:v>9540.76225410413</x:v>
      </x:c>
      <x:c r="R8" s="29" t="n">
        <x:f>IF(ISNUMBER('Petrol'!R23),'Petrol'!R23/1000000,"")</x:f>
        <x:v>9741.363263688969</x:v>
      </x:c>
      <x:c r="S8" s="29" t="n">
        <x:f>IF(ISNUMBER('Petrol'!S23),'Petrol'!S23/1000000,"")</x:f>
        <x:v>9940.571409724516</x:v>
      </x:c>
      <x:c r="T8" s="3" t="str">
        <x:v>2026 vintage; current high_demand case; provisional.</x:v>
      </x:c>
      <x:c r="U8" s="3" t="str">
        <x:v>Petrol row 23 → Model run → Python engine</x:v>
      </x:c>
      <x:c r="V8" s="3" t="str">
        <x:v>Validate inputs and reconcile against observed data.</x:v>
      </x:c>
    </x:row>
    <x:row r="9" ht="30" customHeight="1">
      <x:c r="A9" s="16" t="str">
        <x:v>Model less selected historical sales</x:v>
      </x:c>
      <x:c r="B9" s="16" t="str">
        <x:v>million L/year</x:v>
      </x:c>
      <x:c r="C9" s="16" t="str">
        <x:v>Reporting formula</x:v>
      </x:c>
      <x:c r="D9" s="18"/>
      <x:c r="E9" s="16" t="str">
        <x:v>Model minus selected sales; scope requires reconciliation. [N004]</x:v>
      </x:c>
      <x:c r="F9" s="29" t="n">
        <x:f>IF(COUNT(F6,F8)&lt;2,"",F8-F6)</x:f>
        <x:v>-1660.6867071231318</x:v>
      </x:c>
      <x:c r="G9" s="29" t="n">
        <x:f>IF(COUNT(G6,G8)&lt;2,"",G8-G6)</x:f>
        <x:v>-1294.1448102478826</x:v>
      </x:c>
      <x:c r="H9" s="29" t="n">
        <x:f>IF(COUNT(H6,H8)&lt;2,"",H8-H6)</x:f>
        <x:v>-1099.3146285944886</x:v>
      </x:c>
      <x:c r="I9" s="29" t="str">
        <x:f>IF(COUNT(I6,I8)&lt;2,"",I8-I6)</x:f>
      </x:c>
      <x:c r="J9" s="29" t="str">
        <x:f>IF(COUNT(J6,J8)&lt;2,"",J8-J6)</x:f>
      </x:c>
      <x:c r="K9" s="29" t="str">
        <x:f>IF(COUNT(K6,K8)&lt;2,"",K8-K6)</x:f>
      </x:c>
      <x:c r="L9" s="29" t="str">
        <x:f>IF(COUNT(L6,L8)&lt;2,"",L8-L6)</x:f>
      </x:c>
      <x:c r="M9" s="29" t="str">
        <x:f>IF(COUNT(M6,M8)&lt;2,"",M8-M6)</x:f>
      </x:c>
      <x:c r="N9" s="29" t="str">
        <x:f>IF(COUNT(N6,N8)&lt;2,"",N8-N6)</x:f>
      </x:c>
      <x:c r="O9" s="29" t="str">
        <x:f>IF(COUNT(O6,O8)&lt;2,"",O8-O6)</x:f>
      </x:c>
      <x:c r="P9" s="29" t="str">
        <x:f>IF(COUNT(P6,P8)&lt;2,"",P8-P6)</x:f>
      </x:c>
      <x:c r="Q9" s="29" t="str">
        <x:f>IF(COUNT(Q6,Q8)&lt;2,"",Q8-Q6)</x:f>
      </x:c>
      <x:c r="R9" s="29" t="str">
        <x:f>IF(COUNT(R6,R8)&lt;2,"",R8-R6)</x:f>
      </x:c>
      <x:c r="S9" s="29" t="str">
        <x:f>IF(COUNT(S6,S8)&lt;2,"",S8-S6)</x:f>
      </x:c>
      <x:c r="T9" s="3" t="str">
        <x:v>Only where both values exist.</x:v>
      </x:c>
      <x:c r="U9" s="3" t="str"/>
      <x:c r="V9" s="3" t="str">
        <x:v>G01: reconcile grade/segment scope.</x:v>
      </x:c>
    </x:row>
    <x:row r="10" ht="8" customHeight="1">
      <x:c r="A10" s="3"/>
      <x:c r="B10" s="3"/>
      <x:c r="C10" s="3"/>
      <x:c r="D10" s="3"/>
      <x:c r="E10" s="3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3"/>
      <x:c r="U10" s="3"/>
      <x:c r="V10" s="3"/>
    </x:row>
    <x:row r="11" ht="28" customHeight="1">
      <x:c r="A11" s="12" t="str">
        <x:v>Diesel: segments and national product comparison</x:v>
      </x:c>
      <x:c r="B11" s="11"/>
      <x:c r="C11" s="11"/>
      <x:c r="D11" s="11"/>
      <x:c r="E11" s="11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11"/>
      <x:c r="U11" s="11"/>
      <x:c r="V11" s="11"/>
    </x:row>
    <x:row r="12" ht="30" customHeight="1">
      <x:c r="A12" s="65" t="str">
        <x:v>Selected historical diesel sales</x:v>
      </x:c>
      <x:c r="B12" s="65" t="str">
        <x:v>million L/year</x:v>
      </x:c>
      <x:c r="C12" s="65" t="str">
        <x:v>Linked observation</x:v>
      </x:c>
      <x:c r="D12" s="66"/>
      <x:c r="E12" s="65" t="str">
        <x:v>Selected historical sales; see Source selection. [N005]</x:v>
      </x:c>
      <x:c r="F12" s="67" t="n">
        <x:f>IF(ISNUMBER('Source selection'!F10),'Source selection'!F10,"")</x:f>
        <x:v>12717</x:v>
      </x:c>
      <x:c r="G12" s="67" t="n">
        <x:f>IF(ISNUMBER('Source selection'!F11),'Source selection'!F11,"")</x:f>
        <x:v>12907</x:v>
      </x:c>
      <x:c r="H12" s="67" t="n">
        <x:f>IF(ISNUMBER('Source selection'!F12),'Source selection'!F12,"")</x:f>
        <x:v>11734</x:v>
      </x:c>
      <x:c r="I12" s="67" t="str">
        <x:f>IF(ISNUMBER('Source selection'!F13),'Source selection'!F13,"")</x:f>
      </x:c>
      <x:c r="J12" s="67" t="str">
        <x:f>IF(ISNUMBER('Source selection'!F14),'Source selection'!F14,"")</x:f>
      </x:c>
      <x:c r="K12" s="67"/>
      <x:c r="L12" s="67"/>
      <x:c r="M12" s="67"/>
      <x:c r="N12" s="67"/>
      <x:c r="O12" s="67"/>
      <x:c r="P12" s="67"/>
      <x:c r="Q12" s="67"/>
      <x:c r="R12" s="67"/>
      <x:c r="S12" s="67"/>
      <x:c r="T12" s="3" t="str">
        <x:v>Working comparator; not approved</x:v>
      </x:c>
      <x:c r="U12" s="3" t="str">
        <x:v>Source selection → Evidence</x:v>
      </x:c>
      <x:c r="V12" s="3" t="str">
        <x:v>Manish reconciles scope/revisions; Nigel accepts source.</x:v>
      </x:c>
    </x:row>
    <x:row r="13" ht="30" customHeight="1">
      <x:c r="A13" s="65" t="str">
        <x:v>Historical source / status</x:v>
      </x:c>
      <x:c r="B13" s="65" t="str">
        <x:v>text</x:v>
      </x:c>
      <x:c r="C13" s="65" t="str">
        <x:v>Selection status</x:v>
      </x:c>
      <x:c r="D13" s="66"/>
      <x:c r="E13" s="65" t="str">
        <x:v>Selected source, or unresolved when unavailable. [N006]</x:v>
      </x:c>
      <x:c r="F13" s="67" t="str">
        <x:f>IF(ISNUMBER('Source selection'!F10),'Source selection'!E10,"Unresolved")</x:f>
        <x:v>FIASA</x:v>
      </x:c>
      <x:c r="G13" s="67" t="str">
        <x:f>IF(ISNUMBER('Source selection'!F11),'Source selection'!E11,"Unresolved")</x:f>
        <x:v>FIASA</x:v>
      </x:c>
      <x:c r="H13" s="67" t="str">
        <x:f>IF(ISNUMBER('Source selection'!F12),'Source selection'!E12,"Unresolved")</x:f>
        <x:v>FIASA</x:v>
      </x:c>
      <x:c r="I13" s="67" t="str">
        <x:f>IF(ISNUMBER('Source selection'!F13),'Source selection'!E13,"Unresolved")</x:f>
        <x:v>Unresolved</x:v>
      </x:c>
      <x:c r="J13" s="67" t="str">
        <x:f>IF(ISNUMBER('Source selection'!F14),'Source selection'!E14,"Unresolved")</x:f>
        <x:v>Unresolved</x:v>
      </x:c>
      <x:c r="K13" s="67"/>
      <x:c r="L13" s="67"/>
      <x:c r="M13" s="67"/>
      <x:c r="N13" s="67"/>
      <x:c r="O13" s="67"/>
      <x:c r="P13" s="67"/>
      <x:c r="Q13" s="67"/>
      <x:c r="R13" s="67"/>
      <x:c r="S13" s="67"/>
      <x:c r="T13" s="3" t="str">
        <x:v>Not an additional demand series</x:v>
      </x:c>
      <x:c r="U13" s="3" t="str">
        <x:v>Source selection</x:v>
      </x:c>
      <x:c r="V13" s="3" t="str">
        <x:v>Review selected source before calibration.</x:v>
      </x:c>
    </x:row>
    <x:row r="14" ht="30" customHeight="1">
      <x:c r="A14" s="16" t="str">
        <x:v>All road diesel</x:v>
      </x:c>
      <x:c r="B14" s="16" t="str">
        <x:v>million L/year</x:v>
      </x:c>
      <x:c r="C14" s="16" t="str">
        <x:v>Model output</x:v>
      </x:c>
      <x:c r="D14" s="18"/>
      <x:c r="E14" s="16" t="str">
        <x:v>Passenger + LCV + HCV diesel. [N007]</x:v>
      </x:c>
      <x:c r="F14" s="29" t="n">
        <x:f>IF(ISNUMBER('Freight'!F57),'Freight'!F57/1,"")</x:f>
        <x:v>8141.9539350800205</x:v>
      </x:c>
      <x:c r="G14" s="29" t="n">
        <x:f>IF(ISNUMBER('Freight'!G57),'Freight'!G57/1,"")</x:f>
        <x:v>8340.496199671872</x:v>
      </x:c>
      <x:c r="H14" s="29" t="n">
        <x:f>IF(ISNUMBER('Freight'!H57),'Freight'!H57/1,"")</x:f>
        <x:v>8503.566269860785</x:v>
      </x:c>
      <x:c r="I14" s="29" t="n">
        <x:f>IF(ISNUMBER('Freight'!I57),'Freight'!I57/1,"")</x:f>
        <x:v>8630.196893220498</x:v>
      </x:c>
      <x:c r="J14" s="29" t="n">
        <x:f>IF(ISNUMBER('Freight'!J57),'Freight'!J57/1,"")</x:f>
        <x:v>8768.108455239922</x:v>
      </x:c>
      <x:c r="K14" s="29" t="n">
        <x:f>IF(ISNUMBER('Freight'!K57),'Freight'!K57/1,"")</x:f>
        <x:v>8917.850964216563</x:v>
      </x:c>
      <x:c r="L14" s="29" t="n">
        <x:f>IF(ISNUMBER('Freight'!L57),'Freight'!L57/1,"")</x:f>
        <x:v>9079.825263599754</x:v>
      </x:c>
      <x:c r="M14" s="29" t="n">
        <x:f>IF(ISNUMBER('Freight'!M57),'Freight'!M57/1,"")</x:f>
        <x:v>9254.128236847464</x:v>
      </x:c>
      <x:c r="N14" s="29" t="n">
        <x:f>IF(ISNUMBER('Freight'!N57),'Freight'!N57/1,"")</x:f>
        <x:v>9440.481432701028</x:v>
      </x:c>
      <x:c r="O14" s="29" t="n">
        <x:f>IF(ISNUMBER('Freight'!O57),'Freight'!O57/1,"")</x:f>
        <x:v>9637.264034191141</x:v>
      </x:c>
      <x:c r="P14" s="29" t="n">
        <x:f>IF(ISNUMBER('Freight'!P57),'Freight'!P57/1,"")</x:f>
        <x:v>9842.625512767521</x:v>
      </x:c>
      <x:c r="Q14" s="29" t="n">
        <x:f>IF(ISNUMBER('Freight'!Q57),'Freight'!Q57/1,"")</x:f>
        <x:v>10054.41610068304</x:v>
      </x:c>
      <x:c r="R14" s="29" t="n">
        <x:f>IF(ISNUMBER('Freight'!R57),'Freight'!R57/1,"")</x:f>
        <x:v>10270.128076810313</x:v>
      </x:c>
      <x:c r="S14" s="29" t="n">
        <x:f>IF(ISNUMBER('Freight'!S57),'Freight'!S57/1,"")</x:f>
        <x:v>10486.873321859628</x:v>
      </x:c>
      <x:c r="T14" s="3" t="str">
        <x:v>2026 vintage; current high_demand case; provisional.</x:v>
      </x:c>
      <x:c r="U14" s="3" t="str">
        <x:v>Freight row 57 → Model run → Python engine</x:v>
      </x:c>
      <x:c r="V14" s="3" t="str">
        <x:v>Validate inputs and reconcile against observed data.</x:v>
      </x:c>
    </x:row>
    <x:row r="15" ht="30" customHeight="1">
      <x:c r="A15" s="16" t="str">
        <x:v>Grid OCGT diesel</x:v>
      </x:c>
      <x:c r="B15" s="16" t="str">
        <x:v>million L/year</x:v>
      </x:c>
      <x:c r="C15" s="16" t="str">
        <x:v>Model output</x:v>
      </x:c>
      <x:c r="D15" s="18"/>
      <x:c r="E15" s="16" t="str">
        <x:v>Grid OCGT model. Private backup not calibrated. [N008]</x:v>
      </x:c>
      <x:c r="F15" s="29" t="n">
        <x:f>IF(ISNUMBER('Other demand'!F12),'Other demand'!F12/1,"")</x:f>
        <x:v>2953.615609756098</x:v>
      </x:c>
      <x:c r="G15" s="29" t="n">
        <x:f>IF(ISNUMBER('Other demand'!G12),'Other demand'!G12/1,"")</x:f>
        <x:v>3677.579613658537</x:v>
      </x:c>
      <x:c r="H15" s="29" t="n">
        <x:f>IF(ISNUMBER('Other demand'!H12),'Other demand'!H12/1,"")</x:f>
        <x:v>3581.0948370731703</x:v>
      </x:c>
      <x:c r="I15" s="29" t="n">
        <x:f>IF(ISNUMBER('Other demand'!I12),'Other demand'!I12/1,"")</x:f>
        <x:v>4108.807492682927</x:v>
      </x:c>
      <x:c r="J15" s="29" t="n">
        <x:f>IF(ISNUMBER('Other demand'!J12),'Other demand'!J12/1,"")</x:f>
        <x:v>4594.513170731708</x:v>
      </x:c>
      <x:c r="K15" s="29" t="n">
        <x:f>IF(ISNUMBER('Other demand'!K12),'Other demand'!K12/1,"")</x:f>
        <x:v>4660.149073170731</x:v>
      </x:c>
      <x:c r="L15" s="29" t="n">
        <x:f>IF(ISNUMBER('Other demand'!L12),'Other demand'!L12/1,"")</x:f>
        <x:v>4594.513170731708</x:v>
      </x:c>
      <x:c r="M15" s="29" t="n">
        <x:f>IF(ISNUMBER('Other demand'!M12),'Other demand'!M12/1,"")</x:f>
        <x:v>4594.513170731708</x:v>
      </x:c>
      <x:c r="N15" s="29" t="n">
        <x:f>IF(ISNUMBER('Other demand'!N12),'Other demand'!N12/1,"")</x:f>
        <x:v>4594.513170731708</x:v>
      </x:c>
      <x:c r="O15" s="29" t="n">
        <x:f>IF(ISNUMBER('Other demand'!O12),'Other demand'!O12/1,"")</x:f>
        <x:v>4594.513170731708</x:v>
      </x:c>
      <x:c r="P15" s="29" t="n">
        <x:f>IF(ISNUMBER('Other demand'!P12),'Other demand'!P12/1,"")</x:f>
        <x:v>4594.513170731708</x:v>
      </x:c>
      <x:c r="Q15" s="29" t="n">
        <x:f>IF(ISNUMBER('Other demand'!Q12),'Other demand'!Q12/1,"")</x:f>
        <x:v>4594.513170731708</x:v>
      </x:c>
      <x:c r="R15" s="29" t="n">
        <x:f>IF(ISNUMBER('Other demand'!R12),'Other demand'!R12/1,"")</x:f>
        <x:v>4594.513170731708</x:v>
      </x:c>
      <x:c r="S15" s="29" t="n">
        <x:f>IF(ISNUMBER('Other demand'!S12),'Other demand'!S12/1,"")</x:f>
        <x:v>4594.513170731708</x:v>
      </x:c>
      <x:c r="T15" s="3" t="str">
        <x:v>2026 vintage; current high_demand case; provisional.</x:v>
      </x:c>
      <x:c r="U15" s="3" t="str">
        <x:v>Other demand row 12 → Model run → Python engine</x:v>
      </x:c>
      <x:c r="V15" s="3" t="str">
        <x:v>Validate inputs and reconcile against observed data.</x:v>
      </x:c>
    </x:row>
    <x:row r="16" ht="30" customHeight="1">
      <x:c r="A16" s="16" t="str">
        <x:v>Agricultural diesel</x:v>
      </x:c>
      <x:c r="B16" s="16" t="str">
        <x:v>million L/year</x:v>
      </x:c>
      <x:c r="C16" s="16" t="str">
        <x:v>Model output</x:v>
      </x:c>
      <x:c r="D16" s="18"/>
      <x:c r="E16" s="16" t="str">
        <x:v>GDP/capita method; provisional 2024 fuel baseline. [N009]</x:v>
      </x:c>
      <x:c r="F16" s="29" t="n">
        <x:f>IF(ISNUMBER('Agriculture'!F13),'Agriculture'!F13/1,"")</x:f>
        <x:v>700.7932214567857</x:v>
      </x:c>
      <x:c r="G16" s="29" t="n">
        <x:f>IF(ISNUMBER('Agriculture'!G13),'Agriculture'!G13/1,"")</x:f>
        <x:v>700.7708815744826</x:v>
      </x:c>
      <x:c r="H16" s="29" t="n">
        <x:f>IF(ISNUMBER('Agriculture'!H13),'Agriculture'!H13/1,"")</x:f>
        <x:v>700</x:v>
      </x:c>
      <x:c r="I16" s="29" t="n">
        <x:f>IF(ISNUMBER('Agriculture'!I13),'Agriculture'!I13/1,"")</x:f>
        <x:v>699.112137440543</x:v>
      </x:c>
      <x:c r="J16" s="29" t="n">
        <x:f>IF(ISNUMBER('Agriculture'!J13),'Agriculture'!J13/1,"")</x:f>
        <x:v>699.9065828701582</x:v>
      </x:c>
      <x:c r="K16" s="29" t="n">
        <x:f>IF(ISNUMBER('Agriculture'!K13),'Agriculture'!K13/1,"")</x:f>
        <x:v>700.7566179057957</x:v>
      </x:c>
      <x:c r="L16" s="29" t="n">
        <x:f>IF(ISNUMBER('Agriculture'!L13),'Agriculture'!L13/1,"")</x:f>
        <x:v>701.6614496704552</x:v>
      </x:c>
      <x:c r="M16" s="29" t="n">
        <x:f>IF(ISNUMBER('Agriculture'!M13),'Agriculture'!M13/1,"")</x:f>
        <x:v>702.6156603836948</x:v>
      </x:c>
      <x:c r="N16" s="29" t="n">
        <x:f>IF(ISNUMBER('Agriculture'!N13),'Agriculture'!N13/1,"")</x:f>
        <x:v>703.6124393352403</x:v>
      </x:c>
      <x:c r="O16" s="29" t="n">
        <x:f>IF(ISNUMBER('Agriculture'!O13),'Agriculture'!O13/1,"")</x:f>
        <x:v>704.6106323860355</x:v>
      </x:c>
      <x:c r="P16" s="29" t="n">
        <x:f>IF(ISNUMBER('Agriculture'!P13),'Agriculture'!P13/1,"")</x:f>
        <x:v>705.6102415422189</x:v>
      </x:c>
      <x:c r="Q16" s="29" t="n">
        <x:f>IF(ISNUMBER('Agriculture'!Q13),'Agriculture'!Q13/1,"")</x:f>
        <x:v>706.6112688127754</x:v>
      </x:c>
      <x:c r="R16" s="29" t="n">
        <x:f>IF(ISNUMBER('Agriculture'!R13),'Agriculture'!R13/1,"")</x:f>
        <x:v>707.6137162095396</x:v>
      </x:c>
      <x:c r="S16" s="29" t="n">
        <x:f>IF(ISNUMBER('Agriculture'!S13),'Agriculture'!S13/1,"")</x:f>
        <x:v>708.6175857472002</x:v>
      </x:c>
      <x:c r="T16" s="3" t="str">
        <x:v>2026 vintage; current high_demand case; provisional.</x:v>
      </x:c>
      <x:c r="U16" s="3" t="str">
        <x:v>Agriculture row 13 → Model run → Python engine</x:v>
      </x:c>
      <x:c r="V16" s="3" t="str">
        <x:v>Validate inputs and reconcile against observed data.</x:v>
      </x:c>
    </x:row>
    <x:row r="17" ht="30" customHeight="1">
      <x:c r="A17" s="16" t="str">
        <x:v>Combined industrial diesel</x:v>
      </x:c>
      <x:c r="B17" s="16" t="str">
        <x:v>million L/year</x:v>
      </x:c>
      <x:c r="C17" s="16" t="str">
        <x:v>Model output</x:v>
      </x:c>
      <x:c r="D17" s="18"/>
      <x:c r="E17" s="16" t="str">
        <x:v>Manufacturing + mining + construction combined. [N010]</x:v>
      </x:c>
      <x:c r="F17" s="29" t="n">
        <x:f>IF(ISNUMBER('Manufacturing'!F24),'Manufacturing'!F24/1,"")</x:f>
        <x:v>2514.196807324062</x:v>
      </x:c>
      <x:c r="G17" s="29" t="n">
        <x:f>IF(ISNUMBER('Manufacturing'!G24),'Manufacturing'!G24/1,"")</x:f>
        <x:v>2513.7960951155037</x:v>
      </x:c>
      <x:c r="H17" s="29" t="n">
        <x:f>IF(ISNUMBER('Manufacturing'!H24),'Manufacturing'!H24/1,"")</x:f>
        <x:v>2500</x:v>
      </x:c>
      <x:c r="I17" s="29" t="n">
        <x:f>IF(ISNUMBER('Manufacturing'!I24),'Manufacturing'!I24/1,"")</x:f>
        <x:v>2484.18547984125</x:v>
      </x:c>
      <x:c r="J17" s="29" t="n">
        <x:f>IF(ISNUMBER('Manufacturing'!J24),'Manufacturing'!J24/1,"")</x:f>
        <x:v>2498.33228215056</x:v>
      </x:c>
      <x:c r="K17" s="29" t="n">
        <x:f>IF(ISNUMBER('Manufacturing'!K24),'Manufacturing'!K24/1,"")</x:f>
        <x:v>2513.5402733057135</x:v>
      </x:c>
      <x:c r="L17" s="29" t="n">
        <x:f>IF(ISNUMBER('Manufacturing'!L24),'Manufacturing'!L24/1,"")</x:f>
        <x:v>2529.8099162902836</x:v>
      </x:c>
      <x:c r="M17" s="29" t="n">
        <x:f>IF(ISNUMBER('Manufacturing'!M24),'Manufacturing'!M24/1,"")</x:f>
        <x:v>2547.0585931810697</x:v>
      </x:c>
      <x:c r="N17" s="29" t="n">
        <x:f>IF(ISNUMBER('Manufacturing'!N24),'Manufacturing'!N24/1,"")</x:f>
        <x:v>2565.177092039271</x:v>
      </x:c>
      <x:c r="O17" s="29" t="n">
        <x:f>IF(ISNUMBER('Manufacturing'!O24),'Manufacturing'!O24/1,"")</x:f>
        <x:v>2583.4244768217122</x:v>
      </x:c>
      <x:c r="P17" s="29" t="n">
        <x:f>IF(ISNUMBER('Manufacturing'!P24),'Manufacturing'!P24/1,"")</x:f>
        <x:v>2601.8016643582905</x:v>
      </x:c>
      <x:c r="Q17" s="29" t="n">
        <x:f>IF(ISNUMBER('Manufacturing'!Q24),'Manufacturing'!Q24/1,"")</x:f>
        <x:v>2620.3095780007743</x:v>
      </x:c>
      <x:c r="R17" s="29" t="n">
        <x:f>IF(ISNUMBER('Manufacturing'!R24),'Manufacturing'!R24/1,"")</x:f>
        <x:v>2638.9491476691924</x:v>
      </x:c>
      <x:c r="S17" s="29" t="n">
        <x:f>IF(ISNUMBER('Manufacturing'!S24),'Manufacturing'!S24/1,"")</x:f>
        <x:v>2657.7213098985585</x:v>
      </x:c>
      <x:c r="T17" s="3" t="str">
        <x:v>2026 vintage; current high_demand case; provisional.</x:v>
      </x:c>
      <x:c r="U17" s="3" t="str">
        <x:v>Manufacturing row 24 → Model run → Python engine</x:v>
      </x:c>
      <x:c r="V17" s="3" t="str">
        <x:v>Validate inputs and reconcile against observed data.</x:v>
      </x:c>
    </x:row>
    <x:row r="18" ht="30" customHeight="1">
      <x:c r="A18" s="16" t="str">
        <x:v>Marine diesel</x:v>
      </x:c>
      <x:c r="B18" s="16" t="str">
        <x:v>million L/year</x:v>
      </x:c>
      <x:c r="C18" s="16" t="str">
        <x:v>Model output</x:v>
      </x:c>
      <x:c r="D18" s="18"/>
      <x:c r="E18" s="16" t="str">
        <x:v>Marine diesel; 2022–23 model history unavailable. [N011]</x:v>
      </x:c>
      <x:c r="F18" s="29" t="str">
        <x:f>IF(ISNUMBER('Other demand'!F34),'Other demand'!F34/1,"")</x:f>
      </x:c>
      <x:c r="G18" s="29" t="str">
        <x:f>IF(ISNUMBER('Other demand'!G34),'Other demand'!G34/1,"")</x:f>
      </x:c>
      <x:c r="H18" s="29" t="n">
        <x:f>IF(ISNUMBER('Other demand'!H34),'Other demand'!H34/1,"")</x:f>
        <x:v>770</x:v>
      </x:c>
      <x:c r="I18" s="29" t="n">
        <x:f>IF(ISNUMBER('Other demand'!I34),'Other demand'!I34/1,"")</x:f>
        <x:v>768.0479411262189</x:v>
      </x:c>
      <x:c r="J18" s="29" t="n">
        <x:f>IF(ISNUMBER('Other demand'!J34),'Other demand'!J34/1,"")</x:f>
        <x:v>769.7944960278282</x:v>
      </x:c>
      <x:c r="K18" s="29" t="n">
        <x:f>IF(ISNUMBER('Other demand'!K34),'Other demand'!K34/1,"")</x:f>
        <x:v>771.6654589894948</x:v>
      </x:c>
      <x:c r="L18" s="29" t="n">
        <x:f>IF(ISNUMBER('Other demand'!L34),'Other demand'!L34/1,"")</x:f>
        <x:v>773.6595270700128</x:v>
      </x:c>
      <x:c r="M18" s="29" t="n">
        <x:f>IF(ISNUMBER('Other demand'!M34),'Other demand'!M34/1,"")</x:f>
        <x:v>775.7652040543675</x:v>
      </x:c>
      <x:c r="N18" s="29" t="n">
        <x:f>IF(ISNUMBER('Other demand'!N34),'Other demand'!N34/1,"")</x:f>
        <x:v>777.9678732371657</x:v>
      </x:c>
      <x:c r="O18" s="29" t="n">
        <x:f>IF(ISNUMBER('Other demand'!O34),'Other demand'!O34/1,"")</x:f>
        <x:v>780.1767965694195</x:v>
      </x:c>
      <x:c r="P18" s="29" t="n">
        <x:f>IF(ISNUMBER('Other demand'!P34),'Other demand'!P34/1,"")</x:f>
        <x:v>782.3919918088507</x:v>
      </x:c>
      <x:c r="Q18" s="29" t="n">
        <x:f>IF(ISNUMBER('Other demand'!Q34),'Other demand'!Q34/1,"")</x:f>
        <x:v>784.6134767636006</x:v>
      </x:c>
      <x:c r="R18" s="29" t="n">
        <x:f>IF(ISNUMBER('Other demand'!R34),'Other demand'!R34/1,"")</x:f>
        <x:v>786.8412692923746</x:v>
      </x:c>
      <x:c r="S18" s="29" t="n">
        <x:f>IF(ISNUMBER('Other demand'!S34),'Other demand'!S34/1,"")</x:f>
        <x:v>789.0753873045852</x:v>
      </x:c>
      <x:c r="T18" s="3" t="str">
        <x:v>2026 vintage; current high_demand case; provisional.</x:v>
      </x:c>
      <x:c r="U18" s="3" t="str">
        <x:v>Other demand row 34 → Model run → Python engine</x:v>
      </x:c>
      <x:c r="V18" s="3" t="str">
        <x:v>Validate inputs and reconcile against observed data.</x:v>
      </x:c>
    </x:row>
    <x:row r="19" ht="30" customHeight="1">
      <x:c r="A19" s="16" t="str">
        <x:v>Total model diesel</x:v>
      </x:c>
      <x:c r="B19" s="16" t="str">
        <x:v>million L/year</x:v>
      </x:c>
      <x:c r="C19" s="16" t="str">
        <x:v>Reporting formula</x:v>
      </x:c>
      <x:c r="D19" s="18"/>
      <x:c r="E19" s="16" t="str">
        <x:v>Sum road, OCGT, agriculture, industry and marine. [N012]</x:v>
      </x:c>
      <x:c r="F19" s="29" t="str">
        <x:f>IF(COUNT(F14:F18)&lt;5,"",SUM(F14:F18))</x:f>
      </x:c>
      <x:c r="G19" s="29" t="str">
        <x:f>IF(COUNT(G14:G18)&lt;5,"",SUM(G14:G18))</x:f>
      </x:c>
      <x:c r="H19" s="29" t="n">
        <x:f>IF(COUNT(H14:H18)&lt;5,"",SUM(H14:H18))</x:f>
        <x:v>16054.661106933956</x:v>
      </x:c>
      <x:c r="I19" s="29" t="n">
        <x:f>IF(COUNT(I14:I18)&lt;5,"",SUM(I14:I18))</x:f>
        <x:v>16690.349944311438</x:v>
      </x:c>
      <x:c r="J19" s="29" t="n">
        <x:f>IF(COUNT(J14:J18)&lt;5,"",SUM(J14:J18))</x:f>
        <x:v>17330.654987020178</x:v>
      </x:c>
      <x:c r="K19" s="29" t="n">
        <x:f>IF(COUNT(K14:K18)&lt;5,"",SUM(K14:K18))</x:f>
        <x:v>17563.962387588297</x:v>
      </x:c>
      <x:c r="L19" s="29" t="n">
        <x:f>IF(COUNT(L14:L18)&lt;5,"",SUM(L14:L18))</x:f>
        <x:v>17679.46932736221</x:v>
      </x:c>
      <x:c r="M19" s="29" t="n">
        <x:f>IF(COUNT(M14:M18)&lt;5,"",SUM(M14:M18))</x:f>
        <x:v>17874.080865198306</x:v>
      </x:c>
      <x:c r="N19" s="29" t="n">
        <x:f>IF(COUNT(N14:N18)&lt;5,"",SUM(N14:N18))</x:f>
        <x:v>18081.752008044412</x:v>
      </x:c>
      <x:c r="O19" s="29" t="n">
        <x:f>IF(COUNT(O14:O18)&lt;5,"",SUM(O14:O18))</x:f>
        <x:v>18299.989110700015</x:v>
      </x:c>
      <x:c r="P19" s="29" t="n">
        <x:f>IF(COUNT(P14:P18)&lt;5,"",SUM(P14:P18))</x:f>
        <x:v>18526.94258120859</x:v>
      </x:c>
      <x:c r="Q19" s="29" t="n">
        <x:f>IF(COUNT(Q14:Q18)&lt;5,"",SUM(Q14:Q18))</x:f>
        <x:v>18760.4635949919</x:v>
      </x:c>
      <x:c r="R19" s="29" t="n">
        <x:f>IF(COUNT(R14:R18)&lt;5,"",SUM(R14:R18))</x:f>
        <x:v>18998.045380713127</x:v>
      </x:c>
      <x:c r="S19" s="29" t="n">
        <x:f>IF(COUNT(S14:S18)&lt;5,"",SUM(S14:S18))</x:f>
        <x:v>19236.800775541684</x:v>
      </x:c>
      <x:c r="T19" s="3" t="str">
        <x:v>Blank if any component is missing.</x:v>
      </x:c>
      <x:c r="U19" s="3" t="str"/>
      <x:c r="V19" s="3" t="str">
        <x:v>G01/G12: reconcile domestic sales and bunkers.</x:v>
      </x:c>
    </x:row>
    <x:row r="20" ht="30" customHeight="1">
      <x:c r="A20" s="16" t="str">
        <x:v>Model less selected historical sales</x:v>
      </x:c>
      <x:c r="B20" s="16" t="str">
        <x:v>million L/year</x:v>
      </x:c>
      <x:c r="C20" s="16" t="str">
        <x:v>Reporting formula</x:v>
      </x:c>
      <x:c r="D20" s="18"/>
      <x:c r="E20" s="16" t="str">
        <x:v>Model minus selected sales; scope requires reconciliation. [N013]</x:v>
      </x:c>
      <x:c r="F20" s="29" t="str">
        <x:f>IF(COUNT(F12,F19)&lt;2,"",F19-F12)</x:f>
      </x:c>
      <x:c r="G20" s="29" t="str">
        <x:f>IF(COUNT(G12,G19)&lt;2,"",G19-G12)</x:f>
      </x:c>
      <x:c r="H20" s="29" t="n">
        <x:f>IF(COUNT(H12,H19)&lt;2,"",H19-H12)</x:f>
        <x:v>4320.661106933956</x:v>
      </x:c>
      <x:c r="I20" s="29" t="str">
        <x:f>IF(COUNT(I12,I19)&lt;2,"",I19-I12)</x:f>
      </x:c>
      <x:c r="J20" s="29" t="str">
        <x:f>IF(COUNT(J12,J19)&lt;2,"",J19-J12)</x:f>
      </x:c>
      <x:c r="K20" s="29" t="str">
        <x:f>IF(COUNT(K12,K19)&lt;2,"",K19-K12)</x:f>
      </x:c>
      <x:c r="L20" s="29" t="str">
        <x:f>IF(COUNT(L12,L19)&lt;2,"",L19-L12)</x:f>
      </x:c>
      <x:c r="M20" s="29" t="str">
        <x:f>IF(COUNT(M12,M19)&lt;2,"",M19-M12)</x:f>
      </x:c>
      <x:c r="N20" s="29" t="str">
        <x:f>IF(COUNT(N12,N19)&lt;2,"",N19-N12)</x:f>
      </x:c>
      <x:c r="O20" s="29" t="str">
        <x:f>IF(COUNT(O12,O19)&lt;2,"",O19-O12)</x:f>
      </x:c>
      <x:c r="P20" s="29" t="str">
        <x:f>IF(COUNT(P12,P19)&lt;2,"",P19-P12)</x:f>
      </x:c>
      <x:c r="Q20" s="29" t="str">
        <x:f>IF(COUNT(Q12,Q19)&lt;2,"",Q19-Q12)</x:f>
      </x:c>
      <x:c r="R20" s="29" t="str">
        <x:f>IF(COUNT(R12,R19)&lt;2,"",R19-R12)</x:f>
      </x:c>
      <x:c r="S20" s="29" t="str">
        <x:f>IF(COUNT(S12,S19)&lt;2,"",S19-S12)</x:f>
      </x:c>
      <x:c r="T20" s="3" t="str">
        <x:v>Only matched available years.</x:v>
      </x:c>
      <x:c r="U20" s="3" t="str"/>
      <x:c r="V20" s="3" t="str">
        <x:v>G01: reconcile units, coverage and sales basis.</x:v>
      </x:c>
    </x:row>
    <x:row r="21" ht="30" customHeight="1">
      <x:c r="A21" s="10" t="str">
        <x:v>Manufacturing-only baseline</x:v>
      </x:c>
      <x:c r="B21" s="10" t="str">
        <x:v>million L/year</x:v>
      </x:c>
      <x:c r="C21" s="10" t="str">
        <x:v>Missing input</x:v>
      </x:c>
      <x:c r="D21" s="19"/>
      <x:c r="E21" s="10" t="str">
        <x:v>Included within industrial total; separate baseline missing. [N014]</x:v>
      </x:c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" t="str">
        <x:v>No matched observed 2022+ fuel series located.</x:v>
      </x:c>
      <x:c r="U21" s="3" t="str">
        <x:v>https://github.com/Africa-International-Advisors/liq… [N015]</x:v>
      </x:c>
      <x:c r="V21" s="3" t="str">
        <x:v>G06: reconcile manufacturing subsectors and scope.</x:v>
      </x:c>
    </x:row>
    <x:row r="22" ht="30" customHeight="1">
      <x:c r="A22" s="10" t="str">
        <x:v>Mining-only baseline</x:v>
      </x:c>
      <x:c r="B22" s="10" t="str">
        <x:v>million L/year</x:v>
      </x:c>
      <x:c r="C22" s="10" t="str">
        <x:v>Missing input</x:v>
      </x:c>
      <x:c r="D22" s="19" t="n">
        <x:f>IF(ISNUMBER('Mining'!D31),'Mining'!D31,"")</x:f>
        <x:v>1293.81342</x:v>
      </x:c>
      <x:c r="E22" s="10" t="str">
        <x:v>2021 anchor only; included within industrial total. [N016]</x:v>
      </x:c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" t="str">
        <x:v>2021 anchor available; 2022+ fuel series missing.</x:v>
      </x:c>
      <x:c r="U22" s="3" t="str">
        <x:v>https://github.com/Africa-International-Advisors/liq… [N017]</x:v>
      </x:c>
      <x:c r="V22" s="3" t="str">
        <x:v>G07: verify site/end-use coverage and newer fuel data.</x:v>
      </x:c>
    </x:row>
    <x:row r="23" ht="30" customHeight="1">
      <x:c r="A23" s="10" t="str">
        <x:v>Private backup / other diesel</x:v>
      </x:c>
      <x:c r="B23" s="10" t="str">
        <x:v>million L/year</x:v>
      </x:c>
      <x:c r="C23" s="10" t="str">
        <x:v>Missing input</x:v>
      </x:c>
      <x:c r="D23" s="19"/>
      <x:c r="E23" s="10" t="str">
        <x:v>Baseline and sector overlap unresolved. [N018]</x:v>
      </x:c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" t="str">
        <x:v>Separate coverage and baseline unresolved.</x:v>
      </x:c>
      <x:c r="U23" s="3" t="str"/>
      <x:c r="V23" s="3" t="str">
        <x:v>G09: source fuel/generation evidence; count once.</x:v>
      </x:c>
    </x:row>
    <x:row r="24" ht="8" customHeight="1">
      <x:c r="A24" s="3"/>
      <x:c r="B24" s="3"/>
      <x:c r="C24" s="3"/>
      <x:c r="D24" s="3"/>
      <x:c r="E24" s="3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3"/>
      <x:c r="U24" s="3"/>
      <x:c r="V24" s="3"/>
    </x:row>
    <x:row r="25" ht="28" customHeight="1">
      <x:c r="A25" s="12" t="str">
        <x:v>Jet: national product comparison</x:v>
      </x:c>
      <x:c r="B25" s="11"/>
      <x:c r="C25" s="11"/>
      <x:c r="D25" s="11"/>
      <x:c r="E25" s="11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11"/>
      <x:c r="U25" s="11"/>
      <x:c r="V25" s="11"/>
    </x:row>
    <x:row r="26" ht="30" customHeight="1">
      <x:c r="A26" s="65" t="str">
        <x:v>Selected historical jet sales</x:v>
      </x:c>
      <x:c r="B26" s="65" t="str">
        <x:v>million L/year</x:v>
      </x:c>
      <x:c r="C26" s="65" t="str">
        <x:v>Linked observation</x:v>
      </x:c>
      <x:c r="D26" s="66"/>
      <x:c r="E26" s="65" t="str">
        <x:v>Selected historical sales; see Source selection. [N019]</x:v>
      </x:c>
      <x:c r="F26" s="67" t="n">
        <x:f>IF(ISNUMBER('Source selection'!F15),'Source selection'!F15,"")</x:f>
        <x:v>1478</x:v>
      </x:c>
      <x:c r="G26" s="67" t="n">
        <x:f>IF(ISNUMBER('Source selection'!F16),'Source selection'!F16,"")</x:f>
        <x:v>1844</x:v>
      </x:c>
      <x:c r="H26" s="67" t="n">
        <x:f>IF(ISNUMBER('Source selection'!F17),'Source selection'!F17,"")</x:f>
        <x:v>1955</x:v>
      </x:c>
      <x:c r="I26" s="67" t="str">
        <x:f>IF(ISNUMBER('Source selection'!F18),'Source selection'!F18,"")</x:f>
      </x:c>
      <x:c r="J26" s="67" t="str">
        <x:f>IF(ISNUMBER('Source selection'!F19),'Source selection'!F19,"")</x:f>
      </x:c>
      <x:c r="K26" s="67"/>
      <x:c r="L26" s="67"/>
      <x:c r="M26" s="67"/>
      <x:c r="N26" s="67"/>
      <x:c r="O26" s="67"/>
      <x:c r="P26" s="67"/>
      <x:c r="Q26" s="67"/>
      <x:c r="R26" s="67"/>
      <x:c r="S26" s="67"/>
      <x:c r="T26" s="3" t="str">
        <x:v>Working comparator; not approved</x:v>
      </x:c>
      <x:c r="U26" s="3" t="str">
        <x:v>Source selection → Evidence</x:v>
      </x:c>
      <x:c r="V26" s="3" t="str">
        <x:v>Manish reconciles scope/revisions; Nigel accepts source.</x:v>
      </x:c>
    </x:row>
    <x:row r="27" ht="30" customHeight="1">
      <x:c r="A27" s="65" t="str">
        <x:v>Historical source / status</x:v>
      </x:c>
      <x:c r="B27" s="65" t="str">
        <x:v>text</x:v>
      </x:c>
      <x:c r="C27" s="65" t="str">
        <x:v>Selection status</x:v>
      </x:c>
      <x:c r="D27" s="66"/>
      <x:c r="E27" s="65" t="str">
        <x:v>Selected source, or unresolved when unavailable. [N020]</x:v>
      </x:c>
      <x:c r="F27" s="67" t="str">
        <x:f>IF(ISNUMBER('Source selection'!F15),'Source selection'!E15,"Unresolved")</x:f>
        <x:v>FIASA</x:v>
      </x:c>
      <x:c r="G27" s="67" t="str">
        <x:f>IF(ISNUMBER('Source selection'!F16),'Source selection'!E16,"Unresolved")</x:f>
        <x:v>FIASA</x:v>
      </x:c>
      <x:c r="H27" s="67" t="str">
        <x:f>IF(ISNUMBER('Source selection'!F17),'Source selection'!E17,"Unresolved")</x:f>
        <x:v>FIASA</x:v>
      </x:c>
      <x:c r="I27" s="67" t="str">
        <x:f>IF(ISNUMBER('Source selection'!F18),'Source selection'!E18,"Unresolved")</x:f>
        <x:v>Unresolved</x:v>
      </x:c>
      <x:c r="J27" s="67" t="str">
        <x:f>IF(ISNUMBER('Source selection'!F19),'Source selection'!E19,"Unresolved")</x:f>
        <x:v>Unresolved</x:v>
      </x:c>
      <x:c r="K27" s="67"/>
      <x:c r="L27" s="67"/>
      <x:c r="M27" s="67"/>
      <x:c r="N27" s="67"/>
      <x:c r="O27" s="67"/>
      <x:c r="P27" s="67"/>
      <x:c r="Q27" s="67"/>
      <x:c r="R27" s="67"/>
      <x:c r="S27" s="67"/>
      <x:c r="T27" s="3" t="str">
        <x:v>Not an additional demand series</x:v>
      </x:c>
      <x:c r="U27" s="3" t="str">
        <x:v>Source selection</x:v>
      </x:c>
      <x:c r="V27" s="3" t="str">
        <x:v>Review selected source before calibration.</x:v>
      </x:c>
    </x:row>
    <x:row r="28" ht="30" customHeight="1">
      <x:c r="A28" s="16" t="str">
        <x:v>Current model jet</x:v>
      </x:c>
      <x:c r="B28" s="16" t="str">
        <x:v>million L/year</x:v>
      </x:c>
      <x:c r="C28" s="16" t="str">
        <x:v>Model output</x:v>
      </x:c>
      <x:c r="D28" s="18"/>
      <x:c r="E28" s="16" t="str">
        <x:v>GDP/capita and passenger regression. [N021]</x:v>
      </x:c>
      <x:c r="F28" s="29" t="n">
        <x:f>IF(ISNUMBER('Other demand'!F20),'Other demand'!F20/1,"")</x:f>
        <x:v>1591.8858428493238</x:v>
      </x:c>
      <x:c r="G28" s="29" t="n">
        <x:f>IF(ISNUMBER('Other demand'!G20),'Other demand'!G20/1,"")</x:f>
        <x:v>1742.4582410972894</x:v>
      </x:c>
      <x:c r="H28" s="29" t="n">
        <x:f>IF(ISNUMBER('Other demand'!H20),'Other demand'!H20/1,"")</x:f>
        <x:v>1601.4445392936807</x:v>
      </x:c>
      <x:c r="I28" s="29" t="n">
        <x:f>IF(ISNUMBER('Other demand'!I20),'Other demand'!I20/1,"")</x:f>
        <x:v>1666.18717411699</x:v>
      </x:c>
      <x:c r="J28" s="29" t="n">
        <x:f>IF(ISNUMBER('Other demand'!J20),'Other demand'!J20/1,"")</x:f>
        <x:v>1910.5953913375338</x:v>
      </x:c>
      <x:c r="K28" s="29" t="n">
        <x:f>IF(ISNUMBER('Other demand'!K20),'Other demand'!K20/1,"")</x:f>
        <x:v>2110.7993713158958</x:v>
      </x:c>
      <x:c r="L28" s="29" t="n">
        <x:f>IF(ISNUMBER('Other demand'!L20),'Other demand'!L20/1,"")</x:f>
        <x:v>2325.3309977696317</x:v>
      </x:c>
      <x:c r="M28" s="29" t="n">
        <x:f>IF(ISNUMBER('Other demand'!M20),'Other demand'!M20/1,"")</x:f>
        <x:v>2553.4002922223585</x:v>
      </x:c>
      <x:c r="N28" s="29" t="n">
        <x:f>IF(ISNUMBER('Other demand'!N20),'Other demand'!N20/1,"")</x:f>
        <x:v>2794.854880612478</x:v>
      </x:c>
      <x:c r="O28" s="29" t="n">
        <x:f>IF(ISNUMBER('Other demand'!O20),'Other demand'!O20/1,"")</x:f>
        <x:v>3045.7871405131723</x:v>
      </x:c>
      <x:c r="P28" s="29" t="n">
        <x:f>IF(ISNUMBER('Other demand'!P20),'Other demand'!P20/1,"")</x:f>
        <x:v>3306.773129599316</x:v>
      </x:c>
      <x:c r="Q28" s="29" t="n">
        <x:f>IF(ISNUMBER('Other demand'!Q20),'Other demand'!Q20/1,"")</x:f>
        <x:v>3578.426342257959</x:v>
      </x:c>
      <x:c r="R28" s="29" t="n">
        <x:f>IF(ISNUMBER('Other demand'!R20),'Other demand'!R20/1,"")</x:f>
        <x:v>3861.400161109434</x:v>
      </x:c>
      <x:c r="S28" s="29" t="n">
        <x:f>IF(ISNUMBER('Other demand'!S20),'Other demand'!S20/1,"")</x:f>
        <x:v>4156.390469198261</x:v>
      </x:c>
      <x:c r="T28" s="3" t="str">
        <x:v>2026 vintage; current high_demand case; provisional.</x:v>
      </x:c>
      <x:c r="U28" s="3" t="str">
        <x:v>Other demand row 20 → Model run → Python engine</x:v>
      </x:c>
      <x:c r="V28" s="3" t="str">
        <x:v>Validate inputs and reconcile against observed data.</x:v>
      </x:c>
    </x:row>
    <x:row r="29" ht="30" customHeight="1">
      <x:c r="A29" s="16" t="str">
        <x:v>Model less selected historical sales</x:v>
      </x:c>
      <x:c r="B29" s="16" t="str">
        <x:v>million L/year</x:v>
      </x:c>
      <x:c r="C29" s="16" t="str">
        <x:v>Reporting formula</x:v>
      </x:c>
      <x:c r="D29" s="18"/>
      <x:c r="E29" s="16" t="str">
        <x:v>Model minus selected sales; reconcile coverage. [N022]</x:v>
      </x:c>
      <x:c r="F29" s="29" t="n">
        <x:f>IF(COUNT(F26,F28)&lt;2,"",F28-F26)</x:f>
        <x:v>113.88584284932381</x:v>
      </x:c>
      <x:c r="G29" s="29" t="n">
        <x:f>IF(COUNT(G26,G28)&lt;2,"",G28-G26)</x:f>
        <x:v>-101.54175890271063</x:v>
      </x:c>
      <x:c r="H29" s="29" t="n">
        <x:f>IF(COUNT(H26,H28)&lt;2,"",H28-H26)</x:f>
        <x:v>-353.5554607063193</x:v>
      </x:c>
      <x:c r="I29" s="29" t="str">
        <x:f>IF(COUNT(I26,I28)&lt;2,"",I28-I26)</x:f>
      </x:c>
      <x:c r="J29" s="29" t="str">
        <x:f>IF(COUNT(J26,J28)&lt;2,"",J28-J26)</x:f>
      </x:c>
      <x:c r="K29" s="29" t="str">
        <x:f>IF(COUNT(K26,K28)&lt;2,"",K28-K26)</x:f>
      </x:c>
      <x:c r="L29" s="29" t="str">
        <x:f>IF(COUNT(L26,L28)&lt;2,"",L28-L26)</x:f>
      </x:c>
      <x:c r="M29" s="29" t="str">
        <x:f>IF(COUNT(M26,M28)&lt;2,"",M28-M26)</x:f>
      </x:c>
      <x:c r="N29" s="29" t="str">
        <x:f>IF(COUNT(N26,N28)&lt;2,"",N28-N26)</x:f>
      </x:c>
      <x:c r="O29" s="29" t="str">
        <x:f>IF(COUNT(O26,O28)&lt;2,"",O28-O26)</x:f>
      </x:c>
      <x:c r="P29" s="29" t="str">
        <x:f>IF(COUNT(P26,P28)&lt;2,"",P28-P26)</x:f>
      </x:c>
      <x:c r="Q29" s="29" t="str">
        <x:f>IF(COUNT(Q26,Q28)&lt;2,"",Q28-Q26)</x:f>
      </x:c>
      <x:c r="R29" s="29" t="str">
        <x:f>IF(COUNT(R26,R28)&lt;2,"",R28-R26)</x:f>
      </x:c>
      <x:c r="S29" s="29" t="str">
        <x:f>IF(COUNT(S26,S28)&lt;2,"",S28-S26)</x:f>
      </x:c>
      <x:c r="T29" s="3" t="str">
        <x:v>Only where both values exist.</x:v>
      </x:c>
      <x:c r="U29" s="3" t="str"/>
      <x:c r="V29" s="3" t="str">
        <x:v>G10: calibrate aircraft/airport coverage.</x:v>
      </x:c>
    </x:row>
    <x:row r="30" ht="8" customHeight="1">
      <x:c r="A30" s="3"/>
      <x:c r="B30" s="3"/>
      <x:c r="C30" s="3"/>
      <x:c r="D30" s="3"/>
      <x:c r="E30" s="3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3"/>
      <x:c r="U30" s="3"/>
      <x:c r="V30" s="3"/>
    </x:row>
    <x:row r="31" ht="28" customHeight="1">
      <x:c r="A31" s="12" t="str">
        <x:v>Marine fuel oil: scope is narrower than total national fuel oil</x:v>
      </x:c>
      <x:c r="B31" s="11"/>
      <x:c r="C31" s="11"/>
      <x:c r="D31" s="11"/>
      <x:c r="E31" s="11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11"/>
      <x:c r="U31" s="11"/>
      <x:c r="V31" s="11"/>
    </x:row>
    <x:row r="32" ht="30" customHeight="1">
      <x:c r="A32" s="65" t="str">
        <x:v>Selected historical fuel oil sales</x:v>
      </x:c>
      <x:c r="B32" s="65" t="str">
        <x:v>million L/year</x:v>
      </x:c>
      <x:c r="C32" s="65" t="str">
        <x:v>Linked observation</x:v>
      </x:c>
      <x:c r="D32" s="66"/>
      <x:c r="E32" s="65" t="str">
        <x:v>National fuel-oil sales; includes more than marine. [N023]</x:v>
      </x:c>
      <x:c r="F32" s="67" t="n">
        <x:f>IF(ISNUMBER('Source selection'!F20),'Source selection'!F20,"")</x:f>
        <x:v>594</x:v>
      </x:c>
      <x:c r="G32" s="67" t="n">
        <x:f>IF(ISNUMBER('Source selection'!F21),'Source selection'!F21,"")</x:f>
        <x:v>658</x:v>
      </x:c>
      <x:c r="H32" s="67" t="n">
        <x:f>IF(ISNUMBER('Source selection'!F22),'Source selection'!F22,"")</x:f>
        <x:v>441</x:v>
      </x:c>
      <x:c r="I32" s="67" t="str">
        <x:f>IF(ISNUMBER('Source selection'!F23),'Source selection'!F23,"")</x:f>
      </x:c>
      <x:c r="J32" s="67" t="str">
        <x:f>IF(ISNUMBER('Source selection'!F24),'Source selection'!F24,"")</x:f>
      </x:c>
      <x:c r="K32" s="67"/>
      <x:c r="L32" s="67"/>
      <x:c r="M32" s="67"/>
      <x:c r="N32" s="67"/>
      <x:c r="O32" s="67"/>
      <x:c r="P32" s="67"/>
      <x:c r="Q32" s="67"/>
      <x:c r="R32" s="67"/>
      <x:c r="S32" s="67"/>
      <x:c r="T32" s="3" t="str">
        <x:v>Working comparator; not approved</x:v>
      </x:c>
      <x:c r="U32" s="3" t="str">
        <x:v>Source selection → Evidence</x:v>
      </x:c>
      <x:c r="V32" s="3" t="str">
        <x:v>Manish reconciles scope/revisions; Nigel accepts source.</x:v>
      </x:c>
    </x:row>
    <x:row r="33" ht="30" customHeight="1">
      <x:c r="A33" s="16" t="str">
        <x:v>Current model marine fuel oil</x:v>
      </x:c>
      <x:c r="B33" s="16" t="str">
        <x:v>million L/year</x:v>
      </x:c>
      <x:c r="C33" s="16" t="str">
        <x:v>Model output</x:v>
      </x:c>
      <x:c r="D33" s="18"/>
      <x:c r="E33" s="16" t="str">
        <x:v>Marine fuel oil only; narrower than national sales. [N024]</x:v>
      </x:c>
      <x:c r="F33" s="29" t="str">
        <x:f>IF(ISNUMBER('Other demand'!F35),'Other demand'!F35/1,"")</x:f>
      </x:c>
      <x:c r="G33" s="29" t="str">
        <x:f>IF(ISNUMBER('Other demand'!G35),'Other demand'!G35/1,"")</x:f>
      </x:c>
      <x:c r="H33" s="29" t="n">
        <x:f>IF(ISNUMBER('Other demand'!H35),'Other demand'!H35/1,"")</x:f>
        <x:v>1430</x:v>
      </x:c>
      <x:c r="I33" s="29" t="n">
        <x:f>IF(ISNUMBER('Other demand'!I35),'Other demand'!I35/1,"")</x:f>
        <x:v>1426.3747478058353</x:v>
      </x:c>
      <x:c r="J33" s="29" t="n">
        <x:f>IF(ISNUMBER('Other demand'!J35),'Other demand'!J35/1,"")</x:f>
        <x:v>1429.618349765967</x:v>
      </x:c>
      <x:c r="K33" s="29" t="n">
        <x:f>IF(ISNUMBER('Other demand'!K35),'Other demand'!K35/1,"")</x:f>
        <x:v>1433.0929952662048</x:v>
      </x:c>
      <x:c r="L33" s="29" t="n">
        <x:f>IF(ISNUMBER('Other demand'!L35),'Other demand'!L35/1,"")</x:f>
        <x:v>1436.7962645585953</x:v>
      </x:c>
      <x:c r="M33" s="29" t="n">
        <x:f>IF(ISNUMBER('Other demand'!M35),'Other demand'!M35/1,"")</x:f>
        <x:v>1440.7068075295397</x:v>
      </x:c>
      <x:c r="N33" s="29" t="n">
        <x:f>IF(ISNUMBER('Other demand'!N35),'Other demand'!N35/1,"")</x:f>
        <x:v>1444.7974788690221</x:v>
      </x:c>
      <x:c r="O33" s="29" t="n">
        <x:f>IF(ISNUMBER('Other demand'!O35),'Other demand'!O35/1,"")</x:f>
        <x:v>1448.8997650574934</x:v>
      </x:c>
      <x:c r="P33" s="29" t="n">
        <x:f>IF(ISNUMBER('Other demand'!P35),'Other demand'!P35/1,"")</x:f>
        <x:v>1453.01369907358</x:v>
      </x:c>
      <x:c r="Q33" s="29" t="n">
        <x:f>IF(ISNUMBER('Other demand'!Q35),'Other demand'!Q35/1,"")</x:f>
        <x:v>1457.1393139895442</x:v>
      </x:c>
      <x:c r="R33" s="29" t="n">
        <x:f>IF(ISNUMBER('Other demand'!R35),'Other demand'!R35/1,"")</x:f>
        <x:v>1461.2766429715527</x:v>
      </x:c>
      <x:c r="S33" s="29" t="n">
        <x:f>IF(ISNUMBER('Other demand'!S35),'Other demand'!S35/1,"")</x:f>
        <x:v>1465.4257192799441</x:v>
      </x:c>
      <x:c r="T33" s="3" t="str">
        <x:v>2026 vintage; current high_demand case; provisional.</x:v>
      </x:c>
      <x:c r="U33" s="3" t="str">
        <x:v>Other demand row 35 → Model run → Python engine</x:v>
      </x:c>
      <x:c r="V33" s="3" t="str">
        <x:v>Validate inputs and reconcile against observed data.</x:v>
      </x:c>
    </x:row>
    <x:row r="34" ht="8" customHeight="1">
      <x:c r="A34" s="3"/>
      <x:c r="B34" s="3"/>
      <x:c r="C34" s="3"/>
      <x:c r="D34" s="3"/>
      <x:c r="E34" s="3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3"/>
      <x:c r="U34" s="3"/>
      <x:c r="V34" s="3"/>
    </x:row>
    <x:row r="35" ht="30" customHeight="1">
      <x:c r="A35" s="10" t="str">
        <x:v>Baseline selection</x:v>
      </x:c>
      <x:c r="B35" s="10" t="str">
        <x:v>decision</x:v>
      </x:c>
      <x:c r="C35" s="10" t="str">
        <x:v>Missing input</x:v>
      </x:c>
      <x:c r="D35" s="19"/>
      <x:c r="E35" s="10" t="str">
        <x:v>Historical comparator selection is explicit on Source selection.… [N025]</x:v>
      </x:c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" t="str">
        <x:v>Review before calibration.</x:v>
      </x:c>
      <x:c r="U35" s="3" t="str"/>
      <x:c r="V35" s="3" t="str">
        <x:v>Nigel selects baseline after Manish reconciliation.</x:v>
      </x:c>
    </x:row>
    <x:row r="36" ht="30" customHeight="1">
      <x:c r="A36" s="65" t="str">
        <x:v>Latest partial periods</x:v>
      </x:c>
      <x:c r="B36" s="65" t="str">
        <x:v>reading note</x:v>
      </x:c>
      <x:c r="C36" s="65" t="str">
        <x:v>Evidence note</x:v>
      </x:c>
      <x:c r="D36" s="66"/>
      <x:c r="E36" s="65" t="str">
        <x:v>Full annual observations occupy year columns. A separate D value… [N026]</x:v>
      </x:c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3" t="str">
        <x:v>FY OCGT explicitly uses year ending March.</x:v>
      </x:c>
      <x:c r="U36" s="3" t="str"/>
      <x:c r="V36" s="3" t="str">
        <x:v>Do not annualise partial 2026 observations silently.</x:v>
      </x:c>
    </x:row>
    <x:row r="37" ht="30" customHeight="1">
      <x:c r="A37" s="65" t="str">
        <x:v>Run provenance</x:v>
      </x:c>
      <x:c r="B37" s="65" t="str">
        <x:v>record</x:v>
      </x:c>
      <x:c r="C37" s="65" t="str">
        <x:v>Evidence note</x:v>
      </x:c>
      <x:c r="D37" s="66"/>
      <x:c r="E37" s="65" t="str">
        <x:v>Commit 8c69f8333192483f19cd80911cb90fcd0943eb6b; vintage 2026;… [N027]</x:v>
      </x:c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3" t="str">
        <x:v>54 open governance exceptions at preparation.</x:v>
      </x:c>
      <x:c r="U37" s="3" t="str">
        <x:v>https://github.com/Africa-International-Advisors/liq… [N028]</x:v>
      </x:c>
      <x:c r="V37" s="3" t="str">
        <x:v>Outputs remain provisional.</x:v>
      </x:c>
    </x:row>
    <x:row r="38" ht="8" customHeight="1">
      <x:c r="A38" s="3"/>
      <x:c r="B38" s="3"/>
      <x:c r="C38" s="3"/>
      <x:c r="D38" s="3"/>
      <x:c r="E38" s="3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3"/>
      <x:c r="U38" s="3"/>
      <x:c r="V38" s="3"/>
    </x:row>
    <x:row r="39" ht="8" customHeight="1">
      <x:c r="A39" s="3"/>
      <x:c r="B39" s="3"/>
      <x:c r="C39" s="3"/>
      <x:c r="D39" s="3"/>
      <x:c r="E39" s="3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3"/>
      <x:c r="U39" s="3"/>
      <x:c r="V39" s="3"/>
    </x:row>
    <x:row r="40" ht="8" customHeight="1">
      <x:c r="A40" s="3"/>
      <x:c r="B40" s="3"/>
      <x:c r="C40" s="3"/>
      <x:c r="D40" s="3"/>
      <x:c r="E40" s="3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3"/>
      <x:c r="U40" s="3"/>
      <x:c r="V40" s="3"/>
    </x:row>
    <x:row r="41" ht="8" customHeight="1">
      <x:c r="A41" s="3"/>
      <x:c r="B41" s="3"/>
      <x:c r="C41" s="3"/>
      <x:c r="D41" s="3"/>
      <x:c r="E41" s="3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3"/>
      <x:c r="U41" s="3"/>
      <x:c r="V41" s="3"/>
    </x:row>
    <x:row r="42" ht="8" customHeight="1">
      <x:c r="A42" s="3"/>
      <x:c r="B42" s="3"/>
      <x:c r="C42" s="3"/>
      <x:c r="D42" s="3"/>
      <x:c r="E42" s="3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3"/>
      <x:c r="U42" s="3"/>
      <x:c r="V42" s="3"/>
    </x:row>
    <x:row r="43" ht="8" customHeight="1">
      <x:c r="A43" s="3"/>
      <x:c r="B43" s="3"/>
      <x:c r="C43" s="3"/>
      <x:c r="D43" s="3"/>
      <x:c r="E43" s="3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3"/>
      <x:c r="U43" s="3"/>
      <x:c r="V43" s="3"/>
    </x:row>
    <x:row r="44" ht="8" customHeight="1">
      <x:c r="A44" s="3"/>
      <x:c r="B44" s="3"/>
      <x:c r="C44" s="3"/>
      <x:c r="D44" s="3"/>
      <x:c r="E44" s="3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3"/>
      <x:c r="U44" s="3"/>
      <x:c r="V44" s="3"/>
    </x:row>
    <x:row r="45" ht="8" customHeight="1">
      <x:c r="A45" s="3"/>
      <x:c r="B45" s="3"/>
      <x:c r="C45" s="3"/>
      <x:c r="D45" s="3"/>
      <x:c r="E45" s="3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3"/>
      <x:c r="U45" s="3"/>
      <x:c r="V45" s="3"/>
    </x:row>
    <x:row r="46" ht="8" customHeight="1">
      <x:c r="A46" s="3"/>
      <x:c r="B46" s="3"/>
      <x:c r="C46" s="3"/>
      <x:c r="D46" s="3"/>
      <x:c r="E46" s="3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3"/>
      <x:c r="U46" s="3"/>
      <x:c r="V46" s="3"/>
    </x:row>
    <x:row r="47" ht="8" customHeight="1">
      <x:c r="A47" s="3"/>
      <x:c r="B47" s="3"/>
      <x:c r="C47" s="3"/>
      <x:c r="D47" s="3"/>
      <x:c r="E47" s="3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3"/>
      <x:c r="U47" s="3"/>
      <x:c r="V47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5" hidden="0" customWidth="1"/>
    <x:col min="2" max="2" width="10" hidden="0" customWidth="1"/>
    <x:col min="3" max="3" width="18.75" hidden="0" customWidth="1"/>
    <x:col min="4" max="4" width="21.25" hidden="0" customWidth="1"/>
    <x:col min="5" max="5" width="22.5" hidden="0" customWidth="1"/>
    <x:col min="6" max="6" width="20" hidden="0" customWidth="1"/>
    <x:col min="7" max="7" width="36.25" hidden="0" customWidth="1"/>
    <x:col min="8" max="8" width="15" hidden="0" customWidth="1"/>
    <x:col min="9" max="9" width="46.25" hidden="0" customWidth="1"/>
    <x:col min="10" max="10" width="31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  <x:col min="15" max="15" width="16.25" hidden="0" customWidth="1"/>
    <x:col min="16" max="16" width="16.25" hidden="0" customWidth="1"/>
    <x:col min="17" max="17" width="16.25" hidden="0" customWidth="1"/>
    <x:col min="18" max="18" width="16.25" hidden="0" customWidth="1"/>
    <x:col min="19" max="19" width="16.25" hidden="0" customWidth="1"/>
    <x:col min="20" max="20" width="37.5" hidden="0" customWidth="1"/>
    <x:col min="21" max="21" width="48.75" hidden="0" customWidth="1"/>
    <x:col min="22" max="22" width="40" hidden="0" customWidth="1"/>
  </x:cols>
  <x:sheetData>
    <x:row r="1" ht="30" customHeight="1">
      <x:c r="A1" s="81" t="str">
        <x:v>Source selection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6" t="str">
        <x:v>Working comparator choice per fuel/year • FIASA retains the previous comparison; no business approval inferred.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7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40" customHeight="1">
      <x:c r="A4" s="83" t="str">
        <x:v>Product</x:v>
      </x:c>
      <x:c r="B4" s="83" t="str">
        <x:v>Year</x:v>
      </x:c>
      <x:c r="C4" s="83" t="str">
        <x:v>FIASA candidate</x:v>
      </x:c>
      <x:c r="D4" s="83" t="str">
        <x:v>Department candidate</x:v>
      </x:c>
      <x:c r="E4" s="83" t="str">
        <x:v>Working selection</x:v>
      </x:c>
      <x:c r="F4" s="83" t="str">
        <x:v>Selected million L</x:v>
      </x:c>
      <x:c r="G4" s="83" t="str">
        <x:v>Availability / review</x:v>
      </x:c>
      <x:c r="H4" s="83" t="str">
        <x:v>Owner</x:v>
      </x:c>
      <x:c r="I4" s="83" t="str">
        <x:v>Decision basis</x:v>
      </x:c>
      <x:c r="J4" s="83" t="str">
        <x:v>Review trigger</x:v>
      </x:c>
      <x:c r="K4" s="83"/>
      <x:c r="L4" s="83"/>
      <x:c r="M4" s="83"/>
      <x:c r="N4" s="83"/>
      <x:c r="O4" s="83"/>
      <x:c r="P4" s="83"/>
      <x:c r="Q4" s="83"/>
      <x:c r="R4" s="83"/>
      <x:c r="S4" s="83"/>
      <x:c r="T4" s="83"/>
      <x:c r="U4" s="83"/>
      <x:c r="V4" s="83"/>
    </x:row>
    <x:row r="5" ht="70" customHeight="1">
      <x:c r="A5" s="3" t="str">
        <x:v>petrol</x:v>
      </x:c>
      <x:c r="B5" s="20" t="n">
        <x:v>2022</x:v>
      </x:c>
      <x:c r="C5" s="13" t="n">
        <x:f>IF(ISNUMBER('Evidence'!F5),'Evidence'!F5,"")</x:f>
        <x:v>9185</x:v>
      </x:c>
      <x:c r="D5" s="13" t="n">
        <x:f>IF(ISNUMBER('Evidence'!F6),'Evidence'!F6,"")</x:f>
        <x:v>9184.869915573</x:v>
      </x:c>
      <x:c r="E5" s="13" t="str">
        <x:v>FIASA</x:v>
      </x:c>
      <x:c r="F5" s="13" t="n">
        <x:f>IF(E5="FIASA",IF(ISNUMBER(C5),C5,""),IF(E5="Department",IF(ISNUMBER(D5),D5,""),""))</x:f>
        <x:v>9185</x:v>
      </x:c>
      <x:c r="G5" s="13" t="str">
        <x:f>IF(E5="Unresolved","No source selected",IF(ISNUMBER(F5),"Working choice - awaiting review","Selected source missing"))</x:f>
        <x:v>Working choice - awaiting review</x:v>
      </x:c>
      <x:c r="H5" s="13" t="str">
        <x:v>Nigel / Manish</x:v>
      </x:c>
      <x:c r="I5" s="13" t="str">
        <x:v>Working comparator only; retain prior FIASA comparison pending reconciliation.</x:v>
      </x:c>
      <x:c r="J5" s="13" t="str">
        <x:v>Before baseline acceptance</x:v>
      </x:c>
      <x:c r="K5" s="26"/>
      <x:c r="L5" s="26"/>
      <x:c r="M5" s="26"/>
      <x:c r="N5" s="26"/>
      <x:c r="O5" s="26"/>
      <x:c r="P5" s="26"/>
      <x:c r="Q5" s="26"/>
      <x:c r="R5" s="26"/>
      <x:c r="S5" s="26"/>
      <x:c r="T5" s="3"/>
      <x:c r="U5" s="3"/>
      <x:c r="V5" s="3"/>
    </x:row>
    <x:row r="6" ht="70" customHeight="1">
      <x:c r="A6" s="3" t="str">
        <x:v>petrol</x:v>
      </x:c>
      <x:c r="B6" s="20" t="n">
        <x:v>2023</x:v>
      </x:c>
      <x:c r="C6" s="13" t="n">
        <x:f>IF(ISNUMBER('Evidence'!G5),'Evidence'!G5,"")</x:f>
        <x:v>9037</x:v>
      </x:c>
      <x:c r="D6" s="13" t="n">
        <x:f>IF(ISNUMBER('Evidence'!G6),'Evidence'!G6,"")</x:f>
        <x:v>9036.950113492001</x:v>
      </x:c>
      <x:c r="E6" s="13" t="str">
        <x:v>FIASA</x:v>
      </x:c>
      <x:c r="F6" s="13" t="n">
        <x:f>IF(E6="FIASA",IF(ISNUMBER(C6),C6,""),IF(E6="Department",IF(ISNUMBER(D6),D6,""),""))</x:f>
        <x:v>9037</x:v>
      </x:c>
      <x:c r="G6" s="13" t="str">
        <x:f>IF(E6="Unresolved","No source selected",IF(ISNUMBER(F6),"Working choice - awaiting review","Selected source missing"))</x:f>
        <x:v>Working choice - awaiting review</x:v>
      </x:c>
      <x:c r="H6" s="13" t="str">
        <x:v>Nigel / Manish</x:v>
      </x:c>
      <x:c r="I6" s="13" t="str">
        <x:v>Working comparator only; retain prior FIASA comparison pending reconciliation.</x:v>
      </x:c>
      <x:c r="J6" s="13" t="str">
        <x:v>Before baseline acceptance</x:v>
      </x:c>
      <x:c r="K6" s="26"/>
      <x:c r="L6" s="26"/>
      <x:c r="M6" s="26"/>
      <x:c r="N6" s="26"/>
      <x:c r="O6" s="26"/>
      <x:c r="P6" s="26"/>
      <x:c r="Q6" s="26"/>
      <x:c r="R6" s="26"/>
      <x:c r="S6" s="26"/>
      <x:c r="T6" s="3"/>
      <x:c r="U6" s="3"/>
      <x:c r="V6" s="3"/>
    </x:row>
    <x:row r="7" ht="70" customHeight="1">
      <x:c r="A7" s="3" t="str">
        <x:v>petrol</x:v>
      </x:c>
      <x:c r="B7" s="20" t="n">
        <x:v>2024</x:v>
      </x:c>
      <x:c r="C7" s="13" t="n">
        <x:f>IF(ISNUMBER('Evidence'!H5),'Evidence'!H5,"")</x:f>
        <x:v>9029</x:v>
      </x:c>
      <x:c r="D7" s="13" t="str">
        <x:f>IF(ISNUMBER('Evidence'!H6),'Evidence'!H6,"")</x:f>
      </x:c>
      <x:c r="E7" s="13" t="str">
        <x:v>FIASA</x:v>
      </x:c>
      <x:c r="F7" s="13" t="n">
        <x:f>IF(E7="FIASA",IF(ISNUMBER(C7),C7,""),IF(E7="Department",IF(ISNUMBER(D7),D7,""),""))</x:f>
        <x:v>9029</x:v>
      </x:c>
      <x:c r="G7" s="13" t="str">
        <x:f>IF(E7="Unresolved","No source selected",IF(ISNUMBER(F7),"Working choice - awaiting review","Selected source missing"))</x:f>
        <x:v>Working choice - awaiting review</x:v>
      </x:c>
      <x:c r="H7" s="13" t="str">
        <x:v>Nigel / Manish</x:v>
      </x:c>
      <x:c r="I7" s="13" t="str">
        <x:v>Working comparator only; retain prior FIASA comparison pending reconciliation.</x:v>
      </x:c>
      <x:c r="J7" s="13" t="str">
        <x:v>Before baseline acceptance</x:v>
      </x:c>
      <x:c r="K7" s="26"/>
      <x:c r="L7" s="26"/>
      <x:c r="M7" s="26"/>
      <x:c r="N7" s="26"/>
      <x:c r="O7" s="26"/>
      <x:c r="P7" s="26"/>
      <x:c r="Q7" s="26"/>
      <x:c r="R7" s="26"/>
      <x:c r="S7" s="26"/>
      <x:c r="T7" s="3"/>
      <x:c r="U7" s="3"/>
      <x:c r="V7" s="3"/>
    </x:row>
    <x:row r="8" ht="70" customHeight="1">
      <x:c r="A8" s="3" t="str">
        <x:v>petrol</x:v>
      </x:c>
      <x:c r="B8" s="20" t="n">
        <x:v>2025</x:v>
      </x:c>
      <x:c r="C8" s="13" t="str">
        <x:f>IF(ISNUMBER('Evidence'!I5),'Evidence'!I5,"")</x:f>
      </x:c>
      <x:c r="D8" s="13" t="str">
        <x:f>IF(ISNUMBER('Evidence'!I6),'Evidence'!I6,"")</x:f>
      </x:c>
      <x:c r="E8" s="13" t="str">
        <x:v>Unresolved</x:v>
      </x:c>
      <x:c r="F8" s="13" t="str">
        <x:f>IF(E8="FIASA",IF(ISNUMBER(C8),C8,""),IF(E8="Department",IF(ISNUMBER(D8),D8,""),""))</x:f>
      </x:c>
      <x:c r="G8" s="13" t="str">
        <x:f>IF(E8="Unresolved","No source selected",IF(ISNUMBER(F8),"Working choice - awaiting review","Selected source missing"))</x:f>
        <x:v>No source selected</x:v>
      </x:c>
      <x:c r="H8" s="13" t="str">
        <x:v>Nigel / Manish</x:v>
      </x:c>
      <x:c r="I8" s="13" t="str">
        <x:v>Working comparator only; retain prior FIASA comparison pending reconciliation.</x:v>
      </x:c>
      <x:c r="J8" s="13" t="str">
        <x:v>Before baseline acceptance</x:v>
      </x:c>
      <x:c r="K8" s="26"/>
      <x:c r="L8" s="26"/>
      <x:c r="M8" s="26"/>
      <x:c r="N8" s="26"/>
      <x:c r="O8" s="26"/>
      <x:c r="P8" s="26"/>
      <x:c r="Q8" s="26"/>
      <x:c r="R8" s="26"/>
      <x:c r="S8" s="26"/>
      <x:c r="T8" s="3"/>
      <x:c r="U8" s="3"/>
      <x:c r="V8" s="3"/>
    </x:row>
    <x:row r="9" ht="70" customHeight="1">
      <x:c r="A9" s="3" t="str">
        <x:v>petrol</x:v>
      </x:c>
      <x:c r="B9" s="20" t="n">
        <x:v>2026</x:v>
      </x:c>
      <x:c r="C9" s="13" t="str">
        <x:f>IF(ISNUMBER('Evidence'!J5),'Evidence'!J5,"")</x:f>
      </x:c>
      <x:c r="D9" s="13" t="str">
        <x:f>IF(ISNUMBER('Evidence'!J6),'Evidence'!J6,"")</x:f>
      </x:c>
      <x:c r="E9" s="13" t="str">
        <x:v>Unresolved</x:v>
      </x:c>
      <x:c r="F9" s="13" t="str">
        <x:f>IF(E9="FIASA",IF(ISNUMBER(C9),C9,""),IF(E9="Department",IF(ISNUMBER(D9),D9,""),""))</x:f>
      </x:c>
      <x:c r="G9" s="13" t="str">
        <x:f>IF(E9="Unresolved","No source selected",IF(ISNUMBER(F9),"Working choice - awaiting review","Selected source missing"))</x:f>
        <x:v>No source selected</x:v>
      </x:c>
      <x:c r="H9" s="13" t="str">
        <x:v>Nigel / Manish</x:v>
      </x:c>
      <x:c r="I9" s="13" t="str">
        <x:v>Working comparator only; retain prior FIASA comparison pending reconciliation.</x:v>
      </x:c>
      <x:c r="J9" s="13" t="str">
        <x:v>Before baseline acceptance</x:v>
      </x:c>
      <x:c r="K9" s="26"/>
      <x:c r="L9" s="26"/>
      <x:c r="M9" s="26"/>
      <x:c r="N9" s="26"/>
      <x:c r="O9" s="26"/>
      <x:c r="P9" s="26"/>
      <x:c r="Q9" s="26"/>
      <x:c r="R9" s="26"/>
      <x:c r="S9" s="26"/>
      <x:c r="T9" s="3"/>
      <x:c r="U9" s="3"/>
      <x:c r="V9" s="3"/>
    </x:row>
    <x:row r="10" ht="70" customHeight="1">
      <x:c r="A10" s="3" t="str">
        <x:v>diesel</x:v>
      </x:c>
      <x:c r="B10" s="20" t="n">
        <x:v>2022</x:v>
      </x:c>
      <x:c r="C10" s="13" t="n">
        <x:f>IF(ISNUMBER('Evidence'!F7),'Evidence'!F7,"")</x:f>
        <x:v>12717</x:v>
      </x:c>
      <x:c r="D10" s="13" t="n">
        <x:f>IF(ISNUMBER('Evidence'!F8),'Evidence'!F8,"")</x:f>
        <x:v>12717.326319019</x:v>
      </x:c>
      <x:c r="E10" s="13" t="str">
        <x:v>FIASA</x:v>
      </x:c>
      <x:c r="F10" s="13" t="n">
        <x:f>IF(E10="FIASA",IF(ISNUMBER(C10),C10,""),IF(E10="Department",IF(ISNUMBER(D10),D10,""),""))</x:f>
        <x:v>12717</x:v>
      </x:c>
      <x:c r="G10" s="13" t="str">
        <x:f>IF(E10="Unresolved","No source selected",IF(ISNUMBER(F10),"Working choice - awaiting review","Selected source missing"))</x:f>
        <x:v>Working choice - awaiting review</x:v>
      </x:c>
      <x:c r="H10" s="13" t="str">
        <x:v>Nigel / Manish</x:v>
      </x:c>
      <x:c r="I10" s="13" t="str">
        <x:v>Working comparator only; retain prior FIASA comparison pending reconciliation.</x:v>
      </x:c>
      <x:c r="J10" s="13" t="str">
        <x:v>Before baseline acceptance</x:v>
      </x:c>
      <x:c r="K10" s="26"/>
      <x:c r="L10" s="26"/>
      <x:c r="M10" s="26"/>
      <x:c r="N10" s="26"/>
      <x:c r="O10" s="26"/>
      <x:c r="P10" s="26"/>
      <x:c r="Q10" s="26"/>
      <x:c r="R10" s="26"/>
      <x:c r="S10" s="26"/>
      <x:c r="T10" s="3"/>
      <x:c r="U10" s="3"/>
      <x:c r="V10" s="3"/>
    </x:row>
    <x:row r="11" ht="70" customHeight="1">
      <x:c r="A11" s="3" t="str">
        <x:v>diesel</x:v>
      </x:c>
      <x:c r="B11" s="20" t="n">
        <x:v>2023</x:v>
      </x:c>
      <x:c r="C11" s="13" t="n">
        <x:f>IF(ISNUMBER('Evidence'!G7),'Evidence'!G7,"")</x:f>
        <x:v>12907</x:v>
      </x:c>
      <x:c r="D11" s="13" t="n">
        <x:f>IF(ISNUMBER('Evidence'!G8),'Evidence'!G8,"")</x:f>
        <x:v>12907.499965808001</x:v>
      </x:c>
      <x:c r="E11" s="13" t="str">
        <x:v>FIASA</x:v>
      </x:c>
      <x:c r="F11" s="13" t="n">
        <x:f>IF(E11="FIASA",IF(ISNUMBER(C11),C11,""),IF(E11="Department",IF(ISNUMBER(D11),D11,""),""))</x:f>
        <x:v>12907</x:v>
      </x:c>
      <x:c r="G11" s="13" t="str">
        <x:f>IF(E11="Unresolved","No source selected",IF(ISNUMBER(F11),"Working choice - awaiting review","Selected source missing"))</x:f>
        <x:v>Working choice - awaiting review</x:v>
      </x:c>
      <x:c r="H11" s="13" t="str">
        <x:v>Nigel / Manish</x:v>
      </x:c>
      <x:c r="I11" s="13" t="str">
        <x:v>Working comparator only; retain prior FIASA comparison pending reconciliation.</x:v>
      </x:c>
      <x:c r="J11" s="13" t="str">
        <x:v>Before baseline acceptance</x:v>
      </x:c>
      <x:c r="K11" s="26"/>
      <x:c r="L11" s="26"/>
      <x:c r="M11" s="26"/>
      <x:c r="N11" s="26"/>
      <x:c r="O11" s="26"/>
      <x:c r="P11" s="26"/>
      <x:c r="Q11" s="26"/>
      <x:c r="R11" s="26"/>
      <x:c r="S11" s="26"/>
      <x:c r="T11" s="3"/>
      <x:c r="U11" s="3"/>
      <x:c r="V11" s="3"/>
    </x:row>
    <x:row r="12" ht="70" customHeight="1">
      <x:c r="A12" s="3" t="str">
        <x:v>diesel</x:v>
      </x:c>
      <x:c r="B12" s="20" t="n">
        <x:v>2024</x:v>
      </x:c>
      <x:c r="C12" s="13" t="n">
        <x:f>IF(ISNUMBER('Evidence'!H7),'Evidence'!H7,"")</x:f>
        <x:v>11734</x:v>
      </x:c>
      <x:c r="D12" s="13" t="str">
        <x:f>IF(ISNUMBER('Evidence'!H8),'Evidence'!H8,"")</x:f>
      </x:c>
      <x:c r="E12" s="13" t="str">
        <x:v>FIASA</x:v>
      </x:c>
      <x:c r="F12" s="13" t="n">
        <x:f>IF(E12="FIASA",IF(ISNUMBER(C12),C12,""),IF(E12="Department",IF(ISNUMBER(D12),D12,""),""))</x:f>
        <x:v>11734</x:v>
      </x:c>
      <x:c r="G12" s="13" t="str">
        <x:f>IF(E12="Unresolved","No source selected",IF(ISNUMBER(F12),"Working choice - awaiting review","Selected source missing"))</x:f>
        <x:v>Working choice - awaiting review</x:v>
      </x:c>
      <x:c r="H12" s="13" t="str">
        <x:v>Nigel / Manish</x:v>
      </x:c>
      <x:c r="I12" s="13" t="str">
        <x:v>Working comparator only; retain prior FIASA comparison pending reconciliation.</x:v>
      </x:c>
      <x:c r="J12" s="13" t="str">
        <x:v>Before baseline acceptance</x:v>
      </x:c>
      <x:c r="K12" s="26"/>
      <x:c r="L12" s="26"/>
      <x:c r="M12" s="26"/>
      <x:c r="N12" s="26"/>
      <x:c r="O12" s="26"/>
      <x:c r="P12" s="26"/>
      <x:c r="Q12" s="26"/>
      <x:c r="R12" s="26"/>
      <x:c r="S12" s="26"/>
      <x:c r="T12" s="3"/>
      <x:c r="U12" s="3"/>
      <x:c r="V12" s="3"/>
    </x:row>
    <x:row r="13" ht="70" customHeight="1">
      <x:c r="A13" s="3" t="str">
        <x:v>diesel</x:v>
      </x:c>
      <x:c r="B13" s="20" t="n">
        <x:v>2025</x:v>
      </x:c>
      <x:c r="C13" s="13" t="str">
        <x:f>IF(ISNUMBER('Evidence'!I7),'Evidence'!I7,"")</x:f>
      </x:c>
      <x:c r="D13" s="13" t="str">
        <x:f>IF(ISNUMBER('Evidence'!I8),'Evidence'!I8,"")</x:f>
      </x:c>
      <x:c r="E13" s="13" t="str">
        <x:v>Unresolved</x:v>
      </x:c>
      <x:c r="F13" s="13" t="str">
        <x:f>IF(E13="FIASA",IF(ISNUMBER(C13),C13,""),IF(E13="Department",IF(ISNUMBER(D13),D13,""),""))</x:f>
      </x:c>
      <x:c r="G13" s="13" t="str">
        <x:f>IF(E13="Unresolved","No source selected",IF(ISNUMBER(F13),"Working choice - awaiting review","Selected source missing"))</x:f>
        <x:v>No source selected</x:v>
      </x:c>
      <x:c r="H13" s="13" t="str">
        <x:v>Nigel / Manish</x:v>
      </x:c>
      <x:c r="I13" s="13" t="str">
        <x:v>Working comparator only; retain prior FIASA comparison pending reconciliation.</x:v>
      </x:c>
      <x:c r="J13" s="13" t="str">
        <x:v>Before baseline acceptance</x:v>
      </x:c>
      <x:c r="K13" s="26"/>
      <x:c r="L13" s="26"/>
      <x:c r="M13" s="26"/>
      <x:c r="N13" s="26"/>
      <x:c r="O13" s="26"/>
      <x:c r="P13" s="26"/>
      <x:c r="Q13" s="26"/>
      <x:c r="R13" s="26"/>
      <x:c r="S13" s="26"/>
      <x:c r="T13" s="3"/>
      <x:c r="U13" s="3"/>
      <x:c r="V13" s="3"/>
    </x:row>
    <x:row r="14" ht="70" customHeight="1">
      <x:c r="A14" s="3" t="str">
        <x:v>diesel</x:v>
      </x:c>
      <x:c r="B14" s="20" t="n">
        <x:v>2026</x:v>
      </x:c>
      <x:c r="C14" s="13" t="str">
        <x:f>IF(ISNUMBER('Evidence'!J7),'Evidence'!J7,"")</x:f>
      </x:c>
      <x:c r="D14" s="13" t="str">
        <x:f>IF(ISNUMBER('Evidence'!J8),'Evidence'!J8,"")</x:f>
      </x:c>
      <x:c r="E14" s="13" t="str">
        <x:v>Unresolved</x:v>
      </x:c>
      <x:c r="F14" s="13" t="str">
        <x:f>IF(E14="FIASA",IF(ISNUMBER(C14),C14,""),IF(E14="Department",IF(ISNUMBER(D14),D14,""),""))</x:f>
      </x:c>
      <x:c r="G14" s="13" t="str">
        <x:f>IF(E14="Unresolved","No source selected",IF(ISNUMBER(F14),"Working choice - awaiting review","Selected source missing"))</x:f>
        <x:v>No source selected</x:v>
      </x:c>
      <x:c r="H14" s="13" t="str">
        <x:v>Nigel / Manish</x:v>
      </x:c>
      <x:c r="I14" s="13" t="str">
        <x:v>Working comparator only; retain prior FIASA comparison pending reconciliation.</x:v>
      </x:c>
      <x:c r="J14" s="13" t="str">
        <x:v>Before baseline acceptance</x:v>
      </x:c>
      <x:c r="K14" s="26"/>
      <x:c r="L14" s="26"/>
      <x:c r="M14" s="26"/>
      <x:c r="N14" s="26"/>
      <x:c r="O14" s="26"/>
      <x:c r="P14" s="26"/>
      <x:c r="Q14" s="26"/>
      <x:c r="R14" s="26"/>
      <x:c r="S14" s="26"/>
      <x:c r="T14" s="3"/>
      <x:c r="U14" s="3"/>
      <x:c r="V14" s="3"/>
    </x:row>
    <x:row r="15" ht="70" customHeight="1">
      <x:c r="A15" s="3" t="str">
        <x:v>jet</x:v>
      </x:c>
      <x:c r="B15" s="20" t="n">
        <x:v>2022</x:v>
      </x:c>
      <x:c r="C15" s="13" t="n">
        <x:f>IF(ISNUMBER('Evidence'!F9),'Evidence'!F9,"")</x:f>
        <x:v>1478</x:v>
      </x:c>
      <x:c r="D15" s="13" t="n">
        <x:f>IF(ISNUMBER('Evidence'!F10),'Evidence'!F10,"")</x:f>
        <x:v>1478.149852603</x:v>
      </x:c>
      <x:c r="E15" s="13" t="str">
        <x:v>FIASA</x:v>
      </x:c>
      <x:c r="F15" s="13" t="n">
        <x:f>IF(E15="FIASA",IF(ISNUMBER(C15),C15,""),IF(E15="Department",IF(ISNUMBER(D15),D15,""),""))</x:f>
        <x:v>1478</x:v>
      </x:c>
      <x:c r="G15" s="13" t="str">
        <x:f>IF(E15="Unresolved","No source selected",IF(ISNUMBER(F15),"Working choice - awaiting review","Selected source missing"))</x:f>
        <x:v>Working choice - awaiting review</x:v>
      </x:c>
      <x:c r="H15" s="13" t="str">
        <x:v>Nigel / Manish</x:v>
      </x:c>
      <x:c r="I15" s="13" t="str">
        <x:v>Working comparator only; retain prior FIASA comparison pending reconciliation.</x:v>
      </x:c>
      <x:c r="J15" s="13" t="str">
        <x:v>Before baseline acceptance</x:v>
      </x:c>
      <x:c r="K15" s="26"/>
      <x:c r="L15" s="26"/>
      <x:c r="M15" s="26"/>
      <x:c r="N15" s="26"/>
      <x:c r="O15" s="26"/>
      <x:c r="P15" s="26"/>
      <x:c r="Q15" s="26"/>
      <x:c r="R15" s="26"/>
      <x:c r="S15" s="26"/>
      <x:c r="T15" s="3"/>
      <x:c r="U15" s="3"/>
      <x:c r="V15" s="3"/>
    </x:row>
    <x:row r="16" ht="70" customHeight="1">
      <x:c r="A16" s="3" t="str">
        <x:v>jet</x:v>
      </x:c>
      <x:c r="B16" s="20" t="n">
        <x:v>2023</x:v>
      </x:c>
      <x:c r="C16" s="13" t="n">
        <x:f>IF(ISNUMBER('Evidence'!G9),'Evidence'!G9,"")</x:f>
        <x:v>1844</x:v>
      </x:c>
      <x:c r="D16" s="13" t="n">
        <x:f>IF(ISNUMBER('Evidence'!G10),'Evidence'!G10,"")</x:f>
        <x:v>1843.971762465</x:v>
      </x:c>
      <x:c r="E16" s="13" t="str">
        <x:v>FIASA</x:v>
      </x:c>
      <x:c r="F16" s="13" t="n">
        <x:f>IF(E16="FIASA",IF(ISNUMBER(C16),C16,""),IF(E16="Department",IF(ISNUMBER(D16),D16,""),""))</x:f>
        <x:v>1844</x:v>
      </x:c>
      <x:c r="G16" s="13" t="str">
        <x:f>IF(E16="Unresolved","No source selected",IF(ISNUMBER(F16),"Working choice - awaiting review","Selected source missing"))</x:f>
        <x:v>Working choice - awaiting review</x:v>
      </x:c>
      <x:c r="H16" s="13" t="str">
        <x:v>Nigel / Manish</x:v>
      </x:c>
      <x:c r="I16" s="13" t="str">
        <x:v>Working comparator only; retain prior FIASA comparison pending reconciliation.</x:v>
      </x:c>
      <x:c r="J16" s="13" t="str">
        <x:v>Before baseline acceptance</x:v>
      </x:c>
      <x:c r="K16" s="26"/>
      <x:c r="L16" s="26"/>
      <x:c r="M16" s="26"/>
      <x:c r="N16" s="26"/>
      <x:c r="O16" s="26"/>
      <x:c r="P16" s="26"/>
      <x:c r="Q16" s="26"/>
      <x:c r="R16" s="26"/>
      <x:c r="S16" s="26"/>
      <x:c r="T16" s="3"/>
      <x:c r="U16" s="3"/>
      <x:c r="V16" s="3"/>
    </x:row>
    <x:row r="17" ht="70" customHeight="1">
      <x:c r="A17" s="3" t="str">
        <x:v>jet</x:v>
      </x:c>
      <x:c r="B17" s="20" t="n">
        <x:v>2024</x:v>
      </x:c>
      <x:c r="C17" s="13" t="n">
        <x:f>IF(ISNUMBER('Evidence'!H9),'Evidence'!H9,"")</x:f>
        <x:v>1955</x:v>
      </x:c>
      <x:c r="D17" s="13" t="str">
        <x:f>IF(ISNUMBER('Evidence'!H10),'Evidence'!H10,"")</x:f>
      </x:c>
      <x:c r="E17" s="13" t="str">
        <x:v>FIASA</x:v>
      </x:c>
      <x:c r="F17" s="13" t="n">
        <x:f>IF(E17="FIASA",IF(ISNUMBER(C17),C17,""),IF(E17="Department",IF(ISNUMBER(D17),D17,""),""))</x:f>
        <x:v>1955</x:v>
      </x:c>
      <x:c r="G17" s="13" t="str">
        <x:f>IF(E17="Unresolved","No source selected",IF(ISNUMBER(F17),"Working choice - awaiting review","Selected source missing"))</x:f>
        <x:v>Working choice - awaiting review</x:v>
      </x:c>
      <x:c r="H17" s="13" t="str">
        <x:v>Nigel / Manish</x:v>
      </x:c>
      <x:c r="I17" s="13" t="str">
        <x:v>Working comparator only; retain prior FIASA comparison pending reconciliation.</x:v>
      </x:c>
      <x:c r="J17" s="13" t="str">
        <x:v>Before baseline acceptance</x:v>
      </x:c>
      <x:c r="K17" s="26"/>
      <x:c r="L17" s="26"/>
      <x:c r="M17" s="26"/>
      <x:c r="N17" s="26"/>
      <x:c r="O17" s="26"/>
      <x:c r="P17" s="26"/>
      <x:c r="Q17" s="26"/>
      <x:c r="R17" s="26"/>
      <x:c r="S17" s="26"/>
      <x:c r="T17" s="3"/>
      <x:c r="U17" s="3"/>
      <x:c r="V17" s="3"/>
    </x:row>
    <x:row r="18" ht="70" customHeight="1">
      <x:c r="A18" s="3" t="str">
        <x:v>jet</x:v>
      </x:c>
      <x:c r="B18" s="20" t="n">
        <x:v>2025</x:v>
      </x:c>
      <x:c r="C18" s="13" t="str">
        <x:f>IF(ISNUMBER('Evidence'!I9),'Evidence'!I9,"")</x:f>
      </x:c>
      <x:c r="D18" s="13" t="str">
        <x:f>IF(ISNUMBER('Evidence'!I10),'Evidence'!I10,"")</x:f>
      </x:c>
      <x:c r="E18" s="13" t="str">
        <x:v>Unresolved</x:v>
      </x:c>
      <x:c r="F18" s="13" t="str">
        <x:f>IF(E18="FIASA",IF(ISNUMBER(C18),C18,""),IF(E18="Department",IF(ISNUMBER(D18),D18,""),""))</x:f>
      </x:c>
      <x:c r="G18" s="13" t="str">
        <x:f>IF(E18="Unresolved","No source selected",IF(ISNUMBER(F18),"Working choice - awaiting review","Selected source missing"))</x:f>
        <x:v>No source selected</x:v>
      </x:c>
      <x:c r="H18" s="13" t="str">
        <x:v>Nigel / Manish</x:v>
      </x:c>
      <x:c r="I18" s="13" t="str">
        <x:v>Working comparator only; retain prior FIASA comparison pending reconciliation.</x:v>
      </x:c>
      <x:c r="J18" s="13" t="str">
        <x:v>Before baseline acceptance</x:v>
      </x:c>
      <x:c r="K18" s="26"/>
      <x:c r="L18" s="26"/>
      <x:c r="M18" s="26"/>
      <x:c r="N18" s="26"/>
      <x:c r="O18" s="26"/>
      <x:c r="P18" s="26"/>
      <x:c r="Q18" s="26"/>
      <x:c r="R18" s="26"/>
      <x:c r="S18" s="26"/>
      <x:c r="T18" s="3"/>
      <x:c r="U18" s="3"/>
      <x:c r="V18" s="3"/>
    </x:row>
    <x:row r="19" ht="70" customHeight="1">
      <x:c r="A19" s="3" t="str">
        <x:v>jet</x:v>
      </x:c>
      <x:c r="B19" s="20" t="n">
        <x:v>2026</x:v>
      </x:c>
      <x:c r="C19" s="13" t="str">
        <x:f>IF(ISNUMBER('Evidence'!J9),'Evidence'!J9,"")</x:f>
      </x:c>
      <x:c r="D19" s="13" t="str">
        <x:f>IF(ISNUMBER('Evidence'!J10),'Evidence'!J10,"")</x:f>
      </x:c>
      <x:c r="E19" s="13" t="str">
        <x:v>Unresolved</x:v>
      </x:c>
      <x:c r="F19" s="13" t="str">
        <x:f>IF(E19="FIASA",IF(ISNUMBER(C19),C19,""),IF(E19="Department",IF(ISNUMBER(D19),D19,""),""))</x:f>
      </x:c>
      <x:c r="G19" s="13" t="str">
        <x:f>IF(E19="Unresolved","No source selected",IF(ISNUMBER(F19),"Working choice - awaiting review","Selected source missing"))</x:f>
        <x:v>No source selected</x:v>
      </x:c>
      <x:c r="H19" s="13" t="str">
        <x:v>Nigel / Manish</x:v>
      </x:c>
      <x:c r="I19" s="13" t="str">
        <x:v>Working comparator only; retain prior FIASA comparison pending reconciliation.</x:v>
      </x:c>
      <x:c r="J19" s="13" t="str">
        <x:v>Before baseline acceptance</x:v>
      </x:c>
      <x:c r="K19" s="26"/>
      <x:c r="L19" s="26"/>
      <x:c r="M19" s="26"/>
      <x:c r="N19" s="26"/>
      <x:c r="O19" s="26"/>
      <x:c r="P19" s="26"/>
      <x:c r="Q19" s="26"/>
      <x:c r="R19" s="26"/>
      <x:c r="S19" s="26"/>
      <x:c r="T19" s="3"/>
      <x:c r="U19" s="3"/>
      <x:c r="V19" s="3"/>
    </x:row>
    <x:row r="20" ht="70" customHeight="1">
      <x:c r="A20" s="3" t="str">
        <x:v>fuel_oil</x:v>
      </x:c>
      <x:c r="B20" s="20" t="n">
        <x:v>2022</x:v>
      </x:c>
      <x:c r="C20" s="13" t="n">
        <x:f>IF(ISNUMBER('Evidence'!F11),'Evidence'!F11,"")</x:f>
        <x:v>594</x:v>
      </x:c>
      <x:c r="D20" s="13" t="n">
        <x:f>IF(ISNUMBER('Evidence'!F12),'Evidence'!F12,"")</x:f>
        <x:v>594.0401649620001</x:v>
      </x:c>
      <x:c r="E20" s="13" t="str">
        <x:v>FIASA</x:v>
      </x:c>
      <x:c r="F20" s="13" t="n">
        <x:f>IF(E20="FIASA",IF(ISNUMBER(C20),C20,""),IF(E20="Department",IF(ISNUMBER(D20),D20,""),""))</x:f>
        <x:v>594</x:v>
      </x:c>
      <x:c r="G20" s="13" t="str">
        <x:f>IF(E20="Unresolved","No source selected",IF(ISNUMBER(F20),"Working choice - awaiting review","Selected source missing"))</x:f>
        <x:v>Working choice - awaiting review</x:v>
      </x:c>
      <x:c r="H20" s="13" t="str">
        <x:v>Nigel / Manish</x:v>
      </x:c>
      <x:c r="I20" s="13" t="str">
        <x:v>Working comparator only; retain prior FIASA comparison pending reconciliation.</x:v>
      </x:c>
      <x:c r="J20" s="13" t="str">
        <x:v>Before baseline acceptance</x:v>
      </x:c>
      <x:c r="K20" s="26"/>
      <x:c r="L20" s="26"/>
      <x:c r="M20" s="26"/>
      <x:c r="N20" s="26"/>
      <x:c r="O20" s="26"/>
      <x:c r="P20" s="26"/>
      <x:c r="Q20" s="26"/>
      <x:c r="R20" s="26"/>
      <x:c r="S20" s="26"/>
      <x:c r="T20" s="3"/>
      <x:c r="U20" s="3"/>
      <x:c r="V20" s="3"/>
    </x:row>
    <x:row r="21" ht="70" customHeight="1">
      <x:c r="A21" s="3" t="str">
        <x:v>fuel_oil</x:v>
      </x:c>
      <x:c r="B21" s="20" t="n">
        <x:v>2023</x:v>
      </x:c>
      <x:c r="C21" s="13" t="n">
        <x:f>IF(ISNUMBER('Evidence'!G11),'Evidence'!G11,"")</x:f>
        <x:v>658</x:v>
      </x:c>
      <x:c r="D21" s="13" t="n">
        <x:f>IF(ISNUMBER('Evidence'!G12),'Evidence'!G12,"")</x:f>
        <x:v>658.093041616</x:v>
      </x:c>
      <x:c r="E21" s="13" t="str">
        <x:v>FIASA</x:v>
      </x:c>
      <x:c r="F21" s="13" t="n">
        <x:f>IF(E21="FIASA",IF(ISNUMBER(C21),C21,""),IF(E21="Department",IF(ISNUMBER(D21),D21,""),""))</x:f>
        <x:v>658</x:v>
      </x:c>
      <x:c r="G21" s="13" t="str">
        <x:f>IF(E21="Unresolved","No source selected",IF(ISNUMBER(F21),"Working choice - awaiting review","Selected source missing"))</x:f>
        <x:v>Working choice - awaiting review</x:v>
      </x:c>
      <x:c r="H21" s="13" t="str">
        <x:v>Nigel / Manish</x:v>
      </x:c>
      <x:c r="I21" s="13" t="str">
        <x:v>Working comparator only; retain prior FIASA comparison pending reconciliation.</x:v>
      </x:c>
      <x:c r="J21" s="13" t="str">
        <x:v>Before baseline acceptance</x:v>
      </x:c>
      <x:c r="K21" s="26"/>
      <x:c r="L21" s="26"/>
      <x:c r="M21" s="26"/>
      <x:c r="N21" s="26"/>
      <x:c r="O21" s="26"/>
      <x:c r="P21" s="26"/>
      <x:c r="Q21" s="26"/>
      <x:c r="R21" s="26"/>
      <x:c r="S21" s="26"/>
      <x:c r="T21" s="3"/>
      <x:c r="U21" s="3"/>
      <x:c r="V21" s="3"/>
    </x:row>
    <x:row r="22" ht="70" customHeight="1">
      <x:c r="A22" s="3" t="str">
        <x:v>fuel_oil</x:v>
      </x:c>
      <x:c r="B22" s="20" t="n">
        <x:v>2024</x:v>
      </x:c>
      <x:c r="C22" s="13" t="n">
        <x:f>IF(ISNUMBER('Evidence'!H11),'Evidence'!H11,"")</x:f>
        <x:v>441</x:v>
      </x:c>
      <x:c r="D22" s="13" t="str">
        <x:f>IF(ISNUMBER('Evidence'!H12),'Evidence'!H12,"")</x:f>
      </x:c>
      <x:c r="E22" s="13" t="str">
        <x:v>FIASA</x:v>
      </x:c>
      <x:c r="F22" s="13" t="n">
        <x:f>IF(E22="FIASA",IF(ISNUMBER(C22),C22,""),IF(E22="Department",IF(ISNUMBER(D22),D22,""),""))</x:f>
        <x:v>441</x:v>
      </x:c>
      <x:c r="G22" s="13" t="str">
        <x:f>IF(E22="Unresolved","No source selected",IF(ISNUMBER(F22),"Working choice - awaiting review","Selected source missing"))</x:f>
        <x:v>Working choice - awaiting review</x:v>
      </x:c>
      <x:c r="H22" s="13" t="str">
        <x:v>Nigel / Manish</x:v>
      </x:c>
      <x:c r="I22" s="13" t="str">
        <x:v>Working comparator only; retain prior FIASA comparison pending reconciliation.</x:v>
      </x:c>
      <x:c r="J22" s="13" t="str">
        <x:v>Before baseline acceptance</x:v>
      </x:c>
      <x:c r="K22" s="26"/>
      <x:c r="L22" s="26"/>
      <x:c r="M22" s="26"/>
      <x:c r="N22" s="26"/>
      <x:c r="O22" s="26"/>
      <x:c r="P22" s="26"/>
      <x:c r="Q22" s="26"/>
      <x:c r="R22" s="26"/>
      <x:c r="S22" s="26"/>
      <x:c r="T22" s="3"/>
      <x:c r="U22" s="3"/>
      <x:c r="V22" s="3"/>
    </x:row>
    <x:row r="23" ht="70" customHeight="1">
      <x:c r="A23" s="3" t="str">
        <x:v>fuel_oil</x:v>
      </x:c>
      <x:c r="B23" s="20" t="n">
        <x:v>2025</x:v>
      </x:c>
      <x:c r="C23" s="13" t="str">
        <x:f>IF(ISNUMBER('Evidence'!I11),'Evidence'!I11,"")</x:f>
      </x:c>
      <x:c r="D23" s="13" t="str">
        <x:f>IF(ISNUMBER('Evidence'!I12),'Evidence'!I12,"")</x:f>
      </x:c>
      <x:c r="E23" s="13" t="str">
        <x:v>Unresolved</x:v>
      </x:c>
      <x:c r="F23" s="13" t="str">
        <x:f>IF(E23="FIASA",IF(ISNUMBER(C23),C23,""),IF(E23="Department",IF(ISNUMBER(D23),D23,""),""))</x:f>
      </x:c>
      <x:c r="G23" s="13" t="str">
        <x:f>IF(E23="Unresolved","No source selected",IF(ISNUMBER(F23),"Working choice - awaiting review","Selected source missing"))</x:f>
        <x:v>No source selected</x:v>
      </x:c>
      <x:c r="H23" s="13" t="str">
        <x:v>Nigel / Manish</x:v>
      </x:c>
      <x:c r="I23" s="13" t="str">
        <x:v>Working comparator only; retain prior FIASA comparison pending reconciliation.</x:v>
      </x:c>
      <x:c r="J23" s="13" t="str">
        <x:v>Before baseline acceptance</x:v>
      </x:c>
      <x:c r="K23" s="26"/>
      <x:c r="L23" s="26"/>
      <x:c r="M23" s="26"/>
      <x:c r="N23" s="26"/>
      <x:c r="O23" s="26"/>
      <x:c r="P23" s="26"/>
      <x:c r="Q23" s="26"/>
      <x:c r="R23" s="26"/>
      <x:c r="S23" s="26"/>
      <x:c r="T23" s="3"/>
      <x:c r="U23" s="3"/>
      <x:c r="V23" s="3"/>
    </x:row>
    <x:row r="24" ht="70" customHeight="1">
      <x:c r="A24" s="3" t="str">
        <x:v>fuel_oil</x:v>
      </x:c>
      <x:c r="B24" s="20" t="n">
        <x:v>2026</x:v>
      </x:c>
      <x:c r="C24" s="13" t="str">
        <x:f>IF(ISNUMBER('Evidence'!J11),'Evidence'!J11,"")</x:f>
      </x:c>
      <x:c r="D24" s="13" t="str">
        <x:f>IF(ISNUMBER('Evidence'!J12),'Evidence'!J12,"")</x:f>
      </x:c>
      <x:c r="E24" s="13" t="str">
        <x:v>Unresolved</x:v>
      </x:c>
      <x:c r="F24" s="13" t="str">
        <x:f>IF(E24="FIASA",IF(ISNUMBER(C24),C24,""),IF(E24="Department",IF(ISNUMBER(D24),D24,""),""))</x:f>
      </x:c>
      <x:c r="G24" s="13" t="str">
        <x:f>IF(E24="Unresolved","No source selected",IF(ISNUMBER(F24),"Working choice - awaiting review","Selected source missing"))</x:f>
        <x:v>No source selected</x:v>
      </x:c>
      <x:c r="H24" s="13" t="str">
        <x:v>Nigel / Manish</x:v>
      </x:c>
      <x:c r="I24" s="13" t="str">
        <x:v>Working comparator only; retain prior FIASA comparison pending reconciliation.</x:v>
      </x:c>
      <x:c r="J24" s="13" t="str">
        <x:v>Before baseline acceptance</x:v>
      </x:c>
      <x:c r="K24" s="26"/>
      <x:c r="L24" s="26"/>
      <x:c r="M24" s="26"/>
      <x:c r="N24" s="26"/>
      <x:c r="O24" s="26"/>
      <x:c r="P24" s="26"/>
      <x:c r="Q24" s="26"/>
      <x:c r="R24" s="26"/>
      <x:c r="S24" s="26"/>
      <x:c r="T24" s="3"/>
      <x:c r="U24" s="3"/>
      <x:c r="V24" s="3"/>
    </x:row>
    <x:row r="25" ht="70" customHeight="1">
      <x:c r="A25" s="3"/>
      <x:c r="B25" s="3"/>
      <x:c r="C25" s="3"/>
      <x:c r="D25" s="13"/>
      <x:c r="E25" s="13"/>
      <x:c r="F25" s="13"/>
      <x:c r="G25" s="13"/>
      <x:c r="H25" s="13"/>
      <x:c r="I25" s="13"/>
      <x:c r="J25" s="13"/>
      <x:c r="K25" s="26"/>
      <x:c r="L25" s="26"/>
      <x:c r="M25" s="26"/>
      <x:c r="N25" s="26"/>
      <x:c r="O25" s="26"/>
      <x:c r="P25" s="26"/>
      <x:c r="Q25" s="26"/>
      <x:c r="R25" s="26"/>
      <x:c r="S25" s="26"/>
      <x:c r="T25" s="3"/>
      <x:c r="U25" s="3"/>
      <x:c r="V25" s="3"/>
    </x:row>
    <x:row r="26" ht="70" customHeight="1">
      <x:c r="A26" s="3"/>
      <x:c r="B26" s="3"/>
      <x:c r="C26" s="3"/>
      <x:c r="D26" s="13"/>
      <x:c r="E26" s="13"/>
      <x:c r="F26" s="13"/>
      <x:c r="G26" s="13"/>
      <x:c r="H26" s="13"/>
      <x:c r="I26" s="13"/>
      <x:c r="J26" s="13"/>
      <x:c r="K26" s="26"/>
      <x:c r="L26" s="26"/>
      <x:c r="M26" s="26"/>
      <x:c r="N26" s="26"/>
      <x:c r="O26" s="26"/>
      <x:c r="P26" s="26"/>
      <x:c r="Q26" s="26"/>
      <x:c r="R26" s="26"/>
      <x:c r="S26" s="26"/>
      <x:c r="T26" s="3"/>
      <x:c r="U26" s="3"/>
      <x:c r="V26" s="3"/>
    </x:row>
    <x:row r="27" ht="70" customHeight="1">
      <x:c r="A27" s="3"/>
      <x:c r="B27" s="3"/>
      <x:c r="C27" s="3"/>
      <x:c r="D27" s="13"/>
      <x:c r="E27" s="13"/>
      <x:c r="F27" s="13"/>
      <x:c r="G27" s="13"/>
      <x:c r="H27" s="13"/>
      <x:c r="I27" s="13"/>
      <x:c r="J27" s="13"/>
      <x:c r="K27" s="26"/>
      <x:c r="L27" s="26"/>
      <x:c r="M27" s="26"/>
      <x:c r="N27" s="26"/>
      <x:c r="O27" s="26"/>
      <x:c r="P27" s="26"/>
      <x:c r="Q27" s="26"/>
      <x:c r="R27" s="26"/>
      <x:c r="S27" s="26"/>
      <x:c r="T27" s="3"/>
      <x:c r="U27" s="3"/>
      <x:c r="V27" s="3"/>
    </x:row>
    <x:row r="28" ht="70" customHeight="1">
      <x:c r="A28" s="3"/>
      <x:c r="B28" s="3"/>
      <x:c r="C28" s="3"/>
      <x:c r="D28" s="13"/>
      <x:c r="E28" s="13"/>
      <x:c r="F28" s="13"/>
      <x:c r="G28" s="13"/>
      <x:c r="H28" s="13"/>
      <x:c r="I28" s="13"/>
      <x:c r="J28" s="13"/>
      <x:c r="K28" s="26"/>
      <x:c r="L28" s="26"/>
      <x:c r="M28" s="26"/>
      <x:c r="N28" s="26"/>
      <x:c r="O28" s="26"/>
      <x:c r="P28" s="26"/>
      <x:c r="Q28" s="26"/>
      <x:c r="R28" s="26"/>
      <x:c r="S28" s="26"/>
      <x:c r="T28" s="3"/>
      <x:c r="U28" s="3"/>
      <x:c r="V28" s="3"/>
    </x:row>
    <x:row r="29" ht="70" customHeight="1">
      <x:c r="A29" s="3"/>
      <x:c r="B29" s="3"/>
      <x:c r="C29" s="3"/>
      <x:c r="D29" s="13"/>
      <x:c r="E29" s="13"/>
      <x:c r="F29" s="13"/>
      <x:c r="G29" s="13"/>
      <x:c r="H29" s="13"/>
      <x:c r="I29" s="13"/>
      <x:c r="J29" s="13"/>
      <x:c r="K29" s="26"/>
      <x:c r="L29" s="26"/>
      <x:c r="M29" s="26"/>
      <x:c r="N29" s="26"/>
      <x:c r="O29" s="26"/>
      <x:c r="P29" s="26"/>
      <x:c r="Q29" s="26"/>
      <x:c r="R29" s="26"/>
      <x:c r="S29" s="26"/>
      <x:c r="T29" s="3"/>
      <x:c r="U29" s="3"/>
      <x:c r="V29" s="3"/>
    </x:row>
    <x:row r="30" ht="70" customHeight="1">
      <x:c r="A30" s="3"/>
      <x:c r="B30" s="3"/>
      <x:c r="C30" s="3"/>
      <x:c r="D30" s="13"/>
      <x:c r="E30" s="13"/>
      <x:c r="F30" s="13"/>
      <x:c r="G30" s="13"/>
      <x:c r="H30" s="13"/>
      <x:c r="I30" s="13"/>
      <x:c r="J30" s="13"/>
      <x:c r="K30" s="26"/>
      <x:c r="L30" s="26"/>
      <x:c r="M30" s="26"/>
      <x:c r="N30" s="26"/>
      <x:c r="O30" s="26"/>
      <x:c r="P30" s="26"/>
      <x:c r="Q30" s="26"/>
      <x:c r="R30" s="26"/>
      <x:c r="S30" s="26"/>
      <x:c r="T30" s="3"/>
      <x:c r="U30" s="3"/>
      <x:c r="V30" s="3"/>
    </x:row>
    <x:row r="31" ht="70" customHeight="1">
      <x:c r="A31" s="3"/>
      <x:c r="B31" s="3"/>
      <x:c r="C31" s="3"/>
      <x:c r="D31" s="13"/>
      <x:c r="E31" s="13"/>
      <x:c r="F31" s="13"/>
      <x:c r="G31" s="13"/>
      <x:c r="H31" s="13"/>
      <x:c r="I31" s="13"/>
      <x:c r="J31" s="13"/>
      <x:c r="K31" s="26"/>
      <x:c r="L31" s="26"/>
      <x:c r="M31" s="26"/>
      <x:c r="N31" s="26"/>
      <x:c r="O31" s="26"/>
      <x:c r="P31" s="26"/>
      <x:c r="Q31" s="26"/>
      <x:c r="R31" s="26"/>
      <x:c r="S31" s="26"/>
      <x:c r="T31" s="3"/>
      <x:c r="U31" s="3"/>
      <x:c r="V31" s="3"/>
    </x:row>
    <x:row r="32" ht="70" customHeight="1">
      <x:c r="A32" s="3"/>
      <x:c r="B32" s="3"/>
      <x:c r="C32" s="3"/>
      <x:c r="D32" s="13"/>
      <x:c r="E32" s="13"/>
      <x:c r="F32" s="13"/>
      <x:c r="G32" s="13"/>
      <x:c r="H32" s="13"/>
      <x:c r="I32" s="13"/>
      <x:c r="J32" s="13"/>
      <x:c r="K32" s="26"/>
      <x:c r="L32" s="26"/>
      <x:c r="M32" s="26"/>
      <x:c r="N32" s="26"/>
      <x:c r="O32" s="26"/>
      <x:c r="P32" s="26"/>
      <x:c r="Q32" s="26"/>
      <x:c r="R32" s="26"/>
      <x:c r="S32" s="26"/>
      <x:c r="T32" s="3"/>
      <x:c r="U32" s="3"/>
      <x:c r="V32" s="3"/>
    </x:row>
    <x:row r="33" ht="70" customHeight="1">
      <x:c r="A33" s="3"/>
      <x:c r="B33" s="3"/>
      <x:c r="C33" s="3"/>
      <x:c r="D33" s="13"/>
      <x:c r="E33" s="13"/>
      <x:c r="F33" s="13"/>
      <x:c r="G33" s="13"/>
      <x:c r="H33" s="13"/>
      <x:c r="I33" s="13"/>
      <x:c r="J33" s="13"/>
      <x:c r="K33" s="26"/>
      <x:c r="L33" s="26"/>
      <x:c r="M33" s="26"/>
      <x:c r="N33" s="26"/>
      <x:c r="O33" s="26"/>
      <x:c r="P33" s="26"/>
      <x:c r="Q33" s="26"/>
      <x:c r="R33" s="26"/>
      <x:c r="S33" s="26"/>
      <x:c r="T33" s="3"/>
      <x:c r="U33" s="3"/>
      <x:c r="V33" s="3"/>
    </x:row>
    <x:row r="34" ht="70" customHeight="1">
      <x:c r="A34" s="3"/>
      <x:c r="B34" s="3"/>
      <x:c r="C34" s="3"/>
      <x:c r="D34" s="13"/>
      <x:c r="E34" s="13"/>
      <x:c r="F34" s="13"/>
      <x:c r="G34" s="13"/>
      <x:c r="H34" s="13"/>
      <x:c r="I34" s="13"/>
      <x:c r="J34" s="13"/>
      <x:c r="K34" s="26"/>
      <x:c r="L34" s="26"/>
      <x:c r="M34" s="26"/>
      <x:c r="N34" s="26"/>
      <x:c r="O34" s="26"/>
      <x:c r="P34" s="26"/>
      <x:c r="Q34" s="26"/>
      <x:c r="R34" s="26"/>
      <x:c r="S34" s="26"/>
      <x:c r="T34" s="3"/>
      <x:c r="U34" s="3"/>
      <x:c r="V34" s="3"/>
    </x:row>
    <x:row r="35" ht="70" customHeight="1">
      <x:c r="A35" s="3"/>
      <x:c r="B35" s="3"/>
      <x:c r="C35" s="3"/>
      <x:c r="D35" s="13"/>
      <x:c r="E35" s="13"/>
      <x:c r="F35" s="13"/>
      <x:c r="G35" s="13"/>
      <x:c r="H35" s="13"/>
      <x:c r="I35" s="13"/>
      <x:c r="J35" s="13"/>
      <x:c r="K35" s="26"/>
      <x:c r="L35" s="26"/>
      <x:c r="M35" s="26"/>
      <x:c r="N35" s="26"/>
      <x:c r="O35" s="26"/>
      <x:c r="P35" s="26"/>
      <x:c r="Q35" s="26"/>
      <x:c r="R35" s="26"/>
      <x:c r="S35" s="26"/>
      <x:c r="T35" s="3"/>
      <x:c r="U35" s="3"/>
      <x:c r="V35" s="3"/>
    </x:row>
  </x:sheetData>
  <x:dataValidations count="20">
    <x:dataValidation type="list" sqref="E5">
      <x:formula1>"FIASA,Department,Unresolved"</x:formula1>
    </x:dataValidation>
    <x:dataValidation type="list" sqref="E6">
      <x:formula1>"FIASA,Department,Unresolved"</x:formula1>
    </x:dataValidation>
    <x:dataValidation type="list" sqref="E7">
      <x:formula1>"FIASA,Department,Unresolved"</x:formula1>
    </x:dataValidation>
    <x:dataValidation type="list" sqref="E8">
      <x:formula1>"FIASA,Department,Unresolved"</x:formula1>
    </x:dataValidation>
    <x:dataValidation type="list" sqref="E9">
      <x:formula1>"FIASA,Department,Unresolved"</x:formula1>
    </x:dataValidation>
    <x:dataValidation type="list" sqref="E10">
      <x:formula1>"FIASA,Department,Unresolved"</x:formula1>
    </x:dataValidation>
    <x:dataValidation type="list" sqref="E11">
      <x:formula1>"FIASA,Department,Unresolved"</x:formula1>
    </x:dataValidation>
    <x:dataValidation type="list" sqref="E12">
      <x:formula1>"FIASA,Department,Unresolved"</x:formula1>
    </x:dataValidation>
    <x:dataValidation type="list" sqref="E13">
      <x:formula1>"FIASA,Department,Unresolved"</x:formula1>
    </x:dataValidation>
    <x:dataValidation type="list" sqref="E14">
      <x:formula1>"FIASA,Department,Unresolved"</x:formula1>
    </x:dataValidation>
    <x:dataValidation type="list" sqref="E15">
      <x:formula1>"FIASA,Department,Unresolved"</x:formula1>
    </x:dataValidation>
    <x:dataValidation type="list" sqref="E16">
      <x:formula1>"FIASA,Department,Unresolved"</x:formula1>
    </x:dataValidation>
    <x:dataValidation type="list" sqref="E17">
      <x:formula1>"FIASA,Department,Unresolved"</x:formula1>
    </x:dataValidation>
    <x:dataValidation type="list" sqref="E18">
      <x:formula1>"FIASA,Department,Unresolved"</x:formula1>
    </x:dataValidation>
    <x:dataValidation type="list" sqref="E19">
      <x:formula1>"FIASA,Department,Unresolved"</x:formula1>
    </x:dataValidation>
    <x:dataValidation type="list" sqref="E20">
      <x:formula1>"FIASA,Department,Unresolved"</x:formula1>
    </x:dataValidation>
    <x:dataValidation type="list" sqref="E21">
      <x:formula1>"FIASA,Department,Unresolved"</x:formula1>
    </x:dataValidation>
    <x:dataValidation type="list" sqref="E22">
      <x:formula1>"FIASA,Department,Unresolved"</x:formula1>
    </x:dataValidation>
    <x:dataValidation type="list" sqref="E23">
      <x:formula1>"FIASA,Department,Unresolved"</x:formula1>
    </x:dataValidation>
    <x:dataValidation type="list" sqref="E24">
      <x:formula1>"FIASA,Department,Unresolved"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25" hidden="0" customWidth="1"/>
    <x:col min="2" max="2" width="36.25" hidden="0" customWidth="1"/>
    <x:col min="3" max="3" width="40" hidden="0" customWidth="1"/>
    <x:col min="4" max="4" width="38.75" hidden="0" customWidth="1"/>
    <x:col min="5" max="5" width="35" hidden="0" customWidth="1"/>
    <x:col min="6" max="6" width="38.75" hidden="0" customWidth="1"/>
  </x:cols>
  <x:sheetData>
    <x:row r="1" ht="28" customHeight="1">
      <x:c r="A1" s="5" t="str">
        <x:v>Demand methods by segment</x:v>
      </x:c>
      <x:c r="B1" s="3"/>
      <x:c r="C1" s="3"/>
      <x:c r="D1" s="3"/>
      <x:c r="E1" s="3"/>
      <x:c r="F1" s="3"/>
    </x:row>
    <x:row r="2" ht="24" customHeight="1">
      <x:c r="A2" s="7" t="str">
        <x:v>Agree the method and geographic definition before choosing numerical ranges.</x:v>
      </x:c>
      <x:c r="B2" s="3"/>
      <x:c r="C2" s="3"/>
      <x:c r="D2" s="3"/>
      <x:c r="E2" s="3"/>
      <x:c r="F2" s="3"/>
    </x:row>
    <x:row r="3">
      <x:c r="A3" s="3"/>
      <x:c r="B3" s="3"/>
      <x:c r="C3" s="3"/>
      <x:c r="D3" s="3"/>
      <x:c r="E3" s="3"/>
      <x:c r="F3" s="3"/>
    </x:row>
    <x:row r="4" ht="38" customHeight="1">
      <x:c r="A4" s="9" t="str">
        <x:v>Product / segment</x:v>
      </x:c>
      <x:c r="B4" s="9" t="str">
        <x:v>Current model</x:v>
      </x:c>
      <x:c r="C4" s="9" t="str">
        <x:v>Proposed direction</x:v>
      </x:c>
      <x:c r="D4" s="9" t="str">
        <x:v>National / provincial treatment</x:v>
      </x:c>
      <x:c r="E4" s="9" t="str">
        <x:v>Boundary and overlap check</x:v>
      </x:c>
      <x:c r="F4" s="9" t="str">
        <x:v>Evidence / workshop decision</x:v>
      </x:c>
    </x:row>
    <x:row r="5" ht="100" customHeight="1">
      <x:c r="A5" s="3" t="str">
        <x:v>Petrol passenger</x:v>
      </x:c>
      <x:c r="B5" s="3" t="str">
        <x:v>National passenger/LCV/HCV cohort model; GDP/capita predicts sales. EV uptake, scrappage, km and fixed cohort efficiency determine litres.</x:v>
      </x:c>
      <x:c r="C5" s="3" t="str">
        <x:v>Retain cohort logic; calibrate opening stock and sales. Separate BEV, PHEV and conventional hybrid.</x:v>
      </x:c>
      <x:c r="D5" s="3" t="str">
        <x:v>Allocate national totals initially; local stock/activity calculations when evidence supports them.</x:v>
      </x:c>
      <x:c r="E5" s="3" t="str">
        <x:v>New-sales shares are not fleet shares. Apply efficiency improvements to new cohorts only.</x:v>
      </x:c>
      <x:c r="F5" s="3" t="str">
        <x:v>Confirm opening stock, drivetrain basis, survival and mileage. Sources: vehicles.yaml; vehicles.py.</x:v>
      </x:c>
    </x:row>
    <x:row r="6" ht="100" customHeight="1">
      <x:c r="A6" s="3" t="str">
        <x:v>Diesel road freight</x:v>
      </x:c>
      <x:c r="B6" s="3" t="str">
        <x:v>Heavy-commercial diesel cohort calculation; LCV activity also includes freight and other uses.</x:v>
      </x:c>
      <x:c r="C6" s="3" t="str">
        <x:v>Choose fleet or tonne-km method. Separate diesel, BEV and hybrid trucks by duty cycle; sales feed cohorts, and work shares reflect mileage/payload.</x:v>
      </x:c>
      <x:c r="D6" s="3" t="str">
        <x:v>Define province of fuel purchase versus consumption/corridor. Registrations alone do not locate fuel use.</x:v>
      </x:c>
      <x:c r="E6" s="3" t="str">
        <x:v>Do not add the two methods. Deduct rail diversion once. Separate mining off-road from road trucks.</x:v>
      </x:c>
      <x:c r="F6" s="3" t="str">
        <x:v>Agree freight/LCV scope, truck BEV/hybrid paths, payload, empty running and charging feasibility. See Freight rows 30–45.</x:v>
      </x:c>
    </x:row>
    <x:row r="7" ht="100" customHeight="1">
      <x:c r="A7" s="3" t="str">
        <x:v>Other road demand</x:v>
      </x:c>
      <x:c r="B7" s="3" t="str">
        <x:v>Passenger and LCV diesel, and LCV petrol, sit in the vehicle model.</x:v>
      </x:c>
      <x:c r="C7" s="3" t="str">
        <x:v>Retain class-specific calculations and identify buses/taxis explicitly where evidence allows.</x:v>
      </x:c>
      <x:c r="D7" s="3" t="str">
        <x:v>National control totals; documented local allocation or fleet method.</x:v>
      </x:c>
      <x:c r="E7" s="3" t="str">
        <x:v>Do not omit non-freight diesel when reporting national diesel demand.</x:v>
      </x:c>
      <x:c r="F7" s="3" t="str">
        <x:v>Clarify which vehicle classes include taxis/buses and commercial passenger services.</x:v>
      </x:c>
    </x:row>
    <x:row r="8" ht="100" customHeight="1">
      <x:c r="A8" s="3" t="str">
        <x:v>Diesel agriculture</x:v>
      </x:c>
      <x:c r="B8" s="3" t="str">
        <x:v>Held baseline × (GDP/capita ratio)^elasticity. 2024 baseline 700 million L; elasticity 0.2. Both provisional.</x:v>
      </x:c>
      <x:c r="C8" s="3" t="str">
        <x:v>Reconciled baseline × agricultural activity ratio × relative fuel intensity. Select crops/hectares/output or subsegments.</x:v>
      </x:c>
      <x:c r="D8" s="3" t="str">
        <x:v>Provincial agricultural activity allocates baseline and drives changes; national total sums local results.</x:v>
      </x:c>
      <x:c r="E8" s="3" t="str">
        <x:v>Separate machinery, irrigation, road vehicles and backup generation.</x:v>
      </x:c>
      <x:c r="F8" s="3" t="str">
        <x:v>Choose source/baseline year and activity proxy; agree whether intensity already includes mechanisation.</x:v>
      </x:c>
    </x:row>
    <x:row r="9" ht="100" customHeight="1">
      <x:c r="A9" s="3" t="str">
        <x:v>Diesel manufacturing</x:v>
      </x:c>
      <x:c r="B9" s="3" t="str">
        <x:v>Current combined industrial bucket includes manufacturing, mining and construction; no separate manufacturing output.</x:v>
      </x:c>
      <x:c r="C9" s="3" t="str">
        <x:v>Separate manufacturing baseline × production/activity × relative intensity × remaining diesel fraction.</x:v>
      </x:c>
      <x:c r="D9" s="3" t="str">
        <x:v>Local manufacturing/site activity where evidenced; retain unknown coverage.</x:v>
      </x:c>
      <x:c r="E9" s="3" t="str">
        <x:v>Separate process/equipment diesel from road freight and backup generation. Electrification is counted once.</x:v>
      </x:c>
      <x:c r="F9" s="3" t="str">
        <x:v>See Manufacturing. Split/revise the combined baseline explicitly and retain construction/other.</x:v>
      </x:c>
    </x:row>
    <x:row r="10" ht="100" customHeight="1">
      <x:c r="A10" s="3" t="str">
        <x:v>Diesel generation</x:v>
      </x:c>
      <x:c r="B10" s="3" t="str">
        <x:v>National OCGT capacity/load factor/efficiency pathway.</x:v>
      </x:c>
      <x:c r="C10" s="3" t="str">
        <x:v>Plant generation × fuel per kWh; grid plants and private backup separately.</x:v>
      </x:c>
      <x:c r="D10" s="3" t="str">
        <x:v>Grid plants assigned by location; private backup needs an evidenced allocation.</x:v>
      </x:c>
      <x:c r="E10" s="3" t="str">
        <x:v>No second load-shedding increment if already in generation. Fiscal/calendar and plant coverage must match.</x:v>
      </x:c>
      <x:c r="F10" s="3" t="str">
        <x:v>Fit generation-to-litres; agree dispatch and private-backup evidence.</x:v>
      </x:c>
    </x:row>
    <x:row r="11" ht="100" customHeight="1">
      <x:c r="A11" s="3" t="str">
        <x:v>Jet aviation</x:v>
      </x:c>
      <x:c r="B11" s="3" t="str">
        <x:v>Legacy passenger regression; movement-driver proposal awaits refit.</x:v>
      </x:c>
      <x:c r="C11" s="3" t="str">
        <x:v>Aircraft activity × calibrated fuel relationship including aircraft/route mix.</x:v>
      </x:c>
      <x:c r="D11" s="3" t="str">
        <x:v>Airport-level evidence preferred; sum airports and retain unallocated coverage.</x:v>
      </x:c>
      <x:c r="E11" s="3" t="str">
        <x:v>Distinguish fuel uplift from overflight/use. Cargo, non-ACSA and international scope explicit.</x:v>
      </x:c>
      <x:c r="F11" s="3" t="str">
        <x:v>Match movements with jet deliveries. SAF changes fossil share, not total jet litres by itself.</x:v>
      </x:c>
    </x:row>
    <x:row r="12" ht="100" customHeight="1">
      <x:c r="A12" s="3" t="str">
        <x:v>Marine / other</x:v>
      </x:c>
      <x:c r="B12" s="3" t="str">
        <x:v>Held marine baseline, GDP response and product split; other uses need a coverage review.</x:v>
      </x:c>
      <x:c r="C12" s="3" t="str">
        <x:v>Port/vessel activity × fuel intensity or reconciled indexed baseline.</x:v>
      </x:c>
      <x:c r="D12" s="3" t="str">
        <x:v>Port evidence where available; unknown location remains unallocated.</x:v>
      </x:c>
      <x:c r="E12" s="3" t="str">
        <x:v>Define domestic versus international bunkers; diesel grade and fuel oil stay explicit.</x:v>
      </x:c>
      <x:c r="F12" s="3" t="str">
        <x:v>Agree coverage and identify residual demand without treating the residual as a new measured segment.</x:v>
      </x:c>
    </x:row>
    <x:row r="13" ht="100" customHeight="1">
      <x:c r="A13" s="3" t="str">
        <x:v>Cross-cutting rule</x:v>
      </x:c>
      <x:c r="B13" s="3" t="str">
        <x:v>One fuel total must reconcile across all included segments.</x:v>
      </x:c>
      <x:c r="C13" s="3" t="str">
        <x:v>National total = provinces + explicitly unallocated demand.</x:v>
      </x:c>
      <x:c r="D13" s="3" t="str">
        <x:v>Use one approach per segment: allocated or locally calculated.</x:v>
      </x:c>
      <x:c r="E13" s="3" t="str">
        <x:v>Do not reallocate a component already calculated provincially. GDP must not multiply several overlapping effects.</x:v>
      </x:c>
      <x:c r="F13" s="3" t="str">
        <x:v>Source: https://github.com/Africa-International-Advisors/liquid_fuels_model/blob/8c69f8333192483f19cd80911cb90fcd0943eb6b/workstreams/WS0_governance/workplan/fuel_lever_review_2026-10-07.md</x:v>
      </x:c>
    </x:row>
    <x:row r="14" ht="100" customHeight="1">
      <x:c r="A14" s="3" t="str">
        <x:v>Diesel mining</x:v>
      </x:c>
      <x:c r="B14" s="3" t="str">
        <x:v>Current combined industrial bucket; no separate mining output.</x:v>
      </x:c>
      <x:c r="C14" s="3" t="str">
        <x:v>Mining baseline × activity × operating intensity × remaining diesel fraction; fit sites/subsectors where possible.</x:v>
      </x:c>
      <x:c r="D14" s="3" t="str">
        <x:v>Mine-site geography and activity; explicit unallocated remainder.</x:v>
      </x:c>
      <x:c r="E14" s="3" t="str">
        <x:v>Separate mine-site/off-road work from public-road freight; backup fuel belongs to one segment.</x:v>
      </x:c>
      <x:c r="F14" s="3" t="str">
        <x:v>See Mining. Review commodity output versus material moved and mine-equipment electrification.</x:v>
      </x:c>
    </x:row>
    <x:row r="15" ht="52" customHeight="1">
      <x:c r="A15" s="3"/>
      <x:c r="B15" s="3"/>
      <x:c r="C15" s="3"/>
      <x:c r="D15" s="3"/>
      <x:c r="E15" s="3"/>
      <x:c r="F15" s="3"/>
    </x:row>
    <x:row r="16" ht="52" customHeight="1">
      <x:c r="A16" s="3"/>
      <x:c r="B16" s="3"/>
      <x:c r="C16" s="3"/>
      <x:c r="D16" s="3"/>
      <x:c r="E16" s="3"/>
      <x:c r="F16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8.1299991607666" hidden="0" customWidth="1"/>
    <x:col min="2" max="2" width="12.5" hidden="0" customWidth="1"/>
    <x:col min="3" max="3" width="15.630000114440918" hidden="0" customWidth="1"/>
    <x:col min="4" max="4" width="15" hidden="0" customWidth="1"/>
    <x:col min="5" max="5" width="40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31.8799991607666" hidden="0" customWidth="1"/>
    <x:col min="21" max="21" width="36.25" hidden="0" customWidth="1"/>
    <x:col min="22" max="22" width="36.25" hidden="0" customWidth="1"/>
  </x:cols>
  <x:sheetData>
    <x:row r="1" ht="25" customHeight="1">
      <x:c r="A1" s="5" t="str">
        <x:v>Petrol passenger demand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1" customHeight="1">
      <x:c r="A2" s="7" t="str">
        <x:v>Current national high_demand case • Values are provisional model inputs/outputs, not observed demand.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30" customHeight="1">
      <x:c r="A4" s="9" t="str">
        <x:v>Driver / output</x:v>
      </x:c>
      <x:c r="B4" s="9" t="str">
        <x:v>Unit</x:v>
      </x:c>
      <x:c r="C4" s="9" t="str">
        <x:v>Role</x:v>
      </x:c>
      <x:c r="D4" s="9" t="str">
        <x:v>Scalar / latest value</x:v>
      </x:c>
      <x:c r="E4" s="9" t="str">
        <x:v>Definition / period</x:v>
      </x:c>
      <x:c r="F4" s="9" t="n">
        <x:v>2022</x:v>
      </x:c>
      <x:c r="G4" s="9" t="n">
        <x:v>2023</x:v>
      </x:c>
      <x:c r="H4" s="9" t="n">
        <x:v>2024</x:v>
      </x:c>
      <x:c r="I4" s="9" t="n">
        <x:v>2025</x:v>
      </x:c>
      <x:c r="J4" s="9" t="n">
        <x:v>2026</x:v>
      </x:c>
      <x:c r="K4" s="9" t="n">
        <x:v>2027</x:v>
      </x:c>
      <x:c r="L4" s="9" t="n">
        <x:v>2028</x:v>
      </x:c>
      <x:c r="M4" s="9" t="n">
        <x:v>2029</x:v>
      </x:c>
      <x:c r="N4" s="9" t="n">
        <x:v>2030</x:v>
      </x:c>
      <x:c r="O4" s="9" t="n">
        <x:v>2031</x:v>
      </x:c>
      <x:c r="P4" s="9" t="n">
        <x:v>2032</x:v>
      </x:c>
      <x:c r="Q4" s="9" t="n">
        <x:v>2033</x:v>
      </x:c>
      <x:c r="R4" s="9" t="n">
        <x:v>2034</x:v>
      </x:c>
      <x:c r="S4" s="9" t="n">
        <x:v>2035</x:v>
      </x:c>
      <x:c r="T4" s="9" t="str">
        <x:v>Coverage / status</x:v>
      </x:c>
      <x:c r="U4" s="9" t="str">
        <x:v>Source</x:v>
      </x:c>
      <x:c r="V4" s="9" t="str">
        <x:v>Missing evidence / next action</x:v>
      </x:c>
    </x:row>
    <x:row r="5" ht="28" customHeight="1">
      <x:c r="A5" s="12" t="str">
        <x:v>Current engine inputs</x:v>
      </x:c>
      <x:c r="B5" s="11"/>
      <x:c r="C5" s="11"/>
      <x:c r="D5" s="11"/>
      <x:c r="E5" s="11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3"/>
      <x:c r="U5" s="3"/>
      <x:c r="V5" s="3"/>
    </x:row>
    <x:row r="6" ht="30" customHeight="1">
      <x:c r="A6" s="3" t="str">
        <x:v>GDP per capita</x:v>
      </x:c>
      <x:c r="B6" s="3" t="str">
        <x:v>2015 ZAR/person</x:v>
      </x:c>
      <x:c r="C6" s="3" t="str">
        <x:v>Input series</x:v>
      </x:c>
      <x:c r="D6" s="13"/>
      <x:c r="E6" s="3" t="str">
        <x:v>Shared macro driver. Model forecasts beyond the source observation window.</x:v>
      </x:c>
      <x:c r="F6" s="26" t="n">
        <x:f>IF(ISNUMBER('Model run'!F5),'Model run'!F5,"")</x:f>
        <x:v>76790.1650122451</x:v>
      </x:c>
      <x:c r="G6" s="26" t="n">
        <x:f>IF(ISNUMBER('Model run'!G5),'Model run'!G5,"")</x:f>
        <x:v>76777.92621036293</x:v>
      </x:c>
      <x:c r="H6" s="26" t="n">
        <x:f>IF(ISNUMBER('Model run'!H5),'Model run'!H5,"")</x:f>
        <x:v>76356.55727959426</x:v>
      </x:c>
      <x:c r="I6" s="26" t="n">
        <x:f>IF(ISNUMBER('Model run'!I5),'Model run'!I5,"")</x:f>
        <x:v>75873.5403538539</x:v>
      </x:c>
      <x:c r="J6" s="26" t="n">
        <x:f>IF(ISNUMBER('Model run'!J5),'Model run'!J5,"")</x:f>
        <x:v>76305.62080219547</x:v>
      </x:c>
      <x:c r="K6" s="26" t="n">
        <x:f>IF(ISNUMBER('Model run'!K5),'Model run'!K5,"")</x:f>
        <x:v>76770.1127412939</x:v>
      </x:c>
      <x:c r="L6" s="26" t="n">
        <x:f>IF(ISNUMBER('Model run'!L5),'Model run'!L5,"")</x:f>
        <x:v>77267.03031188184</x:v>
      </x:c>
      <x:c r="M6" s="26" t="n">
        <x:f>IF(ISNUMBER('Model run'!M5),'Model run'!M5,"")</x:f>
        <x:v>77793.85014588524</x:v>
      </x:c>
      <x:c r="N6" s="26" t="n">
        <x:f>IF(ISNUMBER('Model run'!N5),'Model run'!N5,"")</x:f>
        <x:v>78347.23662423984</x:v>
      </x:c>
      <x:c r="O6" s="26" t="n">
        <x:f>IF(ISNUMBER('Model run'!O5),'Model run'!O5,"")</x:f>
        <x:v>78904.55961677714</x:v>
      </x:c>
      <x:c r="P6" s="26" t="n">
        <x:f>IF(ISNUMBER('Model run'!P5),'Model run'!P5,"")</x:f>
        <x:v>79465.847125887</x:v>
      </x:c>
      <x:c r="Q6" s="26" t="n">
        <x:f>IF(ISNUMBER('Model run'!Q5),'Model run'!Q5,"")</x:f>
        <x:v>80031.12735315424</x:v>
      </x:c>
      <x:c r="R6" s="26" t="n">
        <x:f>IF(ISNUMBER('Model run'!R5),'Model run'!R5,"")</x:f>
        <x:v>80600.42870077565</x:v>
      </x:c>
      <x:c r="S6" s="26" t="n">
        <x:f>IF(ISNUMBER('Model run'!S5),'Model run'!S5,"")</x:f>
        <x:v>81173.77977298702</x:v>
      </x:c>
      <x:c r="T6" s="3"/>
      <x:c r="U6" s="3"/>
      <x:c r="V6" s="3"/>
    </x:row>
    <x:row r="7" ht="30" customHeight="1">
      <x:c r="A7" s="3" t="str">
        <x:v>New-sales regression slope</x:v>
      </x:c>
      <x:c r="B7" s="3" t="str">
        <x:v>vehicles / ZAR pc</x:v>
      </x:c>
      <x:c r="C7" s="3" t="str">
        <x:v>Scalar</x:v>
      </x:c>
      <x:c r="D7" s="33" t="n">
        <x:f>IF(ISNUMBER('Model run'!D6),'Model run'!D6,"")</x:f>
        <x:v>37.3149</x:v>
      </x:c>
      <x:c r="E7" s="3" t="str">
        <x:v>Sales = max(0, slope × GDP/capita + intercept). Applies to all new vehicles.</x:v>
      </x:c>
      <x:c r="F7" s="26"/>
      <x:c r="G7" s="26"/>
      <x:c r="H7" s="26"/>
      <x:c r="I7" s="26"/>
      <x:c r="J7" s="26"/>
      <x:c r="K7" s="26"/>
      <x:c r="L7" s="26"/>
      <x:c r="M7" s="26"/>
      <x:c r="N7" s="26"/>
      <x:c r="O7" s="26"/>
      <x:c r="P7" s="26"/>
      <x:c r="Q7" s="26"/>
      <x:c r="R7" s="26"/>
      <x:c r="S7" s="26"/>
      <x:c r="T7" s="3"/>
      <x:c r="U7" s="3"/>
      <x:c r="V7" s="3"/>
    </x:row>
    <x:row r="8" ht="30" customHeight="1">
      <x:c r="A8" s="3" t="str">
        <x:v>New-sales regression intercept</x:v>
      </x:c>
      <x:c r="B8" s="3" t="str">
        <x:v>vehicles/year</x:v>
      </x:c>
      <x:c r="C8" s="3" t="str">
        <x:v>Scalar</x:v>
      </x:c>
      <x:c r="D8" s="13" t="n">
        <x:f>IF(ISNUMBER('Model run'!D7),'Model run'!D7,"")</x:f>
        <x:v>-2387744</x:v>
      </x:c>
      <x:c r="E8" s="3" t="str">
        <x:v>Legacy fitted parameter; historical validity needs review.</x:v>
      </x:c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3"/>
      <x:c r="U8" s="3"/>
      <x:c r="V8" s="3"/>
    </x:row>
    <x:row r="9" ht="30" customHeight="1">
      <x:c r="A9" s="3" t="str">
        <x:v>Passenger share of new sales</x:v>
      </x:c>
      <x:c r="B9" s="3" t="str">
        <x:v>share</x:v>
      </x:c>
      <x:c r="C9" s="3" t="str">
        <x:v>Scalar</x:v>
      </x:c>
      <x:c r="D9" s="14" t="n">
        <x:f>IF(ISNUMBER('Model run'!D8),'Model run'!D8,"")</x:f>
        <x:v>0.78</x:v>
      </x:c>
      <x:c r="E9" s="3" t="str">
        <x:v>Current provisional split of total modelled new sales.</x:v>
      </x:c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3"/>
      <x:c r="U9" s="3"/>
      <x:c r="V9" s="3"/>
    </x:row>
    <x:row r="10" ht="30" customHeight="1">
      <x:c r="A10" s="3" t="str">
        <x:v>Petrol share of passenger ICE sales</x:v>
      </x:c>
      <x:c r="B10" s="3" t="str">
        <x:v>share</x:v>
      </x:c>
      <x:c r="C10" s="3" t="str">
        <x:v>Scalar</x:v>
      </x:c>
      <x:c r="D10" s="14" t="n">
        <x:f>IF(ISNUMBER('Model run'!D9),'Model run'!D9,"")</x:f>
        <x:v>0.83</x:v>
      </x:c>
      <x:c r="E10" s="3" t="str">
        <x:v>Applies after current EV adjustment. Hybrids are not separately modelled.</x:v>
      </x:c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3"/>
      <x:c r="U10" s="3"/>
      <x:c r="V10" s="3"/>
    </x:row>
    <x:row r="11" ht="30" customHeight="1">
      <x:c r="A11" s="3" t="str">
        <x:v>Passenger annual mileage</x:v>
      </x:c>
      <x:c r="B11" s="3" t="str">
        <x:v>km/vehicle/year</x:v>
      </x:c>
      <x:c r="C11" s="3" t="str">
        <x:v>Scalar</x:v>
      </x:c>
      <x:c r="D11" s="13" t="n">
        <x:f>IF(ISNUMBER('Model run'!D10),'Model run'!D10,"")</x:f>
        <x:v>17000</x:v>
      </x:c>
      <x:c r="E11" s="3" t="str">
        <x:v>Current placeholder. Proposed HML brackets appear on HML sheet.</x:v>
      </x:c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3"/>
      <x:c r="U11" s="3"/>
      <x:c r="V11" s="3"/>
    </x:row>
    <x:row r="12" ht="30" customHeight="1">
      <x:c r="A12" s="3" t="str">
        <x:v>Passenger retirement rate</x:v>
      </x:c>
      <x:c r="B12" s="3" t="str">
        <x:v>share/year</x:v>
      </x:c>
      <x:c r="C12" s="3" t="str">
        <x:v>Scalar</x:v>
      </x:c>
      <x:c r="D12" s="14" t="n">
        <x:f>IF(ISNUMBER('Model run'!D11),'Model run'!D11,"")</x:f>
        <x:v>0.04</x:v>
      </x:c>
      <x:c r="E12" s="3" t="str">
        <x:v>Current engine scraps all cohorts, including additions, within the year.</x:v>
      </x:c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3"/>
      <x:c r="U12" s="3"/>
      <x:c r="V12" s="3"/>
    </x:row>
    <x:row r="13" ht="30" customHeight="1">
      <x:c r="A13" s="3" t="str">
        <x:v>Base new petrol vehicle consumption</x:v>
      </x:c>
      <x:c r="B13" s="3" t="str">
        <x:v>L/100 km</x:v>
      </x:c>
      <x:c r="C13" s="3" t="str">
        <x:v>Scalar</x:v>
      </x:c>
      <x:c r="D13" s="13" t="n">
        <x:f>IF(ISNUMBER('Model run'!D12),'Model run'!D12,"")</x:f>
        <x:v>9.5</x:v>
      </x:c>
      <x:c r="E13" s="3" t="str">
        <x:v>Entry-cohort baseline before cumulative efficiency gains.</x:v>
      </x:c>
      <x:c r="F13" s="26"/>
      <x:c r="G13" s="26"/>
      <x:c r="H13" s="26"/>
      <x:c r="I13" s="26"/>
      <x:c r="J13" s="26"/>
      <x:c r="K13" s="26"/>
      <x:c r="L13" s="26"/>
      <x:c r="M13" s="26"/>
      <x:c r="N13" s="26"/>
      <x:c r="O13" s="26"/>
      <x:c r="P13" s="26"/>
      <x:c r="Q13" s="26"/>
      <x:c r="R13" s="26"/>
      <x:c r="S13" s="26"/>
      <x:c r="T13" s="3"/>
      <x:c r="U13" s="3"/>
      <x:c r="V13" s="3"/>
    </x:row>
    <x:row r="14" ht="30" customHeight="1">
      <x:c r="A14" s="3" t="str">
        <x:v>New-cohort efficiency gain</x:v>
      </x:c>
      <x:c r="B14" s="3" t="str">
        <x:v>fraction/year</x:v>
      </x:c>
      <x:c r="C14" s="3" t="str">
        <x:v>Input series</x:v>
      </x:c>
      <x:c r="D14" s="14"/>
      <x:c r="E14" s="3" t="str">
        <x:v>Applied cumulatively to new cohorts; older cohorts retain their… [N029]</x:v>
      </x:c>
      <x:c r="F14" s="27" t="n">
        <x:f>IF(ISNUMBER('Model run'!F13),'Model run'!F13,"")</x:f>
        <x:v>0.01</x:v>
      </x:c>
      <x:c r="G14" s="27" t="n">
        <x:f>IF(ISNUMBER('Model run'!G13),'Model run'!G13,"")</x:f>
        <x:v>0.01</x:v>
      </x:c>
      <x:c r="H14" s="27" t="n">
        <x:f>IF(ISNUMBER('Model run'!H13),'Model run'!H13,"")</x:f>
        <x:v>0.01</x:v>
      </x:c>
      <x:c r="I14" s="27" t="n">
        <x:f>IF(ISNUMBER('Model run'!I13),'Model run'!I13,"")</x:f>
        <x:v>0.01</x:v>
      </x:c>
      <x:c r="J14" s="27" t="n">
        <x:f>IF(ISNUMBER('Model run'!J13),'Model run'!J13,"")</x:f>
        <x:v>0.01</x:v>
      </x:c>
      <x:c r="K14" s="27" t="n">
        <x:f>IF(ISNUMBER('Model run'!K13),'Model run'!K13,"")</x:f>
        <x:v>0.01</x:v>
      </x:c>
      <x:c r="L14" s="27" t="n">
        <x:f>IF(ISNUMBER('Model run'!L13),'Model run'!L13,"")</x:f>
        <x:v>0.01</x:v>
      </x:c>
      <x:c r="M14" s="27" t="n">
        <x:f>IF(ISNUMBER('Model run'!M13),'Model run'!M13,"")</x:f>
        <x:v>0.01</x:v>
      </x:c>
      <x:c r="N14" s="27" t="n">
        <x:f>IF(ISNUMBER('Model run'!N13),'Model run'!N13,"")</x:f>
        <x:v>0.01</x:v>
      </x:c>
      <x:c r="O14" s="27" t="n">
        <x:f>IF(ISNUMBER('Model run'!O13),'Model run'!O13,"")</x:f>
        <x:v>0.01</x:v>
      </x:c>
      <x:c r="P14" s="27" t="n">
        <x:f>IF(ISNUMBER('Model run'!P13),'Model run'!P13,"")</x:f>
        <x:v>0.01</x:v>
      </x:c>
      <x:c r="Q14" s="27" t="n">
        <x:f>IF(ISNUMBER('Model run'!Q13),'Model run'!Q13,"")</x:f>
        <x:v>0.01</x:v>
      </x:c>
      <x:c r="R14" s="27" t="n">
        <x:f>IF(ISNUMBER('Model run'!R13),'Model run'!R13,"")</x:f>
        <x:v>0.01</x:v>
      </x:c>
      <x:c r="S14" s="27" t="n">
        <x:f>IF(ISNUMBER('Model run'!S13),'Model run'!S13,"")</x:f>
        <x:v>0.01</x:v>
      </x:c>
      <x:c r="T14" s="3"/>
      <x:c r="U14" s="3"/>
      <x:c r="V14" s="3"/>
    </x:row>
    <x:row r="15" ht="30" customHeight="1">
      <x:c r="A15" s="3" t="str">
        <x:v>EV curve ceiling</x:v>
      </x:c>
      <x:c r="B15" s="3" t="str">
        <x:v>share</x:v>
      </x:c>
      <x:c r="C15" s="3" t="str">
        <x:v>Parameter</x:v>
      </x:c>
      <x:c r="D15" s="14" t="n">
        <x:f>IF(ISNUMBER('Model run'!D14),'Model run'!D14,"")</x:f>
        <x:v>0.3</x:v>
      </x:c>
      <x:c r="E15" s="3" t="str">
        <x:v>Current logistic curve parameter. Proposed BEV sales ranges are separate.</x:v>
      </x:c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3"/>
      <x:c r="U15" s="3"/>
      <x:c r="V15" s="3"/>
    </x:row>
    <x:row r="16" ht="30" customHeight="1">
      <x:c r="A16" s="3" t="str">
        <x:v>EV curve midpoint / slope</x:v>
      </x:c>
      <x:c r="B16" s="3" t="str">
        <x:v>year / years</x:v>
      </x:c>
      <x:c r="C16" s="3" t="str">
        <x:v>Parameters</x:v>
      </x:c>
      <x:c r="D16" s="13"/>
      <x:c r="E16" s="3" t="str">
        <x:v>2040 / 3. Confirm sales basis and replace with reviewed drivetrain paths.</x:v>
      </x:c>
      <x:c r="F16" s="26"/>
      <x:c r="G16" s="26"/>
      <x:c r="H16" s="26"/>
      <x:c r="I16" s="26"/>
      <x:c r="J16" s="26"/>
      <x:c r="K16" s="26"/>
      <x:c r="L16" s="26"/>
      <x:c r="M16" s="26"/>
      <x:c r="N16" s="26"/>
      <x:c r="O16" s="26"/>
      <x:c r="P16" s="26"/>
      <x:c r="Q16" s="26"/>
      <x:c r="R16" s="26"/>
      <x:c r="S16" s="26"/>
      <x:c r="T16" s="3"/>
      <x:c r="U16" s="3"/>
      <x:c r="V16" s="3"/>
    </x:row>
    <x:row r="17" ht="28" customHeight="1">
      <x:c r="A17" s="12" t="str">
        <x:v>Current engine outputs and reporting calculations</x:v>
      </x:c>
      <x:c r="B17" s="11"/>
      <x:c r="C17" s="11"/>
      <x:c r="D17" s="11"/>
      <x:c r="E17" s="11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3"/>
      <x:c r="U17" s="3"/>
      <x:c r="V17" s="3"/>
    </x:row>
    <x:row r="18" ht="30" customHeight="1">
      <x:c r="A18" s="16" t="str">
        <x:v>Passenger petrol fleet</x:v>
      </x:c>
      <x:c r="B18" s="16" t="str">
        <x:v>vehicles</x:v>
      </x:c>
      <x:c r="C18" s="16" t="str">
        <x:v>Engine output</x:v>
      </x:c>
      <x:c r="D18" s="17"/>
      <x:c r="E18" s="16" t="str">
        <x:v>Cohort stock from engine diagnostics. Opening stock is… [N030]</x:v>
      </x:c>
      <x:c r="F18" s="28" t="n">
        <x:f>IF(ISNUMBER('Model run'!F15),'Model run'!F15,"")</x:f>
        <x:v>4105442.820063777</x:v>
      </x:c>
      <x:c r="G18" s="28" t="n">
        <x:f>IF(ISNUMBER('Model run'!G15),'Model run'!G15,"")</x:f>
        <x:v>4237510.411114601</x:v>
      </x:c>
      <x:c r="H18" s="28" t="n">
        <x:f>IF(ISNUMBER('Model run'!H15),'Model run'!H15,"")</x:f>
        <x:v>4354416.496447995</x:v>
      </x:c>
      <x:c r="I18" s="28" t="n">
        <x:f>IF(ISNUMBER('Model run'!I15),'Model run'!I15,"")</x:f>
        <x:v>4455304.547532654</x:v>
      </x:c>
      <x:c r="J18" s="28" t="n">
        <x:f>IF(ISNUMBER('Model run'!J15),'Model run'!J15,"")</x:f>
        <x:v>4561932.711510791</x:v>
      </x:c>
      <x:c r="K18" s="28" t="n">
        <x:f>IF(ISNUMBER('Model run'!K15),'Model run'!K15,"")</x:f>
        <x:v>4674714.360330738</x:v>
      </x:c>
      <x:c r="L18" s="28" t="n">
        <x:f>IF(ISNUMBER('Model run'!L15),'Model run'!L15,"")</x:f>
        <x:v>4793999.249590636</x:v>
      </x:c>
      <x:c r="M18" s="28" t="n">
        <x:f>IF(ISNUMBER('Model run'!M15),'Model run'!M15,"")</x:f>
        <x:v>4919998.09997983</x:v>
      </x:c>
      <x:c r="N18" s="28" t="n">
        <x:f>IF(ISNUMBER('Model run'!N15),'Model run'!N15,"")</x:f>
        <x:v>5052743.732514513</x:v>
      </x:c>
      <x:c r="O18" s="28" t="n">
        <x:f>IF(ISNUMBER('Model run'!O15),'Model run'!O15,"")</x:f>
        <x:v>5191624.005673832</x:v>
      </x:c>
      <x:c r="P18" s="28" t="n">
        <x:f>IF(ISNUMBER('Model run'!P15),'Model run'!P15,"")</x:f>
        <x:v>5335891.848160342</x:v>
      </x:c>
      <x:c r="Q18" s="28" t="n">
        <x:f>IF(ISNUMBER('Model run'!Q15),'Model run'!Q15,"")</x:f>
        <x:v>5484627.964432901</x:v>
      </x:c>
      <x:c r="R18" s="28" t="n">
        <x:f>IF(ISNUMBER('Model run'!R15),'Model run'!R15,"")</x:f>
        <x:v>5636707.366851823</x:v>
      </x:c>
      <x:c r="S18" s="28" t="n">
        <x:f>IF(ISNUMBER('Model run'!S15),'Model run'!S15,"")</x:f>
        <x:v>5790782.33635809</x:v>
      </x:c>
      <x:c r="T18" s="3"/>
      <x:c r="U18" s="3"/>
      <x:c r="V18" s="3"/>
    </x:row>
    <x:row r="19" ht="30" customHeight="1">
      <x:c r="A19" s="16" t="str">
        <x:v>Passenger petrol vehicle-km</x:v>
      </x:c>
      <x:c r="B19" s="16" t="str">
        <x:v>km/year</x:v>
      </x:c>
      <x:c r="C19" s="16" t="str">
        <x:v>Engine output</x:v>
      </x:c>
      <x:c r="D19" s="17"/>
      <x:c r="E19" s="16" t="str">
        <x:v>Engine diagnostic activity for petrol passenger cohorts.</x:v>
      </x:c>
      <x:c r="F19" s="28" t="n">
        <x:f>IF(ISNUMBER('Model run'!F16),'Model run'!F16,"")</x:f>
        <x:v>69792527941.08421</x:v>
      </x:c>
      <x:c r="G19" s="28" t="n">
        <x:f>IF(ISNUMBER('Model run'!G16),'Model run'!G16,"")</x:f>
        <x:v>72037676988.94823</x:v>
      </x:c>
      <x:c r="H19" s="28" t="n">
        <x:f>IF(ISNUMBER('Model run'!H16),'Model run'!H16,"")</x:f>
        <x:v>74025080439.61592</x:v>
      </x:c>
      <x:c r="I19" s="28" t="n">
        <x:f>IF(ISNUMBER('Model run'!I16),'Model run'!I16,"")</x:f>
        <x:v>75740177308.05513</x:v>
      </x:c>
      <x:c r="J19" s="28" t="n">
        <x:f>IF(ISNUMBER('Model run'!J16),'Model run'!J16,"")</x:f>
        <x:v>77552856095.68346</x:v>
      </x:c>
      <x:c r="K19" s="28" t="n">
        <x:f>IF(ISNUMBER('Model run'!K16),'Model run'!K16,"")</x:f>
        <x:v>79470144125.62254</x:v>
      </x:c>
      <x:c r="L19" s="28" t="n">
        <x:f>IF(ISNUMBER('Model run'!L16),'Model run'!L16,"")</x:f>
        <x:v>81497987243.04082</x:v>
      </x:c>
      <x:c r="M19" s="28" t="n">
        <x:f>IF(ISNUMBER('Model run'!M16),'Model run'!M16,"")</x:f>
        <x:v>83639967699.6571</x:v>
      </x:c>
      <x:c r="N19" s="28" t="n">
        <x:f>IF(ISNUMBER('Model run'!N16),'Model run'!N16,"")</x:f>
        <x:v>85896643452.74672</x:v>
      </x:c>
      <x:c r="O19" s="28" t="n">
        <x:f>IF(ISNUMBER('Model run'!O16),'Model run'!O16,"")</x:f>
        <x:v>88257608096.45515</x:v>
      </x:c>
      <x:c r="P19" s="28" t="n">
        <x:f>IF(ISNUMBER('Model run'!P16),'Model run'!P16,"")</x:f>
        <x:v>90710161418.72581</x:v>
      </x:c>
      <x:c r="Q19" s="28" t="n">
        <x:f>IF(ISNUMBER('Model run'!Q16),'Model run'!Q16,"")</x:f>
        <x:v>93238675395.35931</x:v>
      </x:c>
      <x:c r="R19" s="28" t="n">
        <x:f>IF(ISNUMBER('Model run'!R16),'Model run'!R16,"")</x:f>
        <x:v>95824025236.481</x:v>
      </x:c>
      <x:c r="S19" s="28" t="n">
        <x:f>IF(ISNUMBER('Model run'!S16),'Model run'!S16,"")</x:f>
        <x:v>98443299718.08752</x:v>
      </x:c>
      <x:c r="T19" s="3"/>
      <x:c r="U19" s="3"/>
      <x:c r="V19" s="3"/>
    </x:row>
    <x:row r="20" ht="30" customHeight="1">
      <x:c r="A20" s="16" t="str">
        <x:v>Passenger petrol demand</x:v>
      </x:c>
      <x:c r="B20" s="16" t="str">
        <x:v>L/year</x:v>
      </x:c>
      <x:c r="C20" s="16" t="str">
        <x:v>Engine output</x:v>
      </x:c>
      <x:c r="D20" s="17"/>
      <x:c r="E20" s="16" t="str">
        <x:v>Calculated by the Python cohort engine.</x:v>
      </x:c>
      <x:c r="F20" s="28" t="n">
        <x:f>IF(ISNUMBER('Model run'!F17),'Model run'!F17,"")</x:f>
        <x:v>6604446599.287105</x:v>
      </x:c>
      <x:c r="G20" s="28" t="n">
        <x:f>IF(ISNUMBER('Model run'!G17),'Model run'!G17,"")</x:f>
        <x:v>6799914661.651272</x:v>
      </x:c>
      <x:c r="H20" s="28" t="n">
        <x:f>IF(ISNUMBER('Model run'!H17),'Model run'!H17,"")</x:f>
        <x:v>6967795194.654524</x:v>
      </x:c>
      <x:c r="I20" s="28" t="n">
        <x:f>IF(ISNUMBER('Model run'!I17),'Model run'!I17,"")</x:f>
        <x:v>7107316650.590699</x:v>
      </x:c>
      <x:c r="J20" s="28" t="n">
        <x:f>IF(ISNUMBER('Model run'!J17),'Model run'!J17,"")</x:f>
        <x:v>7251790037.536386</x:v>
      </x:c>
      <x:c r="K20" s="28" t="n">
        <x:f>IF(ISNUMBER('Model run'!K17),'Model run'!K17,"")</x:f>
        <x:v>7401722983.680083</x:v>
      </x:c>
      <x:c r="L20" s="28" t="n">
        <x:f>IF(ISNUMBER('Model run'!L17),'Model run'!L17,"")</x:f>
        <x:v>7557508602.12469</x:v>
      </x:c>
      <x:c r="M20" s="28" t="n">
        <x:f>IF(ISNUMBER('Model run'!M17),'Model run'!M17,"")</x:f>
        <x:v>7719319498.873311</x:v>
      </x:c>
      <x:c r="N20" s="28" t="n">
        <x:f>IF(ISNUMBER('Model run'!N17),'Model run'!N17,"")</x:f>
        <x:v>7887060129.324876</x:v>
      </x:c>
      <x:c r="O20" s="28" t="n">
        <x:f>IF(ISNUMBER('Model run'!O17),'Model run'!O17,"")</x:f>
        <x:v>8059708885.814959</x:v>
      </x:c>
      <x:c r="P20" s="28" t="n">
        <x:f>IF(ISNUMBER('Model run'!P17),'Model run'!P17,"")</x:f>
        <x:v>8236078449.78074</x:v>
      </x:c>
      <x:c r="Q20" s="28" t="n">
        <x:f>IF(ISNUMBER('Model run'!Q17),'Model run'!Q17,"")</x:f>
        <x:v>8414771202.164529</x:v>
      </x:c>
      <x:c r="R20" s="28" t="n">
        <x:f>IF(ISNUMBER('Model run'!R17),'Model run'!R17,"")</x:f>
        <x:v>8594142435.126007</x:v>
      </x:c>
      <x:c r="S20" s="28" t="n">
        <x:f>IF(ISNUMBER('Model run'!S17),'Model run'!S17,"")</x:f>
        <x:v>8772288312.452164</x:v>
      </x:c>
      <x:c r="T20" s="3"/>
      <x:c r="U20" s="3"/>
      <x:c r="V20" s="3"/>
    </x:row>
    <x:row r="21" ht="30" customHeight="1">
      <x:c r="A21" s="16" t="str">
        <x:v>Passenger petrol demand</x:v>
      </x:c>
      <x:c r="B21" s="16" t="str">
        <x:v>million L/year</x:v>
      </x:c>
      <x:c r="C21" s="16" t="str">
        <x:v>Reporting formula</x:v>
      </x:c>
      <x:c r="D21" s="18"/>
      <x:c r="E21" s="16" t="str">
        <x:v>Unit conversion of the engine output.</x:v>
      </x:c>
      <x:c r="F21" s="29" t="n">
        <x:f>F20/1000000</x:f>
        <x:v>6604.446599287105</x:v>
      </x:c>
      <x:c r="G21" s="29" t="n">
        <x:f>G20/1000000</x:f>
        <x:v>6799.914661651272</x:v>
      </x:c>
      <x:c r="H21" s="29" t="n">
        <x:f>H20/1000000</x:f>
        <x:v>6967.795194654524</x:v>
      </x:c>
      <x:c r="I21" s="29" t="n">
        <x:f>I20/1000000</x:f>
        <x:v>7107.316650590699</x:v>
      </x:c>
      <x:c r="J21" s="29" t="n">
        <x:f>J20/1000000</x:f>
        <x:v>7251.790037536385</x:v>
      </x:c>
      <x:c r="K21" s="29" t="n">
        <x:f>K20/1000000</x:f>
        <x:v>7401.722983680083</x:v>
      </x:c>
      <x:c r="L21" s="29" t="n">
        <x:f>L20/1000000</x:f>
        <x:v>7557.50860212469</x:v>
      </x:c>
      <x:c r="M21" s="29" t="n">
        <x:f>M20/1000000</x:f>
        <x:v>7719.319498873311</x:v>
      </x:c>
      <x:c r="N21" s="29" t="n">
        <x:f>N20/1000000</x:f>
        <x:v>7887.060129324876</x:v>
      </x:c>
      <x:c r="O21" s="29" t="n">
        <x:f>O20/1000000</x:f>
        <x:v>8059.708885814958</x:v>
      </x:c>
      <x:c r="P21" s="29" t="n">
        <x:f>P20/1000000</x:f>
        <x:v>8236.07844978074</x:v>
      </x:c>
      <x:c r="Q21" s="29" t="n">
        <x:f>Q20/1000000</x:f>
        <x:v>8414.77120216453</x:v>
      </x:c>
      <x:c r="R21" s="29" t="n">
        <x:f>R20/1000000</x:f>
        <x:v>8594.142435126007</x:v>
      </x:c>
      <x:c r="S21" s="29" t="n">
        <x:f>S20/1000000</x:f>
        <x:v>8772.288312452163</x:v>
      </x:c>
      <x:c r="T21" s="3"/>
      <x:c r="U21" s="3"/>
      <x:c r="V21" s="3"/>
    </x:row>
    <x:row r="22" ht="30" customHeight="1">
      <x:c r="A22" s="16" t="str">
        <x:v>Implied fleet-average consumption</x:v>
      </x:c>
      <x:c r="B22" s="16" t="str">
        <x:v>L/100 km</x:v>
      </x:c>
      <x:c r="C22" s="16" t="str">
        <x:v>Reporting formula</x:v>
      </x:c>
      <x:c r="D22" s="18"/>
      <x:c r="E22" s="16" t="str">
        <x:v>Fuel / vehicle-km × 100. Reporting diagnostic, not new-cohort consumption.</x:v>
      </x:c>
      <x:c r="F22" s="29" t="n">
        <x:f>IF(F19=0,"",F20/F19*100)</x:f>
        <x:v>9.46297088545394</x:v>
      </x:c>
      <x:c r="G22" s="29" t="n">
        <x:f>IF(G19=0,"",G20/G19*100)</x:f>
        <x:v>9.439386368184097</x:v>
      </x:c>
      <x:c r="H22" s="29" t="n">
        <x:f>IF(H19=0,"",H20/H19*100)</x:f>
        <x:v>9.412749237521364</x:v>
      </x:c>
      <x:c r="I22" s="29" t="n">
        <x:f>IF(I19=0,"",I20/I19*100)</x:f>
        <x:v>9.38381306091136</x:v>
      </x:c>
      <x:c r="J22" s="29" t="n">
        <x:f>IF(J19=0,"",J20/J19*100)</x:f>
        <x:v>9.350771077456187</x:v>
      </x:c>
      <x:c r="K22" s="29" t="n">
        <x:f>IF(K19=0,"",K20/K19*100)</x:f>
        <x:v>9.313841147663956</x:v>
      </x:c>
      <x:c r="L22" s="29" t="n">
        <x:f>IF(L19=0,"",L20/L19*100)</x:f>
        <x:v>9.273245705549657</x:v>
      </x:c>
      <x:c r="M22" s="29" t="n">
        <x:f>IF(M19=0,"",M20/M19*100)</x:f>
        <x:v>9.229223433696946</x:v>
      </x:c>
      <x:c r="N22" s="29" t="n">
        <x:f>IF(N19=0,"",N20/N19*100)</x:f>
        <x:v>9.182035306960147</x:v>
      </x:c>
      <x:c r="O22" s="29" t="n">
        <x:f>IF(O19=0,"",O20/O19*100)</x:f>
        <x:v>9.132027322796521</x:v>
      </x:c>
      <x:c r="P22" s="29" t="n">
        <x:f>IF(P19=0,"",P20/P19*100)</x:f>
        <x:v>9.079554397177512</x:v>
      </x:c>
      <x:c r="Q22" s="29" t="n">
        <x:f>IF(Q19=0,"",Q20/Q19*100)</x:f>
        <x:v>9.024979351630032</x:v>
      </x:c>
      <x:c r="R22" s="29" t="n">
        <x:f>IF(R19=0,"",R20/R19*100)</x:f>
        <x:v>8.968671910741383</x:v>
      </x:c>
      <x:c r="S22" s="29" t="n">
        <x:f>IF(S19=0,"",S20/S19*100)</x:f>
        <x:v>8.911005967468991</x:v>
      </x:c>
      <x:c r="T22" s="3"/>
      <x:c r="U22" s="3"/>
      <x:c r="V22" s="3"/>
    </x:row>
    <x:row r="23" ht="30" customHeight="1">
      <x:c r="A23" s="16" t="str">
        <x:v>All road petrol demand</x:v>
      </x:c>
      <x:c r="B23" s="16" t="str">
        <x:v>L/year</x:v>
      </x:c>
      <x:c r="C23" s="16" t="str">
        <x:v>Engine output</x:v>
      </x:c>
      <x:c r="D23" s="17"/>
      <x:c r="E23" s="16" t="str">
        <x:v>Includes passenger and LCV petrol. Does not claim all-product/sector coverage.</x:v>
      </x:c>
      <x:c r="F23" s="28" t="n">
        <x:f>IF(COUNT(F20,F46)&lt;2,"",F20+F46)</x:f>
        <x:v>7524313292.876868</x:v>
      </x:c>
      <x:c r="G23" s="28" t="n">
        <x:f>IF(COUNT(G20,G46)&lt;2,"",G20+G46)</x:f>
        <x:v>7742855189.752117</x:v>
      </x:c>
      <x:c r="H23" s="28" t="n">
        <x:f>IF(COUNT(H20,H46)&lt;2,"",H20+H46)</x:f>
        <x:v>7929685371.405512</x:v>
      </x:c>
      <x:c r="I23" s="28" t="n">
        <x:f>IF(COUNT(I20,I46)&lt;2,"",I20+I46)</x:f>
        <x:v>8083956751.428674</x:v>
      </x:c>
      <x:c r="J23" s="28" t="n">
        <x:f>IF(COUNT(J20,J46)&lt;2,"",J20+J46)</x:f>
        <x:v>8244025240.866488</x:v>
      </x:c>
      <x:c r="K23" s="28" t="n">
        <x:f>IF(COUNT(K20,K46)&lt;2,"",K20+K46)</x:f>
        <x:v>8410462249.470675</x:v>
      </x:c>
      <x:c r="L23" s="28" t="n">
        <x:f>IF(COUNT(L20,L46)&lt;2,"",L20+L46)</x:f>
        <x:v>8583707326.682596</x:v>
      </x:c>
      <x:c r="M23" s="28" t="n">
        <x:f>IF(COUNT(M20,M46)&lt;2,"",M20+M46)</x:f>
        <x:v>8763946422.053</x:v>
      </x:c>
      <x:c r="N23" s="28" t="n">
        <x:f>IF(COUNT(N20,N46)&lt;2,"",N20+N46)</x:f>
        <x:v>8951057412.033466</x:v>
      </x:c>
      <x:c r="O23" s="28" t="n">
        <x:f>IF(COUNT(O20,O46)&lt;2,"",O20+O46)</x:f>
        <x:v>9143853712.900024</x:v>
      </x:c>
      <x:c r="P23" s="28" t="n">
        <x:f>IF(COUNT(P20,P46)&lt;2,"",P20+P46)</x:f>
        <x:v>9340960238.495893</x:v>
      </x:c>
      <x:c r="Q23" s="28" t="n">
        <x:f>IF(COUNT(Q20,Q46)&lt;2,"",Q20+Q46)</x:f>
        <x:v>9540762254.10413</x:v>
      </x:c>
      <x:c r="R23" s="28" t="n">
        <x:f>IF(COUNT(R20,R46)&lt;2,"",R20+R46)</x:f>
        <x:v>9741363263.688969</x:v>
      </x:c>
      <x:c r="S23" s="28" t="n">
        <x:f>IF(COUNT(S20,S46)&lt;2,"",S20+S46)</x:f>
        <x:v>9940571409.724516</x:v>
      </x:c>
      <x:c r="T23" s="3"/>
      <x:c r="U23" s="3"/>
      <x:c r="V23" s="3"/>
    </x:row>
    <x:row r="24" ht="8" customHeight="1">
      <x:c r="A24" s="3"/>
      <x:c r="B24" s="3"/>
      <x:c r="C24" s="3"/>
      <x:c r="D24" s="3"/>
      <x:c r="E24" s="3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3"/>
      <x:c r="U24" s="3"/>
      <x:c r="V24" s="3"/>
    </x:row>
    <x:row r="25" ht="28" customHeight="1">
      <x:c r="A25" s="12" t="str">
        <x:v>Proposed input/output rows to agree and populate</x:v>
      </x:c>
      <x:c r="B25" s="11"/>
      <x:c r="C25" s="11"/>
      <x:c r="D25" s="11"/>
      <x:c r="E25" s="11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3"/>
      <x:c r="U25" s="3"/>
      <x:c r="V25" s="3"/>
    </x:row>
    <x:row r="26" ht="30" customHeight="1">
      <x:c r="A26" s="3" t="str">
        <x:v>New passenger sales / BEV share</x:v>
      </x:c>
      <x:c r="B26" s="3" t="str">
        <x:v>vehicles / share</x:v>
      </x:c>
      <x:c r="C26" s="3" t="str">
        <x:v>Workshop input</x:v>
      </x:c>
      <x:c r="D26" s="19"/>
      <x:c r="E26" s="10" t="str">
        <x:v>New sales evidence is now in rows 35–41. Class-specific adoption… [N031]</x:v>
      </x:c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"/>
      <x:c r="U26" s="3"/>
      <x:c r="V26" s="3"/>
    </x:row>
    <x:row r="27" ht="30" customHeight="1">
      <x:c r="A27" s="3" t="str">
        <x:v>Verified opening fleet</x:v>
      </x:c>
      <x:c r="B27" s="3" t="str">
        <x:v>vehicles at date</x:v>
      </x:c>
      <x:c r="C27" s="3" t="str">
        <x:v>Workshop input</x:v>
      </x:c>
      <x:c r="D27" s="19"/>
      <x:c r="E27" s="10" t="str">
        <x:v>All-drivetrain stock is in row 36. Petrol-only opening fleet and… [N032]</x:v>
      </x:c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  <x:c r="Q27" s="30"/>
      <x:c r="R27" s="30"/>
      <x:c r="S27" s="30"/>
      <x:c r="T27" s="3"/>
      <x:c r="U27" s="3"/>
      <x:c r="V27" s="3"/>
    </x:row>
    <x:row r="28" ht="30" customHeight="1">
      <x:c r="A28" s="65" t="str">
        <x:v>Reported total petrol sales</x:v>
      </x:c>
      <x:c r="B28" s="65" t="str">
        <x:v>million L/year</x:v>
      </x:c>
      <x:c r="C28" s="65" t="str">
        <x:v>Staged observation</x:v>
      </x:c>
      <x:c r="D28" s="66" t="str">
        <x:f>IF(ISNUMBER('Evidence'!D5),'Evidence'!D5,"")</x:f>
      </x:c>
      <x:c r="E28" s="65" t="str">
        <x:v>FIASA staged reported sales; latest edition selected by existing… [N033]</x:v>
      </x:c>
      <x:c r="F28" s="67" t="n">
        <x:f>IF(ISNUMBER('Evidence'!F5),'Evidence'!F5,"")</x:f>
        <x:v>9185</x:v>
      </x:c>
      <x:c r="G28" s="67" t="n">
        <x:f>IF(ISNUMBER('Evidence'!G5),'Evidence'!G5,"")</x:f>
        <x:v>9037</x:v>
      </x:c>
      <x:c r="H28" s="67" t="n">
        <x:f>IF(ISNUMBER('Evidence'!H5),'Evidence'!H5,"")</x:f>
        <x:v>9029</x:v>
      </x:c>
      <x:c r="I28" s="67" t="str">
        <x:f>IF(ISNUMBER('Evidence'!I5),'Evidence'!I5,"")</x:f>
      </x:c>
      <x:c r="J28" s="67" t="str">
        <x:f>IF(ISNUMBER('Evidence'!J5),'Evidence'!J5,"")</x:f>
      </x:c>
      <x:c r="K28" s="67" t="str">
        <x:f>IF(ISNUMBER('Evidence'!K5),'Evidence'!K5,"")</x:f>
      </x:c>
      <x:c r="L28" s="67" t="str">
        <x:f>IF(ISNUMBER('Evidence'!L5),'Evidence'!L5,"")</x:f>
      </x:c>
      <x:c r="M28" s="67" t="str">
        <x:f>IF(ISNUMBER('Evidence'!M5),'Evidence'!M5,"")</x:f>
      </x:c>
      <x:c r="N28" s="67" t="str">
        <x:f>IF(ISNUMBER('Evidence'!N5),'Evidence'!N5,"")</x:f>
      </x:c>
      <x:c r="O28" s="67" t="str">
        <x:f>IF(ISNUMBER('Evidence'!O5),'Evidence'!O5,"")</x:f>
      </x:c>
      <x:c r="P28" s="67" t="str">
        <x:f>IF(ISNUMBER('Evidence'!P5),'Evidence'!P5,"")</x:f>
      </x:c>
      <x:c r="Q28" s="67" t="str">
        <x:f>IF(ISNUMBER('Evidence'!Q5),'Evidence'!Q5,"")</x:f>
      </x:c>
      <x:c r="R28" s="67" t="str">
        <x:f>IF(ISNUMBER('Evidence'!R5),'Evidence'!R5,"")</x:f>
      </x:c>
      <x:c r="S28" s="67" t="str">
        <x:f>IF(ISNUMBER('Evidence'!S5),'Evidence'!S5,"")</x:f>
      </x:c>
      <x:c r="T28" s="3" t="str">
        <x:v>Unreviewed source extract; annual cells contain… [N034]</x:v>
      </x:c>
      <x:c r="U28" s="3" t="str">
        <x:v>Evidence row 5; assumptions/2026/timeseries/fuel_sales_fiasa.csv</x:v>
      </x:c>
      <x:c r="V28" s="3" t="str">
        <x:v>All-product comparator; compare with road total,… [N035]</x:v>
      </x:c>
    </x:row>
    <x:row r="29" ht="8" customHeight="1">
      <x:c r="A29" s="3"/>
      <x:c r="B29" s="3"/>
      <x:c r="C29" s="3"/>
      <x:c r="D29" s="3"/>
      <x:c r="E29" s="3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3"/>
      <x:c r="U29" s="3"/>
      <x:c r="V29" s="3"/>
    </x:row>
    <x:row r="30" ht="30" customHeight="1">
      <x:c r="A30" s="3" t="str">
        <x:v>Source</x:v>
      </x:c>
      <x:c r="B30" s="3" t="str">
        <x:v>URL</x:v>
      </x:c>
      <x:c r="C30" s="3" t="str">
        <x:v>Source</x:v>
      </x:c>
      <x:c r="D30" s="13"/>
      <x:c r="E30" s="3" t="str">
        <x:v>https://github.com/Africa-International-Advisors/liquid_fuels_mode… [N036]</x:v>
      </x:c>
      <x:c r="F30" s="26"/>
      <x:c r="G30" s="26"/>
      <x:c r="H30" s="26"/>
      <x:c r="I30" s="26"/>
      <x:c r="J30" s="26"/>
      <x:c r="K30" s="26"/>
      <x:c r="L30" s="26"/>
      <x:c r="M30" s="26"/>
      <x:c r="N30" s="26"/>
      <x:c r="O30" s="26"/>
      <x:c r="P30" s="26"/>
      <x:c r="Q30" s="26"/>
      <x:c r="R30" s="26"/>
      <x:c r="S30" s="26"/>
      <x:c r="T30" s="3"/>
      <x:c r="U30" s="3"/>
      <x:c r="V30" s="3"/>
    </x:row>
    <x:row r="31" ht="30" customHeight="1">
      <x:c r="A31" s="3" t="str">
        <x:v>Calculation source</x:v>
      </x:c>
      <x:c r="B31" s="3" t="str">
        <x:v>URL</x:v>
      </x:c>
      <x:c r="C31" s="3" t="str">
        <x:v>Source</x:v>
      </x:c>
      <x:c r="D31" s="13"/>
      <x:c r="E31" s="3" t="str">
        <x:v>https://github.com/Africa-International-Advisors/liquid_fuels_mode… [N037]</x:v>
      </x:c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  <x:c r="Q31" s="26"/>
      <x:c r="R31" s="26"/>
      <x:c r="S31" s="26"/>
      <x:c r="T31" s="3"/>
      <x:c r="U31" s="3"/>
      <x:c r="V31" s="3"/>
    </x:row>
    <x:row r="32" ht="30" customHeight="1">
      <x:c r="A32" s="3" t="str">
        <x:v>Macro / efficiency sources</x:v>
      </x:c>
      <x:c r="B32" s="3" t="str">
        <x:v>URL</x:v>
      </x:c>
      <x:c r="C32" s="3" t="str">
        <x:v>Source</x:v>
      </x:c>
      <x:c r="D32" s="13"/>
      <x:c r="E32" s="3" t="str">
        <x:v>https://github.com/Africa-International-Advisors/liquid_fuels_mode… [N038]</x:v>
      </x:c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  <x:c r="Q32" s="26"/>
      <x:c r="R32" s="26"/>
      <x:c r="S32" s="26"/>
      <x:c r="T32" s="3"/>
      <x:c r="U32" s="3"/>
      <x:c r="V32" s="3"/>
    </x:row>
    <x:row r="33" ht="8" customHeight="1">
      <x:c r="A33" s="3"/>
      <x:c r="B33" s="3"/>
      <x:c r="C33" s="3"/>
      <x:c r="D33" s="3"/>
      <x:c r="E33" s="3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3"/>
      <x:c r="U33" s="3"/>
      <x:c r="V33" s="3"/>
    </x:row>
    <x:row r="34" ht="28" customHeight="1">
      <x:c r="A34" s="12" t="str">
        <x:v>Available historical evidence: separate from current engine inputs</x:v>
      </x:c>
      <x:c r="B34" s="11"/>
      <x:c r="C34" s="11"/>
      <x:c r="D34" s="11"/>
      <x:c r="E34" s="11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11"/>
      <x:c r="U34" s="11"/>
      <x:c r="V34" s="11"/>
    </x:row>
    <x:row r="35" ht="30" customHeight="1">
      <x:c r="A35" s="65" t="str">
        <x:v>New passenger-car sales</x:v>
      </x:c>
      <x:c r="B35" s="65" t="str">
        <x:v>vehicles/year</x:v>
      </x:c>
      <x:c r="C35" s="65" t="str">
        <x:v>Staged observation</x:v>
      </x:c>
      <x:c r="D35" s="66" t="str">
        <x:f>IF(ISNUMBER('Evidence'!D13),'Evidence'!D13,"")</x:f>
      </x:c>
      <x:c r="E35" s="65" t="str">
        <x:v>NAAMSA actual new sales. Published 2026/27 projections excluded… [N039]</x:v>
      </x:c>
      <x:c r="F35" s="67" t="n">
        <x:f>IF(ISNUMBER('Evidence'!F13),'Evidence'!F13,"")</x:f>
        <x:v>363681</x:v>
      </x:c>
      <x:c r="G35" s="67" t="n">
        <x:f>IF(ISNUMBER('Evidence'!G13),'Evidence'!G13,"")</x:f>
        <x:v>347377</x:v>
      </x:c>
      <x:c r="H35" s="67" t="n">
        <x:f>IF(ISNUMBER('Evidence'!H13),'Evidence'!H13,"")</x:f>
        <x:v>351553</x:v>
      </x:c>
      <x:c r="I35" s="67" t="n">
        <x:f>IF(ISNUMBER('Evidence'!I13),'Evidence'!I13,"")</x:f>
        <x:v>422463</x:v>
      </x:c>
      <x:c r="J35" s="67" t="str">
        <x:f>IF(ISNUMBER('Evidence'!J13),'Evidence'!J13,"")</x:f>
      </x:c>
      <x:c r="K35" s="67" t="str">
        <x:f>IF(ISNUMBER('Evidence'!K13),'Evidence'!K13,"")</x:f>
      </x:c>
      <x:c r="L35" s="67" t="str">
        <x:f>IF(ISNUMBER('Evidence'!L13),'Evidence'!L13,"")</x:f>
      </x:c>
      <x:c r="M35" s="67" t="str">
        <x:f>IF(ISNUMBER('Evidence'!M13),'Evidence'!M13,"")</x:f>
      </x:c>
      <x:c r="N35" s="67" t="str">
        <x:f>IF(ISNUMBER('Evidence'!N13),'Evidence'!N13,"")</x:f>
      </x:c>
      <x:c r="O35" s="67" t="str">
        <x:f>IF(ISNUMBER('Evidence'!O13),'Evidence'!O13,"")</x:f>
      </x:c>
      <x:c r="P35" s="67" t="str">
        <x:f>IF(ISNUMBER('Evidence'!P13),'Evidence'!P13,"")</x:f>
      </x:c>
      <x:c r="Q35" s="67" t="str">
        <x:f>IF(ISNUMBER('Evidence'!Q13),'Evidence'!Q13,"")</x:f>
      </x:c>
      <x:c r="R35" s="67" t="str">
        <x:f>IF(ISNUMBER('Evidence'!R13),'Evidence'!R13,"")</x:f>
      </x:c>
      <x:c r="S35" s="67" t="str">
        <x:f>IF(ISNUMBER('Evidence'!S13),'Evidence'!S13,"")</x:f>
      </x:c>
      <x:c r="T35" s="3" t="str">
        <x:v>Unreviewed source extract; annual cells contain… [N040]</x:v>
      </x:c>
      <x:c r="U35" s="3" t="str">
        <x:v>Evidence row 13;… [N041]</x:v>
      </x:c>
      <x:c r="V35" s="3" t="str">
        <x:v>G02: fit class-specific sales and compare with… [N042]</x:v>
      </x:c>
    </x:row>
    <x:row r="36" ht="30" customHeight="1">
      <x:c r="A36" s="65" t="str">
        <x:v>Registered cars, all drivetrains</x:v>
      </x:c>
      <x:c r="B36" s="65" t="str">
        <x:v>vehicles</x:v>
      </x:c>
      <x:c r="C36" s="65" t="str">
        <x:v>Staged observation</x:v>
      </x:c>
      <x:c r="D36" s="66" t="n">
        <x:f>IF(ISNUMBER('Evidence'!D20),'Evidence'!D20,"")</x:f>
        <x:v>8340592</x:v>
      </x:c>
      <x:c r="E36" s="65" t="str">
        <x:v>eNaTIS December snapshots; latest June 2026 kept separately. No… [N043]</x:v>
      </x:c>
      <x:c r="F36" s="67" t="n">
        <x:f>IF(ISNUMBER('Evidence'!F20),'Evidence'!F20,"")</x:f>
        <x:v>7685153</x:v>
      </x:c>
      <x:c r="G36" s="67" t="n">
        <x:f>IF(ISNUMBER('Evidence'!G20),'Evidence'!G20,"")</x:f>
        <x:v>7794164</x:v>
      </x:c>
      <x:c r="H36" s="67" t="n">
        <x:f>IF(ISNUMBER('Evidence'!H20),'Evidence'!H20,"")</x:f>
        <x:v>7949275</x:v>
      </x:c>
      <x:c r="I36" s="67" t="n">
        <x:f>IF(ISNUMBER('Evidence'!I20),'Evidence'!I20,"")</x:f>
        <x:v>8184111</x:v>
      </x:c>
      <x:c r="J36" s="67" t="str">
        <x:f>IF(ISNUMBER('Evidence'!J20),'Evidence'!J20,"")</x:f>
      </x:c>
      <x:c r="K36" s="67" t="str">
        <x:f>IF(ISNUMBER('Evidence'!K20),'Evidence'!K20,"")</x:f>
      </x:c>
      <x:c r="L36" s="67" t="str">
        <x:f>IF(ISNUMBER('Evidence'!L20),'Evidence'!L20,"")</x:f>
      </x:c>
      <x:c r="M36" s="67" t="str">
        <x:f>IF(ISNUMBER('Evidence'!M20),'Evidence'!M20,"")</x:f>
      </x:c>
      <x:c r="N36" s="67" t="str">
        <x:f>IF(ISNUMBER('Evidence'!N20),'Evidence'!N20,"")</x:f>
      </x:c>
      <x:c r="O36" s="67" t="str">
        <x:f>IF(ISNUMBER('Evidence'!O20),'Evidence'!O20,"")</x:f>
      </x:c>
      <x:c r="P36" s="67" t="str">
        <x:f>IF(ISNUMBER('Evidence'!P20),'Evidence'!P20,"")</x:f>
      </x:c>
      <x:c r="Q36" s="67" t="str">
        <x:f>IF(ISNUMBER('Evidence'!Q20),'Evidence'!Q20,"")</x:f>
      </x:c>
      <x:c r="R36" s="67" t="str">
        <x:f>IF(ISNUMBER('Evidence'!R20),'Evidence'!R20,"")</x:f>
      </x:c>
      <x:c r="S36" s="67" t="str">
        <x:f>IF(ISNUMBER('Evidence'!S20),'Evidence'!S20,"")</x:f>
      </x:c>
      <x:c r="T36" s="3" t="str">
        <x:v>Unreviewed source extract; annual cells contain… [N044]</x:v>
      </x:c>
      <x:c r="U36" s="3" t="str">
        <x:v>Evidence row 20;… [N045]</x:v>
      </x:c>
      <x:c r="V36" s="3" t="str">
        <x:v>G02: obtain petrol/diesel/BEV/hybrid and age split.</x:v>
      </x:c>
    </x:row>
    <x:row r="37" ht="30" customHeight="1">
      <x:c r="A37" s="65" t="str">
        <x:v>BEV new sales — all market</x:v>
      </x:c>
      <x:c r="B37" s="65" t="str">
        <x:v>vehicles/year</x:v>
      </x:c>
      <x:c r="C37" s="65" t="str">
        <x:v>Staged observation</x:v>
      </x:c>
      <x:c r="D37" s="66" t="str">
        <x:f>IF(ISNUMBER('Evidence'!D17),'Evidence'!D17,"")</x:f>
      </x:c>
      <x:c r="E37" s="65" t="str">
        <x:v>All-market drivetrain sales; passenger/truck split is not… [N046]</x:v>
      </x:c>
      <x:c r="F37" s="67" t="n">
        <x:f>IF(ISNUMBER('Evidence'!F17),'Evidence'!F17,"")</x:f>
        <x:v>502</x:v>
      </x:c>
      <x:c r="G37" s="67" t="n">
        <x:f>IF(ISNUMBER('Evidence'!G17),'Evidence'!G17,"")</x:f>
        <x:v>929</x:v>
      </x:c>
      <x:c r="H37" s="67" t="n">
        <x:f>IF(ISNUMBER('Evidence'!H17),'Evidence'!H17,"")</x:f>
        <x:v>1257</x:v>
      </x:c>
      <x:c r="I37" s="67" t="n">
        <x:f>IF(ISNUMBER('Evidence'!I17),'Evidence'!I17,"")</x:f>
        <x:v>1088</x:v>
      </x:c>
      <x:c r="J37" s="67" t="str">
        <x:f>IF(ISNUMBER('Evidence'!J17),'Evidence'!J17,"")</x:f>
      </x:c>
      <x:c r="K37" s="67" t="str">
        <x:f>IF(ISNUMBER('Evidence'!K17),'Evidence'!K17,"")</x:f>
      </x:c>
      <x:c r="L37" s="67" t="str">
        <x:f>IF(ISNUMBER('Evidence'!L17),'Evidence'!L17,"")</x:f>
      </x:c>
      <x:c r="M37" s="67" t="str">
        <x:f>IF(ISNUMBER('Evidence'!M17),'Evidence'!M17,"")</x:f>
      </x:c>
      <x:c r="N37" s="67" t="str">
        <x:f>IF(ISNUMBER('Evidence'!N17),'Evidence'!N17,"")</x:f>
      </x:c>
      <x:c r="O37" s="67" t="str">
        <x:f>IF(ISNUMBER('Evidence'!O17),'Evidence'!O17,"")</x:f>
      </x:c>
      <x:c r="P37" s="67" t="str">
        <x:f>IF(ISNUMBER('Evidence'!P17),'Evidence'!P17,"")</x:f>
      </x:c>
      <x:c r="Q37" s="67" t="str">
        <x:f>IF(ISNUMBER('Evidence'!Q17),'Evidence'!Q17,"")</x:f>
      </x:c>
      <x:c r="R37" s="67" t="str">
        <x:f>IF(ISNUMBER('Evidence'!R17),'Evidence'!R17,"")</x:f>
      </x:c>
      <x:c r="S37" s="67" t="str">
        <x:f>IF(ISNUMBER('Evidence'!S17),'Evidence'!S17,"")</x:f>
      </x:c>
      <x:c r="T37" s="3" t="str">
        <x:v>Unreviewed source extract; annual cells contain… [N047]</x:v>
      </x:c>
      <x:c r="U37" s="3" t="str">
        <x:v>Evidence row 17;… [N048]</x:v>
      </x:c>
      <x:c r="V37" s="3" t="str">
        <x:v>G03: class split missing; do not treat as… [N049]</x:v>
      </x:c>
    </x:row>
    <x:row r="38" ht="30" customHeight="1">
      <x:c r="A38" s="65" t="str">
        <x:v>PHEV new sales — all market</x:v>
      </x:c>
      <x:c r="B38" s="65" t="str">
        <x:v>vehicles/year</x:v>
      </x:c>
      <x:c r="C38" s="65" t="str">
        <x:v>Staged observation</x:v>
      </x:c>
      <x:c r="D38" s="66" t="str">
        <x:f>IF(ISNUMBER('Evidence'!D18),'Evidence'!D18,"")</x:f>
      </x:c>
      <x:c r="E38" s="65" t="str">
        <x:v>All-market drivetrain sales; passenger/truck split is not… [N050]</x:v>
      </x:c>
      <x:c r="F38" s="67" t="n">
        <x:f>IF(ISNUMBER('Evidence'!F18),'Evidence'!F18,"")</x:f>
        <x:v>122</x:v>
      </x:c>
      <x:c r="G38" s="67" t="n">
        <x:f>IF(ISNUMBER('Evidence'!G18),'Evidence'!G18,"")</x:f>
        <x:v>368</x:v>
      </x:c>
      <x:c r="H38" s="67" t="n">
        <x:f>IF(ISNUMBER('Evidence'!H18),'Evidence'!H18,"")</x:f>
        <x:v>738</x:v>
      </x:c>
      <x:c r="I38" s="67" t="n">
        <x:f>IF(ISNUMBER('Evidence'!I18),'Evidence'!I18,"")</x:f>
        <x:v>2810</x:v>
      </x:c>
      <x:c r="J38" s="67" t="str">
        <x:f>IF(ISNUMBER('Evidence'!J18),'Evidence'!J18,"")</x:f>
      </x:c>
      <x:c r="K38" s="67" t="str">
        <x:f>IF(ISNUMBER('Evidence'!K18),'Evidence'!K18,"")</x:f>
      </x:c>
      <x:c r="L38" s="67" t="str">
        <x:f>IF(ISNUMBER('Evidence'!L18),'Evidence'!L18,"")</x:f>
      </x:c>
      <x:c r="M38" s="67" t="str">
        <x:f>IF(ISNUMBER('Evidence'!M18),'Evidence'!M18,"")</x:f>
      </x:c>
      <x:c r="N38" s="67" t="str">
        <x:f>IF(ISNUMBER('Evidence'!N18),'Evidence'!N18,"")</x:f>
      </x:c>
      <x:c r="O38" s="67" t="str">
        <x:f>IF(ISNUMBER('Evidence'!O18),'Evidence'!O18,"")</x:f>
      </x:c>
      <x:c r="P38" s="67" t="str">
        <x:f>IF(ISNUMBER('Evidence'!P18),'Evidence'!P18,"")</x:f>
      </x:c>
      <x:c r="Q38" s="67" t="str">
        <x:f>IF(ISNUMBER('Evidence'!Q18),'Evidence'!Q18,"")</x:f>
      </x:c>
      <x:c r="R38" s="67" t="str">
        <x:f>IF(ISNUMBER('Evidence'!R18),'Evidence'!R18,"")</x:f>
      </x:c>
      <x:c r="S38" s="67" t="str">
        <x:f>IF(ISNUMBER('Evidence'!S18),'Evidence'!S18,"")</x:f>
      </x:c>
      <x:c r="T38" s="3" t="str">
        <x:v>Unreviewed source extract; annual cells contain… [N051]</x:v>
      </x:c>
      <x:c r="U38" s="3" t="str">
        <x:v>Evidence row 18;… [N052]</x:v>
      </x:c>
      <x:c r="V38" s="3" t="str">
        <x:v>G03: class split and electric-km fraction missing.</x:v>
      </x:c>
    </x:row>
    <x:row r="39" ht="30" customHeight="1">
      <x:c r="A39" s="65" t="str">
        <x:v>Conventional hybrid new sales</x:v>
      </x:c>
      <x:c r="B39" s="65" t="str">
        <x:v>vehicles/year</x:v>
      </x:c>
      <x:c r="C39" s="65" t="str">
        <x:v>Staged observation</x:v>
      </x:c>
      <x:c r="D39" s="66" t="str">
        <x:f>IF(ISNUMBER('Evidence'!D19),'Evidence'!D19,"")</x:f>
      </x:c>
      <x:c r="E39" s="65" t="str">
        <x:v>All-market drivetrain sales; passenger/truck split is not… [N053]</x:v>
      </x:c>
      <x:c r="F39" s="67" t="n">
        <x:f>IF(ISNUMBER('Evidence'!F19),'Evidence'!F19,"")</x:f>
        <x:v>4070</x:v>
      </x:c>
      <x:c r="G39" s="67" t="n">
        <x:f>IF(ISNUMBER('Evidence'!G19),'Evidence'!G19,"")</x:f>
        <x:v>6485</x:v>
      </x:c>
      <x:c r="H39" s="67" t="n">
        <x:f>IF(ISNUMBER('Evidence'!H19),'Evidence'!H19,"")</x:f>
        <x:v>13616</x:v>
      </x:c>
      <x:c r="I39" s="67" t="n">
        <x:f>IF(ISNUMBER('Evidence'!I19),'Evidence'!I19,"")</x:f>
        <x:v>12818</x:v>
      </x:c>
      <x:c r="J39" s="67" t="str">
        <x:f>IF(ISNUMBER('Evidence'!J19),'Evidence'!J19,"")</x:f>
      </x:c>
      <x:c r="K39" s="67" t="str">
        <x:f>IF(ISNUMBER('Evidence'!K19),'Evidence'!K19,"")</x:f>
      </x:c>
      <x:c r="L39" s="67" t="str">
        <x:f>IF(ISNUMBER('Evidence'!L19),'Evidence'!L19,"")</x:f>
      </x:c>
      <x:c r="M39" s="67" t="str">
        <x:f>IF(ISNUMBER('Evidence'!M19),'Evidence'!M19,"")</x:f>
      </x:c>
      <x:c r="N39" s="67" t="str">
        <x:f>IF(ISNUMBER('Evidence'!N19),'Evidence'!N19,"")</x:f>
      </x:c>
      <x:c r="O39" s="67" t="str">
        <x:f>IF(ISNUMBER('Evidence'!O19),'Evidence'!O19,"")</x:f>
      </x:c>
      <x:c r="P39" s="67" t="str">
        <x:f>IF(ISNUMBER('Evidence'!P19),'Evidence'!P19,"")</x:f>
      </x:c>
      <x:c r="Q39" s="67" t="str">
        <x:f>IF(ISNUMBER('Evidence'!Q19),'Evidence'!Q19,"")</x:f>
      </x:c>
      <x:c r="R39" s="67" t="str">
        <x:f>IF(ISNUMBER('Evidence'!R19),'Evidence'!R19,"")</x:f>
      </x:c>
      <x:c r="S39" s="67" t="str">
        <x:f>IF(ISNUMBER('Evidence'!S19),'Evidence'!S19,"")</x:f>
      </x:c>
      <x:c r="T39" s="3" t="str">
        <x:v>Unreviewed source extract; annual cells contain… [N054]</x:v>
      </x:c>
      <x:c r="U39" s="3" t="str">
        <x:v>Evidence row 19;… [N055]</x:v>
      </x:c>
      <x:c r="V39" s="3" t="str">
        <x:v>G03: source class-specific efficiency and mix.</x:v>
      </x:c>
    </x:row>
    <x:row r="40" ht="30" customHeight="1">
      <x:c r="A40" s="65" t="str">
        <x:v>Total new-vehicle sales</x:v>
      </x:c>
      <x:c r="B40" s="65" t="str">
        <x:v>vehicles/year</x:v>
      </x:c>
      <x:c r="C40" s="65" t="str">
        <x:v>Staged observation</x:v>
      </x:c>
      <x:c r="D40" s="66" t="str">
        <x:f>IF(ISNUMBER('Evidence'!D16),'Evidence'!D16,"")</x:f>
      </x:c>
      <x:c r="E40" s="65" t="str">
        <x:v>NAAMSA actual new sales. Published 2026/27 projections excluded… [N056]</x:v>
      </x:c>
      <x:c r="F40" s="67" t="n">
        <x:f>IF(ISNUMBER('Evidence'!F16),'Evidence'!F16,"")</x:f>
        <x:v>529335</x:v>
      </x:c>
      <x:c r="G40" s="67" t="n">
        <x:f>IF(ISNUMBER('Evidence'!G16),'Evidence'!G16,"")</x:f>
        <x:v>531557</x:v>
      </x:c>
      <x:c r="H40" s="67" t="n">
        <x:f>IF(ISNUMBER('Evidence'!H16),'Evidence'!H16,"")</x:f>
        <x:v>516103</x:v>
      </x:c>
      <x:c r="I40" s="67" t="n">
        <x:f>IF(ISNUMBER('Evidence'!I16),'Evidence'!I16,"")</x:f>
        <x:v>597338</x:v>
      </x:c>
      <x:c r="J40" s="67" t="str">
        <x:f>IF(ISNUMBER('Evidence'!J16),'Evidence'!J16,"")</x:f>
      </x:c>
      <x:c r="K40" s="67" t="str">
        <x:f>IF(ISNUMBER('Evidence'!K16),'Evidence'!K16,"")</x:f>
      </x:c>
      <x:c r="L40" s="67" t="str">
        <x:f>IF(ISNUMBER('Evidence'!L16),'Evidence'!L16,"")</x:f>
      </x:c>
      <x:c r="M40" s="67" t="str">
        <x:f>IF(ISNUMBER('Evidence'!M16),'Evidence'!M16,"")</x:f>
      </x:c>
      <x:c r="N40" s="67" t="str">
        <x:f>IF(ISNUMBER('Evidence'!N16),'Evidence'!N16,"")</x:f>
      </x:c>
      <x:c r="O40" s="67" t="str">
        <x:f>IF(ISNUMBER('Evidence'!O16),'Evidence'!O16,"")</x:f>
      </x:c>
      <x:c r="P40" s="67" t="str">
        <x:f>IF(ISNUMBER('Evidence'!P16),'Evidence'!P16,"")</x:f>
      </x:c>
      <x:c r="Q40" s="67" t="str">
        <x:f>IF(ISNUMBER('Evidence'!Q16),'Evidence'!Q16,"")</x:f>
      </x:c>
      <x:c r="R40" s="67" t="str">
        <x:f>IF(ISNUMBER('Evidence'!R16),'Evidence'!R16,"")</x:f>
      </x:c>
      <x:c r="S40" s="67" t="str">
        <x:f>IF(ISNUMBER('Evidence'!S16),'Evidence'!S16,"")</x:f>
      </x:c>
      <x:c r="T40" s="3" t="str">
        <x:v>Unreviewed source extract; annual cells contain… [N057]</x:v>
      </x:c>
      <x:c r="U40" s="3" t="str">
        <x:v>Evidence row 16;… [N058]</x:v>
      </x:c>
      <x:c r="V40" s="3" t="str">
        <x:v>G02/G03: same-market denominator only; reconcile… [N059]</x:v>
      </x:c>
    </x:row>
    <x:row r="41" ht="30" customHeight="1">
      <x:c r="A41" s="16" t="str">
        <x:v>BEV share of total market sales</x:v>
      </x:c>
      <x:c r="B41" s="16" t="str">
        <x:v>share</x:v>
      </x:c>
      <x:c r="C41" s="16" t="str">
        <x:v>Reporting formula</x:v>
      </x:c>
      <x:c r="D41" s="18"/>
      <x:c r="E41" s="16" t="str">
        <x:v>All-market share = BEV sales / total market sales. Not passenger-specific.</x:v>
      </x:c>
      <x:c r="F41" s="103" t="n">
        <x:f>IF(COUNT(F37,F40)&lt;2,"",IF(F40=0,"",F37/F40))</x:f>
        <x:v>0.0009483597343837079</x:v>
      </x:c>
      <x:c r="G41" s="103" t="n">
        <x:f>IF(COUNT(G37,G40)&lt;2,"",IF(G40=0,"",G37/G40))</x:f>
        <x:v>0.0017476959197226262</x:v>
      </x:c>
      <x:c r="H41" s="103" t="n">
        <x:f>IF(COUNT(H37,H40)&lt;2,"",IF(H40=0,"",H37/H40))</x:f>
        <x:v>0.002435560343574829</x:v>
      </x:c>
      <x:c r="I41" s="103" t="n">
        <x:f>IF(COUNT(I37,I40)&lt;2,"",IF(I40=0,"",I37/I40))</x:f>
        <x:v>0.0018214143416290275</x:v>
      </x:c>
      <x:c r="J41" s="103" t="str">
        <x:f>IF(COUNT(J37,J40)&lt;2,"",IF(J40=0,"",J37/J40))</x:f>
      </x:c>
      <x:c r="K41" s="103" t="str">
        <x:f>IF(COUNT(K37,K40)&lt;2,"",IF(K40=0,"",K37/K40))</x:f>
      </x:c>
      <x:c r="L41" s="103" t="str">
        <x:f>IF(COUNT(L37,L40)&lt;2,"",IF(L40=0,"",L37/L40))</x:f>
      </x:c>
      <x:c r="M41" s="103" t="str">
        <x:f>IF(COUNT(M37,M40)&lt;2,"",IF(M40=0,"",M37/M40))</x:f>
      </x:c>
      <x:c r="N41" s="103" t="str">
        <x:f>IF(COUNT(N37,N40)&lt;2,"",IF(N40=0,"",N37/N40))</x:f>
      </x:c>
      <x:c r="O41" s="103" t="str">
        <x:f>IF(COUNT(O37,O40)&lt;2,"",IF(O40=0,"",O37/O40))</x:f>
      </x:c>
      <x:c r="P41" s="103" t="str">
        <x:f>IF(COUNT(P37,P40)&lt;2,"",IF(P40=0,"",P37/P40))</x:f>
      </x:c>
      <x:c r="Q41" s="103" t="str">
        <x:f>IF(COUNT(Q37,Q40)&lt;2,"",IF(Q40=0,"",Q37/Q40))</x:f>
      </x:c>
      <x:c r="R41" s="103" t="str">
        <x:f>IF(COUNT(R37,R40)&lt;2,"",IF(R40=0,"",R37/R40))</x:f>
      </x:c>
      <x:c r="S41" s="103" t="str">
        <x:f>IF(COUNT(S37,S40)&lt;2,"",IF(S40=0,"",S37/S40))</x:f>
      </x:c>
      <x:c r="T41" s="3" t="str">
        <x:v>Years with both observations only.</x:v>
      </x:c>
      <x:c r="U41" s="3" t="str">
        <x:v>https://github.com/Africa-International-Advisors/liq… [N060]</x:v>
      </x:c>
      <x:c r="V41" s="3" t="str">
        <x:v>G03: obtain class-level denominator before adoption.</x:v>
      </x:c>
    </x:row>
    <x:row r="42" ht="30" customHeight="1">
      <x:c r="A42" s="65" t="str">
        <x:v>Updated observed GDP per capita</x:v>
      </x:c>
      <x:c r="B42" s="65" t="str">
        <x:v>2015 ZAR/person</x:v>
      </x:c>
      <x:c r="C42" s="65" t="str">
        <x:v>Staged observation</x:v>
      </x:c>
      <x:c r="D42" s="66" t="str">
        <x:f>IF(ISNUMBER('Evidence'!D25),'Evidence'!D25,"")</x:f>
      </x:c>
      <x:c r="E42" s="65" t="str">
        <x:v>Stats SA annual actual in staged reporting copy. Sector value… [N061]</x:v>
      </x:c>
      <x:c r="F42" s="67" t="n">
        <x:f>IF(ISNUMBER('Evidence'!F25),'Evidence'!F25,"")</x:f>
        <x:v>76055.06748983047</x:v>
      </x:c>
      <x:c r="G42" s="67" t="n">
        <x:f>IF(ISNUMBER('Evidence'!G25),'Evidence'!G25,"")</x:f>
        <x:v>75781.52071231291</x:v>
      </x:c>
      <x:c r="H42" s="67" t="n">
        <x:f>IF(ISNUMBER('Evidence'!H25),'Evidence'!H25,"")</x:f>
        <x:v>75255.62912098455</x:v>
      </x:c>
      <x:c r="I42" s="67" t="n">
        <x:f>IF(ISNUMBER('Evidence'!I25),'Evidence'!I25,"")</x:f>
        <x:v>75149.98563223911</x:v>
      </x:c>
      <x:c r="J42" s="67" t="str">
        <x:f>IF(ISNUMBER('Evidence'!J25),'Evidence'!J25,"")</x:f>
      </x:c>
      <x:c r="K42" s="67" t="str">
        <x:f>IF(ISNUMBER('Evidence'!K25),'Evidence'!K25,"")</x:f>
      </x:c>
      <x:c r="L42" s="67" t="str">
        <x:f>IF(ISNUMBER('Evidence'!L25),'Evidence'!L25,"")</x:f>
      </x:c>
      <x:c r="M42" s="67" t="str">
        <x:f>IF(ISNUMBER('Evidence'!M25),'Evidence'!M25,"")</x:f>
      </x:c>
      <x:c r="N42" s="67" t="str">
        <x:f>IF(ISNUMBER('Evidence'!N25),'Evidence'!N25,"")</x:f>
      </x:c>
      <x:c r="O42" s="67" t="str">
        <x:f>IF(ISNUMBER('Evidence'!O25),'Evidence'!O25,"")</x:f>
      </x:c>
      <x:c r="P42" s="67" t="str">
        <x:f>IF(ISNUMBER('Evidence'!P25),'Evidence'!P25,"")</x:f>
      </x:c>
      <x:c r="Q42" s="67" t="str">
        <x:f>IF(ISNUMBER('Evidence'!Q25),'Evidence'!Q25,"")</x:f>
      </x:c>
      <x:c r="R42" s="67" t="str">
        <x:f>IF(ISNUMBER('Evidence'!R25),'Evidence'!R25,"")</x:f>
      </x:c>
      <x:c r="S42" s="67" t="str">
        <x:f>IF(ISNUMBER('Evidence'!S25),'Evidence'!S25,"")</x:f>
      </x:c>
      <x:c r="T42" s="3" t="str">
        <x:v>Unreviewed source extract; annual cells contain… [N062]</x:v>
      </x:c>
      <x:c r="U42" s="3" t="str">
        <x:v>Evidence row 25;… [N063]</x:v>
      </x:c>
      <x:c r="V42" s="3" t="str">
        <x:v>G02: reconcile updated series against engine macro assumptions.</x:v>
      </x:c>
    </x:row>
    <x:row r="43" ht="8" customHeight="1">
      <x:c r="A43" s="3"/>
      <x:c r="B43" s="3"/>
      <x:c r="C43" s="3"/>
      <x:c r="D43" s="3"/>
      <x:c r="E43" s="3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3"/>
      <x:c r="U43" s="3"/>
      <x:c r="V43" s="3"/>
    </x:row>
    <x:row r="44" ht="30" customHeight="1">
      <x:c r="A44" s="16" t="str">
        <x:v>LCV petrol stock</x:v>
      </x:c>
      <x:c r="B44" s="16" t="str">
        <x:v>vehicles</x:v>
      </x:c>
      <x:c r="C44" s="16" t="str">
        <x:v>Linked model output</x:v>
      </x:c>
      <x:c r="D44" s="16"/>
      <x:c r="E44" s="16" t="str">
        <x:v>Model run row 54; Python vehicle cohort result.</x:v>
      </x:c>
      <x:c r="F44" s="29" t="n">
        <x:f>IF(ISNUMBER('Model run'!F54),'Model run'!F54,"")</x:f>
        <x:v>314192.8954495676</x:v>
      </x:c>
      <x:c r="G44" s="29" t="n">
        <x:f>IF(ISNUMBER('Model run'!G54),'Model run'!G54,"")</x:f>
        <x:v>322939.1449073407</x:v>
      </x:c>
      <x:c r="H44" s="29" t="n">
        <x:f>IF(ISNUMBER('Model run'!H54),'Model run'!H54,"")</x:f>
        <x:v>330432.66872277175</x:v>
      </x:c>
      <x:c r="I44" s="29" t="n">
        <x:f>IF(ISNUMBER('Model run'!I54),'Model run'!I54,"")</x:f>
        <x:v>336615.3455909181</x:v>
      </x:c>
      <x:c r="J44" s="29" t="n">
        <x:f>IF(ISNUMBER('Model run'!J54),'Model run'!J54,"")</x:f>
        <x:v>343295.78619356663</x:v>
      </x:c>
      <x:c r="K44" s="29" t="n">
        <x:f>IF(ISNUMBER('Model run'!K54),'Model run'!K54,"")</x:f>
        <x:v>350502.1747177935</x:v>
      </x:c>
      <x:c r="L44" s="29" t="n">
        <x:f>IF(ISNUMBER('Model run'!L54),'Model run'!L54,"")</x:f>
        <x:v>358257.39995631337</x:v>
      </x:c>
      <x:c r="M44" s="29" t="n">
        <x:f>IF(ISNUMBER('Model run'!M54),'Model run'!M54,"")</x:f>
        <x:v>366572.88486067957</x:v>
      </x:c>
      <x:c r="N44" s="29" t="n">
        <x:f>IF(ISNUMBER('Model run'!N54),'Model run'!N54,"")</x:f>
        <x:v>375445.49282227794</x:v>
      </x:c>
      <x:c r="O44" s="29" t="n">
        <x:f>IF(ISNUMBER('Model run'!O54),'Model run'!O54,"")</x:f>
        <x:v>384819.1161193799</x:v>
      </x:c>
      <x:c r="P44" s="29" t="n">
        <x:f>IF(ISNUMBER('Model run'!P54),'Model run'!P54,"")</x:f>
        <x:v>394627.2939942893</x:v>
      </x:c>
      <x:c r="Q44" s="29" t="n">
        <x:f>IF(ISNUMBER('Model run'!Q54),'Model run'!Q54,"")</x:f>
        <x:v>404790.206462875</x:v>
      </x:c>
      <x:c r="R44" s="29" t="n">
        <x:f>IF(ISNUMBER('Model run'!R54),'Model run'!R54,"")</x:f>
        <x:v>415212.0111547706</x:v>
      </x:c>
      <x:c r="S44" s="29" t="n">
        <x:f>IF(ISNUMBER('Model run'!S54),'Model run'!S54,"")</x:f>
        <x:v>425779.55885102786</x:v>
      </x:c>
      <x:c r="T44" s="16"/>
      <x:c r="U44" s="16"/>
      <x:c r="V44" s="16"/>
    </x:row>
    <x:row r="45" ht="30" customHeight="1">
      <x:c r="A45" s="16" t="str">
        <x:v>LCV petrol vehicle kilometres</x:v>
      </x:c>
      <x:c r="B45" s="16" t="str">
        <x:v>vehicle km/year</x:v>
      </x:c>
      <x:c r="C45" s="16" t="str">
        <x:v>Linked model output</x:v>
      </x:c>
      <x:c r="D45" s="16"/>
      <x:c r="E45" s="16" t="str">
        <x:v>Model run row 55; Python vehicle cohort result.</x:v>
      </x:c>
      <x:c r="F45" s="29" t="n">
        <x:f>IF(ISNUMBER('Model run'!F55),'Model run'!F55,"")</x:f>
        <x:v>8797401072.587893</x:v>
      </x:c>
      <x:c r="G45" s="29" t="n">
        <x:f>IF(ISNUMBER('Model run'!G55),'Model run'!G55,"")</x:f>
        <x:v>9042296057.40554</x:v>
      </x:c>
      <x:c r="H45" s="29" t="n">
        <x:f>IF(ISNUMBER('Model run'!H55),'Model run'!H55,"")</x:f>
        <x:v>9252114724.23761</x:v>
      </x:c>
      <x:c r="I45" s="29" t="n">
        <x:f>IF(ISNUMBER('Model run'!I55),'Model run'!I55,"")</x:f>
        <x:v>9425229676.545706</x:v>
      </x:c>
      <x:c r="J45" s="29" t="n">
        <x:f>IF(ISNUMBER('Model run'!J55),'Model run'!J55,"")</x:f>
        <x:v>9612282013.419867</x:v>
      </x:c>
      <x:c r="K45" s="29" t="n">
        <x:f>IF(ISNUMBER('Model run'!K55),'Model run'!K55,"")</x:f>
        <x:v>9814060892.098217</x:v>
      </x:c>
      <x:c r="L45" s="29" t="n">
        <x:f>IF(ISNUMBER('Model run'!L55),'Model run'!L55,"")</x:f>
        <x:v>10031207198.776773</x:v>
      </x:c>
      <x:c r="M45" s="29" t="n">
        <x:f>IF(ISNUMBER('Model run'!M55),'Model run'!M55,"")</x:f>
        <x:v>10264040776.099028</x:v>
      </x:c>
      <x:c r="N45" s="29" t="n">
        <x:f>IF(ISNUMBER('Model run'!N55),'Model run'!N55,"")</x:f>
        <x:v>10512473799.023783</x:v>
      </x:c>
      <x:c r="O45" s="29" t="n">
        <x:f>IF(ISNUMBER('Model run'!O55),'Model run'!O55,"")</x:f>
        <x:v>10774935251.342636</x:v>
      </x:c>
      <x:c r="P45" s="29" t="n">
        <x:f>IF(ISNUMBER('Model run'!P55),'Model run'!P55,"")</x:f>
        <x:v>11049564231.840101</x:v>
      </x:c>
      <x:c r="Q45" s="29" t="n">
        <x:f>IF(ISNUMBER('Model run'!Q55),'Model run'!Q55,"")</x:f>
        <x:v>11334125780.9605</x:v>
      </x:c>
      <x:c r="R45" s="29" t="n">
        <x:f>IF(ISNUMBER('Model run'!R55),'Model run'!R55,"")</x:f>
        <x:v>11625936312.333578</x:v>
      </x:c>
      <x:c r="S45" s="29" t="n">
        <x:f>IF(ISNUMBER('Model run'!S55),'Model run'!S55,"")</x:f>
        <x:v>11921827647.82878</x:v>
      </x:c>
      <x:c r="T45" s="16"/>
      <x:c r="U45" s="16"/>
      <x:c r="V45" s="16"/>
    </x:row>
    <x:row r="46" ht="30" customHeight="1">
      <x:c r="A46" s="16" t="str">
        <x:v>LCV petrol demand</x:v>
      </x:c>
      <x:c r="B46" s="16" t="str">
        <x:v>L/year</x:v>
      </x:c>
      <x:c r="C46" s="16" t="str">
        <x:v>Linked model output</x:v>
      </x:c>
      <x:c r="D46" s="16"/>
      <x:c r="E46" s="16" t="str">
        <x:v>Model run row 56; Python vehicle cohort result.</x:v>
      </x:c>
      <x:c r="F46" s="29" t="n">
        <x:f>IF(ISNUMBER('Model run'!F56),'Model run'!F56,"")</x:f>
        <x:v>919866693.5897633</x:v>
      </x:c>
      <x:c r="G46" s="29" t="n">
        <x:f>IF(ISNUMBER('Model run'!G56),'Model run'!G56,"")</x:f>
        <x:v>942940528.1008457</x:v>
      </x:c>
      <x:c r="H46" s="29" t="n">
        <x:f>IF(ISNUMBER('Model run'!H56),'Model run'!H56,"")</x:f>
        <x:v>961890176.7509885</x:v>
      </x:c>
      <x:c r="I46" s="29" t="n">
        <x:f>IF(ISNUMBER('Model run'!I56),'Model run'!I56,"")</x:f>
        <x:v>976640100.8379743</x:v>
      </x:c>
      <x:c r="J46" s="29" t="n">
        <x:f>IF(ISNUMBER('Model run'!J56),'Model run'!J56,"")</x:f>
        <x:v>992235203.3301032</x:v>
      </x:c>
      <x:c r="K46" s="29" t="n">
        <x:f>IF(ISNUMBER('Model run'!K56),'Model run'!K56,"")</x:f>
        <x:v>1008739265.7905924</x:v>
      </x:c>
      <x:c r="L46" s="29" t="n">
        <x:f>IF(ISNUMBER('Model run'!L56),'Model run'!L56,"")</x:f>
        <x:v>1026198724.557906</x:v>
      </x:c>
      <x:c r="M46" s="29" t="n">
        <x:f>IF(ISNUMBER('Model run'!M56),'Model run'!M56,"")</x:f>
        <x:v>1044626923.1796882</x:v>
      </x:c>
      <x:c r="N46" s="29" t="n">
        <x:f>IF(ISNUMBER('Model run'!N56),'Model run'!N56,"")</x:f>
        <x:v>1063997282.7085907</x:v>
      </x:c>
      <x:c r="O46" s="29" t="n">
        <x:f>IF(ISNUMBER('Model run'!O56),'Model run'!O56,"")</x:f>
        <x:v>1084144827.0850654</x:v>
      </x:c>
      <x:c r="P46" s="29" t="n">
        <x:f>IF(ISNUMBER('Model run'!P56),'Model run'!P56,"")</x:f>
        <x:v>1104881788.715154</x:v>
      </x:c>
      <x:c r="Q46" s="29" t="n">
        <x:f>IF(ISNUMBER('Model run'!Q56),'Model run'!Q56,"")</x:f>
        <x:v>1125991051.9396014</x:v>
      </x:c>
      <x:c r="R46" s="29" t="n">
        <x:f>IF(ISNUMBER('Model run'!R56),'Model run'!R56,"")</x:f>
        <x:v>1147220828.5629623</x:v>
      </x:c>
      <x:c r="S46" s="29" t="n">
        <x:f>IF(ISNUMBER('Model run'!S56),'Model run'!S56,"")</x:f>
        <x:v>1168283097.2723525</x:v>
      </x:c>
      <x:c r="T46" s="16"/>
      <x:c r="U46" s="16"/>
      <x:c r="V46" s="16"/>
    </x:row>
    <x:row r="47" ht="8" customHeight="1">
      <x:c r="A47" s="102"/>
      <x:c r="B47" s="102"/>
      <x:c r="C47" s="102"/>
      <x:c r="D47" s="102"/>
      <x:c r="E47" s="102"/>
      <x:c r="F47" s="104"/>
      <x:c r="G47" s="104"/>
      <x:c r="H47" s="104"/>
      <x:c r="I47" s="104"/>
      <x:c r="J47" s="104"/>
      <x:c r="K47" s="104"/>
      <x:c r="L47" s="104"/>
      <x:c r="M47" s="104"/>
      <x:c r="N47" s="104"/>
      <x:c r="O47" s="104"/>
      <x:c r="P47" s="104"/>
      <x:c r="Q47" s="104"/>
      <x:c r="R47" s="104"/>
      <x:c r="S47" s="104"/>
      <x:c r="T47" s="3"/>
      <x:c r="U47" s="3"/>
      <x:c r="V47" s="3"/>
    </x:row>
    <x:row r="48" ht="8" customHeight="1">
      <x:c r="A48" s="102"/>
      <x:c r="B48" s="102"/>
      <x:c r="C48" s="102"/>
      <x:c r="D48" s="102"/>
      <x:c r="E48" s="102"/>
      <x:c r="F48" s="104"/>
      <x:c r="G48" s="104"/>
      <x:c r="H48" s="104"/>
      <x:c r="I48" s="104"/>
      <x:c r="J48" s="104"/>
      <x:c r="K48" s="104"/>
      <x:c r="L48" s="104"/>
      <x:c r="M48" s="104"/>
      <x:c r="N48" s="104"/>
      <x:c r="O48" s="104"/>
      <x:c r="P48" s="104"/>
      <x:c r="Q48" s="104"/>
      <x:c r="R48" s="104"/>
      <x:c r="S48" s="104"/>
      <x:c r="T48" s="3"/>
      <x:c r="U48" s="3"/>
      <x:c r="V48" s="3"/>
    </x:row>
    <x:row r="49" ht="8" customHeight="1">
      <x:c r="A49" s="102"/>
      <x:c r="B49" s="102"/>
      <x:c r="C49" s="102"/>
      <x:c r="D49" s="102"/>
      <x:c r="E49" s="102"/>
      <x:c r="F49" s="104"/>
      <x:c r="G49" s="104"/>
      <x:c r="H49" s="104"/>
      <x:c r="I49" s="104"/>
      <x:c r="J49" s="104"/>
      <x:c r="K49" s="104"/>
      <x:c r="L49" s="104"/>
      <x:c r="M49" s="104"/>
      <x:c r="N49" s="104"/>
      <x:c r="O49" s="104"/>
      <x:c r="P49" s="104"/>
      <x:c r="Q49" s="104"/>
      <x:c r="R49" s="104"/>
      <x:c r="S49" s="104"/>
      <x:c r="T49" s="3"/>
      <x:c r="U49" s="3"/>
      <x:c r="V49" s="3"/>
    </x:row>
    <x:row r="50" ht="8" customHeight="1">
      <x:c r="A50" s="102"/>
      <x:c r="B50" s="102"/>
      <x:c r="C50" s="102"/>
      <x:c r="D50" s="102"/>
      <x:c r="E50" s="102"/>
      <x:c r="F50" s="104"/>
      <x:c r="G50" s="104"/>
      <x:c r="H50" s="104"/>
      <x:c r="I50" s="104"/>
      <x:c r="J50" s="104"/>
      <x:c r="K50" s="104"/>
      <x:c r="L50" s="104"/>
      <x:c r="M50" s="104"/>
      <x:c r="N50" s="104"/>
      <x:c r="O50" s="104"/>
      <x:c r="P50" s="104"/>
      <x:c r="Q50" s="104"/>
      <x:c r="R50" s="104"/>
      <x:c r="S50" s="104"/>
      <x:c r="T50" s="3"/>
      <x:c r="U50" s="3"/>
      <x:c r="V50" s="3"/>
    </x:row>
    <x:row r="51" ht="8" customHeight="1">
      <x:c r="A51" s="102"/>
      <x:c r="B51" s="102"/>
      <x:c r="C51" s="102"/>
      <x:c r="D51" s="102"/>
      <x:c r="E51" s="102"/>
      <x:c r="F51" s="104"/>
      <x:c r="G51" s="104"/>
      <x:c r="H51" s="104"/>
      <x:c r="I51" s="104"/>
      <x:c r="J51" s="104"/>
      <x:c r="K51" s="104"/>
      <x:c r="L51" s="104"/>
      <x:c r="M51" s="104"/>
      <x:c r="N51" s="104"/>
      <x:c r="O51" s="104"/>
      <x:c r="P51" s="104"/>
      <x:c r="Q51" s="104"/>
      <x:c r="R51" s="104"/>
      <x:c r="S51" s="104"/>
      <x:c r="T51" s="3"/>
      <x:c r="U51" s="3"/>
      <x:c r="V51" s="3"/>
    </x:row>
    <x:row r="52" ht="8" customHeight="1">
      <x:c r="A52" s="102"/>
      <x:c r="B52" s="102"/>
      <x:c r="C52" s="102"/>
      <x:c r="D52" s="102"/>
      <x:c r="E52" s="102"/>
      <x:c r="F52" s="104"/>
      <x:c r="G52" s="104"/>
      <x:c r="H52" s="104"/>
      <x:c r="I52" s="104"/>
      <x:c r="J52" s="104"/>
      <x:c r="K52" s="104"/>
      <x:c r="L52" s="104"/>
      <x:c r="M52" s="104"/>
      <x:c r="N52" s="104"/>
      <x:c r="O52" s="104"/>
      <x:c r="P52" s="104"/>
      <x:c r="Q52" s="104"/>
      <x:c r="R52" s="104"/>
      <x:c r="S52" s="104"/>
      <x:c r="T52" s="3"/>
      <x:c r="U52" s="3"/>
      <x:c r="V52" s="3"/>
    </x:row>
    <x:row r="53" ht="8" customHeight="1">
      <x:c r="A53" s="102"/>
      <x:c r="B53" s="102"/>
      <x:c r="C53" s="102"/>
      <x:c r="D53" s="102"/>
      <x:c r="E53" s="102"/>
      <x:c r="F53" s="104"/>
      <x:c r="G53" s="104"/>
      <x:c r="H53" s="104"/>
      <x:c r="I53" s="104"/>
      <x:c r="J53" s="104"/>
      <x:c r="K53" s="104"/>
      <x:c r="L53" s="104"/>
      <x:c r="M53" s="104"/>
      <x:c r="N53" s="104"/>
      <x:c r="O53" s="104"/>
      <x:c r="P53" s="104"/>
      <x:c r="Q53" s="104"/>
      <x:c r="R53" s="104"/>
      <x:c r="S53" s="104"/>
      <x:c r="T53" s="3"/>
      <x:c r="U53" s="3"/>
      <x:c r="V53" s="3"/>
    </x:row>
    <x:row r="54" ht="8" customHeight="1">
      <x:c r="A54" s="102"/>
      <x:c r="B54" s="102"/>
      <x:c r="C54" s="102"/>
      <x:c r="D54" s="102"/>
      <x:c r="E54" s="102"/>
      <x:c r="F54" s="104"/>
      <x:c r="G54" s="104"/>
      <x:c r="H54" s="104"/>
      <x:c r="I54" s="104"/>
      <x:c r="J54" s="104"/>
      <x:c r="K54" s="104"/>
      <x:c r="L54" s="104"/>
      <x:c r="M54" s="104"/>
      <x:c r="N54" s="104"/>
      <x:c r="O54" s="104"/>
      <x:c r="P54" s="104"/>
      <x:c r="Q54" s="104"/>
      <x:c r="R54" s="104"/>
      <x:c r="S54" s="104"/>
      <x:c r="T54" s="3"/>
      <x:c r="U54" s="3"/>
      <x:c r="V54" s="3"/>
    </x:row>
    <x:row r="55" ht="8" customHeight="1">
      <x:c r="A55" s="102"/>
      <x:c r="B55" s="102"/>
      <x:c r="C55" s="102"/>
      <x:c r="D55" s="102"/>
      <x:c r="E55" s="102"/>
      <x:c r="F55" s="104"/>
      <x:c r="G55" s="104"/>
      <x:c r="H55" s="104"/>
      <x:c r="I55" s="104"/>
      <x:c r="J55" s="104"/>
      <x:c r="K55" s="104"/>
      <x:c r="L55" s="104"/>
      <x:c r="M55" s="104"/>
      <x:c r="N55" s="104"/>
      <x:c r="O55" s="104"/>
      <x:c r="P55" s="104"/>
      <x:c r="Q55" s="104"/>
      <x:c r="R55" s="104"/>
      <x:c r="S55" s="104"/>
      <x:c r="T55" s="3"/>
      <x:c r="U55" s="3"/>
      <x:c r="V55" s="3"/>
    </x:row>
    <x:row r="56" ht="8" customHeight="1">
      <x:c r="A56" s="102"/>
      <x:c r="B56" s="102"/>
      <x:c r="C56" s="102"/>
      <x:c r="D56" s="102"/>
      <x:c r="E56" s="102"/>
      <x:c r="F56" s="104"/>
      <x:c r="G56" s="104"/>
      <x:c r="H56" s="104"/>
      <x:c r="I56" s="104"/>
      <x:c r="J56" s="104"/>
      <x:c r="K56" s="104"/>
      <x:c r="L56" s="104"/>
      <x:c r="M56" s="104"/>
      <x:c r="N56" s="104"/>
      <x:c r="O56" s="104"/>
      <x:c r="P56" s="104"/>
      <x:c r="Q56" s="104"/>
      <x:c r="R56" s="104"/>
      <x:c r="S56" s="104"/>
      <x:c r="T56" s="3"/>
      <x:c r="U56" s="3"/>
      <x:c r="V56" s="3"/>
    </x:row>
    <x:row r="57" ht="8" customHeight="1">
      <x:c r="A57" s="102"/>
      <x:c r="B57" s="102"/>
      <x:c r="C57" s="102"/>
      <x:c r="D57" s="102"/>
      <x:c r="E57" s="102"/>
      <x:c r="F57" s="104"/>
      <x:c r="G57" s="104"/>
      <x:c r="H57" s="104"/>
      <x:c r="I57" s="104"/>
      <x:c r="J57" s="104"/>
      <x:c r="K57" s="104"/>
      <x:c r="L57" s="104"/>
      <x:c r="M57" s="104"/>
      <x:c r="N57" s="104"/>
      <x:c r="O57" s="104"/>
      <x:c r="P57" s="104"/>
      <x:c r="Q57" s="104"/>
      <x:c r="R57" s="104"/>
      <x:c r="S57" s="104"/>
      <x:c r="T57" s="3"/>
      <x:c r="U57" s="3"/>
      <x:c r="V57" s="3"/>
    </x:row>
    <x:row r="58" ht="8" customHeight="1">
      <x:c r="A58" s="102"/>
      <x:c r="B58" s="102"/>
      <x:c r="C58" s="102"/>
      <x:c r="D58" s="102"/>
      <x:c r="E58" s="102"/>
      <x:c r="F58" s="104"/>
      <x:c r="G58" s="104"/>
      <x:c r="H58" s="104"/>
      <x:c r="I58" s="104"/>
      <x:c r="J58" s="104"/>
      <x:c r="K58" s="104"/>
      <x:c r="L58" s="104"/>
      <x:c r="M58" s="104"/>
      <x:c r="N58" s="104"/>
      <x:c r="O58" s="104"/>
      <x:c r="P58" s="104"/>
      <x:c r="Q58" s="104"/>
      <x:c r="R58" s="104"/>
      <x:c r="S58" s="104"/>
      <x:c r="T58" s="3"/>
      <x:c r="U58" s="3"/>
      <x:c r="V58" s="3"/>
    </x:row>
    <x:row r="59" ht="8" customHeight="1">
      <x:c r="A59" s="102"/>
      <x:c r="B59" s="102"/>
      <x:c r="C59" s="102"/>
      <x:c r="D59" s="102"/>
      <x:c r="E59" s="102"/>
      <x:c r="F59" s="104"/>
      <x:c r="G59" s="104"/>
      <x:c r="H59" s="104"/>
      <x:c r="I59" s="104"/>
      <x:c r="J59" s="104"/>
      <x:c r="K59" s="104"/>
      <x:c r="L59" s="104"/>
      <x:c r="M59" s="104"/>
      <x:c r="N59" s="104"/>
      <x:c r="O59" s="104"/>
      <x:c r="P59" s="104"/>
      <x:c r="Q59" s="104"/>
      <x:c r="R59" s="104"/>
      <x:c r="S59" s="104"/>
      <x:c r="T59" s="3"/>
      <x:c r="U59" s="3"/>
      <x:c r="V59" s="3"/>
    </x:row>
    <x:row r="60" ht="8" customHeight="1">
      <x:c r="A60" s="102"/>
      <x:c r="B60" s="102"/>
      <x:c r="C60" s="102"/>
      <x:c r="D60" s="102"/>
      <x:c r="E60" s="102"/>
      <x:c r="F60" s="104"/>
      <x:c r="G60" s="104"/>
      <x:c r="H60" s="104"/>
      <x:c r="I60" s="104"/>
      <x:c r="J60" s="104"/>
      <x:c r="K60" s="104"/>
      <x:c r="L60" s="104"/>
      <x:c r="M60" s="104"/>
      <x:c r="N60" s="104"/>
      <x:c r="O60" s="104"/>
      <x:c r="P60" s="104"/>
      <x:c r="Q60" s="104"/>
      <x:c r="R60" s="104"/>
      <x:c r="S60" s="104"/>
      <x:c r="T60" s="3"/>
      <x:c r="U60" s="3"/>
      <x:c r="V60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8.1299991607666" hidden="0" customWidth="1"/>
    <x:col min="2" max="2" width="12.5" hidden="0" customWidth="1"/>
    <x:col min="3" max="3" width="15.630000114440918" hidden="0" customWidth="1"/>
    <x:col min="4" max="4" width="15" hidden="0" customWidth="1"/>
    <x:col min="5" max="5" width="40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31.8799991607666" hidden="0" customWidth="1"/>
    <x:col min="21" max="21" width="36.25" hidden="0" customWidth="1"/>
    <x:col min="22" max="22" width="36.25" hidden="0" customWidth="1"/>
  </x:cols>
  <x:sheetData>
    <x:row r="1" ht="25" customHeight="1">
      <x:c r="A1" s="5" t="str">
        <x:v>Diesel road freight demand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1" customHeight="1">
      <x:c r="A2" s="7" t="str">
        <x:v>Current national heavy-commercial example • Heavy trucks are only part of road-freight demand.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30" customHeight="1">
      <x:c r="A4" s="9" t="str">
        <x:v>Driver / output</x:v>
      </x:c>
      <x:c r="B4" s="9" t="str">
        <x:v>Unit</x:v>
      </x:c>
      <x:c r="C4" s="9" t="str">
        <x:v>Role</x:v>
      </x:c>
      <x:c r="D4" s="9" t="str">
        <x:v>Scalar / latest value</x:v>
      </x:c>
      <x:c r="E4" s="9" t="str">
        <x:v>Definition / period</x:v>
      </x:c>
      <x:c r="F4" s="9" t="n">
        <x:v>2022</x:v>
      </x:c>
      <x:c r="G4" s="9" t="n">
        <x:v>2023</x:v>
      </x:c>
      <x:c r="H4" s="9" t="n">
        <x:v>2024</x:v>
      </x:c>
      <x:c r="I4" s="9" t="n">
        <x:v>2025</x:v>
      </x:c>
      <x:c r="J4" s="9" t="n">
        <x:v>2026</x:v>
      </x:c>
      <x:c r="K4" s="9" t="n">
        <x:v>2027</x:v>
      </x:c>
      <x:c r="L4" s="9" t="n">
        <x:v>2028</x:v>
      </x:c>
      <x:c r="M4" s="9" t="n">
        <x:v>2029</x:v>
      </x:c>
      <x:c r="N4" s="9" t="n">
        <x:v>2030</x:v>
      </x:c>
      <x:c r="O4" s="9" t="n">
        <x:v>2031</x:v>
      </x:c>
      <x:c r="P4" s="9" t="n">
        <x:v>2032</x:v>
      </x:c>
      <x:c r="Q4" s="9" t="n">
        <x:v>2033</x:v>
      </x:c>
      <x:c r="R4" s="9" t="n">
        <x:v>2034</x:v>
      </x:c>
      <x:c r="S4" s="9" t="n">
        <x:v>2035</x:v>
      </x:c>
      <x:c r="T4" s="9" t="str">
        <x:v>Coverage / status</x:v>
      </x:c>
      <x:c r="U4" s="9" t="str">
        <x:v>Source</x:v>
      </x:c>
      <x:c r="V4" s="9" t="str">
        <x:v>Missing evidence / next action</x:v>
      </x:c>
    </x:row>
    <x:row r="5" ht="28" customHeight="1">
      <x:c r="A5" s="12" t="str">
        <x:v>Current fleet-method inputs</x:v>
      </x:c>
      <x:c r="B5" s="11"/>
      <x:c r="C5" s="11"/>
      <x:c r="D5" s="11"/>
      <x:c r="E5" s="11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3"/>
      <x:c r="U5" s="3"/>
      <x:c r="V5" s="3"/>
    </x:row>
    <x:row r="6" ht="30" customHeight="1">
      <x:c r="A6" s="3" t="str">
        <x:v>GDP per capita</x:v>
      </x:c>
      <x:c r="B6" s="3" t="str">
        <x:v>2015 ZAR/person</x:v>
      </x:c>
      <x:c r="C6" s="3" t="str">
        <x:v>Input series</x:v>
      </x:c>
      <x:c r="D6" s="13"/>
      <x:c r="E6" s="3" t="str">
        <x:v>Same national vehicle-sales regression as Petrol sheet.</x:v>
      </x:c>
      <x:c r="F6" s="26" t="n">
        <x:f>IF(ISNUMBER('Model run'!F19),'Model run'!F19,"")</x:f>
        <x:v>76790.1650122451</x:v>
      </x:c>
      <x:c r="G6" s="26" t="n">
        <x:f>IF(ISNUMBER('Model run'!G19),'Model run'!G19,"")</x:f>
        <x:v>76777.92621036293</x:v>
      </x:c>
      <x:c r="H6" s="26" t="n">
        <x:f>IF(ISNUMBER('Model run'!H19),'Model run'!H19,"")</x:f>
        <x:v>76356.55727959426</x:v>
      </x:c>
      <x:c r="I6" s="26" t="n">
        <x:f>IF(ISNUMBER('Model run'!I19),'Model run'!I19,"")</x:f>
        <x:v>75873.5403538539</x:v>
      </x:c>
      <x:c r="J6" s="26" t="n">
        <x:f>IF(ISNUMBER('Model run'!J19),'Model run'!J19,"")</x:f>
        <x:v>76305.62080219547</x:v>
      </x:c>
      <x:c r="K6" s="26" t="n">
        <x:f>IF(ISNUMBER('Model run'!K19),'Model run'!K19,"")</x:f>
        <x:v>76770.1127412939</x:v>
      </x:c>
      <x:c r="L6" s="26" t="n">
        <x:f>IF(ISNUMBER('Model run'!L19),'Model run'!L19,"")</x:f>
        <x:v>77267.03031188184</x:v>
      </x:c>
      <x:c r="M6" s="26" t="n">
        <x:f>IF(ISNUMBER('Model run'!M19),'Model run'!M19,"")</x:f>
        <x:v>77793.85014588524</x:v>
      </x:c>
      <x:c r="N6" s="26" t="n">
        <x:f>IF(ISNUMBER('Model run'!N19),'Model run'!N19,"")</x:f>
        <x:v>78347.23662423984</x:v>
      </x:c>
      <x:c r="O6" s="26" t="n">
        <x:f>IF(ISNUMBER('Model run'!O19),'Model run'!O19,"")</x:f>
        <x:v>78904.55961677714</x:v>
      </x:c>
      <x:c r="P6" s="26" t="n">
        <x:f>IF(ISNUMBER('Model run'!P19),'Model run'!P19,"")</x:f>
        <x:v>79465.847125887</x:v>
      </x:c>
      <x:c r="Q6" s="26" t="n">
        <x:f>IF(ISNUMBER('Model run'!Q19),'Model run'!Q19,"")</x:f>
        <x:v>80031.12735315424</x:v>
      </x:c>
      <x:c r="R6" s="26" t="n">
        <x:f>IF(ISNUMBER('Model run'!R19),'Model run'!R19,"")</x:f>
        <x:v>80600.42870077565</x:v>
      </x:c>
      <x:c r="S6" s="26" t="n">
        <x:f>IF(ISNUMBER('Model run'!S19),'Model run'!S19,"")</x:f>
        <x:v>81173.77977298702</x:v>
      </x:c>
      <x:c r="T6" s="3"/>
      <x:c r="U6" s="3"/>
      <x:c r="V6" s="3"/>
    </x:row>
    <x:row r="7" ht="30" customHeight="1">
      <x:c r="A7" s="3" t="str">
        <x:v>HCV share of new vehicle sales</x:v>
      </x:c>
      <x:c r="B7" s="3" t="str">
        <x:v>share</x:v>
      </x:c>
      <x:c r="C7" s="3" t="str">
        <x:v>Scalar</x:v>
      </x:c>
      <x:c r="D7" s="14" t="n">
        <x:f>IF(ISNUMBER('Model run'!D20),'Model run'!D20,"")</x:f>
        <x:v>0.04</x:v>
      </x:c>
      <x:c r="E7" s="3" t="str">
        <x:v>Current provisional class split.</x:v>
      </x:c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3"/>
      <x:c r="U7" s="3"/>
      <x:c r="V7" s="3"/>
    </x:row>
    <x:row r="8" ht="30" customHeight="1">
      <x:c r="A8" s="3" t="str">
        <x:v>Diesel share of HCV ICE sales</x:v>
      </x:c>
      <x:c r="B8" s="3" t="str">
        <x:v>share</x:v>
      </x:c>
      <x:c r="C8" s="3" t="str">
        <x:v>Scalar</x:v>
      </x:c>
      <x:c r="D8" s="14" t="n">
        <x:f>IF(ISNUMBER('Model run'!D21),'Model run'!D21,"")</x:f>
        <x:v>1</x:v>
      </x:c>
      <x:c r="E8" s="3" t="str">
        <x:v>Current model applies its common EV adjustment before the diesel split.</x:v>
      </x:c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3"/>
      <x:c r="U8" s="3"/>
      <x:c r="V8" s="3"/>
    </x:row>
    <x:row r="9" ht="30" customHeight="1">
      <x:c r="A9" s="3" t="str">
        <x:v>Heavy-truck annual mileage</x:v>
      </x:c>
      <x:c r="B9" s="3" t="str">
        <x:v>km/vehicle/year</x:v>
      </x:c>
      <x:c r="C9" s="3" t="str">
        <x:v>Scalar</x:v>
      </x:c>
      <x:c r="D9" s="13" t="n">
        <x:f>IF(ISNUMBER('Model run'!D22),'Model run'!D22,"")</x:f>
        <x:v>70000</x:v>
      </x:c>
      <x:c r="E9" s="3" t="str">
        <x:v>Current provisional assumption.</x:v>
      </x:c>
      <x:c r="F9" s="26"/>
      <x:c r="G9" s="26"/>
      <x:c r="H9" s="26"/>
      <x:c r="I9" s="26"/>
      <x:c r="J9" s="26"/>
      <x:c r="K9" s="26"/>
      <x:c r="L9" s="26"/>
      <x:c r="M9" s="26"/>
      <x:c r="N9" s="26"/>
      <x:c r="O9" s="26"/>
      <x:c r="P9" s="26"/>
      <x:c r="Q9" s="26"/>
      <x:c r="R9" s="26"/>
      <x:c r="S9" s="26"/>
      <x:c r="T9" s="3"/>
      <x:c r="U9" s="3"/>
      <x:c r="V9" s="3"/>
    </x:row>
    <x:row r="10" ht="30" customHeight="1">
      <x:c r="A10" s="3" t="str">
        <x:v>Heavy-truck retirement rate</x:v>
      </x:c>
      <x:c r="B10" s="3" t="str">
        <x:v>share/year</x:v>
      </x:c>
      <x:c r="C10" s="3" t="str">
        <x:v>Scalar</x:v>
      </x:c>
      <x:c r="D10" s="14" t="n">
        <x:f>IF(ISNUMBER('Model run'!D23),'Model run'!D23,"")</x:f>
        <x:v>0.06</x:v>
      </x:c>
      <x:c r="E10" s="3" t="str">
        <x:v>Flat retirement assumption across cohorts.</x:v>
      </x:c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3"/>
      <x:c r="U10" s="3"/>
      <x:c r="V10" s="3"/>
    </x:row>
    <x:row r="11" ht="30" customHeight="1">
      <x:c r="A11" s="3" t="str">
        <x:v>Base new-truck consumption</x:v>
      </x:c>
      <x:c r="B11" s="3" t="str">
        <x:v>L/100 km</x:v>
      </x:c>
      <x:c r="C11" s="3" t="str">
        <x:v>Scalar</x:v>
      </x:c>
      <x:c r="D11" s="13" t="n">
        <x:f>IF(ISNUMBER('Model run'!D24),'Model run'!D24,"")</x:f>
        <x:v>35</x:v>
      </x:c>
      <x:c r="E11" s="3" t="str">
        <x:v>Entry-cohort baseline before efficiency improvement.</x:v>
      </x:c>
      <x:c r="F11" s="26"/>
      <x:c r="G11" s="26"/>
      <x:c r="H11" s="26"/>
      <x:c r="I11" s="26"/>
      <x:c r="J11" s="26"/>
      <x:c r="K11" s="26"/>
      <x:c r="L11" s="26"/>
      <x:c r="M11" s="26"/>
      <x:c r="N11" s="26"/>
      <x:c r="O11" s="26"/>
      <x:c r="P11" s="26"/>
      <x:c r="Q11" s="26"/>
      <x:c r="R11" s="26"/>
      <x:c r="S11" s="26"/>
      <x:c r="T11" s="3"/>
      <x:c r="U11" s="3"/>
      <x:c r="V11" s="3"/>
    </x:row>
    <x:row r="12" ht="30" customHeight="1">
      <x:c r="A12" s="3" t="str">
        <x:v>New-cohort efficiency gain</x:v>
      </x:c>
      <x:c r="B12" s="3" t="str">
        <x:v>fraction/year</x:v>
      </x:c>
      <x:c r="C12" s="3" t="str">
        <x:v>Input series</x:v>
      </x:c>
      <x:c r="D12" s="14"/>
      <x:c r="E12" s="3" t="str">
        <x:v>Applies to new cohorts only.</x:v>
      </x:c>
      <x:c r="F12" s="27" t="n">
        <x:f>IF(ISNUMBER('Model run'!F25),'Model run'!F25,"")</x:f>
        <x:v>0.005</x:v>
      </x:c>
      <x:c r="G12" s="27" t="n">
        <x:f>IF(ISNUMBER('Model run'!G25),'Model run'!G25,"")</x:f>
        <x:v>0.005</x:v>
      </x:c>
      <x:c r="H12" s="27" t="n">
        <x:f>IF(ISNUMBER('Model run'!H25),'Model run'!H25,"")</x:f>
        <x:v>0.005</x:v>
      </x:c>
      <x:c r="I12" s="27" t="n">
        <x:f>IF(ISNUMBER('Model run'!I25),'Model run'!I25,"")</x:f>
        <x:v>0.005</x:v>
      </x:c>
      <x:c r="J12" s="27" t="n">
        <x:f>IF(ISNUMBER('Model run'!J25),'Model run'!J25,"")</x:f>
        <x:v>0.005</x:v>
      </x:c>
      <x:c r="K12" s="27" t="n">
        <x:f>IF(ISNUMBER('Model run'!K25),'Model run'!K25,"")</x:f>
        <x:v>0.005</x:v>
      </x:c>
      <x:c r="L12" s="27" t="n">
        <x:f>IF(ISNUMBER('Model run'!L25),'Model run'!L25,"")</x:f>
        <x:v>0.005</x:v>
      </x:c>
      <x:c r="M12" s="27" t="n">
        <x:f>IF(ISNUMBER('Model run'!M25),'Model run'!M25,"")</x:f>
        <x:v>0.005</x:v>
      </x:c>
      <x:c r="N12" s="27" t="n">
        <x:f>IF(ISNUMBER('Model run'!N25),'Model run'!N25,"")</x:f>
        <x:v>0.005</x:v>
      </x:c>
      <x:c r="O12" s="27" t="n">
        <x:f>IF(ISNUMBER('Model run'!O25),'Model run'!O25,"")</x:f>
        <x:v>0.005</x:v>
      </x:c>
      <x:c r="P12" s="27" t="n">
        <x:f>IF(ISNUMBER('Model run'!P25),'Model run'!P25,"")</x:f>
        <x:v>0.005</x:v>
      </x:c>
      <x:c r="Q12" s="27" t="n">
        <x:f>IF(ISNUMBER('Model run'!Q25),'Model run'!Q25,"")</x:f>
        <x:v>0.005</x:v>
      </x:c>
      <x:c r="R12" s="27" t="n">
        <x:f>IF(ISNUMBER('Model run'!R25),'Model run'!R25,"")</x:f>
        <x:v>0.005</x:v>
      </x:c>
      <x:c r="S12" s="27" t="n">
        <x:f>IF(ISNUMBER('Model run'!S25),'Model run'!S25,"")</x:f>
        <x:v>0.005</x:v>
      </x:c>
      <x:c r="T12" s="3"/>
      <x:c r="U12" s="3"/>
      <x:c r="V12" s="3"/>
    </x:row>
    <x:row r="13" ht="8" customHeight="1">
      <x:c r="A13" s="3"/>
      <x:c r="B13" s="3"/>
      <x:c r="C13" s="3"/>
      <x:c r="D13" s="3"/>
      <x:c r="E13" s="3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3"/>
      <x:c r="U13" s="3"/>
      <x:c r="V13" s="3"/>
    </x:row>
    <x:row r="14" ht="28" customHeight="1">
      <x:c r="A14" s="12" t="str">
        <x:v>Current engine outputs and reporting calculations</x:v>
      </x:c>
      <x:c r="B14" s="11"/>
      <x:c r="C14" s="11"/>
      <x:c r="D14" s="11"/>
      <x:c r="E14" s="11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3"/>
      <x:c r="U14" s="3"/>
      <x:c r="V14" s="3"/>
    </x:row>
    <x:row r="15" ht="30" customHeight="1">
      <x:c r="A15" s="16" t="str">
        <x:v>Heavy-truck diesel fleet</x:v>
      </x:c>
      <x:c r="B15" s="16" t="str">
        <x:v>vehicles</x:v>
      </x:c>
      <x:c r="C15" s="16" t="str">
        <x:v>Engine output</x:v>
      </x:c>
      <x:c r="D15" s="17"/>
      <x:c r="E15" s="16" t="str">
        <x:v>National HCV diesel cohort stock.</x:v>
      </x:c>
      <x:c r="F15" s="28" t="n">
        <x:f>IF(ISNUMBER('Model run'!F26),'Model run'!F26,"")</x:f>
        <x:v>213882.42059073248</x:v>
      </x:c>
      <x:c r="G15" s="28" t="n">
        <x:f>IF(ISNUMBER('Model run'!G26),'Model run'!G26,"")</x:f>
        <x:v>218974.26332911802</x:v>
      </x:c>
      <x:c r="H15" s="28" t="n">
        <x:f>IF(ISNUMBER('Model run'!H26),'Model run'!H26,"")</x:f>
        <x:v>223162.94374547244</x:v>
      </x:c>
      <x:c r="I15" s="28" t="n">
        <x:f>IF(ISNUMBER('Model run'!I26),'Model run'!I26,"")</x:f>
        <x:v>226414.1430942551</x:v>
      </x:c>
      <x:c r="J15" s="28" t="n">
        <x:f>IF(ISNUMBER('Model run'!J26),'Model run'!J26,"")</x:f>
        <x:v>230061.6807926254</x:v>
      </x:c>
      <x:c r="K15" s="28" t="n">
        <x:f>IF(ISNUMBER('Model run'!K26),'Model run'!K26,"")</x:f>
        <x:v>234120.67558941158</x:v>
      </x:c>
      <x:c r="L15" s="28" t="n">
        <x:f>IF(ISNUMBER('Model run'!L26),'Model run'!L26,"")</x:f>
        <x:v>238602.49075458886</x:v>
      </x:c>
      <x:c r="M15" s="28" t="n">
        <x:f>IF(ISNUMBER('Model run'!M26),'Model run'!M26,"")</x:f>
        <x:v>243510.24275808618</x:v>
      </x:c>
      <x:c r="N15" s="28" t="n">
        <x:f>IF(ISNUMBER('Model run'!N26),'Model run'!N26,"")</x:f>
        <x:v>248836.60836597675</x:v>
      </x:c>
      <x:c r="O15" s="28" t="n">
        <x:f>IF(ISNUMBER('Model run'!O26),'Model run'!O26,"")</x:f>
        <x:v>254535.76395908472</x:v>
      </x:c>
      <x:c r="P15" s="28" t="n">
        <x:f>IF(ISNUMBER('Model run'!P26),'Model run'!P26,"")</x:f>
        <x:v>260554.9909558677</x:v>
      </x:c>
      <x:c r="Q15" s="28" t="n">
        <x:f>IF(ISNUMBER('Model run'!Q26),'Model run'!Q26,"")</x:f>
        <x:v>266832.5067329813</x:v>
      </x:c>
      <x:c r="R15" s="28" t="n">
        <x:f>IF(ISNUMBER('Model run'!R26),'Model run'!R26,"")</x:f>
        <x:v>273295.56694431393</x:v>
      </x:c>
      <x:c r="S15" s="28" t="n">
        <x:f>IF(ISNUMBER('Model run'!S26),'Model run'!S26,"")</x:f>
        <x:v>279859.59461089567</x:v>
      </x:c>
      <x:c r="T15" s="3"/>
      <x:c r="U15" s="3"/>
      <x:c r="V15" s="3"/>
    </x:row>
    <x:row r="16" ht="30" customHeight="1">
      <x:c r="A16" s="16" t="str">
        <x:v>Heavy-truck vehicle-km</x:v>
      </x:c>
      <x:c r="B16" s="16" t="str">
        <x:v>km/year</x:v>
      </x:c>
      <x:c r="C16" s="16" t="str">
        <x:v>Engine output</x:v>
      </x:c>
      <x:c r="D16" s="17"/>
      <x:c r="E16" s="16" t="str">
        <x:v>National HCV diesel activity.</x:v>
      </x:c>
      <x:c r="F16" s="28" t="n">
        <x:f>IF(ISNUMBER('Model run'!F27),'Model run'!F27,"")</x:f>
        <x:v>14971769441.351274</x:v>
      </x:c>
      <x:c r="G16" s="28" t="n">
        <x:f>IF(ISNUMBER('Model run'!G27),'Model run'!G27,"")</x:f>
        <x:v>15328198433.038261</x:v>
      </x:c>
      <x:c r="H16" s="28" t="n">
        <x:f>IF(ISNUMBER('Model run'!H27),'Model run'!H27,"")</x:f>
        <x:v>15621406062.183071</x:v>
      </x:c>
      <x:c r="I16" s="28" t="n">
        <x:f>IF(ISNUMBER('Model run'!I27),'Model run'!I27,"")</x:f>
        <x:v>15848990016.597857</x:v>
      </x:c>
      <x:c r="J16" s="28" t="n">
        <x:f>IF(ISNUMBER('Model run'!J27),'Model run'!J27,"")</x:f>
        <x:v>16104317655.483778</x:v>
      </x:c>
      <x:c r="K16" s="28" t="n">
        <x:f>IF(ISNUMBER('Model run'!K27),'Model run'!K27,"")</x:f>
        <x:v>16388447291.25881</x:v>
      </x:c>
      <x:c r="L16" s="28" t="n">
        <x:f>IF(ISNUMBER('Model run'!L27),'Model run'!L27,"")</x:f>
        <x:v>16702174352.82122</x:v>
      </x:c>
      <x:c r="M16" s="28" t="n">
        <x:f>IF(ISNUMBER('Model run'!M27),'Model run'!M27,"")</x:f>
        <x:v>17045716993.066032</x:v>
      </x:c>
      <x:c r="N16" s="28" t="n">
        <x:f>IF(ISNUMBER('Model run'!N27),'Model run'!N27,"")</x:f>
        <x:v>17418562585.618374</x:v>
      </x:c>
      <x:c r="O16" s="28" t="n">
        <x:f>IF(ISNUMBER('Model run'!O27),'Model run'!O27,"")</x:f>
        <x:v>17817503477.13593</x:v>
      </x:c>
      <x:c r="P16" s="28" t="n">
        <x:f>IF(ISNUMBER('Model run'!P27),'Model run'!P27,"")</x:f>
        <x:v>18238849366.91074</x:v>
      </x:c>
      <x:c r="Q16" s="28" t="n">
        <x:f>IF(ISNUMBER('Model run'!Q27),'Model run'!Q27,"")</x:f>
        <x:v>18678275471.308693</x:v>
      </x:c>
      <x:c r="R16" s="28" t="n">
        <x:f>IF(ISNUMBER('Model run'!R27),'Model run'!R27,"")</x:f>
        <x:v>19130689686.101974</x:v>
      </x:c>
      <x:c r="S16" s="28" t="n">
        <x:f>IF(ISNUMBER('Model run'!S27),'Model run'!S27,"")</x:f>
        <x:v>19590171622.762695</x:v>
      </x:c>
      <x:c r="T16" s="3"/>
      <x:c r="U16" s="3"/>
      <x:c r="V16" s="3"/>
    </x:row>
    <x:row r="17" ht="30" customHeight="1">
      <x:c r="A17" s="16" t="str">
        <x:v>Heavy-truck diesel demand</x:v>
      </x:c>
      <x:c r="B17" s="16" t="str">
        <x:v>L/year</x:v>
      </x:c>
      <x:c r="C17" s="16" t="str">
        <x:v>Engine output</x:v>
      </x:c>
      <x:c r="D17" s="17"/>
      <x:c r="E17" s="16" t="str">
        <x:v>Current Python engine output. Does not include LCV freight.</x:v>
      </x:c>
      <x:c r="F17" s="28" t="n">
        <x:f>IF(ISNUMBER('Model run'!F28),'Model run'!F28,"")</x:f>
        <x:v>5228356913.313794</x:v>
      </x:c>
      <x:c r="G17" s="28" t="n">
        <x:f>IF(ISNUMBER('Model run'!G28),'Model run'!G28,"")</x:f>
        <x:v>5345095312.058235</x:v>
      </x:c>
      <x:c r="H17" s="28" t="n">
        <x:f>IF(ISNUMBER('Model run'!H28),'Model run'!H28,"")</x:f>
        <x:v>5438397159.087927</x:v>
      </x:c>
      <x:c r="I17" s="28" t="n">
        <x:f>IF(ISNUMBER('Model run'!I28),'Model run'!I28,"")</x:f>
        <x:v>5507717997.074704</x:v>
      </x:c>
      <x:c r="J17" s="28" t="n">
        <x:f>IF(ISNUMBER('Model run'!J28),'Model run'!J28,"")</x:f>
        <x:v>5584891423.650293</x:v>
      </x:c>
      <x:c r="K17" s="28" t="n">
        <x:f>IF(ISNUMBER('Model run'!K28),'Model run'!K28,"")</x:f>
        <x:v>5670231840.6344185</x:v>
      </x:c>
      <x:c r="L17" s="28" t="n">
        <x:f>IF(ISNUMBER('Model run'!L28),'Model run'!L28,"")</x:f>
        <x:v>5763955345.599746</x:v>
      </x:c>
      <x:c r="M17" s="28" t="n">
        <x:f>IF(ISNUMBER('Model run'!M28),'Model run'!M28,"")</x:f>
        <x:v>5866077186.5313425</x:v>
      </x:c>
      <x:c r="N17" s="28" t="n">
        <x:f>IF(ISNUMBER('Model run'!N28),'Model run'!N28,"")</x:f>
        <x:v>5976365141.460197</x:v>
      </x:c>
      <x:c r="O17" s="28" t="n">
        <x:f>IF(ISNUMBER('Model run'!O28),'Model run'!O28,"")</x:f>
        <x:v>6093697409.374835</x:v>
      </x:c>
      <x:c r="P17" s="28" t="n">
        <x:f>IF(ISNUMBER('Model run'!P28),'Model run'!P28,"")</x:f>
        <x:v>6216806465.79391</x:v>
      </x:c>
      <x:c r="Q17" s="28" t="n">
        <x:f>IF(ISNUMBER('Model run'!Q28),'Model run'!Q28,"")</x:f>
        <x:v>6344233164.457887</x:v>
      </x:c>
      <x:c r="R17" s="28" t="n">
        <x:f>IF(ISNUMBER('Model run'!R28),'Model run'!R28,"")</x:f>
        <x:v>6474288223.016267</x:v>
      </x:c>
      <x:c r="S17" s="28" t="n">
        <x:f>IF(ISNUMBER('Model run'!S28),'Model run'!S28,"")</x:f>
        <x:v>6605037980.344461</x:v>
      </x:c>
      <x:c r="T17" s="3"/>
      <x:c r="U17" s="3"/>
      <x:c r="V17" s="3"/>
    </x:row>
    <x:row r="18" ht="30" customHeight="1">
      <x:c r="A18" s="16" t="str">
        <x:v>Heavy-truck diesel demand</x:v>
      </x:c>
      <x:c r="B18" s="16" t="str">
        <x:v>million L/year</x:v>
      </x:c>
      <x:c r="C18" s="16" t="str">
        <x:v>Reporting formula</x:v>
      </x:c>
      <x:c r="D18" s="18"/>
      <x:c r="E18" s="16" t="str">
        <x:v>Unit conversion of engine output.</x:v>
      </x:c>
      <x:c r="F18" s="29" t="n">
        <x:f>F17/1000000</x:f>
        <x:v>5228.356913313794</x:v>
      </x:c>
      <x:c r="G18" s="29" t="n">
        <x:f>G17/1000000</x:f>
        <x:v>5345.095312058235</x:v>
      </x:c>
      <x:c r="H18" s="29" t="n">
        <x:f>H17/1000000</x:f>
        <x:v>5438.397159087926</x:v>
      </x:c>
      <x:c r="I18" s="29" t="n">
        <x:f>I17/1000000</x:f>
        <x:v>5507.717997074704</x:v>
      </x:c>
      <x:c r="J18" s="29" t="n">
        <x:f>J17/1000000</x:f>
        <x:v>5584.891423650293</x:v>
      </x:c>
      <x:c r="K18" s="29" t="n">
        <x:f>K17/1000000</x:f>
        <x:v>5670.231840634418</x:v>
      </x:c>
      <x:c r="L18" s="29" t="n">
        <x:f>L17/1000000</x:f>
        <x:v>5763.955345599746</x:v>
      </x:c>
      <x:c r="M18" s="29" t="n">
        <x:f>M17/1000000</x:f>
        <x:v>5866.077186531343</x:v>
      </x:c>
      <x:c r="N18" s="29" t="n">
        <x:f>N17/1000000</x:f>
        <x:v>5976.365141460197</x:v>
      </x:c>
      <x:c r="O18" s="29" t="n">
        <x:f>O17/1000000</x:f>
        <x:v>6093.697409374835</x:v>
      </x:c>
      <x:c r="P18" s="29" t="n">
        <x:f>P17/1000000</x:f>
        <x:v>6216.80646579391</x:v>
      </x:c>
      <x:c r="Q18" s="29" t="n">
        <x:f>Q17/1000000</x:f>
        <x:v>6344.233164457887</x:v>
      </x:c>
      <x:c r="R18" s="29" t="n">
        <x:f>R17/1000000</x:f>
        <x:v>6474.288223016267</x:v>
      </x:c>
      <x:c r="S18" s="29" t="n">
        <x:f>S17/1000000</x:f>
        <x:v>6605.037980344461</x:v>
      </x:c>
      <x:c r="T18" s="3"/>
      <x:c r="U18" s="3"/>
      <x:c r="V18" s="3"/>
    </x:row>
    <x:row r="19" ht="30" customHeight="1">
      <x:c r="A19" s="16" t="str">
        <x:v>Implied fleet-average consumption</x:v>
      </x:c>
      <x:c r="B19" s="16" t="str">
        <x:v>L/100 km</x:v>
      </x:c>
      <x:c r="C19" s="16" t="str">
        <x:v>Reporting formula</x:v>
      </x:c>
      <x:c r="D19" s="18"/>
      <x:c r="E19" s="16" t="str">
        <x:v>Fuel / vehicle-km × 100.</x:v>
      </x:c>
      <x:c r="F19" s="29" t="n">
        <x:f>IF(F16=0,"",F17/F16*100)</x:f>
        <x:v>34.92143619893942</x:v>
      </x:c>
      <x:c r="G19" s="29" t="n">
        <x:f>IF(G16=0,"",G17/G16*100)</x:f>
        <x:v>34.87099501881098</x:v>
      </x:c>
      <x:c r="H19" s="29" t="n">
        <x:f>IF(H16=0,"",H17/H16*100)</x:f>
        <x:v>34.81374939899563</x:v>
      </x:c>
      <x:c r="I19" s="29" t="n">
        <x:f>IF(I16=0,"",I17/I16*100)</x:f>
        <x:v>34.7512238401737</x:v>
      </x:c>
      <x:c r="J19" s="29" t="n">
        <x:f>IF(J16=0,"",J17/J16*100)</x:f>
        <x:v>34.67946635881557</x:v>
      </x:c>
      <x:c r="K19" s="29" t="n">
        <x:f>IF(K16=0,"",K17/K16*100)</x:f>
        <x:v>34.59895705713853</x:v>
      </x:c>
      <x:c r="L19" s="29" t="n">
        <x:f>IF(L16=0,"",L17/L16*100)</x:f>
        <x:v>34.51020941250165</x:v>
      </x:c>
      <x:c r="M19" s="29" t="n">
        <x:f>IF(M16=0,"",M17/M16*100)</x:f>
        <x:v>34.413789627726324</x:v>
      </x:c>
      <x:c r="N19" s="29" t="n">
        <x:f>IF(N16=0,"",N17/N16*100)</x:f>
        <x:v>34.31032332366266</x:v>
      </x:c>
      <x:c r="O19" s="29" t="n">
        <x:f>IF(O16=0,"",O17/O16*100)</x:f>
        <x:v>34.200624218732386</x:v>
      </x:c>
      <x:c r="P19" s="29" t="n">
        <x:f>IF(P16=0,"",P17/P16*100)</x:f>
        <x:v>34.08551899700733</x:v>
      </x:c>
      <x:c r="Q19" s="29" t="n">
        <x:f>IF(Q16=0,"",Q17/Q16*100)</x:f>
        <x:v>33.9658400166714</x:v>
      </x:c>
      <x:c r="R19" s="29" t="n">
        <x:f>IF(R16=0,"",R17/R16*100)</x:f>
        <x:v>33.842419323333104</x:v>
      </x:c>
      <x:c r="S19" s="29" t="n">
        <x:f>IF(S16=0,"",S17/S16*100)</x:f>
        <x:v>33.716080223971964</x:v>
      </x:c>
      <x:c r="T19" s="3"/>
      <x:c r="U19" s="3"/>
      <x:c r="V19" s="3"/>
    </x:row>
    <x:row r="20" ht="8" customHeight="1">
      <x:c r="A20" s="3"/>
      <x:c r="B20" s="3"/>
      <x:c r="C20" s="3"/>
      <x:c r="D20" s="3"/>
      <x:c r="E20" s="3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3"/>
      <x:c r="U20" s="3"/>
      <x:c r="V20" s="3"/>
    </x:row>
    <x:row r="21" ht="28" customHeight="1">
      <x:c r="A21" s="12" t="str">
        <x:v>Alternative tonne-km method: agree before implementation</x:v>
      </x:c>
      <x:c r="B21" s="11"/>
      <x:c r="C21" s="11"/>
      <x:c r="D21" s="11"/>
      <x:c r="E21" s="11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3"/>
      <x:c r="U21" s="3"/>
      <x:c r="V21" s="3"/>
    </x:row>
    <x:row r="22" ht="30" customHeight="1">
      <x:c r="A22" s="3" t="str">
        <x:v>Reference road freight activity</x:v>
      </x:c>
      <x:c r="B22" s="3" t="str">
        <x:v>tonne-km/year</x:v>
      </x:c>
      <x:c r="C22" s="3" t="str">
        <x:v>Workshop input</x:v>
      </x:c>
      <x:c r="D22" s="19"/>
      <x:c r="E22" s="10" t="str">
        <x:v>Choose eligible road work before rail diversion; tonnes alone omit distance.</x:v>
      </x:c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"/>
      <x:c r="U22" s="3"/>
      <x:c r="V22" s="3"/>
    </x:row>
    <x:row r="23" ht="30" customHeight="1">
      <x:c r="A23" s="3" t="str">
        <x:v>Road work diverted to rail</x:v>
      </x:c>
      <x:c r="B23" s="3" t="str">
        <x:v>share of reference</x:v>
      </x:c>
      <x:c r="C23" s="3" t="str">
        <x:v>Workshop input</x:v>
      </x:c>
      <x:c r="D23" s="19"/>
      <x:c r="E23" s="10" t="str">
        <x:v>Deduct once. If already reflected in the road activity path, do… [N064]</x:v>
      </x:c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  <x:c r="Q23" s="30"/>
      <x:c r="R23" s="30"/>
      <x:c r="S23" s="30"/>
      <x:c r="T23" s="3"/>
      <x:c r="U23" s="3"/>
      <x:c r="V23" s="3"/>
    </x:row>
    <x:row r="24" ht="30" customHeight="1">
      <x:c r="A24" s="3" t="str">
        <x:v>Freight fuel intensity</x:v>
      </x:c>
      <x:c r="B24" s="3" t="str">
        <x:v>L/tonne-km</x:v>
      </x:c>
      <x:c r="C24" s="3" t="str">
        <x:v>Workshop input</x:v>
      </x:c>
      <x:c r="D24" s="19"/>
      <x:c r="E24" s="10" t="str">
        <x:v>Calibrate to payload, empty running and vehicle mix.</x:v>
      </x:c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"/>
      <x:c r="U24" s="3"/>
      <x:c r="V24" s="3"/>
    </x:row>
    <x:row r="25" ht="30" customHeight="1">
      <x:c r="A25" s="3" t="str">
        <x:v>Alternative freight demand</x:v>
      </x:c>
      <x:c r="B25" s="3" t="str">
        <x:v>million L/year</x:v>
      </x:c>
      <x:c r="C25" s="3" t="str">
        <x:v>Proposed output</x:v>
      </x:c>
      <x:c r="D25" s="13"/>
      <x:c r="E25" s="3" t="str">
        <x:v>Reference tonne-km × (1 − eligible diversion share) × L/tonne-km… [N065]</x:v>
      </x:c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3"/>
      <x:c r="U25" s="3"/>
      <x:c r="V25" s="3"/>
    </x:row>
    <x:row r="26" ht="30" customHeight="1">
      <x:c r="A26" s="3" t="str">
        <x:v>Geographic definition</x:v>
      </x:c>
      <x:c r="B26" s="3" t="str">
        <x:v>decision</x:v>
      </x:c>
      <x:c r="C26" s="3" t="str">
        <x:v>Workshop input</x:v>
      </x:c>
      <x:c r="D26" s="19"/>
      <x:c r="E26" s="10" t="str">
        <x:v>Agree fuel sales location versus consumption/corridor. Do not… [N066]</x:v>
      </x:c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"/>
      <x:c r="U26" s="3"/>
      <x:c r="V26" s="3"/>
    </x:row>
    <x:row r="27" ht="8" customHeight="1">
      <x:c r="A27" s="3"/>
      <x:c r="B27" s="3"/>
      <x:c r="C27" s="3"/>
      <x:c r="D27" s="3"/>
      <x:c r="E27" s="3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3"/>
      <x:c r="U27" s="3"/>
      <x:c r="V27" s="3"/>
    </x:row>
    <x:row r="28" ht="30" customHeight="1">
      <x:c r="A28" s="3" t="str">
        <x:v>Source</x:v>
      </x:c>
      <x:c r="B28" s="3" t="str">
        <x:v>URL</x:v>
      </x:c>
      <x:c r="C28" s="3" t="str">
        <x:v>Source</x:v>
      </x:c>
      <x:c r="D28" s="13"/>
      <x:c r="E28" s="3" t="str">
        <x:v>https://github.com/Africa-International-Advisors/liquid_fuels_mode… [N067]</x:v>
      </x:c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3"/>
      <x:c r="U28" s="3"/>
      <x:c r="V28" s="3"/>
    </x:row>
    <x:row r="29" ht="8" customHeight="1">
      <x:c r="A29" s="3"/>
      <x:c r="B29" s="3"/>
      <x:c r="C29" s="3"/>
      <x:c r="D29" s="3"/>
      <x:c r="E29" s="3"/>
      <x:c r="F29" s="6"/>
      <x:c r="G29" s="6"/>
      <x:c r="H29" s="6"/>
      <x:c r="I29" s="6"/>
      <x:c r="J29" s="6"/>
      <x:c r="K29" s="6"/>
      <x:c r="L29" s="6"/>
      <x:c r="M29" s="6"/>
      <x:c r="N29" s="6"/>
      <x:c r="O29" s="6"/>
      <x:c r="P29" s="6"/>
      <x:c r="Q29" s="6"/>
      <x:c r="R29" s="6"/>
      <x:c r="S29" s="6"/>
      <x:c r="T29" s="3"/>
      <x:c r="U29" s="3"/>
      <x:c r="V29" s="3"/>
    </x:row>
    <x:row r="30" ht="28" customHeight="1">
      <x:c r="A30" s="12" t="str">
        <x:v>Freight electrification: current setting and proposed replacement</x:v>
      </x:c>
      <x:c r="B30" s="11"/>
      <x:c r="C30" s="11"/>
      <x:c r="D30" s="11"/>
      <x:c r="E30" s="11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3"/>
      <x:c r="U30" s="3"/>
      <x:c r="V30" s="3"/>
    </x:row>
    <x:row r="31" ht="30" customHeight="1">
      <x:c r="A31" s="16" t="str">
        <x:v>Current common EV share of new sales</x:v>
      </x:c>
      <x:c r="B31" s="16" t="str">
        <x:v>share</x:v>
      </x:c>
      <x:c r="C31" s="16" t="str">
        <x:v>Engine output</x:v>
      </x:c>
      <x:c r="D31" s="100"/>
      <x:c r="E31" s="16" t="str">
        <x:v>Existing engine curve applied to HCV as well as other classes.… [N068]</x:v>
      </x:c>
      <x:c r="F31" s="103" t="n">
        <x:f>IF(ISNUMBER('Model run'!F29),'Model run'!F29,"")</x:f>
        <x:v>0.0007417869469904323</x:v>
      </x:c>
      <x:c r="G31" s="103" t="n">
        <x:f>IF(ISNUMBER('Model run'!G29),'Model run'!G29,"")</x:f>
        <x:v>0.001034235390469069</x:v>
      </x:c>
      <x:c r="H31" s="103" t="n">
        <x:f>IF(ISNUMBER('Model run'!H29),'Model run'!H29,"")</x:f>
        <x:v>0.0014414258661478556</x:v>
      </x:c>
      <x:c r="I31" s="103" t="n">
        <x:f>IF(ISNUMBER('Model run'!I29),'Model run'!I29,"")</x:f>
        <x:v>0.0020078552772854565</x:v>
      </x:c>
      <x:c r="J31" s="103" t="n">
        <x:f>IF(ISNUMBER('Model run'!J29),'Model run'!J29,"")</x:f>
        <x:v>0.0027947878035200057</x:v>
      </x:c>
      <x:c r="K31" s="103" t="n">
        <x:f>IF(ISNUMBER('Model run'!K29),'Model run'!K29,"")</x:f>
        <x:v>0.0038861182592087613</x:v>
      </x:c>
      <x:c r="L31" s="103" t="n">
        <x:f>IF(ISNUMBER('Model run'!L29),'Model run'!L29,"")</x:f>
        <x:v>0.005395862988627468</x:v>
      </x:c>
      <x:c r="M31" s="103" t="n">
        <x:f>IF(ISNUMBER('Model run'!M29),'Model run'!M29,"")</x:f>
        <x:v>0.007477327994134211</x:v>
      </x:c>
      <x:c r="N31" s="103" t="n">
        <x:f>IF(ISNUMBER('Model run'!N29),'Model run'!N29,"")</x:f>
        <x:v>0.01033355869986335</x:v>
      </x:c>
      <x:c r="O31" s="103" t="n">
        <x:f>IF(ISNUMBER('Model run'!O29),'Model run'!O29,"")</x:f>
        <x:v>0.014227761953270034</x:v>
      </x:c>
      <x:c r="P31" s="103" t="n">
        <x:f>IF(ISNUMBER('Model run'!P29),'Model run'!P29,"")</x:f>
        <x:v>0.01949075073859922</x:v>
      </x:c>
      <x:c r="Q31" s="103" t="n">
        <x:f>IF(ISNUMBER('Model run'!Q29),'Model run'!Q29,"")</x:f>
        <x:v>0.02651990316211752</x:v>
      </x:c>
      <x:c r="R31" s="103" t="n">
        <x:f>IF(ISNUMBER('Model run'!R29),'Model run'!R29,"")</x:f>
        <x:v>0.03576087660663526</x:v>
      </x:c>
      <x:c r="S31" s="103" t="n">
        <x:f>IF(ISNUMBER('Model run'!S29),'Model run'!S29,"")</x:f>
        <x:v>0.04766073146427455</x:v>
      </x:c>
      <x:c r="T31" s="3"/>
      <x:c r="U31" s="3"/>
      <x:c r="V31" s="3"/>
    </x:row>
    <x:row r="32" ht="30" customHeight="1">
      <x:c r="A32" s="3" t="str">
        <x:v>Truck BEV share of new sales</x:v>
      </x:c>
      <x:c r="B32" s="3" t="str">
        <x:v>share</x:v>
      </x:c>
      <x:c r="C32" s="3" t="str">
        <x:v>Workshop input</x:v>
      </x:c>
      <x:c r="D32" s="21"/>
      <x:c r="E32" s="10" t="str">
        <x:v>Separate light delivery, regional and long-haul cohorts. Use… [N069]</x:v>
      </x:c>
      <x:c r="F32" s="107"/>
      <x:c r="G32" s="107"/>
      <x:c r="H32" s="107"/>
      <x:c r="I32" s="107"/>
      <x:c r="J32" s="107"/>
      <x:c r="K32" s="107"/>
      <x:c r="L32" s="107"/>
      <x:c r="M32" s="107"/>
      <x:c r="N32" s="107"/>
      <x:c r="O32" s="107"/>
      <x:c r="P32" s="107"/>
      <x:c r="Q32" s="107"/>
      <x:c r="R32" s="107"/>
      <x:c r="S32" s="107"/>
      <x:c r="T32" s="3"/>
      <x:c r="U32" s="3"/>
      <x:c r="V32" s="3"/>
    </x:row>
    <x:row r="33" ht="30" customHeight="1">
      <x:c r="A33" s="3" t="str">
        <x:v>Truck hybrid / PHEV new-sales share</x:v>
      </x:c>
      <x:c r="B33" s="3" t="str">
        <x:v>share</x:v>
      </x:c>
      <x:c r="C33" s="3" t="str">
        <x:v>Workshop input</x:v>
      </x:c>
      <x:c r="D33" s="21"/>
      <x:c r="E33" s="10" t="str">
        <x:v>Separate from BEVs. Record residual diesel use; PHEV… [N070]</x:v>
      </x:c>
      <x:c r="F33" s="107"/>
      <x:c r="G33" s="107"/>
      <x:c r="H33" s="107"/>
      <x:c r="I33" s="107"/>
      <x:c r="J33" s="107"/>
      <x:c r="K33" s="107"/>
      <x:c r="L33" s="107"/>
      <x:c r="M33" s="107"/>
      <x:c r="N33" s="107"/>
      <x:c r="O33" s="107"/>
      <x:c r="P33" s="107"/>
      <x:c r="Q33" s="107"/>
      <x:c r="R33" s="107"/>
      <x:c r="S33" s="107"/>
      <x:c r="T33" s="3"/>
      <x:c r="U33" s="3"/>
      <x:c r="V33" s="3"/>
    </x:row>
    <x:row r="34" ht="30" customHeight="1">
      <x:c r="A34" s="3" t="str">
        <x:v>Opening fleet and survival by drivetrain</x:v>
      </x:c>
      <x:c r="B34" s="3" t="str">
        <x:v>vehicles / survival</x:v>
      </x:c>
      <x:c r="C34" s="3" t="str">
        <x:v>Workshop input</x:v>
      </x:c>
      <x:c r="D34" s="19"/>
      <x:c r="E34" s="10" t="str">
        <x:v>New-sales shares become stock through cohort additions and… [N071]</x:v>
      </x:c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  <x:c r="Q34" s="30"/>
      <x:c r="R34" s="30"/>
      <x:c r="S34" s="30"/>
      <x:c r="T34" s="3"/>
      <x:c r="U34" s="3"/>
      <x:c r="V34" s="3"/>
    </x:row>
    <x:row r="35" ht="30" customHeight="1">
      <x:c r="A35" s="3" t="str">
        <x:v>Mileage by drivetrain / duty cycle</x:v>
      </x:c>
      <x:c r="B35" s="3" t="str">
        <x:v>km/vehicle/year</x:v>
      </x:c>
      <x:c r="C35" s="3" t="str">
        <x:v>Workshop input</x:v>
      </x:c>
      <x:c r="D35" s="19"/>
      <x:c r="E35" s="10" t="str">
        <x:v>Electric and diesel trucks can perform different annual work. Use… [N072]</x:v>
      </x:c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  <x:c r="Q35" s="30"/>
      <x:c r="R35" s="30"/>
      <x:c r="S35" s="30"/>
      <x:c r="T35" s="3"/>
      <x:c r="U35" s="3"/>
      <x:c r="V35" s="3"/>
    </x:row>
    <x:row r="36" ht="30" customHeight="1">
      <x:c r="A36" s="3" t="str">
        <x:v>Truck electricity intensity</x:v>
      </x:c>
      <x:c r="B36" s="3" t="str">
        <x:v>kWh/km</x:v>
      </x:c>
      <x:c r="C36" s="3" t="str">
        <x:v>Workshop input</x:v>
      </x:c>
      <x:c r="D36" s="19"/>
      <x:c r="E36" s="10" t="str">
        <x:v>Optional electricity requirement and charging-feasibility check.… [N073]</x:v>
      </x:c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  <x:c r="Q36" s="30"/>
      <x:c r="R36" s="30"/>
      <x:c r="S36" s="30"/>
      <x:c r="T36" s="3"/>
      <x:c r="U36" s="3"/>
      <x:c r="V36" s="3"/>
    </x:row>
    <x:row r="37" ht="30" customHeight="1">
      <x:c r="A37" s="3" t="str">
        <x:v>Charging and operating constraints</x:v>
      </x:c>
      <x:c r="B37" s="3" t="str">
        <x:v>eligibility / timing</x:v>
      </x:c>
      <x:c r="C37" s="3" t="str">
        <x:v>Workshop input</x:v>
      </x:c>
      <x:c r="D37" s="19"/>
      <x:c r="E37" s="10" t="str">
        <x:v>Depot/corridor access, charging power, dwell time, grid… [N074]</x:v>
      </x:c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  <x:c r="Q37" s="30"/>
      <x:c r="R37" s="30"/>
      <x:c r="S37" s="30"/>
      <x:c r="T37" s="3"/>
      <x:c r="U37" s="3"/>
      <x:c r="V37" s="3"/>
    </x:row>
    <x:row r="38" ht="30" customHeight="1">
      <x:c r="A38" s="3" t="str">
        <x:v>Electric freight share of road work</x:v>
      </x:c>
      <x:c r="B38" s="3" t="str">
        <x:v>share of tonne-km</x:v>
      </x:c>
      <x:c r="C38" s="3" t="str">
        <x:v>Proposed output</x:v>
      </x:c>
      <x:c r="D38" s="13"/>
      <x:c r="E38" s="3" t="str">
        <x:v>For tonne-km method: derive consistent work share from drivetrain… [N075]</x:v>
      </x:c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/>
      <x:c r="S38" s="26"/>
      <x:c r="T38" s="3"/>
      <x:c r="U38" s="3"/>
      <x:c r="V38" s="3"/>
    </x:row>
    <x:row r="39" ht="30" customHeight="1">
      <x:c r="A39" s="3" t="str">
        <x:v>Truck diesel demand after transition</x:v>
      </x:c>
      <x:c r="B39" s="3" t="str">
        <x:v>million L/year</x:v>
      </x:c>
      <x:c r="C39" s="3" t="str">
        <x:v>Proposed output</x:v>
      </x:c>
      <x:c r="D39" s="13"/>
      <x:c r="E39" s="3" t="str">
        <x:v>Fleet method: sum diesel/hybrid cohort vehicles × km × L/100 km /… [N076]</x:v>
      </x:c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/>
      <x:c r="S39" s="26"/>
      <x:c r="T39" s="3"/>
      <x:c r="U39" s="3"/>
      <x:c r="V39" s="3"/>
    </x:row>
    <x:row r="40" ht="30" customHeight="1">
      <x:c r="A40" s="3" t="str">
        <x:v>Rail and electrification interaction</x:v>
      </x:c>
      <x:c r="B40" s="3" t="str">
        <x:v>decision</x:v>
      </x:c>
      <x:c r="C40" s="3" t="str">
        <x:v>Workshop input</x:v>
      </x:c>
      <x:c r="D40" s="19"/>
      <x:c r="E40" s="10" t="str">
        <x:v>Rail diversion first defines remaining road work. Drivetrain… [N077]</x:v>
      </x:c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  <x:c r="Q40" s="30"/>
      <x:c r="R40" s="30"/>
      <x:c r="S40" s="30"/>
      <x:c r="T40" s="3"/>
      <x:c r="U40" s="3"/>
      <x:c r="V40" s="3"/>
    </x:row>
    <x:row r="41" ht="30" customHeight="1">
      <x:c r="A41" s="3" t="str">
        <x:v>Province / corridor treatment</x:v>
      </x:c>
      <x:c r="B41" s="3" t="str">
        <x:v>decision</x:v>
      </x:c>
      <x:c r="C41" s="3" t="str">
        <x:v>Workshop input</x:v>
      </x:c>
      <x:c r="D41" s="19"/>
      <x:c r="E41" s="10" t="str">
        <x:v>Electrify feasible routes/depot fleets first; reconcile… [N078]</x:v>
      </x:c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  <x:c r="Q41" s="30"/>
      <x:c r="R41" s="30"/>
      <x:c r="S41" s="30"/>
      <x:c r="T41" s="3"/>
      <x:c r="U41" s="3"/>
      <x:c r="V41" s="3"/>
    </x:row>
    <x:row r="42" ht="8" customHeight="1">
      <x:c r="A42" s="3"/>
      <x:c r="B42" s="3"/>
      <x:c r="C42" s="3"/>
      <x:c r="D42" s="3"/>
      <x:c r="E42" s="3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3"/>
      <x:c r="U42" s="3"/>
      <x:c r="V42" s="3"/>
    </x:row>
    <x:row r="43" ht="30" customHeight="1">
      <x:c r="A43" s="3" t="str">
        <x:v>H/M/L brackets</x:v>
      </x:c>
      <x:c r="B43" s="3" t="str">
        <x:v>decision</x:v>
      </x:c>
      <x:c r="C43" s="3" t="str">
        <x:v>Workshop input</x:v>
      </x:c>
      <x:c r="D43" s="19"/>
      <x:c r="E43" s="10" t="str">
        <x:v>Set truck BEV shares, hybrid treatment and rollout dates by duty… [N079]</x:v>
      </x:c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  <x:c r="Q43" s="30"/>
      <x:c r="R43" s="30"/>
      <x:c r="S43" s="30"/>
      <x:c r="T43" s="3"/>
      <x:c r="U43" s="3"/>
      <x:c r="V43" s="3"/>
    </x:row>
    <x:row r="44" ht="8" customHeight="1">
      <x:c r="A44" s="3"/>
      <x:c r="B44" s="3"/>
      <x:c r="C44" s="3"/>
      <x:c r="D44" s="3"/>
      <x:c r="E44" s="3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3"/>
      <x:c r="U44" s="3"/>
      <x:c r="V44" s="3"/>
    </x:row>
    <x:row r="45" ht="30" customHeight="1">
      <x:c r="A45" s="3" t="str">
        <x:v>Current curve source</x:v>
      </x:c>
      <x:c r="B45" s="3" t="str">
        <x:v>URL</x:v>
      </x:c>
      <x:c r="C45" s="3" t="str">
        <x:v>Source</x:v>
      </x:c>
      <x:c r="D45" s="13"/>
      <x:c r="E45" s="3" t="str">
        <x:v>https://github.com/Africa-International-Advisors/liquid_fuels_mode… [N080]</x:v>
      </x:c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/>
      <x:c r="S45" s="26"/>
      <x:c r="T45" s="3"/>
      <x:c r="U45" s="3"/>
      <x:c r="V45" s="3"/>
    </x:row>
    <x:row r="46" ht="8" customHeight="1">
      <x:c r="A46" s="3"/>
      <x:c r="B46" s="3"/>
      <x:c r="C46" s="3"/>
      <x:c r="D46" s="3"/>
      <x:c r="E46" s="3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3"/>
      <x:c r="U46" s="3"/>
      <x:c r="V46" s="3"/>
    </x:row>
    <x:row r="47" ht="28" customHeight="1">
      <x:c r="A47" s="12" t="str">
        <x:v>Available freight evidence: activity is not yet calibrated to litres</x:v>
      </x:c>
      <x:c r="B47" s="11"/>
      <x:c r="C47" s="11"/>
      <x:c r="D47" s="11"/>
      <x:c r="E47" s="11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11"/>
      <x:c r="U47" s="11"/>
      <x:c r="V47" s="11"/>
    </x:row>
    <x:row r="48" ht="30" customHeight="1">
      <x:c r="A48" s="65" t="str">
        <x:v>Medium/heavy commercial new sales</x:v>
      </x:c>
      <x:c r="B48" s="65" t="str">
        <x:v>vehicles/year</x:v>
      </x:c>
      <x:c r="C48" s="65" t="str">
        <x:v>Staged observation</x:v>
      </x:c>
      <x:c r="D48" s="66" t="str">
        <x:f>IF(ISNUMBER('Evidence'!D15),'Evidence'!D15,"")</x:f>
      </x:c>
      <x:c r="E48" s="65" t="str">
        <x:v>NAAMSA actual new sales. Published 2026/27 projections excluded… [N081]</x:v>
      </x:c>
      <x:c r="F48" s="67" t="n">
        <x:f>IF(ISNUMBER('Evidence'!F15),'Evidence'!F15,"")</x:f>
        <x:v>29942</x:v>
      </x:c>
      <x:c r="G48" s="67" t="n">
        <x:f>IF(ISNUMBER('Evidence'!G15),'Evidence'!G15,"")</x:f>
        <x:v>32690</x:v>
      </x:c>
      <x:c r="H48" s="67" t="n">
        <x:f>IF(ISNUMBER('Evidence'!H15),'Evidence'!H15,"")</x:f>
        <x:v>31175</x:v>
      </x:c>
      <x:c r="I48" s="67" t="n">
        <x:f>IF(ISNUMBER('Evidence'!I15),'Evidence'!I15,"")</x:f>
        <x:v>30911</x:v>
      </x:c>
      <x:c r="J48" s="67" t="str">
        <x:f>IF(ISNUMBER('Evidence'!J15),'Evidence'!J15,"")</x:f>
      </x:c>
      <x:c r="K48" s="67" t="str">
        <x:f>IF(ISNUMBER('Evidence'!K15),'Evidence'!K15,"")</x:f>
      </x:c>
      <x:c r="L48" s="67" t="str">
        <x:f>IF(ISNUMBER('Evidence'!L15),'Evidence'!L15,"")</x:f>
      </x:c>
      <x:c r="M48" s="67" t="str">
        <x:f>IF(ISNUMBER('Evidence'!M15),'Evidence'!M15,"")</x:f>
      </x:c>
      <x:c r="N48" s="67" t="str">
        <x:f>IF(ISNUMBER('Evidence'!N15),'Evidence'!N15,"")</x:f>
      </x:c>
      <x:c r="O48" s="67" t="str">
        <x:f>IF(ISNUMBER('Evidence'!O15),'Evidence'!O15,"")</x:f>
      </x:c>
      <x:c r="P48" s="67" t="str">
        <x:f>IF(ISNUMBER('Evidence'!P15),'Evidence'!P15,"")</x:f>
      </x:c>
      <x:c r="Q48" s="67" t="str">
        <x:f>IF(ISNUMBER('Evidence'!Q15),'Evidence'!Q15,"")</x:f>
      </x:c>
      <x:c r="R48" s="67" t="str">
        <x:f>IF(ISNUMBER('Evidence'!R15),'Evidence'!R15,"")</x:f>
      </x:c>
      <x:c r="S48" s="67" t="str">
        <x:f>IF(ISNUMBER('Evidence'!S15),'Evidence'!S15,"")</x:f>
      </x:c>
      <x:c r="T48" s="3" t="str">
        <x:v>Unreviewed source extract; annual cells contain… [N082]</x:v>
      </x:c>
      <x:c r="U48" s="3" t="str">
        <x:v>Evidence row 15;… [N083]</x:v>
      </x:c>
      <x:c r="V48" s="3" t="str">
        <x:v>G04: align medium/heavy sales with HCV engine and… [N084]</x:v>
      </x:c>
    </x:row>
    <x:row r="49" ht="30" customHeight="1">
      <x:c r="A49" s="65" t="str">
        <x:v>Registered trucks, all drivetrains</x:v>
      </x:c>
      <x:c r="B49" s="65" t="str">
        <x:v>vehicles</x:v>
      </x:c>
      <x:c r="C49" s="65" t="str">
        <x:v>Staged observation</x:v>
      </x:c>
      <x:c r="D49" s="66" t="n">
        <x:f>IF(ISNUMBER('Evidence'!D22),'Evidence'!D22,"")</x:f>
        <x:v>409049</x:v>
      </x:c>
      <x:c r="E49" s="65" t="str">
        <x:v>eNaTIS December snapshots; latest June 2026 kept separately. No… [N085]</x:v>
      </x:c>
      <x:c r="F49" s="67" t="n">
        <x:f>IF(ISNUMBER('Evidence'!F22),'Evidence'!F22,"")</x:f>
        <x:v>385845</x:v>
      </x:c>
      <x:c r="G49" s="67" t="n">
        <x:f>IF(ISNUMBER('Evidence'!G22),'Evidence'!G22,"")</x:f>
        <x:v>392349</x:v>
      </x:c>
      <x:c r="H49" s="67" t="n">
        <x:f>IF(ISNUMBER('Evidence'!H22),'Evidence'!H22,"")</x:f>
        <x:v>398542</x:v>
      </x:c>
      <x:c r="I49" s="67" t="n">
        <x:f>IF(ISNUMBER('Evidence'!I22),'Evidence'!I22,"")</x:f>
        <x:v>404752</x:v>
      </x:c>
      <x:c r="J49" s="67" t="str">
        <x:f>IF(ISNUMBER('Evidence'!J22),'Evidence'!J22,"")</x:f>
      </x:c>
      <x:c r="K49" s="67" t="str">
        <x:f>IF(ISNUMBER('Evidence'!K22),'Evidence'!K22,"")</x:f>
      </x:c>
      <x:c r="L49" s="67" t="str">
        <x:f>IF(ISNUMBER('Evidence'!L22),'Evidence'!L22,"")</x:f>
      </x:c>
      <x:c r="M49" s="67" t="str">
        <x:f>IF(ISNUMBER('Evidence'!M22),'Evidence'!M22,"")</x:f>
      </x:c>
      <x:c r="N49" s="67" t="str">
        <x:f>IF(ISNUMBER('Evidence'!N22),'Evidence'!N22,"")</x:f>
      </x:c>
      <x:c r="O49" s="67" t="str">
        <x:f>IF(ISNUMBER('Evidence'!O22),'Evidence'!O22,"")</x:f>
      </x:c>
      <x:c r="P49" s="67" t="str">
        <x:f>IF(ISNUMBER('Evidence'!P22),'Evidence'!P22,"")</x:f>
      </x:c>
      <x:c r="Q49" s="67" t="str">
        <x:f>IF(ISNUMBER('Evidence'!Q22),'Evidence'!Q22,"")</x:f>
      </x:c>
      <x:c r="R49" s="67" t="str">
        <x:f>IF(ISNUMBER('Evidence'!R22),'Evidence'!R22,"")</x:f>
      </x:c>
      <x:c r="S49" s="67" t="str">
        <x:f>IF(ISNUMBER('Evidence'!S22),'Evidence'!S22,"")</x:f>
      </x:c>
      <x:c r="T49" s="3" t="str">
        <x:v>Unreviewed source extract; annual cells contain… [N086]</x:v>
      </x:c>
      <x:c r="U49" s="3" t="str">
        <x:v>Evidence row 22;… [N087]</x:v>
      </x:c>
      <x:c r="V49" s="3" t="str">
        <x:v>G04: reconcile vehicle definition, drivetrain and… [N088]</x:v>
      </x:c>
    </x:row>
    <x:row r="50" ht="30" customHeight="1">
      <x:c r="A50" s="65" t="str">
        <x:v>Road freight payload</x:v>
      </x:c>
      <x:c r="B50" s="65" t="str">
        <x:v>thousand tonnes</x:v>
      </x:c>
      <x:c r="C50" s="65" t="str">
        <x:v>Staged observation</x:v>
      </x:c>
      <x:c r="D50" s="66" t="n">
        <x:f>IF(ISNUMBER('Evidence'!D32),'Evidence'!D32,"")</x:f>
        <x:v>568029</x:v>
      </x:c>
      <x:c r="E50" s="65" t="str">
        <x:v>Complete calendar years only; 2026 Jan–Jul shown separately.… [N089]</x:v>
      </x:c>
      <x:c r="F50" s="67" t="n">
        <x:f>IF(ISNUMBER('Evidence'!F32),'Evidence'!F32,"")</x:f>
        <x:v>1048547</x:v>
      </x:c>
      <x:c r="G50" s="67" t="n">
        <x:f>IF(ISNUMBER('Evidence'!G32),'Evidence'!G32,"")</x:f>
        <x:v>1060419</x:v>
      </x:c>
      <x:c r="H50" s="67" t="n">
        <x:f>IF(ISNUMBER('Evidence'!H32),'Evidence'!H32,"")</x:f>
        <x:v>979798</x:v>
      </x:c>
      <x:c r="I50" s="67" t="n">
        <x:f>IF(ISNUMBER('Evidence'!I32),'Evidence'!I32,"")</x:f>
        <x:v>975176</x:v>
      </x:c>
      <x:c r="J50" s="67" t="str">
        <x:f>IF(ISNUMBER('Evidence'!J32),'Evidence'!J32,"")</x:f>
      </x:c>
      <x:c r="K50" s="67" t="str">
        <x:f>IF(ISNUMBER('Evidence'!K32),'Evidence'!K32,"")</x:f>
      </x:c>
      <x:c r="L50" s="67" t="str">
        <x:f>IF(ISNUMBER('Evidence'!L32),'Evidence'!L32,"")</x:f>
      </x:c>
      <x:c r="M50" s="67" t="str">
        <x:f>IF(ISNUMBER('Evidence'!M32),'Evidence'!M32,"")</x:f>
      </x:c>
      <x:c r="N50" s="67" t="str">
        <x:f>IF(ISNUMBER('Evidence'!N32),'Evidence'!N32,"")</x:f>
      </x:c>
      <x:c r="O50" s="67" t="str">
        <x:f>IF(ISNUMBER('Evidence'!O32),'Evidence'!O32,"")</x:f>
      </x:c>
      <x:c r="P50" s="67" t="str">
        <x:f>IF(ISNUMBER('Evidence'!P32),'Evidence'!P32,"")</x:f>
      </x:c>
      <x:c r="Q50" s="67" t="str">
        <x:f>IF(ISNUMBER('Evidence'!Q32),'Evidence'!Q32,"")</x:f>
      </x:c>
      <x:c r="R50" s="67" t="str">
        <x:f>IF(ISNUMBER('Evidence'!R32),'Evidence'!R32,"")</x:f>
      </x:c>
      <x:c r="S50" s="67" t="str">
        <x:f>IF(ISNUMBER('Evidence'!S32),'Evidence'!S32,"")</x:f>
      </x:c>
      <x:c r="T50" s="3" t="str">
        <x:v>Unreviewed source extract; annual cells contain… [N090]</x:v>
      </x:c>
      <x:c r="U50" s="3" t="str">
        <x:v>Evidence row 32;… [N091]</x:v>
      </x:c>
      <x:c r="V50" s="3" t="str">
        <x:v>G04: tonnes need distance/payload/empty-running… [N092]</x:v>
      </x:c>
    </x:row>
    <x:row r="51" ht="30" customHeight="1">
      <x:c r="A51" s="65" t="str">
        <x:v>Rail freight payload</x:v>
      </x:c>
      <x:c r="B51" s="65" t="str">
        <x:v>thousand tonnes</x:v>
      </x:c>
      <x:c r="C51" s="65" t="str">
        <x:v>Staged observation</x:v>
      </x:c>
      <x:c r="D51" s="66" t="n">
        <x:f>IF(ISNUMBER('Evidence'!D33),'Evidence'!D33,"")</x:f>
        <x:v>101145</x:v>
      </x:c>
      <x:c r="E51" s="65" t="str">
        <x:v>Complete calendar years only; 2026 Jan–Jul shown separately.… [N093]</x:v>
      </x:c>
      <x:c r="F51" s="67" t="n">
        <x:f>IF(ISNUMBER('Evidence'!F33),'Evidence'!F33,"")</x:f>
        <x:v>155913</x:v>
      </x:c>
      <x:c r="G51" s="67" t="n">
        <x:f>IF(ISNUMBER('Evidence'!G33),'Evidence'!G33,"")</x:f>
        <x:v>160100</x:v>
      </x:c>
      <x:c r="H51" s="67" t="n">
        <x:f>IF(ISNUMBER('Evidence'!H33),'Evidence'!H33,"")</x:f>
        <x:v>160745</x:v>
      </x:c>
      <x:c r="I51" s="67" t="n">
        <x:f>IF(ISNUMBER('Evidence'!I33),'Evidence'!I33,"")</x:f>
        <x:v>168259</x:v>
      </x:c>
      <x:c r="J51" s="67" t="str">
        <x:f>IF(ISNUMBER('Evidence'!J33),'Evidence'!J33,"")</x:f>
      </x:c>
      <x:c r="K51" s="67" t="str">
        <x:f>IF(ISNUMBER('Evidence'!K33),'Evidence'!K33,"")</x:f>
      </x:c>
      <x:c r="L51" s="67" t="str">
        <x:f>IF(ISNUMBER('Evidence'!L33),'Evidence'!L33,"")</x:f>
      </x:c>
      <x:c r="M51" s="67" t="str">
        <x:f>IF(ISNUMBER('Evidence'!M33),'Evidence'!M33,"")</x:f>
      </x:c>
      <x:c r="N51" s="67" t="str">
        <x:f>IF(ISNUMBER('Evidence'!N33),'Evidence'!N33,"")</x:f>
      </x:c>
      <x:c r="O51" s="67" t="str">
        <x:f>IF(ISNUMBER('Evidence'!O33),'Evidence'!O33,"")</x:f>
      </x:c>
      <x:c r="P51" s="67" t="str">
        <x:f>IF(ISNUMBER('Evidence'!P33),'Evidence'!P33,"")</x:f>
      </x:c>
      <x:c r="Q51" s="67" t="str">
        <x:f>IF(ISNUMBER('Evidence'!Q33),'Evidence'!Q33,"")</x:f>
      </x:c>
      <x:c r="R51" s="67" t="str">
        <x:f>IF(ISNUMBER('Evidence'!R33),'Evidence'!R33,"")</x:f>
      </x:c>
      <x:c r="S51" s="67" t="str">
        <x:f>IF(ISNUMBER('Evidence'!S33),'Evidence'!S33,"")</x:f>
      </x:c>
      <x:c r="T51" s="3" t="str">
        <x:v>Unreviewed source extract; annual cells contain… [N094]</x:v>
      </x:c>
      <x:c r="U51" s="3" t="str">
        <x:v>Evidence row 33;… [N095]</x:v>
      </x:c>
      <x:c r="V51" s="3" t="str">
        <x:v>G04: source feasible diversion by… [N096]</x:v>
      </x:c>
    </x:row>
    <x:row r="52" ht="30" customHeight="1">
      <x:c r="A52" s="65" t="str">
        <x:v>LCV new sales</x:v>
      </x:c>
      <x:c r="B52" s="65" t="str">
        <x:v>vehicles/year</x:v>
      </x:c>
      <x:c r="C52" s="65" t="str">
        <x:v>Staged observation</x:v>
      </x:c>
      <x:c r="D52" s="66" t="str">
        <x:f>IF(ISNUMBER('Evidence'!D14),'Evidence'!D14,"")</x:f>
      </x:c>
      <x:c r="E52" s="65" t="str">
        <x:v>NAAMSA actual new sales. Published 2026/27 projections excluded… [N097]</x:v>
      </x:c>
      <x:c r="F52" s="67" t="n">
        <x:f>IF(ISNUMBER('Evidence'!F14),'Evidence'!F14,"")</x:f>
        <x:v>135711</x:v>
      </x:c>
      <x:c r="G52" s="67" t="n">
        <x:f>IF(ISNUMBER('Evidence'!G14),'Evidence'!G14,"")</x:f>
        <x:v>151490</x:v>
      </x:c>
      <x:c r="H52" s="67" t="n">
        <x:f>IF(ISNUMBER('Evidence'!H14),'Evidence'!H14,"")</x:f>
        <x:v>133375</x:v>
      </x:c>
      <x:c r="I52" s="67" t="n">
        <x:f>IF(ISNUMBER('Evidence'!I14),'Evidence'!I14,"")</x:f>
        <x:v>143964</x:v>
      </x:c>
      <x:c r="J52" s="67" t="str">
        <x:f>IF(ISNUMBER('Evidence'!J14),'Evidence'!J14,"")</x:f>
      </x:c>
      <x:c r="K52" s="67" t="str">
        <x:f>IF(ISNUMBER('Evidence'!K14),'Evidence'!K14,"")</x:f>
      </x:c>
      <x:c r="L52" s="67" t="str">
        <x:f>IF(ISNUMBER('Evidence'!L14),'Evidence'!L14,"")</x:f>
      </x:c>
      <x:c r="M52" s="67" t="str">
        <x:f>IF(ISNUMBER('Evidence'!M14),'Evidence'!M14,"")</x:f>
      </x:c>
      <x:c r="N52" s="67" t="str">
        <x:f>IF(ISNUMBER('Evidence'!N14),'Evidence'!N14,"")</x:f>
      </x:c>
      <x:c r="O52" s="67" t="str">
        <x:f>IF(ISNUMBER('Evidence'!O14),'Evidence'!O14,"")</x:f>
      </x:c>
      <x:c r="P52" s="67" t="str">
        <x:f>IF(ISNUMBER('Evidence'!P14),'Evidence'!P14,"")</x:f>
      </x:c>
      <x:c r="Q52" s="67" t="str">
        <x:f>IF(ISNUMBER('Evidence'!Q14),'Evidence'!Q14,"")</x:f>
      </x:c>
      <x:c r="R52" s="67" t="str">
        <x:f>IF(ISNUMBER('Evidence'!R14),'Evidence'!R14,"")</x:f>
      </x:c>
      <x:c r="S52" s="67" t="str">
        <x:f>IF(ISNUMBER('Evidence'!S14),'Evidence'!S14,"")</x:f>
      </x:c>
      <x:c r="T52" s="3" t="str">
        <x:v>Unreviewed source extract; annual cells contain… [N098]</x:v>
      </x:c>
      <x:c r="U52" s="3" t="str">
        <x:v>Evidence row 14;… [N099]</x:v>
      </x:c>
      <x:c r="V52" s="3" t="str">
        <x:v>G04: determine freight versus passenger/other LCV work.</x:v>
      </x:c>
    </x:row>
    <x:row r="53" ht="30" customHeight="1">
      <x:c r="A53" s="10" t="str">
        <x:v>Truck-specific BEV sales / fleet</x:v>
      </x:c>
      <x:c r="B53" s="10" t="str">
        <x:v>vehicles or share</x:v>
      </x:c>
      <x:c r="C53" s="10" t="str">
        <x:v>Missing input</x:v>
      </x:c>
      <x:c r="D53" s="19"/>
      <x:c r="E53" s="10" t="str">
        <x:v>All-market NEV data exists on Petrol sheet; no truck-specific… [N100]</x:v>
      </x:c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  <x:c r="Q53" s="30"/>
      <x:c r="R53" s="30"/>
      <x:c r="S53" s="30"/>
      <x:c r="T53" s="3" t="str">
        <x:v>Current generic EV curve is shown in row 31.</x:v>
      </x:c>
      <x:c r="U53" s="3" t="str"/>
      <x:c r="V53" s="3" t="str">
        <x:v>G05: source truck registrations/sales, fleet… [N101]</x:v>
      </x:c>
    </x:row>
    <x:row r="54" ht="8" customHeight="1">
      <x:c r="A54" s="102"/>
      <x:c r="B54" s="102"/>
      <x:c r="C54" s="102"/>
      <x:c r="D54" s="102"/>
      <x:c r="E54" s="102"/>
      <x:c r="F54" s="104"/>
      <x:c r="G54" s="104"/>
      <x:c r="H54" s="104"/>
      <x:c r="I54" s="104"/>
      <x:c r="J54" s="104"/>
      <x:c r="K54" s="104"/>
      <x:c r="L54" s="104"/>
      <x:c r="M54" s="104"/>
      <x:c r="N54" s="104"/>
      <x:c r="O54" s="104"/>
      <x:c r="P54" s="104"/>
      <x:c r="Q54" s="104"/>
      <x:c r="R54" s="104"/>
      <x:c r="S54" s="104"/>
      <x:c r="T54" s="3"/>
      <x:c r="U54" s="3"/>
      <x:c r="V54" s="3"/>
    </x:row>
    <x:row r="55" ht="30" customHeight="1">
      <x:c r="A55" s="16" t="str">
        <x:v>Passenger diesel demand</x:v>
      </x:c>
      <x:c r="B55" s="16" t="str">
        <x:v>L/year</x:v>
      </x:c>
      <x:c r="C55" s="16" t="str">
        <x:v>Linked model output</x:v>
      </x:c>
      <x:c r="D55" s="16"/>
      <x:c r="E55" s="16" t="str">
        <x:v>Model run row 57; Python vehicle cohort result.</x:v>
      </x:c>
      <x:c r="F55" s="29" t="n">
        <x:f>IF(ISNUMBER('Model run'!F57),'Model run'!F57,"")</x:f>
        <x:v>1070017165.7744831</x:v>
      </x:c>
      <x:c r="G55" s="29" t="n">
        <x:f>IF(ISNUMBER('Model run'!G57),'Model run'!G57,"")</x:f>
        <x:v>1103053881.2208219</x:v>
      </x:c>
      <x:c r="H55" s="29" t="n">
        <x:f>IF(ISNUMBER('Model run'!H57),'Model run'!H57,"")</x:f>
        <x:v>1131873998.594546</x:v>
      </x:c>
      <x:c r="I55" s="29" t="n">
        <x:f>IF(ISNUMBER('Model run'!I57),'Model run'!I57,"")</x:f>
        <x:v>1156302504.824944</x:v>
      </x:c>
      <x:c r="J55" s="29" t="n">
        <x:f>IF(ISNUMBER('Model run'!J57),'Model run'!J57,"")</x:f>
        <x:v>1181870186.781693</x:v>
      </x:c>
      <x:c r="K55" s="29" t="n">
        <x:f>IF(ISNUMBER('Model run'!K57),'Model run'!K57,"")</x:f>
        <x:v>1208669881.483022</x:v>
      </x:c>
      <x:c r="L55" s="29" t="n">
        <x:f>IF(ISNUMBER('Model run'!L57),'Model run'!L57,"")</x:f>
        <x:v>1236776716.2386463</x:v>
      </x:c>
      <x:c r="M55" s="29" t="n">
        <x:f>IF(ISNUMBER('Model run'!M57),'Model run'!M57,"")</x:f>
        <x:v>1266229710.8116758</x:v>
      </x:c>
      <x:c r="N55" s="29" t="n">
        <x:f>IF(ISNUMBER('Model run'!N57),'Model run'!N57,"")</x:f>
        <x:v>1297022884.6605835</x:v>
      </x:c>
      <x:c r="O55" s="29" t="n">
        <x:f>IF(ISNUMBER('Model run'!O57),'Model run'!O57,"")</x:f>
        <x:v>1328991310.3771868</x:v>
      </x:c>
      <x:c r="P55" s="29" t="n">
        <x:f>IF(ISNUMBER('Model run'!P57),'Model run'!P57,"")</x:f>
        <x:v>1361939124.5095053</x:v>
      </x:c>
      <x:c r="Q55" s="29" t="n">
        <x:f>IF(ISNUMBER('Model run'!Q57),'Model run'!Q57,"")</x:f>
        <x:v>1395631137.9065378</x:v>
      </x:c>
      <x:c r="R55" s="29" t="n">
        <x:f>IF(ISNUMBER('Model run'!R57),'Model run'!R57,"")</x:f>
        <x:v>1429785597.406811</x:v>
      </x:c>
      <x:c r="S55" s="29" t="n">
        <x:f>IF(ISNUMBER('Model run'!S57),'Model run'!S57,"")</x:f>
        <x:v>1464071106.2363532</x:v>
      </x:c>
      <x:c r="T55" s="16"/>
      <x:c r="U55" s="16"/>
      <x:c r="V55" s="16"/>
    </x:row>
    <x:row r="56" ht="30" customHeight="1">
      <x:c r="A56" s="16" t="str">
        <x:v>LCV diesel demand</x:v>
      </x:c>
      <x:c r="B56" s="16" t="str">
        <x:v>L/year</x:v>
      </x:c>
      <x:c r="C56" s="16" t="str">
        <x:v>Linked model output</x:v>
      </x:c>
      <x:c r="D56" s="16"/>
      <x:c r="E56" s="16" t="str">
        <x:v>Model run row 58; Python vehicle cohort result.</x:v>
      </x:c>
      <x:c r="F56" s="29" t="n">
        <x:f>IF(ISNUMBER('Model run'!F58),'Model run'!F58,"")</x:f>
        <x:v>1843579855.9917438</x:v>
      </x:c>
      <x:c r="G56" s="29" t="n">
        <x:f>IF(ISNUMBER('Model run'!G58),'Model run'!G58,"")</x:f>
        <x:v>1892347006.3928142</x:v>
      </x:c>
      <x:c r="H56" s="29" t="n">
        <x:f>IF(ISNUMBER('Model run'!H58),'Model run'!H58,"")</x:f>
        <x:v>1933295112.1783125</x:v>
      </x:c>
      <x:c r="I56" s="29" t="n">
        <x:f>IF(ISNUMBER('Model run'!I58),'Model run'!I58,"")</x:f>
        <x:v>1966176391.3208497</x:v>
      </x:c>
      <x:c r="J56" s="29" t="n">
        <x:f>IF(ISNUMBER('Model run'!J58),'Model run'!J58,"")</x:f>
        <x:v>2001346844.8079367</x:v>
      </x:c>
      <x:c r="K56" s="29" t="n">
        <x:f>IF(ISNUMBER('Model run'!K58),'Model run'!K58,"")</x:f>
        <x:v>2038949242.099122</x:v>
      </x:c>
      <x:c r="L56" s="29" t="n">
        <x:f>IF(ISNUMBER('Model run'!L58),'Model run'!L58,"")</x:f>
        <x:v>2079093201.7613623</x:v>
      </x:c>
      <x:c r="M56" s="29" t="n">
        <x:f>IF(ISNUMBER('Model run'!M58),'Model run'!M58,"")</x:f>
        <x:v>2121821339.5044446</x:v>
      </x:c>
      <x:c r="N56" s="29" t="n">
        <x:f>IF(ISNUMBER('Model run'!N58),'Model run'!N58,"")</x:f>
        <x:v>2167093406.5802474</x:v>
      </x:c>
      <x:c r="O56" s="29" t="n">
        <x:f>IF(ISNUMBER('Model run'!O58),'Model run'!O58,"")</x:f>
        <x:v>2214575314.4391193</x:v>
      </x:c>
      <x:c r="P56" s="29" t="n">
        <x:f>IF(ISNUMBER('Model run'!P58),'Model run'!P58,"")</x:f>
        <x:v>2263879922.4641056</x:v>
      </x:c>
      <x:c r="Q56" s="29" t="n">
        <x:f>IF(ISNUMBER('Model run'!Q58),'Model run'!Q58,"")</x:f>
        <x:v>2314551798.318617</x:v>
      </x:c>
      <x:c r="R56" s="29" t="n">
        <x:f>IF(ISNUMBER('Model run'!R58),'Model run'!R58,"")</x:f>
        <x:v>2366054256.3872366</x:v>
      </x:c>
      <x:c r="S56" s="29" t="n">
        <x:f>IF(ISNUMBER('Model run'!S58),'Model run'!S58,"")</x:f>
        <x:v>2417764235.278815</x:v>
      </x:c>
      <x:c r="T56" s="16"/>
      <x:c r="U56" s="16"/>
      <x:c r="V56" s="16"/>
    </x:row>
    <x:row r="57" ht="30" customHeight="1">
      <x:c r="A57" s="105" t="str">
        <x:v>All road diesel</x:v>
      </x:c>
      <x:c r="B57" s="105" t="str">
        <x:v>million L/year</x:v>
      </x:c>
      <x:c r="C57" s="105" t="str">
        <x:v>Reporting formula</x:v>
      </x:c>
      <x:c r="D57" s="105"/>
      <x:c r="E57" s="105" t="str">
        <x:v>HCV + passenger + LCV; freight share within LCV remains unresolved.</x:v>
      </x:c>
      <x:c r="F57" s="108" t="n">
        <x:f>IF(COUNT(F17,F55,F56)&lt;3,"",SUM(F17,F55,F56)/1000000)</x:f>
        <x:v>8141.9539350800205</x:v>
      </x:c>
      <x:c r="G57" s="108" t="n">
        <x:f>IF(COUNT(G17,G55,G56)&lt;3,"",SUM(G17,G55,G56)/1000000)</x:f>
        <x:v>8340.496199671872</x:v>
      </x:c>
      <x:c r="H57" s="108" t="n">
        <x:f>IF(COUNT(H17,H55,H56)&lt;3,"",SUM(H17,H55,H56)/1000000)</x:f>
        <x:v>8503.566269860785</x:v>
      </x:c>
      <x:c r="I57" s="108" t="n">
        <x:f>IF(COUNT(I17,I55,I56)&lt;3,"",SUM(I17,I55,I56)/1000000)</x:f>
        <x:v>8630.196893220498</x:v>
      </x:c>
      <x:c r="J57" s="108" t="n">
        <x:f>IF(COUNT(J17,J55,J56)&lt;3,"",SUM(J17,J55,J56)/1000000)</x:f>
        <x:v>8768.108455239922</x:v>
      </x:c>
      <x:c r="K57" s="108" t="n">
        <x:f>IF(COUNT(K17,K55,K56)&lt;3,"",SUM(K17,K55,K56)/1000000)</x:f>
        <x:v>8917.850964216563</x:v>
      </x:c>
      <x:c r="L57" s="108" t="n">
        <x:f>IF(COUNT(L17,L55,L56)&lt;3,"",SUM(L17,L55,L56)/1000000)</x:f>
        <x:v>9079.825263599754</x:v>
      </x:c>
      <x:c r="M57" s="108" t="n">
        <x:f>IF(COUNT(M17,M55,M56)&lt;3,"",SUM(M17,M55,M56)/1000000)</x:f>
        <x:v>9254.128236847464</x:v>
      </x:c>
      <x:c r="N57" s="108" t="n">
        <x:f>IF(COUNT(N17,N55,N56)&lt;3,"",SUM(N17,N55,N56)/1000000)</x:f>
        <x:v>9440.481432701028</x:v>
      </x:c>
      <x:c r="O57" s="108" t="n">
        <x:f>IF(COUNT(O17,O55,O56)&lt;3,"",SUM(O17,O55,O56)/1000000)</x:f>
        <x:v>9637.264034191141</x:v>
      </x:c>
      <x:c r="P57" s="108" t="n">
        <x:f>IF(COUNT(P17,P55,P56)&lt;3,"",SUM(P17,P55,P56)/1000000)</x:f>
        <x:v>9842.625512767521</x:v>
      </x:c>
      <x:c r="Q57" s="108" t="n">
        <x:f>IF(COUNT(Q17,Q55,Q56)&lt;3,"",SUM(Q17,Q55,Q56)/1000000)</x:f>
        <x:v>10054.41610068304</x:v>
      </x:c>
      <x:c r="R57" s="108" t="n">
        <x:f>IF(COUNT(R17,R55,R56)&lt;3,"",SUM(R17,R55,R56)/1000000)</x:f>
        <x:v>10270.128076810313</x:v>
      </x:c>
      <x:c r="S57" s="108" t="n">
        <x:f>IF(COUNT(S17,S55,S56)&lt;3,"",SUM(S17,S55,S56)/1000000)</x:f>
        <x:v>10486.873321859628</x:v>
      </x:c>
      <x:c r="T57" s="16"/>
      <x:c r="U57" s="16"/>
      <x:c r="V57" s="16"/>
    </x:row>
    <x:row r="58" ht="8" customHeight="1">
      <x:c r="A58" s="102"/>
      <x:c r="B58" s="102"/>
      <x:c r="C58" s="102"/>
      <x:c r="D58" s="102"/>
      <x:c r="E58" s="102"/>
      <x:c r="F58" s="104"/>
      <x:c r="G58" s="104"/>
      <x:c r="H58" s="104"/>
      <x:c r="I58" s="104"/>
      <x:c r="J58" s="104"/>
      <x:c r="K58" s="104"/>
      <x:c r="L58" s="104"/>
      <x:c r="M58" s="104"/>
      <x:c r="N58" s="104"/>
      <x:c r="O58" s="104"/>
      <x:c r="P58" s="104"/>
      <x:c r="Q58" s="104"/>
      <x:c r="R58" s="104"/>
      <x:c r="S58" s="104"/>
      <x:c r="T58" s="3"/>
      <x:c r="U58" s="3"/>
      <x:c r="V58" s="3"/>
    </x:row>
    <x:row r="59" ht="8" customHeight="1">
      <x:c r="A59" s="102"/>
      <x:c r="B59" s="102"/>
      <x:c r="C59" s="102"/>
      <x:c r="D59" s="102"/>
      <x:c r="E59" s="102"/>
      <x:c r="F59" s="104"/>
      <x:c r="G59" s="104"/>
      <x:c r="H59" s="104"/>
      <x:c r="I59" s="104"/>
      <x:c r="J59" s="104"/>
      <x:c r="K59" s="104"/>
      <x:c r="L59" s="104"/>
      <x:c r="M59" s="104"/>
      <x:c r="N59" s="104"/>
      <x:c r="O59" s="104"/>
      <x:c r="P59" s="104"/>
      <x:c r="Q59" s="104"/>
      <x:c r="R59" s="104"/>
      <x:c r="S59" s="104"/>
      <x:c r="T59" s="3"/>
      <x:c r="U59" s="3"/>
      <x:c r="V59" s="3"/>
    </x:row>
    <x:row r="60" ht="8" customHeight="1">
      <x:c r="A60" s="102"/>
      <x:c r="B60" s="102"/>
      <x:c r="C60" s="102"/>
      <x:c r="D60" s="102"/>
      <x:c r="E60" s="102"/>
      <x:c r="F60" s="104"/>
      <x:c r="G60" s="104"/>
      <x:c r="H60" s="104"/>
      <x:c r="I60" s="104"/>
      <x:c r="J60" s="104"/>
      <x:c r="K60" s="104"/>
      <x:c r="L60" s="104"/>
      <x:c r="M60" s="104"/>
      <x:c r="N60" s="104"/>
      <x:c r="O60" s="104"/>
      <x:c r="P60" s="104"/>
      <x:c r="Q60" s="104"/>
      <x:c r="R60" s="104"/>
      <x:c r="S60" s="104"/>
      <x:c r="T60" s="3"/>
      <x:c r="U60" s="3"/>
      <x:c r="V60" s="3"/>
    </x:row>
    <x:row r="61" ht="8" customHeight="1">
      <x:c r="A61" s="102"/>
      <x:c r="B61" s="102"/>
      <x:c r="C61" s="102"/>
      <x:c r="D61" s="102"/>
      <x:c r="E61" s="102"/>
      <x:c r="F61" s="104"/>
      <x:c r="G61" s="104"/>
      <x:c r="H61" s="104"/>
      <x:c r="I61" s="104"/>
      <x:c r="J61" s="104"/>
      <x:c r="K61" s="104"/>
      <x:c r="L61" s="104"/>
      <x:c r="M61" s="104"/>
      <x:c r="N61" s="104"/>
      <x:c r="O61" s="104"/>
      <x:c r="P61" s="104"/>
      <x:c r="Q61" s="104"/>
      <x:c r="R61" s="104"/>
      <x:c r="S61" s="104"/>
      <x:c r="T61" s="3"/>
      <x:c r="U61" s="3"/>
      <x:c r="V61" s="3"/>
    </x:row>
    <x:row r="62" ht="8" customHeight="1">
      <x:c r="A62" s="102"/>
      <x:c r="B62" s="102"/>
      <x:c r="C62" s="102"/>
      <x:c r="D62" s="102"/>
      <x:c r="E62" s="102"/>
      <x:c r="F62" s="104"/>
      <x:c r="G62" s="104"/>
      <x:c r="H62" s="104"/>
      <x:c r="I62" s="104"/>
      <x:c r="J62" s="104"/>
      <x:c r="K62" s="104"/>
      <x:c r="L62" s="104"/>
      <x:c r="M62" s="104"/>
      <x:c r="N62" s="104"/>
      <x:c r="O62" s="104"/>
      <x:c r="P62" s="104"/>
      <x:c r="Q62" s="104"/>
      <x:c r="R62" s="104"/>
      <x:c r="S62" s="104"/>
      <x:c r="T62" s="3"/>
      <x:c r="U62" s="3"/>
      <x:c r="V62" s="3"/>
    </x:row>
    <x:row r="63" ht="8" customHeight="1">
      <x:c r="A63" s="102"/>
      <x:c r="B63" s="102"/>
      <x:c r="C63" s="102"/>
      <x:c r="D63" s="102"/>
      <x:c r="E63" s="102"/>
      <x:c r="F63" s="104"/>
      <x:c r="G63" s="104"/>
      <x:c r="H63" s="104"/>
      <x:c r="I63" s="104"/>
      <x:c r="J63" s="104"/>
      <x:c r="K63" s="104"/>
      <x:c r="L63" s="104"/>
      <x:c r="M63" s="104"/>
      <x:c r="N63" s="104"/>
      <x:c r="O63" s="104"/>
      <x:c r="P63" s="104"/>
      <x:c r="Q63" s="104"/>
      <x:c r="R63" s="104"/>
      <x:c r="S63" s="104"/>
      <x:c r="T63" s="3"/>
      <x:c r="U63" s="3"/>
      <x:c r="V63" s="3"/>
    </x:row>
    <x:row r="64" ht="8" customHeight="1">
      <x:c r="A64" s="102"/>
      <x:c r="B64" s="102"/>
      <x:c r="C64" s="102"/>
      <x:c r="D64" s="102"/>
      <x:c r="E64" s="102"/>
      <x:c r="F64" s="104"/>
      <x:c r="G64" s="104"/>
      <x:c r="H64" s="104"/>
      <x:c r="I64" s="104"/>
      <x:c r="J64" s="104"/>
      <x:c r="K64" s="104"/>
      <x:c r="L64" s="104"/>
      <x:c r="M64" s="104"/>
      <x:c r="N64" s="104"/>
      <x:c r="O64" s="104"/>
      <x:c r="P64" s="104"/>
      <x:c r="Q64" s="104"/>
      <x:c r="R64" s="104"/>
      <x:c r="S64" s="104"/>
      <x:c r="T64" s="3"/>
      <x:c r="U64" s="3"/>
      <x:c r="V64" s="3"/>
    </x:row>
    <x:row r="65" ht="8" customHeight="1">
      <x:c r="A65" s="102"/>
      <x:c r="B65" s="102"/>
      <x:c r="C65" s="102"/>
      <x:c r="D65" s="102"/>
      <x:c r="E65" s="102"/>
      <x:c r="F65" s="104"/>
      <x:c r="G65" s="104"/>
      <x:c r="H65" s="104"/>
      <x:c r="I65" s="104"/>
      <x:c r="J65" s="104"/>
      <x:c r="K65" s="104"/>
      <x:c r="L65" s="104"/>
      <x:c r="M65" s="104"/>
      <x:c r="N65" s="104"/>
      <x:c r="O65" s="104"/>
      <x:c r="P65" s="104"/>
      <x:c r="Q65" s="104"/>
      <x:c r="R65" s="104"/>
      <x:c r="S65" s="104"/>
      <x:c r="T65" s="3"/>
      <x:c r="U65" s="3"/>
      <x:c r="V65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8.1299991607666" hidden="0" customWidth="1"/>
    <x:col min="2" max="2" width="12.5" hidden="0" customWidth="1"/>
    <x:col min="3" max="3" width="15.630000114440918" hidden="0" customWidth="1"/>
    <x:col min="4" max="4" width="15" hidden="0" customWidth="1"/>
    <x:col min="5" max="5" width="40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31.8799991607666" hidden="0" customWidth="1"/>
    <x:col min="21" max="21" width="36.25" hidden="0" customWidth="1"/>
    <x:col min="22" max="22" width="36.25" hidden="0" customWidth="1"/>
  </x:cols>
  <x:sheetData>
    <x:row r="1" ht="25" customHeight="1">
      <x:c r="A1" s="5" t="str">
        <x:v>Agricultural diesel demand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1" customHeight="1">
      <x:c r="A2" s="7" t="str">
        <x:v>Current national held method alongside proposed sector-activity method • No new inputs adopted.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30" customHeight="1">
      <x:c r="A4" s="9" t="str">
        <x:v>Driver / output</x:v>
      </x:c>
      <x:c r="B4" s="9" t="str">
        <x:v>Unit</x:v>
      </x:c>
      <x:c r="C4" s="9" t="str">
        <x:v>Role</x:v>
      </x:c>
      <x:c r="D4" s="9" t="str">
        <x:v>Scalar / latest value</x:v>
      </x:c>
      <x:c r="E4" s="9" t="str">
        <x:v>Definition / period</x:v>
      </x:c>
      <x:c r="F4" s="9" t="n">
        <x:v>2022</x:v>
      </x:c>
      <x:c r="G4" s="9" t="n">
        <x:v>2023</x:v>
      </x:c>
      <x:c r="H4" s="9" t="n">
        <x:v>2024</x:v>
      </x:c>
      <x:c r="I4" s="9" t="n">
        <x:v>2025</x:v>
      </x:c>
      <x:c r="J4" s="9" t="n">
        <x:v>2026</x:v>
      </x:c>
      <x:c r="K4" s="9" t="n">
        <x:v>2027</x:v>
      </x:c>
      <x:c r="L4" s="9" t="n">
        <x:v>2028</x:v>
      </x:c>
      <x:c r="M4" s="9" t="n">
        <x:v>2029</x:v>
      </x:c>
      <x:c r="N4" s="9" t="n">
        <x:v>2030</x:v>
      </x:c>
      <x:c r="O4" s="9" t="n">
        <x:v>2031</x:v>
      </x:c>
      <x:c r="P4" s="9" t="n">
        <x:v>2032</x:v>
      </x:c>
      <x:c r="Q4" s="9" t="n">
        <x:v>2033</x:v>
      </x:c>
      <x:c r="R4" s="9" t="n">
        <x:v>2034</x:v>
      </x:c>
      <x:c r="S4" s="9" t="n">
        <x:v>2035</x:v>
      </x:c>
      <x:c r="T4" s="9" t="str">
        <x:v>Coverage / status</x:v>
      </x:c>
      <x:c r="U4" s="9" t="str">
        <x:v>Source</x:v>
      </x:c>
      <x:c r="V4" s="9" t="str">
        <x:v>Missing evidence / next action</x:v>
      </x:c>
    </x:row>
    <x:row r="5" ht="28" customHeight="1">
      <x:c r="A5" s="12" t="str">
        <x:v>Current held-method inputs</x:v>
      </x:c>
      <x:c r="B5" s="11"/>
      <x:c r="C5" s="11"/>
      <x:c r="D5" s="11"/>
      <x:c r="E5" s="11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3"/>
      <x:c r="U5" s="3"/>
      <x:c r="V5" s="3"/>
    </x:row>
    <x:row r="6" ht="30" customHeight="1">
      <x:c r="A6" s="3" t="str">
        <x:v>Base-year demand</x:v>
      </x:c>
      <x:c r="B6" s="3" t="str">
        <x:v>L/year</x:v>
      </x:c>
      <x:c r="C6" s="3" t="str">
        <x:v>Scalar</x:v>
      </x:c>
      <x:c r="D6" s="15" t="str">
        <x:v>0.7e9</x:v>
      </x:c>
      <x:c r="E6" s="3" t="str">
        <x:v>Current registered placeholder, not a verified agricultural fuel baseline.</x:v>
      </x:c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1"/>
      <x:c r="Q6" s="31"/>
      <x:c r="R6" s="31"/>
      <x:c r="S6" s="31"/>
      <x:c r="T6" s="3"/>
      <x:c r="U6" s="3"/>
      <x:c r="V6" s="3"/>
    </x:row>
    <x:row r="7" ht="30" customHeight="1">
      <x:c r="A7" s="3" t="str">
        <x:v>Base year</x:v>
      </x:c>
      <x:c r="B7" s="3" t="str">
        <x:v>year</x:v>
      </x:c>
      <x:c r="C7" s="3" t="str">
        <x:v>Scalar</x:v>
      </x:c>
      <x:c r="D7" s="20" t="n">
        <x:f>IF(ISNUMBER('Model run'!D30),'Model run'!D30,"")</x:f>
        <x:v>2024</x:v>
      </x:c>
      <x:c r="E7" s="3" t="str">
        <x:v>A dated baseline, not a recurring annual observation.</x:v>
      </x:c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  <x:c r="S7" s="32"/>
      <x:c r="T7" s="3"/>
      <x:c r="U7" s="3"/>
      <x:c r="V7" s="3"/>
    </x:row>
    <x:row r="8" ht="30" customHeight="1">
      <x:c r="A8" s="3" t="str">
        <x:v>GDP/capita elasticity</x:v>
      </x:c>
      <x:c r="B8" s="3" t="str">
        <x:v>dimensionless</x:v>
      </x:c>
      <x:c r="C8" s="3" t="str">
        <x:v>Scalar</x:v>
      </x:c>
      <x:c r="D8" s="13" t="n">
        <x:f>IF(ISNUMBER('Model run'!D31),'Model run'!D31,"")</x:f>
        <x:v>0.2</x:v>
      </x:c>
      <x:c r="E8" s="3" t="str">
        <x:v>Provisional GDP proxy, pending an agricultural driver.</x:v>
      </x:c>
      <x:c r="F8" s="26"/>
      <x:c r="G8" s="26"/>
      <x:c r="H8" s="26"/>
      <x:c r="I8" s="26"/>
      <x:c r="J8" s="26"/>
      <x:c r="K8" s="26"/>
      <x:c r="L8" s="26"/>
      <x:c r="M8" s="26"/>
      <x:c r="N8" s="26"/>
      <x:c r="O8" s="26"/>
      <x:c r="P8" s="26"/>
      <x:c r="Q8" s="26"/>
      <x:c r="R8" s="26"/>
      <x:c r="S8" s="26"/>
      <x:c r="T8" s="3"/>
      <x:c r="U8" s="3"/>
      <x:c r="V8" s="3"/>
    </x:row>
    <x:row r="9" ht="30" customHeight="1">
      <x:c r="A9" s="3" t="str">
        <x:v>GDP per capita</x:v>
      </x:c>
      <x:c r="B9" s="3" t="str">
        <x:v>2015 ZAR/person</x:v>
      </x:c>
      <x:c r="C9" s="3" t="str">
        <x:v>Input series</x:v>
      </x:c>
      <x:c r="D9" s="13"/>
      <x:c r="E9" s="3" t="str">
        <x:v>Current driver used by the held engine.</x:v>
      </x:c>
      <x:c r="F9" s="26" t="n">
        <x:f>IF(ISNUMBER('Model run'!F32),'Model run'!F32,"")</x:f>
        <x:v>76790.1650122451</x:v>
      </x:c>
      <x:c r="G9" s="26" t="n">
        <x:f>IF(ISNUMBER('Model run'!G32),'Model run'!G32,"")</x:f>
        <x:v>76777.92621036293</x:v>
      </x:c>
      <x:c r="H9" s="26" t="n">
        <x:f>IF(ISNUMBER('Model run'!H32),'Model run'!H32,"")</x:f>
        <x:v>76356.55727959426</x:v>
      </x:c>
      <x:c r="I9" s="26" t="n">
        <x:f>IF(ISNUMBER('Model run'!I32),'Model run'!I32,"")</x:f>
        <x:v>75873.5403538539</x:v>
      </x:c>
      <x:c r="J9" s="26" t="n">
        <x:f>IF(ISNUMBER('Model run'!J32),'Model run'!J32,"")</x:f>
        <x:v>76305.62080219547</x:v>
      </x:c>
      <x:c r="K9" s="26" t="n">
        <x:f>IF(ISNUMBER('Model run'!K32),'Model run'!K32,"")</x:f>
        <x:v>76770.1127412939</x:v>
      </x:c>
      <x:c r="L9" s="26" t="n">
        <x:f>IF(ISNUMBER('Model run'!L32),'Model run'!L32,"")</x:f>
        <x:v>77267.03031188184</x:v>
      </x:c>
      <x:c r="M9" s="26" t="n">
        <x:f>IF(ISNUMBER('Model run'!M32),'Model run'!M32,"")</x:f>
        <x:v>77793.85014588524</x:v>
      </x:c>
      <x:c r="N9" s="26" t="n">
        <x:f>IF(ISNUMBER('Model run'!N32),'Model run'!N32,"")</x:f>
        <x:v>78347.23662423984</x:v>
      </x:c>
      <x:c r="O9" s="26" t="n">
        <x:f>IF(ISNUMBER('Model run'!O32),'Model run'!O32,"")</x:f>
        <x:v>78904.55961677714</x:v>
      </x:c>
      <x:c r="P9" s="26" t="n">
        <x:f>IF(ISNUMBER('Model run'!P32),'Model run'!P32,"")</x:f>
        <x:v>79465.847125887</x:v>
      </x:c>
      <x:c r="Q9" s="26" t="n">
        <x:f>IF(ISNUMBER('Model run'!Q32),'Model run'!Q32,"")</x:f>
        <x:v>80031.12735315424</x:v>
      </x:c>
      <x:c r="R9" s="26" t="n">
        <x:f>IF(ISNUMBER('Model run'!R32),'Model run'!R32,"")</x:f>
        <x:v>80600.42870077565</x:v>
      </x:c>
      <x:c r="S9" s="26" t="n">
        <x:f>IF(ISNUMBER('Model run'!S32),'Model run'!S32,"")</x:f>
        <x:v>81173.77977298702</x:v>
      </x:c>
      <x:c r="T9" s="3"/>
      <x:c r="U9" s="3"/>
      <x:c r="V9" s="3"/>
    </x:row>
    <x:row r="10" ht="8" customHeight="1">
      <x:c r="A10" s="3"/>
      <x:c r="B10" s="3"/>
      <x:c r="C10" s="3"/>
      <x:c r="D10" s="3"/>
      <x:c r="E10" s="3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3"/>
      <x:c r="U10" s="3"/>
      <x:c r="V10" s="3"/>
    </x:row>
    <x:row r="11" ht="28" customHeight="1">
      <x:c r="A11" s="12" t="str">
        <x:v>Current engine outputs</x:v>
      </x:c>
      <x:c r="B11" s="11"/>
      <x:c r="C11" s="11"/>
      <x:c r="D11" s="11"/>
      <x:c r="E11" s="11"/>
      <x:c r="F11" s="25"/>
      <x:c r="G11" s="25"/>
      <x:c r="H11" s="25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3"/>
      <x:c r="U11" s="3"/>
      <x:c r="V11" s="3"/>
    </x:row>
    <x:row r="12" ht="30" customHeight="1">
      <x:c r="A12" s="16" t="str">
        <x:v>Agricultural diesel demand</x:v>
      </x:c>
      <x:c r="B12" s="16" t="str">
        <x:v>L/year</x:v>
      </x:c>
      <x:c r="C12" s="16" t="str">
        <x:v>Engine output</x:v>
      </x:c>
      <x:c r="D12" s="17"/>
      <x:c r="E12" s="16" t="str">
        <x:v>Engine: baseline × (GDP/capita / base-year GDP/capita)^elasticity.</x:v>
      </x:c>
      <x:c r="F12" s="28" t="n">
        <x:f>IF(ISNUMBER('Model run'!F33),'Model run'!F33,"")</x:f>
        <x:v>700793221.4567857</x:v>
      </x:c>
      <x:c r="G12" s="28" t="n">
        <x:f>IF(ISNUMBER('Model run'!G33),'Model run'!G33,"")</x:f>
        <x:v>700770881.5744826</x:v>
      </x:c>
      <x:c r="H12" s="28" t="n">
        <x:f>IF(ISNUMBER('Model run'!H33),'Model run'!H33,"")</x:f>
        <x:v>700000000</x:v>
      </x:c>
      <x:c r="I12" s="28" t="n">
        <x:f>IF(ISNUMBER('Model run'!I33),'Model run'!I33,"")</x:f>
        <x:v>699112137.440543</x:v>
      </x:c>
      <x:c r="J12" s="28" t="n">
        <x:f>IF(ISNUMBER('Model run'!J33),'Model run'!J33,"")</x:f>
        <x:v>699906582.8701582</x:v>
      </x:c>
      <x:c r="K12" s="28" t="n">
        <x:f>IF(ISNUMBER('Model run'!K33),'Model run'!K33,"")</x:f>
        <x:v>700756617.9057957</x:v>
      </x:c>
      <x:c r="L12" s="28" t="n">
        <x:f>IF(ISNUMBER('Model run'!L33),'Model run'!L33,"")</x:f>
        <x:v>701661449.6704552</x:v>
      </x:c>
      <x:c r="M12" s="28" t="n">
        <x:f>IF(ISNUMBER('Model run'!M33),'Model run'!M33,"")</x:f>
        <x:v>702615660.3836949</x:v>
      </x:c>
      <x:c r="N12" s="28" t="n">
        <x:f>IF(ISNUMBER('Model run'!N33),'Model run'!N33,"")</x:f>
        <x:v>703612439.3352404</x:v>
      </x:c>
      <x:c r="O12" s="28" t="n">
        <x:f>IF(ISNUMBER('Model run'!O33),'Model run'!O33,"")</x:f>
        <x:v>704610632.3860354</x:v>
      </x:c>
      <x:c r="P12" s="28" t="n">
        <x:f>IF(ISNUMBER('Model run'!P33),'Model run'!P33,"")</x:f>
        <x:v>705610241.5422189</x:v>
      </x:c>
      <x:c r="Q12" s="28" t="n">
        <x:f>IF(ISNUMBER('Model run'!Q33),'Model run'!Q33,"")</x:f>
        <x:v>706611268.8127754</x:v>
      </x:c>
      <x:c r="R12" s="28" t="n">
        <x:f>IF(ISNUMBER('Model run'!R33),'Model run'!R33,"")</x:f>
        <x:v>707613716.2095395</x:v>
      </x:c>
      <x:c r="S12" s="28" t="n">
        <x:f>IF(ISNUMBER('Model run'!S33),'Model run'!S33,"")</x:f>
        <x:v>708617585.7472003</x:v>
      </x:c>
      <x:c r="T12" s="3"/>
      <x:c r="U12" s="3"/>
      <x:c r="V12" s="3"/>
    </x:row>
    <x:row r="13" ht="30" customHeight="1">
      <x:c r="A13" s="16" t="str">
        <x:v>Agricultural diesel demand</x:v>
      </x:c>
      <x:c r="B13" s="16" t="str">
        <x:v>million L/year</x:v>
      </x:c>
      <x:c r="C13" s="16" t="str">
        <x:v>Reporting formula</x:v>
      </x:c>
      <x:c r="D13" s="18"/>
      <x:c r="E13" s="16" t="str">
        <x:v>Unit conversion. Current provisional series, not the proposed activity method.</x:v>
      </x:c>
      <x:c r="F13" s="29" t="n">
        <x:f>F12/1000000</x:f>
        <x:v>700.7932214567857</x:v>
      </x:c>
      <x:c r="G13" s="29" t="n">
        <x:f>G12/1000000</x:f>
        <x:v>700.7708815744826</x:v>
      </x:c>
      <x:c r="H13" s="29" t="n">
        <x:f>H12/1000000</x:f>
        <x:v>700</x:v>
      </x:c>
      <x:c r="I13" s="29" t="n">
        <x:f>I12/1000000</x:f>
        <x:v>699.112137440543</x:v>
      </x:c>
      <x:c r="J13" s="29" t="n">
        <x:f>J12/1000000</x:f>
        <x:v>699.9065828701582</x:v>
      </x:c>
      <x:c r="K13" s="29" t="n">
        <x:f>K12/1000000</x:f>
        <x:v>700.7566179057957</x:v>
      </x:c>
      <x:c r="L13" s="29" t="n">
        <x:f>L12/1000000</x:f>
        <x:v>701.6614496704552</x:v>
      </x:c>
      <x:c r="M13" s="29" t="n">
        <x:f>M12/1000000</x:f>
        <x:v>702.6156603836948</x:v>
      </x:c>
      <x:c r="N13" s="29" t="n">
        <x:f>N12/1000000</x:f>
        <x:v>703.6124393352403</x:v>
      </x:c>
      <x:c r="O13" s="29" t="n">
        <x:f>O12/1000000</x:f>
        <x:v>704.6106323860355</x:v>
      </x:c>
      <x:c r="P13" s="29" t="n">
        <x:f>P12/1000000</x:f>
        <x:v>705.6102415422189</x:v>
      </x:c>
      <x:c r="Q13" s="29" t="n">
        <x:f>Q12/1000000</x:f>
        <x:v>706.6112688127754</x:v>
      </x:c>
      <x:c r="R13" s="29" t="n">
        <x:f>R12/1000000</x:f>
        <x:v>707.6137162095396</x:v>
      </x:c>
      <x:c r="S13" s="29" t="n">
        <x:f>S12/1000000</x:f>
        <x:v>708.6175857472002</x:v>
      </x:c>
      <x:c r="T13" s="3"/>
      <x:c r="U13" s="3"/>
      <x:c r="V13" s="3"/>
    </x:row>
    <x:row r="14" ht="8" customHeight="1">
      <x:c r="A14" s="3"/>
      <x:c r="B14" s="3"/>
      <x:c r="C14" s="3"/>
      <x:c r="D14" s="3"/>
      <x:c r="E14" s="3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3"/>
      <x:c r="U14" s="3"/>
      <x:c r="V14" s="3"/>
    </x:row>
    <x:row r="15" ht="28" customHeight="1">
      <x:c r="A15" s="12" t="str">
        <x:v>Proposed sector-activity method</x:v>
      </x:c>
      <x:c r="B15" s="11"/>
      <x:c r="C15" s="11"/>
      <x:c r="D15" s="11"/>
      <x:c r="E15" s="11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3"/>
      <x:c r="U15" s="3"/>
      <x:c r="V15" s="3"/>
    </x:row>
    <x:row r="16" ht="30" customHeight="1">
      <x:c r="A16" s="3" t="str">
        <x:v>Reviewed baseline demand</x:v>
      </x:c>
      <x:c r="B16" s="3" t="str">
        <x:v>million L at base year</x:v>
      </x:c>
      <x:c r="C16" s="3" t="str">
        <x:v>Workshop input</x:v>
      </x:c>
      <x:c r="D16" s="19"/>
      <x:c r="E16" s="10" t="str">
        <x:v>A 2021 source anchor is available in row 30, but has not been… [N102]</x:v>
      </x:c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"/>
      <x:c r="U16" s="3"/>
      <x:c r="V16" s="3"/>
    </x:row>
    <x:row r="17" ht="30" customHeight="1">
      <x:c r="A17" s="3" t="str">
        <x:v>Agricultural activity index</x:v>
      </x:c>
      <x:c r="B17" s="3" t="str">
        <x:v>base year = 100</x:v>
      </x:c>
      <x:c r="C17" s="3" t="str">
        <x:v>Workshop input</x:v>
      </x:c>
      <x:c r="D17" s="19"/>
      <x:c r="E17" s="10" t="str">
        <x:v>Real agricultural GVA is available in row 29. Select/rebase an… [N103]</x:v>
      </x:c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  <x:c r="R17" s="30"/>
      <x:c r="S17" s="30"/>
      <x:c r="T17" s="3"/>
      <x:c r="U17" s="3"/>
      <x:c r="V17" s="3"/>
    </x:row>
    <x:row r="18" ht="30" customHeight="1">
      <x:c r="A18" s="3" t="str">
        <x:v>Relative fuel intensity</x:v>
      </x:c>
      <x:c r="B18" s="3" t="str">
        <x:v>base year = 1</x:v>
      </x:c>
      <x:c r="C18" s="3" t="str">
        <x:v>Workshop input</x:v>
      </x:c>
      <x:c r="D18" s="19"/>
      <x:c r="E18" s="10" t="str">
        <x:v>Lower values mean less fuel per activity unit; mechanisation can… [N104]</x:v>
      </x:c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  <x:c r="R18" s="30"/>
      <x:c r="S18" s="30"/>
      <x:c r="T18" s="3"/>
      <x:c r="U18" s="3"/>
      <x:c r="V18" s="3"/>
    </x:row>
    <x:row r="19" ht="30" customHeight="1">
      <x:c r="A19" s="3" t="str">
        <x:v>Proposed agricultural demand</x:v>
      </x:c>
      <x:c r="B19" s="3" t="str">
        <x:v>million L/year</x:v>
      </x:c>
      <x:c r="C19" s="3" t="str">
        <x:v>Proposed output</x:v>
      </x:c>
      <x:c r="D19" s="13"/>
      <x:c r="E19" s="3" t="str">
        <x:v>Reviewed base demand × activity index / 100 × relative intensity.… [N105]</x:v>
      </x:c>
      <x:c r="F19" s="26"/>
      <x:c r="G19" s="26"/>
      <x:c r="H19" s="26"/>
      <x:c r="I19" s="26"/>
      <x:c r="J19" s="26"/>
      <x:c r="K19" s="26"/>
      <x:c r="L19" s="26"/>
      <x:c r="M19" s="26"/>
      <x:c r="N19" s="26"/>
      <x:c r="O19" s="26"/>
      <x:c r="P19" s="26"/>
      <x:c r="Q19" s="26"/>
      <x:c r="R19" s="26"/>
      <x:c r="S19" s="26"/>
      <x:c r="T19" s="3"/>
      <x:c r="U19" s="3"/>
      <x:c r="V19" s="3"/>
    </x:row>
    <x:row r="20" ht="30" customHeight="1">
      <x:c r="A20" s="3" t="str">
        <x:v>Provincial activity / baseline shares</x:v>
      </x:c>
      <x:c r="B20" s="3" t="str">
        <x:v>share or local index</x:v>
      </x:c>
      <x:c r="C20" s="3" t="str">
        <x:v>Workshop input</x:v>
      </x:c>
      <x:c r="D20" s="19"/>
      <x:c r="E20" s="10" t="str">
        <x:v>Use local agricultural evidence; confirm that national… [N106]</x:v>
      </x:c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  <x:c r="R20" s="30"/>
      <x:c r="S20" s="30"/>
      <x:c r="T20" s="3"/>
      <x:c r="U20" s="3"/>
      <x:c r="V20" s="3"/>
    </x:row>
    <x:row r="21" ht="30" customHeight="1">
      <x:c r="A21" s="3" t="str">
        <x:v>Sector boundaries</x:v>
      </x:c>
      <x:c r="B21" s="3" t="str">
        <x:v>decision</x:v>
      </x:c>
      <x:c r="C21" s="3" t="str">
        <x:v>Workshop input</x:v>
      </x:c>
      <x:c r="D21" s="19"/>
      <x:c r="E21" s="10" t="str">
        <x:v>Resolve irrigation, off-road machinery, road vehicles and backup… [N107]</x:v>
      </x:c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"/>
      <x:c r="U21" s="3"/>
      <x:c r="V21" s="3"/>
    </x:row>
    <x:row r="22" ht="8" customHeight="1">
      <x:c r="A22" s="3"/>
      <x:c r="B22" s="3"/>
      <x:c r="C22" s="3"/>
      <x:c r="D22" s="3"/>
      <x:c r="E22" s="3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3"/>
      <x:c r="U22" s="3"/>
      <x:c r="V22" s="3"/>
    </x:row>
    <x:row r="23" ht="30" customHeight="1">
      <x:c r="A23" s="3" t="str">
        <x:v>Industry / mining extension</x:v>
      </x:c>
      <x:c r="B23" s="3" t="str">
        <x:v>method</x:v>
      </x:c>
      <x:c r="C23" s="3" t="str">
        <x:v>Proposal</x:v>
      </x:c>
      <x:c r="D23" s="13"/>
      <x:c r="E23" s="3" t="str">
        <x:v>Apply the same structure separately to mining, manufacturing and… [N108]</x:v>
      </x:c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3"/>
      <x:c r="U23" s="3"/>
      <x:c r="V23" s="3"/>
    </x:row>
    <x:row r="24" ht="8" customHeight="1">
      <x:c r="A24" s="3"/>
      <x:c r="B24" s="3"/>
      <x:c r="C24" s="3"/>
      <x:c r="D24" s="3"/>
      <x:c r="E24" s="3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3"/>
      <x:c r="U24" s="3"/>
      <x:c r="V24" s="3"/>
    </x:row>
    <x:row r="25" ht="30" customHeight="1">
      <x:c r="A25" s="3" t="str">
        <x:v>Source</x:v>
      </x:c>
      <x:c r="B25" s="3" t="str">
        <x:v>URL</x:v>
      </x:c>
      <x:c r="C25" s="3" t="str">
        <x:v>Source</x:v>
      </x:c>
      <x:c r="D25" s="13"/>
      <x:c r="E25" s="3" t="str">
        <x:v>https://github.com/Africa-International-Advisors/liquid_fuels_mode… [N109]</x:v>
      </x:c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3"/>
      <x:c r="U25" s="3"/>
      <x:c r="V25" s="3"/>
    </x:row>
    <x:row r="26" ht="30" customHeight="1">
      <x:c r="A26" s="3" t="str">
        <x:v>Calculation source</x:v>
      </x:c>
      <x:c r="B26" s="3" t="str">
        <x:v>URL</x:v>
      </x:c>
      <x:c r="C26" s="3" t="str">
        <x:v>Source</x:v>
      </x:c>
      <x:c r="D26" s="13"/>
      <x:c r="E26" s="3" t="str">
        <x:v>https://github.com/Africa-International-Advisors/liquid_fuels_mode… [N110]</x:v>
      </x:c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3"/>
      <x:c r="U26" s="3"/>
      <x:c r="V26" s="3"/>
    </x:row>
    <x:row r="27" ht="8" customHeight="1">
      <x:c r="A27" s="3"/>
      <x:c r="B27" s="3"/>
      <x:c r="C27" s="3"/>
      <x:c r="D27" s="3"/>
      <x:c r="E27" s="3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3"/>
      <x:c r="U27" s="3"/>
      <x:c r="V27" s="3"/>
    </x:row>
    <x:row r="28" ht="28" customHeight="1">
      <x:c r="A28" s="12" t="str">
        <x:v>Available agricultural evidence</x:v>
      </x:c>
      <x:c r="B28" s="11"/>
      <x:c r="C28" s="11"/>
      <x:c r="D28" s="11"/>
      <x:c r="E28" s="11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11"/>
      <x:c r="U28" s="11"/>
      <x:c r="V28" s="11"/>
    </x:row>
    <x:row r="29" ht="30" customHeight="1">
      <x:c r="A29" s="65" t="str">
        <x:v>Agriculture/forestry/fishing real GVA</x:v>
      </x:c>
      <x:c r="B29" s="65" t="str">
        <x:v>bn 2015 ZAR</x:v>
      </x:c>
      <x:c r="C29" s="65" t="str">
        <x:v>Staged observation</x:v>
      </x:c>
      <x:c r="D29" s="66" t="str">
        <x:f>IF(ISNUMBER('Evidence'!D26),'Evidence'!D26,"")</x:f>
      </x:c>
      <x:c r="E29" s="65" t="str">
        <x:v>Stats SA annual actual in staged reporting copy. Sector value… [N111]</x:v>
      </x:c>
      <x:c r="F29" s="67" t="n">
        <x:f>IF(ISNUMBER('Evidence'!F26),'Evidence'!F26,"")</x:f>
        <x:v>131.7706421450265</x:v>
      </x:c>
      <x:c r="G29" s="67" t="n">
        <x:f>IF(ISNUMBER('Evidence'!G26),'Evidence'!G26,"")</x:f>
        <x:v>125.74664214502654</x:v>
      </x:c>
      <x:c r="H29" s="67" t="n">
        <x:f>IF(ISNUMBER('Evidence'!H26),'Evidence'!H26,"")</x:f>
        <x:v>114.79164214502653</x:v>
      </x:c>
      <x:c r="I29" s="67" t="n">
        <x:f>IF(ISNUMBER('Evidence'!I26),'Evidence'!I26,"")</x:f>
        <x:v>134.79674698171317</x:v>
      </x:c>
      <x:c r="J29" s="67" t="str">
        <x:f>IF(ISNUMBER('Evidence'!J26),'Evidence'!J26,"")</x:f>
      </x:c>
      <x:c r="K29" s="67" t="str">
        <x:f>IF(ISNUMBER('Evidence'!K26),'Evidence'!K26,"")</x:f>
      </x:c>
      <x:c r="L29" s="67" t="str">
        <x:f>IF(ISNUMBER('Evidence'!L26),'Evidence'!L26,"")</x:f>
      </x:c>
      <x:c r="M29" s="67" t="str">
        <x:f>IF(ISNUMBER('Evidence'!M26),'Evidence'!M26,"")</x:f>
      </x:c>
      <x:c r="N29" s="67" t="str">
        <x:f>IF(ISNUMBER('Evidence'!N26),'Evidence'!N26,"")</x:f>
      </x:c>
      <x:c r="O29" s="67" t="str">
        <x:f>IF(ISNUMBER('Evidence'!O26),'Evidence'!O26,"")</x:f>
      </x:c>
      <x:c r="P29" s="67" t="str">
        <x:f>IF(ISNUMBER('Evidence'!P26),'Evidence'!P26,"")</x:f>
      </x:c>
      <x:c r="Q29" s="67" t="str">
        <x:f>IF(ISNUMBER('Evidence'!Q26),'Evidence'!Q26,"")</x:f>
      </x:c>
      <x:c r="R29" s="67" t="str">
        <x:f>IF(ISNUMBER('Evidence'!R26),'Evidence'!R26,"")</x:f>
      </x:c>
      <x:c r="S29" s="67" t="str">
        <x:f>IF(ISNUMBER('Evidence'!S26),'Evidence'!S26,"")</x:f>
      </x:c>
      <x:c r="T29" s="3" t="str">
        <x:v>Unreviewed source extract; annual cells contain… [N112]</x:v>
      </x:c>
      <x:c r="U29" s="3" t="str">
        <x:v>Evidence row 26;… [N113]</x:v>
      </x:c>
      <x:c r="V29" s="3" t="str">
        <x:v>G08: choose crop/area/output proxy and rebase to… [N114]</x:v>
      </x:c>
    </x:row>
    <x:row r="30" ht="30" customHeight="1">
      <x:c r="A30" s="65" t="str">
        <x:v>2021 agriculture/forestry diesel</x:v>
      </x:c>
      <x:c r="B30" s="65" t="str">
        <x:v>million L/year</x:v>
      </x:c>
      <x:c r="C30" s="65" t="str">
        <x:v>Staged observation</x:v>
      </x:c>
      <x:c r="D30" s="66" t="n">
        <x:f>IF(ISNUMBER('Evidence'!D39),'Evidence'!D39,"")</x:f>
        <x:v>1058.39895</x:v>
      </x:c>
      <x:c r="E30" s="65" t="str">
        <x:v>D is reported 2021 fuel use. No 2022–26 fuel observations inferred.</x:v>
      </x:c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3" t="str">
        <x:v>Older anchor; source extraction and scope need review.</x:v>
      </x:c>
      <x:c r="U30" s="3" t="str">
        <x:v>https://github.com/Africa-International-Advisors/liq… [N115]</x:v>
      </x:c>
      <x:c r="V30" s="3" t="str">
        <x:v>G08: reconcile forestry/fishing and… [N116]</x:v>
      </x:c>
    </x:row>
    <x:row r="31" ht="8" customHeight="1">
      <x:c r="A31" s="3"/>
      <x:c r="B31" s="3"/>
      <x:c r="C31" s="3"/>
      <x:c r="D31" s="3"/>
      <x:c r="E31" s="3"/>
      <x:c r="F31" s="6"/>
      <x:c r="G31" s="6"/>
      <x:c r="H31" s="6"/>
      <x:c r="I31" s="6"/>
      <x:c r="J31" s="6"/>
      <x:c r="K31" s="6"/>
      <x:c r="L31" s="6"/>
      <x:c r="M31" s="6"/>
      <x:c r="N31" s="6"/>
      <x:c r="O31" s="6"/>
      <x:c r="P31" s="6"/>
      <x:c r="Q31" s="6"/>
      <x:c r="R31" s="6"/>
      <x:c r="S31" s="6"/>
      <x:c r="T31" s="3"/>
      <x:c r="U31" s="3"/>
      <x:c r="V31" s="3"/>
    </x:row>
    <x:row r="32" ht="8" customHeight="1">
      <x:c r="A32" s="3"/>
      <x:c r="B32" s="3"/>
      <x:c r="C32" s="3"/>
      <x:c r="D32" s="3"/>
      <x:c r="E32" s="3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3"/>
      <x:c r="U32" s="3"/>
      <x:c r="V32" s="3"/>
    </x:row>
    <x:row r="33" ht="8" customHeight="1">
      <x:c r="A33" s="3"/>
      <x:c r="B33" s="3"/>
      <x:c r="C33" s="3"/>
      <x:c r="D33" s="3"/>
      <x:c r="E33" s="3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3"/>
      <x:c r="U33" s="3"/>
      <x:c r="V33" s="3"/>
    </x:row>
    <x:row r="34" ht="8" customHeight="1">
      <x:c r="A34" s="3"/>
      <x:c r="B34" s="3"/>
      <x:c r="C34" s="3"/>
      <x:c r="D34" s="3"/>
      <x:c r="E34" s="3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3"/>
      <x:c r="U34" s="3"/>
      <x:c r="V34" s="3"/>
    </x:row>
    <x:row r="35" ht="8" customHeight="1">
      <x:c r="A35" s="3"/>
      <x:c r="B35" s="3"/>
      <x:c r="C35" s="3"/>
      <x:c r="D35" s="3"/>
      <x:c r="E35" s="3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3"/>
      <x:c r="U35" s="3"/>
      <x:c r="V35" s="3"/>
    </x:row>
    <x:row r="36" ht="8" customHeight="1">
      <x:c r="A36" s="3"/>
      <x:c r="B36" s="3"/>
      <x:c r="C36" s="3"/>
      <x:c r="D36" s="3"/>
      <x:c r="E36" s="3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3"/>
      <x:c r="U36" s="3"/>
      <x:c r="V36" s="3"/>
    </x:row>
    <x:row r="37" ht="8" customHeight="1">
      <x:c r="A37" s="3"/>
      <x:c r="B37" s="3"/>
      <x:c r="C37" s="3"/>
      <x:c r="D37" s="3"/>
      <x:c r="E37" s="3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3"/>
      <x:c r="U37" s="3"/>
      <x:c r="V37" s="3"/>
    </x:row>
    <x:row r="38" ht="8" customHeight="1">
      <x:c r="A38" s="3"/>
      <x:c r="B38" s="3"/>
      <x:c r="C38" s="3"/>
      <x:c r="D38" s="3"/>
      <x:c r="E38" s="3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3"/>
      <x:c r="U38" s="3"/>
      <x:c r="V38" s="3"/>
    </x:row>
    <x:row r="39" ht="8" customHeight="1">
      <x:c r="A39" s="3"/>
      <x:c r="B39" s="3"/>
      <x:c r="C39" s="3"/>
      <x:c r="D39" s="3"/>
      <x:c r="E39" s="3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3"/>
      <x:c r="U39" s="3"/>
      <x:c r="V39" s="3"/>
    </x:row>
    <x:row r="40" ht="8" customHeight="1">
      <x:c r="A40" s="3"/>
      <x:c r="B40" s="3"/>
      <x:c r="C40" s="3"/>
      <x:c r="D40" s="3"/>
      <x:c r="E40" s="3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3"/>
      <x:c r="U40" s="3"/>
      <x:c r="V40" s="3"/>
    </x:row>
    <x:row r="41" ht="8" customHeight="1">
      <x:c r="A41" s="3"/>
      <x:c r="B41" s="3"/>
      <x:c r="C41" s="3"/>
      <x:c r="D41" s="3"/>
      <x:c r="E41" s="3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3"/>
      <x:c r="U41" s="3"/>
      <x:c r="V41" s="3"/>
    </x:row>
    <x:row r="42" ht="8" customHeight="1">
      <x:c r="A42" s="3"/>
      <x:c r="B42" s="3"/>
      <x:c r="C42" s="3"/>
      <x:c r="D42" s="3"/>
      <x:c r="E42" s="3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3"/>
      <x:c r="U42" s="3"/>
      <x:c r="V42" s="3"/>
    </x:row>
    <x:row r="43" ht="8" customHeight="1">
      <x:c r="A43" s="3"/>
      <x:c r="B43" s="3"/>
      <x:c r="C43" s="3"/>
      <x:c r="D43" s="3"/>
      <x:c r="E43" s="3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3"/>
      <x:c r="U43" s="3"/>
      <x:c r="V43" s="3"/>
    </x:row>
    <x:row r="44" ht="8" customHeight="1">
      <x:c r="A44" s="102"/>
      <x:c r="B44" s="102"/>
      <x:c r="C44" s="102"/>
      <x:c r="D44" s="102"/>
      <x:c r="E44" s="102"/>
      <x:c r="F44" s="104"/>
      <x:c r="G44" s="104"/>
      <x:c r="H44" s="104"/>
      <x:c r="I44" s="104"/>
      <x:c r="J44" s="104"/>
      <x:c r="K44" s="104"/>
      <x:c r="L44" s="104"/>
      <x:c r="M44" s="104"/>
      <x:c r="N44" s="104"/>
      <x:c r="O44" s="104"/>
      <x:c r="P44" s="104"/>
      <x:c r="Q44" s="104"/>
      <x:c r="R44" s="104"/>
      <x:c r="S44" s="104"/>
      <x:c r="T44" s="3"/>
      <x:c r="U44" s="3"/>
      <x:c r="V44" s="3"/>
    </x:row>
    <x:row r="45" ht="8" customHeight="1">
      <x:c r="A45" s="102"/>
      <x:c r="B45" s="102"/>
      <x:c r="C45" s="102"/>
      <x:c r="D45" s="102"/>
      <x:c r="E45" s="102"/>
      <x:c r="F45" s="104"/>
      <x:c r="G45" s="104"/>
      <x:c r="H45" s="104"/>
      <x:c r="I45" s="104"/>
      <x:c r="J45" s="104"/>
      <x:c r="K45" s="104"/>
      <x:c r="L45" s="104"/>
      <x:c r="M45" s="104"/>
      <x:c r="N45" s="104"/>
      <x:c r="O45" s="104"/>
      <x:c r="P45" s="104"/>
      <x:c r="Q45" s="104"/>
      <x:c r="R45" s="104"/>
      <x:c r="S45" s="104"/>
      <x:c r="T45" s="3"/>
      <x:c r="U45" s="3"/>
      <x:c r="V45" s="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8.1299991607666" hidden="0" customWidth="1"/>
    <x:col min="2" max="2" width="12.5" hidden="0" customWidth="1"/>
    <x:col min="3" max="3" width="15.630000114440918" hidden="0" customWidth="1"/>
    <x:col min="4" max="4" width="15" hidden="0" customWidth="1"/>
    <x:col min="5" max="5" width="40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31.8799991607666" hidden="0" customWidth="1"/>
    <x:col min="21" max="21" width="36.25" hidden="0" customWidth="1"/>
    <x:col min="22" max="22" width="36.25" hidden="0" customWidth="1"/>
  </x:cols>
  <x:sheetData>
    <x:row r="1" ht="25" customHeight="1">
      <x:c r="A1" s="5" t="str">
        <x:v>Manufacturing diesel demand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1" customHeight="1">
      <x:c r="A2" s="6" t="str">
        <x:v>Proposed separate sector block • Current engine still combines manufacturing, mining and construction.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30" customHeight="1">
      <x:c r="A4" s="9" t="str">
        <x:v>Driver / output</x:v>
      </x:c>
      <x:c r="B4" s="9" t="str">
        <x:v>Unit</x:v>
      </x:c>
      <x:c r="C4" s="9" t="str">
        <x:v>Role</x:v>
      </x:c>
      <x:c r="D4" s="9" t="str">
        <x:v>Scalar / latest value</x:v>
      </x:c>
      <x:c r="E4" s="9" t="str">
        <x:v>Definition / period</x:v>
      </x:c>
      <x:c r="F4" s="9" t="n">
        <x:v>2022</x:v>
      </x:c>
      <x:c r="G4" s="9" t="n">
        <x:v>2023</x:v>
      </x:c>
      <x:c r="H4" s="9" t="n">
        <x:v>2024</x:v>
      </x:c>
      <x:c r="I4" s="9" t="n">
        <x:v>2025</x:v>
      </x:c>
      <x:c r="J4" s="9" t="n">
        <x:v>2026</x:v>
      </x:c>
      <x:c r="K4" s="9" t="n">
        <x:v>2027</x:v>
      </x:c>
      <x:c r="L4" s="9" t="n">
        <x:v>2028</x:v>
      </x:c>
      <x:c r="M4" s="9" t="n">
        <x:v>2029</x:v>
      </x:c>
      <x:c r="N4" s="9" t="n">
        <x:v>2030</x:v>
      </x:c>
      <x:c r="O4" s="9" t="n">
        <x:v>2031</x:v>
      </x:c>
      <x:c r="P4" s="9" t="n">
        <x:v>2032</x:v>
      </x:c>
      <x:c r="Q4" s="9" t="n">
        <x:v>2033</x:v>
      </x:c>
      <x:c r="R4" s="9" t="n">
        <x:v>2034</x:v>
      </x:c>
      <x:c r="S4" s="9" t="n">
        <x:v>2035</x:v>
      </x:c>
      <x:c r="T4" s="9" t="str">
        <x:v>Coverage / status</x:v>
      </x:c>
      <x:c r="U4" s="9" t="str">
        <x:v>Source</x:v>
      </x:c>
      <x:c r="V4" s="9" t="str">
        <x:v>Missing evidence / next action</x:v>
      </x:c>
    </x:row>
    <x:row r="5" ht="28" customHeight="1">
      <x:c r="A5" s="12" t="str">
        <x:v>Separate manufacturing assumptions to agree</x:v>
      </x:c>
      <x:c r="B5" s="11"/>
      <x:c r="C5" s="11"/>
      <x:c r="D5" s="11"/>
      <x:c r="E5" s="11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3"/>
      <x:c r="U5" s="3"/>
      <x:c r="V5" s="3"/>
    </x:row>
    <x:row r="6" ht="30" customHeight="1">
      <x:c r="A6" s="3" t="str">
        <x:v>Reviewed manufacturing baseline</x:v>
      </x:c>
      <x:c r="B6" s="3" t="str">
        <x:v>million L/year</x:v>
      </x:c>
      <x:c r="C6" s="3" t="str">
        <x:v>Workshop input</x:v>
      </x:c>
      <x:c r="D6" s="19"/>
      <x:c r="E6" s="10" t="str">
        <x:v>2021 industry parent exists (row 34), but is not… [N117]</x:v>
      </x:c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"/>
      <x:c r="U6" s="3"/>
      <x:c r="V6" s="3"/>
    </x:row>
    <x:row r="7" ht="30" customHeight="1">
      <x:c r="A7" s="3" t="str">
        <x:v>Baseline year</x:v>
      </x:c>
      <x:c r="B7" s="3" t="str">
        <x:v>year</x:v>
      </x:c>
      <x:c r="C7" s="3" t="str">
        <x:v>Workshop input</x:v>
      </x:c>
      <x:c r="D7" s="109"/>
      <x:c r="E7" s="10" t="str">
        <x:v>Dated observation; agree before indexing the activity series.</x:v>
      </x:c>
      <x:c r="F7" s="110"/>
      <x:c r="G7" s="110"/>
      <x:c r="H7" s="110"/>
      <x:c r="I7" s="110"/>
      <x:c r="J7" s="110"/>
      <x:c r="K7" s="110"/>
      <x:c r="L7" s="110"/>
      <x:c r="M7" s="110"/>
      <x:c r="N7" s="110"/>
      <x:c r="O7" s="110"/>
      <x:c r="P7" s="110"/>
      <x:c r="Q7" s="110"/>
      <x:c r="R7" s="110"/>
      <x:c r="S7" s="110"/>
      <x:c r="T7" s="3"/>
      <x:c r="U7" s="3"/>
      <x:c r="V7" s="3"/>
    </x:row>
    <x:row r="8" ht="30" customHeight="1">
      <x:c r="A8" s="3" t="str">
        <x:v>Manufacturing production index</x:v>
      </x:c>
      <x:c r="B8" s="3" t="str">
        <x:v>base year = 100</x:v>
      </x:c>
      <x:c r="C8" s="3" t="str">
        <x:v>Workshop input</x:v>
      </x:c>
      <x:c r="D8" s="19"/>
      <x:c r="E8" s="10" t="str">
        <x:v>Observed production indices now appear in row 32. Rebase to the… [N118]</x:v>
      </x:c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"/>
      <x:c r="U8" s="3"/>
      <x:c r="V8" s="3"/>
    </x:row>
    <x:row r="9" ht="30" customHeight="1">
      <x:c r="A9" s="3" t="str">
        <x:v>Relative fuel intensity</x:v>
      </x:c>
      <x:c r="B9" s="3" t="str">
        <x:v>base year = 1</x:v>
      </x:c>
      <x:c r="C9" s="3" t="str">
        <x:v>Workshop input</x:v>
      </x:c>
      <x:c r="D9" s="19"/>
      <x:c r="E9" s="10" t="str">
        <x:v>Efficiency and process mix for continuing diesel uses. Exclude… [N119]</x:v>
      </x:c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"/>
      <x:c r="U9" s="3"/>
      <x:c r="V9" s="3"/>
    </x:row>
    <x:row r="10" ht="30" customHeight="1">
      <x:c r="A10" s="3" t="str">
        <x:v>Electrification: remaining diesel fraction</x:v>
      </x:c>
      <x:c r="B10" s="3" t="str">
        <x:v>base year = 1</x:v>
      </x:c>
      <x:c r="C10" s="3" t="str">
        <x:v>Workshop input</x:v>
      </x:c>
      <x:c r="D10" s="19"/>
      <x:c r="E10" s="10" t="str">
        <x:v>After baseline, fraction of counterfactual diesel retained as… [N120]</x:v>
      </x:c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"/>
      <x:c r="U10" s="3"/>
      <x:c r="V10" s="3"/>
    </x:row>
    <x:row r="11" ht="30" customHeight="1">
      <x:c r="A11" s="3" t="str">
        <x:v>Private backup generation</x:v>
      </x:c>
      <x:c r="B11" s="3" t="str">
        <x:v>scope decision</x:v>
      </x:c>
      <x:c r="C11" s="3" t="str">
        <x:v>Workshop input</x:v>
      </x:c>
      <x:c r="D11" s="19"/>
      <x:c r="E11" s="10" t="str">
        <x:v>Include here OR in generation. Record whether the baseline… [N121]</x:v>
      </x:c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"/>
      <x:c r="U11" s="3"/>
      <x:c r="V11" s="3"/>
    </x:row>
    <x:row r="12" ht="30" customHeight="1">
      <x:c r="A12" s="3" t="str">
        <x:v>Provincial baseline / activity</x:v>
      </x:c>
      <x:c r="B12" s="3" t="str">
        <x:v>share or local index</x:v>
      </x:c>
      <x:c r="C12" s="3" t="str">
        <x:v>Workshop input</x:v>
      </x:c>
      <x:c r="D12" s="19"/>
      <x:c r="E12" s="10" t="str">
        <x:v>Use manufacturing establishments/production, not population by… [N122]</x:v>
      </x:c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"/>
      <x:c r="U12" s="3"/>
      <x:c r="V12" s="3"/>
    </x:row>
    <x:row r="13" ht="8" customHeight="1">
      <x:c r="A13" s="3"/>
      <x:c r="B13" s="3"/>
      <x:c r="C13" s="3"/>
      <x:c r="D13" s="3"/>
      <x:c r="E13" s="3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3"/>
      <x:c r="U13" s="3"/>
      <x:c r="V13" s="3"/>
    </x:row>
    <x:row r="14" ht="28" customHeight="1">
      <x:c r="A14" s="12" t="str">
        <x:v>Proposed calculated demand</x:v>
      </x:c>
      <x:c r="B14" s="11"/>
      <x:c r="C14" s="11"/>
      <x:c r="D14" s="11"/>
      <x:c r="E14" s="11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3"/>
      <x:c r="U14" s="3"/>
      <x:c r="V14" s="3"/>
    </x:row>
    <x:row r="15" ht="30" customHeight="1">
      <x:c r="A15" s="3" t="str">
        <x:v>Manufacturing diesel demand</x:v>
      </x:c>
      <x:c r="B15" s="3" t="str">
        <x:v>million L/year</x:v>
      </x:c>
      <x:c r="C15" s="3" t="str">
        <x:v>Proposed output</x:v>
      </x:c>
      <x:c r="D15" s="13"/>
      <x:c r="E15" s="3" t="str">
        <x:v>Baseline × activity/100 × relative intensity × remaining diesel… [N123]</x:v>
      </x:c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3"/>
      <x:c r="U15" s="3"/>
      <x:c r="V15" s="3"/>
    </x:row>
    <x:row r="16" ht="30" customHeight="1">
      <x:c r="A16" s="3" t="str">
        <x:v>Observed manufacturing diesel</x:v>
      </x:c>
      <x:c r="B16" s="3" t="str">
        <x:v>million L/year</x:v>
      </x:c>
      <x:c r="C16" s="3" t="str">
        <x:v>Workshop input</x:v>
      </x:c>
      <x:c r="D16" s="19"/>
      <x:c r="E16" s="10" t="str">
        <x:v>Matched-period comparator; total national diesel sales cannot… [N124]</x:v>
      </x:c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"/>
      <x:c r="U16" s="3"/>
      <x:c r="V16" s="3"/>
    </x:row>
    <x:row r="17" ht="30" customHeight="1">
      <x:c r="A17" s="3" t="str">
        <x:v>Calculated less observed demand</x:v>
      </x:c>
      <x:c r="B17" s="3" t="str">
        <x:v>million L/year</x:v>
      </x:c>
      <x:c r="C17" s="3" t="str">
        <x:v>Proposed output</x:v>
      </x:c>
      <x:c r="D17" s="13"/>
      <x:c r="E17" s="3" t="str">
        <x:v>Reconcile only against matched manufacturing scope. No… [N125]</x:v>
      </x:c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3"/>
      <x:c r="U17" s="3"/>
      <x:c r="V17" s="3"/>
    </x:row>
    <x:row r="18" ht="8" customHeight="1">
      <x:c r="A18" s="3"/>
      <x:c r="B18" s="3"/>
      <x:c r="C18" s="3"/>
      <x:c r="D18" s="3"/>
      <x:c r="E18" s="3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3"/>
      <x:c r="U18" s="3"/>
      <x:c r="V18" s="3"/>
    </x:row>
    <x:row r="19" ht="28" customHeight="1">
      <x:c r="A19" s="12" t="str">
        <x:v>Combined industrial reference: not manufacturing demand</x:v>
      </x:c>
      <x:c r="B19" s="11"/>
      <x:c r="C19" s="11"/>
      <x:c r="D19" s="11"/>
      <x:c r="E19" s="11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3"/>
      <x:c r="U19" s="3"/>
      <x:c r="V19" s="3"/>
    </x:row>
    <x:row r="20" ht="30" customHeight="1">
      <x:c r="A20" s="3" t="str">
        <x:v>Current combined industrial baseline</x:v>
      </x:c>
      <x:c r="B20" s="3" t="str">
        <x:v>L/year</x:v>
      </x:c>
      <x:c r="C20" s="3" t="str">
        <x:v>Scalar</x:v>
      </x:c>
      <x:c r="D20" s="15" t="str">
        <x:v>2.5e9</x:v>
      </x:c>
      <x:c r="E20" s="3" t="str">
        <x:v>ONE provisional total for manufacturing + mining + construction.… [N126]</x:v>
      </x:c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"/>
      <x:c r="U20" s="3"/>
      <x:c r="V20" s="3"/>
    </x:row>
    <x:row r="21" ht="30" customHeight="1">
      <x:c r="A21" s="3" t="str">
        <x:v>Combined baseline year</x:v>
      </x:c>
      <x:c r="B21" s="3" t="str">
        <x:v>year</x:v>
      </x:c>
      <x:c r="C21" s="3" t="str">
        <x:v>Scalar</x:v>
      </x:c>
      <x:c r="D21" s="20" t="n">
        <x:f>IF(ISNUMBER('Model run'!D34),'Model run'!D34,"")</x:f>
        <x:v>2024</x:v>
      </x:c>
      <x:c r="E21" s="3" t="str">
        <x:v>Current main vintage; branch replacement proposals are not adopted here.</x:v>
      </x:c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"/>
      <x:c r="U21" s="3"/>
      <x:c r="V21" s="3"/>
    </x:row>
    <x:row r="22" ht="30" customHeight="1">
      <x:c r="A22" s="3" t="str">
        <x:v>Combined GDP/capita elasticity</x:v>
      </x:c>
      <x:c r="B22" s="3" t="str">
        <x:v>dimensionless</x:v>
      </x:c>
      <x:c r="C22" s="3" t="str">
        <x:v>Scalar</x:v>
      </x:c>
      <x:c r="D22" s="13" t="n">
        <x:f>IF(ISNUMBER('Model run'!D35),'Model run'!D35,"")</x:f>
        <x:v>1</x:v>
      </x:c>
      <x:c r="E22" s="3" t="str">
        <x:v>Current combined held-method parameter. Not a manufacturing-specific estimate.</x:v>
      </x:c>
      <x:c r="F22" s="26"/>
      <x:c r="G22" s="26"/>
      <x:c r="H22" s="26"/>
      <x:c r="I22" s="26"/>
      <x:c r="J22" s="26"/>
      <x:c r="K22" s="26"/>
      <x:c r="L22" s="26"/>
      <x:c r="M22" s="26"/>
      <x:c r="N22" s="26"/>
      <x:c r="O22" s="26"/>
      <x:c r="P22" s="26"/>
      <x:c r="Q22" s="26"/>
      <x:c r="R22" s="26"/>
      <x:c r="S22" s="26"/>
      <x:c r="T22" s="3"/>
      <x:c r="U22" s="3"/>
      <x:c r="V22" s="3"/>
    </x:row>
    <x:row r="23" ht="30" customHeight="1">
      <x:c r="A23" s="16" t="str">
        <x:v>Combined industrial diesel</x:v>
      </x:c>
      <x:c r="B23" s="16" t="str">
        <x:v>L/year</x:v>
      </x:c>
      <x:c r="C23" s="16" t="str">
        <x:v>Engine output</x:v>
      </x:c>
      <x:c r="D23" s="17"/>
      <x:c r="E23" s="16" t="str">
        <x:v>Existing engine output shown ONCE as a reference for the future… [N127]</x:v>
      </x:c>
      <x:c r="F23" s="28" t="n">
        <x:f>IF(ISNUMBER('Model run'!F36),'Model run'!F36,"")</x:f>
        <x:v>2514196807.324062</x:v>
      </x:c>
      <x:c r="G23" s="28" t="n">
        <x:f>IF(ISNUMBER('Model run'!G36),'Model run'!G36,"")</x:f>
        <x:v>2513796095.115504</x:v>
      </x:c>
      <x:c r="H23" s="28" t="n">
        <x:f>IF(ISNUMBER('Model run'!H36),'Model run'!H36,"")</x:f>
        <x:v>2500000000</x:v>
      </x:c>
      <x:c r="I23" s="28" t="n">
        <x:f>IF(ISNUMBER('Model run'!I36),'Model run'!I36,"")</x:f>
        <x:v>2484185479.84125</x:v>
      </x:c>
      <x:c r="J23" s="28" t="n">
        <x:f>IF(ISNUMBER('Model run'!J36),'Model run'!J36,"")</x:f>
        <x:v>2498332282.15056</x:v>
      </x:c>
      <x:c r="K23" s="28" t="n">
        <x:f>IF(ISNUMBER('Model run'!K36),'Model run'!K36,"")</x:f>
        <x:v>2513540273.3057137</x:v>
      </x:c>
      <x:c r="L23" s="28" t="n">
        <x:f>IF(ISNUMBER('Model run'!L36),'Model run'!L36,"")</x:f>
        <x:v>2529809916.2902837</x:v>
      </x:c>
      <x:c r="M23" s="28" t="n">
        <x:f>IF(ISNUMBER('Model run'!M36),'Model run'!M36,"")</x:f>
        <x:v>2547058593.18107</x:v>
      </x:c>
      <x:c r="N23" s="28" t="n">
        <x:f>IF(ISNUMBER('Model run'!N36),'Model run'!N36,"")</x:f>
        <x:v>2565177092.039271</x:v>
      </x:c>
      <x:c r="O23" s="28" t="n">
        <x:f>IF(ISNUMBER('Model run'!O36),'Model run'!O36,"")</x:f>
        <x:v>2583424476.821712</x:v>
      </x:c>
      <x:c r="P23" s="28" t="n">
        <x:f>IF(ISNUMBER('Model run'!P36),'Model run'!P36,"")</x:f>
        <x:v>2601801664.3582907</x:v>
      </x:c>
      <x:c r="Q23" s="28" t="n">
        <x:f>IF(ISNUMBER('Model run'!Q36),'Model run'!Q36,"")</x:f>
        <x:v>2620309578.0007744</x:v>
      </x:c>
      <x:c r="R23" s="28" t="n">
        <x:f>IF(ISNUMBER('Model run'!R36),'Model run'!R36,"")</x:f>
        <x:v>2638949147.6691923</x:v>
      </x:c>
      <x:c r="S23" s="28" t="n">
        <x:f>IF(ISNUMBER('Model run'!S36),'Model run'!S36,"")</x:f>
        <x:v>2657721309.8985586</x:v>
      </x:c>
      <x:c r="T23" s="3"/>
      <x:c r="U23" s="3"/>
      <x:c r="V23" s="3"/>
    </x:row>
    <x:row r="24" ht="30" customHeight="1">
      <x:c r="A24" s="16" t="str">
        <x:v>Combined industrial diesel</x:v>
      </x:c>
      <x:c r="B24" s="16" t="str">
        <x:v>million L/year</x:v>
      </x:c>
      <x:c r="C24" s="16" t="str">
        <x:v>Reporting formula</x:v>
      </x:c>
      <x:c r="D24" s="18"/>
      <x:c r="E24" s="16" t="str">
        <x:v>Unit conversion only. This is not a separate additive segment.</x:v>
      </x:c>
      <x:c r="F24" s="29" t="n">
        <x:f>F23/1000000</x:f>
        <x:v>2514.196807324062</x:v>
      </x:c>
      <x:c r="G24" s="29" t="n">
        <x:f>G23/1000000</x:f>
        <x:v>2513.7960951155037</x:v>
      </x:c>
      <x:c r="H24" s="29" t="n">
        <x:f>H23/1000000</x:f>
        <x:v>2500</x:v>
      </x:c>
      <x:c r="I24" s="29" t="n">
        <x:f>I23/1000000</x:f>
        <x:v>2484.18547984125</x:v>
      </x:c>
      <x:c r="J24" s="29" t="n">
        <x:f>J23/1000000</x:f>
        <x:v>2498.33228215056</x:v>
      </x:c>
      <x:c r="K24" s="29" t="n">
        <x:f>K23/1000000</x:f>
        <x:v>2513.5402733057135</x:v>
      </x:c>
      <x:c r="L24" s="29" t="n">
        <x:f>L23/1000000</x:f>
        <x:v>2529.8099162902836</x:v>
      </x:c>
      <x:c r="M24" s="29" t="n">
        <x:f>M23/1000000</x:f>
        <x:v>2547.0585931810697</x:v>
      </x:c>
      <x:c r="N24" s="29" t="n">
        <x:f>N23/1000000</x:f>
        <x:v>2565.177092039271</x:v>
      </x:c>
      <x:c r="O24" s="29" t="n">
        <x:f>O23/1000000</x:f>
        <x:v>2583.4244768217122</x:v>
      </x:c>
      <x:c r="P24" s="29" t="n">
        <x:f>P23/1000000</x:f>
        <x:v>2601.8016643582905</x:v>
      </x:c>
      <x:c r="Q24" s="29" t="n">
        <x:f>Q23/1000000</x:f>
        <x:v>2620.3095780007743</x:v>
      </x:c>
      <x:c r="R24" s="29" t="n">
        <x:f>R23/1000000</x:f>
        <x:v>2638.9491476691924</x:v>
      </x:c>
      <x:c r="S24" s="29" t="n">
        <x:f>S23/1000000</x:f>
        <x:v>2657.7213098985585</x:v>
      </x:c>
      <x:c r="T24" s="3"/>
      <x:c r="U24" s="3"/>
      <x:c r="V24" s="3"/>
    </x:row>
    <x:row r="25" ht="8" customHeight="1">
      <x:c r="A25" s="3"/>
      <x:c r="B25" s="3"/>
      <x:c r="C25" s="3"/>
      <x:c r="D25" s="3"/>
      <x:c r="E25" s="3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3"/>
      <x:c r="U25" s="3"/>
      <x:c r="V25" s="3"/>
    </x:row>
    <x:row r="26" ht="30" customHeight="1">
      <x:c r="A26" s="3" t="str">
        <x:v>Split and reconcile the combined total</x:v>
      </x:c>
      <x:c r="B26" s="3" t="str">
        <x:v>decision</x:v>
      </x:c>
      <x:c r="C26" s="3" t="str">
        <x:v>Workshop input</x:v>
      </x:c>
      <x:c r="D26" s="19"/>
      <x:c r="E26" s="10" t="str">
        <x:v>Manufacturing + mining + construction/other + unallocated must… [N128]</x:v>
      </x:c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"/>
      <x:c r="U26" s="3"/>
      <x:c r="V26" s="3"/>
    </x:row>
    <x:row r="27" ht="8" customHeight="1">
      <x:c r="A27" s="3"/>
      <x:c r="B27" s="3"/>
      <x:c r="C27" s="3"/>
      <x:c r="D27" s="3"/>
      <x:c r="E27" s="3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3"/>
      <x:c r="U27" s="3"/>
      <x:c r="V27" s="3"/>
    </x:row>
    <x:row r="28" ht="30" customHeight="1">
      <x:c r="A28" s="3" t="str">
        <x:v>Input source</x:v>
      </x:c>
      <x:c r="B28" s="3" t="str">
        <x:v>URL</x:v>
      </x:c>
      <x:c r="C28" s="3" t="str">
        <x:v>Source</x:v>
      </x:c>
      <x:c r="D28" s="13"/>
      <x:c r="E28" s="3" t="str">
        <x:v>https://github.com/Africa-International-Advisors/liquid_fuels_mode… [N129]</x:v>
      </x:c>
      <x:c r="F28" s="26"/>
      <x:c r="G28" s="26"/>
      <x:c r="H28" s="26"/>
      <x:c r="I28" s="26"/>
      <x:c r="J28" s="26"/>
      <x:c r="K28" s="26"/>
      <x:c r="L28" s="26"/>
      <x:c r="M28" s="26"/>
      <x:c r="N28" s="26"/>
      <x:c r="O28" s="26"/>
      <x:c r="P28" s="26"/>
      <x:c r="Q28" s="26"/>
      <x:c r="R28" s="26"/>
      <x:c r="S28" s="26"/>
      <x:c r="T28" s="3"/>
      <x:c r="U28" s="3"/>
      <x:c r="V28" s="3"/>
    </x:row>
    <x:row r="29" ht="30" customHeight="1">
      <x:c r="A29" s="3" t="str">
        <x:v>Calculation source</x:v>
      </x:c>
      <x:c r="B29" s="3" t="str">
        <x:v>URL</x:v>
      </x:c>
      <x:c r="C29" s="3" t="str">
        <x:v>Source</x:v>
      </x:c>
      <x:c r="D29" s="13"/>
      <x:c r="E29" s="3" t="str">
        <x:v>https://github.com/Africa-International-Advisors/liquid_fuels_mode… [N130]</x:v>
      </x:c>
      <x:c r="F29" s="26"/>
      <x:c r="G29" s="26"/>
      <x:c r="H29" s="26"/>
      <x:c r="I29" s="26"/>
      <x:c r="J29" s="26"/>
      <x:c r="K29" s="26"/>
      <x:c r="L29" s="26"/>
      <x:c r="M29" s="26"/>
      <x:c r="N29" s="26"/>
      <x:c r="O29" s="26"/>
      <x:c r="P29" s="26"/>
      <x:c r="Q29" s="26"/>
      <x:c r="R29" s="26"/>
      <x:c r="S29" s="26"/>
      <x:c r="T29" s="3"/>
      <x:c r="U29" s="3"/>
      <x:c r="V29" s="3"/>
    </x:row>
    <x:row r="30" ht="8" customHeight="1">
      <x:c r="A30" s="3"/>
      <x:c r="B30" s="3"/>
      <x:c r="C30" s="3"/>
      <x:c r="D30" s="3"/>
      <x:c r="E30" s="3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3"/>
      <x:c r="U30" s="3"/>
      <x:c r="V30" s="3"/>
    </x:row>
    <x:row r="31" ht="28" customHeight="1">
      <x:c r="A31" s="12" t="str">
        <x:v>Available manufacturing evidence</x:v>
      </x:c>
      <x:c r="B31" s="11"/>
      <x:c r="C31" s="11"/>
      <x:c r="D31" s="11"/>
      <x:c r="E31" s="11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11"/>
      <x:c r="U31" s="11"/>
      <x:c r="V31" s="11"/>
    </x:row>
    <x:row r="32" ht="30" customHeight="1">
      <x:c r="A32" s="65" t="str">
        <x:v>Manufacturing production volume</x:v>
      </x:c>
      <x:c r="B32" s="65" t="str">
        <x:v>index 2019=100</x:v>
      </x:c>
      <x:c r="C32" s="65" t="str">
        <x:v>Staged observation</x:v>
      </x:c>
      <x:c r="D32" s="66" t="n">
        <x:f>IF(ISNUMBER('Evidence'!D30),'Evidence'!D30,"")</x:f>
        <x:v>87.71428571428571</x:v>
      </x:c>
      <x:c r="E32" s="65" t="str">
        <x:v>Arithmetic mean of all 12 monthly production indices; 2026… [N131]</x:v>
      </x:c>
      <x:c r="F32" s="67" t="n">
        <x:f>IF(ISNUMBER('Evidence'!F30),'Evidence'!F30,"")</x:f>
        <x:v>93.14166666666667</x:v>
      </x:c>
      <x:c r="G32" s="67" t="n">
        <x:f>IF(ISNUMBER('Evidence'!G30),'Evidence'!G30,"")</x:f>
        <x:v>93.71666666666665</x:v>
      </x:c>
      <x:c r="H32" s="67" t="n">
        <x:f>IF(ISNUMBER('Evidence'!H30),'Evidence'!H30,"")</x:f>
        <x:v>93.33333333333333</x:v>
      </x:c>
      <x:c r="I32" s="67" t="n">
        <x:f>IF(ISNUMBER('Evidence'!I30),'Evidence'!I30,"")</x:f>
        <x:v>92.14166666666665</x:v>
      </x:c>
      <x:c r="J32" s="67" t="str">
        <x:f>IF(ISNUMBER('Evidence'!J30),'Evidence'!J30,"")</x:f>
      </x:c>
      <x:c r="K32" s="67" t="str">
        <x:f>IF(ISNUMBER('Evidence'!K30),'Evidence'!K30,"")</x:f>
      </x:c>
      <x:c r="L32" s="67" t="str">
        <x:f>IF(ISNUMBER('Evidence'!L30),'Evidence'!L30,"")</x:f>
      </x:c>
      <x:c r="M32" s="67" t="str">
        <x:f>IF(ISNUMBER('Evidence'!M30),'Evidence'!M30,"")</x:f>
      </x:c>
      <x:c r="N32" s="67" t="str">
        <x:f>IF(ISNUMBER('Evidence'!N30),'Evidence'!N30,"")</x:f>
      </x:c>
      <x:c r="O32" s="67" t="str">
        <x:f>IF(ISNUMBER('Evidence'!O30),'Evidence'!O30,"")</x:f>
      </x:c>
      <x:c r="P32" s="67" t="str">
        <x:f>IF(ISNUMBER('Evidence'!P30),'Evidence'!P30,"")</x:f>
      </x:c>
      <x:c r="Q32" s="67" t="str">
        <x:f>IF(ISNUMBER('Evidence'!Q30),'Evidence'!Q30,"")</x:f>
      </x:c>
      <x:c r="R32" s="67" t="str">
        <x:f>IF(ISNUMBER('Evidence'!R30),'Evidence'!R30,"")</x:f>
      </x:c>
      <x:c r="S32" s="67" t="str">
        <x:f>IF(ISNUMBER('Evidence'!S30),'Evidence'!S30,"")</x:f>
      </x:c>
      <x:c r="T32" s="3" t="str">
        <x:v>Unreviewed source extract; annual cells contain… [N132]</x:v>
      </x:c>
      <x:c r="U32" s="3" t="str">
        <x:v>Evidence row 30;… [N133]</x:v>
      </x:c>
      <x:c r="V32" s="3" t="str">
        <x:v>G06: match subsectors to fuel scope; rebase to… [N134]</x:v>
      </x:c>
    </x:row>
    <x:row r="33" ht="30" customHeight="1">
      <x:c r="A33" s="65" t="str">
        <x:v>Manufacturing real GVA</x:v>
      </x:c>
      <x:c r="B33" s="65" t="str">
        <x:v>bn 2015 ZAR</x:v>
      </x:c>
      <x:c r="C33" s="65" t="str">
        <x:v>Staged observation</x:v>
      </x:c>
      <x:c r="D33" s="66" t="str">
        <x:f>IF(ISNUMBER('Evidence'!D27),'Evidence'!D27,"")</x:f>
      </x:c>
      <x:c r="E33" s="65" t="str">
        <x:v>Stats SA annual actual in staged reporting copy. Sector value… [N135]</x:v>
      </x:c>
      <x:c r="F33" s="67" t="n">
        <x:f>IF(ISNUMBER('Evidence'!F27),'Evidence'!F27,"")</x:f>
        <x:v>523.0907540648606</x:v>
      </x:c>
      <x:c r="G33" s="67" t="n">
        <x:f>IF(ISNUMBER('Evidence'!G27),'Evidence'!G27,"")</x:f>
        <x:v>524.9937540648609</x:v>
      </x:c>
      <x:c r="H33" s="67" t="n">
        <x:f>IF(ISNUMBER('Evidence'!H27),'Evidence'!H27,"")</x:f>
        <x:v>523.150754064861</x:v>
      </x:c>
      <x:c r="I33" s="67" t="n">
        <x:f>IF(ISNUMBER('Evidence'!I27),'Evidence'!I27,"")</x:f>
        <x:v>516.9856529750193</x:v>
      </x:c>
      <x:c r="J33" s="67" t="str">
        <x:f>IF(ISNUMBER('Evidence'!J27),'Evidence'!J27,"")</x:f>
      </x:c>
      <x:c r="K33" s="67" t="str">
        <x:f>IF(ISNUMBER('Evidence'!K27),'Evidence'!K27,"")</x:f>
      </x:c>
      <x:c r="L33" s="67" t="str">
        <x:f>IF(ISNUMBER('Evidence'!L27),'Evidence'!L27,"")</x:f>
      </x:c>
      <x:c r="M33" s="67" t="str">
        <x:f>IF(ISNUMBER('Evidence'!M27),'Evidence'!M27,"")</x:f>
      </x:c>
      <x:c r="N33" s="67" t="str">
        <x:f>IF(ISNUMBER('Evidence'!N27),'Evidence'!N27,"")</x:f>
      </x:c>
      <x:c r="O33" s="67" t="str">
        <x:f>IF(ISNUMBER('Evidence'!O27),'Evidence'!O27,"")</x:f>
      </x:c>
      <x:c r="P33" s="67" t="str">
        <x:f>IF(ISNUMBER('Evidence'!P27),'Evidence'!P27,"")</x:f>
      </x:c>
      <x:c r="Q33" s="67" t="str">
        <x:f>IF(ISNUMBER('Evidence'!Q27),'Evidence'!Q27,"")</x:f>
      </x:c>
      <x:c r="R33" s="67" t="str">
        <x:f>IF(ISNUMBER('Evidence'!R27),'Evidence'!R27,"")</x:f>
      </x:c>
      <x:c r="S33" s="67" t="str">
        <x:f>IF(ISNUMBER('Evidence'!S27),'Evidence'!S27,"")</x:f>
      </x:c>
      <x:c r="T33" s="3" t="str">
        <x:v>Unreviewed source extract; annual cells contain… [N136]</x:v>
      </x:c>
      <x:c r="U33" s="3" t="str">
        <x:v>Evidence row 27;… [N137]</x:v>
      </x:c>
      <x:c r="V33" s="3" t="str">
        <x:v>G06: alternative activity proxy, not additive to… [N138]</x:v>
      </x:c>
    </x:row>
    <x:row r="34" ht="30" customHeight="1">
      <x:c r="A34" s="65" t="str">
        <x:v>2021 energy-balance industry total</x:v>
      </x:c>
      <x:c r="B34" s="65" t="str">
        <x:v>million L/year</x:v>
      </x:c>
      <x:c r="C34" s="65" t="str">
        <x:v>Staged observation</x:v>
      </x:c>
      <x:c r="D34" s="66" t="n">
        <x:f>IF(ISNUMBER('Evidence'!D40),'Evidence'!D40,"")</x:f>
        <x:v>1499.1392599999997</x:v>
      </x:c>
      <x:c r="E34" s="65" t="str">
        <x:v>Parent industry total includes mining and construction. It is not… [N139]</x:v>
      </x:c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3" t="str">
        <x:v>Dated 2021 reference; no numerical split adopted.</x:v>
      </x:c>
      <x:c r="U34" s="3" t="str">
        <x:v>https://github.com/Africa-International-Advisors/liq… [N140]</x:v>
      </x:c>
      <x:c r="V34" s="3" t="str">
        <x:v>G06: reconcile manufacturing subsector rows and… [N141]</x:v>
      </x:c>
    </x:row>
    <x:row r="35" ht="30" customHeight="1">
      <x:c r="A35" s="65" t="str">
        <x:v>2021 construction diesel</x:v>
      </x:c>
      <x:c r="B35" s="65" t="str">
        <x:v>million L/year</x:v>
      </x:c>
      <x:c r="C35" s="65" t="str">
        <x:v>Staged observation</x:v>
      </x:c>
      <x:c r="D35" s="66" t="n">
        <x:f>IF(ISNUMBER('Evidence'!D41),'Evidence'!D41,"")</x:f>
        <x:v>48.69243</x:v>
      </x:c>
      <x:c r="E35" s="65" t="str">
        <x:v>Construction child of source industry total, shown separately to… [N142]</x:v>
      </x:c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3" t="str">
        <x:v>Older source anchor only.</x:v>
      </x:c>
      <x:c r="U35" s="3" t="str">
        <x:v>https://github.com/Africa-International-Advisors/liq… [N143]</x:v>
      </x:c>
      <x:c r="V35" s="3" t="str">
        <x:v>G06/G07: retain construction/other when splitting… [N144]</x:v>
      </x:c>
    </x:row>
    <x:row r="36" ht="8" customHeight="1">
      <x:c r="A36" s="102"/>
      <x:c r="B36" s="102"/>
      <x:c r="C36" s="102"/>
      <x:c r="D36" s="102"/>
      <x:c r="E36" s="102"/>
      <x:c r="F36" s="104"/>
      <x:c r="G36" s="104"/>
      <x:c r="H36" s="104"/>
      <x:c r="I36" s="104"/>
      <x:c r="J36" s="104"/>
      <x:c r="K36" s="104"/>
      <x:c r="L36" s="104"/>
      <x:c r="M36" s="104"/>
      <x:c r="N36" s="104"/>
      <x:c r="O36" s="104"/>
      <x:c r="P36" s="104"/>
      <x:c r="Q36" s="104"/>
      <x:c r="R36" s="104"/>
      <x:c r="S36" s="104"/>
      <x:c r="T36" s="3"/>
      <x:c r="U36" s="3"/>
      <x:c r="V36" s="3"/>
    </x:row>
    <x:row r="37" ht="8" customHeight="1">
      <x:c r="A37" s="102"/>
      <x:c r="B37" s="102"/>
      <x:c r="C37" s="102"/>
      <x:c r="D37" s="102"/>
      <x:c r="E37" s="102"/>
      <x:c r="F37" s="104"/>
      <x:c r="G37" s="104"/>
      <x:c r="H37" s="104"/>
      <x:c r="I37" s="104"/>
      <x:c r="J37" s="104"/>
      <x:c r="K37" s="104"/>
      <x:c r="L37" s="104"/>
      <x:c r="M37" s="104"/>
      <x:c r="N37" s="104"/>
      <x:c r="O37" s="104"/>
      <x:c r="P37" s="104"/>
      <x:c r="Q37" s="104"/>
      <x:c r="R37" s="104"/>
      <x:c r="S37" s="104"/>
      <x:c r="T37" s="3"/>
      <x:c r="U37" s="3"/>
      <x:c r="V37" s="3"/>
    </x:row>
    <x:row r="38" ht="8" customHeight="1">
      <x:c r="A38" s="102"/>
      <x:c r="B38" s="102"/>
      <x:c r="C38" s="102"/>
      <x:c r="D38" s="102"/>
      <x:c r="E38" s="102"/>
      <x:c r="F38" s="104"/>
      <x:c r="G38" s="104"/>
      <x:c r="H38" s="104"/>
      <x:c r="I38" s="104"/>
      <x:c r="J38" s="104"/>
      <x:c r="K38" s="104"/>
      <x:c r="L38" s="104"/>
      <x:c r="M38" s="104"/>
      <x:c r="N38" s="104"/>
      <x:c r="O38" s="104"/>
      <x:c r="P38" s="104"/>
      <x:c r="Q38" s="104"/>
      <x:c r="R38" s="104"/>
      <x:c r="S38" s="104"/>
      <x:c r="T38" s="3"/>
      <x:c r="U38" s="3"/>
      <x:c r="V38" s="3"/>
    </x:row>
    <x:row r="39" ht="8" customHeight="1">
      <x:c r="A39" s="102"/>
      <x:c r="B39" s="102"/>
      <x:c r="C39" s="102"/>
      <x:c r="D39" s="102"/>
      <x:c r="E39" s="102"/>
      <x:c r="F39" s="104"/>
      <x:c r="G39" s="104"/>
      <x:c r="H39" s="104"/>
      <x:c r="I39" s="104"/>
      <x:c r="J39" s="104"/>
      <x:c r="K39" s="104"/>
      <x:c r="L39" s="104"/>
      <x:c r="M39" s="104"/>
      <x:c r="N39" s="104"/>
      <x:c r="O39" s="104"/>
      <x:c r="P39" s="104"/>
      <x:c r="Q39" s="104"/>
      <x:c r="R39" s="104"/>
      <x:c r="S39" s="104"/>
      <x:c r="T39" s="3"/>
      <x:c r="U39" s="3"/>
      <x:c r="V39" s="3"/>
    </x:row>
    <x:row r="40" ht="8" customHeight="1">
      <x:c r="A40" s="102"/>
      <x:c r="B40" s="102"/>
      <x:c r="C40" s="102"/>
      <x:c r="D40" s="102"/>
      <x:c r="E40" s="102"/>
      <x:c r="F40" s="104"/>
      <x:c r="G40" s="104"/>
      <x:c r="H40" s="104"/>
      <x:c r="I40" s="104"/>
      <x:c r="J40" s="104"/>
      <x:c r="K40" s="104"/>
      <x:c r="L40" s="104"/>
      <x:c r="M40" s="104"/>
      <x:c r="N40" s="104"/>
      <x:c r="O40" s="104"/>
      <x:c r="P40" s="104"/>
      <x:c r="Q40" s="104"/>
      <x:c r="R40" s="104"/>
      <x:c r="S40" s="104"/>
      <x:c r="T40" s="3"/>
      <x:c r="U40" s="3"/>
      <x:c r="V40" s="3"/>
    </x:row>
    <x:row r="41" ht="8" customHeight="1">
      <x:c r="A41" s="102"/>
      <x:c r="B41" s="102"/>
      <x:c r="C41" s="102"/>
      <x:c r="D41" s="102"/>
      <x:c r="E41" s="102"/>
      <x:c r="F41" s="104"/>
      <x:c r="G41" s="104"/>
      <x:c r="H41" s="104"/>
      <x:c r="I41" s="104"/>
      <x:c r="J41" s="104"/>
      <x:c r="K41" s="104"/>
      <x:c r="L41" s="104"/>
      <x:c r="M41" s="104"/>
      <x:c r="N41" s="104"/>
      <x:c r="O41" s="104"/>
      <x:c r="P41" s="104"/>
      <x:c r="Q41" s="104"/>
      <x:c r="R41" s="104"/>
      <x:c r="S41" s="104"/>
      <x:c r="T41" s="3"/>
      <x:c r="U41" s="3"/>
      <x:c r="V41" s="3"/>
    </x:row>
    <x:row r="42" ht="8" customHeight="1">
      <x:c r="A42" s="102"/>
      <x:c r="B42" s="102"/>
      <x:c r="C42" s="102"/>
      <x:c r="D42" s="102"/>
      <x:c r="E42" s="102"/>
      <x:c r="F42" s="104"/>
      <x:c r="G42" s="104"/>
      <x:c r="H42" s="104"/>
      <x:c r="I42" s="104"/>
      <x:c r="J42" s="104"/>
      <x:c r="K42" s="104"/>
      <x:c r="L42" s="104"/>
      <x:c r="M42" s="104"/>
      <x:c r="N42" s="104"/>
      <x:c r="O42" s="104"/>
      <x:c r="P42" s="104"/>
      <x:c r="Q42" s="104"/>
      <x:c r="R42" s="104"/>
      <x:c r="S42" s="104"/>
      <x:c r="T42" s="3"/>
      <x:c r="U42" s="3"/>
      <x:c r="V42" s="3"/>
    </x:row>
    <x:row r="43" ht="8" customHeight="1">
      <x:c r="A43" s="102"/>
      <x:c r="B43" s="102"/>
      <x:c r="C43" s="102"/>
      <x:c r="D43" s="102"/>
      <x:c r="E43" s="102"/>
      <x:c r="F43" s="104"/>
      <x:c r="G43" s="104"/>
      <x:c r="H43" s="104"/>
      <x:c r="I43" s="104"/>
      <x:c r="J43" s="104"/>
      <x:c r="K43" s="104"/>
      <x:c r="L43" s="104"/>
      <x:c r="M43" s="104"/>
      <x:c r="N43" s="104"/>
      <x:c r="O43" s="104"/>
      <x:c r="P43" s="104"/>
      <x:c r="Q43" s="104"/>
      <x:c r="R43" s="104"/>
      <x:c r="S43" s="104"/>
      <x:c r="T43" s="3"/>
      <x:c r="U43" s="3"/>
      <x:c r="V43" s="3"/>
    </x:row>
    <x:row r="44" ht="8" customHeight="1">
      <x:c r="A44" s="102"/>
      <x:c r="B44" s="102"/>
      <x:c r="C44" s="102"/>
      <x:c r="D44" s="102"/>
      <x:c r="E44" s="102"/>
      <x:c r="F44" s="104"/>
      <x:c r="G44" s="104"/>
      <x:c r="H44" s="104"/>
      <x:c r="I44" s="104"/>
      <x:c r="J44" s="104"/>
      <x:c r="K44" s="104"/>
      <x:c r="L44" s="104"/>
      <x:c r="M44" s="104"/>
      <x:c r="N44" s="104"/>
      <x:c r="O44" s="104"/>
      <x:c r="P44" s="104"/>
      <x:c r="Q44" s="104"/>
      <x:c r="R44" s="104"/>
      <x:c r="S44" s="104"/>
      <x:c r="T44" s="3"/>
      <x:c r="U44" s="3"/>
      <x:c r="V44" s="3"/>
    </x:row>
    <x:row r="45" ht="8" customHeight="1">
      <x:c r="A45" s="102"/>
      <x:c r="B45" s="102"/>
      <x:c r="C45" s="102"/>
      <x:c r="D45" s="102"/>
      <x:c r="E45" s="102"/>
      <x:c r="F45" s="104"/>
      <x:c r="G45" s="104"/>
      <x:c r="H45" s="104"/>
      <x:c r="I45" s="104"/>
      <x:c r="J45" s="104"/>
      <x:c r="K45" s="104"/>
      <x:c r="L45" s="104"/>
      <x:c r="M45" s="104"/>
      <x:c r="N45" s="104"/>
      <x:c r="O45" s="104"/>
      <x:c r="P45" s="104"/>
      <x:c r="Q45" s="104"/>
      <x:c r="R45" s="104"/>
      <x:c r="S45" s="104"/>
      <x:c r="T45" s="3"/>
      <x:c r="U45" s="3"/>
      <x:c r="V45" s="3"/>
    </x:row>
    <x:row r="46" ht="8" customHeight="1">
      <x:c r="A46" s="102"/>
      <x:c r="B46" s="102"/>
      <x:c r="C46" s="102"/>
      <x:c r="D46" s="102"/>
      <x:c r="E46" s="102"/>
      <x:c r="F46" s="104"/>
      <x:c r="G46" s="104"/>
      <x:c r="H46" s="104"/>
      <x:c r="I46" s="104"/>
      <x:c r="J46" s="104"/>
      <x:c r="K46" s="104"/>
      <x:c r="L46" s="104"/>
      <x:c r="M46" s="104"/>
      <x:c r="N46" s="104"/>
      <x:c r="O46" s="104"/>
      <x:c r="P46" s="104"/>
      <x:c r="Q46" s="104"/>
      <x:c r="R46" s="104"/>
      <x:c r="S46" s="104"/>
      <x:c r="T46" s="3"/>
      <x:c r="U46" s="3"/>
      <x:c r="V46" s="3"/>
    </x:row>
    <x:row r="47" ht="8" customHeight="1">
      <x:c r="A47" s="102"/>
      <x:c r="B47" s="102"/>
      <x:c r="C47" s="102"/>
      <x:c r="D47" s="102"/>
      <x:c r="E47" s="102"/>
      <x:c r="F47" s="104"/>
      <x:c r="G47" s="104"/>
      <x:c r="H47" s="104"/>
      <x:c r="I47" s="104"/>
      <x:c r="J47" s="104"/>
      <x:c r="K47" s="104"/>
      <x:c r="L47" s="104"/>
      <x:c r="M47" s="104"/>
      <x:c r="N47" s="104"/>
      <x:c r="O47" s="104"/>
      <x:c r="P47" s="104"/>
      <x:c r="Q47" s="104"/>
      <x:c r="R47" s="104"/>
      <x:c r="S47" s="104"/>
      <x:c r="T47" s="3"/>
      <x:c r="U47" s="3"/>
      <x:c r="V47" s="3"/>
    </x:row>
    <x:row r="48" ht="8" customHeight="1">
      <x:c r="A48" s="102"/>
      <x:c r="B48" s="102"/>
      <x:c r="C48" s="102"/>
      <x:c r="D48" s="102"/>
      <x:c r="E48" s="102"/>
      <x:c r="F48" s="104"/>
      <x:c r="G48" s="104"/>
      <x:c r="H48" s="104"/>
      <x:c r="I48" s="104"/>
      <x:c r="J48" s="104"/>
      <x:c r="K48" s="104"/>
      <x:c r="L48" s="104"/>
      <x:c r="M48" s="104"/>
      <x:c r="N48" s="104"/>
      <x:c r="O48" s="104"/>
      <x:c r="P48" s="104"/>
      <x:c r="Q48" s="104"/>
      <x:c r="R48" s="104"/>
      <x:c r="S48" s="104"/>
      <x:c r="T48" s="3"/>
      <x:c r="U48" s="3"/>
      <x:c r="V48" s="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8.1299991607666" hidden="0" customWidth="1"/>
    <x:col min="2" max="2" width="12.5" hidden="0" customWidth="1"/>
    <x:col min="3" max="3" width="15.630000114440918" hidden="0" customWidth="1"/>
    <x:col min="4" max="4" width="15" hidden="0" customWidth="1"/>
    <x:col min="5" max="5" width="40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31.8799991607666" hidden="0" customWidth="1"/>
    <x:col min="21" max="21" width="36.25" hidden="0" customWidth="1"/>
    <x:col min="22" max="22" width="36.25" hidden="0" customWidth="1"/>
  </x:cols>
  <x:sheetData>
    <x:row r="1" ht="25" customHeight="1">
      <x:c r="A1" s="5" t="str">
        <x:v>Mining diesel demand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1" customHeight="1">
      <x:c r="A2" s="6" t="str">
        <x:v>Proposed separate sector block • Separate off-road mine equipment from public-road freight and private generation.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30" customHeight="1">
      <x:c r="A4" s="9" t="str">
        <x:v>Driver / output</x:v>
      </x:c>
      <x:c r="B4" s="9" t="str">
        <x:v>Unit</x:v>
      </x:c>
      <x:c r="C4" s="9" t="str">
        <x:v>Role</x:v>
      </x:c>
      <x:c r="D4" s="9" t="str">
        <x:v>Scalar / latest value</x:v>
      </x:c>
      <x:c r="E4" s="9" t="str">
        <x:v>Definition / period</x:v>
      </x:c>
      <x:c r="F4" s="9" t="n">
        <x:v>2022</x:v>
      </x:c>
      <x:c r="G4" s="9" t="n">
        <x:v>2023</x:v>
      </x:c>
      <x:c r="H4" s="9" t="n">
        <x:v>2024</x:v>
      </x:c>
      <x:c r="I4" s="9" t="n">
        <x:v>2025</x:v>
      </x:c>
      <x:c r="J4" s="9" t="n">
        <x:v>2026</x:v>
      </x:c>
      <x:c r="K4" s="9" t="n">
        <x:v>2027</x:v>
      </x:c>
      <x:c r="L4" s="9" t="n">
        <x:v>2028</x:v>
      </x:c>
      <x:c r="M4" s="9" t="n">
        <x:v>2029</x:v>
      </x:c>
      <x:c r="N4" s="9" t="n">
        <x:v>2030</x:v>
      </x:c>
      <x:c r="O4" s="9" t="n">
        <x:v>2031</x:v>
      </x:c>
      <x:c r="P4" s="9" t="n">
        <x:v>2032</x:v>
      </x:c>
      <x:c r="Q4" s="9" t="n">
        <x:v>2033</x:v>
      </x:c>
      <x:c r="R4" s="9" t="n">
        <x:v>2034</x:v>
      </x:c>
      <x:c r="S4" s="9" t="n">
        <x:v>2035</x:v>
      </x:c>
      <x:c r="T4" s="9" t="str">
        <x:v>Coverage / status</x:v>
      </x:c>
      <x:c r="U4" s="9" t="str">
        <x:v>Source</x:v>
      </x:c>
      <x:c r="V4" s="9" t="str">
        <x:v>Missing evidence / next action</x:v>
      </x:c>
    </x:row>
    <x:row r="5" ht="28" customHeight="1">
      <x:c r="A5" s="12" t="str">
        <x:v>Separate mining assumptions to agree</x:v>
      </x:c>
      <x:c r="B5" s="11"/>
      <x:c r="C5" s="11"/>
      <x:c r="D5" s="11"/>
      <x:c r="E5" s="11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3"/>
      <x:c r="U5" s="3"/>
      <x:c r="V5" s="3"/>
    </x:row>
    <x:row r="6" ht="30" customHeight="1">
      <x:c r="A6" s="3" t="str">
        <x:v>Reviewed mining baseline</x:v>
      </x:c>
      <x:c r="B6" s="3" t="str">
        <x:v>million L/year</x:v>
      </x:c>
      <x:c r="C6" s="3" t="str">
        <x:v>Workshop input</x:v>
      </x:c>
      <x:c r="D6" s="19"/>
      <x:c r="E6" s="10" t="str">
        <x:v>2021 mining fuel is shown in row 31. Source newer years and… [N145]</x:v>
      </x:c>
      <x:c r="F6" s="30"/>
      <x:c r="G6" s="30"/>
      <x:c r="H6" s="30"/>
      <x:c r="I6" s="30"/>
      <x:c r="J6" s="30"/>
      <x:c r="K6" s="30"/>
      <x:c r="L6" s="30"/>
      <x:c r="M6" s="30"/>
      <x:c r="N6" s="30"/>
      <x:c r="O6" s="30"/>
      <x:c r="P6" s="30"/>
      <x:c r="Q6" s="30"/>
      <x:c r="R6" s="30"/>
      <x:c r="S6" s="30"/>
      <x:c r="T6" s="3"/>
      <x:c r="U6" s="3"/>
      <x:c r="V6" s="3"/>
    </x:row>
    <x:row r="7" ht="30" customHeight="1">
      <x:c r="A7" s="3" t="str">
        <x:v>Baseline year</x:v>
      </x:c>
      <x:c r="B7" s="3" t="str">
        <x:v>year</x:v>
      </x:c>
      <x:c r="C7" s="3" t="str">
        <x:v>Workshop input</x:v>
      </x:c>
      <x:c r="D7" s="109"/>
      <x:c r="E7" s="10" t="str">
        <x:v>Match the activity and fuel observation periods.</x:v>
      </x:c>
      <x:c r="F7" s="110"/>
      <x:c r="G7" s="110"/>
      <x:c r="H7" s="110"/>
      <x:c r="I7" s="110"/>
      <x:c r="J7" s="110"/>
      <x:c r="K7" s="110"/>
      <x:c r="L7" s="110"/>
      <x:c r="M7" s="110"/>
      <x:c r="N7" s="110"/>
      <x:c r="O7" s="110"/>
      <x:c r="P7" s="110"/>
      <x:c r="Q7" s="110"/>
      <x:c r="R7" s="110"/>
      <x:c r="S7" s="110"/>
      <x:c r="T7" s="3"/>
      <x:c r="U7" s="3"/>
      <x:c r="V7" s="3"/>
    </x:row>
    <x:row r="8" ht="30" customHeight="1">
      <x:c r="A8" s="3" t="str">
        <x:v>Mining activity index</x:v>
      </x:c>
      <x:c r="B8" s="3" t="str">
        <x:v>base year = 100</x:v>
      </x:c>
      <x:c r="C8" s="3" t="str">
        <x:v>Workshop input</x:v>
      </x:c>
      <x:c r="D8" s="19"/>
      <x:c r="E8" s="10" t="str">
        <x:v>Production index and GVA now appear in rows 29–30. Select one… [N146]</x:v>
      </x:c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  <x:c r="T8" s="3"/>
      <x:c r="U8" s="3"/>
      <x:c r="V8" s="3"/>
    </x:row>
    <x:row r="9" ht="30" customHeight="1">
      <x:c r="A9" s="3" t="str">
        <x:v>Relative operating intensity</x:v>
      </x:c>
      <x:c r="B9" s="3" t="str">
        <x:v>base year = 1</x:v>
      </x:c>
      <x:c r="C9" s="3" t="str">
        <x:v>Workshop input</x:v>
      </x:c>
      <x:c r="D9" s="19"/>
      <x:c r="E9" s="10" t="str">
        <x:v>Reflect depth, haul work, equipment mix and efficiency. Avoid… [N147]</x:v>
      </x:c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  <x:c r="R9" s="30"/>
      <x:c r="S9" s="30"/>
      <x:c r="T9" s="3"/>
      <x:c r="U9" s="3"/>
      <x:c r="V9" s="3"/>
    </x:row>
    <x:row r="10" ht="30" customHeight="1">
      <x:c r="A10" s="3" t="str">
        <x:v>Electrification: remaining diesel fraction</x:v>
      </x:c>
      <x:c r="B10" s="3" t="str">
        <x:v>base year = 1</x:v>
      </x:c>
      <x:c r="C10" s="3" t="str">
        <x:v>Workshop input</x:v>
      </x:c>
      <x:c r="D10" s="19"/>
      <x:c r="E10" s="10" t="str">
        <x:v>Eligible off-road diesel work retained after switching equipment… [N148]</x:v>
      </x:c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  <x:c r="R10" s="30"/>
      <x:c r="S10" s="30"/>
      <x:c r="T10" s="3"/>
      <x:c r="U10" s="3"/>
      <x:c r="V10" s="3"/>
    </x:row>
    <x:row r="11" ht="30" customHeight="1">
      <x:c r="A11" s="3" t="str">
        <x:v>Mine backup generation</x:v>
      </x:c>
      <x:c r="B11" s="3" t="str">
        <x:v>scope decision</x:v>
      </x:c>
      <x:c r="C11" s="3" t="str">
        <x:v>Workshop input</x:v>
      </x:c>
      <x:c r="D11" s="19"/>
      <x:c r="E11" s="10" t="str">
        <x:v>Separate from machinery; count in mining OR private generation once.</x:v>
      </x:c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  <x:c r="R11" s="30"/>
      <x:c r="S11" s="30"/>
      <x:c r="T11" s="3"/>
      <x:c r="U11" s="3"/>
      <x:c r="V11" s="3"/>
    </x:row>
    <x:row r="12" ht="30" customHeight="1">
      <x:c r="A12" s="3" t="str">
        <x:v>Provincial site / activity allocation</x:v>
      </x:c>
      <x:c r="B12" s="3" t="str">
        <x:v>share or local index</x:v>
      </x:c>
      <x:c r="C12" s="3" t="str">
        <x:v>Workshop input</x:v>
      </x:c>
      <x:c r="D12" s="19"/>
      <x:c r="E12" s="10" t="str">
        <x:v>Locate mine demand by site/activity; use explicit unallocated… [N149]</x:v>
      </x:c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  <x:c r="R12" s="30"/>
      <x:c r="S12" s="30"/>
      <x:c r="T12" s="3"/>
      <x:c r="U12" s="3"/>
      <x:c r="V12" s="3"/>
    </x:row>
    <x:row r="13" ht="8" customHeight="1">
      <x:c r="A13" s="3"/>
      <x:c r="B13" s="3"/>
      <x:c r="C13" s="3"/>
      <x:c r="D13" s="3"/>
      <x:c r="E13" s="3"/>
      <x:c r="F13" s="6"/>
      <x:c r="G13" s="6"/>
      <x:c r="H13" s="6"/>
      <x:c r="I13" s="6"/>
      <x:c r="J13" s="6"/>
      <x:c r="K13" s="6"/>
      <x:c r="L13" s="6"/>
      <x:c r="M13" s="6"/>
      <x:c r="N13" s="6"/>
      <x:c r="O13" s="6"/>
      <x:c r="P13" s="6"/>
      <x:c r="Q13" s="6"/>
      <x:c r="R13" s="6"/>
      <x:c r="S13" s="6"/>
      <x:c r="T13" s="3"/>
      <x:c r="U13" s="3"/>
      <x:c r="V13" s="3"/>
    </x:row>
    <x:row r="14" ht="28" customHeight="1">
      <x:c r="A14" s="12" t="str">
        <x:v>Proposed calculated demand</x:v>
      </x:c>
      <x:c r="B14" s="11"/>
      <x:c r="C14" s="11"/>
      <x:c r="D14" s="11"/>
      <x:c r="E14" s="11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3"/>
      <x:c r="U14" s="3"/>
      <x:c r="V14" s="3"/>
    </x:row>
    <x:row r="15" ht="30" customHeight="1">
      <x:c r="A15" s="3" t="str">
        <x:v>Mining diesel demand</x:v>
      </x:c>
      <x:c r="B15" s="3" t="str">
        <x:v>million L/year</x:v>
      </x:c>
      <x:c r="C15" s="3" t="str">
        <x:v>Proposed output</x:v>
      </x:c>
      <x:c r="D15" s="13"/>
      <x:c r="E15" s="3" t="str">
        <x:v>Baseline × activity/100 × relative intensity × remaining diesel… [N150]</x:v>
      </x:c>
      <x:c r="F15" s="26"/>
      <x:c r="G15" s="26"/>
      <x:c r="H15" s="26"/>
      <x:c r="I15" s="26"/>
      <x:c r="J15" s="26"/>
      <x:c r="K15" s="26"/>
      <x:c r="L15" s="26"/>
      <x:c r="M15" s="26"/>
      <x:c r="N15" s="26"/>
      <x:c r="O15" s="26"/>
      <x:c r="P15" s="26"/>
      <x:c r="Q15" s="26"/>
      <x:c r="R15" s="26"/>
      <x:c r="S15" s="26"/>
      <x:c r="T15" s="3"/>
      <x:c r="U15" s="3"/>
      <x:c r="V15" s="3"/>
    </x:row>
    <x:row r="16" ht="30" customHeight="1">
      <x:c r="A16" s="3" t="str">
        <x:v>Observed mining diesel</x:v>
      </x:c>
      <x:c r="B16" s="3" t="str">
        <x:v>million L/year</x:v>
      </x:c>
      <x:c r="C16" s="3" t="str">
        <x:v>Workshop input</x:v>
      </x:c>
      <x:c r="D16" s="19"/>
      <x:c r="E16" s="10" t="str">
        <x:v>Matched mining scope; separate public-road haul and process/backup uses.</x:v>
      </x:c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  <x:c r="R16" s="30"/>
      <x:c r="S16" s="30"/>
      <x:c r="T16" s="3"/>
      <x:c r="U16" s="3"/>
      <x:c r="V16" s="3"/>
    </x:row>
    <x:row r="17" ht="30" customHeight="1">
      <x:c r="A17" s="3" t="str">
        <x:v>Calculated less observed demand</x:v>
      </x:c>
      <x:c r="B17" s="3" t="str">
        <x:v>million L/year</x:v>
      </x:c>
      <x:c r="C17" s="3" t="str">
        <x:v>Proposed output</x:v>
      </x:c>
      <x:c r="D17" s="13"/>
      <x:c r="E17" s="3" t="str">
        <x:v>No numerical forecast or observed comparison until the sector… [N151]</x:v>
      </x:c>
      <x:c r="F17" s="26"/>
      <x:c r="G17" s="26"/>
      <x:c r="H17" s="26"/>
      <x:c r="I17" s="26"/>
      <x:c r="J17" s="26"/>
      <x:c r="K17" s="26"/>
      <x:c r="L17" s="26"/>
      <x:c r="M17" s="26"/>
      <x:c r="N17" s="26"/>
      <x:c r="O17" s="26"/>
      <x:c r="P17" s="26"/>
      <x:c r="Q17" s="26"/>
      <x:c r="R17" s="26"/>
      <x:c r="S17" s="26"/>
      <x:c r="T17" s="3"/>
      <x:c r="U17" s="3"/>
      <x:c r="V17" s="3"/>
    </x:row>
    <x:row r="18" ht="8" customHeight="1">
      <x:c r="A18" s="3"/>
      <x:c r="B18" s="3"/>
      <x:c r="C18" s="3"/>
      <x:c r="D18" s="3"/>
      <x:c r="E18" s="3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3"/>
      <x:c r="U18" s="3"/>
      <x:c r="V18" s="3"/>
    </x:row>
    <x:row r="19" ht="28" customHeight="1">
      <x:c r="A19" s="12" t="str">
        <x:v>Reconciliation and workshop decisions</x:v>
      </x:c>
      <x:c r="B19" s="11"/>
      <x:c r="C19" s="11"/>
      <x:c r="D19" s="11"/>
      <x:c r="E19" s="11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3"/>
      <x:c r="U19" s="3"/>
      <x:c r="V19" s="3"/>
    </x:row>
    <x:row r="20" ht="30" customHeight="1">
      <x:c r="A20" s="3" t="str">
        <x:v>Current combined model reference</x:v>
      </x:c>
      <x:c r="B20" s="3" t="str">
        <x:v>cross-reference</x:v>
      </x:c>
      <x:c r="C20" s="3" t="str">
        <x:v>Source</x:v>
      </x:c>
      <x:c r="D20" s="13"/>
      <x:c r="E20" s="3" t="str">
        <x:v>Manufacturing rows 20–24 hold the combined industrial… [N152]</x:v>
      </x:c>
      <x:c r="F20" s="26"/>
      <x:c r="G20" s="26"/>
      <x:c r="H20" s="26"/>
      <x:c r="I20" s="26"/>
      <x:c r="J20" s="26"/>
      <x:c r="K20" s="26"/>
      <x:c r="L20" s="26"/>
      <x:c r="M20" s="26"/>
      <x:c r="N20" s="26"/>
      <x:c r="O20" s="26"/>
      <x:c r="P20" s="26"/>
      <x:c r="Q20" s="26"/>
      <x:c r="R20" s="26"/>
      <x:c r="S20" s="26"/>
      <x:c r="T20" s="3"/>
      <x:c r="U20" s="3"/>
      <x:c r="V20" s="3"/>
    </x:row>
    <x:row r="21" ht="30" customHeight="1">
      <x:c r="A21" s="3" t="str">
        <x:v>Public-road freight boundary</x:v>
      </x:c>
      <x:c r="B21" s="3" t="str">
        <x:v>decision</x:v>
      </x:c>
      <x:c r="C21" s="3" t="str">
        <x:v>Workshop input</x:v>
      </x:c>
      <x:c r="D21" s="19"/>
      <x:c r="E21" s="10" t="str">
        <x:v>Mine-to-port road trucks belong to freight if already in that… [N153]</x:v>
      </x:c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  <x:c r="Q21" s="30"/>
      <x:c r="R21" s="30"/>
      <x:c r="S21" s="30"/>
      <x:c r="T21" s="3"/>
      <x:c r="U21" s="3"/>
      <x:c r="V21" s="3"/>
    </x:row>
    <x:row r="22" ht="30" customHeight="1">
      <x:c r="A22" s="3" t="str">
        <x:v>Construction and other remainder</x:v>
      </x:c>
      <x:c r="B22" s="3" t="str">
        <x:v>decision</x:v>
      </x:c>
      <x:c r="C22" s="3" t="str">
        <x:v>Workshop input</x:v>
      </x:c>
      <x:c r="D22" s="19"/>
      <x:c r="E22" s="10" t="str">
        <x:v>Reconcile the combined baseline with manufacturing, mining and… [N154]</x:v>
      </x:c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  <x:c r="Q22" s="30"/>
      <x:c r="R22" s="30"/>
      <x:c r="S22" s="30"/>
      <x:c r="T22" s="3"/>
      <x:c r="U22" s="3"/>
      <x:c r="V22" s="3"/>
    </x:row>
    <x:row r="23" ht="8" customHeight="1">
      <x:c r="A23" s="3"/>
      <x:c r="B23" s="3"/>
      <x:c r="C23" s="3"/>
      <x:c r="D23" s="3"/>
      <x:c r="E23" s="3"/>
      <x:c r="F23" s="6"/>
      <x:c r="G23" s="6"/>
      <x:c r="H23" s="6"/>
      <x:c r="I23" s="6"/>
      <x:c r="J23" s="6"/>
      <x:c r="K23" s="6"/>
      <x:c r="L23" s="6"/>
      <x:c r="M23" s="6"/>
      <x:c r="N23" s="6"/>
      <x:c r="O23" s="6"/>
      <x:c r="P23" s="6"/>
      <x:c r="Q23" s="6"/>
      <x:c r="R23" s="6"/>
      <x:c r="S23" s="6"/>
      <x:c r="T23" s="3"/>
      <x:c r="U23" s="3"/>
      <x:c r="V23" s="3"/>
    </x:row>
    <x:row r="24" ht="30" customHeight="1">
      <x:c r="A24" s="3" t="str">
        <x:v>H/M/L brackets and reference case</x:v>
      </x:c>
      <x:c r="B24" s="3" t="str">
        <x:v>decision</x:v>
      </x:c>
      <x:c r="C24" s="3" t="str">
        <x:v>Workshop input</x:v>
      </x:c>
      <x:c r="D24" s="19"/>
      <x:c r="E24" s="10" t="str">
        <x:v>Agree mining activity, intensity and electrification separately.… [N155]</x:v>
      </x:c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  <x:c r="Q24" s="30"/>
      <x:c r="R24" s="30"/>
      <x:c r="S24" s="30"/>
      <x:c r="T24" s="3"/>
      <x:c r="U24" s="3"/>
      <x:c r="V24" s="3"/>
    </x:row>
    <x:row r="25" ht="8" customHeight="1">
      <x:c r="A25" s="3"/>
      <x:c r="B25" s="3"/>
      <x:c r="C25" s="3"/>
      <x:c r="D25" s="3"/>
      <x:c r="E25" s="3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3"/>
      <x:c r="U25" s="3"/>
      <x:c r="V25" s="3"/>
    </x:row>
    <x:row r="26" ht="30" customHeight="1">
      <x:c r="A26" s="3" t="str">
        <x:v>Input source</x:v>
      </x:c>
      <x:c r="B26" s="3" t="str">
        <x:v>URL</x:v>
      </x:c>
      <x:c r="C26" s="3" t="str">
        <x:v>Source</x:v>
      </x:c>
      <x:c r="D26" s="13"/>
      <x:c r="E26" s="3" t="str">
        <x:v>https://github.com/Africa-International-Advisors/liquid_fuels_mode… [N156]</x:v>
      </x:c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3"/>
      <x:c r="U26" s="3"/>
      <x:c r="V26" s="3"/>
    </x:row>
    <x:row r="27" ht="8" customHeight="1">
      <x:c r="A27" s="3"/>
      <x:c r="B27" s="3"/>
      <x:c r="C27" s="3"/>
      <x:c r="D27" s="3"/>
      <x:c r="E27" s="3"/>
      <x:c r="F27" s="6"/>
      <x:c r="G27" s="6"/>
      <x:c r="H27" s="6"/>
      <x:c r="I27" s="6"/>
      <x:c r="J27" s="6"/>
      <x:c r="K27" s="6"/>
      <x:c r="L27" s="6"/>
      <x:c r="M27" s="6"/>
      <x:c r="N27" s="6"/>
      <x:c r="O27" s="6"/>
      <x:c r="P27" s="6"/>
      <x:c r="Q27" s="6"/>
      <x:c r="R27" s="6"/>
      <x:c r="S27" s="6"/>
      <x:c r="T27" s="3"/>
      <x:c r="U27" s="3"/>
      <x:c r="V27" s="3"/>
    </x:row>
    <x:row r="28" ht="28" customHeight="1">
      <x:c r="A28" s="12" t="str">
        <x:v>Available mining evidence</x:v>
      </x:c>
      <x:c r="B28" s="11"/>
      <x:c r="C28" s="11"/>
      <x:c r="D28" s="11"/>
      <x:c r="E28" s="11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11"/>
      <x:c r="U28" s="11"/>
      <x:c r="V28" s="11"/>
    </x:row>
    <x:row r="29" ht="30" customHeight="1">
      <x:c r="A29" s="65" t="str">
        <x:v>Mining production volume</x:v>
      </x:c>
      <x:c r="B29" s="65" t="str">
        <x:v>index 2019=100</x:v>
      </x:c>
      <x:c r="C29" s="65" t="str">
        <x:v>Staged observation</x:v>
      </x:c>
      <x:c r="D29" s="66" t="n">
        <x:f>IF(ISNUMBER('Evidence'!D31),'Evidence'!D31,"")</x:f>
        <x:v>90.6857142857143</x:v>
      </x:c>
      <x:c r="E29" s="65" t="str">
        <x:v>Arithmetic mean of all 12 monthly production indices; 2026… [N157]</x:v>
      </x:c>
      <x:c r="F29" s="67" t="n">
        <x:f>IF(ISNUMBER('Evidence'!F31),'Evidence'!F31,"")</x:f>
        <x:v>93.00833333333334</x:v>
      </x:c>
      <x:c r="G29" s="67" t="n">
        <x:f>IF(ISNUMBER('Evidence'!G31),'Evidence'!G31,"")</x:f>
        <x:v>93.01666666666667</x:v>
      </x:c>
      <x:c r="H29" s="67" t="n">
        <x:f>IF(ISNUMBER('Evidence'!H31),'Evidence'!H31,"")</x:f>
        <x:v>93.53333333333332</x:v>
      </x:c>
      <x:c r="I29" s="67" t="n">
        <x:f>IF(ISNUMBER('Evidence'!I31),'Evidence'!I31,"")</x:f>
        <x:v>93.70833333333333</x:v>
      </x:c>
      <x:c r="J29" s="67" t="str">
        <x:f>IF(ISNUMBER('Evidence'!J31),'Evidence'!J31,"")</x:f>
      </x:c>
      <x:c r="K29" s="67" t="str">
        <x:f>IF(ISNUMBER('Evidence'!K31),'Evidence'!K31,"")</x:f>
      </x:c>
      <x:c r="L29" s="67" t="str">
        <x:f>IF(ISNUMBER('Evidence'!L31),'Evidence'!L31,"")</x:f>
      </x:c>
      <x:c r="M29" s="67" t="str">
        <x:f>IF(ISNUMBER('Evidence'!M31),'Evidence'!M31,"")</x:f>
      </x:c>
      <x:c r="N29" s="67" t="str">
        <x:f>IF(ISNUMBER('Evidence'!N31),'Evidence'!N31,"")</x:f>
      </x:c>
      <x:c r="O29" s="67" t="str">
        <x:f>IF(ISNUMBER('Evidence'!O31),'Evidence'!O31,"")</x:f>
      </x:c>
      <x:c r="P29" s="67" t="str">
        <x:f>IF(ISNUMBER('Evidence'!P31),'Evidence'!P31,"")</x:f>
      </x:c>
      <x:c r="Q29" s="67" t="str">
        <x:f>IF(ISNUMBER('Evidence'!Q31),'Evidence'!Q31,"")</x:f>
      </x:c>
      <x:c r="R29" s="67" t="str">
        <x:f>IF(ISNUMBER('Evidence'!R31),'Evidence'!R31,"")</x:f>
      </x:c>
      <x:c r="S29" s="67" t="str">
        <x:f>IF(ISNUMBER('Evidence'!S31),'Evidence'!S31,"")</x:f>
      </x:c>
      <x:c r="T29" s="3" t="str">
        <x:v>Unreviewed source extract; annual cells contain… [N158]</x:v>
      </x:c>
      <x:c r="U29" s="3" t="str">
        <x:v>Evidence row 31;… [N159]</x:v>
      </x:c>
      <x:c r="V29" s="3" t="str">
        <x:v>G07: test commodity output versus material… [N160]</x:v>
      </x:c>
    </x:row>
    <x:row r="30" ht="30" customHeight="1">
      <x:c r="A30" s="65" t="str">
        <x:v>Mining/quarrying real GVA</x:v>
      </x:c>
      <x:c r="B30" s="65" t="str">
        <x:v>bn 2015 ZAR</x:v>
      </x:c>
      <x:c r="C30" s="65" t="str">
        <x:v>Staged observation</x:v>
      </x:c>
      <x:c r="D30" s="66" t="str">
        <x:f>IF(ISNUMBER('Evidence'!D28),'Evidence'!D28,"")</x:f>
      </x:c>
      <x:c r="E30" s="65" t="str">
        <x:v>Stats SA annual actual in staged reporting copy. Sector value… [N161]</x:v>
      </x:c>
      <x:c r="F30" s="67" t="n">
        <x:f>IF(ISNUMBER('Evidence'!F28),'Evidence'!F28,"")</x:f>
        <x:v>204.4529227196744</x:v>
      </x:c>
      <x:c r="G30" s="67" t="n">
        <x:f>IF(ISNUMBER('Evidence'!G28),'Evidence'!G28,"")</x:f>
        <x:v>204.22869996627372</x:v>
      </x:c>
      <x:c r="H30" s="67" t="n">
        <x:f>IF(ISNUMBER('Evidence'!H28),'Evidence'!H28,"")</x:f>
        <x:v>205.1258295918731</x:v>
      </x:c>
      <x:c r="I30" s="67" t="n">
        <x:f>IF(ISNUMBER('Evidence'!I28),'Evidence'!I28,"")</x:f>
        <x:v>205.46488601425733</x:v>
      </x:c>
      <x:c r="J30" s="67" t="str">
        <x:f>IF(ISNUMBER('Evidence'!J28),'Evidence'!J28,"")</x:f>
      </x:c>
      <x:c r="K30" s="67" t="str">
        <x:f>IF(ISNUMBER('Evidence'!K28),'Evidence'!K28,"")</x:f>
      </x:c>
      <x:c r="L30" s="67" t="str">
        <x:f>IF(ISNUMBER('Evidence'!L28),'Evidence'!L28,"")</x:f>
      </x:c>
      <x:c r="M30" s="67" t="str">
        <x:f>IF(ISNUMBER('Evidence'!M28),'Evidence'!M28,"")</x:f>
      </x:c>
      <x:c r="N30" s="67" t="str">
        <x:f>IF(ISNUMBER('Evidence'!N28),'Evidence'!N28,"")</x:f>
      </x:c>
      <x:c r="O30" s="67" t="str">
        <x:f>IF(ISNUMBER('Evidence'!O28),'Evidence'!O28,"")</x:f>
      </x:c>
      <x:c r="P30" s="67" t="str">
        <x:f>IF(ISNUMBER('Evidence'!P28),'Evidence'!P28,"")</x:f>
      </x:c>
      <x:c r="Q30" s="67" t="str">
        <x:f>IF(ISNUMBER('Evidence'!Q28),'Evidence'!Q28,"")</x:f>
      </x:c>
      <x:c r="R30" s="67" t="str">
        <x:f>IF(ISNUMBER('Evidence'!R28),'Evidence'!R28,"")</x:f>
      </x:c>
      <x:c r="S30" s="67" t="str">
        <x:f>IF(ISNUMBER('Evidence'!S28),'Evidence'!S28,"")</x:f>
      </x:c>
      <x:c r="T30" s="3" t="str">
        <x:v>Unreviewed source extract; annual cells contain… [N162]</x:v>
      </x:c>
      <x:c r="U30" s="3" t="str">
        <x:v>Evidence row 28;… [N163]</x:v>
      </x:c>
      <x:c r="V30" s="3" t="str">
        <x:v>G07: alternative activity proxy; do not multiply… [N164]</x:v>
      </x:c>
    </x:row>
    <x:row r="31" ht="30" customHeight="1">
      <x:c r="A31" s="65" t="str">
        <x:v>2021 mining/quarrying diesel</x:v>
      </x:c>
      <x:c r="B31" s="65" t="str">
        <x:v>million L/year</x:v>
      </x:c>
      <x:c r="C31" s="65" t="str">
        <x:v>Staged observation</x:v>
      </x:c>
      <x:c r="D31" s="66" t="n">
        <x:f>IF(ISNUMBER('Evidence'!D42),'Evidence'!D42,"")</x:f>
        <x:v>1293.81342</x:v>
      </x:c>
      <x:c r="E31" s="65" t="str">
        <x:v>D is a 2021 anchor. Not a 2022 observation or approved starting assumption.</x:v>
      </x:c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3" t="str">
        <x:v>Source fuel use available only through 2021.</x:v>
      </x:c>
      <x:c r="U31" s="3" t="str">
        <x:v>https://github.com/Africa-International-Advisors/liq… [N165]</x:v>
      </x:c>
      <x:c r="V31" s="3" t="str">
        <x:v>G07: verify machinery/haulage/backup boundaries and… [N166]</x:v>
      </x:c>
    </x:row>
    <x:row r="32" ht="8" customHeight="1">
      <x:c r="A32" s="3"/>
      <x:c r="B32" s="3"/>
      <x:c r="C32" s="3"/>
      <x:c r="D32" s="3"/>
      <x:c r="E32" s="3"/>
      <x:c r="F32" s="6"/>
      <x:c r="G32" s="6"/>
      <x:c r="H32" s="6"/>
      <x:c r="I32" s="6"/>
      <x:c r="J32" s="6"/>
      <x:c r="K32" s="6"/>
      <x:c r="L32" s="6"/>
      <x:c r="M32" s="6"/>
      <x:c r="N32" s="6"/>
      <x:c r="O32" s="6"/>
      <x:c r="P32" s="6"/>
      <x:c r="Q32" s="6"/>
      <x:c r="R32" s="6"/>
      <x:c r="S32" s="6"/>
      <x:c r="T32" s="3"/>
      <x:c r="U32" s="3"/>
      <x:c r="V32" s="3"/>
    </x:row>
    <x:row r="33" ht="8" customHeight="1">
      <x:c r="A33" s="3"/>
      <x:c r="B33" s="3"/>
      <x:c r="C33" s="3"/>
      <x:c r="D33" s="3"/>
      <x:c r="E33" s="3"/>
      <x:c r="F33" s="6"/>
      <x:c r="G33" s="6"/>
      <x:c r="H33" s="6"/>
      <x:c r="I33" s="6"/>
      <x:c r="J33" s="6"/>
      <x:c r="K33" s="6"/>
      <x:c r="L33" s="6"/>
      <x:c r="M33" s="6"/>
      <x:c r="N33" s="6"/>
      <x:c r="O33" s="6"/>
      <x:c r="P33" s="6"/>
      <x:c r="Q33" s="6"/>
      <x:c r="R33" s="6"/>
      <x:c r="S33" s="6"/>
      <x:c r="T33" s="3"/>
      <x:c r="U33" s="3"/>
      <x:c r="V33" s="3"/>
    </x:row>
    <x:row r="34" ht="8" customHeight="1">
      <x:c r="A34" s="3"/>
      <x:c r="B34" s="3"/>
      <x:c r="C34" s="3"/>
      <x:c r="D34" s="3"/>
      <x:c r="E34" s="3"/>
      <x:c r="F34" s="6"/>
      <x:c r="G34" s="6"/>
      <x:c r="H34" s="6"/>
      <x:c r="I34" s="6"/>
      <x:c r="J34" s="6"/>
      <x:c r="K34" s="6"/>
      <x:c r="L34" s="6"/>
      <x:c r="M34" s="6"/>
      <x:c r="N34" s="6"/>
      <x:c r="O34" s="6"/>
      <x:c r="P34" s="6"/>
      <x:c r="Q34" s="6"/>
      <x:c r="R34" s="6"/>
      <x:c r="S34" s="6"/>
      <x:c r="T34" s="3"/>
      <x:c r="U34" s="3"/>
      <x:c r="V34" s="3"/>
    </x:row>
    <x:row r="35" ht="8" customHeight="1">
      <x:c r="A35" s="3"/>
      <x:c r="B35" s="3"/>
      <x:c r="C35" s="3"/>
      <x:c r="D35" s="3"/>
      <x:c r="E35" s="3"/>
      <x:c r="F35" s="6"/>
      <x:c r="G35" s="6"/>
      <x:c r="H35" s="6"/>
      <x:c r="I35" s="6"/>
      <x:c r="J35" s="6"/>
      <x:c r="K35" s="6"/>
      <x:c r="L35" s="6"/>
      <x:c r="M35" s="6"/>
      <x:c r="N35" s="6"/>
      <x:c r="O35" s="6"/>
      <x:c r="P35" s="6"/>
      <x:c r="Q35" s="6"/>
      <x:c r="R35" s="6"/>
      <x:c r="S35" s="6"/>
      <x:c r="T35" s="3"/>
      <x:c r="U35" s="3"/>
      <x:c r="V35" s="3"/>
    </x:row>
    <x:row r="36" ht="8" customHeight="1">
      <x:c r="A36" s="102"/>
      <x:c r="B36" s="102"/>
      <x:c r="C36" s="102"/>
      <x:c r="D36" s="102"/>
      <x:c r="E36" s="102"/>
      <x:c r="F36" s="104"/>
      <x:c r="G36" s="104"/>
      <x:c r="H36" s="104"/>
      <x:c r="I36" s="104"/>
      <x:c r="J36" s="104"/>
      <x:c r="K36" s="104"/>
      <x:c r="L36" s="104"/>
      <x:c r="M36" s="104"/>
      <x:c r="N36" s="104"/>
      <x:c r="O36" s="104"/>
      <x:c r="P36" s="104"/>
      <x:c r="Q36" s="104"/>
      <x:c r="R36" s="104"/>
      <x:c r="S36" s="104"/>
      <x:c r="T36" s="3"/>
      <x:c r="U36" s="3"/>
      <x:c r="V36" s="3"/>
    </x:row>
    <x:row r="37" ht="8" customHeight="1">
      <x:c r="A37" s="102"/>
      <x:c r="B37" s="102"/>
      <x:c r="C37" s="102"/>
      <x:c r="D37" s="102"/>
      <x:c r="E37" s="102"/>
      <x:c r="F37" s="104"/>
      <x:c r="G37" s="104"/>
      <x:c r="H37" s="104"/>
      <x:c r="I37" s="104"/>
      <x:c r="J37" s="104"/>
      <x:c r="K37" s="104"/>
      <x:c r="L37" s="104"/>
      <x:c r="M37" s="104"/>
      <x:c r="N37" s="104"/>
      <x:c r="O37" s="104"/>
      <x:c r="P37" s="104"/>
      <x:c r="Q37" s="104"/>
      <x:c r="R37" s="104"/>
      <x:c r="S37" s="104"/>
      <x:c r="T37" s="3"/>
      <x:c r="U37" s="3"/>
      <x:c r="V37" s="3"/>
    </x:row>
    <x:row r="38" ht="8" customHeight="1">
      <x:c r="A38" s="102"/>
      <x:c r="B38" s="102"/>
      <x:c r="C38" s="102"/>
      <x:c r="D38" s="102"/>
      <x:c r="E38" s="102"/>
      <x:c r="F38" s="104"/>
      <x:c r="G38" s="104"/>
      <x:c r="H38" s="104"/>
      <x:c r="I38" s="104"/>
      <x:c r="J38" s="104"/>
      <x:c r="K38" s="104"/>
      <x:c r="L38" s="104"/>
      <x:c r="M38" s="104"/>
      <x:c r="N38" s="104"/>
      <x:c r="O38" s="104"/>
      <x:c r="P38" s="104"/>
      <x:c r="Q38" s="104"/>
      <x:c r="R38" s="104"/>
      <x:c r="S38" s="104"/>
      <x:c r="T38" s="3"/>
      <x:c r="U38" s="3"/>
      <x:c r="V38" s="3"/>
    </x:row>
    <x:row r="39" ht="8" customHeight="1">
      <x:c r="A39" s="102"/>
      <x:c r="B39" s="102"/>
      <x:c r="C39" s="102"/>
      <x:c r="D39" s="102"/>
      <x:c r="E39" s="102"/>
      <x:c r="F39" s="104"/>
      <x:c r="G39" s="104"/>
      <x:c r="H39" s="104"/>
      <x:c r="I39" s="104"/>
      <x:c r="J39" s="104"/>
      <x:c r="K39" s="104"/>
      <x:c r="L39" s="104"/>
      <x:c r="M39" s="104"/>
      <x:c r="N39" s="104"/>
      <x:c r="O39" s="104"/>
      <x:c r="P39" s="104"/>
      <x:c r="Q39" s="104"/>
      <x:c r="R39" s="104"/>
      <x:c r="S39" s="104"/>
      <x:c r="T39" s="3"/>
      <x:c r="U39" s="3"/>
      <x:c r="V39" s="3"/>
    </x:row>
    <x:row r="40" ht="8" customHeight="1">
      <x:c r="A40" s="102"/>
      <x:c r="B40" s="102"/>
      <x:c r="C40" s="102"/>
      <x:c r="D40" s="102"/>
      <x:c r="E40" s="102"/>
      <x:c r="F40" s="104"/>
      <x:c r="G40" s="104"/>
      <x:c r="H40" s="104"/>
      <x:c r="I40" s="104"/>
      <x:c r="J40" s="104"/>
      <x:c r="K40" s="104"/>
      <x:c r="L40" s="104"/>
      <x:c r="M40" s="104"/>
      <x:c r="N40" s="104"/>
      <x:c r="O40" s="104"/>
      <x:c r="P40" s="104"/>
      <x:c r="Q40" s="104"/>
      <x:c r="R40" s="104"/>
      <x:c r="S40" s="104"/>
      <x:c r="T40" s="3"/>
      <x:c r="U40" s="3"/>
      <x:c r="V40" s="3"/>
    </x:row>
    <x:row r="41" ht="8" customHeight="1">
      <x:c r="A41" s="102"/>
      <x:c r="B41" s="102"/>
      <x:c r="C41" s="102"/>
      <x:c r="D41" s="102"/>
      <x:c r="E41" s="102"/>
      <x:c r="F41" s="104"/>
      <x:c r="G41" s="104"/>
      <x:c r="H41" s="104"/>
      <x:c r="I41" s="104"/>
      <x:c r="J41" s="104"/>
      <x:c r="K41" s="104"/>
      <x:c r="L41" s="104"/>
      <x:c r="M41" s="104"/>
      <x:c r="N41" s="104"/>
      <x:c r="O41" s="104"/>
      <x:c r="P41" s="104"/>
      <x:c r="Q41" s="104"/>
      <x:c r="R41" s="104"/>
      <x:c r="S41" s="104"/>
      <x:c r="T41" s="3"/>
      <x:c r="U41" s="3"/>
      <x:c r="V41" s="3"/>
    </x:row>
    <x:row r="42" ht="8" customHeight="1">
      <x:c r="A42" s="102"/>
      <x:c r="B42" s="102"/>
      <x:c r="C42" s="102"/>
      <x:c r="D42" s="102"/>
      <x:c r="E42" s="102"/>
      <x:c r="F42" s="104"/>
      <x:c r="G42" s="104"/>
      <x:c r="H42" s="104"/>
      <x:c r="I42" s="104"/>
      <x:c r="J42" s="104"/>
      <x:c r="K42" s="104"/>
      <x:c r="L42" s="104"/>
      <x:c r="M42" s="104"/>
      <x:c r="N42" s="104"/>
      <x:c r="O42" s="104"/>
      <x:c r="P42" s="104"/>
      <x:c r="Q42" s="104"/>
      <x:c r="R42" s="104"/>
      <x:c r="S42" s="104"/>
      <x:c r="T42" s="3"/>
      <x:c r="U42" s="3"/>
      <x:c r="V42" s="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8.1299991607666" hidden="0" customWidth="1"/>
    <x:col min="2" max="2" width="12.5" hidden="0" customWidth="1"/>
    <x:col min="3" max="3" width="15.630000114440918" hidden="0" customWidth="1"/>
    <x:col min="4" max="4" width="15" hidden="0" customWidth="1"/>
    <x:col min="5" max="5" width="40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31.8799991607666" hidden="0" customWidth="1"/>
    <x:col min="21" max="21" width="36.25" hidden="0" customWidth="1"/>
    <x:col min="22" max="22" width="36.25" hidden="0" customWidth="1"/>
  </x:cols>
  <x:sheetData>
    <x:row r="1" ht="25" customHeight="1">
      <x:c r="A1" s="5" t="str">
        <x:v>Power, aviation and marine demand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1" customHeight="1">
      <x:c r="A2" s="6" t="str">
        <x:v>Current engine inputs and available observations • Partial periods and fiscal years remain explicit.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30" customHeight="1">
      <x:c r="A4" s="9" t="str">
        <x:v>Driver / output</x:v>
      </x:c>
      <x:c r="B4" s="9" t="str">
        <x:v>Unit</x:v>
      </x:c>
      <x:c r="C4" s="9" t="str">
        <x:v>Role</x:v>
      </x:c>
      <x:c r="D4" s="9" t="str">
        <x:v>Scalar / latest value</x:v>
      </x:c>
      <x:c r="E4" s="9" t="str">
        <x:v>Definition / period</x:v>
      </x:c>
      <x:c r="F4" s="9" t="n">
        <x:v>2022</x:v>
      </x:c>
      <x:c r="G4" s="9" t="n">
        <x:v>2023</x:v>
      </x:c>
      <x:c r="H4" s="9" t="n">
        <x:v>2024</x:v>
      </x:c>
      <x:c r="I4" s="9" t="n">
        <x:v>2025</x:v>
      </x:c>
      <x:c r="J4" s="9" t="n">
        <x:v>2026</x:v>
      </x:c>
      <x:c r="K4" s="9" t="n">
        <x:v>2027</x:v>
      </x:c>
      <x:c r="L4" s="9" t="n">
        <x:v>2028</x:v>
      </x:c>
      <x:c r="M4" s="9" t="n">
        <x:v>2029</x:v>
      </x:c>
      <x:c r="N4" s="9" t="n">
        <x:v>2030</x:v>
      </x:c>
      <x:c r="O4" s="9" t="n">
        <x:v>2031</x:v>
      </x:c>
      <x:c r="P4" s="9" t="n">
        <x:v>2032</x:v>
      </x:c>
      <x:c r="Q4" s="9" t="n">
        <x:v>2033</x:v>
      </x:c>
      <x:c r="R4" s="9" t="n">
        <x:v>2034</x:v>
      </x:c>
      <x:c r="S4" s="9" t="n">
        <x:v>2035</x:v>
      </x:c>
      <x:c r="T4" s="9" t="str">
        <x:v>Coverage / status</x:v>
      </x:c>
      <x:c r="U4" s="9" t="str">
        <x:v>Source</x:v>
      </x:c>
      <x:c r="V4" s="9" t="str">
        <x:v>Missing evidence / next action</x:v>
      </x:c>
    </x:row>
    <x:row r="5" ht="28" customHeight="1">
      <x:c r="A5" s="12" t="str">
        <x:v>Power-generation diesel</x:v>
      </x:c>
      <x:c r="B5" s="11"/>
      <x:c r="C5" s="11"/>
      <x:c r="D5" s="11"/>
      <x:c r="E5" s="11"/>
      <x:c r="F5" s="25"/>
      <x:c r="G5" s="25"/>
      <x:c r="H5" s="25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11"/>
      <x:c r="U5" s="11"/>
      <x:c r="V5" s="11"/>
    </x:row>
    <x:row r="6" ht="30" customHeight="1">
      <x:c r="A6" s="65" t="str">
        <x:v>Eskom OCGT generation</x:v>
      </x:c>
      <x:c r="B6" s="65" t="str">
        <x:v>GWh / financial year</x:v>
      </x:c>
      <x:c r="C6" s="65" t="str">
        <x:v>Staged observation</x:v>
      </x:c>
      <x:c r="D6" s="66" t="str">
        <x:f>IF(ISNUMBER('Evidence'!D34),'Evidence'!D34,"")</x:f>
      </x:c>
      <x:c r="E6" s="65" t="str">
        <x:v>Full financial year ending 31 March in the column year. Not… [N167]</x:v>
      </x:c>
      <x:c r="F6" s="67" t="n">
        <x:f>IF(ISNUMBER('Evidence'!F34),'Evidence'!F34,"")</x:f>
        <x:v>1826</x:v>
      </x:c>
      <x:c r="G6" s="67" t="n">
        <x:f>IF(ISNUMBER('Evidence'!G34),'Evidence'!G34,"")</x:f>
        <x:v>3018</x:v>
      </x:c>
      <x:c r="H6" s="67" t="n">
        <x:f>IF(ISNUMBER('Evidence'!H34),'Evidence'!H34,"")</x:f>
        <x:v>3634</x:v>
      </x:c>
      <x:c r="I6" s="67" t="n">
        <x:f>IF(ISNUMBER('Evidence'!I34),'Evidence'!I34,"")</x:f>
        <x:v>2176</x:v>
      </x:c>
      <x:c r="J6" s="67" t="n">
        <x:f>IF(ISNUMBER('Evidence'!J34),'Evidence'!J34,"")</x:f>
        <x:v>811</x:v>
      </x:c>
      <x:c r="K6" s="67" t="str">
        <x:f>IF(ISNUMBER('Evidence'!K34),'Evidence'!K34,"")</x:f>
      </x:c>
      <x:c r="L6" s="67" t="str">
        <x:f>IF(ISNUMBER('Evidence'!L34),'Evidence'!L34,"")</x:f>
      </x:c>
      <x:c r="M6" s="67" t="str">
        <x:f>IF(ISNUMBER('Evidence'!M34),'Evidence'!M34,"")</x:f>
      </x:c>
      <x:c r="N6" s="67" t="str">
        <x:f>IF(ISNUMBER('Evidence'!N34),'Evidence'!N34,"")</x:f>
      </x:c>
      <x:c r="O6" s="67" t="str">
        <x:f>IF(ISNUMBER('Evidence'!O34),'Evidence'!O34,"")</x:f>
      </x:c>
      <x:c r="P6" s="67" t="str">
        <x:f>IF(ISNUMBER('Evidence'!P34),'Evidence'!P34,"")</x:f>
      </x:c>
      <x:c r="Q6" s="67" t="str">
        <x:f>IF(ISNUMBER('Evidence'!Q34),'Evidence'!Q34,"")</x:f>
      </x:c>
      <x:c r="R6" s="67" t="str">
        <x:f>IF(ISNUMBER('Evidence'!R34),'Evidence'!R34,"")</x:f>
      </x:c>
      <x:c r="S6" s="67" t="str">
        <x:f>IF(ISNUMBER('Evidence'!S34),'Evidence'!S34,"")</x:f>
      </x:c>
      <x:c r="T6" s="3" t="str">
        <x:v>Unreviewed source extract; annual cells contain… [N168]</x:v>
      </x:c>
      <x:c r="U6" s="3" t="str">
        <x:v>Evidence row 34;… [N169]</x:v>
      </x:c>
      <x:c r="V6" s="3" t="str">
        <x:v>G09: source matched litres and convert FY evidence… [N170]</x:v>
      </x:c>
    </x:row>
    <x:row r="7" ht="30" customHeight="1">
      <x:c r="A7" s="65" t="str">
        <x:v>IPP OCGT generation</x:v>
      </x:c>
      <x:c r="B7" s="65" t="str">
        <x:v>GWh / financial year</x:v>
      </x:c>
      <x:c r="C7" s="65" t="str">
        <x:v>Staged observation</x:v>
      </x:c>
      <x:c r="D7" s="66" t="str">
        <x:f>IF(ISNUMBER('Evidence'!D35),'Evidence'!D35,"")</x:f>
      </x:c>
      <x:c r="E7" s="65" t="str">
        <x:v>Full financial year ending 31 March in the column year. Not… [N171]</x:v>
      </x:c>
      <x:c r="F7" s="67" t="str">
        <x:f>IF(ISNUMBER('Evidence'!F35),'Evidence'!F35,"")</x:f>
      </x:c>
      <x:c r="G7" s="67" t="n">
        <x:f>IF(ISNUMBER('Evidence'!G35),'Evidence'!G35,"")</x:f>
        <x:v>1098</x:v>
      </x:c>
      <x:c r="H7" s="67" t="n">
        <x:f>IF(ISNUMBER('Evidence'!H35),'Evidence'!H35,"")</x:f>
        <x:v>1509</x:v>
      </x:c>
      <x:c r="I7" s="67" t="n">
        <x:f>IF(ISNUMBER('Evidence'!I35),'Evidence'!I35,"")</x:f>
        <x:v>662</x:v>
      </x:c>
      <x:c r="J7" s="67" t="n">
        <x:f>IF(ISNUMBER('Evidence'!J35),'Evidence'!J35,"")</x:f>
        <x:v>268</x:v>
      </x:c>
      <x:c r="K7" s="67" t="str">
        <x:f>IF(ISNUMBER('Evidence'!K35),'Evidence'!K35,"")</x:f>
      </x:c>
      <x:c r="L7" s="67" t="str">
        <x:f>IF(ISNUMBER('Evidence'!L35),'Evidence'!L35,"")</x:f>
      </x:c>
      <x:c r="M7" s="67" t="str">
        <x:f>IF(ISNUMBER('Evidence'!M35),'Evidence'!M35,"")</x:f>
      </x:c>
      <x:c r="N7" s="67" t="str">
        <x:f>IF(ISNUMBER('Evidence'!N35),'Evidence'!N35,"")</x:f>
      </x:c>
      <x:c r="O7" s="67" t="str">
        <x:f>IF(ISNUMBER('Evidence'!O35),'Evidence'!O35,"")</x:f>
      </x:c>
      <x:c r="P7" s="67" t="str">
        <x:f>IF(ISNUMBER('Evidence'!P35),'Evidence'!P35,"")</x:f>
      </x:c>
      <x:c r="Q7" s="67" t="str">
        <x:f>IF(ISNUMBER('Evidence'!Q35),'Evidence'!Q35,"")</x:f>
      </x:c>
      <x:c r="R7" s="67" t="str">
        <x:f>IF(ISNUMBER('Evidence'!R35),'Evidence'!R35,"")</x:f>
      </x:c>
      <x:c r="S7" s="67" t="str">
        <x:f>IF(ISNUMBER('Evidence'!S35),'Evidence'!S35,"")</x:f>
      </x:c>
      <x:c r="T7" s="3" t="str">
        <x:v>Unreviewed source extract; annual cells contain… [N172]</x:v>
      </x:c>
      <x:c r="U7" s="3" t="str">
        <x:v>Evidence row 35;… [N173]</x:v>
      </x:c>
      <x:c r="V7" s="3" t="str">
        <x:v>G09: match plant set and fuel-burn evidence.</x:v>
      </x:c>
    </x:row>
    <x:row r="8" ht="30" customHeight="1">
      <x:c r="A8" s="65" t="str">
        <x:v>Combined OCGT generation</x:v>
      </x:c>
      <x:c r="B8" s="65" t="str">
        <x:v>GWh / financial year</x:v>
      </x:c>
      <x:c r="C8" s="65" t="str">
        <x:v>Staged observation</x:v>
      </x:c>
      <x:c r="D8" s="66" t="str">
        <x:f>IF(ISNUMBER('Evidence'!D36),'Evidence'!D36,"")</x:f>
      </x:c>
      <x:c r="E8" s="65" t="str">
        <x:v>Full financial year ending 31 March in the column year. Not… [N174]</x:v>
      </x:c>
      <x:c r="F8" s="67" t="str">
        <x:f>IF(ISNUMBER('Evidence'!F36),'Evidence'!F36,"")</x:f>
      </x:c>
      <x:c r="G8" s="67" t="n">
        <x:f>IF(ISNUMBER('Evidence'!G36),'Evidence'!G36,"")</x:f>
        <x:v>4116</x:v>
      </x:c>
      <x:c r="H8" s="67" t="n">
        <x:f>IF(ISNUMBER('Evidence'!H36),'Evidence'!H36,"")</x:f>
        <x:v>5143</x:v>
      </x:c>
      <x:c r="I8" s="67" t="n">
        <x:f>IF(ISNUMBER('Evidence'!I36),'Evidence'!I36,"")</x:f>
        <x:v>2838</x:v>
      </x:c>
      <x:c r="J8" s="67" t="n">
        <x:f>IF(ISNUMBER('Evidence'!J36),'Evidence'!J36,"")</x:f>
        <x:v>1079</x:v>
      </x:c>
      <x:c r="K8" s="67" t="str">
        <x:f>IF(ISNUMBER('Evidence'!K36),'Evidence'!K36,"")</x:f>
      </x:c>
      <x:c r="L8" s="67" t="str">
        <x:f>IF(ISNUMBER('Evidence'!L36),'Evidence'!L36,"")</x:f>
      </x:c>
      <x:c r="M8" s="67" t="str">
        <x:f>IF(ISNUMBER('Evidence'!M36),'Evidence'!M36,"")</x:f>
      </x:c>
      <x:c r="N8" s="67" t="str">
        <x:f>IF(ISNUMBER('Evidence'!N36),'Evidence'!N36,"")</x:f>
      </x:c>
      <x:c r="O8" s="67" t="str">
        <x:f>IF(ISNUMBER('Evidence'!O36),'Evidence'!O36,"")</x:f>
      </x:c>
      <x:c r="P8" s="67" t="str">
        <x:f>IF(ISNUMBER('Evidence'!P36),'Evidence'!P36,"")</x:f>
      </x:c>
      <x:c r="Q8" s="67" t="str">
        <x:f>IF(ISNUMBER('Evidence'!Q36),'Evidence'!Q36,"")</x:f>
      </x:c>
      <x:c r="R8" s="67" t="str">
        <x:f>IF(ISNUMBER('Evidence'!R36),'Evidence'!R36,"")</x:f>
      </x:c>
      <x:c r="S8" s="67" t="str">
        <x:f>IF(ISNUMBER('Evidence'!S36),'Evidence'!S36,"")</x:f>
      </x:c>
      <x:c r="T8" s="3" t="str">
        <x:v>Unreviewed source extract; annual cells contain… [N175]</x:v>
      </x:c>
      <x:c r="U8" s="3" t="str">
        <x:v>Evidence row 36;… [N176]</x:v>
      </x:c>
      <x:c r="V8" s="3" t="str">
        <x:v>Comparison total only; do not add to Eskom + IPP again.</x:v>
      </x:c>
    </x:row>
    <x:row r="9" ht="30" customHeight="1">
      <x:c r="A9" s="65" t="str">
        <x:v>Current engine load factor</x:v>
      </x:c>
      <x:c r="B9" s="65" t="str">
        <x:v>share</x:v>
      </x:c>
      <x:c r="C9" s="65" t="str">
        <x:v>Current input</x:v>
      </x:c>
      <x:c r="D9" s="66"/>
      <x:c r="E9" s="65" t="str">
        <x:v>Legacy scenario path. Not measured dispatch.</x:v>
      </x:c>
      <x:c r="F9" s="75" t="n">
        <x:f>IF(ISNUMBER('Model run'!F37),'Model run'!F37,"")</x:f>
        <x:v>0.45</x:v>
      </x:c>
      <x:c r="G9" s="75" t="n">
        <x:f>IF(ISNUMBER('Model run'!G37),'Model run'!G37,"")</x:f>
        <x:v>0.5603</x:v>
      </x:c>
      <x:c r="H9" s="75" t="n">
        <x:f>IF(ISNUMBER('Model run'!H37),'Model run'!H37,"")</x:f>
        <x:v>0.5456</x:v>
      </x:c>
      <x:c r="I9" s="75" t="n">
        <x:f>IF(ISNUMBER('Model run'!I37),'Model run'!I37,"")</x:f>
        <x:v>0.626</x:v>
      </x:c>
      <x:c r="J9" s="75" t="n">
        <x:f>IF(ISNUMBER('Model run'!J37),'Model run'!J37,"")</x:f>
        <x:v>0.7</x:v>
      </x:c>
      <x:c r="K9" s="75" t="n">
        <x:f>IF(ISNUMBER('Model run'!K37),'Model run'!K37,"")</x:f>
        <x:v>0.71</x:v>
      </x:c>
      <x:c r="L9" s="75" t="n">
        <x:f>IF(ISNUMBER('Model run'!L37),'Model run'!L37,"")</x:f>
        <x:v>0.7</x:v>
      </x:c>
      <x:c r="M9" s="75" t="n">
        <x:f>IF(ISNUMBER('Model run'!M37),'Model run'!M37,"")</x:f>
        <x:v>0.7</x:v>
      </x:c>
      <x:c r="N9" s="75" t="n">
        <x:f>IF(ISNUMBER('Model run'!N37),'Model run'!N37,"")</x:f>
        <x:v>0.7</x:v>
      </x:c>
      <x:c r="O9" s="75" t="n">
        <x:f>IF(ISNUMBER('Model run'!O37),'Model run'!O37,"")</x:f>
        <x:v>0.7</x:v>
      </x:c>
      <x:c r="P9" s="75" t="n">
        <x:f>IF(ISNUMBER('Model run'!P37),'Model run'!P37,"")</x:f>
        <x:v>0.7</x:v>
      </x:c>
      <x:c r="Q9" s="75" t="n">
        <x:f>IF(ISNUMBER('Model run'!Q37),'Model run'!Q37,"")</x:f>
        <x:v>0.7</x:v>
      </x:c>
      <x:c r="R9" s="75" t="n">
        <x:f>IF(ISNUMBER('Model run'!R37),'Model run'!R37,"")</x:f>
        <x:v>0.7</x:v>
      </x:c>
      <x:c r="S9" s="75" t="n">
        <x:f>IF(ISNUMBER('Model run'!S37),'Model run'!S37,"")</x:f>
        <x:v>0.7</x:v>
      </x:c>
      <x:c r="T9" s="3" t="str">
        <x:v>Current high_demand input.</x:v>
      </x:c>
      <x:c r="U9" s="3" t="str">
        <x:v>https://github.com/Africa-International-Advisors/liq… [N177]</x:v>
      </x:c>
      <x:c r="V9" s="3" t="str">
        <x:v>G09: calibrate against operating generation and plant scope.</x:v>
      </x:c>
    </x:row>
    <x:row r="10" ht="30" customHeight="1">
      <x:c r="A10" s="65" t="str">
        <x:v>Current thermal efficiency</x:v>
      </x:c>
      <x:c r="B10" s="65" t="str">
        <x:v>share</x:v>
      </x:c>
      <x:c r="C10" s="65" t="str">
        <x:v>Current scalar</x:v>
      </x:c>
      <x:c r="D10" s="76" t="n">
        <x:f>IF(ISNUMBER('Model run'!D38),'Model run'!D38,"")</x:f>
        <x:v>0.4</x:v>
      </x:c>
      <x:c r="E10" s="65" t="str">
        <x:v>Fraction of fuel energy converted to electricity.</x:v>
      </x:c>
      <x:c r="F10" s="67"/>
      <x:c r="G10" s="67"/>
      <x:c r="H10" s="67"/>
      <x:c r="I10" s="67"/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3" t="str">
        <x:v>Legacy input.</x:v>
      </x:c>
      <x:c r="U10" s="3" t="str">
        <x:v>https://github.com/Africa-International-Advisors/liq… [N178]</x:v>
      </x:c>
      <x:c r="V10" s="3" t="str">
        <x:v>Review conversion with matched plant data.</x:v>
      </x:c>
    </x:row>
    <x:row r="11" ht="30" customHeight="1">
      <x:c r="A11" s="65" t="str">
        <x:v>Diesel energy content</x:v>
      </x:c>
      <x:c r="B11" s="65" t="str">
        <x:v>MJ/L</x:v>
      </x:c>
      <x:c r="C11" s="65" t="str">
        <x:v>Current scalar</x:v>
      </x:c>
      <x:c r="D11" s="66" t="n">
        <x:f>IF(ISNUMBER('Model run'!D39),'Model run'!D39,"")</x:f>
        <x:v>36.9</x:v>
      </x:c>
      <x:c r="E11" s="65" t="str">
        <x:v>Current engine conversion input.</x:v>
      </x:c>
      <x:c r="F11" s="67"/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3" t="str">
        <x:v>Legacy input.</x:v>
      </x:c>
      <x:c r="U11" s="3" t="str">
        <x:v>https://github.com/Africa-International-Advisors/liq… [N179]</x:v>
      </x:c>
      <x:c r="V11" s="3" t="str">
        <x:v>Verify product and unit basis.</x:v>
      </x:c>
    </x:row>
    <x:row r="12" ht="30" customHeight="1">
      <x:c r="A12" s="16" t="str">
        <x:v>Current OCGT diesel demand</x:v>
      </x:c>
      <x:c r="B12" s="16" t="str">
        <x:v>million L/year</x:v>
      </x:c>
      <x:c r="C12" s="16" t="str">
        <x:v>Model output</x:v>
      </x:c>
      <x:c r="D12" s="18"/>
      <x:c r="E12" s="16" t="str">
        <x:v>Calendar-year model output; do not directly tie to FY generation… [N180]</x:v>
      </x:c>
      <x:c r="F12" s="29" t="n">
        <x:f>IF(ISNUMBER('Model run'!F40),'Model run'!F40,"")</x:f>
        <x:v>2953.615609756098</x:v>
      </x:c>
      <x:c r="G12" s="29" t="n">
        <x:f>IF(ISNUMBER('Model run'!G40),'Model run'!G40,"")</x:f>
        <x:v>3677.579613658537</x:v>
      </x:c>
      <x:c r="H12" s="29" t="n">
        <x:f>IF(ISNUMBER('Model run'!H40),'Model run'!H40,"")</x:f>
        <x:v>3581.0948370731703</x:v>
      </x:c>
      <x:c r="I12" s="29" t="n">
        <x:f>IF(ISNUMBER('Model run'!I40),'Model run'!I40,"")</x:f>
        <x:v>4108.807492682927</x:v>
      </x:c>
      <x:c r="J12" s="29" t="n">
        <x:f>IF(ISNUMBER('Model run'!J40),'Model run'!J40,"")</x:f>
        <x:v>4594.513170731708</x:v>
      </x:c>
      <x:c r="K12" s="29" t="n">
        <x:f>IF(ISNUMBER('Model run'!K40),'Model run'!K40,"")</x:f>
        <x:v>4660.149073170731</x:v>
      </x:c>
      <x:c r="L12" s="29" t="n">
        <x:f>IF(ISNUMBER('Model run'!L40),'Model run'!L40,"")</x:f>
        <x:v>4594.513170731708</x:v>
      </x:c>
      <x:c r="M12" s="29" t="n">
        <x:f>IF(ISNUMBER('Model run'!M40),'Model run'!M40,"")</x:f>
        <x:v>4594.513170731708</x:v>
      </x:c>
      <x:c r="N12" s="29" t="n">
        <x:f>IF(ISNUMBER('Model run'!N40),'Model run'!N40,"")</x:f>
        <x:v>4594.513170731708</x:v>
      </x:c>
      <x:c r="O12" s="29" t="n">
        <x:f>IF(ISNUMBER('Model run'!O40),'Model run'!O40,"")</x:f>
        <x:v>4594.513170731708</x:v>
      </x:c>
      <x:c r="P12" s="29" t="n">
        <x:f>IF(ISNUMBER('Model run'!P40),'Model run'!P40,"")</x:f>
        <x:v>4594.513170731708</x:v>
      </x:c>
      <x:c r="Q12" s="29" t="n">
        <x:f>IF(ISNUMBER('Model run'!Q40),'Model run'!Q40,"")</x:f>
        <x:v>4594.513170731708</x:v>
      </x:c>
      <x:c r="R12" s="29" t="n">
        <x:f>IF(ISNUMBER('Model run'!R40),'Model run'!R40,"")</x:f>
        <x:v>4594.513170731708</x:v>
      </x:c>
      <x:c r="S12" s="29" t="n">
        <x:f>IF(ISNUMBER('Model run'!S40),'Model run'!S40,"")</x:f>
        <x:v>4594.513170731708</x:v>
      </x:c>
      <x:c r="T12" s="3" t="str">
        <x:v>2026 vintage; current high_demand case; provisional.</x:v>
      </x:c>
      <x:c r="U12" s="3" t="str">
        <x:v>https://github.com/Africa-International-Advisors/liq… [N181]</x:v>
      </x:c>
      <x:c r="V12" s="3" t="str">
        <x:v>Validate inputs and reconcile against observed data.</x:v>
      </x:c>
    </x:row>
    <x:row r="13" ht="30" customHeight="1">
      <x:c r="A13" s="10" t="str">
        <x:v>Private backup diesel baseline</x:v>
      </x:c>
      <x:c r="B13" s="10" t="str">
        <x:v>million L/year</x:v>
      </x:c>
      <x:c r="C13" s="10" t="str">
        <x:v>Missing input</x:v>
      </x:c>
      <x:c r="D13" s="19"/>
      <x:c r="E13" s="10" t="str">
        <x:v>No separate observed litres established. Some may already be in… [N182]</x:v>
      </x:c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  <x:c r="R13" s="30"/>
      <x:c r="S13" s="30"/>
      <x:c r="T13" s="3" t="str">
        <x:v>Missing coverage and calibration.</x:v>
      </x:c>
      <x:c r="U13" s="3" t="str"/>
      <x:c r="V13" s="3" t="str">
        <x:v>G09: source dispatch/fuel observations and sector overlap.</x:v>
      </x:c>
    </x:row>
    <x:row r="14" ht="8" customHeight="1">
      <x:c r="A14" s="3"/>
      <x:c r="B14" s="3"/>
      <x:c r="C14" s="3"/>
      <x:c r="D14" s="3"/>
      <x:c r="E14" s="3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3"/>
      <x:c r="U14" s="3"/>
      <x:c r="V14" s="3"/>
    </x:row>
    <x:row r="15" ht="8" customHeight="1">
      <x:c r="A15" s="3"/>
      <x:c r="B15" s="3"/>
      <x:c r="C15" s="3"/>
      <x:c r="D15" s="3"/>
      <x:c r="E15" s="3"/>
      <x:c r="F15" s="6"/>
      <x:c r="G15" s="6"/>
      <x:c r="H15" s="6"/>
      <x:c r="I15" s="6"/>
      <x:c r="J15" s="6"/>
      <x:c r="K15" s="6"/>
      <x:c r="L15" s="6"/>
      <x:c r="M15" s="6"/>
      <x:c r="N15" s="6"/>
      <x:c r="O15" s="6"/>
      <x:c r="P15" s="6"/>
      <x:c r="Q15" s="6"/>
      <x:c r="R15" s="6"/>
      <x:c r="S15" s="6"/>
      <x:c r="T15" s="3"/>
      <x:c r="U15" s="3"/>
      <x:c r="V15" s="3"/>
    </x:row>
    <x:row r="16" ht="28" customHeight="1">
      <x:c r="A16" s="12" t="str">
        <x:v>Jet aviation</x:v>
      </x:c>
      <x:c r="B16" s="11"/>
      <x:c r="C16" s="11"/>
      <x:c r="D16" s="11"/>
      <x:c r="E16" s="11"/>
      <x:c r="F16" s="25"/>
      <x:c r="G16" s="25"/>
      <x:c r="H16" s="25"/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11"/>
      <x:c r="U16" s="11"/>
      <x:c r="V16" s="11"/>
    </x:row>
    <x:row r="17" ht="30" customHeight="1">
      <x:c r="A17" s="65" t="str">
        <x:v>ACSA aircraft departures</x:v>
      </x:c>
      <x:c r="B17" s="65" t="str">
        <x:v>departures</x:v>
      </x:c>
      <x:c r="C17" s="65" t="str">
        <x:v>Staged observation</x:v>
      </x:c>
      <x:c r="D17" s="66" t="n">
        <x:f>IF(ISNUMBER('Evidence'!D38),'Evidence'!D38,"")</x:f>
        <x:v>155688</x:v>
      </x:c>
      <x:c r="E17" s="65" t="str">
        <x:v>ACSA departures only; sums monthly total-flight rows without… [N183]</x:v>
      </x:c>
      <x:c r="F17" s="67" t="n">
        <x:f>IF(ISNUMBER('Evidence'!F38),'Evidence'!F38,"")</x:f>
        <x:v>207504</x:v>
      </x:c>
      <x:c r="G17" s="67" t="n">
        <x:f>IF(ISNUMBER('Evidence'!G38),'Evidence'!G38,"")</x:f>
        <x:v>225422</x:v>
      </x:c>
      <x:c r="H17" s="67" t="n">
        <x:f>IF(ISNUMBER('Evidence'!H38),'Evidence'!H38,"")</x:f>
        <x:v>227773</x:v>
      </x:c>
      <x:c r="I17" s="67" t="n">
        <x:f>IF(ISNUMBER('Evidence'!I38),'Evidence'!I38,"")</x:f>
        <x:v>230996</x:v>
      </x:c>
      <x:c r="J17" s="67" t="str">
        <x:f>IF(ISNUMBER('Evidence'!J38),'Evidence'!J38,"")</x:f>
      </x:c>
      <x:c r="K17" s="67" t="str">
        <x:f>IF(ISNUMBER('Evidence'!K38),'Evidence'!K38,"")</x:f>
      </x:c>
      <x:c r="L17" s="67" t="str">
        <x:f>IF(ISNUMBER('Evidence'!L38),'Evidence'!L38,"")</x:f>
      </x:c>
      <x:c r="M17" s="67" t="str">
        <x:f>IF(ISNUMBER('Evidence'!M38),'Evidence'!M38,"")</x:f>
      </x:c>
      <x:c r="N17" s="67" t="str">
        <x:f>IF(ISNUMBER('Evidence'!N38),'Evidence'!N38,"")</x:f>
      </x:c>
      <x:c r="O17" s="67" t="str">
        <x:f>IF(ISNUMBER('Evidence'!O38),'Evidence'!O38,"")</x:f>
      </x:c>
      <x:c r="P17" s="67" t="str">
        <x:f>IF(ISNUMBER('Evidence'!P38),'Evidence'!P38,"")</x:f>
      </x:c>
      <x:c r="Q17" s="67" t="str">
        <x:f>IF(ISNUMBER('Evidence'!Q38),'Evidence'!Q38,"")</x:f>
      </x:c>
      <x:c r="R17" s="67" t="str">
        <x:f>IF(ISNUMBER('Evidence'!R38),'Evidence'!R38,"")</x:f>
      </x:c>
      <x:c r="S17" s="67" t="str">
        <x:f>IF(ISNUMBER('Evidence'!S38),'Evidence'!S38,"")</x:f>
      </x:c>
      <x:c r="T17" s="3" t="str">
        <x:v>Unreviewed source extract; annual cells contain… [N184]</x:v>
      </x:c>
      <x:c r="U17" s="3" t="str">
        <x:v>Evidence row 38;… [N185]</x:v>
      </x:c>
      <x:c r="V17" s="3" t="str">
        <x:v>G10: fit movements to jet uplift, aircraft/route… [N186]</x:v>
      </x:c>
    </x:row>
    <x:row r="18" ht="30" customHeight="1">
      <x:c r="A18" s="65" t="str">
        <x:v>ACSA passenger departures</x:v>
      </x:c>
      <x:c r="B18" s="65" t="str">
        <x:v>departures</x:v>
      </x:c>
      <x:c r="C18" s="65" t="str">
        <x:v>Staged observation</x:v>
      </x:c>
      <x:c r="D18" s="66" t="n">
        <x:f>IF(ISNUMBER('Evidence'!D37),'Evidence'!D37,"")</x:f>
        <x:v>13249170</x:v>
      </x:c>
      <x:c r="E18" s="65" t="str">
        <x:v>ACSA departures only; sums monthly total-flight rows without… [N187]</x:v>
      </x:c>
      <x:c r="F18" s="67" t="n">
        <x:f>IF(ISNUMBER('Evidence'!F37),'Evidence'!F37,"")</x:f>
        <x:v>14986458</x:v>
      </x:c>
      <x:c r="G18" s="67" t="n">
        <x:f>IF(ISNUMBER('Evidence'!G37),'Evidence'!G37,"")</x:f>
        <x:v>17846377</x:v>
      </x:c>
      <x:c r="H18" s="67" t="n">
        <x:f>IF(ISNUMBER('Evidence'!H37),'Evidence'!H37,"")</x:f>
        <x:v>18785364</x:v>
      </x:c>
      <x:c r="I18" s="67" t="n">
        <x:f>IF(ISNUMBER('Evidence'!I37),'Evidence'!I37,"")</x:f>
        <x:v>20197976</x:v>
      </x:c>
      <x:c r="J18" s="67" t="str">
        <x:f>IF(ISNUMBER('Evidence'!J37),'Evidence'!J37,"")</x:f>
      </x:c>
      <x:c r="K18" s="67" t="str">
        <x:f>IF(ISNUMBER('Evidence'!K37),'Evidence'!K37,"")</x:f>
      </x:c>
      <x:c r="L18" s="67" t="str">
        <x:f>IF(ISNUMBER('Evidence'!L37),'Evidence'!L37,"")</x:f>
      </x:c>
      <x:c r="M18" s="67" t="str">
        <x:f>IF(ISNUMBER('Evidence'!M37),'Evidence'!M37,"")</x:f>
      </x:c>
      <x:c r="N18" s="67" t="str">
        <x:f>IF(ISNUMBER('Evidence'!N37),'Evidence'!N37,"")</x:f>
      </x:c>
      <x:c r="O18" s="67" t="str">
        <x:f>IF(ISNUMBER('Evidence'!O37),'Evidence'!O37,"")</x:f>
      </x:c>
      <x:c r="P18" s="67" t="str">
        <x:f>IF(ISNUMBER('Evidence'!P37),'Evidence'!P37,"")</x:f>
      </x:c>
      <x:c r="Q18" s="67" t="str">
        <x:f>IF(ISNUMBER('Evidence'!Q37),'Evidence'!Q37,"")</x:f>
      </x:c>
      <x:c r="R18" s="67" t="str">
        <x:f>IF(ISNUMBER('Evidence'!R37),'Evidence'!R37,"")</x:f>
      </x:c>
      <x:c r="S18" s="67" t="str">
        <x:f>IF(ISNUMBER('Evidence'!S37),'Evidence'!S37,"")</x:f>
      </x:c>
      <x:c r="T18" s="3" t="str">
        <x:v>Unreviewed source extract; annual cells contain… [N188]</x:v>
      </x:c>
      <x:c r="U18" s="3" t="str">
        <x:v>Evidence row 37;… [N189]</x:v>
      </x:c>
      <x:c r="V18" s="3" t="str">
        <x:v>G10: match legacy passenger input coverage and periods.</x:v>
      </x:c>
    </x:row>
    <x:row r="19" ht="30" customHeight="1">
      <x:c r="A19" s="65" t="str">
        <x:v>Current engine passenger departures</x:v>
      </x:c>
      <x:c r="B19" s="65" t="str">
        <x:v>passengers/year</x:v>
      </x:c>
      <x:c r="C19" s="65" t="str">
        <x:v>Current input</x:v>
      </x:c>
      <x:c r="D19" s="66"/>
      <x:c r="E19" s="65" t="str">
        <x:v>Legacy regression driver; separate from new ACSA observations.</x:v>
      </x:c>
      <x:c r="F19" s="67" t="n">
        <x:f>IF(ISNUMBER('Model run'!F41),'Model run'!F41,"")</x:f>
        <x:v>15813215</x:v>
      </x:c>
      <x:c r="G19" s="67" t="n">
        <x:f>IF(ISNUMBER('Model run'!G41),'Model run'!G41,"")</x:f>
        <x:v>17730490.28571429</x:v>
      </x:c>
      <x:c r="H19" s="67" t="n">
        <x:f>IF(ISNUMBER('Model run'!H41),'Model run'!H41,"")</x:f>
        <x:v>17000000</x:v>
      </x:c>
      <x:c r="I19" s="67" t="n">
        <x:f>IF(ISNUMBER('Model run'!I41),'Model run'!I41,"")</x:f>
        <x:v>19000000</x:v>
      </x:c>
      <x:c r="J19" s="67" t="n">
        <x:f>IF(ISNUMBER('Model run'!J41),'Model run'!J41,"")</x:f>
        <x:v>21000000.000000004</x:v>
      </x:c>
      <x:c r="K19" s="67" t="n">
        <x:f>IF(ISNUMBER('Model run'!K41),'Model run'!K41,"")</x:f>
        <x:v>22366222.610112537</x:v>
      </x:c>
      <x:c r="L19" s="67" t="n">
        <x:f>IF(ISNUMBER('Model run'!L41),'Model run'!L41,"")</x:f>
        <x:v>23832226.837557185</x:v>
      </x:c>
      <x:c r="M19" s="67" t="n">
        <x:f>IF(ISNUMBER('Model run'!M41),'Model run'!M41,"")</x:f>
        <x:v>25394320.978455253</x:v>
      </x:c>
      <x:c r="N19" s="67" t="n">
        <x:f>IF(ISNUMBER('Model run'!N41),'Model run'!N41,"")</x:f>
        <x:v>27058803.28986128</x:v>
      </x:c>
      <x:c r="O19" s="67" t="n">
        <x:f>IF(ISNUMBER('Model run'!O41),'Model run'!O41,"")</x:f>
        <x:v>28832384.85095128</x:v>
      </x:c>
      <x:c r="P19" s="67" t="n">
        <x:f>IF(ISNUMBER('Model run'!P41),'Model run'!P41,"")</x:f>
        <x:v>30722216.62163636</x:v>
      </x:c>
      <x:c r="Q19" s="67" t="n">
        <x:f>IF(ISNUMBER('Model run'!Q41),'Model run'!Q41,"")</x:f>
        <x:v>32735918.27474543</x:v>
      </x:c>
      <x:c r="R19" s="67" t="n">
        <x:f>IF(ISNUMBER('Model run'!R41),'Model run'!R41,"")</x:f>
        <x:v>34881608.91802647</x:v>
      </x:c>
      <x:c r="S19" s="67" t="n">
        <x:f>IF(ISNUMBER('Model run'!S41),'Model run'!S41,"")</x:f>
        <x:v>37167939.829835296</x:v>
      </x:c>
      <x:c r="T19" s="3" t="str">
        <x:v>Historical/forecast legacy path.</x:v>
      </x:c>
      <x:c r="U19" s="3" t="str">
        <x:v>https://github.com/Africa-International-Advisors/liq… [N190]</x:v>
      </x:c>
      <x:c r="V19" s="3" t="str">
        <x:v>Fit proposed movement-based model before replacing… [N191]</x:v>
      </x:c>
    </x:row>
    <x:row r="20" ht="30" customHeight="1">
      <x:c r="A20" s="16" t="str">
        <x:v>Current jet demand</x:v>
      </x:c>
      <x:c r="B20" s="16" t="str">
        <x:v>million L/year</x:v>
      </x:c>
      <x:c r="C20" s="16" t="str">
        <x:v>Model output</x:v>
      </x:c>
      <x:c r="D20" s="18"/>
      <x:c r="E20" s="16" t="str">
        <x:v>Legacy two-driver regression.</x:v>
      </x:c>
      <x:c r="F20" s="29" t="n">
        <x:f>IF(ISNUMBER('Model run'!F42),'Model run'!F42,"")</x:f>
        <x:v>1591.8858428493238</x:v>
      </x:c>
      <x:c r="G20" s="29" t="n">
        <x:f>IF(ISNUMBER('Model run'!G42),'Model run'!G42,"")</x:f>
        <x:v>1742.4582410972894</x:v>
      </x:c>
      <x:c r="H20" s="29" t="n">
        <x:f>IF(ISNUMBER('Model run'!H42),'Model run'!H42,"")</x:f>
        <x:v>1601.4445392936807</x:v>
      </x:c>
      <x:c r="I20" s="29" t="n">
        <x:f>IF(ISNUMBER('Model run'!I42),'Model run'!I42,"")</x:f>
        <x:v>1666.18717411699</x:v>
      </x:c>
      <x:c r="J20" s="29" t="n">
        <x:f>IF(ISNUMBER('Model run'!J42),'Model run'!J42,"")</x:f>
        <x:v>1910.5953913375338</x:v>
      </x:c>
      <x:c r="K20" s="29" t="n">
        <x:f>IF(ISNUMBER('Model run'!K42),'Model run'!K42,"")</x:f>
        <x:v>2110.7993713158958</x:v>
      </x:c>
      <x:c r="L20" s="29" t="n">
        <x:f>IF(ISNUMBER('Model run'!L42),'Model run'!L42,"")</x:f>
        <x:v>2325.3309977696317</x:v>
      </x:c>
      <x:c r="M20" s="29" t="n">
        <x:f>IF(ISNUMBER('Model run'!M42),'Model run'!M42,"")</x:f>
        <x:v>2553.4002922223585</x:v>
      </x:c>
      <x:c r="N20" s="29" t="n">
        <x:f>IF(ISNUMBER('Model run'!N42),'Model run'!N42,"")</x:f>
        <x:v>2794.854880612478</x:v>
      </x:c>
      <x:c r="O20" s="29" t="n">
        <x:f>IF(ISNUMBER('Model run'!O42),'Model run'!O42,"")</x:f>
        <x:v>3045.7871405131723</x:v>
      </x:c>
      <x:c r="P20" s="29" t="n">
        <x:f>IF(ISNUMBER('Model run'!P42),'Model run'!P42,"")</x:f>
        <x:v>3306.773129599316</x:v>
      </x:c>
      <x:c r="Q20" s="29" t="n">
        <x:f>IF(ISNUMBER('Model run'!Q42),'Model run'!Q42,"")</x:f>
        <x:v>3578.426342257959</x:v>
      </x:c>
      <x:c r="R20" s="29" t="n">
        <x:f>IF(ISNUMBER('Model run'!R42),'Model run'!R42,"")</x:f>
        <x:v>3861.400161109434</x:v>
      </x:c>
      <x:c r="S20" s="29" t="n">
        <x:f>IF(ISNUMBER('Model run'!S42),'Model run'!S42,"")</x:f>
        <x:v>4156.390469198261</x:v>
      </x:c>
      <x:c r="T20" s="3" t="str">
        <x:v>2026 vintage; current high_demand case; provisional.</x:v>
      </x:c>
      <x:c r="U20" s="3" t="str">
        <x:v>https://github.com/Africa-International-Advisors/liq… [N192]</x:v>
      </x:c>
      <x:c r="V20" s="3" t="str">
        <x:v>Validate inputs and reconcile against observed data.</x:v>
      </x:c>
    </x:row>
    <x:row r="21" ht="30" customHeight="1">
      <x:c r="A21" s="65" t="str">
        <x:v>Reported jet sales — FIASA</x:v>
      </x:c>
      <x:c r="B21" s="65" t="str">
        <x:v>million L/year</x:v>
      </x:c>
      <x:c r="C21" s="65" t="str">
        <x:v>Staged observation</x:v>
      </x:c>
      <x:c r="D21" s="66" t="str">
        <x:f>IF(ISNUMBER('Evidence'!D9),'Evidence'!D9,"")</x:f>
      </x:c>
      <x:c r="E21" s="65" t="str">
        <x:v>FIASA staged reported sales; latest edition selected by existing… [N193]</x:v>
      </x:c>
      <x:c r="F21" s="67" t="n">
        <x:f>IF(ISNUMBER('Evidence'!F9),'Evidence'!F9,"")</x:f>
        <x:v>1478</x:v>
      </x:c>
      <x:c r="G21" s="67" t="n">
        <x:f>IF(ISNUMBER('Evidence'!G9),'Evidence'!G9,"")</x:f>
        <x:v>1844</x:v>
      </x:c>
      <x:c r="H21" s="67" t="n">
        <x:f>IF(ISNUMBER('Evidence'!H9),'Evidence'!H9,"")</x:f>
        <x:v>1955</x:v>
      </x:c>
      <x:c r="I21" s="67" t="str">
        <x:f>IF(ISNUMBER('Evidence'!I9),'Evidence'!I9,"")</x:f>
      </x:c>
      <x:c r="J21" s="67" t="str">
        <x:f>IF(ISNUMBER('Evidence'!J9),'Evidence'!J9,"")</x:f>
      </x:c>
      <x:c r="K21" s="67" t="str">
        <x:f>IF(ISNUMBER('Evidence'!K9),'Evidence'!K9,"")</x:f>
      </x:c>
      <x:c r="L21" s="67" t="str">
        <x:f>IF(ISNUMBER('Evidence'!L9),'Evidence'!L9,"")</x:f>
      </x:c>
      <x:c r="M21" s="67" t="str">
        <x:f>IF(ISNUMBER('Evidence'!M9),'Evidence'!M9,"")</x:f>
      </x:c>
      <x:c r="N21" s="67" t="str">
        <x:f>IF(ISNUMBER('Evidence'!N9),'Evidence'!N9,"")</x:f>
      </x:c>
      <x:c r="O21" s="67" t="str">
        <x:f>IF(ISNUMBER('Evidence'!O9),'Evidence'!O9,"")</x:f>
      </x:c>
      <x:c r="P21" s="67" t="str">
        <x:f>IF(ISNUMBER('Evidence'!P9),'Evidence'!P9,"")</x:f>
      </x:c>
      <x:c r="Q21" s="67" t="str">
        <x:f>IF(ISNUMBER('Evidence'!Q9),'Evidence'!Q9,"")</x:f>
      </x:c>
      <x:c r="R21" s="67" t="str">
        <x:f>IF(ISNUMBER('Evidence'!R9),'Evidence'!R9,"")</x:f>
      </x:c>
      <x:c r="S21" s="67" t="str">
        <x:f>IF(ISNUMBER('Evidence'!S9),'Evidence'!S9,"")</x:f>
      </x:c>
      <x:c r="T21" s="3" t="str">
        <x:v>Unreviewed source extract; annual cells contain… [N194]</x:v>
      </x:c>
      <x:c r="U21" s="3" t="str">
        <x:v>Evidence row 9; assumptions/2026/timeseries/fuel_sales_fiasa.csv</x:v>
      </x:c>
      <x:c r="V21" s="3" t="str">
        <x:v>G10: match fuel product, airport/airline and… [N195]</x:v>
      </x:c>
    </x:row>
    <x:row r="22" ht="30" customHeight="1">
      <x:c r="A22" s="65" t="str">
        <x:v>Legacy jet regression intercept</x:v>
      </x:c>
      <x:c r="B22" s="65" t="str">
        <x:v>L/year</x:v>
      </x:c>
      <x:c r="C22" s="65" t="str">
        <x:v>Current scalar</x:v>
      </x:c>
      <x:c r="D22" s="66" t="n">
        <x:f>IF(ISNUMBER('Model run'!D43),'Model run'!D43,"")</x:f>
        <x:v>-14746408795.767437</x:v>
      </x:c>
      <x:c r="E22" s="65" t="str">
        <x:v>Jet = intercept + GDP/capita coefficient × GDP/capita + passenger… [N196]</x:v>
      </x:c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3" t="str">
        <x:v>Legacy fit; not refitted.</x:v>
      </x:c>
      <x:c r="U22" s="3" t="str">
        <x:v>https://github.com/Africa-International-Advisors/liq… [N197]</x:v>
      </x:c>
      <x:c r="V22" s="3" t="str">
        <x:v>Review model and unit basis.</x:v>
      </x:c>
    </x:row>
    <x:row r="23" ht="30" customHeight="1">
      <x:c r="A23" s="65" t="str">
        <x:v>GDP/capita coefficient</x:v>
      </x:c>
      <x:c r="B23" s="65" t="str">
        <x:v>L per ZAR/person</x:v>
      </x:c>
      <x:c r="C23" s="65" t="str">
        <x:v>Current scalar</x:v>
      </x:c>
      <x:c r="D23" s="66" t="n">
        <x:f>IF(ISNUMBER('Model run'!D44),'Model run'!D44,"")</x:f>
        <x:v>196334.9338396717</x:v>
      </x:c>
      <x:c r="E23" s="65" t="str">
        <x:v>Used with current macro path.</x:v>
      </x:c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3" t="str">
        <x:v>Legacy fit.</x:v>
      </x:c>
      <x:c r="U23" s="3" t="str">
        <x:v>https://github.com/Africa-International-Advisors/liq… [N198]</x:v>
      </x:c>
      <x:c r="V23" s="3" t="str">
        <x:v>Validate driver overlap and fit.</x:v>
      </x:c>
    </x:row>
    <x:row r="24" ht="30" customHeight="1">
      <x:c r="A24" s="65" t="str">
        <x:v>Passenger coefficient</x:v>
      </x:c>
      <x:c r="B24" s="65" t="str">
        <x:v>L per departure</x:v>
      </x:c>
      <x:c r="C24" s="65" t="str">
        <x:v>Current scalar</x:v>
      </x:c>
      <x:c r="D24" s="66" t="n">
        <x:f>IF(ISNUMBER('Model run'!D45),'Model run'!D45,"")</x:f>
        <x:v>79.78786549099274</x:v>
      </x:c>
      <x:c r="E24" s="65" t="str">
        <x:v>Passenger departure basis.</x:v>
      </x:c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3" t="str">
        <x:v>Legacy fit.</x:v>
      </x:c>
      <x:c r="U24" s="3" t="str">
        <x:v>https://github.com/Africa-International-Advisors/liq… [N199]</x:v>
      </x:c>
      <x:c r="V24" s="3" t="str">
        <x:v>Refit using matched aircraft and fuel data.</x:v>
      </x:c>
    </x:row>
    <x:row r="25" ht="8" customHeight="1">
      <x:c r="A25" s="3"/>
      <x:c r="B25" s="3"/>
      <x:c r="C25" s="3"/>
      <x:c r="D25" s="3"/>
      <x:c r="E25" s="3"/>
      <x:c r="F25" s="6"/>
      <x:c r="G25" s="6"/>
      <x:c r="H25" s="6"/>
      <x:c r="I25" s="6"/>
      <x:c r="J25" s="6"/>
      <x:c r="K25" s="6"/>
      <x:c r="L25" s="6"/>
      <x:c r="M25" s="6"/>
      <x:c r="N25" s="6"/>
      <x:c r="O25" s="6"/>
      <x:c r="P25" s="6"/>
      <x:c r="Q25" s="6"/>
      <x:c r="R25" s="6"/>
      <x:c r="S25" s="6"/>
      <x:c r="T25" s="3"/>
      <x:c r="U25" s="3"/>
      <x:c r="V25" s="3"/>
    </x:row>
    <x:row r="26" ht="8" customHeight="1">
      <x:c r="A26" s="3"/>
      <x:c r="B26" s="3"/>
      <x:c r="C26" s="3"/>
      <x:c r="D26" s="3"/>
      <x:c r="E26" s="3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3"/>
      <x:c r="U26" s="3"/>
      <x:c r="V26" s="3"/>
    </x:row>
    <x:row r="27" ht="28" customHeight="1">
      <x:c r="A27" s="12" t="str">
        <x:v>Marine demand</x:v>
      </x:c>
      <x:c r="B27" s="11"/>
      <x:c r="C27" s="11"/>
      <x:c r="D27" s="11"/>
      <x:c r="E27" s="11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11"/>
      <x:c r="U27" s="11"/>
      <x:c r="V27" s="11"/>
    </x:row>
    <x:row r="28" ht="30" customHeight="1">
      <x:c r="A28" s="65" t="str">
        <x:v>durban provisional port baseline</x:v>
      </x:c>
      <x:c r="B28" s="65" t="str">
        <x:v>million L/year</x:v>
      </x:c>
      <x:c r="C28" s="65" t="str">
        <x:v>Current scalar</x:v>
      </x:c>
      <x:c r="D28" s="66" t="n">
        <x:f>IF(ISNUMBER('Model run'!D46),'Model run'!D46,"")</x:f>
        <x:v>1500</x:v>
      </x:c>
      <x:c r="E28" s="65" t="str">
        <x:v>Current 2024 placeholder; not measured port bunkering.</x:v>
      </x:c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3" t="str">
        <x:v>Provisional held baseline.</x:v>
      </x:c>
      <x:c r="U28" s="3" t="str">
        <x:v>https://github.com/Africa-International-Advisors/liq… [N200]</x:v>
      </x:c>
      <x:c r="V28" s="3" t="str">
        <x:v>G12: source annual port/product bunker deliveries.</x:v>
      </x:c>
    </x:row>
    <x:row r="29" ht="30" customHeight="1">
      <x:c r="A29" s="65" t="str">
        <x:v>cape_town provisional port baseline</x:v>
      </x:c>
      <x:c r="B29" s="65" t="str">
        <x:v>million L/year</x:v>
      </x:c>
      <x:c r="C29" s="65" t="str">
        <x:v>Current scalar</x:v>
      </x:c>
      <x:c r="D29" s="66" t="n">
        <x:f>IF(ISNUMBER('Model run'!D47),'Model run'!D47,"")</x:f>
        <x:v>500</x:v>
      </x:c>
      <x:c r="E29" s="65" t="str">
        <x:v>Current 2024 placeholder; not measured port bunkering.</x:v>
      </x:c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3" t="str">
        <x:v>Provisional held baseline.</x:v>
      </x:c>
      <x:c r="U29" s="3" t="str">
        <x:v>https://github.com/Africa-International-Advisors/liq… [N201]</x:v>
      </x:c>
      <x:c r="V29" s="3" t="str">
        <x:v>G12: source annual port/product bunker deliveries.</x:v>
      </x:c>
    </x:row>
    <x:row r="30" ht="30" customHeight="1">
      <x:c r="A30" s="65" t="str">
        <x:v>saldanha provisional port baseline</x:v>
      </x:c>
      <x:c r="B30" s="65" t="str">
        <x:v>million L/year</x:v>
      </x:c>
      <x:c r="C30" s="65" t="str">
        <x:v>Current scalar</x:v>
      </x:c>
      <x:c r="D30" s="66" t="n">
        <x:f>IF(ISNUMBER('Model run'!D48),'Model run'!D48,"")</x:f>
        <x:v>200</x:v>
      </x:c>
      <x:c r="E30" s="65" t="str">
        <x:v>Current 2024 placeholder; not measured port bunkering.</x:v>
      </x:c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3" t="str">
        <x:v>Provisional held baseline.</x:v>
      </x:c>
      <x:c r="U30" s="3" t="str">
        <x:v>https://github.com/Africa-International-Advisors/liq… [N202]</x:v>
      </x:c>
      <x:c r="V30" s="3" t="str">
        <x:v>G12: source annual port/product bunker deliveries.</x:v>
      </x:c>
    </x:row>
    <x:row r="31" ht="30" customHeight="1">
      <x:c r="A31" s="65" t="str">
        <x:v>Marine GDP/capita elasticity</x:v>
      </x:c>
      <x:c r="B31" s="65" t="str">
        <x:v>dimensionless</x:v>
      </x:c>
      <x:c r="C31" s="65" t="str">
        <x:v>Current scalar</x:v>
      </x:c>
      <x:c r="D31" s="66" t="n">
        <x:f>IF(ISNUMBER('Model run'!D49),'Model run'!D49,"")</x:f>
        <x:v>0.4</x:v>
      </x:c>
      <x:c r="E31" s="65" t="str">
        <x:v>Current proxy response.</x:v>
      </x:c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3" t="str">
        <x:v>Provisional.</x:v>
      </x:c>
      <x:c r="U31" s="3" t="str">
        <x:v>https://github.com/Africa-International-Advisors/liq… [N203]</x:v>
      </x:c>
      <x:c r="V31" s="3" t="str">
        <x:v>Replace/test against vessel/port activity.</x:v>
      </x:c>
    </x:row>
    <x:row r="32" ht="30" customHeight="1">
      <x:c r="A32" s="65" t="str">
        <x:v>Marine fuel-oil share</x:v>
      </x:c>
      <x:c r="B32" s="65" t="str">
        <x:v>share</x:v>
      </x:c>
      <x:c r="C32" s="65" t="str">
        <x:v>Current scalar</x:v>
      </x:c>
      <x:c r="D32" s="76" t="n">
        <x:f>IF(ISNUMBER('Model run'!D50),'Model run'!D50,"")</x:f>
        <x:v>0.65</x:v>
      </x:c>
      <x:c r="E32" s="65" t="str">
        <x:v>One provisional split across ports.</x:v>
      </x:c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3" t="str">
        <x:v>Not port-specific.</x:v>
      </x:c>
      <x:c r="U32" s="3" t="str">
        <x:v>https://github.com/Africa-International-Advisors/liq… [N204]</x:v>
      </x:c>
      <x:c r="V32" s="3" t="str">
        <x:v>G12: source product shares.</x:v>
      </x:c>
    </x:row>
    <x:row r="33" ht="30" customHeight="1">
      <x:c r="A33" s="65" t="str">
        <x:v>Marine diesel share</x:v>
      </x:c>
      <x:c r="B33" s="65" t="str">
        <x:v>share</x:v>
      </x:c>
      <x:c r="C33" s="65" t="str">
        <x:v>Current scalar</x:v>
      </x:c>
      <x:c r="D33" s="76" t="n">
        <x:f>IF(ISNUMBER('Model run'!D51),'Model run'!D51,"")</x:f>
        <x:v>0.35</x:v>
      </x:c>
      <x:c r="E33" s="65" t="str">
        <x:v>Diesel_500ppm; part of total diesel comparison.</x:v>
      </x:c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3" t="str">
        <x:v>Not port-specific.</x:v>
      </x:c>
      <x:c r="U33" s="3" t="str">
        <x:v>https://github.com/Africa-International-Advisors/liq… [N205]</x:v>
      </x:c>
      <x:c r="V33" s="3" t="str">
        <x:v>G12: reconcile domestic and international bunkers.</x:v>
      </x:c>
    </x:row>
    <x:row r="34" ht="30" customHeight="1">
      <x:c r="A34" s="16" t="str">
        <x:v>Marine diesel demand</x:v>
      </x:c>
      <x:c r="B34" s="16" t="str">
        <x:v>million L/year</x:v>
      </x:c>
      <x:c r="C34" s="16" t="str">
        <x:v>Model output</x:v>
      </x:c>
      <x:c r="D34" s="18"/>
      <x:c r="E34" s="16" t="str">
        <x:v>No 2022–23 output from current marine engine.</x:v>
      </x:c>
      <x:c r="F34" s="29"/>
      <x:c r="G34" s="29"/>
      <x:c r="H34" s="29" t="n">
        <x:f>IF(ISNUMBER('Model run'!H52),'Model run'!H52,"")</x:f>
        <x:v>770</x:v>
      </x:c>
      <x:c r="I34" s="29" t="n">
        <x:f>IF(ISNUMBER('Model run'!I52),'Model run'!I52,"")</x:f>
        <x:v>768.0479411262189</x:v>
      </x:c>
      <x:c r="J34" s="29" t="n">
        <x:f>IF(ISNUMBER('Model run'!J52),'Model run'!J52,"")</x:f>
        <x:v>769.7944960278282</x:v>
      </x:c>
      <x:c r="K34" s="29" t="n">
        <x:f>IF(ISNUMBER('Model run'!K52),'Model run'!K52,"")</x:f>
        <x:v>771.6654589894948</x:v>
      </x:c>
      <x:c r="L34" s="29" t="n">
        <x:f>IF(ISNUMBER('Model run'!L52),'Model run'!L52,"")</x:f>
        <x:v>773.6595270700128</x:v>
      </x:c>
      <x:c r="M34" s="29" t="n">
        <x:f>IF(ISNUMBER('Model run'!M52),'Model run'!M52,"")</x:f>
        <x:v>775.7652040543675</x:v>
      </x:c>
      <x:c r="N34" s="29" t="n">
        <x:f>IF(ISNUMBER('Model run'!N52),'Model run'!N52,"")</x:f>
        <x:v>777.9678732371657</x:v>
      </x:c>
      <x:c r="O34" s="29" t="n">
        <x:f>IF(ISNUMBER('Model run'!O52),'Model run'!O52,"")</x:f>
        <x:v>780.1767965694195</x:v>
      </x:c>
      <x:c r="P34" s="29" t="n">
        <x:f>IF(ISNUMBER('Model run'!P52),'Model run'!P52,"")</x:f>
        <x:v>782.3919918088507</x:v>
      </x:c>
      <x:c r="Q34" s="29" t="n">
        <x:f>IF(ISNUMBER('Model run'!Q52),'Model run'!Q52,"")</x:f>
        <x:v>784.6134767636006</x:v>
      </x:c>
      <x:c r="R34" s="29" t="n">
        <x:f>IF(ISNUMBER('Model run'!R52),'Model run'!R52,"")</x:f>
        <x:v>786.8412692923746</x:v>
      </x:c>
      <x:c r="S34" s="29" t="n">
        <x:f>IF(ISNUMBER('Model run'!S52),'Model run'!S52,"")</x:f>
        <x:v>789.0753873045852</x:v>
      </x:c>
      <x:c r="T34" s="3" t="str">
        <x:v>2026 vintage; current high_demand case; provisional.</x:v>
      </x:c>
      <x:c r="U34" s="3" t="str">
        <x:v>https://github.com/Africa-International-Advisors/liq… [N206]</x:v>
      </x:c>
      <x:c r="V34" s="3" t="str">
        <x:v>Validate inputs and reconcile against observed data.</x:v>
      </x:c>
    </x:row>
    <x:row r="35" ht="30" customHeight="1">
      <x:c r="A35" s="16" t="str">
        <x:v>Marine fuel-oil demand</x:v>
      </x:c>
      <x:c r="B35" s="16" t="str">
        <x:v>million L/year</x:v>
      </x:c>
      <x:c r="C35" s="16" t="str">
        <x:v>Model output</x:v>
      </x:c>
      <x:c r="D35" s="18"/>
      <x:c r="E35" s="16" t="str">
        <x:v>Marine only; does not represent all national fuel-oil consumption.</x:v>
      </x:c>
      <x:c r="F35" s="29"/>
      <x:c r="G35" s="29"/>
      <x:c r="H35" s="29" t="n">
        <x:f>IF(ISNUMBER('Model run'!H53),'Model run'!H53,"")</x:f>
        <x:v>1430</x:v>
      </x:c>
      <x:c r="I35" s="29" t="n">
        <x:f>IF(ISNUMBER('Model run'!I53),'Model run'!I53,"")</x:f>
        <x:v>1426.3747478058353</x:v>
      </x:c>
      <x:c r="J35" s="29" t="n">
        <x:f>IF(ISNUMBER('Model run'!J53),'Model run'!J53,"")</x:f>
        <x:v>1429.618349765967</x:v>
      </x:c>
      <x:c r="K35" s="29" t="n">
        <x:f>IF(ISNUMBER('Model run'!K53),'Model run'!K53,"")</x:f>
        <x:v>1433.0929952662048</x:v>
      </x:c>
      <x:c r="L35" s="29" t="n">
        <x:f>IF(ISNUMBER('Model run'!L53),'Model run'!L53,"")</x:f>
        <x:v>1436.7962645585953</x:v>
      </x:c>
      <x:c r="M35" s="29" t="n">
        <x:f>IF(ISNUMBER('Model run'!M53),'Model run'!M53,"")</x:f>
        <x:v>1440.7068075295397</x:v>
      </x:c>
      <x:c r="N35" s="29" t="n">
        <x:f>IF(ISNUMBER('Model run'!N53),'Model run'!N53,"")</x:f>
        <x:v>1444.7974788690221</x:v>
      </x:c>
      <x:c r="O35" s="29" t="n">
        <x:f>IF(ISNUMBER('Model run'!O53),'Model run'!O53,"")</x:f>
        <x:v>1448.8997650574934</x:v>
      </x:c>
      <x:c r="P35" s="29" t="n">
        <x:f>IF(ISNUMBER('Model run'!P53),'Model run'!P53,"")</x:f>
        <x:v>1453.01369907358</x:v>
      </x:c>
      <x:c r="Q35" s="29" t="n">
        <x:f>IF(ISNUMBER('Model run'!Q53),'Model run'!Q53,"")</x:f>
        <x:v>1457.1393139895442</x:v>
      </x:c>
      <x:c r="R35" s="29" t="n">
        <x:f>IF(ISNUMBER('Model run'!R53),'Model run'!R53,"")</x:f>
        <x:v>1461.2766429715527</x:v>
      </x:c>
      <x:c r="S35" s="29" t="n">
        <x:f>IF(ISNUMBER('Model run'!S53),'Model run'!S53,"")</x:f>
        <x:v>1465.4257192799441</x:v>
      </x:c>
      <x:c r="T35" s="3" t="str">
        <x:v>2026 vintage; current high_demand case; provisional.</x:v>
      </x:c>
      <x:c r="U35" s="3" t="str">
        <x:v>https://github.com/Africa-International-Advisors/liq… [N207]</x:v>
      </x:c>
      <x:c r="V35" s="3" t="str">
        <x:v>Validate inputs and reconcile against observed data.</x:v>
      </x:c>
    </x:row>
    <x:row r="36" ht="8" customHeight="1">
      <x:c r="A36" s="3"/>
      <x:c r="B36" s="3"/>
      <x:c r="C36" s="3"/>
      <x:c r="D36" s="3"/>
      <x:c r="E36" s="3"/>
      <x:c r="F36" s="6"/>
      <x:c r="G36" s="6"/>
      <x:c r="H36" s="6"/>
      <x:c r="I36" s="6"/>
      <x:c r="J36" s="6"/>
      <x:c r="K36" s="6"/>
      <x:c r="L36" s="6"/>
      <x:c r="M36" s="6"/>
      <x:c r="N36" s="6"/>
      <x:c r="O36" s="6"/>
      <x:c r="P36" s="6"/>
      <x:c r="Q36" s="6"/>
      <x:c r="R36" s="6"/>
      <x:c r="S36" s="6"/>
      <x:c r="T36" s="3"/>
      <x:c r="U36" s="3"/>
      <x:c r="V36" s="3"/>
    </x:row>
    <x:row r="37" ht="8" customHeight="1">
      <x:c r="A37" s="3"/>
      <x:c r="B37" s="3"/>
      <x:c r="C37" s="3"/>
      <x:c r="D37" s="3"/>
      <x:c r="E37" s="3"/>
      <x:c r="F37" s="6"/>
      <x:c r="G37" s="6"/>
      <x:c r="H37" s="6"/>
      <x:c r="I37" s="6"/>
      <x:c r="J37" s="6"/>
      <x:c r="K37" s="6"/>
      <x:c r="L37" s="6"/>
      <x:c r="M37" s="6"/>
      <x:c r="N37" s="6"/>
      <x:c r="O37" s="6"/>
      <x:c r="P37" s="6"/>
      <x:c r="Q37" s="6"/>
      <x:c r="R37" s="6"/>
      <x:c r="S37" s="6"/>
      <x:c r="T37" s="3"/>
      <x:c r="U37" s="3"/>
      <x:c r="V37" s="3"/>
    </x:row>
    <x:row r="38" ht="8" customHeight="1">
      <x:c r="A38" s="3"/>
      <x:c r="B38" s="3"/>
      <x:c r="C38" s="3"/>
      <x:c r="D38" s="3"/>
      <x:c r="E38" s="3"/>
      <x:c r="F38" s="6"/>
      <x:c r="G38" s="6"/>
      <x:c r="H38" s="6"/>
      <x:c r="I38" s="6"/>
      <x:c r="J38" s="6"/>
      <x:c r="K38" s="6"/>
      <x:c r="L38" s="6"/>
      <x:c r="M38" s="6"/>
      <x:c r="N38" s="6"/>
      <x:c r="O38" s="6"/>
      <x:c r="P38" s="6"/>
      <x:c r="Q38" s="6"/>
      <x:c r="R38" s="6"/>
      <x:c r="S38" s="6"/>
      <x:c r="T38" s="3"/>
      <x:c r="U38" s="3"/>
      <x:c r="V38" s="3"/>
    </x:row>
    <x:row r="39" ht="8" customHeight="1">
      <x:c r="A39" s="3"/>
      <x:c r="B39" s="3"/>
      <x:c r="C39" s="3"/>
      <x:c r="D39" s="3"/>
      <x:c r="E39" s="3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3"/>
      <x:c r="U39" s="3"/>
      <x:c r="V39" s="3"/>
    </x:row>
    <x:row r="40" ht="8" customHeight="1">
      <x:c r="A40" s="3"/>
      <x:c r="B40" s="3"/>
      <x:c r="C40" s="3"/>
      <x:c r="D40" s="3"/>
      <x:c r="E40" s="3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3"/>
      <x:c r="U40" s="3"/>
      <x:c r="V40" s="3"/>
    </x:row>
    <x:row r="41" ht="8" customHeight="1">
      <x:c r="A41" s="3"/>
      <x:c r="B41" s="3"/>
      <x:c r="C41" s="3"/>
      <x:c r="D41" s="3"/>
      <x:c r="E41" s="3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3"/>
      <x:c r="U41" s="3"/>
      <x:c r="V41" s="3"/>
    </x:row>
    <x:row r="42" ht="8" customHeight="1">
      <x:c r="A42" s="3"/>
      <x:c r="B42" s="3"/>
      <x:c r="C42" s="3"/>
      <x:c r="D42" s="3"/>
      <x:c r="E42" s="3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3"/>
      <x:c r="U42" s="3"/>
      <x:c r="V42" s="3"/>
    </x:row>
    <x:row r="43" ht="8" customHeight="1">
      <x:c r="A43" s="3"/>
      <x:c r="B43" s="3"/>
      <x:c r="C43" s="3"/>
      <x:c r="D43" s="3"/>
      <x:c r="E43" s="3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3"/>
      <x:c r="U43" s="3"/>
      <x:c r="V43" s="3"/>
    </x:row>
    <x:row r="44" ht="8" customHeight="1">
      <x:c r="A44" s="3"/>
      <x:c r="B44" s="3"/>
      <x:c r="C44" s="3"/>
      <x:c r="D44" s="3"/>
      <x:c r="E44" s="3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3"/>
      <x:c r="U44" s="3"/>
      <x:c r="V44" s="3"/>
    </x:row>
    <x:row r="45" ht="8" customHeight="1">
      <x:c r="A45" s="3"/>
      <x:c r="B45" s="3"/>
      <x:c r="C45" s="3"/>
      <x:c r="D45" s="3"/>
      <x:c r="E45" s="3"/>
      <x:c r="F45" s="6"/>
      <x:c r="G45" s="6"/>
      <x:c r="H45" s="6"/>
      <x:c r="I45" s="6"/>
      <x:c r="J45" s="6"/>
      <x:c r="K45" s="6"/>
      <x:c r="L45" s="6"/>
      <x:c r="M45" s="6"/>
      <x:c r="N45" s="6"/>
      <x:c r="O45" s="6"/>
      <x:c r="P45" s="6"/>
      <x:c r="Q45" s="6"/>
      <x:c r="R45" s="6"/>
      <x:c r="S45" s="6"/>
      <x:c r="T45" s="3"/>
      <x:c r="U45" s="3"/>
      <x:c r="V45" s="3"/>
    </x:row>
    <x:row r="46" ht="8" customHeight="1">
      <x:c r="A46" s="3"/>
      <x:c r="B46" s="3"/>
      <x:c r="C46" s="3"/>
      <x:c r="D46" s="3"/>
      <x:c r="E46" s="3"/>
      <x:c r="F46" s="6"/>
      <x:c r="G46" s="6"/>
      <x:c r="H46" s="6"/>
      <x:c r="I46" s="6"/>
      <x:c r="J46" s="6"/>
      <x:c r="K46" s="6"/>
      <x:c r="L46" s="6"/>
      <x:c r="M46" s="6"/>
      <x:c r="N46" s="6"/>
      <x:c r="O46" s="6"/>
      <x:c r="P46" s="6"/>
      <x:c r="Q46" s="6"/>
      <x:c r="R46" s="6"/>
      <x:c r="S46" s="6"/>
      <x:c r="T46" s="3"/>
      <x:c r="U46" s="3"/>
      <x:c r="V46" s="3"/>
    </x:row>
    <x:row r="47" ht="8" customHeight="1">
      <x:c r="A47" s="3"/>
      <x:c r="B47" s="3"/>
      <x:c r="C47" s="3"/>
      <x:c r="D47" s="3"/>
      <x:c r="E47" s="3"/>
      <x:c r="F47" s="6"/>
      <x:c r="G47" s="6"/>
      <x:c r="H47" s="6"/>
      <x:c r="I47" s="6"/>
      <x:c r="J47" s="6"/>
      <x:c r="K47" s="6"/>
      <x:c r="L47" s="6"/>
      <x:c r="M47" s="6"/>
      <x:c r="N47" s="6"/>
      <x:c r="O47" s="6"/>
      <x:c r="P47" s="6"/>
      <x:c r="Q47" s="6"/>
      <x:c r="R47" s="6"/>
      <x:c r="S47" s="6"/>
      <x:c r="T47" s="3"/>
      <x:c r="U47" s="3"/>
      <x:c r="V47" s="3"/>
    </x:row>
    <x:row r="48" ht="8" customHeight="1">
      <x:c r="A48" s="3"/>
      <x:c r="B48" s="3"/>
      <x:c r="C48" s="3"/>
      <x:c r="D48" s="3"/>
      <x:c r="E48" s="3"/>
      <x:c r="F48" s="6"/>
      <x:c r="G48" s="6"/>
      <x:c r="H48" s="6"/>
      <x:c r="I48" s="6"/>
      <x:c r="J48" s="6"/>
      <x:c r="K48" s="6"/>
      <x:c r="L48" s="6"/>
      <x:c r="M48" s="6"/>
      <x:c r="N48" s="6"/>
      <x:c r="O48" s="6"/>
      <x:c r="P48" s="6"/>
      <x:c r="Q48" s="6"/>
      <x:c r="R48" s="6"/>
      <x:c r="S48" s="6"/>
      <x:c r="T48" s="3"/>
      <x:c r="U48" s="3"/>
      <x:c r="V48" s="3"/>
    </x:row>
    <x:row r="49" ht="8" customHeight="1">
      <x:c r="A49" s="3"/>
      <x:c r="B49" s="3"/>
      <x:c r="C49" s="3"/>
      <x:c r="D49" s="3"/>
      <x:c r="E49" s="3"/>
      <x:c r="F49" s="6"/>
      <x:c r="G49" s="6"/>
      <x:c r="H49" s="6"/>
      <x:c r="I49" s="6"/>
      <x:c r="J49" s="6"/>
      <x:c r="K49" s="6"/>
      <x:c r="L49" s="6"/>
      <x:c r="M49" s="6"/>
      <x:c r="N49" s="6"/>
      <x:c r="O49" s="6"/>
      <x:c r="P49" s="6"/>
      <x:c r="Q49" s="6"/>
      <x:c r="R49" s="6"/>
      <x:c r="S49" s="6"/>
      <x:c r="T49" s="3"/>
      <x:c r="U49" s="3"/>
      <x:c r="V49" s="3"/>
    </x:row>
    <x:row r="50" ht="8" customHeight="1">
      <x:c r="A50" s="3"/>
      <x:c r="B50" s="3"/>
      <x:c r="C50" s="3"/>
      <x:c r="D50" s="3"/>
      <x:c r="E50" s="3"/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3"/>
      <x:c r="U50" s="3"/>
      <x:c r="V50" s="3"/>
    </x:row>
    <x:row r="51" ht="8" customHeight="1">
      <x:c r="A51" s="3"/>
      <x:c r="B51" s="3"/>
      <x:c r="C51" s="3"/>
      <x:c r="D51" s="3"/>
      <x:c r="E51" s="3"/>
      <x:c r="F51" s="6"/>
      <x:c r="G51" s="6"/>
      <x:c r="H51" s="6"/>
      <x:c r="I51" s="6"/>
      <x:c r="J51" s="6"/>
      <x:c r="K51" s="6"/>
      <x:c r="L51" s="6"/>
      <x:c r="M51" s="6"/>
      <x:c r="N51" s="6"/>
      <x:c r="O51" s="6"/>
      <x:c r="P51" s="6"/>
      <x:c r="Q51" s="6"/>
      <x:c r="R51" s="6"/>
      <x:c r="S51" s="6"/>
      <x:c r="T51" s="3"/>
      <x:c r="U51" s="3"/>
      <x:c r="V51" s="3"/>
    </x:row>
    <x:row r="52" ht="8" customHeight="1">
      <x:c r="A52" s="3"/>
      <x:c r="B52" s="3"/>
      <x:c r="C52" s="3"/>
      <x:c r="D52" s="3"/>
      <x:c r="E52" s="3"/>
      <x:c r="F52" s="6"/>
      <x:c r="G52" s="6"/>
      <x:c r="H52" s="6"/>
      <x:c r="I52" s="6"/>
      <x:c r="J52" s="6"/>
      <x:c r="K52" s="6"/>
      <x:c r="L52" s="6"/>
      <x:c r="M52" s="6"/>
      <x:c r="N52" s="6"/>
      <x:c r="O52" s="6"/>
      <x:c r="P52" s="6"/>
      <x:c r="Q52" s="6"/>
      <x:c r="R52" s="6"/>
      <x:c r="S52" s="6"/>
      <x:c r="T52" s="3"/>
      <x:c r="U52" s="3"/>
      <x:c r="V52" s="3"/>
    </x:row>
    <x:row r="53" ht="8" customHeight="1">
      <x:c r="A53" s="3"/>
      <x:c r="B53" s="3"/>
      <x:c r="C53" s="3"/>
      <x:c r="D53" s="3"/>
      <x:c r="E53" s="3"/>
      <x:c r="F53" s="6"/>
      <x:c r="G53" s="6"/>
      <x:c r="H53" s="6"/>
      <x:c r="I53" s="6"/>
      <x:c r="J53" s="6"/>
      <x:c r="K53" s="6"/>
      <x:c r="L53" s="6"/>
      <x:c r="M53" s="6"/>
      <x:c r="N53" s="6"/>
      <x:c r="O53" s="6"/>
      <x:c r="P53" s="6"/>
      <x:c r="Q53" s="6"/>
      <x:c r="R53" s="6"/>
      <x:c r="S53" s="6"/>
      <x:c r="T53" s="3"/>
      <x:c r="U53" s="3"/>
      <x:c r="V53" s="3"/>
    </x:row>
    <x:row r="54" ht="8" customHeight="1">
      <x:c r="A54" s="3"/>
      <x:c r="B54" s="3"/>
      <x:c r="C54" s="3"/>
      <x:c r="D54" s="3"/>
      <x:c r="E54" s="3"/>
      <x:c r="F54" s="6"/>
      <x:c r="G54" s="6"/>
      <x:c r="H54" s="6"/>
      <x:c r="I54" s="6"/>
      <x:c r="J54" s="6"/>
      <x:c r="K54" s="6"/>
      <x:c r="L54" s="6"/>
      <x:c r="M54" s="6"/>
      <x:c r="N54" s="6"/>
      <x:c r="O54" s="6"/>
      <x:c r="P54" s="6"/>
      <x:c r="Q54" s="6"/>
      <x:c r="R54" s="6"/>
      <x:c r="S54" s="6"/>
      <x:c r="T54" s="3"/>
      <x:c r="U54" s="3"/>
      <x:c r="V54" s="3"/>
    </x:row>
    <x:row r="55" ht="8" customHeight="1">
      <x:c r="A55" s="3"/>
      <x:c r="B55" s="3"/>
      <x:c r="C55" s="3"/>
      <x:c r="D55" s="3"/>
      <x:c r="E55" s="3"/>
      <x:c r="F55" s="6"/>
      <x:c r="G55" s="6"/>
      <x:c r="H55" s="6"/>
      <x:c r="I55" s="6"/>
      <x:c r="J55" s="6"/>
      <x:c r="K55" s="6"/>
      <x:c r="L55" s="6"/>
      <x:c r="M55" s="6"/>
      <x:c r="N55" s="6"/>
      <x:c r="O55" s="6"/>
      <x:c r="P55" s="6"/>
      <x:c r="Q55" s="6"/>
      <x:c r="R55" s="6"/>
      <x:c r="S55" s="6"/>
      <x:c r="T55" s="3"/>
      <x:c r="U55" s="3"/>
      <x:c r="V55" s="3"/>
    </x:row>
    <x:row r="56" ht="8" customHeight="1">
      <x:c r="A56" s="3"/>
      <x:c r="B56" s="3"/>
      <x:c r="C56" s="3"/>
      <x:c r="D56" s="3"/>
      <x:c r="E56" s="3"/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3"/>
      <x:c r="U56" s="3"/>
      <x:c r="V56" s="3"/>
    </x:row>
    <x:row r="57" ht="8" customHeight="1">
      <x:c r="A57" s="3"/>
      <x:c r="B57" s="3"/>
      <x:c r="C57" s="3"/>
      <x:c r="D57" s="3"/>
      <x:c r="E57" s="3"/>
      <x:c r="F57" s="6"/>
      <x:c r="G57" s="6"/>
      <x:c r="H57" s="6"/>
      <x:c r="I57" s="6"/>
      <x:c r="J57" s="6"/>
      <x:c r="K57" s="6"/>
      <x:c r="L57" s="6"/>
      <x:c r="M57" s="6"/>
      <x:c r="N57" s="6"/>
      <x:c r="O57" s="6"/>
      <x:c r="P57" s="6"/>
      <x:c r="Q57" s="6"/>
      <x:c r="R57" s="6"/>
      <x:c r="S57" s="6"/>
      <x:c r="T57" s="3"/>
      <x:c r="U57" s="3"/>
      <x:c r="V57" s="3"/>
    </x:row>
    <x:row r="58" ht="8" customHeight="1">
      <x:c r="A58" s="3"/>
      <x:c r="B58" s="3"/>
      <x:c r="C58" s="3"/>
      <x:c r="D58" s="3"/>
      <x:c r="E58" s="3"/>
      <x:c r="F58" s="6"/>
      <x:c r="G58" s="6"/>
      <x:c r="H58" s="6"/>
      <x:c r="I58" s="6"/>
      <x:c r="J58" s="6"/>
      <x:c r="K58" s="6"/>
      <x:c r="L58" s="6"/>
      <x:c r="M58" s="6"/>
      <x:c r="N58" s="6"/>
      <x:c r="O58" s="6"/>
      <x:c r="P58" s="6"/>
      <x:c r="Q58" s="6"/>
      <x:c r="R58" s="6"/>
      <x:c r="S58" s="6"/>
      <x:c r="T58" s="3"/>
      <x:c r="U58" s="3"/>
      <x:c r="V58" s="3"/>
    </x:row>
    <x:row r="59" ht="8" customHeight="1">
      <x:c r="A59" s="3"/>
      <x:c r="B59" s="3"/>
      <x:c r="C59" s="3"/>
      <x:c r="D59" s="3"/>
      <x:c r="E59" s="3"/>
      <x:c r="F59" s="6"/>
      <x:c r="G59" s="6"/>
      <x:c r="H59" s="6"/>
      <x:c r="I59" s="6"/>
      <x:c r="J59" s="6"/>
      <x:c r="K59" s="6"/>
      <x:c r="L59" s="6"/>
      <x:c r="M59" s="6"/>
      <x:c r="N59" s="6"/>
      <x:c r="O59" s="6"/>
      <x:c r="P59" s="6"/>
      <x:c r="Q59" s="6"/>
      <x:c r="R59" s="6"/>
      <x:c r="S59" s="6"/>
      <x:c r="T59" s="3"/>
      <x:c r="U59" s="3"/>
      <x:c r="V59" s="3"/>
    </x:row>
    <x:row r="60" ht="8" customHeight="1">
      <x:c r="A60" s="3"/>
      <x:c r="B60" s="3"/>
      <x:c r="C60" s="3"/>
      <x:c r="D60" s="3"/>
      <x:c r="E60" s="3"/>
      <x:c r="F60" s="6"/>
      <x:c r="G60" s="6"/>
      <x:c r="H60" s="6"/>
      <x:c r="I60" s="6"/>
      <x:c r="J60" s="6"/>
      <x:c r="K60" s="6"/>
      <x:c r="L60" s="6"/>
      <x:c r="M60" s="6"/>
      <x:c r="N60" s="6"/>
      <x:c r="O60" s="6"/>
      <x:c r="P60" s="6"/>
      <x:c r="Q60" s="6"/>
      <x:c r="R60" s="6"/>
      <x:c r="S60" s="6"/>
      <x:c r="T60" s="3"/>
      <x:c r="U60" s="3"/>
      <x:c r="V60" s="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9.3799991607666" hidden="0" customWidth="1"/>
    <x:col min="2" max="2" width="18.75" hidden="0" customWidth="1"/>
    <x:col min="3" max="3" width="38.75" hidden="0" customWidth="1"/>
    <x:col min="4" max="4" width="10.880000114440918" hidden="0" customWidth="1"/>
    <x:col min="5" max="5" width="10.880000114440918" hidden="0" customWidth="1"/>
    <x:col min="6" max="6" width="10.880000114440918" hidden="0" customWidth="1"/>
    <x:col min="7" max="7" width="10.880000114440918" hidden="0" customWidth="1"/>
    <x:col min="8" max="8" width="10.880000114440918" hidden="0" customWidth="1"/>
    <x:col min="9" max="9" width="10.880000114440918" hidden="0" customWidth="1"/>
    <x:col min="10" max="10" width="10.880000114440918" hidden="0" customWidth="1"/>
    <x:col min="11" max="11" width="10.880000114440918" hidden="0" customWidth="1"/>
    <x:col min="12" max="12" width="10.880000114440918" hidden="0" customWidth="1"/>
    <x:col min="13" max="13" width="10.880000114440918" hidden="0" customWidth="1"/>
    <x:col min="14" max="14" width="10.880000114440918" hidden="0" customWidth="1"/>
    <x:col min="15" max="15" width="10.880000114440918" hidden="0" customWidth="1"/>
    <x:col min="16" max="16" width="10.880000114440918" hidden="0" customWidth="1"/>
    <x:col min="17" max="17" width="10.880000114440918" hidden="0" customWidth="1"/>
    <x:col min="18" max="18" width="17.5" hidden="0" customWidth="1"/>
    <x:col min="19" max="19" width="16.25" hidden="0" customWidth="1"/>
    <x:col min="20" max="20" width="33.75" hidden="0" customWidth="1"/>
    <x:col min="21" max="21" width="43.75" hidden="0" customWidth="1"/>
    <x:col min="22" max="22" width="41.25" hidden="0" customWidth="1"/>
  </x:cols>
  <x:sheetData>
    <x:row r="1" ht="28" customHeight="1">
      <x:c r="A1" s="5" t="str">
        <x:v>Provincial allocation example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4" customHeight="1">
      <x:c r="A2" s="7" t="str">
        <x:v>Petrol passenger demand • Shares are blank pending evidence. This is allocation, not a local-driver forecast.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40" customHeight="1">
      <x:c r="A4" s="9" t="str">
        <x:v>Province / control</x:v>
      </x:c>
      <x:c r="B4" s="9" t="str">
        <x:v>Row type</x:v>
      </x:c>
      <x:c r="C4" s="9" t="str">
        <x:v>Evidence / method</x:v>
      </x:c>
      <x:c r="D4" s="9" t="n">
        <x:v>2022</x:v>
      </x:c>
      <x:c r="E4" s="9" t="n">
        <x:v>2023</x:v>
      </x:c>
      <x:c r="F4" s="9" t="n">
        <x:v>2024</x:v>
      </x:c>
      <x:c r="G4" s="9" t="n">
        <x:v>2025</x:v>
      </x:c>
      <x:c r="H4" s="9" t="n">
        <x:v>2026</x:v>
      </x:c>
      <x:c r="I4" s="9" t="n">
        <x:v>2027</x:v>
      </x:c>
      <x:c r="J4" s="9" t="n">
        <x:v>2028</x:v>
      </x:c>
      <x:c r="K4" s="9" t="n">
        <x:v>2029</x:v>
      </x:c>
      <x:c r="L4" s="9" t="n">
        <x:v>2030</x:v>
      </x:c>
      <x:c r="M4" s="9" t="n">
        <x:v>2031</x:v>
      </x:c>
      <x:c r="N4" s="9" t="n">
        <x:v>2032</x:v>
      </x:c>
      <x:c r="O4" s="9" t="n">
        <x:v>2033</x:v>
      </x:c>
      <x:c r="P4" s="9" t="n">
        <x:v>2034</x:v>
      </x:c>
      <x:c r="Q4" s="9" t="n">
        <x:v>2035</x:v>
      </x:c>
      <x:c r="R4" s="79" t="str">
        <x:v>Latest partial value</x:v>
      </x:c>
      <x:c r="S4" s="79" t="str">
        <x:v>Latest period</x:v>
      </x:c>
      <x:c r="T4" s="79" t="str">
        <x:v>Coverage / status</x:v>
      </x:c>
      <x:c r="U4" s="79" t="str">
        <x:v>Source</x:v>
      </x:c>
      <x:c r="V4" s="79" t="str">
        <x:v>Missing evidence / next action</x:v>
      </x:c>
    </x:row>
    <x:row r="5" ht="52" customHeight="1">
      <x:c r="A5" s="3" t="str">
        <x:v>National passenger petrol</x:v>
      </x:c>
      <x:c r="B5" s="3" t="str">
        <x:v>million L/year</x:v>
      </x:c>
      <x:c r="C5" s="3" t="str">
        <x:v>Linked to Petrol current-engine output</x:v>
      </x:c>
      <x:c r="D5" s="13" t="n">
        <x:f>'Petrol'!F21</x:f>
        <x:v>6604.446599287105</x:v>
      </x:c>
      <x:c r="E5" s="13" t="n">
        <x:f>'Petrol'!G21</x:f>
        <x:v>6799.914661651272</x:v>
      </x:c>
      <x:c r="F5" s="13" t="n">
        <x:f>'Petrol'!H21</x:f>
        <x:v>6967.795194654524</x:v>
      </x:c>
      <x:c r="G5" s="13" t="n">
        <x:f>'Petrol'!I21</x:f>
        <x:v>7107.316650590699</x:v>
      </x:c>
      <x:c r="H5" s="13" t="n">
        <x:f>'Petrol'!J21</x:f>
        <x:v>7251.790037536385</x:v>
      </x:c>
      <x:c r="I5" s="13" t="n">
        <x:f>'Petrol'!K21</x:f>
        <x:v>7401.722983680083</x:v>
      </x:c>
      <x:c r="J5" s="13" t="n">
        <x:f>'Petrol'!L21</x:f>
        <x:v>7557.50860212469</x:v>
      </x:c>
      <x:c r="K5" s="13" t="n">
        <x:f>'Petrol'!M21</x:f>
        <x:v>7719.319498873311</x:v>
      </x:c>
      <x:c r="L5" s="13" t="n">
        <x:f>'Petrol'!N21</x:f>
        <x:v>7887.060129324876</x:v>
      </x:c>
      <x:c r="M5" s="13" t="n">
        <x:f>'Petrol'!O21</x:f>
        <x:v>8059.708885814958</x:v>
      </x:c>
      <x:c r="N5" s="13" t="n">
        <x:f>'Petrol'!P21</x:f>
        <x:v>8236.07844978074</x:v>
      </x:c>
      <x:c r="O5" s="13" t="n">
        <x:f>'Petrol'!Q21</x:f>
        <x:v>8414.77120216453</x:v>
      </x:c>
      <x:c r="P5" s="13" t="n">
        <x:f>'Petrol'!R21</x:f>
        <x:v>8594.142435126007</x:v>
      </x:c>
      <x:c r="Q5" s="13" t="n">
        <x:f>'Petrol'!S21</x:f>
        <x:v>8772.288312452163</x:v>
      </x:c>
    </x:row>
    <x:row r="6" ht="52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</x:row>
    <x:row r="7" ht="52" customHeight="1">
      <x:c r="A7" s="3" t="str">
        <x:v>Eastern Cape</x:v>
      </x:c>
      <x:c r="B7" s="3" t="str">
        <x:v>Allocation share</x:v>
      </x:c>
      <x:c r="C7" s="3" t="str">
        <x:v>Enter annual share and source; 0 only if confirmed</x:v>
      </x:c>
      <x:c r="D7" s="21"/>
      <x:c r="E7" s="21"/>
      <x:c r="F7" s="21"/>
      <x:c r="G7" s="21"/>
      <x:c r="H7" s="21"/>
      <x:c r="I7" s="21"/>
      <x:c r="J7" s="21"/>
      <x:c r="K7" s="21"/>
      <x:c r="L7" s="21"/>
      <x:c r="M7" s="21"/>
      <x:c r="N7" s="21"/>
      <x:c r="O7" s="21"/>
      <x:c r="P7" s="21"/>
      <x:c r="Q7" s="21"/>
    </x:row>
    <x:row r="8" ht="52" customHeight="1">
      <x:c r="A8" s="3" t="str">
        <x:v>Free State</x:v>
      </x:c>
      <x:c r="B8" s="3" t="str">
        <x:v>Allocation share</x:v>
      </x:c>
      <x:c r="C8" s="3" t="str">
        <x:v>Enter annual share and source; 0 only if confirmed</x:v>
      </x:c>
      <x:c r="D8" s="21"/>
      <x:c r="E8" s="21"/>
      <x:c r="F8" s="21"/>
      <x:c r="G8" s="21"/>
      <x:c r="H8" s="21"/>
      <x:c r="I8" s="21"/>
      <x:c r="J8" s="21"/>
      <x:c r="K8" s="21"/>
      <x:c r="L8" s="21"/>
      <x:c r="M8" s="21"/>
      <x:c r="N8" s="21"/>
      <x:c r="O8" s="21"/>
      <x:c r="P8" s="21"/>
      <x:c r="Q8" s="21"/>
    </x:row>
    <x:row r="9" ht="52" customHeight="1">
      <x:c r="A9" s="3" t="str">
        <x:v>Gauteng</x:v>
      </x:c>
      <x:c r="B9" s="3" t="str">
        <x:v>Allocation share</x:v>
      </x:c>
      <x:c r="C9" s="3" t="str">
        <x:v>Enter annual share and source; 0 only if confirmed</x:v>
      </x:c>
      <x:c r="D9" s="21"/>
      <x:c r="E9" s="21"/>
      <x:c r="F9" s="21"/>
      <x:c r="G9" s="21"/>
      <x:c r="H9" s="21"/>
      <x:c r="I9" s="21"/>
      <x:c r="J9" s="21"/>
      <x:c r="K9" s="21"/>
      <x:c r="L9" s="21"/>
      <x:c r="M9" s="21"/>
      <x:c r="N9" s="21"/>
      <x:c r="O9" s="21"/>
      <x:c r="P9" s="21"/>
      <x:c r="Q9" s="21"/>
    </x:row>
    <x:row r="10" ht="52" customHeight="1">
      <x:c r="A10" s="3" t="str">
        <x:v>KwaZulu-Natal</x:v>
      </x:c>
      <x:c r="B10" s="3" t="str">
        <x:v>Allocation share</x:v>
      </x:c>
      <x:c r="C10" s="3" t="str">
        <x:v>Enter annual share and source; 0 only if confirmed</x:v>
      </x:c>
      <x:c r="D10" s="21"/>
      <x:c r="E10" s="21"/>
      <x:c r="F10" s="21"/>
      <x:c r="G10" s="21"/>
      <x:c r="H10" s="21"/>
      <x:c r="I10" s="21"/>
      <x:c r="J10" s="21"/>
      <x:c r="K10" s="21"/>
      <x:c r="L10" s="21"/>
      <x:c r="M10" s="21"/>
      <x:c r="N10" s="21"/>
      <x:c r="O10" s="21"/>
      <x:c r="P10" s="21"/>
      <x:c r="Q10" s="21"/>
    </x:row>
    <x:row r="11" ht="52" customHeight="1">
      <x:c r="A11" s="3" t="str">
        <x:v>Limpopo</x:v>
      </x:c>
      <x:c r="B11" s="3" t="str">
        <x:v>Allocation share</x:v>
      </x:c>
      <x:c r="C11" s="3" t="str">
        <x:v>Enter annual share and source; 0 only if confirmed</x:v>
      </x:c>
      <x:c r="D11" s="21"/>
      <x:c r="E11" s="21"/>
      <x:c r="F11" s="21"/>
      <x:c r="G11" s="21"/>
      <x:c r="H11" s="21"/>
      <x:c r="I11" s="21"/>
      <x:c r="J11" s="21"/>
      <x:c r="K11" s="21"/>
      <x:c r="L11" s="21"/>
      <x:c r="M11" s="21"/>
      <x:c r="N11" s="21"/>
      <x:c r="O11" s="21"/>
      <x:c r="P11" s="21"/>
      <x:c r="Q11" s="21"/>
    </x:row>
    <x:row r="12" ht="52" customHeight="1">
      <x:c r="A12" s="3" t="str">
        <x:v>Mpumalanga</x:v>
      </x:c>
      <x:c r="B12" s="3" t="str">
        <x:v>Allocation share</x:v>
      </x:c>
      <x:c r="C12" s="3" t="str">
        <x:v>Enter annual share and source; 0 only if confirmed</x:v>
      </x:c>
      <x:c r="D12" s="21"/>
      <x:c r="E12" s="21"/>
      <x:c r="F12" s="21"/>
      <x:c r="G12" s="21"/>
      <x:c r="H12" s="21"/>
      <x:c r="I12" s="21"/>
      <x:c r="J12" s="21"/>
      <x:c r="K12" s="21"/>
      <x:c r="L12" s="21"/>
      <x:c r="M12" s="21"/>
      <x:c r="N12" s="21"/>
      <x:c r="O12" s="21"/>
      <x:c r="P12" s="21"/>
      <x:c r="Q12" s="21"/>
    </x:row>
    <x:row r="13" ht="52" customHeight="1">
      <x:c r="A13" s="3" t="str">
        <x:v>Northern Cape</x:v>
      </x:c>
      <x:c r="B13" s="3" t="str">
        <x:v>Allocation share</x:v>
      </x:c>
      <x:c r="C13" s="3" t="str">
        <x:v>Enter annual share and source; 0 only if confirmed</x:v>
      </x:c>
      <x:c r="D13" s="21"/>
      <x:c r="E13" s="21"/>
      <x:c r="F13" s="21"/>
      <x:c r="G13" s="21"/>
      <x:c r="H13" s="21"/>
      <x:c r="I13" s="21"/>
      <x:c r="J13" s="21"/>
      <x:c r="K13" s="21"/>
      <x:c r="L13" s="21"/>
      <x:c r="M13" s="21"/>
      <x:c r="N13" s="21"/>
      <x:c r="O13" s="21"/>
      <x:c r="P13" s="21"/>
      <x:c r="Q13" s="21"/>
    </x:row>
    <x:row r="14" ht="52" customHeight="1">
      <x:c r="A14" s="3" t="str">
        <x:v>North West</x:v>
      </x:c>
      <x:c r="B14" s="3" t="str">
        <x:v>Allocation share</x:v>
      </x:c>
      <x:c r="C14" s="3" t="str">
        <x:v>Enter annual share and source; 0 only if confirmed</x:v>
      </x:c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  <x:c r="Q14" s="21"/>
    </x:row>
    <x:row r="15" ht="52" customHeight="1">
      <x:c r="A15" s="3" t="str">
        <x:v>Western Cape</x:v>
      </x:c>
      <x:c r="B15" s="3" t="str">
        <x:v>Allocation share</x:v>
      </x:c>
      <x:c r="C15" s="3" t="str">
        <x:v>Enter annual share and source; 0 only if confirmed</x:v>
      </x:c>
      <x:c r="D15" s="21"/>
      <x:c r="E15" s="21"/>
      <x:c r="F15" s="21"/>
      <x:c r="G15" s="21"/>
      <x:c r="H15" s="21"/>
      <x:c r="I15" s="21"/>
      <x:c r="J15" s="21"/>
      <x:c r="K15" s="21"/>
      <x:c r="L15" s="21"/>
      <x:c r="M15" s="21"/>
      <x:c r="N15" s="21"/>
      <x:c r="O15" s="21"/>
      <x:c r="P15" s="21"/>
      <x:c r="Q15" s="21"/>
    </x:row>
    <x:row r="16" ht="52" customHeight="1">
      <x:c r="A16" s="11" t="str">
        <x:v>Share total</x:v>
      </x:c>
      <x:c r="B16" s="11" t="str">
        <x:v>share</x:v>
      </x:c>
      <x:c r="C16" s="11" t="str">
        <x:v>Reporting calculation</x:v>
      </x:c>
      <x:c r="D16" s="22" t="str">
        <x:f>IF(COUNT(D7:D15)=0,"",SUM(D7:D15))</x:f>
      </x:c>
      <x:c r="E16" s="22" t="str">
        <x:f>IF(COUNT(E7:E15)=0,"",SUM(E7:E15))</x:f>
      </x:c>
      <x:c r="F16" s="22" t="str">
        <x:f>IF(COUNT(F7:F15)=0,"",SUM(F7:F15))</x:f>
      </x:c>
      <x:c r="G16" s="22" t="str">
        <x:f>IF(COUNT(G7:G15)=0,"",SUM(G7:G15))</x:f>
      </x:c>
      <x:c r="H16" s="22" t="str">
        <x:f>IF(COUNT(H7:H15)=0,"",SUM(H7:H15))</x:f>
      </x:c>
      <x:c r="I16" s="22" t="str">
        <x:f>IF(COUNT(I7:I15)=0,"",SUM(I7:I15))</x:f>
      </x:c>
      <x:c r="J16" s="22" t="str">
        <x:f>IF(COUNT(J7:J15)=0,"",SUM(J7:J15))</x:f>
      </x:c>
      <x:c r="K16" s="22" t="str">
        <x:f>IF(COUNT(K7:K15)=0,"",SUM(K7:K15))</x:f>
      </x:c>
      <x:c r="L16" s="22" t="str">
        <x:f>IF(COUNT(L7:L15)=0,"",SUM(L7:L15))</x:f>
      </x:c>
      <x:c r="M16" s="22" t="str">
        <x:f>IF(COUNT(M7:M15)=0,"",SUM(M7:M15))</x:f>
      </x:c>
      <x:c r="N16" s="22" t="str">
        <x:f>IF(COUNT(N7:N15)=0,"",SUM(N7:N15))</x:f>
      </x:c>
      <x:c r="O16" s="22" t="str">
        <x:f>IF(COUNT(O7:O15)=0,"",SUM(O7:O15))</x:f>
      </x:c>
      <x:c r="P16" s="22" t="str">
        <x:f>IF(COUNT(P7:P15)=0,"",SUM(P7:P15))</x:f>
      </x:c>
      <x:c r="Q16" s="22" t="str">
        <x:f>IF(COUNT(Q7:Q15)=0,"",SUM(Q7:Q15))</x:f>
      </x:c>
    </x:row>
    <x:row r="17" ht="52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</x:row>
    <x:row r="18" ht="52" customHeight="1">
      <x:c r="A18" s="3" t="str">
        <x:v>Eastern Cape</x:v>
      </x:c>
      <x:c r="B18" s="3" t="str">
        <x:v>million L/year</x:v>
      </x:c>
      <x:c r="C18" s="3" t="str">
        <x:v>National demand × entered share</x:v>
      </x:c>
      <x:c r="D18" s="13" t="str">
        <x:f>IF(ISNUMBER(D7),D$5*D7,"")</x:f>
      </x:c>
      <x:c r="E18" s="13" t="str">
        <x:f>IF(ISNUMBER(E7),E$5*E7,"")</x:f>
      </x:c>
      <x:c r="F18" s="13" t="str">
        <x:f>IF(ISNUMBER(F7),F$5*F7,"")</x:f>
      </x:c>
      <x:c r="G18" s="13" t="str">
        <x:f>IF(ISNUMBER(G7),G$5*G7,"")</x:f>
      </x:c>
      <x:c r="H18" s="13" t="str">
        <x:f>IF(ISNUMBER(H7),H$5*H7,"")</x:f>
      </x:c>
      <x:c r="I18" s="13" t="str">
        <x:f>IF(ISNUMBER(I7),I$5*I7,"")</x:f>
      </x:c>
      <x:c r="J18" s="13" t="str">
        <x:f>IF(ISNUMBER(J7),J$5*J7,"")</x:f>
      </x:c>
      <x:c r="K18" s="13" t="str">
        <x:f>IF(ISNUMBER(K7),K$5*K7,"")</x:f>
      </x:c>
      <x:c r="L18" s="13" t="str">
        <x:f>IF(ISNUMBER(L7),L$5*L7,"")</x:f>
      </x:c>
      <x:c r="M18" s="13" t="str">
        <x:f>IF(ISNUMBER(M7),M$5*M7,"")</x:f>
      </x:c>
      <x:c r="N18" s="13" t="str">
        <x:f>IF(ISNUMBER(N7),N$5*N7,"")</x:f>
      </x:c>
      <x:c r="O18" s="13" t="str">
        <x:f>IF(ISNUMBER(O7),O$5*O7,"")</x:f>
      </x:c>
      <x:c r="P18" s="13" t="str">
        <x:f>IF(ISNUMBER(P7),P$5*P7,"")</x:f>
      </x:c>
      <x:c r="Q18" s="13" t="str">
        <x:f>IF(ISNUMBER(Q7),Q$5*Q7,"")</x:f>
      </x:c>
    </x:row>
    <x:row r="19" ht="52" customHeight="1">
      <x:c r="A19" s="3" t="str">
        <x:v>Free State</x:v>
      </x:c>
      <x:c r="B19" s="3" t="str">
        <x:v>million L/year</x:v>
      </x:c>
      <x:c r="C19" s="3" t="str">
        <x:v>National demand × entered share</x:v>
      </x:c>
      <x:c r="D19" s="13" t="str">
        <x:f>IF(ISNUMBER(D8),D$5*D8,"")</x:f>
      </x:c>
      <x:c r="E19" s="13" t="str">
        <x:f>IF(ISNUMBER(E8),E$5*E8,"")</x:f>
      </x:c>
      <x:c r="F19" s="13" t="str">
        <x:f>IF(ISNUMBER(F8),F$5*F8,"")</x:f>
      </x:c>
      <x:c r="G19" s="13" t="str">
        <x:f>IF(ISNUMBER(G8),G$5*G8,"")</x:f>
      </x:c>
      <x:c r="H19" s="13" t="str">
        <x:f>IF(ISNUMBER(H8),H$5*H8,"")</x:f>
      </x:c>
      <x:c r="I19" s="13" t="str">
        <x:f>IF(ISNUMBER(I8),I$5*I8,"")</x:f>
      </x:c>
      <x:c r="J19" s="13" t="str">
        <x:f>IF(ISNUMBER(J8),J$5*J8,"")</x:f>
      </x:c>
      <x:c r="K19" s="13" t="str">
        <x:f>IF(ISNUMBER(K8),K$5*K8,"")</x:f>
      </x:c>
      <x:c r="L19" s="13" t="str">
        <x:f>IF(ISNUMBER(L8),L$5*L8,"")</x:f>
      </x:c>
      <x:c r="M19" s="13" t="str">
        <x:f>IF(ISNUMBER(M8),M$5*M8,"")</x:f>
      </x:c>
      <x:c r="N19" s="13" t="str">
        <x:f>IF(ISNUMBER(N8),N$5*N8,"")</x:f>
      </x:c>
      <x:c r="O19" s="13" t="str">
        <x:f>IF(ISNUMBER(O8),O$5*O8,"")</x:f>
      </x:c>
      <x:c r="P19" s="13" t="str">
        <x:f>IF(ISNUMBER(P8),P$5*P8,"")</x:f>
      </x:c>
      <x:c r="Q19" s="13" t="str">
        <x:f>IF(ISNUMBER(Q8),Q$5*Q8,"")</x:f>
      </x:c>
    </x:row>
    <x:row r="20" ht="52" customHeight="1">
      <x:c r="A20" s="3" t="str">
        <x:v>Gauteng</x:v>
      </x:c>
      <x:c r="B20" s="3" t="str">
        <x:v>million L/year</x:v>
      </x:c>
      <x:c r="C20" s="3" t="str">
        <x:v>National demand × entered share</x:v>
      </x:c>
      <x:c r="D20" s="13" t="str">
        <x:f>IF(ISNUMBER(D9),D$5*D9,"")</x:f>
      </x:c>
      <x:c r="E20" s="13" t="str">
        <x:f>IF(ISNUMBER(E9),E$5*E9,"")</x:f>
      </x:c>
      <x:c r="F20" s="13" t="str">
        <x:f>IF(ISNUMBER(F9),F$5*F9,"")</x:f>
      </x:c>
      <x:c r="G20" s="13" t="str">
        <x:f>IF(ISNUMBER(G9),G$5*G9,"")</x:f>
      </x:c>
      <x:c r="H20" s="13" t="str">
        <x:f>IF(ISNUMBER(H9),H$5*H9,"")</x:f>
      </x:c>
      <x:c r="I20" s="13" t="str">
        <x:f>IF(ISNUMBER(I9),I$5*I9,"")</x:f>
      </x:c>
      <x:c r="J20" s="13" t="str">
        <x:f>IF(ISNUMBER(J9),J$5*J9,"")</x:f>
      </x:c>
      <x:c r="K20" s="13" t="str">
        <x:f>IF(ISNUMBER(K9),K$5*K9,"")</x:f>
      </x:c>
      <x:c r="L20" s="13" t="str">
        <x:f>IF(ISNUMBER(L9),L$5*L9,"")</x:f>
      </x:c>
      <x:c r="M20" s="13" t="str">
        <x:f>IF(ISNUMBER(M9),M$5*M9,"")</x:f>
      </x:c>
      <x:c r="N20" s="13" t="str">
        <x:f>IF(ISNUMBER(N9),N$5*N9,"")</x:f>
      </x:c>
      <x:c r="O20" s="13" t="str">
        <x:f>IF(ISNUMBER(O9),O$5*O9,"")</x:f>
      </x:c>
      <x:c r="P20" s="13" t="str">
        <x:f>IF(ISNUMBER(P9),P$5*P9,"")</x:f>
      </x:c>
      <x:c r="Q20" s="13" t="str">
        <x:f>IF(ISNUMBER(Q9),Q$5*Q9,"")</x:f>
      </x:c>
    </x:row>
    <x:row r="21" ht="52" customHeight="1">
      <x:c r="A21" s="3" t="str">
        <x:v>KwaZulu-Natal</x:v>
      </x:c>
      <x:c r="B21" s="3" t="str">
        <x:v>million L/year</x:v>
      </x:c>
      <x:c r="C21" s="3" t="str">
        <x:v>National demand × entered share</x:v>
      </x:c>
      <x:c r="D21" s="13" t="str">
        <x:f>IF(ISNUMBER(D10),D$5*D10,"")</x:f>
      </x:c>
      <x:c r="E21" s="13" t="str">
        <x:f>IF(ISNUMBER(E10),E$5*E10,"")</x:f>
      </x:c>
      <x:c r="F21" s="13" t="str">
        <x:f>IF(ISNUMBER(F10),F$5*F10,"")</x:f>
      </x:c>
      <x:c r="G21" s="13" t="str">
        <x:f>IF(ISNUMBER(G10),G$5*G10,"")</x:f>
      </x:c>
      <x:c r="H21" s="13" t="str">
        <x:f>IF(ISNUMBER(H10),H$5*H10,"")</x:f>
      </x:c>
      <x:c r="I21" s="13" t="str">
        <x:f>IF(ISNUMBER(I10),I$5*I10,"")</x:f>
      </x:c>
      <x:c r="J21" s="13" t="str">
        <x:f>IF(ISNUMBER(J10),J$5*J10,"")</x:f>
      </x:c>
      <x:c r="K21" s="13" t="str">
        <x:f>IF(ISNUMBER(K10),K$5*K10,"")</x:f>
      </x:c>
      <x:c r="L21" s="13" t="str">
        <x:f>IF(ISNUMBER(L10),L$5*L10,"")</x:f>
      </x:c>
      <x:c r="M21" s="13" t="str">
        <x:f>IF(ISNUMBER(M10),M$5*M10,"")</x:f>
      </x:c>
      <x:c r="N21" s="13" t="str">
        <x:f>IF(ISNUMBER(N10),N$5*N10,"")</x:f>
      </x:c>
      <x:c r="O21" s="13" t="str">
        <x:f>IF(ISNUMBER(O10),O$5*O10,"")</x:f>
      </x:c>
      <x:c r="P21" s="13" t="str">
        <x:f>IF(ISNUMBER(P10),P$5*P10,"")</x:f>
      </x:c>
      <x:c r="Q21" s="13" t="str">
        <x:f>IF(ISNUMBER(Q10),Q$5*Q10,"")</x:f>
      </x:c>
    </x:row>
    <x:row r="22" ht="52" customHeight="1">
      <x:c r="A22" s="3" t="str">
        <x:v>Limpopo</x:v>
      </x:c>
      <x:c r="B22" s="3" t="str">
        <x:v>million L/year</x:v>
      </x:c>
      <x:c r="C22" s="3" t="str">
        <x:v>National demand × entered share</x:v>
      </x:c>
      <x:c r="D22" s="13" t="str">
        <x:f>IF(ISNUMBER(D11),D$5*D11,"")</x:f>
      </x:c>
      <x:c r="E22" s="13" t="str">
        <x:f>IF(ISNUMBER(E11),E$5*E11,"")</x:f>
      </x:c>
      <x:c r="F22" s="13" t="str">
        <x:f>IF(ISNUMBER(F11),F$5*F11,"")</x:f>
      </x:c>
      <x:c r="G22" s="13" t="str">
        <x:f>IF(ISNUMBER(G11),G$5*G11,"")</x:f>
      </x:c>
      <x:c r="H22" s="13" t="str">
        <x:f>IF(ISNUMBER(H11),H$5*H11,"")</x:f>
      </x:c>
      <x:c r="I22" s="13" t="str">
        <x:f>IF(ISNUMBER(I11),I$5*I11,"")</x:f>
      </x:c>
      <x:c r="J22" s="13" t="str">
        <x:f>IF(ISNUMBER(J11),J$5*J11,"")</x:f>
      </x:c>
      <x:c r="K22" s="13" t="str">
        <x:f>IF(ISNUMBER(K11),K$5*K11,"")</x:f>
      </x:c>
      <x:c r="L22" s="13" t="str">
        <x:f>IF(ISNUMBER(L11),L$5*L11,"")</x:f>
      </x:c>
      <x:c r="M22" s="13" t="str">
        <x:f>IF(ISNUMBER(M11),M$5*M11,"")</x:f>
      </x:c>
      <x:c r="N22" s="13" t="str">
        <x:f>IF(ISNUMBER(N11),N$5*N11,"")</x:f>
      </x:c>
      <x:c r="O22" s="13" t="str">
        <x:f>IF(ISNUMBER(O11),O$5*O11,"")</x:f>
      </x:c>
      <x:c r="P22" s="13" t="str">
        <x:f>IF(ISNUMBER(P11),P$5*P11,"")</x:f>
      </x:c>
      <x:c r="Q22" s="13" t="str">
        <x:f>IF(ISNUMBER(Q11),Q$5*Q11,"")</x:f>
      </x:c>
    </x:row>
    <x:row r="23" ht="52" customHeight="1">
      <x:c r="A23" s="3" t="str">
        <x:v>Mpumalanga</x:v>
      </x:c>
      <x:c r="B23" s="3" t="str">
        <x:v>million L/year</x:v>
      </x:c>
      <x:c r="C23" s="3" t="str">
        <x:v>National demand × entered share</x:v>
      </x:c>
      <x:c r="D23" s="13" t="str">
        <x:f>IF(ISNUMBER(D12),D$5*D12,"")</x:f>
      </x:c>
      <x:c r="E23" s="13" t="str">
        <x:f>IF(ISNUMBER(E12),E$5*E12,"")</x:f>
      </x:c>
      <x:c r="F23" s="13" t="str">
        <x:f>IF(ISNUMBER(F12),F$5*F12,"")</x:f>
      </x:c>
      <x:c r="G23" s="13" t="str">
        <x:f>IF(ISNUMBER(G12),G$5*G12,"")</x:f>
      </x:c>
      <x:c r="H23" s="13" t="str">
        <x:f>IF(ISNUMBER(H12),H$5*H12,"")</x:f>
      </x:c>
      <x:c r="I23" s="13" t="str">
        <x:f>IF(ISNUMBER(I12),I$5*I12,"")</x:f>
      </x:c>
      <x:c r="J23" s="13" t="str">
        <x:f>IF(ISNUMBER(J12),J$5*J12,"")</x:f>
      </x:c>
      <x:c r="K23" s="13" t="str">
        <x:f>IF(ISNUMBER(K12),K$5*K12,"")</x:f>
      </x:c>
      <x:c r="L23" s="13" t="str">
        <x:f>IF(ISNUMBER(L12),L$5*L12,"")</x:f>
      </x:c>
      <x:c r="M23" s="13" t="str">
        <x:f>IF(ISNUMBER(M12),M$5*M12,"")</x:f>
      </x:c>
      <x:c r="N23" s="13" t="str">
        <x:f>IF(ISNUMBER(N12),N$5*N12,"")</x:f>
      </x:c>
      <x:c r="O23" s="13" t="str">
        <x:f>IF(ISNUMBER(O12),O$5*O12,"")</x:f>
      </x:c>
      <x:c r="P23" s="13" t="str">
        <x:f>IF(ISNUMBER(P12),P$5*P12,"")</x:f>
      </x:c>
      <x:c r="Q23" s="13" t="str">
        <x:f>IF(ISNUMBER(Q12),Q$5*Q12,"")</x:f>
      </x:c>
    </x:row>
    <x:row r="24" ht="52" customHeight="1">
      <x:c r="A24" s="3" t="str">
        <x:v>Northern Cape</x:v>
      </x:c>
      <x:c r="B24" s="3" t="str">
        <x:v>million L/year</x:v>
      </x:c>
      <x:c r="C24" s="3" t="str">
        <x:v>National demand × entered share</x:v>
      </x:c>
      <x:c r="D24" s="13" t="str">
        <x:f>IF(ISNUMBER(D13),D$5*D13,"")</x:f>
      </x:c>
      <x:c r="E24" s="13" t="str">
        <x:f>IF(ISNUMBER(E13),E$5*E13,"")</x:f>
      </x:c>
      <x:c r="F24" s="13" t="str">
        <x:f>IF(ISNUMBER(F13),F$5*F13,"")</x:f>
      </x:c>
      <x:c r="G24" s="13" t="str">
        <x:f>IF(ISNUMBER(G13),G$5*G13,"")</x:f>
      </x:c>
      <x:c r="H24" s="13" t="str">
        <x:f>IF(ISNUMBER(H13),H$5*H13,"")</x:f>
      </x:c>
      <x:c r="I24" s="13" t="str">
        <x:f>IF(ISNUMBER(I13),I$5*I13,"")</x:f>
      </x:c>
      <x:c r="J24" s="13" t="str">
        <x:f>IF(ISNUMBER(J13),J$5*J13,"")</x:f>
      </x:c>
      <x:c r="K24" s="13" t="str">
        <x:f>IF(ISNUMBER(K13),K$5*K13,"")</x:f>
      </x:c>
      <x:c r="L24" s="13" t="str">
        <x:f>IF(ISNUMBER(L13),L$5*L13,"")</x:f>
      </x:c>
      <x:c r="M24" s="13" t="str">
        <x:f>IF(ISNUMBER(M13),M$5*M13,"")</x:f>
      </x:c>
      <x:c r="N24" s="13" t="str">
        <x:f>IF(ISNUMBER(N13),N$5*N13,"")</x:f>
      </x:c>
      <x:c r="O24" s="13" t="str">
        <x:f>IF(ISNUMBER(O13),O$5*O13,"")</x:f>
      </x:c>
      <x:c r="P24" s="13" t="str">
        <x:f>IF(ISNUMBER(P13),P$5*P13,"")</x:f>
      </x:c>
      <x:c r="Q24" s="13" t="str">
        <x:f>IF(ISNUMBER(Q13),Q$5*Q13,"")</x:f>
      </x:c>
    </x:row>
    <x:row r="25" ht="52" customHeight="1">
      <x:c r="A25" s="3" t="str">
        <x:v>North West</x:v>
      </x:c>
      <x:c r="B25" s="3" t="str">
        <x:v>million L/year</x:v>
      </x:c>
      <x:c r="C25" s="3" t="str">
        <x:v>National demand × entered share</x:v>
      </x:c>
      <x:c r="D25" s="13" t="str">
        <x:f>IF(ISNUMBER(D14),D$5*D14,"")</x:f>
      </x:c>
      <x:c r="E25" s="13" t="str">
        <x:f>IF(ISNUMBER(E14),E$5*E14,"")</x:f>
      </x:c>
      <x:c r="F25" s="13" t="str">
        <x:f>IF(ISNUMBER(F14),F$5*F14,"")</x:f>
      </x:c>
      <x:c r="G25" s="13" t="str">
        <x:f>IF(ISNUMBER(G14),G$5*G14,"")</x:f>
      </x:c>
      <x:c r="H25" s="13" t="str">
        <x:f>IF(ISNUMBER(H14),H$5*H14,"")</x:f>
      </x:c>
      <x:c r="I25" s="13" t="str">
        <x:f>IF(ISNUMBER(I14),I$5*I14,"")</x:f>
      </x:c>
      <x:c r="J25" s="13" t="str">
        <x:f>IF(ISNUMBER(J14),J$5*J14,"")</x:f>
      </x:c>
      <x:c r="K25" s="13" t="str">
        <x:f>IF(ISNUMBER(K14),K$5*K14,"")</x:f>
      </x:c>
      <x:c r="L25" s="13" t="str">
        <x:f>IF(ISNUMBER(L14),L$5*L14,"")</x:f>
      </x:c>
      <x:c r="M25" s="13" t="str">
        <x:f>IF(ISNUMBER(M14),M$5*M14,"")</x:f>
      </x:c>
      <x:c r="N25" s="13" t="str">
        <x:f>IF(ISNUMBER(N14),N$5*N14,"")</x:f>
      </x:c>
      <x:c r="O25" s="13" t="str">
        <x:f>IF(ISNUMBER(O14),O$5*O14,"")</x:f>
      </x:c>
      <x:c r="P25" s="13" t="str">
        <x:f>IF(ISNUMBER(P14),P$5*P14,"")</x:f>
      </x:c>
      <x:c r="Q25" s="13" t="str">
        <x:f>IF(ISNUMBER(Q14),Q$5*Q14,"")</x:f>
      </x:c>
    </x:row>
    <x:row r="26" ht="52" customHeight="1">
      <x:c r="A26" s="3" t="str">
        <x:v>Western Cape</x:v>
      </x:c>
      <x:c r="B26" s="3" t="str">
        <x:v>million L/year</x:v>
      </x:c>
      <x:c r="C26" s="3" t="str">
        <x:v>National demand × entered share</x:v>
      </x:c>
      <x:c r="D26" s="13" t="str">
        <x:f>IF(ISNUMBER(D15),D$5*D15,"")</x:f>
      </x:c>
      <x:c r="E26" s="13" t="str">
        <x:f>IF(ISNUMBER(E15),E$5*E15,"")</x:f>
      </x:c>
      <x:c r="F26" s="13" t="str">
        <x:f>IF(ISNUMBER(F15),F$5*F15,"")</x:f>
      </x:c>
      <x:c r="G26" s="13" t="str">
        <x:f>IF(ISNUMBER(G15),G$5*G15,"")</x:f>
      </x:c>
      <x:c r="H26" s="13" t="str">
        <x:f>IF(ISNUMBER(H15),H$5*H15,"")</x:f>
      </x:c>
      <x:c r="I26" s="13" t="str">
        <x:f>IF(ISNUMBER(I15),I$5*I15,"")</x:f>
      </x:c>
      <x:c r="J26" s="13" t="str">
        <x:f>IF(ISNUMBER(J15),J$5*J15,"")</x:f>
      </x:c>
      <x:c r="K26" s="13" t="str">
        <x:f>IF(ISNUMBER(K15),K$5*K15,"")</x:f>
      </x:c>
      <x:c r="L26" s="13" t="str">
        <x:f>IF(ISNUMBER(L15),L$5*L15,"")</x:f>
      </x:c>
      <x:c r="M26" s="13" t="str">
        <x:f>IF(ISNUMBER(M15),M$5*M15,"")</x:f>
      </x:c>
      <x:c r="N26" s="13" t="str">
        <x:f>IF(ISNUMBER(N15),N$5*N15,"")</x:f>
      </x:c>
      <x:c r="O26" s="13" t="str">
        <x:f>IF(ISNUMBER(O15),O$5*O15,"")</x:f>
      </x:c>
      <x:c r="P26" s="13" t="str">
        <x:f>IF(ISNUMBER(P15),P$5*P15,"")</x:f>
      </x:c>
      <x:c r="Q26" s="13" t="str">
        <x:f>IF(ISNUMBER(Q15),Q$5*Q15,"")</x:f>
      </x:c>
    </x:row>
    <x:row r="27" ht="52" customHeight="1">
      <x:c r="A27" s="11" t="str">
        <x:v>Allocated demand</x:v>
      </x:c>
      <x:c r="B27" s="11" t="str">
        <x:v>million L/year</x:v>
      </x:c>
      <x:c r="C27" s="11" t="str">
        <x:v>Reporting calculation</x:v>
      </x:c>
      <x:c r="D27" s="23" t="str">
        <x:f>IF(COUNT(D18:D26)=0,"",SUM(D18:D26))</x:f>
      </x:c>
      <x:c r="E27" s="23" t="str">
        <x:f>IF(COUNT(E18:E26)=0,"",SUM(E18:E26))</x:f>
      </x:c>
      <x:c r="F27" s="23" t="str">
        <x:f>IF(COUNT(F18:F26)=0,"",SUM(F18:F26))</x:f>
      </x:c>
      <x:c r="G27" s="23" t="str">
        <x:f>IF(COUNT(G18:G26)=0,"",SUM(G18:G26))</x:f>
      </x:c>
      <x:c r="H27" s="23" t="str">
        <x:f>IF(COUNT(H18:H26)=0,"",SUM(H18:H26))</x:f>
      </x:c>
      <x:c r="I27" s="23" t="str">
        <x:f>IF(COUNT(I18:I26)=0,"",SUM(I18:I26))</x:f>
      </x:c>
      <x:c r="J27" s="23" t="str">
        <x:f>IF(COUNT(J18:J26)=0,"",SUM(J18:J26))</x:f>
      </x:c>
      <x:c r="K27" s="23" t="str">
        <x:f>IF(COUNT(K18:K26)=0,"",SUM(K18:K26))</x:f>
      </x:c>
      <x:c r="L27" s="23" t="str">
        <x:f>IF(COUNT(L18:L26)=0,"",SUM(L18:L26))</x:f>
      </x:c>
      <x:c r="M27" s="23" t="str">
        <x:f>IF(COUNT(M18:M26)=0,"",SUM(M18:M26))</x:f>
      </x:c>
      <x:c r="N27" s="23" t="str">
        <x:f>IF(COUNT(N18:N26)=0,"",SUM(N18:N26))</x:f>
      </x:c>
      <x:c r="O27" s="23" t="str">
        <x:f>IF(COUNT(O18:O26)=0,"",SUM(O18:O26))</x:f>
      </x:c>
      <x:c r="P27" s="23" t="str">
        <x:f>IF(COUNT(P18:P26)=0,"",SUM(P18:P26))</x:f>
      </x:c>
      <x:c r="Q27" s="23" t="str">
        <x:f>IF(COUNT(Q18:Q26)=0,"",SUM(Q18:Q26))</x:f>
      </x:c>
    </x:row>
    <x:row r="28" ht="52" customHeight="1">
      <x:c r="A28" s="11" t="str">
        <x:v>Unallocated demand</x:v>
      </x:c>
      <x:c r="B28" s="11" t="str">
        <x:v>million L/year</x:v>
      </x:c>
      <x:c r="C28" s="11" t="str">
        <x:v>Residual includes all missing allocations</x:v>
      </x:c>
      <x:c r="D28" s="23" t="n">
        <x:f>D5-SUM(D18:D26)</x:f>
        <x:v>6604.446599287105</x:v>
      </x:c>
      <x:c r="E28" s="23" t="n">
        <x:f>E5-SUM(E18:E26)</x:f>
        <x:v>6799.914661651272</x:v>
      </x:c>
      <x:c r="F28" s="23" t="n">
        <x:f>F5-SUM(F18:F26)</x:f>
        <x:v>6967.795194654524</x:v>
      </x:c>
      <x:c r="G28" s="23" t="n">
        <x:f>G5-SUM(G18:G26)</x:f>
        <x:v>7107.316650590699</x:v>
      </x:c>
      <x:c r="H28" s="23" t="n">
        <x:f>H5-SUM(H18:H26)</x:f>
        <x:v>7251.790037536385</x:v>
      </x:c>
      <x:c r="I28" s="23" t="n">
        <x:f>I5-SUM(I18:I26)</x:f>
        <x:v>7401.722983680083</x:v>
      </x:c>
      <x:c r="J28" s="23" t="n">
        <x:f>J5-SUM(J18:J26)</x:f>
        <x:v>7557.50860212469</x:v>
      </x:c>
      <x:c r="K28" s="23" t="n">
        <x:f>K5-SUM(K18:K26)</x:f>
        <x:v>7719.319498873311</x:v>
      </x:c>
      <x:c r="L28" s="23" t="n">
        <x:f>L5-SUM(L18:L26)</x:f>
        <x:v>7887.060129324876</x:v>
      </x:c>
      <x:c r="M28" s="23" t="n">
        <x:f>M5-SUM(M18:M26)</x:f>
        <x:v>8059.708885814958</x:v>
      </x:c>
      <x:c r="N28" s="23" t="n">
        <x:f>N5-SUM(N18:N26)</x:f>
        <x:v>8236.07844978074</x:v>
      </x:c>
      <x:c r="O28" s="23" t="n">
        <x:f>O5-SUM(O18:O26)</x:f>
        <x:v>8414.77120216453</x:v>
      </x:c>
      <x:c r="P28" s="23" t="n">
        <x:f>P5-SUM(P18:P26)</x:f>
        <x:v>8594.142435126007</x:v>
      </x:c>
      <x:c r="Q28" s="23" t="n">
        <x:f>Q5-SUM(Q18:Q26)</x:f>
        <x:v>8772.288312452163</x:v>
      </x:c>
    </x:row>
    <x:row r="29" ht="52" customHeight="1">
      <x:c r="A29" s="11" t="str">
        <x:v>Allocation check</x:v>
      </x:c>
      <x:c r="B29" s="11" t="str">
        <x:v>check</x:v>
      </x:c>
      <x:c r="C29" s="11" t="str">
        <x:v>Complete when nine numeric shares sum to 100%</x:v>
      </x:c>
      <x:c r="D29" s="11" t="str">
        <x:f>IF(COUNT(D7:D15)&lt;9,"Missing shares",IF(ABS(SUM(D7:D15)-1)&lt;0.000001,"Reconciled","Shares do not sum to 100%"))</x:f>
        <x:v>Missing shares</x:v>
      </x:c>
      <x:c r="E29" s="11" t="str">
        <x:f>IF(COUNT(E7:E15)&lt;9,"Missing shares",IF(ABS(SUM(E7:E15)-1)&lt;0.000001,"Reconciled","Shares do not sum to 100%"))</x:f>
        <x:v>Missing shares</x:v>
      </x:c>
      <x:c r="F29" s="11" t="str">
        <x:f>IF(COUNT(F7:F15)&lt;9,"Missing shares",IF(ABS(SUM(F7:F15)-1)&lt;0.000001,"Reconciled","Shares do not sum to 100%"))</x:f>
        <x:v>Missing shares</x:v>
      </x:c>
      <x:c r="G29" s="11" t="str">
        <x:f>IF(COUNT(G7:G15)&lt;9,"Missing shares",IF(ABS(SUM(G7:G15)-1)&lt;0.000001,"Reconciled","Shares do not sum to 100%"))</x:f>
        <x:v>Missing shares</x:v>
      </x:c>
      <x:c r="H29" s="11" t="str">
        <x:f>IF(COUNT(H7:H15)&lt;9,"Missing shares",IF(ABS(SUM(H7:H15)-1)&lt;0.000001,"Reconciled","Shares do not sum to 100%"))</x:f>
        <x:v>Missing shares</x:v>
      </x:c>
      <x:c r="I29" s="11" t="str">
        <x:f>IF(COUNT(I7:I15)&lt;9,"Missing shares",IF(ABS(SUM(I7:I15)-1)&lt;0.000001,"Reconciled","Shares do not sum to 100%"))</x:f>
        <x:v>Missing shares</x:v>
      </x:c>
      <x:c r="J29" s="11" t="str">
        <x:f>IF(COUNT(J7:J15)&lt;9,"Missing shares",IF(ABS(SUM(J7:J15)-1)&lt;0.000001,"Reconciled","Shares do not sum to 100%"))</x:f>
        <x:v>Missing shares</x:v>
      </x:c>
      <x:c r="K29" s="11" t="str">
        <x:f>IF(COUNT(K7:K15)&lt;9,"Missing shares",IF(ABS(SUM(K7:K15)-1)&lt;0.000001,"Reconciled","Shares do not sum to 100%"))</x:f>
        <x:v>Missing shares</x:v>
      </x:c>
      <x:c r="L29" s="11" t="str">
        <x:f>IF(COUNT(L7:L15)&lt;9,"Missing shares",IF(ABS(SUM(L7:L15)-1)&lt;0.000001,"Reconciled","Shares do not sum to 100%"))</x:f>
        <x:v>Missing shares</x:v>
      </x:c>
      <x:c r="M29" s="11" t="str">
        <x:f>IF(COUNT(M7:M15)&lt;9,"Missing shares",IF(ABS(SUM(M7:M15)-1)&lt;0.000001,"Reconciled","Shares do not sum to 100%"))</x:f>
        <x:v>Missing shares</x:v>
      </x:c>
      <x:c r="N29" s="11" t="str">
        <x:f>IF(COUNT(N7:N15)&lt;9,"Missing shares",IF(ABS(SUM(N7:N15)-1)&lt;0.000001,"Reconciled","Shares do not sum to 100%"))</x:f>
        <x:v>Missing shares</x:v>
      </x:c>
      <x:c r="O29" s="11" t="str">
        <x:f>IF(COUNT(O7:O15)&lt;9,"Missing shares",IF(ABS(SUM(O7:O15)-1)&lt;0.000001,"Reconciled","Shares do not sum to 100%"))</x:f>
        <x:v>Missing shares</x:v>
      </x:c>
      <x:c r="P29" s="11" t="str">
        <x:f>IF(COUNT(P7:P15)&lt;9,"Missing shares",IF(ABS(SUM(P7:P15)-1)&lt;0.000001,"Reconciled","Shares do not sum to 100%"))</x:f>
        <x:v>Missing shares</x:v>
      </x:c>
      <x:c r="Q29" s="11" t="str">
        <x:f>IF(COUNT(Q7:Q15)&lt;9,"Missing shares",IF(ABS(SUM(Q7:Q15)-1)&lt;0.000001,"Reconciled","Shares do not sum to 100%"))</x:f>
        <x:v>Missing shares</x:v>
      </x:c>
    </x:row>
    <x:row r="30" ht="52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</x:row>
    <x:row r="31" ht="52" customHeight="1">
      <x:c r="A31" s="3" t="str">
        <x:v>Other segments</x:v>
      </x:c>
      <x:c r="B31" s="3" t="str">
        <x:v>Workshop decision</x:v>
      </x:c>
      <x:c r="C31" s="3" t="str">
        <x:v>Repeat by segment with its own allocation evidence. For local calculations, replace allocated rows with engine outputs; retain national reconciliation.</x:v>
      </x:c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</x:row>
    <x:row r="32" ht="52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</x:row>
    <x:row r="33" ht="65" customHeight="1">
      <x:c r="A33" s="62" t="str">
        <x:v>Observed provincial fuel sales</x:v>
      </x:c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</x:row>
    <x:row r="34" ht="65" customHeight="1">
      <x:c r="A34" s="3" t="str">
        <x:v>EC petrol</x:v>
      </x:c>
      <x:c r="B34" s="3" t="str">
        <x:v>million L/year</x:v>
      </x:c>
      <x:c r="C34" s="3" t="str">
        <x:v>Observed product sales, not passenger/freight-only demand.</x:v>
      </x:c>
      <x:c r="D34" s="26" t="n">
        <x:f>IF(ISNUMBER('Evidence'!F43),'Evidence'!F43,"")</x:f>
        <x:v>703.1324447169991</x:v>
      </x:c>
      <x:c r="E34" s="26"/>
      <x:c r="F34" s="26"/>
      <x:c r="G34" s="26"/>
      <x:c r="H34" s="26"/>
      <x:c r="I34" s="26"/>
      <x:c r="J34" s="26"/>
      <x:c r="K34" s="26"/>
      <x:c r="L34" s="26"/>
      <x:c r="M34" s="26"/>
      <x:c r="N34" s="26"/>
      <x:c r="O34" s="26"/>
      <x:c r="P34" s="26"/>
      <x:c r="Q34" s="26"/>
      <x:c r="R34" s="26" t="n">
        <x:f>IF(ISNUMBER('Evidence'!D43),'Evidence'!D43,"")</x:f>
        <x:v>169.98341841600003</x:v>
      </x:c>
      <x:c r="S34" s="3" t="str">
        <x:v>2023 Q1 only</x:v>
      </x:c>
      <x:c r="T34" s="3" t="str">
        <x:v>2022 full year; latest Q1 2023 in R, not annualised.</x:v>
      </x:c>
      <x:c r="U34" s="3" t="str">
        <x:v>https://github.com/Africa-International-Advisors/liquid_fuels_model/blob/8c69f8333192483f19cd80911cb90fcd0943eb6b/assumptions/2026/timeseries/fuel_sales_department_by_province_quarterly.csv</x:v>
      </x:c>
      <x:c r="V34" s="3" t="str">
        <x:v>G11: obtain later complete years and sector allocation. Do not use total petrol shares automatically for passenger demand.</x:v>
      </x:c>
    </x:row>
    <x:row r="35" ht="65" customHeight="1">
      <x:c r="A35" s="3" t="str">
        <x:v>FS petrol</x:v>
      </x:c>
      <x:c r="B35" s="3" t="str">
        <x:v>million L/year</x:v>
      </x:c>
      <x:c r="C35" s="3" t="str">
        <x:v>Observed product sales, not passenger/freight-only demand.</x:v>
      </x:c>
      <x:c r="D35" s="26" t="n">
        <x:f>IF(ISNUMBER('Evidence'!F44),'Evidence'!F44,"")</x:f>
        <x:v>587.4580081820001</x:v>
      </x:c>
      <x:c r="E35" s="26"/>
      <x:c r="F35" s="26"/>
      <x:c r="G35" s="26"/>
      <x:c r="H35" s="26"/>
      <x:c r="I35" s="26"/>
      <x:c r="J35" s="26"/>
      <x:c r="K35" s="26"/>
      <x:c r="L35" s="26"/>
      <x:c r="M35" s="26"/>
      <x:c r="N35" s="26"/>
      <x:c r="O35" s="26"/>
      <x:c r="P35" s="26"/>
      <x:c r="Q35" s="26"/>
      <x:c r="R35" s="26" t="n">
        <x:f>IF(ISNUMBER('Evidence'!D44),'Evidence'!D44,"")</x:f>
        <x:v>134.24808912900002</x:v>
      </x:c>
      <x:c r="S35" s="3" t="str">
        <x:v>2023 Q1 only</x:v>
      </x:c>
      <x:c r="T35" s="3" t="str">
        <x:v>2022 full year; latest Q1 2023 in R, not annualised.</x:v>
      </x:c>
      <x:c r="U35" s="3" t="str">
        <x:v>https://github.com/Africa-International-Advisors/liquid_fuels_model/blob/8c69f8333192483f19cd80911cb90fcd0943eb6b/assumptions/2026/timeseries/fuel_sales_department_by_province_quarterly.csv</x:v>
      </x:c>
      <x:c r="V35" s="3" t="str">
        <x:v>G11: obtain later complete years and sector allocation. Do not use total petrol shares automatically for passenger demand.</x:v>
      </x:c>
    </x:row>
    <x:row r="36" ht="65" customHeight="1">
      <x:c r="A36" s="3" t="str">
        <x:v>GP petrol</x:v>
      </x:c>
      <x:c r="B36" s="3" t="str">
        <x:v>million L/year</x:v>
      </x:c>
      <x:c r="C36" s="3" t="str">
        <x:v>Observed product sales, not passenger/freight-only demand.</x:v>
      </x:c>
      <x:c r="D36" s="26" t="n">
        <x:f>IF(ISNUMBER('Evidence'!F45),'Evidence'!F45,"")</x:f>
        <x:v>3530.440256933996</x:v>
      </x:c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  <x:c r="O36" s="26"/>
      <x:c r="P36" s="26"/>
      <x:c r="Q36" s="26"/>
      <x:c r="R36" s="26" t="n">
        <x:f>IF(ISNUMBER('Evidence'!D45),'Evidence'!D45,"")</x:f>
        <x:v>866.542928499998</x:v>
      </x:c>
      <x:c r="S36" s="3" t="str">
        <x:v>2023 Q1 only</x:v>
      </x:c>
      <x:c r="T36" s="3" t="str">
        <x:v>2022 full year; latest Q1 2023 in R, not annualised.</x:v>
      </x:c>
      <x:c r="U36" s="3" t="str">
        <x:v>https://github.com/Africa-International-Advisors/liquid_fuels_model/blob/8c69f8333192483f19cd80911cb90fcd0943eb6b/assumptions/2026/timeseries/fuel_sales_department_by_province_quarterly.csv</x:v>
      </x:c>
      <x:c r="V36" s="3" t="str">
        <x:v>G11: obtain later complete years and sector allocation. Do not use total petrol shares automatically for passenger demand.</x:v>
      </x:c>
    </x:row>
    <x:row r="37" ht="65" customHeight="1">
      <x:c r="A37" s="3" t="str">
        <x:v>KZN petrol</x:v>
      </x:c>
      <x:c r="B37" s="3" t="str">
        <x:v>million L/year</x:v>
      </x:c>
      <x:c r="C37" s="3" t="str">
        <x:v>Observed product sales, not passenger/freight-only demand.</x:v>
      </x:c>
      <x:c r="D37" s="26" t="n">
        <x:f>IF(ISNUMBER('Evidence'!F46),'Evidence'!F46,"")</x:f>
        <x:v>1498.9378933949993</x:v>
      </x:c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  <x:c r="O37" s="26"/>
      <x:c r="P37" s="26"/>
      <x:c r="Q37" s="26"/>
      <x:c r="R37" s="26" t="n">
        <x:f>IF(ISNUMBER('Evidence'!D46),'Evidence'!D46,"")</x:f>
        <x:v>365.0497116949989</x:v>
      </x:c>
      <x:c r="S37" s="3" t="str">
        <x:v>2023 Q1 only</x:v>
      </x:c>
      <x:c r="T37" s="3" t="str">
        <x:v>2022 full year; latest Q1 2023 in R, not annualised.</x:v>
      </x:c>
      <x:c r="U37" s="3" t="str">
        <x:v>https://github.com/Africa-International-Advisors/liquid_fuels_model/blob/8c69f8333192483f19cd80911cb90fcd0943eb6b/assumptions/2026/timeseries/fuel_sales_department_by_province_quarterly.csv</x:v>
      </x:c>
      <x:c r="V37" s="3" t="str">
        <x:v>G11: obtain later complete years and sector allocation. Do not use total petrol shares automatically for passenger demand.</x:v>
      </x:c>
    </x:row>
    <x:row r="38" ht="65" customHeight="1">
      <x:c r="A38" s="3" t="str">
        <x:v>LP petrol</x:v>
      </x:c>
      <x:c r="B38" s="3" t="str">
        <x:v>million L/year</x:v>
      </x:c>
      <x:c r="C38" s="3" t="str">
        <x:v>Observed product sales, not passenger/freight-only demand.</x:v>
      </x:c>
      <x:c r="D38" s="26" t="n">
        <x:f>IF(ISNUMBER('Evidence'!F47),'Evidence'!F47,"")</x:f>
        <x:v>273.644045045999</x:v>
      </x:c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  <x:c r="O38" s="26"/>
      <x:c r="P38" s="26"/>
      <x:c r="Q38" s="26"/>
      <x:c r="R38" s="26" t="n">
        <x:f>IF(ISNUMBER('Evidence'!D47),'Evidence'!D47,"")</x:f>
        <x:v>68.09202067700001</x:v>
      </x:c>
      <x:c r="S38" s="3" t="str">
        <x:v>2023 Q1 only</x:v>
      </x:c>
      <x:c r="T38" s="3" t="str">
        <x:v>2022 full year; latest Q1 2023 in R, not annualised.</x:v>
      </x:c>
      <x:c r="U38" s="3" t="str">
        <x:v>https://github.com/Africa-International-Advisors/liquid_fuels_model/blob/8c69f8333192483f19cd80911cb90fcd0943eb6b/assumptions/2026/timeseries/fuel_sales_department_by_province_quarterly.csv</x:v>
      </x:c>
      <x:c r="V38" s="3" t="str">
        <x:v>G11: obtain later complete years and sector allocation. Do not use total petrol shares automatically for passenger demand.</x:v>
      </x:c>
    </x:row>
    <x:row r="39" ht="65" customHeight="1">
      <x:c r="A39" s="3" t="str">
        <x:v>MP petrol</x:v>
      </x:c>
      <x:c r="B39" s="3" t="str">
        <x:v>million L/year</x:v>
      </x:c>
      <x:c r="C39" s="3" t="str">
        <x:v>Observed product sales, not passenger/freight-only demand.</x:v>
      </x:c>
      <x:c r="D39" s="26" t="n">
        <x:f>IF(ISNUMBER('Evidence'!F48),'Evidence'!F48,"")</x:f>
        <x:v>612.2656460789989</x:v>
      </x:c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  <x:c r="O39" s="26"/>
      <x:c r="P39" s="26"/>
      <x:c r="Q39" s="26"/>
      <x:c r="R39" s="26" t="n">
        <x:f>IF(ISNUMBER('Evidence'!D48),'Evidence'!D48,"")</x:f>
        <x:v>159.66702741400002</x:v>
      </x:c>
      <x:c r="S39" s="3" t="str">
        <x:v>2023 Q1 only</x:v>
      </x:c>
      <x:c r="T39" s="3" t="str">
        <x:v>2022 full year; latest Q1 2023 in R, not annualised.</x:v>
      </x:c>
      <x:c r="U39" s="3" t="str">
        <x:v>https://github.com/Africa-International-Advisors/liquid_fuels_model/blob/8c69f8333192483f19cd80911cb90fcd0943eb6b/assumptions/2026/timeseries/fuel_sales_department_by_province_quarterly.csv</x:v>
      </x:c>
      <x:c r="V39" s="3" t="str">
        <x:v>G11: obtain later complete years and sector allocation. Do not use total petrol shares automatically for passenger demand.</x:v>
      </x:c>
    </x:row>
    <x:row r="40" ht="65" customHeight="1">
      <x:c r="A40" s="3" t="str">
        <x:v>NC petrol</x:v>
      </x:c>
      <x:c r="B40" s="3" t="str">
        <x:v>million L/year</x:v>
      </x:c>
      <x:c r="C40" s="3" t="str">
        <x:v>Observed product sales, not passenger/freight-only demand.</x:v>
      </x:c>
      <x:c r="D40" s="26" t="n">
        <x:f>IF(ISNUMBER('Evidence'!F49),'Evidence'!F49,"")</x:f>
        <x:v>99.82992901300001</x:v>
      </x:c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  <x:c r="O40" s="26"/>
      <x:c r="P40" s="26"/>
      <x:c r="Q40" s="26"/>
      <x:c r="R40" s="26" t="n">
        <x:f>IF(ISNUMBER('Evidence'!D49),'Evidence'!D49,"")</x:f>
        <x:v>24.616719420000003</x:v>
      </x:c>
      <x:c r="S40" s="3" t="str">
        <x:v>2023 Q1 only</x:v>
      </x:c>
      <x:c r="T40" s="3" t="str">
        <x:v>2022 full year; latest Q1 2023 in R, not annualised.</x:v>
      </x:c>
      <x:c r="U40" s="3" t="str">
        <x:v>https://github.com/Africa-International-Advisors/liquid_fuels_model/blob/8c69f8333192483f19cd80911cb90fcd0943eb6b/assumptions/2026/timeseries/fuel_sales_department_by_province_quarterly.csv</x:v>
      </x:c>
      <x:c r="V40" s="3" t="str">
        <x:v>G11: obtain later complete years and sector allocation. Do not use total petrol shares automatically for passenger demand.</x:v>
      </x:c>
    </x:row>
    <x:row r="41" ht="65" customHeight="1">
      <x:c r="A41" s="3" t="str">
        <x:v>NW petrol</x:v>
      </x:c>
      <x:c r="B41" s="3" t="str">
        <x:v>million L/year</x:v>
      </x:c>
      <x:c r="C41" s="3" t="str">
        <x:v>Observed product sales, not passenger/freight-only demand.</x:v>
      </x:c>
      <x:c r="D41" s="26" t="n">
        <x:f>IF(ISNUMBER('Evidence'!F50),'Evidence'!F50,"")</x:f>
        <x:v>448.1562321239999</x:v>
      </x:c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  <x:c r="O41" s="26"/>
      <x:c r="P41" s="26"/>
      <x:c r="Q41" s="26"/>
      <x:c r="R41" s="26" t="n">
        <x:f>IF(ISNUMBER('Evidence'!D50),'Evidence'!D50,"")</x:f>
        <x:v>107.87280811099996</x:v>
      </x:c>
      <x:c r="S41" s="3" t="str">
        <x:v>2023 Q1 only</x:v>
      </x:c>
      <x:c r="T41" s="3" t="str">
        <x:v>2022 full year; latest Q1 2023 in R, not annualised.</x:v>
      </x:c>
      <x:c r="U41" s="3" t="str">
        <x:v>https://github.com/Africa-International-Advisors/liquid_fuels_model/blob/8c69f8333192483f19cd80911cb90fcd0943eb6b/assumptions/2026/timeseries/fuel_sales_department_by_province_quarterly.csv</x:v>
      </x:c>
      <x:c r="V41" s="3" t="str">
        <x:v>G11: obtain later complete years and sector allocation. Do not use total petrol shares automatically for passenger demand.</x:v>
      </x:c>
    </x:row>
    <x:row r="42" ht="65" customHeight="1">
      <x:c r="A42" s="3" t="str">
        <x:v>WC petrol</x:v>
      </x:c>
      <x:c r="B42" s="3" t="str">
        <x:v>million L/year</x:v>
      </x:c>
      <x:c r="C42" s="3" t="str">
        <x:v>Observed product sales, not passenger/freight-only demand.</x:v>
      </x:c>
      <x:c r="D42" s="26" t="n">
        <x:f>IF(ISNUMBER('Evidence'!F51),'Evidence'!F51,"")</x:f>
        <x:v>1431.0054600829972</x:v>
      </x:c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  <x:c r="O42" s="26"/>
      <x:c r="P42" s="26"/>
      <x:c r="Q42" s="26"/>
      <x:c r="R42" s="26" t="n">
        <x:f>IF(ISNUMBER('Evidence'!D51),'Evidence'!D51,"")</x:f>
        <x:v>366.983397196</x:v>
      </x:c>
      <x:c r="S42" s="3" t="str">
        <x:v>2023 Q1 only</x:v>
      </x:c>
      <x:c r="T42" s="3" t="str">
        <x:v>2022 full year; latest Q1 2023 in R, not annualised.</x:v>
      </x:c>
      <x:c r="U42" s="3" t="str">
        <x:v>https://github.com/Africa-International-Advisors/liquid_fuels_model/blob/8c69f8333192483f19cd80911cb90fcd0943eb6b/assumptions/2026/timeseries/fuel_sales_department_by_province_quarterly.csv</x:v>
      </x:c>
      <x:c r="V42" s="3" t="str">
        <x:v>G11: obtain later complete years and sector allocation. Do not use total petrol shares automatically for passenger demand.</x:v>
      </x:c>
    </x:row>
    <x:row r="43" ht="65" customHeight="1">
      <x:c r="A43" s="3" t="str">
        <x:v>EC diesel</x:v>
      </x:c>
      <x:c r="B43" s="3" t="str">
        <x:v>million L/year</x:v>
      </x:c>
      <x:c r="C43" s="3" t="str">
        <x:v>Observed product sales, not passenger/freight-only demand.</x:v>
      </x:c>
      <x:c r="D43" s="26" t="n">
        <x:f>IF(ISNUMBER('Evidence'!F52),'Evidence'!F52,"")</x:f>
        <x:v>1032.35218272</x:v>
      </x:c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  <x:c r="O43" s="26"/>
      <x:c r="P43" s="26"/>
      <x:c r="Q43" s="26"/>
      <x:c r="R43" s="26" t="n">
        <x:f>IF(ISNUMBER('Evidence'!D52),'Evidence'!D52,"")</x:f>
        <x:v>249.20989487100007</x:v>
      </x:c>
      <x:c r="S43" s="3" t="str">
        <x:v>2023 Q1 only</x:v>
      </x:c>
      <x:c r="T43" s="3" t="str">
        <x:v>2022 full year; latest Q1 2023 in R, not annualised.</x:v>
      </x:c>
      <x:c r="U43" s="3" t="str">
        <x:v>https://github.com/Africa-International-Advisors/liquid_fuels_model/blob/8c69f8333192483f19cd80911cb90fcd0943eb6b/assumptions/2026/timeseries/fuel_sales_department_by_province_quarterly.csv</x:v>
      </x:c>
      <x:c r="V43" s="3" t="str">
        <x:v>G11: obtain later complete years and sector allocation. Do not use total petrol shares automatically for passenger demand.</x:v>
      </x:c>
    </x:row>
    <x:row r="44" ht="65" customHeight="1">
      <x:c r="A44" s="3" t="str">
        <x:v>FS diesel</x:v>
      </x:c>
      <x:c r="B44" s="3" t="str">
        <x:v>million L/year</x:v>
      </x:c>
      <x:c r="C44" s="3" t="str">
        <x:v>Observed product sales, not passenger/freight-only demand.</x:v>
      </x:c>
      <x:c r="D44" s="26" t="n">
        <x:f>IF(ISNUMBER('Evidence'!F53),'Evidence'!F53,"")</x:f>
        <x:v>781.8611598310002</x:v>
      </x:c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  <x:c r="O44" s="26"/>
      <x:c r="P44" s="26"/>
      <x:c r="Q44" s="26"/>
      <x:c r="R44" s="26" t="n">
        <x:f>IF(ISNUMBER('Evidence'!D53),'Evidence'!D53,"")</x:f>
        <x:v>171.380981426</x:v>
      </x:c>
      <x:c r="S44" s="3" t="str">
        <x:v>2023 Q1 only</x:v>
      </x:c>
      <x:c r="T44" s="3" t="str">
        <x:v>2022 full year; latest Q1 2023 in R, not annualised.</x:v>
      </x:c>
      <x:c r="U44" s="3" t="str">
        <x:v>https://github.com/Africa-International-Advisors/liquid_fuels_model/blob/8c69f8333192483f19cd80911cb90fcd0943eb6b/assumptions/2026/timeseries/fuel_sales_department_by_province_quarterly.csv</x:v>
      </x:c>
      <x:c r="V44" s="3" t="str">
        <x:v>G11: obtain later complete years and sector allocation. Do not use total petrol shares automatically for passenger demand.</x:v>
      </x:c>
    </x:row>
    <x:row r="45" ht="65" customHeight="1">
      <x:c r="A45" s="3" t="str">
        <x:v>GP diesel</x:v>
      </x:c>
      <x:c r="B45" s="3" t="str">
        <x:v>million L/year</x:v>
      </x:c>
      <x:c r="C45" s="3" t="str">
        <x:v>Observed product sales, not passenger/freight-only demand.</x:v>
      </x:c>
      <x:c r="D45" s="26" t="n">
        <x:f>IF(ISNUMBER('Evidence'!F54),'Evidence'!F54,"")</x:f>
        <x:v>3278.9905019619987</x:v>
      </x:c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  <x:c r="O45" s="26"/>
      <x:c r="P45" s="26"/>
      <x:c r="Q45" s="26"/>
      <x:c r="R45" s="26" t="n">
        <x:f>IF(ISNUMBER('Evidence'!D54),'Evidence'!D54,"")</x:f>
        <x:v>819.754786399999</x:v>
      </x:c>
      <x:c r="S45" s="3" t="str">
        <x:v>2023 Q1 only</x:v>
      </x:c>
      <x:c r="T45" s="3" t="str">
        <x:v>2022 full year; latest Q1 2023 in R, not annualised.</x:v>
      </x:c>
      <x:c r="U45" s="3" t="str">
        <x:v>https://github.com/Africa-International-Advisors/liquid_fuels_model/blob/8c69f8333192483f19cd80911cb90fcd0943eb6b/assumptions/2026/timeseries/fuel_sales_department_by_province_quarterly.csv</x:v>
      </x:c>
      <x:c r="V45" s="3" t="str">
        <x:v>G11: obtain later complete years and sector allocation. Do not use total petrol shares automatically for passenger demand.</x:v>
      </x:c>
    </x:row>
    <x:row r="46" ht="65" customHeight="1">
      <x:c r="A46" s="3" t="str">
        <x:v>KZN diesel</x:v>
      </x:c>
      <x:c r="B46" s="3" t="str">
        <x:v>million L/year</x:v>
      </x:c>
      <x:c r="C46" s="3" t="str">
        <x:v>Observed product sales, not passenger/freight-only demand.</x:v>
      </x:c>
      <x:c r="D46" s="26" t="n">
        <x:f>IF(ISNUMBER('Evidence'!F55),'Evidence'!F55,"")</x:f>
        <x:v>2785.5548025030002</x:v>
      </x:c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  <x:c r="O46" s="26"/>
      <x:c r="P46" s="26"/>
      <x:c r="Q46" s="26"/>
      <x:c r="R46" s="26" t="n">
        <x:f>IF(ISNUMBER('Evidence'!D55),'Evidence'!D55,"")</x:f>
        <x:v>599.6235340870004</x:v>
      </x:c>
      <x:c r="S46" s="3" t="str">
        <x:v>2023 Q1 only</x:v>
      </x:c>
      <x:c r="T46" s="3" t="str">
        <x:v>2022 full year; latest Q1 2023 in R, not annualised.</x:v>
      </x:c>
      <x:c r="U46" s="3" t="str">
        <x:v>https://github.com/Africa-International-Advisors/liquid_fuels_model/blob/8c69f8333192483f19cd80911cb90fcd0943eb6b/assumptions/2026/timeseries/fuel_sales_department_by_province_quarterly.csv</x:v>
      </x:c>
      <x:c r="V46" s="3" t="str">
        <x:v>G11: obtain later complete years and sector allocation. Do not use total petrol shares automatically for passenger demand.</x:v>
      </x:c>
    </x:row>
    <x:row r="47" ht="65" customHeight="1">
      <x:c r="A47" s="3" t="str">
        <x:v>LP diesel</x:v>
      </x:c>
      <x:c r="B47" s="3" t="str">
        <x:v>million L/year</x:v>
      </x:c>
      <x:c r="C47" s="3" t="str">
        <x:v>Observed product sales, not passenger/freight-only demand.</x:v>
      </x:c>
      <x:c r="D47" s="26" t="n">
        <x:f>IF(ISNUMBER('Evidence'!F56),'Evidence'!F56,"")</x:f>
        <x:v>221.987440248</x:v>
      </x:c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  <x:c r="O47" s="26"/>
      <x:c r="P47" s="26"/>
      <x:c r="Q47" s="26"/>
      <x:c r="R47" s="26" t="n">
        <x:f>IF(ISNUMBER('Evidence'!D56),'Evidence'!D56,"")</x:f>
        <x:v>59.657977532</x:v>
      </x:c>
      <x:c r="S47" s="3" t="str">
        <x:v>2023 Q1 only</x:v>
      </x:c>
      <x:c r="T47" s="3" t="str">
        <x:v>2022 full year; latest Q1 2023 in R, not annualised.</x:v>
      </x:c>
      <x:c r="U47" s="3" t="str">
        <x:v>https://github.com/Africa-International-Advisors/liquid_fuels_model/blob/8c69f8333192483f19cd80911cb90fcd0943eb6b/assumptions/2026/timeseries/fuel_sales_department_by_province_quarterly.csv</x:v>
      </x:c>
      <x:c r="V47" s="3" t="str">
        <x:v>G11: obtain later complete years and sector allocation. Do not use total petrol shares automatically for passenger demand.</x:v>
      </x:c>
    </x:row>
    <x:row r="48" ht="65" customHeight="1">
      <x:c r="A48" s="3" t="str">
        <x:v>MP diesel</x:v>
      </x:c>
      <x:c r="B48" s="3" t="str">
        <x:v>million L/year</x:v>
      </x:c>
      <x:c r="C48" s="3" t="str">
        <x:v>Observed product sales, not passenger/freight-only demand.</x:v>
      </x:c>
      <x:c r="D48" s="26" t="n">
        <x:f>IF(ISNUMBER('Evidence'!F57),'Evidence'!F57,"")</x:f>
        <x:v>1144.924075864997</x:v>
      </x:c>
      <x:c r="E48" s="26"/>
      <x:c r="F48" s="26"/>
      <x:c r="G48" s="26"/>
      <x:c r="H48" s="26"/>
      <x:c r="I48" s="26"/>
      <x:c r="J48" s="26"/>
      <x:c r="K48" s="26"/>
      <x:c r="L48" s="26"/>
      <x:c r="M48" s="26"/>
      <x:c r="N48" s="26"/>
      <x:c r="O48" s="26"/>
      <x:c r="P48" s="26"/>
      <x:c r="Q48" s="26"/>
      <x:c r="R48" s="26" t="n">
        <x:f>IF(ISNUMBER('Evidence'!D57),'Evidence'!D57,"")</x:f>
        <x:v>289.1097057700001</x:v>
      </x:c>
      <x:c r="S48" s="3" t="str">
        <x:v>2023 Q1 only</x:v>
      </x:c>
      <x:c r="T48" s="3" t="str">
        <x:v>2022 full year; latest Q1 2023 in R, not annualised.</x:v>
      </x:c>
      <x:c r="U48" s="3" t="str">
        <x:v>https://github.com/Africa-International-Advisors/liquid_fuels_model/blob/8c69f8333192483f19cd80911cb90fcd0943eb6b/assumptions/2026/timeseries/fuel_sales_department_by_province_quarterly.csv</x:v>
      </x:c>
      <x:c r="V48" s="3" t="str">
        <x:v>G11: obtain later complete years and sector allocation. Do not use total petrol shares automatically for passenger demand.</x:v>
      </x:c>
    </x:row>
    <x:row r="49" ht="65" customHeight="1">
      <x:c r="A49" s="3" t="str">
        <x:v>NC diesel</x:v>
      </x:c>
      <x:c r="B49" s="3" t="str">
        <x:v>million L/year</x:v>
      </x:c>
      <x:c r="C49" s="3" t="str">
        <x:v>Observed product sales, not passenger/freight-only demand.</x:v>
      </x:c>
      <x:c r="D49" s="26" t="n">
        <x:f>IF(ISNUMBER('Evidence'!F58),'Evidence'!F58,"")</x:f>
        <x:v>351.9801199100001</x:v>
      </x:c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  <x:c r="O49" s="26"/>
      <x:c r="P49" s="26"/>
      <x:c r="Q49" s="26"/>
      <x:c r="R49" s="26" t="n">
        <x:f>IF(ISNUMBER('Evidence'!D58),'Evidence'!D58,"")</x:f>
        <x:v>88.67814113899999</x:v>
      </x:c>
      <x:c r="S49" s="3" t="str">
        <x:v>2023 Q1 only</x:v>
      </x:c>
      <x:c r="T49" s="3" t="str">
        <x:v>2022 full year; latest Q1 2023 in R, not annualised.</x:v>
      </x:c>
      <x:c r="U49" s="3" t="str">
        <x:v>https://github.com/Africa-International-Advisors/liquid_fuels_model/blob/8c69f8333192483f19cd80911cb90fcd0943eb6b/assumptions/2026/timeseries/fuel_sales_department_by_province_quarterly.csv</x:v>
      </x:c>
      <x:c r="V49" s="3" t="str">
        <x:v>G11: obtain later complete years and sector allocation. Do not use total petrol shares automatically for passenger demand.</x:v>
      </x:c>
    </x:row>
    <x:row r="50" ht="65" customHeight="1">
      <x:c r="A50" s="3" t="str">
        <x:v>NW diesel</x:v>
      </x:c>
      <x:c r="B50" s="3" t="str">
        <x:v>million L/year</x:v>
      </x:c>
      <x:c r="C50" s="3" t="str">
        <x:v>Observed product sales, not passenger/freight-only demand.</x:v>
      </x:c>
      <x:c r="D50" s="26" t="n">
        <x:f>IF(ISNUMBER('Evidence'!F59),'Evidence'!F59,"")</x:f>
        <x:v>619.906488913</x:v>
      </x:c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  <x:c r="O50" s="26"/>
      <x:c r="P50" s="26"/>
      <x:c r="Q50" s="26"/>
      <x:c r="R50" s="26" t="n">
        <x:f>IF(ISNUMBER('Evidence'!D59),'Evidence'!D59,"")</x:f>
        <x:v>139.12355248499998</x:v>
      </x:c>
      <x:c r="S50" s="3" t="str">
        <x:v>2023 Q1 only</x:v>
      </x:c>
      <x:c r="T50" s="3" t="str">
        <x:v>2022 full year; latest Q1 2023 in R, not annualised.</x:v>
      </x:c>
      <x:c r="U50" s="3" t="str">
        <x:v>https://github.com/Africa-International-Advisors/liquid_fuels_model/blob/8c69f8333192483f19cd80911cb90fcd0943eb6b/assumptions/2026/timeseries/fuel_sales_department_by_province_quarterly.csv</x:v>
      </x:c>
      <x:c r="V50" s="3" t="str">
        <x:v>G11: obtain later complete years and sector allocation. Do not use total petrol shares automatically for passenger demand.</x:v>
      </x:c>
    </x:row>
    <x:row r="51" ht="65" customHeight="1">
      <x:c r="A51" s="3" t="str">
        <x:v>WC diesel</x:v>
      </x:c>
      <x:c r="B51" s="3" t="str">
        <x:v>million L/year</x:v>
      </x:c>
      <x:c r="C51" s="3" t="str">
        <x:v>Observed product sales, not passenger/freight-only demand.</x:v>
      </x:c>
      <x:c r="D51" s="26" t="n">
        <x:f>IF(ISNUMBER('Evidence'!F60),'Evidence'!F60,"")</x:f>
        <x:v>2499.7695470669996</x:v>
      </x:c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  <x:c r="O51" s="26"/>
      <x:c r="P51" s="26"/>
      <x:c r="Q51" s="26"/>
      <x:c r="R51" s="26" t="n">
        <x:f>IF(ISNUMBER('Evidence'!D60),'Evidence'!D60,"")</x:f>
        <x:v>741.744138472</x:v>
      </x:c>
      <x:c r="S51" s="3" t="str">
        <x:v>2023 Q1 only</x:v>
      </x:c>
      <x:c r="T51" s="3" t="str">
        <x:v>2022 full year; latest Q1 2023 in R, not annualised.</x:v>
      </x:c>
      <x:c r="U51" s="3" t="str">
        <x:v>https://github.com/Africa-International-Advisors/liquid_fuels_model/blob/8c69f8333192483f19cd80911cb90fcd0943eb6b/assumptions/2026/timeseries/fuel_sales_department_by_province_quarterly.csv</x:v>
      </x:c>
      <x:c r="V51" s="3" t="str">
        <x:v>G11: obtain later complete years and sector allocation. Do not use total petrol shares automatically for passenger demand.</x:v>
      </x:c>
    </x:row>
    <x:row r="52" ht="65" customHeight="1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</x:row>
    <x:row r="53" ht="65" customHeight="1">
      <x:c r="A53" s="68" t="str">
        <x:v>Nine provinces: petrol</x:v>
      </x:c>
      <x:c r="B53" s="68" t="str">
        <x:v>million L/year</x:v>
      </x:c>
      <x:c r="C53" s="68" t="str">
        <x:v>Sum only when all nine annual observations exist.</x:v>
      </x:c>
      <x:c r="D53" s="69" t="n">
        <x:f>IF(COUNT(D34:D42)&lt;9,"",SUM(D34:D42))</x:f>
        <x:v>9184.869915572988</x:v>
      </x:c>
      <x:c r="E53" s="69" t="str">
        <x:f>IF(COUNT(E34:E42)&lt;9,"",SUM(E34:E42))</x:f>
      </x:c>
      <x:c r="F53" s="69" t="str">
        <x:f>IF(COUNT(F34:F42)&lt;9,"",SUM(F34:F42))</x:f>
      </x:c>
      <x:c r="G53" s="69" t="str">
        <x:f>IF(COUNT(G34:G42)&lt;9,"",SUM(G34:G42))</x:f>
      </x:c>
      <x:c r="H53" s="69" t="str">
        <x:f>IF(COUNT(H34:H42)&lt;9,"",SUM(H34:H42))</x:f>
      </x:c>
      <x:c r="I53" s="69" t="str">
        <x:f>IF(COUNT(I34:I42)&lt;9,"",SUM(I34:I42))</x:f>
      </x:c>
      <x:c r="J53" s="69" t="str">
        <x:f>IF(COUNT(J34:J42)&lt;9,"",SUM(J34:J42))</x:f>
      </x:c>
      <x:c r="K53" s="69" t="str">
        <x:f>IF(COUNT(K34:K42)&lt;9,"",SUM(K34:K42))</x:f>
      </x:c>
      <x:c r="L53" s="69" t="str">
        <x:f>IF(COUNT(L34:L42)&lt;9,"",SUM(L34:L42))</x:f>
      </x:c>
      <x:c r="M53" s="69" t="str">
        <x:f>IF(COUNT(M34:M42)&lt;9,"",SUM(M34:M42))</x:f>
      </x:c>
      <x:c r="N53" s="69" t="str">
        <x:f>IF(COUNT(N34:N42)&lt;9,"",SUM(N34:N42))</x:f>
      </x:c>
      <x:c r="O53" s="69" t="str">
        <x:f>IF(COUNT(O34:O42)&lt;9,"",SUM(O34:O42))</x:f>
      </x:c>
      <x:c r="P53" s="69" t="str">
        <x:f>IF(COUNT(P34:P42)&lt;9,"",SUM(P34:P42))</x:f>
      </x:c>
      <x:c r="Q53" s="69" t="str">
        <x:f>IF(COUNT(Q34:Q42)&lt;9,"",SUM(Q34:Q42))</x:f>
      </x:c>
      <x:c r="R53" s="3"/>
      <x:c r="S53" s="3"/>
      <x:c r="T53" s="3"/>
      <x:c r="U53" s="3"/>
      <x:c r="V53" s="3"/>
    </x:row>
    <x:row r="54" ht="65" customHeight="1">
      <x:c r="A54" s="68" t="str">
        <x:v>Department national petrol</x:v>
      </x:c>
      <x:c r="B54" s="68" t="str">
        <x:v>million L/year</x:v>
      </x:c>
      <x:c r="C54" s="68" t="str">
        <x:v>Same publisher comparator; coverage still requires reconciliation.</x:v>
      </x:c>
      <x:c r="D54" s="69" t="n">
        <x:f>IF(ISNUMBER('Evidence'!F6),'Evidence'!F6,"")</x:f>
        <x:v>9184.869915573</x:v>
      </x:c>
      <x:c r="E54" s="69" t="n">
        <x:f>IF(ISNUMBER('Evidence'!G6),'Evidence'!G6,"")</x:f>
        <x:v>9036.950113492001</x:v>
      </x:c>
      <x:c r="F54" s="69" t="str">
        <x:f>IF(ISNUMBER('Evidence'!H6),'Evidence'!H6,"")</x:f>
      </x:c>
      <x:c r="G54" s="69" t="str">
        <x:f>IF(ISNUMBER('Evidence'!I6),'Evidence'!I6,"")</x:f>
      </x:c>
      <x:c r="H54" s="69" t="str">
        <x:f>IF(ISNUMBER('Evidence'!J6),'Evidence'!J6,"")</x:f>
      </x:c>
      <x:c r="I54" s="69" t="str">
        <x:f>IF(ISNUMBER('Evidence'!K6),'Evidence'!K6,"")</x:f>
      </x:c>
      <x:c r="J54" s="69" t="str">
        <x:f>IF(ISNUMBER('Evidence'!L6),'Evidence'!L6,"")</x:f>
      </x:c>
      <x:c r="K54" s="69" t="str">
        <x:f>IF(ISNUMBER('Evidence'!M6),'Evidence'!M6,"")</x:f>
      </x:c>
      <x:c r="L54" s="69" t="str">
        <x:f>IF(ISNUMBER('Evidence'!N6),'Evidence'!N6,"")</x:f>
      </x:c>
      <x:c r="M54" s="69" t="str">
        <x:f>IF(ISNUMBER('Evidence'!O6),'Evidence'!O6,"")</x:f>
      </x:c>
      <x:c r="N54" s="69" t="str">
        <x:f>IF(ISNUMBER('Evidence'!P6),'Evidence'!P6,"")</x:f>
      </x:c>
      <x:c r="O54" s="69" t="str">
        <x:f>IF(ISNUMBER('Evidence'!Q6),'Evidence'!Q6,"")</x:f>
      </x:c>
      <x:c r="P54" s="69" t="str">
        <x:f>IF(ISNUMBER('Evidence'!R6),'Evidence'!R6,"")</x:f>
      </x:c>
      <x:c r="Q54" s="69" t="str">
        <x:f>IF(ISNUMBER('Evidence'!S6),'Evidence'!S6,"")</x:f>
      </x:c>
      <x:c r="R54" s="3"/>
      <x:c r="S54" s="3"/>
      <x:c r="T54" s="3"/>
      <x:c r="U54" s="3"/>
      <x:c r="V54" s="3"/>
    </x:row>
    <x:row r="55" ht="65" customHeight="1">
      <x:c r="A55" s="68" t="str">
        <x:v>Provincial minus national</x:v>
      </x:c>
      <x:c r="B55" s="68" t="str">
        <x:v>million L/year</x:v>
      </x:c>
      <x:c r="C55" s="68" t="str">
        <x:v>Difference retained explicitly; do not force a tie.</x:v>
      </x:c>
      <x:c r="D55" s="69" t="n">
        <x:f>IF(COUNT(D53,D54)&lt;2,"",D53-D54)</x:f>
        <x:v>-1.0913936421275139e-11</x:v>
      </x:c>
      <x:c r="E55" s="69" t="str">
        <x:f>IF(COUNT(E53,E54)&lt;2,"",E53-E54)</x:f>
      </x:c>
      <x:c r="F55" s="69" t="str">
        <x:f>IF(COUNT(F53,F54)&lt;2,"",F53-F54)</x:f>
      </x:c>
      <x:c r="G55" s="69" t="str">
        <x:f>IF(COUNT(G53,G54)&lt;2,"",G53-G54)</x:f>
      </x:c>
      <x:c r="H55" s="69" t="str">
        <x:f>IF(COUNT(H53,H54)&lt;2,"",H53-H54)</x:f>
      </x:c>
      <x:c r="I55" s="69" t="str">
        <x:f>IF(COUNT(I53,I54)&lt;2,"",I53-I54)</x:f>
      </x:c>
      <x:c r="J55" s="69" t="str">
        <x:f>IF(COUNT(J53,J54)&lt;2,"",J53-J54)</x:f>
      </x:c>
      <x:c r="K55" s="69" t="str">
        <x:f>IF(COUNT(K53,K54)&lt;2,"",K53-K54)</x:f>
      </x:c>
      <x:c r="L55" s="69" t="str">
        <x:f>IF(COUNT(L53,L54)&lt;2,"",L53-L54)</x:f>
      </x:c>
      <x:c r="M55" s="69" t="str">
        <x:f>IF(COUNT(M53,M54)&lt;2,"",M53-M54)</x:f>
      </x:c>
      <x:c r="N55" s="69" t="str">
        <x:f>IF(COUNT(N53,N54)&lt;2,"",N53-N54)</x:f>
      </x:c>
      <x:c r="O55" s="69" t="str">
        <x:f>IF(COUNT(O53,O54)&lt;2,"",O53-O54)</x:f>
      </x:c>
      <x:c r="P55" s="69" t="str">
        <x:f>IF(COUNT(P53,P54)&lt;2,"",P53-P54)</x:f>
      </x:c>
      <x:c r="Q55" s="69" t="str">
        <x:f>IF(COUNT(Q53,Q54)&lt;2,"",Q53-Q54)</x:f>
      </x:c>
      <x:c r="R55" s="3"/>
      <x:c r="S55" s="3"/>
      <x:c r="T55" s="3"/>
      <x:c r="U55" s="3"/>
      <x:c r="V55" s="3"/>
    </x:row>
    <x:row r="56" ht="65" customHeight="1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</x:row>
    <x:row r="57" ht="65" customHeight="1">
      <x:c r="A57" s="68" t="str">
        <x:v>Nine provinces: diesel</x:v>
      </x:c>
      <x:c r="B57" s="68" t="str">
        <x:v>million L/year</x:v>
      </x:c>
      <x:c r="C57" s="68" t="str">
        <x:v>Sum only when all nine annual observations exist.</x:v>
      </x:c>
      <x:c r="D57" s="69" t="n">
        <x:f>IF(COUNT(D43:D51)&lt;9,"",SUM(D43:D51))</x:f>
        <x:v>12717.326319018997</x:v>
      </x:c>
      <x:c r="E57" s="69" t="str">
        <x:f>IF(COUNT(E43:E51)&lt;9,"",SUM(E43:E51))</x:f>
      </x:c>
      <x:c r="F57" s="69" t="str">
        <x:f>IF(COUNT(F43:F51)&lt;9,"",SUM(F43:F51))</x:f>
      </x:c>
      <x:c r="G57" s="69" t="str">
        <x:f>IF(COUNT(G43:G51)&lt;9,"",SUM(G43:G51))</x:f>
      </x:c>
      <x:c r="H57" s="69" t="str">
        <x:f>IF(COUNT(H43:H51)&lt;9,"",SUM(H43:H51))</x:f>
      </x:c>
      <x:c r="I57" s="69" t="str">
        <x:f>IF(COUNT(I43:I51)&lt;9,"",SUM(I43:I51))</x:f>
      </x:c>
      <x:c r="J57" s="69" t="str">
        <x:f>IF(COUNT(J43:J51)&lt;9,"",SUM(J43:J51))</x:f>
      </x:c>
      <x:c r="K57" s="69" t="str">
        <x:f>IF(COUNT(K43:K51)&lt;9,"",SUM(K43:K51))</x:f>
      </x:c>
      <x:c r="L57" s="69" t="str">
        <x:f>IF(COUNT(L43:L51)&lt;9,"",SUM(L43:L51))</x:f>
      </x:c>
      <x:c r="M57" s="69" t="str">
        <x:f>IF(COUNT(M43:M51)&lt;9,"",SUM(M43:M51))</x:f>
      </x:c>
      <x:c r="N57" s="69" t="str">
        <x:f>IF(COUNT(N43:N51)&lt;9,"",SUM(N43:N51))</x:f>
      </x:c>
      <x:c r="O57" s="69" t="str">
        <x:f>IF(COUNT(O43:O51)&lt;9,"",SUM(O43:O51))</x:f>
      </x:c>
      <x:c r="P57" s="69" t="str">
        <x:f>IF(COUNT(P43:P51)&lt;9,"",SUM(P43:P51))</x:f>
      </x:c>
      <x:c r="Q57" s="69" t="str">
        <x:f>IF(COUNT(Q43:Q51)&lt;9,"",SUM(Q43:Q51))</x:f>
      </x:c>
      <x:c r="R57" s="3"/>
      <x:c r="S57" s="3"/>
      <x:c r="T57" s="3"/>
      <x:c r="U57" s="3"/>
      <x:c r="V57" s="3"/>
    </x:row>
    <x:row r="58" ht="65" customHeight="1">
      <x:c r="A58" s="68" t="str">
        <x:v>Department national diesel</x:v>
      </x:c>
      <x:c r="B58" s="68" t="str">
        <x:v>million L/year</x:v>
      </x:c>
      <x:c r="C58" s="68" t="str">
        <x:v>Same publisher comparator; coverage still requires reconciliation.</x:v>
      </x:c>
      <x:c r="D58" s="69" t="n">
        <x:f>IF(ISNUMBER('Evidence'!F8),'Evidence'!F8,"")</x:f>
        <x:v>12717.326319019</x:v>
      </x:c>
      <x:c r="E58" s="69" t="n">
        <x:f>IF(ISNUMBER('Evidence'!G8),'Evidence'!G8,"")</x:f>
        <x:v>12907.499965808001</x:v>
      </x:c>
      <x:c r="F58" s="69" t="str">
        <x:f>IF(ISNUMBER('Evidence'!H8),'Evidence'!H8,"")</x:f>
      </x:c>
      <x:c r="G58" s="69" t="str">
        <x:f>IF(ISNUMBER('Evidence'!I8),'Evidence'!I8,"")</x:f>
      </x:c>
      <x:c r="H58" s="69" t="str">
        <x:f>IF(ISNUMBER('Evidence'!J8),'Evidence'!J8,"")</x:f>
      </x:c>
      <x:c r="I58" s="69" t="str">
        <x:f>IF(ISNUMBER('Evidence'!K8),'Evidence'!K8,"")</x:f>
      </x:c>
      <x:c r="J58" s="69" t="str">
        <x:f>IF(ISNUMBER('Evidence'!L8),'Evidence'!L8,"")</x:f>
      </x:c>
      <x:c r="K58" s="69" t="str">
        <x:f>IF(ISNUMBER('Evidence'!M8),'Evidence'!M8,"")</x:f>
      </x:c>
      <x:c r="L58" s="69" t="str">
        <x:f>IF(ISNUMBER('Evidence'!N8),'Evidence'!N8,"")</x:f>
      </x:c>
      <x:c r="M58" s="69" t="str">
        <x:f>IF(ISNUMBER('Evidence'!O8),'Evidence'!O8,"")</x:f>
      </x:c>
      <x:c r="N58" s="69" t="str">
        <x:f>IF(ISNUMBER('Evidence'!P8),'Evidence'!P8,"")</x:f>
      </x:c>
      <x:c r="O58" s="69" t="str">
        <x:f>IF(ISNUMBER('Evidence'!Q8),'Evidence'!Q8,"")</x:f>
      </x:c>
      <x:c r="P58" s="69" t="str">
        <x:f>IF(ISNUMBER('Evidence'!R8),'Evidence'!R8,"")</x:f>
      </x:c>
      <x:c r="Q58" s="69" t="str">
        <x:f>IF(ISNUMBER('Evidence'!S8),'Evidence'!S8,"")</x:f>
      </x:c>
      <x:c r="R58" s="3"/>
      <x:c r="S58" s="3"/>
      <x:c r="T58" s="3"/>
      <x:c r="U58" s="3"/>
      <x:c r="V58" s="3"/>
    </x:row>
    <x:row r="59" ht="65" customHeight="1">
      <x:c r="A59" s="68" t="str">
        <x:v>Provincial minus national</x:v>
      </x:c>
      <x:c r="B59" s="68" t="str">
        <x:v>million L/year</x:v>
      </x:c>
      <x:c r="C59" s="68" t="str">
        <x:v>Difference retained explicitly; do not force a tie.</x:v>
      </x:c>
      <x:c r="D59" s="69" t="n">
        <x:f>IF(COUNT(D57,D58)&lt;2,"",D57-D58)</x:f>
        <x:v>-1.8189894035458565e-12</x:v>
      </x:c>
      <x:c r="E59" s="69" t="str">
        <x:f>IF(COUNT(E57,E58)&lt;2,"",E57-E58)</x:f>
      </x:c>
      <x:c r="F59" s="69" t="str">
        <x:f>IF(COUNT(F57,F58)&lt;2,"",F57-F58)</x:f>
      </x:c>
      <x:c r="G59" s="69" t="str">
        <x:f>IF(COUNT(G57,G58)&lt;2,"",G57-G58)</x:f>
      </x:c>
      <x:c r="H59" s="69" t="str">
        <x:f>IF(COUNT(H57,H58)&lt;2,"",H57-H58)</x:f>
      </x:c>
      <x:c r="I59" s="69" t="str">
        <x:f>IF(COUNT(I57,I58)&lt;2,"",I57-I58)</x:f>
      </x:c>
      <x:c r="J59" s="69" t="str">
        <x:f>IF(COUNT(J57,J58)&lt;2,"",J57-J58)</x:f>
      </x:c>
      <x:c r="K59" s="69" t="str">
        <x:f>IF(COUNT(K57,K58)&lt;2,"",K57-K58)</x:f>
      </x:c>
      <x:c r="L59" s="69" t="str">
        <x:f>IF(COUNT(L57,L58)&lt;2,"",L57-L58)</x:f>
      </x:c>
      <x:c r="M59" s="69" t="str">
        <x:f>IF(COUNT(M57,M58)&lt;2,"",M57-M58)</x:f>
      </x:c>
      <x:c r="N59" s="69" t="str">
        <x:f>IF(COUNT(N57,N58)&lt;2,"",N57-N58)</x:f>
      </x:c>
      <x:c r="O59" s="69" t="str">
        <x:f>IF(COUNT(O57,O58)&lt;2,"",O57-O58)</x:f>
      </x:c>
      <x:c r="P59" s="69" t="str">
        <x:f>IF(COUNT(P57,P58)&lt;2,"",P57-P58)</x:f>
      </x:c>
      <x:c r="Q59" s="69" t="str">
        <x:f>IF(COUNT(Q57,Q58)&lt;2,"",Q57-Q58)</x:f>
      </x:c>
      <x:c r="R59" s="3"/>
      <x:c r="S59" s="3"/>
      <x:c r="T59" s="3"/>
      <x:c r="U59" s="3"/>
      <x:c r="V59" s="3"/>
    </x:row>
    <x:row r="60" ht="65" customHeight="1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</x:row>
    <x:row r="61" ht="65" customHeight="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</x:row>
    <x:row r="62" ht="65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</x:row>
    <x:row r="63" ht="65" customHeight="1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</x:row>
    <x:row r="64" ht="65" customHeight="1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</x:row>
    <x:row r="65" ht="65" customHeight="1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</x:row>
  </x:sheetData>
  <x:dataValidations count="9">
    <x:dataValidation type="decimal" operator="between" sqref="D7:Q7">
      <x:formula1>0</x:formula1>
      <x:formula2>1</x:formula2>
    </x:dataValidation>
    <x:dataValidation type="decimal" operator="between" sqref="D8:Q8">
      <x:formula1>0</x:formula1>
      <x:formula2>1</x:formula2>
    </x:dataValidation>
    <x:dataValidation type="decimal" operator="between" sqref="D9:Q9">
      <x:formula1>0</x:formula1>
      <x:formula2>1</x:formula2>
    </x:dataValidation>
    <x:dataValidation type="decimal" operator="between" sqref="D10:Q10">
      <x:formula1>0</x:formula1>
      <x:formula2>1</x:formula2>
    </x:dataValidation>
    <x:dataValidation type="decimal" operator="between" sqref="D11:Q11">
      <x:formula1>0</x:formula1>
      <x:formula2>1</x:formula2>
    </x:dataValidation>
    <x:dataValidation type="decimal" operator="between" sqref="D12:Q12">
      <x:formula1>0</x:formula1>
      <x:formula2>1</x:formula2>
    </x:dataValidation>
    <x:dataValidation type="decimal" operator="between" sqref="D13:Q13">
      <x:formula1>0</x:formula1>
      <x:formula2>1</x:formula2>
    </x:dataValidation>
    <x:dataValidation type="decimal" operator="between" sqref="D14:Q14">
      <x:formula1>0</x:formula1>
      <x:formula2>1</x:formula2>
    </x:dataValidation>
    <x:dataValidation type="decimal" operator="between" sqref="D15:Q15">
      <x:formula1>0</x:formula1>
      <x:formula2>1</x:formula2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.1299991607666" hidden="0" customWidth="1"/>
    <x:col min="2" max="2" width="12.5" hidden="0" customWidth="1"/>
    <x:col min="3" max="3" width="15.630000114440918" hidden="0" customWidth="1"/>
    <x:col min="4" max="4" width="15" hidden="0" customWidth="1"/>
    <x:col min="5" max="5" width="40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31.8799991607666" hidden="0" customWidth="1"/>
    <x:col min="21" max="21" width="36.25" hidden="0" customWidth="1"/>
    <x:col min="22" max="22" width="36.25" hidden="0" customWidth="1"/>
  </x:cols>
  <x:sheetData>
    <x:row r="1" ht="25" customHeight="1">
      <x:c r="A1" s="81" t="str">
        <x:v>Evidence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1" customHeight="1">
      <x:c r="A2" s="6" t="str">
        <x:v>Raw source extracts • complete annual periods only; partial periods and older anchors stay in D.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30" customHeight="1">
      <x:c r="A4" s="9" t="str">
        <x:v>Series / driver</x:v>
      </x:c>
      <x:c r="B4" s="9" t="str">
        <x:v>Unit</x:v>
      </x:c>
      <x:c r="C4" s="9" t="str">
        <x:v>Role</x:v>
      </x:c>
      <x:c r="D4" s="9" t="str">
        <x:v>Scalar / latest</x:v>
      </x:c>
      <x:c r="E4" s="9" t="str">
        <x:v>Definition / period</x:v>
      </x:c>
      <x:c r="F4" s="9" t="n">
        <x:v>2022</x:v>
      </x:c>
      <x:c r="G4" s="9" t="n">
        <x:v>2023</x:v>
      </x:c>
      <x:c r="H4" s="9" t="n">
        <x:v>2024</x:v>
      </x:c>
      <x:c r="I4" s="9" t="n">
        <x:v>2025</x:v>
      </x:c>
      <x:c r="J4" s="9" t="n">
        <x:v>2026</x:v>
      </x:c>
      <x:c r="K4" s="9" t="n">
        <x:v>2027</x:v>
      </x:c>
      <x:c r="L4" s="9" t="n">
        <x:v>2028</x:v>
      </x:c>
      <x:c r="M4" s="9" t="n">
        <x:v>2029</x:v>
      </x:c>
      <x:c r="N4" s="9" t="n">
        <x:v>2030</x:v>
      </x:c>
      <x:c r="O4" s="9" t="n">
        <x:v>2031</x:v>
      </x:c>
      <x:c r="P4" s="9" t="n">
        <x:v>2032</x:v>
      </x:c>
      <x:c r="Q4" s="9" t="n">
        <x:v>2033</x:v>
      </x:c>
      <x:c r="R4" s="9" t="n">
        <x:v>2034</x:v>
      </x:c>
      <x:c r="S4" s="9" t="n">
        <x:v>2035</x:v>
      </x:c>
      <x:c r="T4" s="9" t="str">
        <x:v>Status</x:v>
      </x:c>
      <x:c r="U4" s="9" t="str">
        <x:v>Source / dependency</x:v>
      </x:c>
      <x:c r="V4" s="9" t="str">
        <x:v>Review action</x:v>
      </x:c>
    </x:row>
    <x:row r="5" ht="30" customHeight="1">
      <x:c r="A5" s="65" t="str">
        <x:v>sales_petrol</x:v>
      </x:c>
      <x:c r="B5" s="65" t="str">
        <x:v>million L/year</x:v>
      </x:c>
      <x:c r="C5" s="65" t="str">
        <x:v>Source observation</x:v>
      </x:c>
      <x:c r="D5" s="66"/>
      <x:c r="E5" s="66" t="str">
        <x:v>FIASA staged reported sales; latest edition selected by existing… [N208]</x:v>
      </x:c>
      <x:c r="F5" s="67" t="n">
        <x:v>9185</x:v>
      </x:c>
      <x:c r="G5" s="67" t="n">
        <x:v>9037</x:v>
      </x:c>
      <x:c r="H5" s="67" t="n">
        <x:v>9029</x:v>
      </x:c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5" t="str">
        <x:v>Unreviewed source extract</x:v>
      </x:c>
      <x:c r="U5" s="65" t="str">
        <x:v>assumptions/2026/timeseries/fuel_sales_fiasa.csv</x:v>
      </x:c>
      <x:c r="V5" s="65" t="str">
        <x:v>Manish: reconcile scope and revisions before adoption.</x:v>
      </x:c>
    </x:row>
    <x:row r="6" ht="30" customHeight="1">
      <x:c r="A6" s="65" t="str">
        <x:v>dept_petrol</x:v>
      </x:c>
      <x:c r="B6" s="65" t="str">
        <x:v>million L/year</x:v>
      </x:c>
      <x:c r="C6" s="65" t="str">
        <x:v>Source observation</x:v>
      </x:c>
      <x:c r="D6" s="66"/>
      <x:c r="E6" s="66" t="str">
        <x:v>Department sales with four reported quarters. Preserve… [N209]</x:v>
      </x:c>
      <x:c r="F6" s="67" t="n">
        <x:v>9184.869915573</x:v>
      </x:c>
      <x:c r="G6" s="67" t="n">
        <x:v>9036.950113492001</x:v>
      </x:c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5" t="str">
        <x:v>Unreviewed source extract</x:v>
      </x:c>
      <x:c r="U6" s="65" t="str">
        <x:v>assumptions/2026/timeseries/fuel_sales_department.csv</x:v>
      </x:c>
      <x:c r="V6" s="65" t="str">
        <x:v>Manish: reconcile scope and revisions before adoption.</x:v>
      </x:c>
    </x:row>
    <x:row r="7" ht="30" customHeight="1">
      <x:c r="A7" s="65" t="str">
        <x:v>sales_diesel</x:v>
      </x:c>
      <x:c r="B7" s="65" t="str">
        <x:v>million L/year</x:v>
      </x:c>
      <x:c r="C7" s="65" t="str">
        <x:v>Source observation</x:v>
      </x:c>
      <x:c r="D7" s="66"/>
      <x:c r="E7" s="66" t="str">
        <x:v>FIASA staged reported sales; latest edition selected by existing… [N210]</x:v>
      </x:c>
      <x:c r="F7" s="67" t="n">
        <x:v>12717</x:v>
      </x:c>
      <x:c r="G7" s="67" t="n">
        <x:v>12907</x:v>
      </x:c>
      <x:c r="H7" s="67" t="n">
        <x:v>11734</x:v>
      </x:c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5" t="str">
        <x:v>Unreviewed source extract</x:v>
      </x:c>
      <x:c r="U7" s="65" t="str">
        <x:v>assumptions/2026/timeseries/fuel_sales_fiasa.csv</x:v>
      </x:c>
      <x:c r="V7" s="65" t="str">
        <x:v>Manish: reconcile scope and revisions before adoption.</x:v>
      </x:c>
    </x:row>
    <x:row r="8" ht="30" customHeight="1">
      <x:c r="A8" s="65" t="str">
        <x:v>dept_diesel</x:v>
      </x:c>
      <x:c r="B8" s="65" t="str">
        <x:v>million L/year</x:v>
      </x:c>
      <x:c r="C8" s="65" t="str">
        <x:v>Source observation</x:v>
      </x:c>
      <x:c r="D8" s="66"/>
      <x:c r="E8" s="66" t="str">
        <x:v>Department sales with four reported quarters. Preserve… [N211]</x:v>
      </x:c>
      <x:c r="F8" s="67" t="n">
        <x:v>12717.326319019</x:v>
      </x:c>
      <x:c r="G8" s="67" t="n">
        <x:v>12907.499965808001</x:v>
      </x:c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5" t="str">
        <x:v>Unreviewed source extract</x:v>
      </x:c>
      <x:c r="U8" s="65" t="str">
        <x:v>assumptions/2026/timeseries/fuel_sales_department.csv</x:v>
      </x:c>
      <x:c r="V8" s="65" t="str">
        <x:v>Manish: reconcile scope and revisions before adoption.</x:v>
      </x:c>
    </x:row>
    <x:row r="9" ht="30" customHeight="1">
      <x:c r="A9" s="65" t="str">
        <x:v>sales_jet</x:v>
      </x:c>
      <x:c r="B9" s="65" t="str">
        <x:v>million L/year</x:v>
      </x:c>
      <x:c r="C9" s="65" t="str">
        <x:v>Source observation</x:v>
      </x:c>
      <x:c r="D9" s="66"/>
      <x:c r="E9" s="66" t="str">
        <x:v>FIASA staged reported sales; latest edition selected by existing… [N212]</x:v>
      </x:c>
      <x:c r="F9" s="67" t="n">
        <x:v>1478</x:v>
      </x:c>
      <x:c r="G9" s="67" t="n">
        <x:v>1844</x:v>
      </x:c>
      <x:c r="H9" s="67" t="n">
        <x:v>1955</x:v>
      </x:c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5" t="str">
        <x:v>Unreviewed source extract</x:v>
      </x:c>
      <x:c r="U9" s="65" t="str">
        <x:v>assumptions/2026/timeseries/fuel_sales_fiasa.csv</x:v>
      </x:c>
      <x:c r="V9" s="65" t="str">
        <x:v>Manish: reconcile scope and revisions before adoption.</x:v>
      </x:c>
    </x:row>
    <x:row r="10" ht="30" customHeight="1">
      <x:c r="A10" s="65" t="str">
        <x:v>dept_jet</x:v>
      </x:c>
      <x:c r="B10" s="65" t="str">
        <x:v>million L/year</x:v>
      </x:c>
      <x:c r="C10" s="65" t="str">
        <x:v>Source observation</x:v>
      </x:c>
      <x:c r="D10" s="66"/>
      <x:c r="E10" s="66" t="str">
        <x:v>Department sales with four reported quarters. Preserve… [N213]</x:v>
      </x:c>
      <x:c r="F10" s="67" t="n">
        <x:v>1478.149852603</x:v>
      </x:c>
      <x:c r="G10" s="67" t="n">
        <x:v>1843.971762465</x:v>
      </x:c>
      <x:c r="H10" s="67"/>
      <x:c r="I10" s="67"/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65" t="str">
        <x:v>Unreviewed source extract</x:v>
      </x:c>
      <x:c r="U10" s="65" t="str">
        <x:v>assumptions/2026/timeseries/fuel_sales_department.csv</x:v>
      </x:c>
      <x:c r="V10" s="65" t="str">
        <x:v>Manish: reconcile scope and revisions before adoption.</x:v>
      </x:c>
    </x:row>
    <x:row r="11" ht="30" customHeight="1">
      <x:c r="A11" s="65" t="str">
        <x:v>sales_fuel_oil</x:v>
      </x:c>
      <x:c r="B11" s="65" t="str">
        <x:v>million L/year</x:v>
      </x:c>
      <x:c r="C11" s="65" t="str">
        <x:v>Source observation</x:v>
      </x:c>
      <x:c r="D11" s="66"/>
      <x:c r="E11" s="66" t="str">
        <x:v>FIASA staged reported sales; latest edition selected by existing… [N214]</x:v>
      </x:c>
      <x:c r="F11" s="67" t="n">
        <x:v>594</x:v>
      </x:c>
      <x:c r="G11" s="67" t="n">
        <x:v>658</x:v>
      </x:c>
      <x:c r="H11" s="67" t="n">
        <x:v>441</x:v>
      </x:c>
      <x:c r="I11" s="67"/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5" t="str">
        <x:v>Unreviewed source extract</x:v>
      </x:c>
      <x:c r="U11" s="65" t="str">
        <x:v>assumptions/2026/timeseries/fuel_sales_fiasa.csv</x:v>
      </x:c>
      <x:c r="V11" s="65" t="str">
        <x:v>Manish: reconcile scope and revisions before adoption.</x:v>
      </x:c>
    </x:row>
    <x:row r="12" ht="30" customHeight="1">
      <x:c r="A12" s="65" t="str">
        <x:v>dept_fuel_oil</x:v>
      </x:c>
      <x:c r="B12" s="65" t="str">
        <x:v>million L/year</x:v>
      </x:c>
      <x:c r="C12" s="65" t="str">
        <x:v>Source observation</x:v>
      </x:c>
      <x:c r="D12" s="66"/>
      <x:c r="E12" s="66" t="str">
        <x:v>Department sales with four reported quarters. Preserve… [N215]</x:v>
      </x:c>
      <x:c r="F12" s="67" t="n">
        <x:v>594.0401649620001</x:v>
      </x:c>
      <x:c r="G12" s="67" t="n">
        <x:v>658.093041616</x:v>
      </x:c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5" t="str">
        <x:v>Unreviewed source extract</x:v>
      </x:c>
      <x:c r="U12" s="65" t="str">
        <x:v>assumptions/2026/timeseries/fuel_sales_department.csv</x:v>
      </x:c>
      <x:c r="V12" s="65" t="str">
        <x:v>Manish: reconcile scope and revisions before adoption.</x:v>
      </x:c>
    </x:row>
    <x:row r="13" ht="30" customHeight="1">
      <x:c r="A13" s="65" t="str">
        <x:v>sales_vehicles_cars</x:v>
      </x:c>
      <x:c r="B13" s="65" t="str">
        <x:v>vehicles/year</x:v>
      </x:c>
      <x:c r="C13" s="65" t="str">
        <x:v>Source observation</x:v>
      </x:c>
      <x:c r="D13" s="66"/>
      <x:c r="E13" s="66" t="str">
        <x:v>NAAMSA actual new sales. Published 2026/27 projections excluded… [N216]</x:v>
      </x:c>
      <x:c r="F13" s="67" t="n">
        <x:v>363681</x:v>
      </x:c>
      <x:c r="G13" s="67" t="n">
        <x:v>347377</x:v>
      </x:c>
      <x:c r="H13" s="67" t="n">
        <x:v>351553</x:v>
      </x:c>
      <x:c r="I13" s="67" t="n">
        <x:v>422463</x:v>
      </x:c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5" t="str">
        <x:v>Unreviewed source extract</x:v>
      </x:c>
      <x:c r="U13" s="65" t="str">
        <x:v>assumptions/2026/timeseries/new_vehicle_market_naamsa.csv</x:v>
      </x:c>
      <x:c r="V13" s="65" t="str">
        <x:v>Manish: reconcile scope and revisions before adoption.</x:v>
      </x:c>
    </x:row>
    <x:row r="14" ht="30" customHeight="1">
      <x:c r="A14" s="65" t="str">
        <x:v>sales_vehicles_light_commercial</x:v>
      </x:c>
      <x:c r="B14" s="65" t="str">
        <x:v>vehicles/year</x:v>
      </x:c>
      <x:c r="C14" s="65" t="str">
        <x:v>Source observation</x:v>
      </x:c>
      <x:c r="D14" s="66"/>
      <x:c r="E14" s="66" t="str">
        <x:v>NAAMSA actual new sales. Published 2026/27 projections excluded… [N217]</x:v>
      </x:c>
      <x:c r="F14" s="67" t="n">
        <x:v>135711</x:v>
      </x:c>
      <x:c r="G14" s="67" t="n">
        <x:v>151490</x:v>
      </x:c>
      <x:c r="H14" s="67" t="n">
        <x:v>133375</x:v>
      </x:c>
      <x:c r="I14" s="67" t="n">
        <x:v>143964</x:v>
      </x:c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5" t="str">
        <x:v>Unreviewed source extract</x:v>
      </x:c>
      <x:c r="U14" s="65" t="str">
        <x:v>assumptions/2026/timeseries/new_vehicle_market_naamsa.csv</x:v>
      </x:c>
      <x:c r="V14" s="65" t="str">
        <x:v>Manish: reconcile scope and revisions before adoption.</x:v>
      </x:c>
    </x:row>
    <x:row r="15" ht="30" customHeight="1">
      <x:c r="A15" s="65" t="str">
        <x:v>sales_vehicles_medium_heavy_commercial</x:v>
      </x:c>
      <x:c r="B15" s="65" t="str">
        <x:v>vehicles/year</x:v>
      </x:c>
      <x:c r="C15" s="65" t="str">
        <x:v>Source observation</x:v>
      </x:c>
      <x:c r="D15" s="66"/>
      <x:c r="E15" s="66" t="str">
        <x:v>NAAMSA actual new sales. Published 2026/27 projections excluded… [N218]</x:v>
      </x:c>
      <x:c r="F15" s="67" t="n">
        <x:v>29942</x:v>
      </x:c>
      <x:c r="G15" s="67" t="n">
        <x:v>32690</x:v>
      </x:c>
      <x:c r="H15" s="67" t="n">
        <x:v>31175</x:v>
      </x:c>
      <x:c r="I15" s="67" t="n">
        <x:v>30911</x:v>
      </x:c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5" t="str">
        <x:v>Unreviewed source extract</x:v>
      </x:c>
      <x:c r="U15" s="65" t="str">
        <x:v>assumptions/2026/timeseries/new_vehicle_market_naamsa.csv</x:v>
      </x:c>
      <x:c r="V15" s="65" t="str">
        <x:v>Manish: reconcile scope and revisions before adoption.</x:v>
      </x:c>
    </x:row>
    <x:row r="16" ht="30" customHeight="1">
      <x:c r="A16" s="65" t="str">
        <x:v>sales_vehicles_total</x:v>
      </x:c>
      <x:c r="B16" s="65" t="str">
        <x:v>vehicles/year</x:v>
      </x:c>
      <x:c r="C16" s="65" t="str">
        <x:v>Source observation</x:v>
      </x:c>
      <x:c r="D16" s="66"/>
      <x:c r="E16" s="66" t="str">
        <x:v>NAAMSA actual new sales. Published 2026/27 projections excluded… [N219]</x:v>
      </x:c>
      <x:c r="F16" s="67" t="n">
        <x:v>529335</x:v>
      </x:c>
      <x:c r="G16" s="67" t="n">
        <x:v>531557</x:v>
      </x:c>
      <x:c r="H16" s="67" t="n">
        <x:v>516103</x:v>
      </x:c>
      <x:c r="I16" s="67" t="n">
        <x:v>597338</x:v>
      </x:c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5" t="str">
        <x:v>Unreviewed source extract</x:v>
      </x:c>
      <x:c r="U16" s="65" t="str">
        <x:v>assumptions/2026/timeseries/new_vehicle_market_naamsa.csv</x:v>
      </x:c>
      <x:c r="V16" s="65" t="str">
        <x:v>Manish: reconcile scope and revisions before adoption.</x:v>
      </x:c>
    </x:row>
    <x:row r="17" ht="30" customHeight="1">
      <x:c r="A17" s="65" t="str">
        <x:v>nev_battery_electric</x:v>
      </x:c>
      <x:c r="B17" s="65" t="str">
        <x:v>vehicles/year</x:v>
      </x:c>
      <x:c r="C17" s="65" t="str">
        <x:v>Source observation</x:v>
      </x:c>
      <x:c r="D17" s="66"/>
      <x:c r="E17" s="66" t="str">
        <x:v>All-market drivetrain sales; passenger/truck split is not… [N220]</x:v>
      </x:c>
      <x:c r="F17" s="67" t="n">
        <x:v>502</x:v>
      </x:c>
      <x:c r="G17" s="67" t="n">
        <x:v>929</x:v>
      </x:c>
      <x:c r="H17" s="67" t="n">
        <x:v>1257</x:v>
      </x:c>
      <x:c r="I17" s="67" t="n">
        <x:v>1088</x:v>
      </x:c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5" t="str">
        <x:v>Unreviewed source extract</x:v>
      </x:c>
      <x:c r="U17" s="65" t="str">
        <x:v>assumptions/2026/timeseries/nev_sales_naamsa.csv</x:v>
      </x:c>
      <x:c r="V17" s="65" t="str">
        <x:v>Manish: reconcile scope and revisions before adoption.</x:v>
      </x:c>
    </x:row>
    <x:row r="18" ht="30" customHeight="1">
      <x:c r="A18" s="65" t="str">
        <x:v>nev_plug_in_hybrid</x:v>
      </x:c>
      <x:c r="B18" s="65" t="str">
        <x:v>vehicles/year</x:v>
      </x:c>
      <x:c r="C18" s="65" t="str">
        <x:v>Source observation</x:v>
      </x:c>
      <x:c r="D18" s="66"/>
      <x:c r="E18" s="66" t="str">
        <x:v>All-market drivetrain sales; passenger/truck split is not… [N221]</x:v>
      </x:c>
      <x:c r="F18" s="67" t="n">
        <x:v>122</x:v>
      </x:c>
      <x:c r="G18" s="67" t="n">
        <x:v>368</x:v>
      </x:c>
      <x:c r="H18" s="67" t="n">
        <x:v>738</x:v>
      </x:c>
      <x:c r="I18" s="67" t="n">
        <x:v>2810</x:v>
      </x:c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5" t="str">
        <x:v>Unreviewed source extract</x:v>
      </x:c>
      <x:c r="U18" s="65" t="str">
        <x:v>assumptions/2026/timeseries/nev_sales_naamsa.csv</x:v>
      </x:c>
      <x:c r="V18" s="65" t="str">
        <x:v>Manish: reconcile scope and revisions before adoption.</x:v>
      </x:c>
    </x:row>
    <x:row r="19" ht="30" customHeight="1">
      <x:c r="A19" s="65" t="str">
        <x:v>nev_traditional_hybrid</x:v>
      </x:c>
      <x:c r="B19" s="65" t="str">
        <x:v>vehicles/year</x:v>
      </x:c>
      <x:c r="C19" s="65" t="str">
        <x:v>Source observation</x:v>
      </x:c>
      <x:c r="D19" s="66"/>
      <x:c r="E19" s="66" t="str">
        <x:v>All-market drivetrain sales; passenger/truck split is not… [N222]</x:v>
      </x:c>
      <x:c r="F19" s="67" t="n">
        <x:v>4070</x:v>
      </x:c>
      <x:c r="G19" s="67" t="n">
        <x:v>6485</x:v>
      </x:c>
      <x:c r="H19" s="67" t="n">
        <x:v>13616</x:v>
      </x:c>
      <x:c r="I19" s="67" t="n">
        <x:v>12818</x:v>
      </x:c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5" t="str">
        <x:v>Unreviewed source extract</x:v>
      </x:c>
      <x:c r="U19" s="65" t="str">
        <x:v>assumptions/2026/timeseries/nev_sales_naamsa.csv</x:v>
      </x:c>
      <x:c r="V19" s="65" t="str">
        <x:v>Manish: reconcile scope and revisions before adoption.</x:v>
      </x:c>
    </x:row>
    <x:row r="20" ht="30" customHeight="1">
      <x:c r="A20" s="65" t="str">
        <x:v>stock_cars</x:v>
      </x:c>
      <x:c r="B20" s="65" t="str">
        <x:v>vehicles</x:v>
      </x:c>
      <x:c r="C20" s="65" t="str">
        <x:v>Source observation</x:v>
      </x:c>
      <x:c r="D20" s="66" t="n">
        <x:v>8340592</x:v>
      </x:c>
      <x:c r="E20" s="66" t="str">
        <x:v>eNaTIS December snapshots; latest June 2026 kept separately. No… [N223]</x:v>
      </x:c>
      <x:c r="F20" s="67" t="n">
        <x:v>7685153</x:v>
      </x:c>
      <x:c r="G20" s="67" t="n">
        <x:v>7794164</x:v>
      </x:c>
      <x:c r="H20" s="67" t="n">
        <x:v>7949275</x:v>
      </x:c>
      <x:c r="I20" s="67" t="n">
        <x:v>8184111</x:v>
      </x:c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5" t="str">
        <x:v>Unreviewed source extract</x:v>
      </x:c>
      <x:c r="U20" s="65" t="str">
        <x:v>assumptions/2026/timeseries/vehicle_population_natis.csv</x:v>
      </x:c>
      <x:c r="V20" s="65" t="str">
        <x:v>Manish: reconcile scope and revisions before adoption.</x:v>
      </x:c>
    </x:row>
    <x:row r="21" ht="30" customHeight="1">
      <x:c r="A21" s="65" t="str">
        <x:v>stock_light_commercial</x:v>
      </x:c>
      <x:c r="B21" s="65" t="str">
        <x:v>vehicles</x:v>
      </x:c>
      <x:c r="C21" s="65" t="str">
        <x:v>Source observation</x:v>
      </x:c>
      <x:c r="D21" s="66" t="n">
        <x:v>2816547</x:v>
      </x:c>
      <x:c r="E21" s="66" t="str">
        <x:v>eNaTIS December snapshots; latest June 2026 kept separately. No… [N224]</x:v>
      </x:c>
      <x:c r="F21" s="67" t="n">
        <x:v>2658416</x:v>
      </x:c>
      <x:c r="G21" s="67" t="n">
        <x:v>2689310</x:v>
      </x:c>
      <x:c r="H21" s="67" t="n">
        <x:v>2725606</x:v>
      </x:c>
      <x:c r="I21" s="67" t="n">
        <x:v>2776258</x:v>
      </x:c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5" t="str">
        <x:v>Unreviewed source extract</x:v>
      </x:c>
      <x:c r="U21" s="65" t="str">
        <x:v>assumptions/2026/timeseries/vehicle_population_natis.csv</x:v>
      </x:c>
      <x:c r="V21" s="65" t="str">
        <x:v>Manish: reconcile scope and revisions before adoption.</x:v>
      </x:c>
    </x:row>
    <x:row r="22" ht="30" customHeight="1">
      <x:c r="A22" s="65" t="str">
        <x:v>stock_trucks</x:v>
      </x:c>
      <x:c r="B22" s="65" t="str">
        <x:v>vehicles</x:v>
      </x:c>
      <x:c r="C22" s="65" t="str">
        <x:v>Source observation</x:v>
      </x:c>
      <x:c r="D22" s="66" t="n">
        <x:v>409049</x:v>
      </x:c>
      <x:c r="E22" s="66" t="str">
        <x:v>eNaTIS December snapshots; latest June 2026 kept separately. No… [N225]</x:v>
      </x:c>
      <x:c r="F22" s="67" t="n">
        <x:v>385845</x:v>
      </x:c>
      <x:c r="G22" s="67" t="n">
        <x:v>392349</x:v>
      </x:c>
      <x:c r="H22" s="67" t="n">
        <x:v>398542</x:v>
      </x:c>
      <x:c r="I22" s="67" t="n">
        <x:v>404752</x:v>
      </x:c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5" t="str">
        <x:v>Unreviewed source extract</x:v>
      </x:c>
      <x:c r="U22" s="65" t="str">
        <x:v>assumptions/2026/timeseries/vehicle_population_natis.csv</x:v>
      </x:c>
      <x:c r="V22" s="65" t="str">
        <x:v>Manish: reconcile scope and revisions before adoption.</x:v>
      </x:c>
    </x:row>
    <x:row r="23" ht="30" customHeight="1">
      <x:c r="A23" s="65" t="str">
        <x:v>stock_buses</x:v>
      </x:c>
      <x:c r="B23" s="65" t="str">
        <x:v>vehicles</x:v>
      </x:c>
      <x:c r="C23" s="65" t="str">
        <x:v>Source observation</x:v>
      </x:c>
      <x:c r="D23" s="66" t="n">
        <x:v>66872</x:v>
      </x:c>
      <x:c r="E23" s="66" t="str">
        <x:v>eNaTIS December snapshots; latest June 2026 kept separately. No… [N226]</x:v>
      </x:c>
      <x:c r="F23" s="67" t="n">
        <x:v>64170</x:v>
      </x:c>
      <x:c r="G23" s="67" t="n">
        <x:v>64982</x:v>
      </x:c>
      <x:c r="H23" s="67" t="n">
        <x:v>65792</x:v>
      </x:c>
      <x:c r="I23" s="67" t="n">
        <x:v>66249</x:v>
      </x:c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5" t="str">
        <x:v>Unreviewed source extract</x:v>
      </x:c>
      <x:c r="U23" s="65" t="str">
        <x:v>assumptions/2026/timeseries/vehicle_population_natis.csv</x:v>
      </x:c>
      <x:c r="V23" s="65" t="str">
        <x:v>Manish: reconcile scope and revisions before adoption.</x:v>
      </x:c>
    </x:row>
    <x:row r="24" ht="30" customHeight="1">
      <x:c r="A24" s="65" t="str">
        <x:v>stock_minibuses</x:v>
      </x:c>
      <x:c r="B24" s="65" t="str">
        <x:v>vehicles</x:v>
      </x:c>
      <x:c r="C24" s="65" t="str">
        <x:v>Source observation</x:v>
      </x:c>
      <x:c r="D24" s="66" t="n">
        <x:v>356997</x:v>
      </x:c>
      <x:c r="E24" s="66" t="str">
        <x:v>eNaTIS December snapshots; latest June 2026 kept separately. No… [N227]</x:v>
      </x:c>
      <x:c r="F24" s="67" t="n">
        <x:v>349335</x:v>
      </x:c>
      <x:c r="G24" s="67" t="n">
        <x:v>355235</x:v>
      </x:c>
      <x:c r="H24" s="67" t="n">
        <x:v>355139</x:v>
      </x:c>
      <x:c r="I24" s="67" t="n">
        <x:v>355145</x:v>
      </x:c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5" t="str">
        <x:v>Unreviewed source extract</x:v>
      </x:c>
      <x:c r="U24" s="65" t="str">
        <x:v>assumptions/2026/timeseries/vehicle_population_natis.csv</x:v>
      </x:c>
      <x:c r="V24" s="65" t="str">
        <x:v>Manish: reconcile scope and revisions before adoption.</x:v>
      </x:c>
    </x:row>
    <x:row r="25" ht="30" customHeight="1">
      <x:c r="A25" s="65" t="str">
        <x:v>macro_gdp_per_capita</x:v>
      </x:c>
      <x:c r="B25" s="65" t="str">
        <x:v>2015 ZAR/person</x:v>
      </x:c>
      <x:c r="C25" s="65" t="str">
        <x:v>Source observation</x:v>
      </x:c>
      <x:c r="D25" s="66"/>
      <x:c r="E25" s="66" t="str">
        <x:v>Stats SA annual actual in staged reporting copy. Sector value… [N228]</x:v>
      </x:c>
      <x:c r="F25" s="67" t="n">
        <x:v>76055.06748983047</x:v>
      </x:c>
      <x:c r="G25" s="67" t="n">
        <x:v>75781.52071231291</x:v>
      </x:c>
      <x:c r="H25" s="67" t="n">
        <x:v>75255.62912098455</x:v>
      </x:c>
      <x:c r="I25" s="67" t="n">
        <x:v>75149.98563223911</x:v>
      </x:c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5" t="str">
        <x:v>Unreviewed source extract</x:v>
      </x:c>
      <x:c r="U25" s="65" t="str">
        <x:v>pptx/story/evidence_2026_10_06/macro_statssa.csv</x:v>
      </x:c>
      <x:c r="V25" s="65" t="str">
        <x:v>Manish: reconcile scope and revisions before adoption.</x:v>
      </x:c>
    </x:row>
    <x:row r="26" ht="30" customHeight="1">
      <x:c r="A26" s="65" t="str">
        <x:v>macro_agriculture_forestry_and_fishing</x:v>
      </x:c>
      <x:c r="B26" s="65" t="str">
        <x:v>bn 2015 ZAR</x:v>
      </x:c>
      <x:c r="C26" s="65" t="str">
        <x:v>Source observation</x:v>
      </x:c>
      <x:c r="D26" s="66"/>
      <x:c r="E26" s="66" t="str">
        <x:v>Stats SA annual actual in staged reporting copy. Sector value… [N229]</x:v>
      </x:c>
      <x:c r="F26" s="67" t="n">
        <x:v>131.7706421450265</x:v>
      </x:c>
      <x:c r="G26" s="67" t="n">
        <x:v>125.74664214502654</x:v>
      </x:c>
      <x:c r="H26" s="67" t="n">
        <x:v>114.79164214502653</x:v>
      </x:c>
      <x:c r="I26" s="67" t="n">
        <x:v>134.79674698171317</x:v>
      </x:c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5" t="str">
        <x:v>Unreviewed source extract</x:v>
      </x:c>
      <x:c r="U26" s="65" t="str">
        <x:v>pptx/story/evidence_2026_10_06/macro_statssa.csv</x:v>
      </x:c>
      <x:c r="V26" s="65" t="str">
        <x:v>Manish: reconcile scope and revisions before adoption.</x:v>
      </x:c>
    </x:row>
    <x:row r="27" ht="30" customHeight="1">
      <x:c r="A27" s="65" t="str">
        <x:v>macro_manufacturing</x:v>
      </x:c>
      <x:c r="B27" s="65" t="str">
        <x:v>bn 2015 ZAR</x:v>
      </x:c>
      <x:c r="C27" s="65" t="str">
        <x:v>Source observation</x:v>
      </x:c>
      <x:c r="D27" s="66"/>
      <x:c r="E27" s="66" t="str">
        <x:v>Stats SA annual actual in staged reporting copy. Sector value… [N230]</x:v>
      </x:c>
      <x:c r="F27" s="67" t="n">
        <x:v>523.0907540648606</x:v>
      </x:c>
      <x:c r="G27" s="67" t="n">
        <x:v>524.9937540648609</x:v>
      </x:c>
      <x:c r="H27" s="67" t="n">
        <x:v>523.150754064861</x:v>
      </x:c>
      <x:c r="I27" s="67" t="n">
        <x:v>516.9856529750193</x:v>
      </x:c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5" t="str">
        <x:v>Unreviewed source extract</x:v>
      </x:c>
      <x:c r="U27" s="65" t="str">
        <x:v>pptx/story/evidence_2026_10_06/macro_statssa.csv</x:v>
      </x:c>
      <x:c r="V27" s="65" t="str">
        <x:v>Manish: reconcile scope and revisions before adoption.</x:v>
      </x:c>
    </x:row>
    <x:row r="28" ht="30" customHeight="1">
      <x:c r="A28" s="65" t="str">
        <x:v>macro_mining_and_quarrying</x:v>
      </x:c>
      <x:c r="B28" s="65" t="str">
        <x:v>bn 2015 ZAR</x:v>
      </x:c>
      <x:c r="C28" s="65" t="str">
        <x:v>Source observation</x:v>
      </x:c>
      <x:c r="D28" s="66"/>
      <x:c r="E28" s="66" t="str">
        <x:v>Stats SA annual actual in staged reporting copy. Sector value… [N231]</x:v>
      </x:c>
      <x:c r="F28" s="67" t="n">
        <x:v>204.4529227196744</x:v>
      </x:c>
      <x:c r="G28" s="67" t="n">
        <x:v>204.22869996627372</x:v>
      </x:c>
      <x:c r="H28" s="67" t="n">
        <x:v>205.1258295918731</x:v>
      </x:c>
      <x:c r="I28" s="67" t="n">
        <x:v>205.46488601425733</x:v>
      </x:c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5" t="str">
        <x:v>Unreviewed source extract</x:v>
      </x:c>
      <x:c r="U28" s="65" t="str">
        <x:v>pptx/story/evidence_2026_10_06/macro_statssa.csv</x:v>
      </x:c>
      <x:c r="V28" s="65" t="str">
        <x:v>Manish: reconcile scope and revisions before adoption.</x:v>
      </x:c>
    </x:row>
    <x:row r="29" ht="30" customHeight="1">
      <x:c r="A29" s="65" t="str">
        <x:v>macro_construction</x:v>
      </x:c>
      <x:c r="B29" s="65" t="str">
        <x:v>bn 2015 ZAR</x:v>
      </x:c>
      <x:c r="C29" s="65" t="str">
        <x:v>Source observation</x:v>
      </x:c>
      <x:c r="D29" s="66"/>
      <x:c r="E29" s="66" t="str">
        <x:v>Stats SA annual actual in staged reporting copy. Sector value… [N232]</x:v>
      </x:c>
      <x:c r="F29" s="67" t="n">
        <x:v>110.06509074890867</x:v>
      </x:c>
      <x:c r="G29" s="67" t="n">
        <x:v>109.56509074890867</x:v>
      </x:c>
      <x:c r="H29" s="67" t="n">
        <x:v>103.62509074890868</x:v>
      </x:c>
      <x:c r="I29" s="67" t="n">
        <x:v>99.09852067977131</x:v>
      </x:c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5" t="str">
        <x:v>Unreviewed source extract</x:v>
      </x:c>
      <x:c r="U29" s="65" t="str">
        <x:v>pptx/story/evidence_2026_10_06/macro_statssa.csv</x:v>
      </x:c>
      <x:c r="V29" s="65" t="str">
        <x:v>Manish: reconcile scope and revisions before adoption.</x:v>
      </x:c>
    </x:row>
    <x:row r="30" ht="30" customHeight="1">
      <x:c r="A30" s="65" t="str">
        <x:v>manufacturing_volume_total</x:v>
      </x:c>
      <x:c r="B30" s="65" t="str">
        <x:v>index 2019=100</x:v>
      </x:c>
      <x:c r="C30" s="65" t="str">
        <x:v>Source observation</x:v>
      </x:c>
      <x:c r="D30" s="66" t="n">
        <x:v>87.71428571428571</x:v>
      </x:c>
      <x:c r="E30" s="66" t="str">
        <x:v>Arithmetic mean of all 12 monthly production indices; 2026… [N233]</x:v>
      </x:c>
      <x:c r="F30" s="67" t="n">
        <x:v>93.14166666666667</x:v>
      </x:c>
      <x:c r="G30" s="67" t="n">
        <x:v>93.71666666666665</x:v>
      </x:c>
      <x:c r="H30" s="67" t="n">
        <x:v>93.33333333333333</x:v>
      </x:c>
      <x:c r="I30" s="67" t="n">
        <x:v>92.14166666666665</x:v>
      </x:c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5" t="str">
        <x:v>Unreviewed source extract</x:v>
      </x:c>
      <x:c r="U30" s="65" t="str">
        <x:v>pptx/story/evidence_2026_10_06/activity_statssa_monthly.csv</x:v>
      </x:c>
      <x:c r="V30" s="65" t="str">
        <x:v>Manish: reconcile scope and revisions before adoption.</x:v>
      </x:c>
    </x:row>
    <x:row r="31" ht="30" customHeight="1">
      <x:c r="A31" s="65" t="str">
        <x:v>mining_volume_total</x:v>
      </x:c>
      <x:c r="B31" s="65" t="str">
        <x:v>index 2019=100</x:v>
      </x:c>
      <x:c r="C31" s="65" t="str">
        <x:v>Source observation</x:v>
      </x:c>
      <x:c r="D31" s="66" t="n">
        <x:v>90.6857142857143</x:v>
      </x:c>
      <x:c r="E31" s="66" t="str">
        <x:v>Arithmetic mean of all 12 monthly production indices; 2026… [N234]</x:v>
      </x:c>
      <x:c r="F31" s="67" t="n">
        <x:v>93.00833333333334</x:v>
      </x:c>
      <x:c r="G31" s="67" t="n">
        <x:v>93.01666666666667</x:v>
      </x:c>
      <x:c r="H31" s="67" t="n">
        <x:v>93.53333333333332</x:v>
      </x:c>
      <x:c r="I31" s="67" t="n">
        <x:v>93.70833333333333</x:v>
      </x:c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5" t="str">
        <x:v>Unreviewed source extract</x:v>
      </x:c>
      <x:c r="U31" s="65" t="str">
        <x:v>pptx/story/evidence_2026_10_06/activity_statssa_monthly.csv</x:v>
      </x:c>
      <x:c r="V31" s="65" t="str">
        <x:v>Manish: reconcile scope and revisions before adoption.</x:v>
      </x:c>
    </x:row>
    <x:row r="32" ht="30" customHeight="1">
      <x:c r="A32" s="65" t="str">
        <x:v>freight_payload_road</x:v>
      </x:c>
      <x:c r="B32" s="65" t="str">
        <x:v>thousand tonnes</x:v>
      </x:c>
      <x:c r="C32" s="65" t="str">
        <x:v>Source observation</x:v>
      </x:c>
      <x:c r="D32" s="66" t="n">
        <x:v>568029</x:v>
      </x:c>
      <x:c r="E32" s="66" t="str">
        <x:v>Complete calendar years only; 2026 Jan–Jul shown separately.… [N235]</x:v>
      </x:c>
      <x:c r="F32" s="67" t="n">
        <x:v>1048547</x:v>
      </x:c>
      <x:c r="G32" s="67" t="n">
        <x:v>1060419</x:v>
      </x:c>
      <x:c r="H32" s="67" t="n">
        <x:v>979798</x:v>
      </x:c>
      <x:c r="I32" s="67" t="n">
        <x:v>975176</x:v>
      </x:c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5" t="str">
        <x:v>Unreviewed source extract</x:v>
      </x:c>
      <x:c r="U32" s="65" t="str">
        <x:v>pptx/story/evidence_2026_10_06/activity_statssa_monthly.csv</x:v>
      </x:c>
      <x:c r="V32" s="65" t="str">
        <x:v>Manish: reconcile scope and revisions before adoption.</x:v>
      </x:c>
    </x:row>
    <x:row r="33" ht="30" customHeight="1">
      <x:c r="A33" s="65" t="str">
        <x:v>freight_payload_rail</x:v>
      </x:c>
      <x:c r="B33" s="65" t="str">
        <x:v>thousand tonnes</x:v>
      </x:c>
      <x:c r="C33" s="65" t="str">
        <x:v>Source observation</x:v>
      </x:c>
      <x:c r="D33" s="66" t="n">
        <x:v>101145</x:v>
      </x:c>
      <x:c r="E33" s="66" t="str">
        <x:v>Complete calendar years only; 2026 Jan–Jul shown separately.… [N236]</x:v>
      </x:c>
      <x:c r="F33" s="67" t="n">
        <x:v>155913</x:v>
      </x:c>
      <x:c r="G33" s="67" t="n">
        <x:v>160100</x:v>
      </x:c>
      <x:c r="H33" s="67" t="n">
        <x:v>160745</x:v>
      </x:c>
      <x:c r="I33" s="67" t="n">
        <x:v>168259</x:v>
      </x:c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5" t="str">
        <x:v>Unreviewed source extract</x:v>
      </x:c>
      <x:c r="U33" s="65" t="str">
        <x:v>pptx/story/evidence_2026_10_06/activity_statssa_monthly.csv</x:v>
      </x:c>
      <x:c r="V33" s="65" t="str">
        <x:v>Manish: reconcile scope and revisions before adoption.</x:v>
      </x:c>
    </x:row>
    <x:row r="34" ht="30" customHeight="1">
      <x:c r="A34" s="65" t="str">
        <x:v>eskom_ocgt</x:v>
      </x:c>
      <x:c r="B34" s="65" t="str">
        <x:v>GWh / financial year</x:v>
      </x:c>
      <x:c r="C34" s="65" t="str">
        <x:v>Source observation</x:v>
      </x:c>
      <x:c r="D34" s="66"/>
      <x:c r="E34" s="66" t="str">
        <x:v>Full financial year ending 31 March in the column year. Not… [N237]</x:v>
      </x:c>
      <x:c r="F34" s="67" t="n">
        <x:v>1826</x:v>
      </x:c>
      <x:c r="G34" s="67" t="n">
        <x:v>3018</x:v>
      </x:c>
      <x:c r="H34" s="67" t="n">
        <x:v>3634</x:v>
      </x:c>
      <x:c r="I34" s="67" t="n">
        <x:v>2176</x:v>
      </x:c>
      <x:c r="J34" s="67" t="n">
        <x:v>811</x:v>
      </x:c>
      <x:c r="K34" s="67"/>
      <x:c r="L34" s="67"/>
      <x:c r="M34" s="67"/>
      <x:c r="N34" s="67"/>
      <x:c r="O34" s="67"/>
      <x:c r="P34" s="67"/>
      <x:c r="Q34" s="67"/>
      <x:c r="R34" s="67"/>
      <x:c r="S34" s="67"/>
      <x:c r="T34" s="65" t="str">
        <x:v>Unreviewed source extract</x:v>
      </x:c>
      <x:c r="U34" s="65" t="str">
        <x:v>assumptions/2026/timeseries/ocgt_generation_eskom.csv</x:v>
      </x:c>
      <x:c r="V34" s="65" t="str">
        <x:v>Manish: reconcile scope and revisions before adoption.</x:v>
      </x:c>
    </x:row>
    <x:row r="35" ht="30" customHeight="1">
      <x:c r="A35" s="65" t="str">
        <x:v>ipp_ocgt</x:v>
      </x:c>
      <x:c r="B35" s="65" t="str">
        <x:v>GWh / financial year</x:v>
      </x:c>
      <x:c r="C35" s="65" t="str">
        <x:v>Source observation</x:v>
      </x:c>
      <x:c r="D35" s="66"/>
      <x:c r="E35" s="66" t="str">
        <x:v>Full financial year ending 31 March in the column year. Not… [N238]</x:v>
      </x:c>
      <x:c r="F35" s="67"/>
      <x:c r="G35" s="67" t="n">
        <x:v>1098</x:v>
      </x:c>
      <x:c r="H35" s="67" t="n">
        <x:v>1509</x:v>
      </x:c>
      <x:c r="I35" s="67" t="n">
        <x:v>662</x:v>
      </x:c>
      <x:c r="J35" s="67" t="n">
        <x:v>268</x:v>
      </x:c>
      <x:c r="K35" s="67"/>
      <x:c r="L35" s="67"/>
      <x:c r="M35" s="67"/>
      <x:c r="N35" s="67"/>
      <x:c r="O35" s="67"/>
      <x:c r="P35" s="67"/>
      <x:c r="Q35" s="67"/>
      <x:c r="R35" s="67"/>
      <x:c r="S35" s="67"/>
      <x:c r="T35" s="65" t="str">
        <x:v>Unreviewed source extract</x:v>
      </x:c>
      <x:c r="U35" s="65" t="str">
        <x:v>assumptions/2026/timeseries/ocgt_generation_eskom.csv</x:v>
      </x:c>
      <x:c r="V35" s="65" t="str">
        <x:v>Manish: reconcile scope and revisions before adoption.</x:v>
      </x:c>
    </x:row>
    <x:row r="36" ht="30" customHeight="1">
      <x:c r="A36" s="65" t="str">
        <x:v>eskom_and_ipp_ocgt</x:v>
      </x:c>
      <x:c r="B36" s="65" t="str">
        <x:v>GWh / financial year</x:v>
      </x:c>
      <x:c r="C36" s="65" t="str">
        <x:v>Source observation</x:v>
      </x:c>
      <x:c r="D36" s="66"/>
      <x:c r="E36" s="66" t="str">
        <x:v>Full financial year ending 31 March in the column year. Not… [N239]</x:v>
      </x:c>
      <x:c r="F36" s="67"/>
      <x:c r="G36" s="67" t="n">
        <x:v>4116</x:v>
      </x:c>
      <x:c r="H36" s="67" t="n">
        <x:v>5143</x:v>
      </x:c>
      <x:c r="I36" s="67" t="n">
        <x:v>2838</x:v>
      </x:c>
      <x:c r="J36" s="67" t="n">
        <x:v>1079</x:v>
      </x:c>
      <x:c r="K36" s="67"/>
      <x:c r="L36" s="67"/>
      <x:c r="M36" s="67"/>
      <x:c r="N36" s="67"/>
      <x:c r="O36" s="67"/>
      <x:c r="P36" s="67"/>
      <x:c r="Q36" s="67"/>
      <x:c r="R36" s="67"/>
      <x:c r="S36" s="67"/>
      <x:c r="T36" s="65" t="str">
        <x:v>Unreviewed source extract</x:v>
      </x:c>
      <x:c r="U36" s="65" t="str">
        <x:v>assumptions/2026/timeseries/ocgt_generation_eskom.csv</x:v>
      </x:c>
      <x:c r="V36" s="65" t="str">
        <x:v>Manish: reconcile scope and revisions before adoption.</x:v>
      </x:c>
    </x:row>
    <x:row r="37" ht="30" customHeight="1">
      <x:c r="A37" s="65" t="str">
        <x:v>acsa_passengers</x:v>
      </x:c>
      <x:c r="B37" s="65" t="str">
        <x:v>departures</x:v>
      </x:c>
      <x:c r="C37" s="65" t="str">
        <x:v>Source observation</x:v>
      </x:c>
      <x:c r="D37" s="66" t="n">
        <x:v>13249170</x:v>
      </x:c>
      <x:c r="E37" s="66" t="str">
        <x:v>ACSA departures only; sums monthly total-flight rows without… [N240]</x:v>
      </x:c>
      <x:c r="F37" s="67" t="n">
        <x:v>14986458</x:v>
      </x:c>
      <x:c r="G37" s="67" t="n">
        <x:v>17846377</x:v>
      </x:c>
      <x:c r="H37" s="67" t="n">
        <x:v>18785364</x:v>
      </x:c>
      <x:c r="I37" s="67" t="n">
        <x:v>20197976</x:v>
      </x:c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5" t="str">
        <x:v>Unreviewed source extract</x:v>
      </x:c>
      <x:c r="U37" s="65" t="str">
        <x:v>assumptions/2026/timeseries/air_traffic_acsa.csv</x:v>
      </x:c>
      <x:c r="V37" s="65" t="str">
        <x:v>Manish: reconcile scope and revisions before adoption.</x:v>
      </x:c>
    </x:row>
    <x:row r="38" ht="30" customHeight="1">
      <x:c r="A38" s="65" t="str">
        <x:v>acsa_aircraft_movements</x:v>
      </x:c>
      <x:c r="B38" s="65" t="str">
        <x:v>departures</x:v>
      </x:c>
      <x:c r="C38" s="65" t="str">
        <x:v>Source observation</x:v>
      </x:c>
      <x:c r="D38" s="66" t="n">
        <x:v>155688</x:v>
      </x:c>
      <x:c r="E38" s="66" t="str">
        <x:v>ACSA departures only; sums monthly total-flight rows without… [N241]</x:v>
      </x:c>
      <x:c r="F38" s="67" t="n">
        <x:v>207504</x:v>
      </x:c>
      <x:c r="G38" s="67" t="n">
        <x:v>225422</x:v>
      </x:c>
      <x:c r="H38" s="67" t="n">
        <x:v>227773</x:v>
      </x:c>
      <x:c r="I38" s="67" t="n">
        <x:v>230996</x:v>
      </x:c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5" t="str">
        <x:v>Unreviewed source extract</x:v>
      </x:c>
      <x:c r="U38" s="65" t="str">
        <x:v>assumptions/2026/timeseries/air_traffic_acsa.csv</x:v>
      </x:c>
      <x:c r="V38" s="65" t="str">
        <x:v>Manish: reconcile scope and revisions before adoption.</x:v>
      </x:c>
    </x:row>
    <x:row r="39" ht="30" customHeight="1">
      <x:c r="A39" s="65" t="str">
        <x:v>Agriculture: 2021 agriculture/forestry diesel</x:v>
      </x:c>
      <x:c r="B39" s="65" t="str">
        <x:v>million L/year</x:v>
      </x:c>
      <x:c r="C39" s="65" t="str">
        <x:v>Staged observation</x:v>
      </x:c>
      <x:c r="D39" s="66" t="n">
        <x:v>1058.39895</x:v>
      </x:c>
      <x:c r="E39" s="66" t="str">
        <x:v>D is reported 2021 fuel use. No 2022–26 fuel observations inferred.</x:v>
      </x:c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5" t="str">
        <x:v>Older anchor; not adopted</x:v>
      </x:c>
      <x:c r="U39" s="65" t="str">
        <x:v>https://github.com/Africa-International-Advisors/liq… [N242]</x:v>
      </x:c>
      <x:c r="V39" s="65" t="str">
        <x:v>Check date and scope before adopting.</x:v>
      </x:c>
    </x:row>
    <x:row r="40" ht="30" customHeight="1">
      <x:c r="A40" s="65" t="str">
        <x:v>Manufacturing: 2021 energy-balance industry total</x:v>
      </x:c>
      <x:c r="B40" s="65" t="str">
        <x:v>million L/year</x:v>
      </x:c>
      <x:c r="C40" s="65" t="str">
        <x:v>Staged observation</x:v>
      </x:c>
      <x:c r="D40" s="66" t="n">
        <x:v>1499.1392599999997</x:v>
      </x:c>
      <x:c r="E40" s="66" t="str">
        <x:v>Parent industry total includes mining and construction. It is not… [N243]</x:v>
      </x:c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5" t="str">
        <x:v>Older anchor; not adopted</x:v>
      </x:c>
      <x:c r="U40" s="65" t="str">
        <x:v>https://github.com/Africa-International-Advisors/liq… [N244]</x:v>
      </x:c>
      <x:c r="V40" s="65" t="str">
        <x:v>Check date and scope before adopting.</x:v>
      </x:c>
    </x:row>
    <x:row r="41" ht="30" customHeight="1">
      <x:c r="A41" s="65" t="str">
        <x:v>Manufacturing: 2021 construction diesel</x:v>
      </x:c>
      <x:c r="B41" s="65" t="str">
        <x:v>million L/year</x:v>
      </x:c>
      <x:c r="C41" s="65" t="str">
        <x:v>Staged observation</x:v>
      </x:c>
      <x:c r="D41" s="66" t="n">
        <x:v>48.69243</x:v>
      </x:c>
      <x:c r="E41" s="66" t="str">
        <x:v>Construction child of source industry total, shown separately to… [N245]</x:v>
      </x:c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5" t="str">
        <x:v>Older anchor; not adopted</x:v>
      </x:c>
      <x:c r="U41" s="65" t="str">
        <x:v>https://github.com/Africa-International-Advisors/liq… [N246]</x:v>
      </x:c>
      <x:c r="V41" s="65" t="str">
        <x:v>Check date and scope before adopting.</x:v>
      </x:c>
    </x:row>
    <x:row r="42" ht="30" customHeight="1">
      <x:c r="A42" s="65" t="str">
        <x:v>Mining: 2021 mining/quarrying diesel</x:v>
      </x:c>
      <x:c r="B42" s="65" t="str">
        <x:v>million L/year</x:v>
      </x:c>
      <x:c r="C42" s="65" t="str">
        <x:v>Staged observation</x:v>
      </x:c>
      <x:c r="D42" s="66" t="n">
        <x:v>1293.81342</x:v>
      </x:c>
      <x:c r="E42" s="66" t="str">
        <x:v>D is a 2021 anchor. Not a 2022 observation or approved starting assumption.</x:v>
      </x:c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5" t="str">
        <x:v>Older anchor; not adopted</x:v>
      </x:c>
      <x:c r="U42" s="65" t="str">
        <x:v>https://github.com/Africa-International-Advisors/liq… [N247]</x:v>
      </x:c>
      <x:c r="V42" s="65" t="str">
        <x:v>Check date and scope before adopting.</x:v>
      </x:c>
    </x:row>
    <x:row r="43" ht="30" customHeight="1">
      <x:c r="A43" s="65" t="str">
        <x:v>Provincial: EC petrol / million L/year</x:v>
      </x:c>
      <x:c r="B43" s="65" t="str">
        <x:v>million L</x:v>
      </x:c>
      <x:c r="C43" s="65" t="str">
        <x:v>Source observation</x:v>
      </x:c>
      <x:c r="D43" s="66" t="n">
        <x:v>169.98341841600003</x:v>
      </x:c>
      <x:c r="E43" s="66" t="str">
        <x:v>2022 full year. Latest separate value: 2023 Q1 only</x:v>
      </x:c>
      <x:c r="F43" s="67" t="n">
        <x:v>703.1324447169991</x:v>
      </x:c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5" t="str">
        <x:v>2022 full year; latest Q1 2023 in R, not annualised.</x:v>
      </x:c>
      <x:c r="U43" s="65" t="str">
        <x:v>https://github.com/Africa-International-Advisors/liq… [N248]</x:v>
      </x:c>
      <x:c r="V43" s="65" t="str">
        <x:v>Sales geography; not automatically consumption geography.</x:v>
      </x:c>
    </x:row>
    <x:row r="44" ht="30" customHeight="1">
      <x:c r="A44" s="65" t="str">
        <x:v>Provincial: FS petrol / million L/year</x:v>
      </x:c>
      <x:c r="B44" s="65" t="str">
        <x:v>million L</x:v>
      </x:c>
      <x:c r="C44" s="65" t="str">
        <x:v>Source observation</x:v>
      </x:c>
      <x:c r="D44" s="66" t="n">
        <x:v>134.24808912900002</x:v>
      </x:c>
      <x:c r="E44" s="66" t="str">
        <x:v>2022 full year. Latest separate value: 2023 Q1 only</x:v>
      </x:c>
      <x:c r="F44" s="67" t="n">
        <x:v>587.4580081820001</x:v>
      </x:c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5" t="str">
        <x:v>2022 full year; latest Q1 2023 in R, not annualised.</x:v>
      </x:c>
      <x:c r="U44" s="65" t="str">
        <x:v>https://github.com/Africa-International-Advisors/liq… [N249]</x:v>
      </x:c>
      <x:c r="V44" s="65" t="str">
        <x:v>Sales geography; not automatically consumption geography.</x:v>
      </x:c>
    </x:row>
    <x:row r="45" ht="30" customHeight="1">
      <x:c r="A45" s="65" t="str">
        <x:v>Provincial: GP petrol / million L/year</x:v>
      </x:c>
      <x:c r="B45" s="65" t="str">
        <x:v>million L</x:v>
      </x:c>
      <x:c r="C45" s="65" t="str">
        <x:v>Source observation</x:v>
      </x:c>
      <x:c r="D45" s="66" t="n">
        <x:v>866.542928499998</x:v>
      </x:c>
      <x:c r="E45" s="66" t="str">
        <x:v>2022 full year. Latest separate value: 2023 Q1 only</x:v>
      </x:c>
      <x:c r="F45" s="67" t="n">
        <x:v>3530.440256933996</x:v>
      </x:c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5" t="str">
        <x:v>2022 full year; latest Q1 2023 in R, not annualised.</x:v>
      </x:c>
      <x:c r="U45" s="65" t="str">
        <x:v>https://github.com/Africa-International-Advisors/liq… [N250]</x:v>
      </x:c>
      <x:c r="V45" s="65" t="str">
        <x:v>Sales geography; not automatically consumption geography.</x:v>
      </x:c>
    </x:row>
    <x:row r="46" ht="30" customHeight="1">
      <x:c r="A46" s="65" t="str">
        <x:v>Provincial: KZN petrol / million L/year</x:v>
      </x:c>
      <x:c r="B46" s="65" t="str">
        <x:v>million L</x:v>
      </x:c>
      <x:c r="C46" s="65" t="str">
        <x:v>Source observation</x:v>
      </x:c>
      <x:c r="D46" s="66" t="n">
        <x:v>365.0497116949989</x:v>
      </x:c>
      <x:c r="E46" s="66" t="str">
        <x:v>2022 full year. Latest separate value: 2023 Q1 only</x:v>
      </x:c>
      <x:c r="F46" s="67" t="n">
        <x:v>1498.9378933949993</x:v>
      </x:c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5" t="str">
        <x:v>2022 full year; latest Q1 2023 in R, not annualised.</x:v>
      </x:c>
      <x:c r="U46" s="65" t="str">
        <x:v>https://github.com/Africa-International-Advisors/liq… [N251]</x:v>
      </x:c>
      <x:c r="V46" s="65" t="str">
        <x:v>Sales geography; not automatically consumption geography.</x:v>
      </x:c>
    </x:row>
    <x:row r="47" ht="30" customHeight="1">
      <x:c r="A47" s="65" t="str">
        <x:v>Provincial: LP petrol / million L/year</x:v>
      </x:c>
      <x:c r="B47" s="65" t="str">
        <x:v>million L</x:v>
      </x:c>
      <x:c r="C47" s="65" t="str">
        <x:v>Source observation</x:v>
      </x:c>
      <x:c r="D47" s="66" t="n">
        <x:v>68.09202067700001</x:v>
      </x:c>
      <x:c r="E47" s="66" t="str">
        <x:v>2022 full year. Latest separate value: 2023 Q1 only</x:v>
      </x:c>
      <x:c r="F47" s="67" t="n">
        <x:v>273.644045045999</x:v>
      </x:c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5" t="str">
        <x:v>2022 full year; latest Q1 2023 in R, not annualised.</x:v>
      </x:c>
      <x:c r="U47" s="65" t="str">
        <x:v>https://github.com/Africa-International-Advisors/liq… [N252]</x:v>
      </x:c>
      <x:c r="V47" s="65" t="str">
        <x:v>Sales geography; not automatically consumption geography.</x:v>
      </x:c>
    </x:row>
    <x:row r="48" ht="30" customHeight="1">
      <x:c r="A48" s="65" t="str">
        <x:v>Provincial: MP petrol / million L/year</x:v>
      </x:c>
      <x:c r="B48" s="65" t="str">
        <x:v>million L</x:v>
      </x:c>
      <x:c r="C48" s="65" t="str">
        <x:v>Source observation</x:v>
      </x:c>
      <x:c r="D48" s="66" t="n">
        <x:v>159.66702741400002</x:v>
      </x:c>
      <x:c r="E48" s="66" t="str">
        <x:v>2022 full year. Latest separate value: 2023 Q1 only</x:v>
      </x:c>
      <x:c r="F48" s="67" t="n">
        <x:v>612.2656460789989</x:v>
      </x:c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5" t="str">
        <x:v>2022 full year; latest Q1 2023 in R, not annualised.</x:v>
      </x:c>
      <x:c r="U48" s="65" t="str">
        <x:v>https://github.com/Africa-International-Advisors/liq… [N253]</x:v>
      </x:c>
      <x:c r="V48" s="65" t="str">
        <x:v>Sales geography; not automatically consumption geography.</x:v>
      </x:c>
    </x:row>
    <x:row r="49" ht="30" customHeight="1">
      <x:c r="A49" s="65" t="str">
        <x:v>Provincial: NC petrol / million L/year</x:v>
      </x:c>
      <x:c r="B49" s="65" t="str">
        <x:v>million L</x:v>
      </x:c>
      <x:c r="C49" s="65" t="str">
        <x:v>Source observation</x:v>
      </x:c>
      <x:c r="D49" s="66" t="n">
        <x:v>24.616719420000003</x:v>
      </x:c>
      <x:c r="E49" s="66" t="str">
        <x:v>2022 full year. Latest separate value: 2023 Q1 only</x:v>
      </x:c>
      <x:c r="F49" s="67" t="n">
        <x:v>99.82992901300001</x:v>
      </x:c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5" t="str">
        <x:v>2022 full year; latest Q1 2023 in R, not annualised.</x:v>
      </x:c>
      <x:c r="U49" s="65" t="str">
        <x:v>https://github.com/Africa-International-Advisors/liq… [N254]</x:v>
      </x:c>
      <x:c r="V49" s="65" t="str">
        <x:v>Sales geography; not automatically consumption geography.</x:v>
      </x:c>
    </x:row>
    <x:row r="50" ht="30" customHeight="1">
      <x:c r="A50" s="65" t="str">
        <x:v>Provincial: NW petrol / million L/year</x:v>
      </x:c>
      <x:c r="B50" s="65" t="str">
        <x:v>million L</x:v>
      </x:c>
      <x:c r="C50" s="65" t="str">
        <x:v>Source observation</x:v>
      </x:c>
      <x:c r="D50" s="66" t="n">
        <x:v>107.87280811099996</x:v>
      </x:c>
      <x:c r="E50" s="66" t="str">
        <x:v>2022 full year. Latest separate value: 2023 Q1 only</x:v>
      </x:c>
      <x:c r="F50" s="67" t="n">
        <x:v>448.1562321239999</x:v>
      </x:c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5" t="str">
        <x:v>2022 full year; latest Q1 2023 in R, not annualised.</x:v>
      </x:c>
      <x:c r="U50" s="65" t="str">
        <x:v>https://github.com/Africa-International-Advisors/liq… [N255]</x:v>
      </x:c>
      <x:c r="V50" s="65" t="str">
        <x:v>Sales geography; not automatically consumption geography.</x:v>
      </x:c>
    </x:row>
    <x:row r="51" ht="30" customHeight="1">
      <x:c r="A51" s="65" t="str">
        <x:v>Provincial: WC petrol / million L/year</x:v>
      </x:c>
      <x:c r="B51" s="65" t="str">
        <x:v>million L</x:v>
      </x:c>
      <x:c r="C51" s="65" t="str">
        <x:v>Source observation</x:v>
      </x:c>
      <x:c r="D51" s="66" t="n">
        <x:v>366.983397196</x:v>
      </x:c>
      <x:c r="E51" s="66" t="str">
        <x:v>2022 full year. Latest separate value: 2023 Q1 only</x:v>
      </x:c>
      <x:c r="F51" s="67" t="n">
        <x:v>1431.0054600829972</x:v>
      </x:c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5" t="str">
        <x:v>2022 full year; latest Q1 2023 in R, not annualised.</x:v>
      </x:c>
      <x:c r="U51" s="65" t="str">
        <x:v>https://github.com/Africa-International-Advisors/liq… [N256]</x:v>
      </x:c>
      <x:c r="V51" s="65" t="str">
        <x:v>Sales geography; not automatically consumption geography.</x:v>
      </x:c>
    </x:row>
    <x:row r="52" ht="30" customHeight="1">
      <x:c r="A52" s="65" t="str">
        <x:v>Provincial: EC diesel / million L/year</x:v>
      </x:c>
      <x:c r="B52" s="65" t="str">
        <x:v>million L</x:v>
      </x:c>
      <x:c r="C52" s="65" t="str">
        <x:v>Source observation</x:v>
      </x:c>
      <x:c r="D52" s="66" t="n">
        <x:v>249.20989487100007</x:v>
      </x:c>
      <x:c r="E52" s="66" t="str">
        <x:v>2022 full year. Latest separate value: 2023 Q1 only</x:v>
      </x:c>
      <x:c r="F52" s="67" t="n">
        <x:v>1032.35218272</x:v>
      </x:c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5" t="str">
        <x:v>2022 full year; latest Q1 2023 in R, not annualised.</x:v>
      </x:c>
      <x:c r="U52" s="65" t="str">
        <x:v>https://github.com/Africa-International-Advisors/liq… [N257]</x:v>
      </x:c>
      <x:c r="V52" s="65" t="str">
        <x:v>Sales geography; not automatically consumption geography.</x:v>
      </x:c>
    </x:row>
    <x:row r="53" ht="30" customHeight="1">
      <x:c r="A53" s="65" t="str">
        <x:v>Provincial: FS diesel / million L/year</x:v>
      </x:c>
      <x:c r="B53" s="65" t="str">
        <x:v>million L</x:v>
      </x:c>
      <x:c r="C53" s="65" t="str">
        <x:v>Source observation</x:v>
      </x:c>
      <x:c r="D53" s="66" t="n">
        <x:v>171.380981426</x:v>
      </x:c>
      <x:c r="E53" s="66" t="str">
        <x:v>2022 full year. Latest separate value: 2023 Q1 only</x:v>
      </x:c>
      <x:c r="F53" s="67" t="n">
        <x:v>781.8611598310002</x:v>
      </x:c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5" t="str">
        <x:v>2022 full year; latest Q1 2023 in R, not annualised.</x:v>
      </x:c>
      <x:c r="U53" s="65" t="str">
        <x:v>https://github.com/Africa-International-Advisors/liq… [N258]</x:v>
      </x:c>
      <x:c r="V53" s="65" t="str">
        <x:v>Sales geography; not automatically consumption geography.</x:v>
      </x:c>
    </x:row>
    <x:row r="54" ht="30" customHeight="1">
      <x:c r="A54" s="65" t="str">
        <x:v>Provincial: GP diesel / million L/year</x:v>
      </x:c>
      <x:c r="B54" s="65" t="str">
        <x:v>million L</x:v>
      </x:c>
      <x:c r="C54" s="65" t="str">
        <x:v>Source observation</x:v>
      </x:c>
      <x:c r="D54" s="66" t="n">
        <x:v>819.754786399999</x:v>
      </x:c>
      <x:c r="E54" s="66" t="str">
        <x:v>2022 full year. Latest separate value: 2023 Q1 only</x:v>
      </x:c>
      <x:c r="F54" s="67" t="n">
        <x:v>3278.9905019619987</x:v>
      </x:c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5" t="str">
        <x:v>2022 full year; latest Q1 2023 in R, not annualised.</x:v>
      </x:c>
      <x:c r="U54" s="65" t="str">
        <x:v>https://github.com/Africa-International-Advisors/liq… [N259]</x:v>
      </x:c>
      <x:c r="V54" s="65" t="str">
        <x:v>Sales geography; not automatically consumption geography.</x:v>
      </x:c>
    </x:row>
    <x:row r="55" ht="30" customHeight="1">
      <x:c r="A55" s="65" t="str">
        <x:v>Provincial: KZN diesel / million L/year</x:v>
      </x:c>
      <x:c r="B55" s="65" t="str">
        <x:v>million L</x:v>
      </x:c>
      <x:c r="C55" s="65" t="str">
        <x:v>Source observation</x:v>
      </x:c>
      <x:c r="D55" s="66" t="n">
        <x:v>599.6235340870004</x:v>
      </x:c>
      <x:c r="E55" s="66" t="str">
        <x:v>2022 full year. Latest separate value: 2023 Q1 only</x:v>
      </x:c>
      <x:c r="F55" s="67" t="n">
        <x:v>2785.5548025030002</x:v>
      </x:c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5" t="str">
        <x:v>2022 full year; latest Q1 2023 in R, not annualised.</x:v>
      </x:c>
      <x:c r="U55" s="65" t="str">
        <x:v>https://github.com/Africa-International-Advisors/liq… [N260]</x:v>
      </x:c>
      <x:c r="V55" s="65" t="str">
        <x:v>Sales geography; not automatically consumption geography.</x:v>
      </x:c>
    </x:row>
    <x:row r="56" ht="30" customHeight="1">
      <x:c r="A56" s="65" t="str">
        <x:v>Provincial: LP diesel / million L/year</x:v>
      </x:c>
      <x:c r="B56" s="65" t="str">
        <x:v>million L</x:v>
      </x:c>
      <x:c r="C56" s="65" t="str">
        <x:v>Source observation</x:v>
      </x:c>
      <x:c r="D56" s="66" t="n">
        <x:v>59.657977532</x:v>
      </x:c>
      <x:c r="E56" s="66" t="str">
        <x:v>2022 full year. Latest separate value: 2023 Q1 only</x:v>
      </x:c>
      <x:c r="F56" s="67" t="n">
        <x:v>221.987440248</x:v>
      </x:c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5" t="str">
        <x:v>2022 full year; latest Q1 2023 in R, not annualised.</x:v>
      </x:c>
      <x:c r="U56" s="65" t="str">
        <x:v>https://github.com/Africa-International-Advisors/liq… [N261]</x:v>
      </x:c>
      <x:c r="V56" s="65" t="str">
        <x:v>Sales geography; not automatically consumption geography.</x:v>
      </x:c>
    </x:row>
    <x:row r="57" ht="30" customHeight="1">
      <x:c r="A57" s="65" t="str">
        <x:v>Provincial: MP diesel / million L/year</x:v>
      </x:c>
      <x:c r="B57" s="65" t="str">
        <x:v>million L</x:v>
      </x:c>
      <x:c r="C57" s="65" t="str">
        <x:v>Source observation</x:v>
      </x:c>
      <x:c r="D57" s="66" t="n">
        <x:v>289.1097057700001</x:v>
      </x:c>
      <x:c r="E57" s="66" t="str">
        <x:v>2022 full year. Latest separate value: 2023 Q1 only</x:v>
      </x:c>
      <x:c r="F57" s="67" t="n">
        <x:v>1144.924075864997</x:v>
      </x:c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5" t="str">
        <x:v>2022 full year; latest Q1 2023 in R, not annualised.</x:v>
      </x:c>
      <x:c r="U57" s="65" t="str">
        <x:v>https://github.com/Africa-International-Advisors/liq… [N262]</x:v>
      </x:c>
      <x:c r="V57" s="65" t="str">
        <x:v>Sales geography; not automatically consumption geography.</x:v>
      </x:c>
    </x:row>
    <x:row r="58" ht="30" customHeight="1">
      <x:c r="A58" s="65" t="str">
        <x:v>Provincial: NC diesel / million L/year</x:v>
      </x:c>
      <x:c r="B58" s="65" t="str">
        <x:v>million L</x:v>
      </x:c>
      <x:c r="C58" s="65" t="str">
        <x:v>Source observation</x:v>
      </x:c>
      <x:c r="D58" s="66" t="n">
        <x:v>88.67814113899999</x:v>
      </x:c>
      <x:c r="E58" s="66" t="str">
        <x:v>2022 full year. Latest separate value: 2023 Q1 only</x:v>
      </x:c>
      <x:c r="F58" s="67" t="n">
        <x:v>351.9801199100001</x:v>
      </x:c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5" t="str">
        <x:v>2022 full year; latest Q1 2023 in R, not annualised.</x:v>
      </x:c>
      <x:c r="U58" s="65" t="str">
        <x:v>https://github.com/Africa-International-Advisors/liq… [N263]</x:v>
      </x:c>
      <x:c r="V58" s="65" t="str">
        <x:v>Sales geography; not automatically consumption geography.</x:v>
      </x:c>
    </x:row>
    <x:row r="59" ht="30" customHeight="1">
      <x:c r="A59" s="65" t="str">
        <x:v>Provincial: NW diesel / million L/year</x:v>
      </x:c>
      <x:c r="B59" s="65" t="str">
        <x:v>million L</x:v>
      </x:c>
      <x:c r="C59" s="65" t="str">
        <x:v>Source observation</x:v>
      </x:c>
      <x:c r="D59" s="66" t="n">
        <x:v>139.12355248499998</x:v>
      </x:c>
      <x:c r="E59" s="66" t="str">
        <x:v>2022 full year. Latest separate value: 2023 Q1 only</x:v>
      </x:c>
      <x:c r="F59" s="67" t="n">
        <x:v>619.906488913</x:v>
      </x:c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5" t="str">
        <x:v>2022 full year; latest Q1 2023 in R, not annualised.</x:v>
      </x:c>
      <x:c r="U59" s="65" t="str">
        <x:v>https://github.com/Africa-International-Advisors/liq… [N264]</x:v>
      </x:c>
      <x:c r="V59" s="65" t="str">
        <x:v>Sales geography; not automatically consumption geography.</x:v>
      </x:c>
    </x:row>
    <x:row r="60" ht="30" customHeight="1">
      <x:c r="A60" s="65" t="str">
        <x:v>Provincial: WC diesel / million L/year</x:v>
      </x:c>
      <x:c r="B60" s="65" t="str">
        <x:v>million L</x:v>
      </x:c>
      <x:c r="C60" s="65" t="str">
        <x:v>Source observation</x:v>
      </x:c>
      <x:c r="D60" s="66" t="n">
        <x:v>741.744138472</x:v>
      </x:c>
      <x:c r="E60" s="66" t="str">
        <x:v>2022 full year. Latest separate value: 2023 Q1 only</x:v>
      </x:c>
      <x:c r="F60" s="67" t="n">
        <x:v>2499.7695470669996</x:v>
      </x:c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5" t="str">
        <x:v>2022 full year; latest Q1 2023 in R, not annualised.</x:v>
      </x:c>
      <x:c r="U60" s="65" t="str">
        <x:v>https://github.com/Africa-International-Advisors/liq… [N265]</x:v>
      </x:c>
      <x:c r="V60" s="65" t="str">
        <x:v>Sales geography; not automatically consumption geography.</x:v>
      </x:c>
    </x:row>
    <x:row r="61" ht="8" customHeight="1">
      <x:c r="A61" s="3"/>
      <x:c r="B61" s="3"/>
      <x:c r="C61" s="3"/>
      <x:c r="D61" s="13"/>
      <x:c r="E61" s="13"/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3"/>
      <x:c r="U61" s="3"/>
      <x:c r="V61" s="3"/>
    </x:row>
    <x:row r="62" ht="8" customHeight="1">
      <x:c r="A62" s="3"/>
      <x:c r="B62" s="3"/>
      <x:c r="C62" s="3"/>
      <x:c r="D62" s="13"/>
      <x:c r="E62" s="13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3"/>
      <x:c r="U62" s="3"/>
      <x:c r="V62" s="3"/>
    </x:row>
    <x:row r="63" ht="8" customHeight="1">
      <x:c r="A63" s="3"/>
      <x:c r="B63" s="3"/>
      <x:c r="C63" s="3"/>
      <x:c r="D63" s="13"/>
      <x:c r="E63" s="13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3"/>
      <x:c r="U63" s="3"/>
      <x:c r="V63" s="3"/>
    </x:row>
    <x:row r="64" ht="8" customHeight="1">
      <x:c r="A64" s="3"/>
      <x:c r="B64" s="3"/>
      <x:c r="C64" s="3"/>
      <x:c r="D64" s="13"/>
      <x:c r="E64" s="13"/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3"/>
      <x:c r="U64" s="3"/>
      <x:c r="V64" s="3"/>
    </x:row>
    <x:row r="65" ht="8" customHeight="1">
      <x:c r="A65" s="3"/>
      <x:c r="B65" s="3"/>
      <x:c r="C65" s="3"/>
      <x:c r="D65" s="13"/>
      <x:c r="E65" s="13"/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3"/>
      <x:c r="U65" s="3"/>
      <x:c r="V65" s="3"/>
    </x:row>
    <x:row r="66" ht="8" customHeight="1">
      <x:c r="A66" s="3"/>
      <x:c r="B66" s="3"/>
      <x:c r="C66" s="3"/>
      <x:c r="D66" s="13"/>
      <x:c r="E66" s="13"/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3"/>
      <x:c r="U66" s="3"/>
      <x:c r="V66" s="3"/>
    </x:row>
    <x:row r="67" ht="8" customHeight="1">
      <x:c r="A67" s="3"/>
      <x:c r="B67" s="3"/>
      <x:c r="C67" s="3"/>
      <x:c r="D67" s="13"/>
      <x:c r="E67" s="13"/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3"/>
      <x:c r="U67" s="3"/>
      <x:c r="V67" s="3"/>
    </x:row>
    <x:row r="68" ht="8" customHeight="1">
      <x:c r="A68" s="3"/>
      <x:c r="B68" s="3"/>
      <x:c r="C68" s="3"/>
      <x:c r="D68" s="13"/>
      <x:c r="E68" s="13"/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3"/>
      <x:c r="U68" s="3"/>
      <x:c r="V68" s="3"/>
    </x:row>
    <x:row r="69" ht="8" customHeight="1">
      <x:c r="A69" s="3"/>
      <x:c r="B69" s="3"/>
      <x:c r="C69" s="3"/>
      <x:c r="D69" s="13"/>
      <x:c r="E69" s="13"/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3"/>
      <x:c r="U69" s="3"/>
      <x:c r="V69" s="3"/>
    </x:row>
    <x:row r="70" ht="8" customHeight="1">
      <x:c r="A70" s="3"/>
      <x:c r="B70" s="3"/>
      <x:c r="C70" s="3"/>
      <x:c r="D70" s="13"/>
      <x:c r="E70" s="13"/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3"/>
      <x:c r="U70" s="3"/>
      <x:c r="V70" s="3"/>
    </x:row>
    <x:row r="71" ht="8" customHeight="1">
      <x:c r="A71" s="3"/>
      <x:c r="B71" s="3"/>
      <x:c r="C71" s="3"/>
      <x:c r="D71" s="13"/>
      <x:c r="E71" s="13"/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3"/>
      <x:c r="U71" s="3"/>
      <x:c r="V71" s="3"/>
    </x:row>
    <x:row r="72" ht="8" customHeight="1">
      <x:c r="A72" s="3"/>
      <x:c r="B72" s="3"/>
      <x:c r="C72" s="3"/>
      <x:c r="D72" s="13"/>
      <x:c r="E72" s="13"/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3"/>
      <x:c r="U72" s="3"/>
      <x:c r="V72" s="3"/>
    </x:row>
    <x:row r="73" ht="8" customHeight="1">
      <x:c r="A73" s="3"/>
      <x:c r="B73" s="3"/>
      <x:c r="C73" s="3"/>
      <x:c r="D73" s="13"/>
      <x:c r="E73" s="13"/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3"/>
      <x:c r="U73" s="3"/>
      <x:c r="V73" s="3"/>
    </x:row>
    <x:row r="74" ht="8" customHeight="1">
      <x:c r="A74" s="3"/>
      <x:c r="B74" s="3"/>
      <x:c r="C74" s="3"/>
      <x:c r="D74" s="13"/>
      <x:c r="E74" s="13"/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3"/>
      <x:c r="U74" s="3"/>
      <x:c r="V74" s="3"/>
    </x:row>
    <x:row r="75" ht="8" customHeight="1">
      <x:c r="A75" s="3"/>
      <x:c r="B75" s="3"/>
      <x:c r="C75" s="3"/>
      <x:c r="D75" s="13"/>
      <x:c r="E75" s="13"/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3"/>
      <x:c r="U75" s="3"/>
      <x:c r="V75" s="3"/>
    </x:row>
    <x:row r="76" ht="8" customHeight="1">
      <x:c r="A76" s="3"/>
      <x:c r="B76" s="3"/>
      <x:c r="C76" s="3"/>
      <x:c r="D76" s="13"/>
      <x:c r="E76" s="13"/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3"/>
      <x:c r="U76" s="3"/>
      <x:c r="V76" s="3"/>
    </x:row>
    <x:row r="77" ht="8" customHeight="1">
      <x:c r="A77" s="3"/>
      <x:c r="B77" s="3"/>
      <x:c r="C77" s="3"/>
      <x:c r="D77" s="13"/>
      <x:c r="E77" s="13"/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3"/>
      <x:c r="U77" s="3"/>
      <x:c r="V77" s="3"/>
    </x:row>
    <x:row r="78" ht="8" customHeight="1">
      <x:c r="A78" s="3"/>
      <x:c r="B78" s="3"/>
      <x:c r="C78" s="3"/>
      <x:c r="D78" s="13"/>
      <x:c r="E78" s="13"/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3"/>
      <x:c r="U78" s="3"/>
      <x:c r="V78" s="3"/>
    </x:row>
    <x:row r="79" ht="8" customHeight="1">
      <x:c r="A79" s="3"/>
      <x:c r="B79" s="3"/>
      <x:c r="C79" s="3"/>
      <x:c r="D79" s="13"/>
      <x:c r="E79" s="13"/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3"/>
      <x:c r="U79" s="3"/>
      <x:c r="V79" s="3"/>
    </x:row>
    <x:row r="80" ht="8" customHeight="1">
      <x:c r="A80" s="3"/>
      <x:c r="B80" s="3"/>
      <x:c r="C80" s="3"/>
      <x:c r="D80" s="13"/>
      <x:c r="E80" s="13"/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3"/>
      <x:c r="U80" s="3"/>
      <x:c r="V80" s="3"/>
    </x:row>
    <x:row r="81" ht="8" customHeight="1">
      <x:c r="A81" s="3"/>
      <x:c r="B81" s="3"/>
      <x:c r="C81" s="3"/>
      <x:c r="D81" s="13"/>
      <x:c r="E81" s="13"/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3"/>
      <x:c r="U81" s="3"/>
      <x:c r="V81" s="3"/>
    </x:row>
    <x:row r="82" ht="8" customHeight="1">
      <x:c r="A82" s="3"/>
      <x:c r="B82" s="3"/>
      <x:c r="C82" s="3"/>
      <x:c r="D82" s="13"/>
      <x:c r="E82" s="13"/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3"/>
      <x:c r="U82" s="3"/>
      <x:c r="V82" s="3"/>
    </x:row>
    <x:row r="83" ht="8" customHeight="1">
      <x:c r="A83" s="3"/>
      <x:c r="B83" s="3"/>
      <x:c r="C83" s="3"/>
      <x:c r="D83" s="13"/>
      <x:c r="E83" s="13"/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3"/>
      <x:c r="U83" s="3"/>
      <x:c r="V83" s="3"/>
    </x:row>
    <x:row r="84" ht="8" customHeight="1">
      <x:c r="A84" s="3"/>
      <x:c r="B84" s="3"/>
      <x:c r="C84" s="3"/>
      <x:c r="D84" s="13"/>
      <x:c r="E84" s="13"/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3"/>
      <x:c r="U84" s="3"/>
      <x:c r="V84" s="3"/>
    </x:row>
    <x:row r="85" ht="8" customHeight="1">
      <x:c r="A85" s="3"/>
      <x:c r="B85" s="3"/>
      <x:c r="C85" s="3"/>
      <x:c r="D85" s="13"/>
      <x:c r="E85" s="13"/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3"/>
      <x:c r="U85" s="3"/>
      <x:c r="V85" s="3"/>
    </x:row>
    <x:row r="86" ht="8" customHeight="1">
      <x:c r="A86" s="3"/>
      <x:c r="B86" s="3"/>
      <x:c r="C86" s="3"/>
      <x:c r="D86" s="13"/>
      <x:c r="E86" s="13"/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3"/>
      <x:c r="U86" s="3"/>
      <x:c r="V86" s="3"/>
    </x:row>
    <x:row r="87" ht="8" customHeight="1">
      <x:c r="A87" s="3"/>
      <x:c r="B87" s="3"/>
      <x:c r="C87" s="3"/>
      <x:c r="D87" s="13"/>
      <x:c r="E87" s="13"/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3"/>
      <x:c r="U87" s="3"/>
      <x:c r="V87" s="3"/>
    </x:row>
    <x:row r="88" ht="8" customHeight="1">
      <x:c r="A88" s="3"/>
      <x:c r="B88" s="3"/>
      <x:c r="C88" s="3"/>
      <x:c r="D88" s="13"/>
      <x:c r="E88" s="13"/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3"/>
      <x:c r="U88" s="3"/>
      <x:c r="V88" s="3"/>
    </x:row>
    <x:row r="89" ht="8" customHeight="1">
      <x:c r="A89" s="3"/>
      <x:c r="B89" s="3"/>
      <x:c r="C89" s="3"/>
      <x:c r="D89" s="13"/>
      <x:c r="E89" s="13"/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3"/>
      <x:c r="U89" s="3"/>
      <x:c r="V89" s="3"/>
    </x:row>
    <x:row r="90" ht="8" customHeight="1">
      <x:c r="A90" s="3"/>
      <x:c r="B90" s="3"/>
      <x:c r="C90" s="3"/>
      <x:c r="D90" s="13"/>
      <x:c r="E90" s="13"/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3"/>
      <x:c r="U90" s="3"/>
      <x:c r="V90" s="3"/>
    </x:row>
    <x:row r="91" ht="8" customHeight="1">
      <x:c r="A91" s="3"/>
      <x:c r="B91" s="3"/>
      <x:c r="C91" s="3"/>
      <x:c r="D91" s="13"/>
      <x:c r="E91" s="13"/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3"/>
      <x:c r="U91" s="3"/>
      <x:c r="V91" s="3"/>
    </x:row>
    <x:row r="92" ht="8" customHeight="1">
      <x:c r="A92" s="3"/>
      <x:c r="B92" s="3"/>
      <x:c r="C92" s="3"/>
      <x:c r="D92" s="13"/>
      <x:c r="E92" s="13"/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3"/>
      <x:c r="U92" s="3"/>
      <x:c r="V92" s="3"/>
    </x:row>
    <x:row r="93" ht="8" customHeight="1">
      <x:c r="A93" s="3"/>
      <x:c r="B93" s="3"/>
      <x:c r="C93" s="3"/>
      <x:c r="D93" s="13"/>
      <x:c r="E93" s="13"/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3"/>
      <x:c r="U93" s="3"/>
      <x:c r="V93" s="3"/>
    </x:row>
    <x:row r="94" ht="8" customHeight="1">
      <x:c r="A94" s="3"/>
      <x:c r="B94" s="3"/>
      <x:c r="C94" s="3"/>
      <x:c r="D94" s="13"/>
      <x:c r="E94" s="13"/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3"/>
      <x:c r="U94" s="3"/>
      <x:c r="V94" s="3"/>
    </x:row>
    <x:row r="95" ht="8" customHeight="1">
      <x:c r="A95" s="3"/>
      <x:c r="B95" s="3"/>
      <x:c r="C95" s="3"/>
      <x:c r="D95" s="13"/>
      <x:c r="E95" s="13"/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3"/>
      <x:c r="U95" s="3"/>
      <x:c r="V95" s="3"/>
    </x:row>
    <x:row r="96" ht="8" customHeight="1">
      <x:c r="A96" s="3"/>
      <x:c r="B96" s="3"/>
      <x:c r="C96" s="3"/>
      <x:c r="D96" s="13"/>
      <x:c r="E96" s="13"/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3"/>
      <x:c r="U96" s="3"/>
      <x:c r="V96" s="3"/>
    </x:row>
    <x:row r="97" ht="8" customHeight="1">
      <x:c r="A97" s="3"/>
      <x:c r="B97" s="3"/>
      <x:c r="C97" s="3"/>
      <x:c r="D97" s="13"/>
      <x:c r="E97" s="13"/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3"/>
      <x:c r="U97" s="3"/>
      <x:c r="V97" s="3"/>
    </x:row>
    <x:row r="98" ht="8" customHeight="1">
      <x:c r="A98" s="3"/>
      <x:c r="B98" s="3"/>
      <x:c r="C98" s="3"/>
      <x:c r="D98" s="13"/>
      <x:c r="E98" s="13"/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3"/>
      <x:c r="U98" s="3"/>
      <x:c r="V98" s="3"/>
    </x:row>
    <x:row r="99" ht="8" customHeight="1">
      <x:c r="A99" s="3"/>
      <x:c r="B99" s="3"/>
      <x:c r="C99" s="3"/>
      <x:c r="D99" s="13"/>
      <x:c r="E99" s="13"/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3"/>
      <x:c r="U99" s="3"/>
      <x:c r="V99" s="3"/>
    </x:row>
    <x:row r="100" ht="8" customHeight="1">
      <x:c r="A100" s="3"/>
      <x:c r="B100" s="3"/>
      <x:c r="C100" s="3"/>
      <x:c r="D100" s="13"/>
      <x:c r="E100" s="13"/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3"/>
      <x:c r="U100" s="3"/>
      <x:c r="V100" s="3"/>
    </x:row>
    <x:row r="101" ht="8" customHeight="1">
      <x:c r="A101" s="3"/>
      <x:c r="B101" s="3"/>
      <x:c r="C101" s="3"/>
      <x:c r="D101" s="13"/>
      <x:c r="E101" s="13"/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3"/>
      <x:c r="U101" s="3"/>
      <x:c r="V101" s="3"/>
    </x:row>
    <x:row r="102" ht="8" customHeight="1">
      <x:c r="A102" s="3"/>
      <x:c r="B102" s="3"/>
      <x:c r="C102" s="3"/>
      <x:c r="D102" s="13"/>
      <x:c r="E102" s="13"/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3"/>
      <x:c r="U102" s="3"/>
      <x:c r="V102" s="3"/>
    </x:row>
    <x:row r="103" ht="8" customHeight="1">
      <x:c r="A103" s="3"/>
      <x:c r="B103" s="3"/>
      <x:c r="C103" s="3"/>
      <x:c r="D103" s="13"/>
      <x:c r="E103" s="13"/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3"/>
      <x:c r="U103" s="3"/>
      <x:c r="V103" s="3"/>
    </x:row>
    <x:row r="104" ht="8" customHeight="1">
      <x:c r="A104" s="3"/>
      <x:c r="B104" s="3"/>
      <x:c r="C104" s="3"/>
      <x:c r="D104" s="13"/>
      <x:c r="E104" s="13"/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3"/>
      <x:c r="U104" s="3"/>
      <x:c r="V104" s="3"/>
    </x:row>
    <x:row r="105" ht="8" customHeight="1">
      <x:c r="A105" s="3"/>
      <x:c r="B105" s="3"/>
      <x:c r="C105" s="3"/>
      <x:c r="D105" s="13"/>
      <x:c r="E105" s="13"/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3"/>
      <x:c r="U105" s="3"/>
      <x:c r="V105" s="3"/>
    </x:row>
    <x:row r="106" ht="8" customHeight="1">
      <x:c r="A106" s="3"/>
      <x:c r="B106" s="3"/>
      <x:c r="C106" s="3"/>
      <x:c r="D106" s="13"/>
      <x:c r="E106" s="13"/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3"/>
      <x:c r="U106" s="3"/>
      <x:c r="V106" s="3"/>
    </x:row>
    <x:row r="107" ht="8" customHeight="1">
      <x:c r="A107" s="3"/>
      <x:c r="B107" s="3"/>
      <x:c r="C107" s="3"/>
      <x:c r="D107" s="13"/>
      <x:c r="E107" s="13"/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3"/>
      <x:c r="U107" s="3"/>
      <x:c r="V107" s="3"/>
    </x:row>
    <x:row r="108" ht="8" customHeight="1">
      <x:c r="A108" s="3"/>
      <x:c r="B108" s="3"/>
      <x:c r="C108" s="3"/>
      <x:c r="D108" s="13"/>
      <x:c r="E108" s="13"/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3"/>
      <x:c r="U108" s="3"/>
      <x:c r="V108" s="3"/>
    </x:row>
    <x:row r="109" ht="8" customHeight="1">
      <x:c r="A109" s="3"/>
      <x:c r="B109" s="3"/>
      <x:c r="C109" s="3"/>
      <x:c r="D109" s="13"/>
      <x:c r="E109" s="13"/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3"/>
      <x:c r="U109" s="3"/>
      <x:c r="V109" s="3"/>
    </x:row>
    <x:row r="110" ht="8" customHeight="1">
      <x:c r="A110" s="3"/>
      <x:c r="B110" s="3"/>
      <x:c r="C110" s="3"/>
      <x:c r="D110" s="13"/>
      <x:c r="E110" s="13"/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3"/>
      <x:c r="U110" s="3"/>
      <x:c r="V110" s="3"/>
    </x:row>
    <x:row r="111" ht="8" customHeight="1">
      <x:c r="A111" s="3"/>
      <x:c r="B111" s="3"/>
      <x:c r="C111" s="3"/>
      <x:c r="D111" s="13"/>
      <x:c r="E111" s="13"/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3"/>
      <x:c r="U111" s="3"/>
      <x:c r="V111" s="3"/>
    </x:row>
    <x:row r="112" ht="8" customHeight="1">
      <x:c r="A112" s="3"/>
      <x:c r="B112" s="3"/>
      <x:c r="C112" s="3"/>
      <x:c r="D112" s="13"/>
      <x:c r="E112" s="13"/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3"/>
      <x:c r="U112" s="3"/>
      <x:c r="V112" s="3"/>
    </x:row>
    <x:row r="113" ht="8" customHeight="1">
      <x:c r="A113" s="3"/>
      <x:c r="B113" s="3"/>
      <x:c r="C113" s="3"/>
      <x:c r="D113" s="13"/>
      <x:c r="E113" s="13"/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3"/>
      <x:c r="U113" s="3"/>
      <x:c r="V113" s="3"/>
    </x:row>
    <x:row r="114" ht="8" customHeight="1">
      <x:c r="A114" s="3"/>
      <x:c r="B114" s="3"/>
      <x:c r="C114" s="3"/>
      <x:c r="D114" s="13"/>
      <x:c r="E114" s="13"/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3"/>
      <x:c r="U114" s="3"/>
      <x:c r="V114" s="3"/>
    </x:row>
    <x:row r="115" ht="8" customHeight="1">
      <x:c r="A115" s="3"/>
      <x:c r="B115" s="3"/>
      <x:c r="C115" s="3"/>
      <x:c r="D115" s="13"/>
      <x:c r="E115" s="13"/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3"/>
      <x:c r="U115" s="3"/>
      <x:c r="V115" s="3"/>
    </x:row>
    <x:row r="116" ht="8" customHeight="1">
      <x:c r="A116" s="3"/>
      <x:c r="B116" s="3"/>
      <x:c r="C116" s="3"/>
      <x:c r="D116" s="13"/>
      <x:c r="E116" s="13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3"/>
      <x:c r="U116" s="3"/>
      <x:c r="V116" s="3"/>
    </x:row>
    <x:row r="117" ht="8" customHeight="1">
      <x:c r="A117" s="3"/>
      <x:c r="B117" s="3"/>
      <x:c r="C117" s="3"/>
      <x:c r="D117" s="13"/>
      <x:c r="E117" s="13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3"/>
      <x:c r="U117" s="3"/>
      <x:c r="V117" s="3"/>
    </x:row>
    <x:row r="118" ht="8" customHeight="1">
      <x:c r="A118" s="3"/>
      <x:c r="B118" s="3"/>
      <x:c r="C118" s="3"/>
      <x:c r="D118" s="13"/>
      <x:c r="E118" s="13"/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3"/>
      <x:c r="U118" s="3"/>
      <x:c r="V118" s="3"/>
    </x:row>
    <x:row r="119" ht="8" customHeight="1">
      <x:c r="A119" s="3"/>
      <x:c r="B119" s="3"/>
      <x:c r="C119" s="3"/>
      <x:c r="D119" s="13"/>
      <x:c r="E119" s="13"/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3"/>
      <x:c r="U119" s="3"/>
      <x:c r="V119" s="3"/>
    </x:row>
    <x:row r="120" ht="8" customHeight="1">
      <x:c r="A120" s="3"/>
      <x:c r="B120" s="3"/>
      <x:c r="C120" s="3"/>
      <x:c r="D120" s="13"/>
      <x:c r="E120" s="13"/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3"/>
      <x:c r="U120" s="3"/>
      <x:c r="V120" s="3"/>
    </x:row>
    <x:row r="121" ht="8" customHeight="1">
      <x:c r="A121" s="3"/>
      <x:c r="B121" s="3"/>
      <x:c r="C121" s="3"/>
      <x:c r="D121" s="13"/>
      <x:c r="E121" s="13"/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3"/>
      <x:c r="U121" s="3"/>
      <x:c r="V121" s="3"/>
    </x:row>
    <x:row r="122" ht="8" customHeight="1">
      <x:c r="A122" s="3"/>
      <x:c r="B122" s="3"/>
      <x:c r="C122" s="3"/>
      <x:c r="D122" s="13"/>
      <x:c r="E122" s="13"/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3"/>
      <x:c r="U122" s="3"/>
      <x:c r="V122" s="3"/>
    </x:row>
    <x:row r="123" ht="8" customHeight="1">
      <x:c r="A123" s="3"/>
      <x:c r="B123" s="3"/>
      <x:c r="C123" s="3"/>
      <x:c r="D123" s="13"/>
      <x:c r="E123" s="13"/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3"/>
      <x:c r="U123" s="3"/>
      <x:c r="V123" s="3"/>
    </x:row>
    <x:row r="124" ht="8" customHeight="1">
      <x:c r="A124" s="3"/>
      <x:c r="B124" s="3"/>
      <x:c r="C124" s="3"/>
      <x:c r="D124" s="13"/>
      <x:c r="E124" s="13"/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3"/>
      <x:c r="U124" s="3"/>
      <x:c r="V124" s="3"/>
    </x:row>
    <x:row r="125" ht="8" customHeight="1">
      <x:c r="A125" s="3"/>
      <x:c r="B125" s="3"/>
      <x:c r="C125" s="3"/>
      <x:c r="D125" s="13"/>
      <x:c r="E125" s="13"/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3"/>
      <x:c r="U125" s="3"/>
      <x:c r="V125" s="3"/>
    </x:row>
    <x:row r="126" ht="8" customHeight="1">
      <x:c r="A126" s="3"/>
      <x:c r="B126" s="3"/>
      <x:c r="C126" s="3"/>
      <x:c r="D126" s="13"/>
      <x:c r="E126" s="13"/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3"/>
      <x:c r="U126" s="3"/>
      <x:c r="V126" s="3"/>
    </x:row>
    <x:row r="127" ht="8" customHeight="1">
      <x:c r="A127" s="3"/>
      <x:c r="B127" s="3"/>
      <x:c r="C127" s="3"/>
      <x:c r="D127" s="13"/>
      <x:c r="E127" s="13"/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3"/>
      <x:c r="U127" s="3"/>
      <x:c r="V127" s="3"/>
    </x:row>
    <x:row r="128" ht="8" customHeight="1">
      <x:c r="A128" s="3"/>
      <x:c r="B128" s="3"/>
      <x:c r="C128" s="3"/>
      <x:c r="D128" s="13"/>
      <x:c r="E128" s="13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3"/>
      <x:c r="U128" s="3"/>
      <x:c r="V128" s="3"/>
    </x:row>
    <x:row r="129" ht="8" customHeight="1">
      <x:c r="A129" s="3"/>
      <x:c r="B129" s="3"/>
      <x:c r="C129" s="3"/>
      <x:c r="D129" s="13"/>
      <x:c r="E129" s="13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3"/>
      <x:c r="U129" s="3"/>
      <x:c r="V129" s="3"/>
    </x:row>
    <x:row r="130" ht="8" customHeight="1">
      <x:c r="A130" s="3"/>
      <x:c r="B130" s="3"/>
      <x:c r="C130" s="3"/>
      <x:c r="D130" s="13"/>
      <x:c r="E130" s="13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3"/>
      <x:c r="U130" s="3"/>
      <x:c r="V130" s="3"/>
    </x:row>
    <x:row r="131" ht="8" customHeight="1">
      <x:c r="A131" s="3"/>
      <x:c r="B131" s="3"/>
      <x:c r="C131" s="3"/>
      <x:c r="D131" s="13"/>
      <x:c r="E131" s="13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3"/>
      <x:c r="U131" s="3"/>
      <x:c r="V131" s="3"/>
    </x:row>
    <x:row r="132" ht="8" customHeight="1">
      <x:c r="A132" s="3"/>
      <x:c r="B132" s="3"/>
      <x:c r="C132" s="3"/>
      <x:c r="D132" s="13"/>
      <x:c r="E132" s="13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3"/>
      <x:c r="U132" s="3"/>
      <x:c r="V132" s="3"/>
    </x:row>
    <x:row r="133" ht="8" customHeight="1">
      <x:c r="A133" s="3"/>
      <x:c r="B133" s="3"/>
      <x:c r="C133" s="3"/>
      <x:c r="D133" s="13"/>
      <x:c r="E133" s="13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3"/>
      <x:c r="U133" s="3"/>
      <x:c r="V133" s="3"/>
    </x:row>
    <x:row r="134" ht="8" customHeight="1">
      <x:c r="A134" s="3"/>
      <x:c r="B134" s="3"/>
      <x:c r="C134" s="3"/>
      <x:c r="D134" s="13"/>
      <x:c r="E134" s="13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3"/>
      <x:c r="U134" s="3"/>
      <x:c r="V134" s="3"/>
    </x:row>
    <x:row r="135" ht="8" customHeight="1">
      <x:c r="A135" s="3"/>
      <x:c r="B135" s="3"/>
      <x:c r="C135" s="3"/>
      <x:c r="D135" s="13"/>
      <x:c r="E135" s="13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3"/>
      <x:c r="U135" s="3"/>
      <x:c r="V135" s="3"/>
    </x:row>
    <x:row r="136" ht="8" customHeight="1">
      <x:c r="A136" s="3"/>
      <x:c r="B136" s="3"/>
      <x:c r="C136" s="3"/>
      <x:c r="D136" s="13"/>
      <x:c r="E136" s="13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3"/>
      <x:c r="U136" s="3"/>
      <x:c r="V136" s="3"/>
    </x:row>
    <x:row r="137" ht="8" customHeight="1">
      <x:c r="A137" s="3"/>
      <x:c r="B137" s="3"/>
      <x:c r="C137" s="3"/>
      <x:c r="D137" s="13"/>
      <x:c r="E137" s="13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3"/>
      <x:c r="U137" s="3"/>
      <x:c r="V137" s="3"/>
    </x:row>
    <x:row r="138" ht="8" customHeight="1">
      <x:c r="A138" s="3"/>
      <x:c r="B138" s="3"/>
      <x:c r="C138" s="3"/>
      <x:c r="D138" s="13"/>
      <x:c r="E138" s="13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3"/>
      <x:c r="U138" s="3"/>
      <x:c r="V138" s="3"/>
    </x:row>
    <x:row r="139" ht="8" customHeight="1">
      <x:c r="A139" s="3"/>
      <x:c r="B139" s="3"/>
      <x:c r="C139" s="3"/>
      <x:c r="D139" s="13"/>
      <x:c r="E139" s="13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3"/>
      <x:c r="U139" s="3"/>
      <x:c r="V139" s="3"/>
    </x:row>
    <x:row r="140" ht="8" customHeight="1">
      <x:c r="A140" s="3"/>
      <x:c r="B140" s="3"/>
      <x:c r="C140" s="3"/>
      <x:c r="D140" s="13"/>
      <x:c r="E140" s="13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3"/>
      <x:c r="U140" s="3"/>
      <x:c r="V140" s="3"/>
    </x:row>
    <x:row r="141" ht="8" customHeight="1">
      <x:c r="A141" s="3"/>
      <x:c r="B141" s="3"/>
      <x:c r="C141" s="3"/>
      <x:c r="D141" s="13"/>
      <x:c r="E141" s="13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3"/>
      <x:c r="U141" s="3"/>
      <x:c r="V141" s="3"/>
    </x:row>
    <x:row r="142" ht="8" customHeight="1">
      <x:c r="A142" s="3"/>
      <x:c r="B142" s="3"/>
      <x:c r="C142" s="3"/>
      <x:c r="D142" s="13"/>
      <x:c r="E142" s="13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3"/>
      <x:c r="U142" s="3"/>
      <x:c r="V142" s="3"/>
    </x:row>
    <x:row r="143" ht="8" customHeight="1">
      <x:c r="A143" s="3"/>
      <x:c r="B143" s="3"/>
      <x:c r="C143" s="3"/>
      <x:c r="D143" s="13"/>
      <x:c r="E143" s="13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3"/>
      <x:c r="U143" s="3"/>
      <x:c r="V143" s="3"/>
    </x:row>
    <x:row r="144" ht="8" customHeight="1">
      <x:c r="A144" s="3"/>
      <x:c r="B144" s="3"/>
      <x:c r="C144" s="3"/>
      <x:c r="D144" s="13"/>
      <x:c r="E144" s="13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3"/>
      <x:c r="U144" s="3"/>
      <x:c r="V144" s="3"/>
    </x:row>
    <x:row r="145" ht="8" customHeight="1">
      <x:c r="A145" s="3"/>
      <x:c r="B145" s="3"/>
      <x:c r="C145" s="3"/>
      <x:c r="D145" s="13"/>
      <x:c r="E145" s="13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3"/>
      <x:c r="U145" s="3"/>
      <x:c r="V145" s="3"/>
    </x:row>
    <x:row r="146" ht="8" customHeight="1">
      <x:c r="A146" s="3"/>
      <x:c r="B146" s="3"/>
      <x:c r="C146" s="3"/>
      <x:c r="D146" s="13"/>
      <x:c r="E146" s="13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3"/>
      <x:c r="U146" s="3"/>
      <x:c r="V146" s="3"/>
    </x:row>
    <x:row r="147" ht="8" customHeight="1">
      <x:c r="A147" s="3"/>
      <x:c r="B147" s="3"/>
      <x:c r="C147" s="3"/>
      <x:c r="D147" s="13"/>
      <x:c r="E147" s="13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3"/>
      <x:c r="U147" s="3"/>
      <x:c r="V147" s="3"/>
    </x:row>
    <x:row r="148" ht="8" customHeight="1">
      <x:c r="A148" s="3"/>
      <x:c r="B148" s="3"/>
      <x:c r="C148" s="3"/>
      <x:c r="D148" s="13"/>
      <x:c r="E148" s="13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3"/>
      <x:c r="U148" s="3"/>
      <x:c r="V148" s="3"/>
    </x:row>
    <x:row r="149" ht="8" customHeight="1">
      <x:c r="A149" s="3"/>
      <x:c r="B149" s="3"/>
      <x:c r="C149" s="3"/>
      <x:c r="D149" s="13"/>
      <x:c r="E149" s="13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3"/>
      <x:c r="U149" s="3"/>
      <x:c r="V149" s="3"/>
    </x:row>
    <x:row r="150" ht="8" customHeight="1">
      <x:c r="A150" s="3"/>
      <x:c r="B150" s="3"/>
      <x:c r="C150" s="3"/>
      <x:c r="D150" s="13"/>
      <x:c r="E150" s="13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3"/>
      <x:c r="U150" s="3"/>
      <x:c r="V150" s="3"/>
    </x:row>
    <x:row r="151" ht="8" customHeight="1">
      <x:c r="A151" s="3"/>
      <x:c r="B151" s="3"/>
      <x:c r="C151" s="3"/>
      <x:c r="D151" s="13"/>
      <x:c r="E151" s="13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3"/>
      <x:c r="U151" s="3"/>
      <x:c r="V151" s="3"/>
    </x:row>
    <x:row r="152" ht="8" customHeight="1">
      <x:c r="A152" s="3"/>
      <x:c r="B152" s="3"/>
      <x:c r="C152" s="3"/>
      <x:c r="D152" s="13"/>
      <x:c r="E152" s="13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3"/>
      <x:c r="U152" s="3"/>
      <x:c r="V152" s="3"/>
    </x:row>
    <x:row r="153" ht="8" customHeight="1">
      <x:c r="A153" s="3"/>
      <x:c r="B153" s="3"/>
      <x:c r="C153" s="3"/>
      <x:c r="D153" s="13"/>
      <x:c r="E153" s="13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3"/>
      <x:c r="U153" s="3"/>
      <x:c r="V153" s="3"/>
    </x:row>
    <x:row r="154" ht="8" customHeight="1">
      <x:c r="A154" s="3"/>
      <x:c r="B154" s="3"/>
      <x:c r="C154" s="3"/>
      <x:c r="D154" s="13"/>
      <x:c r="E154" s="13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3"/>
      <x:c r="U154" s="3"/>
      <x:c r="V154" s="3"/>
    </x:row>
    <x:row r="155" ht="8" customHeight="1">
      <x:c r="A155" s="3"/>
      <x:c r="B155" s="3"/>
      <x:c r="C155" s="3"/>
      <x:c r="D155" s="13"/>
      <x:c r="E155" s="13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3"/>
      <x:c r="U155" s="3"/>
      <x:c r="V155" s="3"/>
    </x:row>
    <x:row r="156" ht="8" customHeight="1">
      <x:c r="A156" s="3"/>
      <x:c r="B156" s="3"/>
      <x:c r="C156" s="3"/>
      <x:c r="D156" s="13"/>
      <x:c r="E156" s="13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3"/>
      <x:c r="U156" s="3"/>
      <x:c r="V156" s="3"/>
    </x:row>
    <x:row r="157" ht="8" customHeight="1">
      <x:c r="A157" s="3"/>
      <x:c r="B157" s="3"/>
      <x:c r="C157" s="3"/>
      <x:c r="D157" s="13"/>
      <x:c r="E157" s="13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3"/>
      <x:c r="U157" s="3"/>
      <x:c r="V157" s="3"/>
    </x:row>
    <x:row r="158" ht="8" customHeight="1">
      <x:c r="A158" s="3"/>
      <x:c r="B158" s="3"/>
      <x:c r="C158" s="3"/>
      <x:c r="D158" s="13"/>
      <x:c r="E158" s="13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3"/>
      <x:c r="U158" s="3"/>
      <x:c r="V158" s="3"/>
    </x:row>
    <x:row r="159" ht="8" customHeight="1">
      <x:c r="A159" s="3"/>
      <x:c r="B159" s="3"/>
      <x:c r="C159" s="3"/>
      <x:c r="D159" s="13"/>
      <x:c r="E159" s="13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3"/>
      <x:c r="U159" s="3"/>
      <x:c r="V159" s="3"/>
    </x:row>
    <x:row r="160" ht="8" customHeight="1">
      <x:c r="A160" s="3"/>
      <x:c r="B160" s="3"/>
      <x:c r="C160" s="3"/>
      <x:c r="D160" s="13"/>
      <x:c r="E160" s="13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3"/>
      <x:c r="U160" s="3"/>
      <x:c r="V160" s="3"/>
    </x:row>
    <x:row r="161" ht="8" customHeight="1">
      <x:c r="A161" s="3"/>
      <x:c r="B161" s="3"/>
      <x:c r="C161" s="3"/>
      <x:c r="D161" s="13"/>
      <x:c r="E161" s="13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3"/>
      <x:c r="U161" s="3"/>
      <x:c r="V161" s="3"/>
    </x:row>
    <x:row r="162" ht="8" customHeight="1">
      <x:c r="A162" s="3"/>
      <x:c r="B162" s="3"/>
      <x:c r="C162" s="3"/>
      <x:c r="D162" s="13"/>
      <x:c r="E162" s="13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3"/>
      <x:c r="U162" s="3"/>
      <x:c r="V162" s="3"/>
    </x:row>
    <x:row r="163" ht="8" customHeight="1">
      <x:c r="A163" s="3"/>
      <x:c r="B163" s="3"/>
      <x:c r="C163" s="3"/>
      <x:c r="D163" s="13"/>
      <x:c r="E163" s="13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3"/>
      <x:c r="U163" s="3"/>
      <x:c r="V163" s="3"/>
    </x:row>
    <x:row r="164" ht="8" customHeight="1">
      <x:c r="A164" s="3"/>
      <x:c r="B164" s="3"/>
      <x:c r="C164" s="3"/>
      <x:c r="D164" s="13"/>
      <x:c r="E164" s="13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3"/>
      <x:c r="U164" s="3"/>
      <x:c r="V164" s="3"/>
    </x:row>
    <x:row r="165" ht="8" customHeight="1">
      <x:c r="A165" s="3"/>
      <x:c r="B165" s="3"/>
      <x:c r="C165" s="3"/>
      <x:c r="D165" s="13"/>
      <x:c r="E165" s="13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3"/>
      <x:c r="U165" s="3"/>
      <x:c r="V165" s="3"/>
    </x:row>
    <x:row r="166" ht="8" customHeight="1">
      <x:c r="A166" s="3"/>
      <x:c r="B166" s="3"/>
      <x:c r="C166" s="3"/>
      <x:c r="D166" s="13"/>
      <x:c r="E166" s="13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3"/>
      <x:c r="U166" s="3"/>
      <x:c r="V166" s="3"/>
    </x:row>
    <x:row r="167" ht="8" customHeight="1">
      <x:c r="A167" s="3"/>
      <x:c r="B167" s="3"/>
      <x:c r="C167" s="3"/>
      <x:c r="D167" s="13"/>
      <x:c r="E167" s="13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3"/>
      <x:c r="U167" s="3"/>
      <x:c r="V167" s="3"/>
    </x:row>
    <x:row r="168" ht="8" customHeight="1">
      <x:c r="A168" s="3"/>
      <x:c r="B168" s="3"/>
      <x:c r="C168" s="3"/>
      <x:c r="D168" s="13"/>
      <x:c r="E168" s="13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3"/>
      <x:c r="U168" s="3"/>
      <x:c r="V168" s="3"/>
    </x:row>
    <x:row r="169" ht="8" customHeight="1">
      <x:c r="A169" s="3"/>
      <x:c r="B169" s="3"/>
      <x:c r="C169" s="3"/>
      <x:c r="D169" s="13"/>
      <x:c r="E169" s="13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3"/>
      <x:c r="U169" s="3"/>
      <x:c r="V169" s="3"/>
    </x:row>
    <x:row r="170" ht="8" customHeight="1">
      <x:c r="A170" s="3"/>
      <x:c r="B170" s="3"/>
      <x:c r="C170" s="3"/>
      <x:c r="D170" s="13"/>
      <x:c r="E170" s="13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3"/>
      <x:c r="U170" s="3"/>
      <x:c r="V170" s="3"/>
    </x:row>
    <x:row r="171" ht="8" customHeight="1">
      <x:c r="A171" s="3"/>
      <x:c r="B171" s="3"/>
      <x:c r="C171" s="3"/>
      <x:c r="D171" s="13"/>
      <x:c r="E171" s="13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3"/>
      <x:c r="U171" s="3"/>
      <x:c r="V171" s="3"/>
    </x:row>
    <x:row r="172" ht="8" customHeight="1">
      <x:c r="A172" s="3"/>
      <x:c r="B172" s="3"/>
      <x:c r="C172" s="3"/>
      <x:c r="D172" s="13"/>
      <x:c r="E172" s="13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3"/>
      <x:c r="U172" s="3"/>
      <x:c r="V172" s="3"/>
    </x:row>
    <x:row r="173" ht="8" customHeight="1">
      <x:c r="A173" s="3"/>
      <x:c r="B173" s="3"/>
      <x:c r="C173" s="3"/>
      <x:c r="D173" s="13"/>
      <x:c r="E173" s="13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3"/>
      <x:c r="U173" s="3"/>
      <x:c r="V173" s="3"/>
    </x:row>
    <x:row r="174" ht="8" customHeight="1">
      <x:c r="A174" s="3"/>
      <x:c r="B174" s="3"/>
      <x:c r="C174" s="3"/>
      <x:c r="D174" s="13"/>
      <x:c r="E174" s="13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3"/>
      <x:c r="U174" s="3"/>
      <x:c r="V174" s="3"/>
    </x:row>
    <x:row r="175" ht="8" customHeight="1">
      <x:c r="A175" s="3"/>
      <x:c r="B175" s="3"/>
      <x:c r="C175" s="3"/>
      <x:c r="D175" s="13"/>
      <x:c r="E175" s="13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3"/>
      <x:c r="U175" s="3"/>
      <x:c r="V175" s="3"/>
    </x:row>
    <x:row r="176" ht="8" customHeight="1">
      <x:c r="A176" s="3"/>
      <x:c r="B176" s="3"/>
      <x:c r="C176" s="3"/>
      <x:c r="D176" s="13"/>
      <x:c r="E176" s="13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3"/>
      <x:c r="U176" s="3"/>
      <x:c r="V176" s="3"/>
    </x:row>
    <x:row r="177" ht="8" customHeight="1">
      <x:c r="A177" s="3"/>
      <x:c r="B177" s="3"/>
      <x:c r="C177" s="3"/>
      <x:c r="D177" s="13"/>
      <x:c r="E177" s="13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3"/>
      <x:c r="U177" s="3"/>
      <x:c r="V177" s="3"/>
    </x:row>
    <x:row r="178" ht="8" customHeight="1">
      <x:c r="A178" s="3"/>
      <x:c r="B178" s="3"/>
      <x:c r="C178" s="3"/>
      <x:c r="D178" s="13"/>
      <x:c r="E178" s="13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3"/>
      <x:c r="U178" s="3"/>
      <x:c r="V178" s="3"/>
    </x:row>
    <x:row r="179" ht="8" customHeight="1">
      <x:c r="A179" s="3"/>
      <x:c r="B179" s="3"/>
      <x:c r="C179" s="3"/>
      <x:c r="D179" s="13"/>
      <x:c r="E179" s="13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3"/>
      <x:c r="U179" s="3"/>
      <x:c r="V179" s="3"/>
    </x:row>
    <x:row r="180" ht="8" customHeight="1">
      <x:c r="A180" s="3"/>
      <x:c r="B180" s="3"/>
      <x:c r="C180" s="3"/>
      <x:c r="D180" s="13"/>
      <x:c r="E180" s="13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3"/>
      <x:c r="U180" s="3"/>
      <x:c r="V180" s="3"/>
    </x:row>
    <x:row r="181" ht="8" customHeight="1">
      <x:c r="A181" s="3"/>
      <x:c r="B181" s="3"/>
      <x:c r="C181" s="3"/>
      <x:c r="D181" s="13"/>
      <x:c r="E181" s="13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3"/>
      <x:c r="U181" s="3"/>
      <x:c r="V181" s="3"/>
    </x:row>
    <x:row r="182" ht="8" customHeight="1">
      <x:c r="A182" s="3"/>
      <x:c r="B182" s="3"/>
      <x:c r="C182" s="3"/>
      <x:c r="D182" s="13"/>
      <x:c r="E182" s="13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3"/>
      <x:c r="U182" s="3"/>
      <x:c r="V182" s="3"/>
    </x:row>
    <x:row r="183" ht="8" customHeight="1">
      <x:c r="A183" s="3"/>
      <x:c r="B183" s="3"/>
      <x:c r="C183" s="3"/>
      <x:c r="D183" s="13"/>
      <x:c r="E183" s="13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3"/>
      <x:c r="U183" s="3"/>
      <x:c r="V183" s="3"/>
    </x:row>
    <x:row r="184" ht="8" customHeight="1">
      <x:c r="A184" s="3"/>
      <x:c r="B184" s="3"/>
      <x:c r="C184" s="3"/>
      <x:c r="D184" s="13"/>
      <x:c r="E184" s="13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3"/>
      <x:c r="U184" s="3"/>
      <x:c r="V184" s="3"/>
    </x:row>
    <x:row r="185" ht="8" customHeight="1">
      <x:c r="A185" s="3"/>
      <x:c r="B185" s="3"/>
      <x:c r="C185" s="3"/>
      <x:c r="D185" s="13"/>
      <x:c r="E185" s="13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3"/>
      <x:c r="U185" s="3"/>
      <x:c r="V185" s="3"/>
    </x:row>
    <x:row r="186" ht="8" customHeight="1">
      <x:c r="A186" s="3"/>
      <x:c r="B186" s="3"/>
      <x:c r="C186" s="3"/>
      <x:c r="D186" s="13"/>
      <x:c r="E186" s="13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3"/>
      <x:c r="U186" s="3"/>
      <x:c r="V186" s="3"/>
    </x:row>
    <x:row r="187" ht="8" customHeight="1">
      <x:c r="A187" s="3"/>
      <x:c r="B187" s="3"/>
      <x:c r="C187" s="3"/>
      <x:c r="D187" s="13"/>
      <x:c r="E187" s="13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3"/>
      <x:c r="U187" s="3"/>
      <x:c r="V187" s="3"/>
    </x:row>
    <x:row r="188" ht="8" customHeight="1">
      <x:c r="A188" s="3"/>
      <x:c r="B188" s="3"/>
      <x:c r="C188" s="3"/>
      <x:c r="D188" s="13"/>
      <x:c r="E188" s="13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3"/>
      <x:c r="U188" s="3"/>
      <x:c r="V188" s="3"/>
    </x:row>
    <x:row r="189" ht="8" customHeight="1">
      <x:c r="A189" s="3"/>
      <x:c r="B189" s="3"/>
      <x:c r="C189" s="3"/>
      <x:c r="D189" s="13"/>
      <x:c r="E189" s="13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3"/>
      <x:c r="U189" s="3"/>
      <x:c r="V189" s="3"/>
    </x:row>
    <x:row r="190" ht="8" customHeight="1">
      <x:c r="A190" s="3"/>
      <x:c r="B190" s="3"/>
      <x:c r="C190" s="3"/>
      <x:c r="D190" s="13"/>
      <x:c r="E190" s="13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3"/>
      <x:c r="U190" s="3"/>
      <x:c r="V190" s="3"/>
    </x:row>
    <x:row r="191" ht="8" customHeight="1">
      <x:c r="A191" s="3"/>
      <x:c r="B191" s="3"/>
      <x:c r="C191" s="3"/>
      <x:c r="D191" s="13"/>
      <x:c r="E191" s="13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3"/>
      <x:c r="U191" s="3"/>
      <x:c r="V191" s="3"/>
    </x:row>
    <x:row r="192" ht="8" customHeight="1">
      <x:c r="A192" s="3"/>
      <x:c r="B192" s="3"/>
      <x:c r="C192" s="3"/>
      <x:c r="D192" s="13"/>
      <x:c r="E192" s="13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3"/>
      <x:c r="U192" s="3"/>
      <x:c r="V192" s="3"/>
    </x:row>
    <x:row r="193" ht="8" customHeight="1">
      <x:c r="A193" s="3"/>
      <x:c r="B193" s="3"/>
      <x:c r="C193" s="3"/>
      <x:c r="D193" s="13"/>
      <x:c r="E193" s="13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3"/>
      <x:c r="U193" s="3"/>
      <x:c r="V193" s="3"/>
    </x:row>
    <x:row r="194" ht="8" customHeight="1">
      <x:c r="A194" s="3"/>
      <x:c r="B194" s="3"/>
      <x:c r="C194" s="3"/>
      <x:c r="D194" s="13"/>
      <x:c r="E194" s="13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3"/>
      <x:c r="U194" s="3"/>
      <x:c r="V194" s="3"/>
    </x:row>
    <x:row r="195" ht="8" customHeight="1">
      <x:c r="A195" s="3"/>
      <x:c r="B195" s="3"/>
      <x:c r="C195" s="3"/>
      <x:c r="D195" s="13"/>
      <x:c r="E195" s="13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3"/>
      <x:c r="U195" s="3"/>
      <x:c r="V195" s="3"/>
    </x:row>
    <x:row r="196" ht="8" customHeight="1">
      <x:c r="A196" s="3"/>
      <x:c r="B196" s="3"/>
      <x:c r="C196" s="3"/>
      <x:c r="D196" s="13"/>
      <x:c r="E196" s="13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3"/>
      <x:c r="U196" s="3"/>
      <x:c r="V196" s="3"/>
    </x:row>
    <x:row r="197" ht="8" customHeight="1">
      <x:c r="A197" s="3"/>
      <x:c r="B197" s="3"/>
      <x:c r="C197" s="3"/>
      <x:c r="D197" s="13"/>
      <x:c r="E197" s="13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3"/>
      <x:c r="U197" s="3"/>
      <x:c r="V197" s="3"/>
    </x:row>
    <x:row r="198" ht="8" customHeight="1">
      <x:c r="A198" s="3"/>
      <x:c r="B198" s="3"/>
      <x:c r="C198" s="3"/>
      <x:c r="D198" s="13"/>
      <x:c r="E198" s="13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3"/>
      <x:c r="U198" s="3"/>
      <x:c r="V198" s="3"/>
    </x:row>
    <x:row r="199" ht="8" customHeight="1">
      <x:c r="A199" s="3"/>
      <x:c r="B199" s="3"/>
      <x:c r="C199" s="3"/>
      <x:c r="D199" s="13"/>
      <x:c r="E199" s="13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3"/>
      <x:c r="U199" s="3"/>
      <x:c r="V199" s="3"/>
    </x:row>
    <x:row r="200" ht="8" customHeight="1">
      <x:c r="A200" s="3"/>
      <x:c r="B200" s="3"/>
      <x:c r="C200" s="3"/>
      <x:c r="D200" s="13"/>
      <x:c r="E200" s="13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3"/>
      <x:c r="U200" s="3"/>
      <x:c r="V200" s="3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.1299991607666" hidden="0" customWidth="1"/>
    <x:col min="2" max="2" width="12.5" hidden="0" customWidth="1"/>
    <x:col min="3" max="3" width="15.630000114440918" hidden="0" customWidth="1"/>
    <x:col min="4" max="4" width="15" hidden="0" customWidth="1"/>
    <x:col min="5" max="5" width="40" hidden="0" customWidth="1"/>
    <x:col min="6" max="6" width="16.8799991607666" hidden="0" customWidth="1"/>
    <x:col min="7" max="7" width="16.8799991607666" hidden="0" customWidth="1"/>
    <x:col min="8" max="8" width="16.8799991607666" hidden="0" customWidth="1"/>
    <x:col min="9" max="9" width="16.8799991607666" hidden="0" customWidth="1"/>
    <x:col min="10" max="10" width="16.8799991607666" hidden="0" customWidth="1"/>
    <x:col min="11" max="11" width="16.8799991607666" hidden="0" customWidth="1"/>
    <x:col min="12" max="12" width="16.8799991607666" hidden="0" customWidth="1"/>
    <x:col min="13" max="13" width="16.8799991607666" hidden="0" customWidth="1"/>
    <x:col min="14" max="14" width="16.8799991607666" hidden="0" customWidth="1"/>
    <x:col min="15" max="15" width="16.8799991607666" hidden="0" customWidth="1"/>
    <x:col min="16" max="16" width="16.8799991607666" hidden="0" customWidth="1"/>
    <x:col min="17" max="17" width="16.8799991607666" hidden="0" customWidth="1"/>
    <x:col min="18" max="18" width="16.8799991607666" hidden="0" customWidth="1"/>
    <x:col min="19" max="19" width="16.8799991607666" hidden="0" customWidth="1"/>
    <x:col min="20" max="20" width="31.8799991607666" hidden="0" customWidth="1"/>
    <x:col min="21" max="21" width="36.25" hidden="0" customWidth="1"/>
    <x:col min="22" max="22" width="36.25" hidden="0" customWidth="1"/>
  </x:cols>
  <x:sheetData>
    <x:row r="1" ht="25" customHeight="1">
      <x:c r="A1" s="81" t="str">
        <x:v>Model run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1" customHeight="1">
      <x:c r="A2" s="6" t="str">
        <x:v>Frozen Python run inputs/results • changing an input here does NOT rerun the engine; rerun Python and refresh this workbook.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</x:row>
    <x:row r="3" ht="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30" customHeight="1">
      <x:c r="A4" s="9" t="str">
        <x:v>Series / driver</x:v>
      </x:c>
      <x:c r="B4" s="9" t="str">
        <x:v>Unit</x:v>
      </x:c>
      <x:c r="C4" s="9" t="str">
        <x:v>Role</x:v>
      </x:c>
      <x:c r="D4" s="9" t="str">
        <x:v>Scalar / latest</x:v>
      </x:c>
      <x:c r="E4" s="9" t="str">
        <x:v>Definition / period</x:v>
      </x:c>
      <x:c r="F4" s="9" t="n">
        <x:v>2022</x:v>
      </x:c>
      <x:c r="G4" s="9" t="n">
        <x:v>2023</x:v>
      </x:c>
      <x:c r="H4" s="9" t="n">
        <x:v>2024</x:v>
      </x:c>
      <x:c r="I4" s="9" t="n">
        <x:v>2025</x:v>
      </x:c>
      <x:c r="J4" s="9" t="n">
        <x:v>2026</x:v>
      </x:c>
      <x:c r="K4" s="9" t="n">
        <x:v>2027</x:v>
      </x:c>
      <x:c r="L4" s="9" t="n">
        <x:v>2028</x:v>
      </x:c>
      <x:c r="M4" s="9" t="n">
        <x:v>2029</x:v>
      </x:c>
      <x:c r="N4" s="9" t="n">
        <x:v>2030</x:v>
      </x:c>
      <x:c r="O4" s="9" t="n">
        <x:v>2031</x:v>
      </x:c>
      <x:c r="P4" s="9" t="n">
        <x:v>2032</x:v>
      </x:c>
      <x:c r="Q4" s="9" t="n">
        <x:v>2033</x:v>
      </x:c>
      <x:c r="R4" s="9" t="n">
        <x:v>2034</x:v>
      </x:c>
      <x:c r="S4" s="9" t="n">
        <x:v>2035</x:v>
      </x:c>
      <x:c r="T4" s="9" t="str">
        <x:v>Status</x:v>
      </x:c>
      <x:c r="U4" s="9" t="str">
        <x:v>Source / dependency</x:v>
      </x:c>
      <x:c r="V4" s="9" t="str">
        <x:v>Review action</x:v>
      </x:c>
    </x:row>
    <x:row r="5" ht="30" customHeight="1">
      <x:c r="A5" s="16" t="str">
        <x:v>Petrol: GDP per capita</x:v>
      </x:c>
      <x:c r="B5" s="16" t="str">
        <x:v>2015 ZAR/person</x:v>
      </x:c>
      <x:c r="C5" s="16" t="str">
        <x:v>Input series</x:v>
      </x:c>
      <x:c r="D5" s="111"/>
      <x:c r="E5" s="18" t="str">
        <x:v>Shared macro driver. Model forecasts beyond the source observation window.</x:v>
      </x:c>
      <x:c r="F5" s="29" t="n">
        <x:v>76790.1650122451</x:v>
      </x:c>
      <x:c r="G5" s="29" t="n">
        <x:v>76777.92621036293</x:v>
      </x:c>
      <x:c r="H5" s="29" t="n">
        <x:v>76356.55727959426</x:v>
      </x:c>
      <x:c r="I5" s="29" t="n">
        <x:v>75873.5403538539</x:v>
      </x:c>
      <x:c r="J5" s="29" t="n">
        <x:v>76305.62080219547</x:v>
      </x:c>
      <x:c r="K5" s="29" t="n">
        <x:v>76770.1127412939</x:v>
      </x:c>
      <x:c r="L5" s="29" t="n">
        <x:v>77267.03031188184</x:v>
      </x:c>
      <x:c r="M5" s="29" t="n">
        <x:v>77793.85014588524</x:v>
      </x:c>
      <x:c r="N5" s="29" t="n">
        <x:v>78347.23662423984</x:v>
      </x:c>
      <x:c r="O5" s="29" t="n">
        <x:v>78904.55961677714</x:v>
      </x:c>
      <x:c r="P5" s="29" t="n">
        <x:v>79465.847125887</x:v>
      </x:c>
      <x:c r="Q5" s="29" t="n">
        <x:v>80031.12735315424</x:v>
      </x:c>
      <x:c r="R5" s="29" t="n">
        <x:v>80600.42870077565</x:v>
      </x:c>
      <x:c r="S5" s="29" t="n">
        <x:v>81173.77977298702</x:v>
      </x:c>
      <x:c r="T5" s="16" t="str">
        <x:v>Frozen current high_demand; provisional</x:v>
      </x:c>
      <x:c r="U5" s="16" t="str">
        <x:v>Petrol 6: current engine input/result</x:v>
      </x:c>
      <x:c r="V5" s="16" t="str">
        <x:v>Engine dependency is in Python; Excel links expose… [N266]</x:v>
      </x:c>
    </x:row>
    <x:row r="6" ht="30" customHeight="1">
      <x:c r="A6" s="16" t="str">
        <x:v>Petrol: New-sales regression slope</x:v>
      </x:c>
      <x:c r="B6" s="16" t="str">
        <x:v>vehicles / ZAR pc</x:v>
      </x:c>
      <x:c r="C6" s="16" t="str">
        <x:v>Scalar</x:v>
      </x:c>
      <x:c r="D6" s="111" t="n">
        <x:v>37.3149</x:v>
      </x:c>
      <x:c r="E6" s="18" t="str">
        <x:v>Sales = max(0, slope × GDP/capita + intercept). Applies to all new vehicles.</x:v>
      </x:c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  <x:c r="R6" s="29"/>
      <x:c r="S6" s="29"/>
      <x:c r="T6" s="16" t="str">
        <x:v>Frozen current high_demand; provisional</x:v>
      </x:c>
      <x:c r="U6" s="16" t="str">
        <x:v>Petrol 7: current engine input/result</x:v>
      </x:c>
      <x:c r="V6" s="16" t="str">
        <x:v>Engine dependency is in Python; Excel links expose… [N267]</x:v>
      </x:c>
    </x:row>
    <x:row r="7" ht="30" customHeight="1">
      <x:c r="A7" s="16" t="str">
        <x:v>Petrol: New-sales regression intercept</x:v>
      </x:c>
      <x:c r="B7" s="16" t="str">
        <x:v>vehicles/year</x:v>
      </x:c>
      <x:c r="C7" s="16" t="str">
        <x:v>Scalar</x:v>
      </x:c>
      <x:c r="D7" s="111" t="n">
        <x:v>-2387744</x:v>
      </x:c>
      <x:c r="E7" s="18" t="str">
        <x:v>Legacy fitted parameter; historical validity needs review.</x:v>
      </x:c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  <x:c r="S7" s="29"/>
      <x:c r="T7" s="16" t="str">
        <x:v>Frozen current high_demand; provisional</x:v>
      </x:c>
      <x:c r="U7" s="16" t="str">
        <x:v>Petrol 8: current engine input/result</x:v>
      </x:c>
      <x:c r="V7" s="16" t="str">
        <x:v>Engine dependency is in Python; Excel links expose… [N268]</x:v>
      </x:c>
    </x:row>
    <x:row r="8" ht="30" customHeight="1">
      <x:c r="A8" s="16" t="str">
        <x:v>Petrol: Passenger share of new sales</x:v>
      </x:c>
      <x:c r="B8" s="16" t="str">
        <x:v>share</x:v>
      </x:c>
      <x:c r="C8" s="16" t="str">
        <x:v>Scalar</x:v>
      </x:c>
      <x:c r="D8" s="100" t="n">
        <x:v>0.78</x:v>
      </x:c>
      <x:c r="E8" s="100" t="str">
        <x:v>Current provisional split of total modelled new sales.</x:v>
      </x:c>
      <x:c r="F8" s="103"/>
      <x:c r="G8" s="103"/>
      <x:c r="H8" s="103"/>
      <x:c r="I8" s="103"/>
      <x:c r="J8" s="103"/>
      <x:c r="K8" s="103"/>
      <x:c r="L8" s="103"/>
      <x:c r="M8" s="103"/>
      <x:c r="N8" s="103"/>
      <x:c r="O8" s="103"/>
      <x:c r="P8" s="103"/>
      <x:c r="Q8" s="103"/>
      <x:c r="R8" s="103"/>
      <x:c r="S8" s="103"/>
      <x:c r="T8" s="16" t="str">
        <x:v>Frozen current high_demand; provisional</x:v>
      </x:c>
      <x:c r="U8" s="16" t="str">
        <x:v>Petrol 9: current engine input/result</x:v>
      </x:c>
      <x:c r="V8" s="16" t="str">
        <x:v>Engine dependency is in Python; Excel links expose… [N269]</x:v>
      </x:c>
    </x:row>
    <x:row r="9" ht="30" customHeight="1">
      <x:c r="A9" s="16" t="str">
        <x:v>Petrol: Petrol share of passenger ICE sales</x:v>
      </x:c>
      <x:c r="B9" s="16" t="str">
        <x:v>share</x:v>
      </x:c>
      <x:c r="C9" s="16" t="str">
        <x:v>Scalar</x:v>
      </x:c>
      <x:c r="D9" s="100" t="n">
        <x:v>0.83</x:v>
      </x:c>
      <x:c r="E9" s="100" t="str">
        <x:v>Applies after current EV adjustment. Hybrids are not separately modelled.</x:v>
      </x:c>
      <x:c r="F9" s="103"/>
      <x:c r="G9" s="103"/>
      <x:c r="H9" s="103"/>
      <x:c r="I9" s="103"/>
      <x:c r="J9" s="103"/>
      <x:c r="K9" s="103"/>
      <x:c r="L9" s="103"/>
      <x:c r="M9" s="103"/>
      <x:c r="N9" s="103"/>
      <x:c r="O9" s="103"/>
      <x:c r="P9" s="103"/>
      <x:c r="Q9" s="103"/>
      <x:c r="R9" s="103"/>
      <x:c r="S9" s="103"/>
      <x:c r="T9" s="16" t="str">
        <x:v>Frozen current high_demand; provisional</x:v>
      </x:c>
      <x:c r="U9" s="16" t="str">
        <x:v>Petrol 10: current engine input/result</x:v>
      </x:c>
      <x:c r="V9" s="16" t="str">
        <x:v>Engine dependency is in Python; Excel links expose… [N270]</x:v>
      </x:c>
    </x:row>
    <x:row r="10" ht="30" customHeight="1">
      <x:c r="A10" s="16" t="str">
        <x:v>Petrol: Passenger annual mileage</x:v>
      </x:c>
      <x:c r="B10" s="16" t="str">
        <x:v>km/vehicle/year</x:v>
      </x:c>
      <x:c r="C10" s="16" t="str">
        <x:v>Scalar</x:v>
      </x:c>
      <x:c r="D10" s="111" t="n">
        <x:v>17000</x:v>
      </x:c>
      <x:c r="E10" s="18" t="str">
        <x:v>Current placeholder. Proposed HML brackets appear on HML sheet.</x:v>
      </x:c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  <x:c r="S10" s="29"/>
      <x:c r="T10" s="16" t="str">
        <x:v>Frozen current high_demand; provisional</x:v>
      </x:c>
      <x:c r="U10" s="16" t="str">
        <x:v>Petrol 11: current engine input/result</x:v>
      </x:c>
      <x:c r="V10" s="16" t="str">
        <x:v>Engine dependency is in Python; Excel links expose… [N271]</x:v>
      </x:c>
    </x:row>
    <x:row r="11" ht="30" customHeight="1">
      <x:c r="A11" s="16" t="str">
        <x:v>Petrol: Passenger retirement rate</x:v>
      </x:c>
      <x:c r="B11" s="16" t="str">
        <x:v>share/year</x:v>
      </x:c>
      <x:c r="C11" s="16" t="str">
        <x:v>Scalar</x:v>
      </x:c>
      <x:c r="D11" s="100" t="n">
        <x:v>0.04</x:v>
      </x:c>
      <x:c r="E11" s="100" t="str">
        <x:v>Current engine scraps all cohorts, including additions, within the year.</x:v>
      </x:c>
      <x:c r="F11" s="103"/>
      <x:c r="G11" s="103"/>
      <x:c r="H11" s="103"/>
      <x:c r="I11" s="103"/>
      <x:c r="J11" s="103"/>
      <x:c r="K11" s="103"/>
      <x:c r="L11" s="103"/>
      <x:c r="M11" s="103"/>
      <x:c r="N11" s="103"/>
      <x:c r="O11" s="103"/>
      <x:c r="P11" s="103"/>
      <x:c r="Q11" s="103"/>
      <x:c r="R11" s="103"/>
      <x:c r="S11" s="103"/>
      <x:c r="T11" s="16" t="str">
        <x:v>Frozen current high_demand; provisional</x:v>
      </x:c>
      <x:c r="U11" s="16" t="str">
        <x:v>Petrol 12: current engine input/result</x:v>
      </x:c>
      <x:c r="V11" s="16" t="str">
        <x:v>Engine dependency is in Python; Excel links expose… [N272]</x:v>
      </x:c>
    </x:row>
    <x:row r="12" ht="30" customHeight="1">
      <x:c r="A12" s="16" t="str">
        <x:v>Petrol: Base new petrol vehicle consumption</x:v>
      </x:c>
      <x:c r="B12" s="16" t="str">
        <x:v>L/100 km</x:v>
      </x:c>
      <x:c r="C12" s="16" t="str">
        <x:v>Scalar</x:v>
      </x:c>
      <x:c r="D12" s="111" t="n">
        <x:v>9.5</x:v>
      </x:c>
      <x:c r="E12" s="18" t="str">
        <x:v>Entry-cohort baseline before cumulative efficiency gains.</x:v>
      </x:c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  <x:c r="S12" s="29"/>
      <x:c r="T12" s="16" t="str">
        <x:v>Frozen current high_demand; provisional</x:v>
      </x:c>
      <x:c r="U12" s="16" t="str">
        <x:v>Petrol 13: current engine input/result</x:v>
      </x:c>
      <x:c r="V12" s="16" t="str">
        <x:v>Engine dependency is in Python; Excel links expose… [N273]</x:v>
      </x:c>
    </x:row>
    <x:row r="13" ht="30" customHeight="1">
      <x:c r="A13" s="16" t="str">
        <x:v>Petrol: New-cohort efficiency gain</x:v>
      </x:c>
      <x:c r="B13" s="16" t="str">
        <x:v>fraction/year</x:v>
      </x:c>
      <x:c r="C13" s="16" t="str">
        <x:v>Input series</x:v>
      </x:c>
      <x:c r="D13" s="111"/>
      <x:c r="E13" s="18" t="str">
        <x:v>Applied cumulatively to new cohorts; older cohorts retain their… [N274]</x:v>
      </x:c>
      <x:c r="F13" s="29" t="n">
        <x:v>0.01</x:v>
      </x:c>
      <x:c r="G13" s="29" t="n">
        <x:v>0.01</x:v>
      </x:c>
      <x:c r="H13" s="29" t="n">
        <x:v>0.01</x:v>
      </x:c>
      <x:c r="I13" s="29" t="n">
        <x:v>0.01</x:v>
      </x:c>
      <x:c r="J13" s="29" t="n">
        <x:v>0.01</x:v>
      </x:c>
      <x:c r="K13" s="29" t="n">
        <x:v>0.01</x:v>
      </x:c>
      <x:c r="L13" s="29" t="n">
        <x:v>0.01</x:v>
      </x:c>
      <x:c r="M13" s="29" t="n">
        <x:v>0.01</x:v>
      </x:c>
      <x:c r="N13" s="29" t="n">
        <x:v>0.01</x:v>
      </x:c>
      <x:c r="O13" s="29" t="n">
        <x:v>0.01</x:v>
      </x:c>
      <x:c r="P13" s="29" t="n">
        <x:v>0.01</x:v>
      </x:c>
      <x:c r="Q13" s="29" t="n">
        <x:v>0.01</x:v>
      </x:c>
      <x:c r="R13" s="29" t="n">
        <x:v>0.01</x:v>
      </x:c>
      <x:c r="S13" s="29" t="n">
        <x:v>0.01</x:v>
      </x:c>
      <x:c r="T13" s="16" t="str">
        <x:v>Frozen current high_demand; provisional</x:v>
      </x:c>
      <x:c r="U13" s="16" t="str">
        <x:v>Petrol 14: current engine input/result</x:v>
      </x:c>
      <x:c r="V13" s="16" t="str">
        <x:v>Engine dependency is in Python; Excel links expose… [N275]</x:v>
      </x:c>
    </x:row>
    <x:row r="14" ht="30" customHeight="1">
      <x:c r="A14" s="16" t="str">
        <x:v>Petrol: EV curve ceiling</x:v>
      </x:c>
      <x:c r="B14" s="16" t="str">
        <x:v>share</x:v>
      </x:c>
      <x:c r="C14" s="16" t="str">
        <x:v>Parameter</x:v>
      </x:c>
      <x:c r="D14" s="100" t="n">
        <x:v>0.3</x:v>
      </x:c>
      <x:c r="E14" s="100" t="str">
        <x:v>Current logistic curve parameter. Proposed BEV sales ranges are separate.</x:v>
      </x:c>
      <x:c r="F14" s="103"/>
      <x:c r="G14" s="103"/>
      <x:c r="H14" s="103"/>
      <x:c r="I14" s="103"/>
      <x:c r="J14" s="103"/>
      <x:c r="K14" s="103"/>
      <x:c r="L14" s="103"/>
      <x:c r="M14" s="103"/>
      <x:c r="N14" s="103"/>
      <x:c r="O14" s="103"/>
      <x:c r="P14" s="103"/>
      <x:c r="Q14" s="103"/>
      <x:c r="R14" s="103"/>
      <x:c r="S14" s="103"/>
      <x:c r="T14" s="16" t="str">
        <x:v>Frozen current high_demand; provisional</x:v>
      </x:c>
      <x:c r="U14" s="16" t="str">
        <x:v>Petrol 15: current engine input/result</x:v>
      </x:c>
      <x:c r="V14" s="16" t="str">
        <x:v>Engine dependency is in Python; Excel links expose… [N276]</x:v>
      </x:c>
    </x:row>
    <x:row r="15" ht="30" customHeight="1">
      <x:c r="A15" s="16" t="str">
        <x:v>Petrol: Passenger petrol fleet</x:v>
      </x:c>
      <x:c r="B15" s="16" t="str">
        <x:v>vehicles</x:v>
      </x:c>
      <x:c r="C15" s="16" t="str">
        <x:v>Engine output</x:v>
      </x:c>
      <x:c r="D15" s="111"/>
      <x:c r="E15" s="18" t="str">
        <x:v>Cohort stock from engine diagnostics. Opening stock is… [N277]</x:v>
      </x:c>
      <x:c r="F15" s="29" t="n">
        <x:v>4105442.820063777</x:v>
      </x:c>
      <x:c r="G15" s="29" t="n">
        <x:v>4237510.411114601</x:v>
      </x:c>
      <x:c r="H15" s="29" t="n">
        <x:v>4354416.496447995</x:v>
      </x:c>
      <x:c r="I15" s="29" t="n">
        <x:v>4455304.547532654</x:v>
      </x:c>
      <x:c r="J15" s="29" t="n">
        <x:v>4561932.711510791</x:v>
      </x:c>
      <x:c r="K15" s="29" t="n">
        <x:v>4674714.360330738</x:v>
      </x:c>
      <x:c r="L15" s="29" t="n">
        <x:v>4793999.249590636</x:v>
      </x:c>
      <x:c r="M15" s="29" t="n">
        <x:v>4919998.09997983</x:v>
      </x:c>
      <x:c r="N15" s="29" t="n">
        <x:v>5052743.732514513</x:v>
      </x:c>
      <x:c r="O15" s="29" t="n">
        <x:v>5191624.005673832</x:v>
      </x:c>
      <x:c r="P15" s="29" t="n">
        <x:v>5335891.848160342</x:v>
      </x:c>
      <x:c r="Q15" s="29" t="n">
        <x:v>5484627.964432901</x:v>
      </x:c>
      <x:c r="R15" s="29" t="n">
        <x:v>5636707.366851823</x:v>
      </x:c>
      <x:c r="S15" s="29" t="n">
        <x:v>5790782.33635809</x:v>
      </x:c>
      <x:c r="T15" s="16" t="str">
        <x:v>Frozen current high_demand; provisional</x:v>
      </x:c>
      <x:c r="U15" s="16" t="str">
        <x:v>Petrol 18: current engine input/result</x:v>
      </x:c>
      <x:c r="V15" s="16" t="str">
        <x:v>Engine dependency is in Python; Excel links expose… [N278]</x:v>
      </x:c>
    </x:row>
    <x:row r="16" ht="30" customHeight="1">
      <x:c r="A16" s="16" t="str">
        <x:v>Petrol: Passenger petrol vehicle-km</x:v>
      </x:c>
      <x:c r="B16" s="16" t="str">
        <x:v>km/year</x:v>
      </x:c>
      <x:c r="C16" s="16" t="str">
        <x:v>Engine output</x:v>
      </x:c>
      <x:c r="D16" s="111"/>
      <x:c r="E16" s="18" t="str">
        <x:v>Engine diagnostic activity for petrol passenger cohorts.</x:v>
      </x:c>
      <x:c r="F16" s="29" t="n">
        <x:v>69792527941.08421</x:v>
      </x:c>
      <x:c r="G16" s="29" t="n">
        <x:v>72037676988.94823</x:v>
      </x:c>
      <x:c r="H16" s="29" t="n">
        <x:v>74025080439.61592</x:v>
      </x:c>
      <x:c r="I16" s="29" t="n">
        <x:v>75740177308.05513</x:v>
      </x:c>
      <x:c r="J16" s="29" t="n">
        <x:v>77552856095.68346</x:v>
      </x:c>
      <x:c r="K16" s="29" t="n">
        <x:v>79470144125.62254</x:v>
      </x:c>
      <x:c r="L16" s="29" t="n">
        <x:v>81497987243.04082</x:v>
      </x:c>
      <x:c r="M16" s="29" t="n">
        <x:v>83639967699.6571</x:v>
      </x:c>
      <x:c r="N16" s="29" t="n">
        <x:v>85896643452.74672</x:v>
      </x:c>
      <x:c r="O16" s="29" t="n">
        <x:v>88257608096.45515</x:v>
      </x:c>
      <x:c r="P16" s="29" t="n">
        <x:v>90710161418.72581</x:v>
      </x:c>
      <x:c r="Q16" s="29" t="n">
        <x:v>93238675395.35931</x:v>
      </x:c>
      <x:c r="R16" s="29" t="n">
        <x:v>95824025236.481</x:v>
      </x:c>
      <x:c r="S16" s="29" t="n">
        <x:v>98443299718.08752</x:v>
      </x:c>
      <x:c r="T16" s="16" t="str">
        <x:v>Frozen current high_demand; provisional</x:v>
      </x:c>
      <x:c r="U16" s="16" t="str">
        <x:v>Petrol 19: current engine input/result</x:v>
      </x:c>
      <x:c r="V16" s="16" t="str">
        <x:v>Engine dependency is in Python; Excel links expose… [N279]</x:v>
      </x:c>
    </x:row>
    <x:row r="17" ht="30" customHeight="1">
      <x:c r="A17" s="16" t="str">
        <x:v>Petrol: Passenger petrol demand</x:v>
      </x:c>
      <x:c r="B17" s="16" t="str">
        <x:v>L/year</x:v>
      </x:c>
      <x:c r="C17" s="16" t="str">
        <x:v>Engine output</x:v>
      </x:c>
      <x:c r="D17" s="111"/>
      <x:c r="E17" s="18" t="str">
        <x:v>Calculated by the Python cohort engine.</x:v>
      </x:c>
      <x:c r="F17" s="29" t="n">
        <x:v>6604446599.287105</x:v>
      </x:c>
      <x:c r="G17" s="29" t="n">
        <x:v>6799914661.651272</x:v>
      </x:c>
      <x:c r="H17" s="29" t="n">
        <x:v>6967795194.654524</x:v>
      </x:c>
      <x:c r="I17" s="29" t="n">
        <x:v>7107316650.590699</x:v>
      </x:c>
      <x:c r="J17" s="29" t="n">
        <x:v>7251790037.536386</x:v>
      </x:c>
      <x:c r="K17" s="29" t="n">
        <x:v>7401722983.680083</x:v>
      </x:c>
      <x:c r="L17" s="29" t="n">
        <x:v>7557508602.12469</x:v>
      </x:c>
      <x:c r="M17" s="29" t="n">
        <x:v>7719319498.873311</x:v>
      </x:c>
      <x:c r="N17" s="29" t="n">
        <x:v>7887060129.324876</x:v>
      </x:c>
      <x:c r="O17" s="29" t="n">
        <x:v>8059708885.814959</x:v>
      </x:c>
      <x:c r="P17" s="29" t="n">
        <x:v>8236078449.78074</x:v>
      </x:c>
      <x:c r="Q17" s="29" t="n">
        <x:v>8414771202.164529</x:v>
      </x:c>
      <x:c r="R17" s="29" t="n">
        <x:v>8594142435.126007</x:v>
      </x:c>
      <x:c r="S17" s="29" t="n">
        <x:v>8772288312.452164</x:v>
      </x:c>
      <x:c r="T17" s="16" t="str">
        <x:v>Frozen current high_demand; provisional</x:v>
      </x:c>
      <x:c r="U17" s="16" t="str">
        <x:v>Petrol 20: current engine input/result</x:v>
      </x:c>
      <x:c r="V17" s="16" t="str">
        <x:v>Engine dependency is in Python; Excel links expose… [N280]</x:v>
      </x:c>
    </x:row>
    <x:row r="18" ht="30" customHeight="1">
      <x:c r="A18" s="16" t="str">
        <x:v>Petrol: All road petrol demand</x:v>
      </x:c>
      <x:c r="B18" s="16" t="str">
        <x:v>L/year</x:v>
      </x:c>
      <x:c r="C18" s="16" t="str">
        <x:v>Engine output</x:v>
      </x:c>
      <x:c r="D18" s="111"/>
      <x:c r="E18" s="18" t="str">
        <x:v>Includes passenger and LCV petrol. Does not claim all-product/sector coverage.</x:v>
      </x:c>
      <x:c r="F18" s="29" t="n">
        <x:v>7524313292.876868</x:v>
      </x:c>
      <x:c r="G18" s="29" t="n">
        <x:v>7742855189.752118</x:v>
      </x:c>
      <x:c r="H18" s="29" t="n">
        <x:v>7929685371.405513</x:v>
      </x:c>
      <x:c r="I18" s="29" t="n">
        <x:v>8083956751.428673</x:v>
      </x:c>
      <x:c r="J18" s="29" t="n">
        <x:v>8244025240.866486</x:v>
      </x:c>
      <x:c r="K18" s="29" t="n">
        <x:v>8410462249.470676</x:v>
      </x:c>
      <x:c r="L18" s="29" t="n">
        <x:v>8583707326.682598</x:v>
      </x:c>
      <x:c r="M18" s="29" t="n">
        <x:v>8763946422.052998</x:v>
      </x:c>
      <x:c r="N18" s="29" t="n">
        <x:v>8951057412.033466</x:v>
      </x:c>
      <x:c r="O18" s="29" t="n">
        <x:v>9143853712.900026</x:v>
      </x:c>
      <x:c r="P18" s="29" t="n">
        <x:v>9340960238.495893</x:v>
      </x:c>
      <x:c r="Q18" s="29" t="n">
        <x:v>9540762254.104132</x:v>
      </x:c>
      <x:c r="R18" s="29" t="n">
        <x:v>9741363263.688969</x:v>
      </x:c>
      <x:c r="S18" s="29" t="n">
        <x:v>9940571409.724516</x:v>
      </x:c>
      <x:c r="T18" s="16" t="str">
        <x:v>Frozen current high_demand; provisional</x:v>
      </x:c>
      <x:c r="U18" s="16" t="str">
        <x:v>Petrol 23: current engine input/result</x:v>
      </x:c>
      <x:c r="V18" s="16" t="str">
        <x:v>Engine dependency is in Python; Excel links expose… [N281]</x:v>
      </x:c>
    </x:row>
    <x:row r="19" ht="30" customHeight="1">
      <x:c r="A19" s="16" t="str">
        <x:v>Freight: GDP per capita</x:v>
      </x:c>
      <x:c r="B19" s="16" t="str">
        <x:v>2015 ZAR/person</x:v>
      </x:c>
      <x:c r="C19" s="16" t="str">
        <x:v>Input series</x:v>
      </x:c>
      <x:c r="D19" s="111"/>
      <x:c r="E19" s="18" t="str">
        <x:v>Same national vehicle-sales regression as Petrol sheet.</x:v>
      </x:c>
      <x:c r="F19" s="29" t="n">
        <x:v>76790.1650122451</x:v>
      </x:c>
      <x:c r="G19" s="29" t="n">
        <x:v>76777.92621036293</x:v>
      </x:c>
      <x:c r="H19" s="29" t="n">
        <x:v>76356.55727959426</x:v>
      </x:c>
      <x:c r="I19" s="29" t="n">
        <x:v>75873.5403538539</x:v>
      </x:c>
      <x:c r="J19" s="29" t="n">
        <x:v>76305.62080219547</x:v>
      </x:c>
      <x:c r="K19" s="29" t="n">
        <x:v>76770.1127412939</x:v>
      </x:c>
      <x:c r="L19" s="29" t="n">
        <x:v>77267.03031188184</x:v>
      </x:c>
      <x:c r="M19" s="29" t="n">
        <x:v>77793.85014588524</x:v>
      </x:c>
      <x:c r="N19" s="29" t="n">
        <x:v>78347.23662423984</x:v>
      </x:c>
      <x:c r="O19" s="29" t="n">
        <x:v>78904.55961677714</x:v>
      </x:c>
      <x:c r="P19" s="29" t="n">
        <x:v>79465.847125887</x:v>
      </x:c>
      <x:c r="Q19" s="29" t="n">
        <x:v>80031.12735315424</x:v>
      </x:c>
      <x:c r="R19" s="29" t="n">
        <x:v>80600.42870077565</x:v>
      </x:c>
      <x:c r="S19" s="29" t="n">
        <x:v>81173.77977298702</x:v>
      </x:c>
      <x:c r="T19" s="16" t="str">
        <x:v>Frozen current high_demand; provisional</x:v>
      </x:c>
      <x:c r="U19" s="16" t="str">
        <x:v>Freight 6: current engine input/result</x:v>
      </x:c>
      <x:c r="V19" s="16" t="str">
        <x:v>Engine dependency is in Python; Excel links expose… [N282]</x:v>
      </x:c>
    </x:row>
    <x:row r="20" ht="30" customHeight="1">
      <x:c r="A20" s="16" t="str">
        <x:v>Freight: HCV share of new vehicle sales</x:v>
      </x:c>
      <x:c r="B20" s="16" t="str">
        <x:v>share</x:v>
      </x:c>
      <x:c r="C20" s="16" t="str">
        <x:v>Scalar</x:v>
      </x:c>
      <x:c r="D20" s="100" t="n">
        <x:v>0.04</x:v>
      </x:c>
      <x:c r="E20" s="100" t="str">
        <x:v>Current provisional class split.</x:v>
      </x:c>
      <x:c r="F20" s="103"/>
      <x:c r="G20" s="103"/>
      <x:c r="H20" s="103"/>
      <x:c r="I20" s="103"/>
      <x:c r="J20" s="103"/>
      <x:c r="K20" s="103"/>
      <x:c r="L20" s="103"/>
      <x:c r="M20" s="103"/>
      <x:c r="N20" s="103"/>
      <x:c r="O20" s="103"/>
      <x:c r="P20" s="103"/>
      <x:c r="Q20" s="103"/>
      <x:c r="R20" s="103"/>
      <x:c r="S20" s="103"/>
      <x:c r="T20" s="16" t="str">
        <x:v>Frozen current high_demand; provisional</x:v>
      </x:c>
      <x:c r="U20" s="16" t="str">
        <x:v>Freight 7: current engine input/result</x:v>
      </x:c>
      <x:c r="V20" s="16" t="str">
        <x:v>Engine dependency is in Python; Excel links expose… [N283]</x:v>
      </x:c>
    </x:row>
    <x:row r="21" ht="30" customHeight="1">
      <x:c r="A21" s="16" t="str">
        <x:v>Freight: Diesel share of HCV ICE sales</x:v>
      </x:c>
      <x:c r="B21" s="16" t="str">
        <x:v>share</x:v>
      </x:c>
      <x:c r="C21" s="16" t="str">
        <x:v>Scalar</x:v>
      </x:c>
      <x:c r="D21" s="100" t="n">
        <x:v>1</x:v>
      </x:c>
      <x:c r="E21" s="100" t="str">
        <x:v>Current model applies its common EV adjustment before the diesel split.</x:v>
      </x:c>
      <x:c r="F21" s="103"/>
      <x:c r="G21" s="103"/>
      <x:c r="H21" s="103"/>
      <x:c r="I21" s="103"/>
      <x:c r="J21" s="103"/>
      <x:c r="K21" s="103"/>
      <x:c r="L21" s="103"/>
      <x:c r="M21" s="103"/>
      <x:c r="N21" s="103"/>
      <x:c r="O21" s="103"/>
      <x:c r="P21" s="103"/>
      <x:c r="Q21" s="103"/>
      <x:c r="R21" s="103"/>
      <x:c r="S21" s="103"/>
      <x:c r="T21" s="16" t="str">
        <x:v>Frozen current high_demand; provisional</x:v>
      </x:c>
      <x:c r="U21" s="16" t="str">
        <x:v>Freight 8: current engine input/result</x:v>
      </x:c>
      <x:c r="V21" s="16" t="str">
        <x:v>Engine dependency is in Python; Excel links expose… [N284]</x:v>
      </x:c>
    </x:row>
    <x:row r="22" ht="30" customHeight="1">
      <x:c r="A22" s="16" t="str">
        <x:v>Freight: Heavy-truck annual mileage</x:v>
      </x:c>
      <x:c r="B22" s="16" t="str">
        <x:v>km/vehicle/year</x:v>
      </x:c>
      <x:c r="C22" s="16" t="str">
        <x:v>Scalar</x:v>
      </x:c>
      <x:c r="D22" s="111" t="n">
        <x:v>70000</x:v>
      </x:c>
      <x:c r="E22" s="18" t="str">
        <x:v>Current provisional assumption.</x:v>
      </x:c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16" t="str">
        <x:v>Frozen current high_demand; provisional</x:v>
      </x:c>
      <x:c r="U22" s="16" t="str">
        <x:v>Freight 9: current engine input/result</x:v>
      </x:c>
      <x:c r="V22" s="16" t="str">
        <x:v>Engine dependency is in Python; Excel links expose… [N285]</x:v>
      </x:c>
    </x:row>
    <x:row r="23" ht="30" customHeight="1">
      <x:c r="A23" s="16" t="str">
        <x:v>Freight: Heavy-truck retirement rate</x:v>
      </x:c>
      <x:c r="B23" s="16" t="str">
        <x:v>share/year</x:v>
      </x:c>
      <x:c r="C23" s="16" t="str">
        <x:v>Scalar</x:v>
      </x:c>
      <x:c r="D23" s="100" t="n">
        <x:v>0.06</x:v>
      </x:c>
      <x:c r="E23" s="100" t="str">
        <x:v>Flat retirement assumption across cohorts.</x:v>
      </x:c>
      <x:c r="F23" s="103"/>
      <x:c r="G23" s="103"/>
      <x:c r="H23" s="103"/>
      <x:c r="I23" s="103"/>
      <x:c r="J23" s="103"/>
      <x:c r="K23" s="103"/>
      <x:c r="L23" s="103"/>
      <x:c r="M23" s="103"/>
      <x:c r="N23" s="103"/>
      <x:c r="O23" s="103"/>
      <x:c r="P23" s="103"/>
      <x:c r="Q23" s="103"/>
      <x:c r="R23" s="103"/>
      <x:c r="S23" s="103"/>
      <x:c r="T23" s="16" t="str">
        <x:v>Frozen current high_demand; provisional</x:v>
      </x:c>
      <x:c r="U23" s="16" t="str">
        <x:v>Freight 10: current engine input/result</x:v>
      </x:c>
      <x:c r="V23" s="16" t="str">
        <x:v>Engine dependency is in Python; Excel links expose… [N286]</x:v>
      </x:c>
    </x:row>
    <x:row r="24" ht="30" customHeight="1">
      <x:c r="A24" s="16" t="str">
        <x:v>Freight: Base new-truck consumption</x:v>
      </x:c>
      <x:c r="B24" s="16" t="str">
        <x:v>L/100 km</x:v>
      </x:c>
      <x:c r="C24" s="16" t="str">
        <x:v>Scalar</x:v>
      </x:c>
      <x:c r="D24" s="111" t="n">
        <x:v>35</x:v>
      </x:c>
      <x:c r="E24" s="18" t="str">
        <x:v>Entry-cohort baseline before efficiency improvement.</x:v>
      </x:c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16" t="str">
        <x:v>Frozen current high_demand; provisional</x:v>
      </x:c>
      <x:c r="U24" s="16" t="str">
        <x:v>Freight 11: current engine input/result</x:v>
      </x:c>
      <x:c r="V24" s="16" t="str">
        <x:v>Engine dependency is in Python; Excel links expose… [N287]</x:v>
      </x:c>
    </x:row>
    <x:row r="25" ht="30" customHeight="1">
      <x:c r="A25" s="16" t="str">
        <x:v>Freight: New-cohort efficiency gain</x:v>
      </x:c>
      <x:c r="B25" s="16" t="str">
        <x:v>fraction/year</x:v>
      </x:c>
      <x:c r="C25" s="16" t="str">
        <x:v>Input series</x:v>
      </x:c>
      <x:c r="D25" s="111"/>
      <x:c r="E25" s="18" t="str">
        <x:v>Applies to new cohorts only.</x:v>
      </x:c>
      <x:c r="F25" s="29" t="n">
        <x:v>0.005</x:v>
      </x:c>
      <x:c r="G25" s="29" t="n">
        <x:v>0.005</x:v>
      </x:c>
      <x:c r="H25" s="29" t="n">
        <x:v>0.005</x:v>
      </x:c>
      <x:c r="I25" s="29" t="n">
        <x:v>0.005</x:v>
      </x:c>
      <x:c r="J25" s="29" t="n">
        <x:v>0.005</x:v>
      </x:c>
      <x:c r="K25" s="29" t="n">
        <x:v>0.005</x:v>
      </x:c>
      <x:c r="L25" s="29" t="n">
        <x:v>0.005</x:v>
      </x:c>
      <x:c r="M25" s="29" t="n">
        <x:v>0.005</x:v>
      </x:c>
      <x:c r="N25" s="29" t="n">
        <x:v>0.005</x:v>
      </x:c>
      <x:c r="O25" s="29" t="n">
        <x:v>0.005</x:v>
      </x:c>
      <x:c r="P25" s="29" t="n">
        <x:v>0.005</x:v>
      </x:c>
      <x:c r="Q25" s="29" t="n">
        <x:v>0.005</x:v>
      </x:c>
      <x:c r="R25" s="29" t="n">
        <x:v>0.005</x:v>
      </x:c>
      <x:c r="S25" s="29" t="n">
        <x:v>0.005</x:v>
      </x:c>
      <x:c r="T25" s="16" t="str">
        <x:v>Frozen current high_demand; provisional</x:v>
      </x:c>
      <x:c r="U25" s="16" t="str">
        <x:v>Freight 12: current engine input/result</x:v>
      </x:c>
      <x:c r="V25" s="16" t="str">
        <x:v>Engine dependency is in Python; Excel links expose… [N288]</x:v>
      </x:c>
    </x:row>
    <x:row r="26" ht="30" customHeight="1">
      <x:c r="A26" s="16" t="str">
        <x:v>Freight: Heavy-truck diesel fleet</x:v>
      </x:c>
      <x:c r="B26" s="16" t="str">
        <x:v>vehicles</x:v>
      </x:c>
      <x:c r="C26" s="16" t="str">
        <x:v>Engine output</x:v>
      </x:c>
      <x:c r="D26" s="111"/>
      <x:c r="E26" s="18" t="str">
        <x:v>National HCV diesel cohort stock.</x:v>
      </x:c>
      <x:c r="F26" s="29" t="n">
        <x:v>213882.42059073248</x:v>
      </x:c>
      <x:c r="G26" s="29" t="n">
        <x:v>218974.26332911802</x:v>
      </x:c>
      <x:c r="H26" s="29" t="n">
        <x:v>223162.94374547244</x:v>
      </x:c>
      <x:c r="I26" s="29" t="n">
        <x:v>226414.1430942551</x:v>
      </x:c>
      <x:c r="J26" s="29" t="n">
        <x:v>230061.6807926254</x:v>
      </x:c>
      <x:c r="K26" s="29" t="n">
        <x:v>234120.67558941158</x:v>
      </x:c>
      <x:c r="L26" s="29" t="n">
        <x:v>238602.49075458886</x:v>
      </x:c>
      <x:c r="M26" s="29" t="n">
        <x:v>243510.24275808618</x:v>
      </x:c>
      <x:c r="N26" s="29" t="n">
        <x:v>248836.60836597675</x:v>
      </x:c>
      <x:c r="O26" s="29" t="n">
        <x:v>254535.76395908472</x:v>
      </x:c>
      <x:c r="P26" s="29" t="n">
        <x:v>260554.9909558677</x:v>
      </x:c>
      <x:c r="Q26" s="29" t="n">
        <x:v>266832.5067329813</x:v>
      </x:c>
      <x:c r="R26" s="29" t="n">
        <x:v>273295.56694431393</x:v>
      </x:c>
      <x:c r="S26" s="29" t="n">
        <x:v>279859.59461089567</x:v>
      </x:c>
      <x:c r="T26" s="16" t="str">
        <x:v>Frozen current high_demand; provisional</x:v>
      </x:c>
      <x:c r="U26" s="16" t="str">
        <x:v>Freight 15: current engine input/result</x:v>
      </x:c>
      <x:c r="V26" s="16" t="str">
        <x:v>Engine dependency is in Python; Excel links expose… [N289]</x:v>
      </x:c>
    </x:row>
    <x:row r="27" ht="30" customHeight="1">
      <x:c r="A27" s="16" t="str">
        <x:v>Freight: Heavy-truck vehicle-km</x:v>
      </x:c>
      <x:c r="B27" s="16" t="str">
        <x:v>km/year</x:v>
      </x:c>
      <x:c r="C27" s="16" t="str">
        <x:v>Engine output</x:v>
      </x:c>
      <x:c r="D27" s="111"/>
      <x:c r="E27" s="18" t="str">
        <x:v>National HCV diesel activity.</x:v>
      </x:c>
      <x:c r="F27" s="29" t="n">
        <x:v>14971769441.351274</x:v>
      </x:c>
      <x:c r="G27" s="29" t="n">
        <x:v>15328198433.038261</x:v>
      </x:c>
      <x:c r="H27" s="29" t="n">
        <x:v>15621406062.183071</x:v>
      </x:c>
      <x:c r="I27" s="29" t="n">
        <x:v>15848990016.597857</x:v>
      </x:c>
      <x:c r="J27" s="29" t="n">
        <x:v>16104317655.483778</x:v>
      </x:c>
      <x:c r="K27" s="29" t="n">
        <x:v>16388447291.25881</x:v>
      </x:c>
      <x:c r="L27" s="29" t="n">
        <x:v>16702174352.82122</x:v>
      </x:c>
      <x:c r="M27" s="29" t="n">
        <x:v>17045716993.066032</x:v>
      </x:c>
      <x:c r="N27" s="29" t="n">
        <x:v>17418562585.618374</x:v>
      </x:c>
      <x:c r="O27" s="29" t="n">
        <x:v>17817503477.13593</x:v>
      </x:c>
      <x:c r="P27" s="29" t="n">
        <x:v>18238849366.91074</x:v>
      </x:c>
      <x:c r="Q27" s="29" t="n">
        <x:v>18678275471.308693</x:v>
      </x:c>
      <x:c r="R27" s="29" t="n">
        <x:v>19130689686.101974</x:v>
      </x:c>
      <x:c r="S27" s="29" t="n">
        <x:v>19590171622.762695</x:v>
      </x:c>
      <x:c r="T27" s="16" t="str">
        <x:v>Frozen current high_demand; provisional</x:v>
      </x:c>
      <x:c r="U27" s="16" t="str">
        <x:v>Freight 16: current engine input/result</x:v>
      </x:c>
      <x:c r="V27" s="16" t="str">
        <x:v>Engine dependency is in Python; Excel links expose… [N290]</x:v>
      </x:c>
    </x:row>
    <x:row r="28" ht="30" customHeight="1">
      <x:c r="A28" s="16" t="str">
        <x:v>Freight: Heavy-truck diesel demand</x:v>
      </x:c>
      <x:c r="B28" s="16" t="str">
        <x:v>L/year</x:v>
      </x:c>
      <x:c r="C28" s="16" t="str">
        <x:v>Engine output</x:v>
      </x:c>
      <x:c r="D28" s="111"/>
      <x:c r="E28" s="18" t="str">
        <x:v>Current Python engine output. Does not include LCV freight.</x:v>
      </x:c>
      <x:c r="F28" s="29" t="n">
        <x:v>5228356913.313794</x:v>
      </x:c>
      <x:c r="G28" s="29" t="n">
        <x:v>5345095312.058235</x:v>
      </x:c>
      <x:c r="H28" s="29" t="n">
        <x:v>5438397159.087927</x:v>
      </x:c>
      <x:c r="I28" s="29" t="n">
        <x:v>5507717997.074704</x:v>
      </x:c>
      <x:c r="J28" s="29" t="n">
        <x:v>5584891423.650293</x:v>
      </x:c>
      <x:c r="K28" s="29" t="n">
        <x:v>5670231840.6344185</x:v>
      </x:c>
      <x:c r="L28" s="29" t="n">
        <x:v>5763955345.599746</x:v>
      </x:c>
      <x:c r="M28" s="29" t="n">
        <x:v>5866077186.5313425</x:v>
      </x:c>
      <x:c r="N28" s="29" t="n">
        <x:v>5976365141.460197</x:v>
      </x:c>
      <x:c r="O28" s="29" t="n">
        <x:v>6093697409.374835</x:v>
      </x:c>
      <x:c r="P28" s="29" t="n">
        <x:v>6216806465.79391</x:v>
      </x:c>
      <x:c r="Q28" s="29" t="n">
        <x:v>6344233164.457887</x:v>
      </x:c>
      <x:c r="R28" s="29" t="n">
        <x:v>6474288223.016267</x:v>
      </x:c>
      <x:c r="S28" s="29" t="n">
        <x:v>6605037980.344461</x:v>
      </x:c>
      <x:c r="T28" s="16" t="str">
        <x:v>Frozen current high_demand; provisional</x:v>
      </x:c>
      <x:c r="U28" s="16" t="str">
        <x:v>Freight 17: current engine input/result</x:v>
      </x:c>
      <x:c r="V28" s="16" t="str">
        <x:v>Engine dependency is in Python; Excel links expose… [N291]</x:v>
      </x:c>
    </x:row>
    <x:row r="29" ht="30" customHeight="1">
      <x:c r="A29" s="16" t="str">
        <x:v>Freight: Current common EV share of new sales</x:v>
      </x:c>
      <x:c r="B29" s="16" t="str">
        <x:v>share</x:v>
      </x:c>
      <x:c r="C29" s="16" t="str">
        <x:v>Engine output</x:v>
      </x:c>
      <x:c r="D29" s="100"/>
      <x:c r="E29" s="100" t="str">
        <x:v>Existing engine curve applied to HCV as well as other classes.… [N292]</x:v>
      </x:c>
      <x:c r="F29" s="103" t="n">
        <x:v>0.0007417869469904323</x:v>
      </x:c>
      <x:c r="G29" s="103" t="n">
        <x:v>0.001034235390469069</x:v>
      </x:c>
      <x:c r="H29" s="103" t="n">
        <x:v>0.0014414258661478556</x:v>
      </x:c>
      <x:c r="I29" s="103" t="n">
        <x:v>0.0020078552772854565</x:v>
      </x:c>
      <x:c r="J29" s="103" t="n">
        <x:v>0.0027947878035200057</x:v>
      </x:c>
      <x:c r="K29" s="103" t="n">
        <x:v>0.0038861182592087613</x:v>
      </x:c>
      <x:c r="L29" s="103" t="n">
        <x:v>0.005395862988627468</x:v>
      </x:c>
      <x:c r="M29" s="103" t="n">
        <x:v>0.007477327994134211</x:v>
      </x:c>
      <x:c r="N29" s="103" t="n">
        <x:v>0.01033355869986335</x:v>
      </x:c>
      <x:c r="O29" s="103" t="n">
        <x:v>0.014227761953270034</x:v>
      </x:c>
      <x:c r="P29" s="103" t="n">
        <x:v>0.01949075073859922</x:v>
      </x:c>
      <x:c r="Q29" s="103" t="n">
        <x:v>0.02651990316211752</x:v>
      </x:c>
      <x:c r="R29" s="103" t="n">
        <x:v>0.03576087660663526</x:v>
      </x:c>
      <x:c r="S29" s="103" t="n">
        <x:v>0.04766073146427455</x:v>
      </x:c>
      <x:c r="T29" s="16" t="str">
        <x:v>Frozen current high_demand; provisional</x:v>
      </x:c>
      <x:c r="U29" s="16" t="str">
        <x:v>Freight 31: current engine input/result</x:v>
      </x:c>
      <x:c r="V29" s="16" t="str">
        <x:v>Engine dependency is in Python; Excel links expose… [N293]</x:v>
      </x:c>
    </x:row>
    <x:row r="30" ht="30" customHeight="1">
      <x:c r="A30" s="16" t="str">
        <x:v>Agriculture: Base year</x:v>
      </x:c>
      <x:c r="B30" s="16" t="str">
        <x:v>year</x:v>
      </x:c>
      <x:c r="C30" s="16" t="str">
        <x:v>Scalar</x:v>
      </x:c>
      <x:c r="D30" s="111" t="n">
        <x:v>2024</x:v>
      </x:c>
      <x:c r="E30" s="18" t="str">
        <x:v>A dated baseline, not a recurring annual observation.</x:v>
      </x:c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16" t="str">
        <x:v>Frozen current high_demand; provisional</x:v>
      </x:c>
      <x:c r="U30" s="16" t="str">
        <x:v>Agriculture 7: current engine input/result</x:v>
      </x:c>
      <x:c r="V30" s="16" t="str">
        <x:v>Engine dependency is in Python; Excel links expose… [N294]</x:v>
      </x:c>
    </x:row>
    <x:row r="31" ht="30" customHeight="1">
      <x:c r="A31" s="16" t="str">
        <x:v>Agriculture: GDP/capita elasticity</x:v>
      </x:c>
      <x:c r="B31" s="16" t="str">
        <x:v>dimensionless</x:v>
      </x:c>
      <x:c r="C31" s="16" t="str">
        <x:v>Scalar</x:v>
      </x:c>
      <x:c r="D31" s="111" t="n">
        <x:v>0.2</x:v>
      </x:c>
      <x:c r="E31" s="18" t="str">
        <x:v>Provisional GDP proxy, pending an agricultural driver.</x:v>
      </x:c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16" t="str">
        <x:v>Frozen current high_demand; provisional</x:v>
      </x:c>
      <x:c r="U31" s="16" t="str">
        <x:v>Agriculture 8: current engine input/result</x:v>
      </x:c>
      <x:c r="V31" s="16" t="str">
        <x:v>Engine dependency is in Python; Excel links expose… [N295]</x:v>
      </x:c>
    </x:row>
    <x:row r="32" ht="30" customHeight="1">
      <x:c r="A32" s="16" t="str">
        <x:v>Agriculture: GDP per capita</x:v>
      </x:c>
      <x:c r="B32" s="16" t="str">
        <x:v>2015 ZAR/person</x:v>
      </x:c>
      <x:c r="C32" s="16" t="str">
        <x:v>Input series</x:v>
      </x:c>
      <x:c r="D32" s="111"/>
      <x:c r="E32" s="18" t="str">
        <x:v>Current driver used by the held engine.</x:v>
      </x:c>
      <x:c r="F32" s="29" t="n">
        <x:v>76790.1650122451</x:v>
      </x:c>
      <x:c r="G32" s="29" t="n">
        <x:v>76777.92621036293</x:v>
      </x:c>
      <x:c r="H32" s="29" t="n">
        <x:v>76356.55727959426</x:v>
      </x:c>
      <x:c r="I32" s="29" t="n">
        <x:v>75873.5403538539</x:v>
      </x:c>
      <x:c r="J32" s="29" t="n">
        <x:v>76305.62080219547</x:v>
      </x:c>
      <x:c r="K32" s="29" t="n">
        <x:v>76770.1127412939</x:v>
      </x:c>
      <x:c r="L32" s="29" t="n">
        <x:v>77267.03031188184</x:v>
      </x:c>
      <x:c r="M32" s="29" t="n">
        <x:v>77793.85014588524</x:v>
      </x:c>
      <x:c r="N32" s="29" t="n">
        <x:v>78347.23662423984</x:v>
      </x:c>
      <x:c r="O32" s="29" t="n">
        <x:v>78904.55961677714</x:v>
      </x:c>
      <x:c r="P32" s="29" t="n">
        <x:v>79465.847125887</x:v>
      </x:c>
      <x:c r="Q32" s="29" t="n">
        <x:v>80031.12735315424</x:v>
      </x:c>
      <x:c r="R32" s="29" t="n">
        <x:v>80600.42870077565</x:v>
      </x:c>
      <x:c r="S32" s="29" t="n">
        <x:v>81173.77977298702</x:v>
      </x:c>
      <x:c r="T32" s="16" t="str">
        <x:v>Frozen current high_demand; provisional</x:v>
      </x:c>
      <x:c r="U32" s="16" t="str">
        <x:v>Agriculture 9: current engine input/result</x:v>
      </x:c>
      <x:c r="V32" s="16" t="str">
        <x:v>Engine dependency is in Python; Excel links expose… [N296]</x:v>
      </x:c>
    </x:row>
    <x:row r="33" ht="30" customHeight="1">
      <x:c r="A33" s="16" t="str">
        <x:v>Agriculture: Agricultural diesel demand</x:v>
      </x:c>
      <x:c r="B33" s="16" t="str">
        <x:v>L/year</x:v>
      </x:c>
      <x:c r="C33" s="16" t="str">
        <x:v>Engine output</x:v>
      </x:c>
      <x:c r="D33" s="111"/>
      <x:c r="E33" s="18" t="str">
        <x:v>Engine: baseline × (GDP/capita / base-year GDP/capita)^elasticity.</x:v>
      </x:c>
      <x:c r="F33" s="29" t="n">
        <x:v>700793221.4567857</x:v>
      </x:c>
      <x:c r="G33" s="29" t="n">
        <x:v>700770881.5744826</x:v>
      </x:c>
      <x:c r="H33" s="29" t="n">
        <x:v>700000000</x:v>
      </x:c>
      <x:c r="I33" s="29" t="n">
        <x:v>699112137.440543</x:v>
      </x:c>
      <x:c r="J33" s="29" t="n">
        <x:v>699906582.8701582</x:v>
      </x:c>
      <x:c r="K33" s="29" t="n">
        <x:v>700756617.9057957</x:v>
      </x:c>
      <x:c r="L33" s="29" t="n">
        <x:v>701661449.6704552</x:v>
      </x:c>
      <x:c r="M33" s="29" t="n">
        <x:v>702615660.3836949</x:v>
      </x:c>
      <x:c r="N33" s="29" t="n">
        <x:v>703612439.3352404</x:v>
      </x:c>
      <x:c r="O33" s="29" t="n">
        <x:v>704610632.3860354</x:v>
      </x:c>
      <x:c r="P33" s="29" t="n">
        <x:v>705610241.5422189</x:v>
      </x:c>
      <x:c r="Q33" s="29" t="n">
        <x:v>706611268.8127754</x:v>
      </x:c>
      <x:c r="R33" s="29" t="n">
        <x:v>707613716.2095395</x:v>
      </x:c>
      <x:c r="S33" s="29" t="n">
        <x:v>708617585.7472003</x:v>
      </x:c>
      <x:c r="T33" s="16" t="str">
        <x:v>Frozen current high_demand; provisional</x:v>
      </x:c>
      <x:c r="U33" s="16" t="str">
        <x:v>Agriculture 12: current engine input/result</x:v>
      </x:c>
      <x:c r="V33" s="16" t="str">
        <x:v>Engine dependency is in Python; Excel links expose… [N297]</x:v>
      </x:c>
    </x:row>
    <x:row r="34" ht="30" customHeight="1">
      <x:c r="A34" s="16" t="str">
        <x:v>Manufacturing: Combined baseline year</x:v>
      </x:c>
      <x:c r="B34" s="16" t="str">
        <x:v>year</x:v>
      </x:c>
      <x:c r="C34" s="16" t="str">
        <x:v>Scalar</x:v>
      </x:c>
      <x:c r="D34" s="111" t="n">
        <x:v>2024</x:v>
      </x:c>
      <x:c r="E34" s="18" t="str">
        <x:v>Current main vintage; branch replacement proposals are not adopted here.</x:v>
      </x:c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16" t="str">
        <x:v>Frozen current high_demand; provisional</x:v>
      </x:c>
      <x:c r="U34" s="16" t="str">
        <x:v>Manufacturing 21: current engine input/result</x:v>
      </x:c>
      <x:c r="V34" s="16" t="str">
        <x:v>Engine dependency is in Python; Excel links expose… [N298]</x:v>
      </x:c>
    </x:row>
    <x:row r="35" ht="30" customHeight="1">
      <x:c r="A35" s="16" t="str">
        <x:v>Manufacturing: Combined GDP/capita elasticity</x:v>
      </x:c>
      <x:c r="B35" s="16" t="str">
        <x:v>dimensionless</x:v>
      </x:c>
      <x:c r="C35" s="16" t="str">
        <x:v>Scalar</x:v>
      </x:c>
      <x:c r="D35" s="111" t="n">
        <x:v>1</x:v>
      </x:c>
      <x:c r="E35" s="18" t="str">
        <x:v>Current combined held-method parameter. Not a manufacturing-specific estimate.</x:v>
      </x:c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16" t="str">
        <x:v>Frozen current high_demand; provisional</x:v>
      </x:c>
      <x:c r="U35" s="16" t="str">
        <x:v>Manufacturing 22: current engine input/result</x:v>
      </x:c>
      <x:c r="V35" s="16" t="str">
        <x:v>Engine dependency is in Python; Excel links expose… [N299]</x:v>
      </x:c>
    </x:row>
    <x:row r="36" ht="30" customHeight="1">
      <x:c r="A36" s="16" t="str">
        <x:v>Manufacturing: Combined industrial diesel</x:v>
      </x:c>
      <x:c r="B36" s="16" t="str">
        <x:v>L/year</x:v>
      </x:c>
      <x:c r="C36" s="16" t="str">
        <x:v>Engine output</x:v>
      </x:c>
      <x:c r="D36" s="111"/>
      <x:c r="E36" s="18" t="str">
        <x:v>Existing engine output shown ONCE as a reference for the future… [N300]</x:v>
      </x:c>
      <x:c r="F36" s="29" t="n">
        <x:v>2514196807.324062</x:v>
      </x:c>
      <x:c r="G36" s="29" t="n">
        <x:v>2513796095.115504</x:v>
      </x:c>
      <x:c r="H36" s="29" t="n">
        <x:v>2500000000</x:v>
      </x:c>
      <x:c r="I36" s="29" t="n">
        <x:v>2484185479.84125</x:v>
      </x:c>
      <x:c r="J36" s="29" t="n">
        <x:v>2498332282.15056</x:v>
      </x:c>
      <x:c r="K36" s="29" t="n">
        <x:v>2513540273.3057137</x:v>
      </x:c>
      <x:c r="L36" s="29" t="n">
        <x:v>2529809916.2902837</x:v>
      </x:c>
      <x:c r="M36" s="29" t="n">
        <x:v>2547058593.18107</x:v>
      </x:c>
      <x:c r="N36" s="29" t="n">
        <x:v>2565177092.039271</x:v>
      </x:c>
      <x:c r="O36" s="29" t="n">
        <x:v>2583424476.821712</x:v>
      </x:c>
      <x:c r="P36" s="29" t="n">
        <x:v>2601801664.3582907</x:v>
      </x:c>
      <x:c r="Q36" s="29" t="n">
        <x:v>2620309578.0007744</x:v>
      </x:c>
      <x:c r="R36" s="29" t="n">
        <x:v>2638949147.6691923</x:v>
      </x:c>
      <x:c r="S36" s="29" t="n">
        <x:v>2657721309.8985586</x:v>
      </x:c>
      <x:c r="T36" s="16" t="str">
        <x:v>Frozen current high_demand; provisional</x:v>
      </x:c>
      <x:c r="U36" s="16" t="str">
        <x:v>Manufacturing 23: current engine input/result</x:v>
      </x:c>
      <x:c r="V36" s="16" t="str">
        <x:v>Engine dependency is in Python; Excel links expose… [N301]</x:v>
      </x:c>
    </x:row>
    <x:row r="37" ht="30" customHeight="1">
      <x:c r="A37" s="16" t="str">
        <x:v>Other demand: Current engine load factor</x:v>
      </x:c>
      <x:c r="B37" s="16" t="str">
        <x:v>share</x:v>
      </x:c>
      <x:c r="C37" s="16" t="str">
        <x:v>Current input</x:v>
      </x:c>
      <x:c r="D37" s="100"/>
      <x:c r="E37" s="100" t="str">
        <x:v>Legacy scenario path. Not measured dispatch.</x:v>
      </x:c>
      <x:c r="F37" s="103" t="n">
        <x:v>0.45</x:v>
      </x:c>
      <x:c r="G37" s="103" t="n">
        <x:v>0.5603</x:v>
      </x:c>
      <x:c r="H37" s="103" t="n">
        <x:v>0.5456</x:v>
      </x:c>
      <x:c r="I37" s="103" t="n">
        <x:v>0.626</x:v>
      </x:c>
      <x:c r="J37" s="103" t="n">
        <x:v>0.7</x:v>
      </x:c>
      <x:c r="K37" s="103" t="n">
        <x:v>0.71</x:v>
      </x:c>
      <x:c r="L37" s="103" t="n">
        <x:v>0.7</x:v>
      </x:c>
      <x:c r="M37" s="103" t="n">
        <x:v>0.7</x:v>
      </x:c>
      <x:c r="N37" s="103" t="n">
        <x:v>0.7</x:v>
      </x:c>
      <x:c r="O37" s="103" t="n">
        <x:v>0.7</x:v>
      </x:c>
      <x:c r="P37" s="103" t="n">
        <x:v>0.7</x:v>
      </x:c>
      <x:c r="Q37" s="103" t="n">
        <x:v>0.7</x:v>
      </x:c>
      <x:c r="R37" s="103" t="n">
        <x:v>0.7</x:v>
      </x:c>
      <x:c r="S37" s="103" t="n">
        <x:v>0.7</x:v>
      </x:c>
      <x:c r="T37" s="16" t="str">
        <x:v>Frozen current high_demand; provisional</x:v>
      </x:c>
      <x:c r="U37" s="16" t="str">
        <x:v>https://github.com/Africa-International-Advisors/liq… [N302]</x:v>
      </x:c>
      <x:c r="V37" s="16" t="str">
        <x:v>Engine dependency is in Python; Excel links expose… [N303]</x:v>
      </x:c>
    </x:row>
    <x:row r="38" ht="30" customHeight="1">
      <x:c r="A38" s="16" t="str">
        <x:v>Other demand: Current thermal efficiency</x:v>
      </x:c>
      <x:c r="B38" s="16" t="str">
        <x:v>share</x:v>
      </x:c>
      <x:c r="C38" s="16" t="str">
        <x:v>Current scalar</x:v>
      </x:c>
      <x:c r="D38" s="100" t="n">
        <x:v>0.4</x:v>
      </x:c>
      <x:c r="E38" s="100" t="str">
        <x:v>Fraction of fuel energy converted to electricity.</x:v>
      </x:c>
      <x:c r="F38" s="103"/>
      <x:c r="G38" s="103"/>
      <x:c r="H38" s="103"/>
      <x:c r="I38" s="103"/>
      <x:c r="J38" s="103"/>
      <x:c r="K38" s="103"/>
      <x:c r="L38" s="103"/>
      <x:c r="M38" s="103"/>
      <x:c r="N38" s="103"/>
      <x:c r="O38" s="103"/>
      <x:c r="P38" s="103"/>
      <x:c r="Q38" s="103"/>
      <x:c r="R38" s="103"/>
      <x:c r="S38" s="103"/>
      <x:c r="T38" s="16" t="str">
        <x:v>Frozen current high_demand; provisional</x:v>
      </x:c>
      <x:c r="U38" s="16" t="str">
        <x:v>https://github.com/Africa-International-Advisors/liq… [N304]</x:v>
      </x:c>
      <x:c r="V38" s="16" t="str">
        <x:v>Engine dependency is in Python; Excel links expose… [N305]</x:v>
      </x:c>
    </x:row>
    <x:row r="39" ht="30" customHeight="1">
      <x:c r="A39" s="16" t="str">
        <x:v>Other demand: Diesel energy content</x:v>
      </x:c>
      <x:c r="B39" s="16" t="str">
        <x:v>MJ/L</x:v>
      </x:c>
      <x:c r="C39" s="16" t="str">
        <x:v>Current scalar</x:v>
      </x:c>
      <x:c r="D39" s="111" t="n">
        <x:v>36.9</x:v>
      </x:c>
      <x:c r="E39" s="18" t="str">
        <x:v>Current engine conversion input.</x:v>
      </x:c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16" t="str">
        <x:v>Frozen current high_demand; provisional</x:v>
      </x:c>
      <x:c r="U39" s="16" t="str">
        <x:v>https://github.com/Africa-International-Advisors/liq… [N306]</x:v>
      </x:c>
      <x:c r="V39" s="16" t="str">
        <x:v>Engine dependency is in Python; Excel links expose… [N307]</x:v>
      </x:c>
    </x:row>
    <x:row r="40" ht="30" customHeight="1">
      <x:c r="A40" s="16" t="str">
        <x:v>Other demand: Current OCGT diesel demand</x:v>
      </x:c>
      <x:c r="B40" s="16" t="str">
        <x:v>million L/year</x:v>
      </x:c>
      <x:c r="C40" s="16" t="str">
        <x:v>Model output</x:v>
      </x:c>
      <x:c r="D40" s="111"/>
      <x:c r="E40" s="18" t="str">
        <x:v>Calendar-year model output; do not directly tie to FY generation… [N308]</x:v>
      </x:c>
      <x:c r="F40" s="29" t="n">
        <x:v>2953.615609756098</x:v>
      </x:c>
      <x:c r="G40" s="29" t="n">
        <x:v>3677.579613658537</x:v>
      </x:c>
      <x:c r="H40" s="29" t="n">
        <x:v>3581.0948370731703</x:v>
      </x:c>
      <x:c r="I40" s="29" t="n">
        <x:v>4108.807492682927</x:v>
      </x:c>
      <x:c r="J40" s="29" t="n">
        <x:v>4594.513170731708</x:v>
      </x:c>
      <x:c r="K40" s="29" t="n">
        <x:v>4660.149073170731</x:v>
      </x:c>
      <x:c r="L40" s="29" t="n">
        <x:v>4594.513170731708</x:v>
      </x:c>
      <x:c r="M40" s="29" t="n">
        <x:v>4594.513170731708</x:v>
      </x:c>
      <x:c r="N40" s="29" t="n">
        <x:v>4594.513170731708</x:v>
      </x:c>
      <x:c r="O40" s="29" t="n">
        <x:v>4594.513170731708</x:v>
      </x:c>
      <x:c r="P40" s="29" t="n">
        <x:v>4594.513170731708</x:v>
      </x:c>
      <x:c r="Q40" s="29" t="n">
        <x:v>4594.513170731708</x:v>
      </x:c>
      <x:c r="R40" s="29" t="n">
        <x:v>4594.513170731708</x:v>
      </x:c>
      <x:c r="S40" s="29" t="n">
        <x:v>4594.513170731708</x:v>
      </x:c>
      <x:c r="T40" s="16" t="str">
        <x:v>Frozen current high_demand; provisional</x:v>
      </x:c>
      <x:c r="U40" s="16" t="str">
        <x:v>https://github.com/Africa-International-Advisors/liq… [N309]</x:v>
      </x:c>
      <x:c r="V40" s="16" t="str">
        <x:v>Engine dependency is in Python; Excel links expose… [N310]</x:v>
      </x:c>
    </x:row>
    <x:row r="41" ht="30" customHeight="1">
      <x:c r="A41" s="16" t="str">
        <x:v>Other demand: Current engine passenger departures</x:v>
      </x:c>
      <x:c r="B41" s="16" t="str">
        <x:v>passengers/year</x:v>
      </x:c>
      <x:c r="C41" s="16" t="str">
        <x:v>Current input</x:v>
      </x:c>
      <x:c r="D41" s="111"/>
      <x:c r="E41" s="18" t="str">
        <x:v>Legacy regression driver; separate from new ACSA observations.</x:v>
      </x:c>
      <x:c r="F41" s="29" t="n">
        <x:v>15813215</x:v>
      </x:c>
      <x:c r="G41" s="29" t="n">
        <x:v>17730490.28571429</x:v>
      </x:c>
      <x:c r="H41" s="29" t="n">
        <x:v>17000000</x:v>
      </x:c>
      <x:c r="I41" s="29" t="n">
        <x:v>19000000</x:v>
      </x:c>
      <x:c r="J41" s="29" t="n">
        <x:v>21000000.000000004</x:v>
      </x:c>
      <x:c r="K41" s="29" t="n">
        <x:v>22366222.610112537</x:v>
      </x:c>
      <x:c r="L41" s="29" t="n">
        <x:v>23832226.837557185</x:v>
      </x:c>
      <x:c r="M41" s="29" t="n">
        <x:v>25394320.978455253</x:v>
      </x:c>
      <x:c r="N41" s="29" t="n">
        <x:v>27058803.28986128</x:v>
      </x:c>
      <x:c r="O41" s="29" t="n">
        <x:v>28832384.85095128</x:v>
      </x:c>
      <x:c r="P41" s="29" t="n">
        <x:v>30722216.62163636</x:v>
      </x:c>
      <x:c r="Q41" s="29" t="n">
        <x:v>32735918.27474543</x:v>
      </x:c>
      <x:c r="R41" s="29" t="n">
        <x:v>34881608.91802647</x:v>
      </x:c>
      <x:c r="S41" s="29" t="n">
        <x:v>37167939.829835296</x:v>
      </x:c>
      <x:c r="T41" s="16" t="str">
        <x:v>Frozen current high_demand; provisional</x:v>
      </x:c>
      <x:c r="U41" s="16" t="str">
        <x:v>https://github.com/Africa-International-Advisors/liq… [N311]</x:v>
      </x:c>
      <x:c r="V41" s="16" t="str">
        <x:v>Engine dependency is in Python; Excel links expose… [N312]</x:v>
      </x:c>
    </x:row>
    <x:row r="42" ht="30" customHeight="1">
      <x:c r="A42" s="16" t="str">
        <x:v>Other demand: Current jet demand</x:v>
      </x:c>
      <x:c r="B42" s="16" t="str">
        <x:v>million L/year</x:v>
      </x:c>
      <x:c r="C42" s="16" t="str">
        <x:v>Model output</x:v>
      </x:c>
      <x:c r="D42" s="111"/>
      <x:c r="E42" s="18" t="str">
        <x:v>Legacy two-driver regression.</x:v>
      </x:c>
      <x:c r="F42" s="29" t="n">
        <x:v>1591.8858428493238</x:v>
      </x:c>
      <x:c r="G42" s="29" t="n">
        <x:v>1742.4582410972894</x:v>
      </x:c>
      <x:c r="H42" s="29" t="n">
        <x:v>1601.4445392936807</x:v>
      </x:c>
      <x:c r="I42" s="29" t="n">
        <x:v>1666.18717411699</x:v>
      </x:c>
      <x:c r="J42" s="29" t="n">
        <x:v>1910.5953913375338</x:v>
      </x:c>
      <x:c r="K42" s="29" t="n">
        <x:v>2110.7993713158958</x:v>
      </x:c>
      <x:c r="L42" s="29" t="n">
        <x:v>2325.3309977696317</x:v>
      </x:c>
      <x:c r="M42" s="29" t="n">
        <x:v>2553.4002922223585</x:v>
      </x:c>
      <x:c r="N42" s="29" t="n">
        <x:v>2794.854880612478</x:v>
      </x:c>
      <x:c r="O42" s="29" t="n">
        <x:v>3045.7871405131723</x:v>
      </x:c>
      <x:c r="P42" s="29" t="n">
        <x:v>3306.773129599316</x:v>
      </x:c>
      <x:c r="Q42" s="29" t="n">
        <x:v>3578.426342257959</x:v>
      </x:c>
      <x:c r="R42" s="29" t="n">
        <x:v>3861.400161109434</x:v>
      </x:c>
      <x:c r="S42" s="29" t="n">
        <x:v>4156.390469198261</x:v>
      </x:c>
      <x:c r="T42" s="16" t="str">
        <x:v>Frozen current high_demand; provisional</x:v>
      </x:c>
      <x:c r="U42" s="16" t="str">
        <x:v>https://github.com/Africa-International-Advisors/liq… [N313]</x:v>
      </x:c>
      <x:c r="V42" s="16" t="str">
        <x:v>Engine dependency is in Python; Excel links expose… [N314]</x:v>
      </x:c>
    </x:row>
    <x:row r="43" ht="30" customHeight="1">
      <x:c r="A43" s="16" t="str">
        <x:v>Other demand: Legacy jet regression intercept</x:v>
      </x:c>
      <x:c r="B43" s="16" t="str">
        <x:v>L/year</x:v>
      </x:c>
      <x:c r="C43" s="16" t="str">
        <x:v>Current scalar</x:v>
      </x:c>
      <x:c r="D43" s="111" t="n">
        <x:v>-14746408795.767437</x:v>
      </x:c>
      <x:c r="E43" s="18" t="str">
        <x:v>Jet = intercept + GDP/capita coefficient × GDP/capita + passenger… [N315]</x:v>
      </x:c>
      <x:c r="F43" s="29"/>
      <x:c r="G43" s="29"/>
      <x:c r="H43" s="29"/>
      <x:c r="I43" s="29"/>
      <x:c r="J43" s="29"/>
      <x:c r="K43" s="29"/>
      <x:c r="L43" s="29"/>
      <x:c r="M43" s="29"/>
      <x:c r="N43" s="29"/>
      <x:c r="O43" s="29"/>
      <x:c r="P43" s="29"/>
      <x:c r="Q43" s="29"/>
      <x:c r="R43" s="29"/>
      <x:c r="S43" s="29"/>
      <x:c r="T43" s="16" t="str">
        <x:v>Frozen current high_demand; provisional</x:v>
      </x:c>
      <x:c r="U43" s="16" t="str">
        <x:v>https://github.com/Africa-International-Advisors/liq… [N316]</x:v>
      </x:c>
      <x:c r="V43" s="16" t="str">
        <x:v>Engine dependency is in Python; Excel links expose… [N317]</x:v>
      </x:c>
    </x:row>
    <x:row r="44" ht="30" customHeight="1">
      <x:c r="A44" s="16" t="str">
        <x:v>Other demand: GDP/capita coefficient</x:v>
      </x:c>
      <x:c r="B44" s="16" t="str">
        <x:v>L per ZAR/person</x:v>
      </x:c>
      <x:c r="C44" s="16" t="str">
        <x:v>Current scalar</x:v>
      </x:c>
      <x:c r="D44" s="111" t="n">
        <x:v>196334.9338396717</x:v>
      </x:c>
      <x:c r="E44" s="18" t="str">
        <x:v>Used with current macro path.</x:v>
      </x:c>
      <x:c r="F44" s="29"/>
      <x:c r="G44" s="29"/>
      <x:c r="H44" s="29"/>
      <x:c r="I44" s="29"/>
      <x:c r="J44" s="29"/>
      <x:c r="K44" s="29"/>
      <x:c r="L44" s="29"/>
      <x:c r="M44" s="29"/>
      <x:c r="N44" s="29"/>
      <x:c r="O44" s="29"/>
      <x:c r="P44" s="29"/>
      <x:c r="Q44" s="29"/>
      <x:c r="R44" s="29"/>
      <x:c r="S44" s="29"/>
      <x:c r="T44" s="16" t="str">
        <x:v>Frozen current high_demand; provisional</x:v>
      </x:c>
      <x:c r="U44" s="16" t="str">
        <x:v>https://github.com/Africa-International-Advisors/liq… [N318]</x:v>
      </x:c>
      <x:c r="V44" s="16" t="str">
        <x:v>Engine dependency is in Python; Excel links expose… [N319]</x:v>
      </x:c>
    </x:row>
    <x:row r="45" ht="30" customHeight="1">
      <x:c r="A45" s="16" t="str">
        <x:v>Other demand: Passenger coefficient</x:v>
      </x:c>
      <x:c r="B45" s="16" t="str">
        <x:v>L per departure</x:v>
      </x:c>
      <x:c r="C45" s="16" t="str">
        <x:v>Current scalar</x:v>
      </x:c>
      <x:c r="D45" s="111" t="n">
        <x:v>79.78786549099274</x:v>
      </x:c>
      <x:c r="E45" s="18" t="str">
        <x:v>Passenger departure basis.</x:v>
      </x:c>
      <x:c r="F45" s="29"/>
      <x:c r="G45" s="29"/>
      <x:c r="H45" s="29"/>
      <x:c r="I45" s="29"/>
      <x:c r="J45" s="29"/>
      <x:c r="K45" s="29"/>
      <x:c r="L45" s="29"/>
      <x:c r="M45" s="29"/>
      <x:c r="N45" s="29"/>
      <x:c r="O45" s="29"/>
      <x:c r="P45" s="29"/>
      <x:c r="Q45" s="29"/>
      <x:c r="R45" s="29"/>
      <x:c r="S45" s="29"/>
      <x:c r="T45" s="16" t="str">
        <x:v>Frozen current high_demand; provisional</x:v>
      </x:c>
      <x:c r="U45" s="16" t="str">
        <x:v>https://github.com/Africa-International-Advisors/liq… [N320]</x:v>
      </x:c>
      <x:c r="V45" s="16" t="str">
        <x:v>Engine dependency is in Python; Excel links expose… [N321]</x:v>
      </x:c>
    </x:row>
    <x:row r="46" ht="30" customHeight="1">
      <x:c r="A46" s="16" t="str">
        <x:v>Other demand: durban provisional port baseline</x:v>
      </x:c>
      <x:c r="B46" s="16" t="str">
        <x:v>million L/year</x:v>
      </x:c>
      <x:c r="C46" s="16" t="str">
        <x:v>Current scalar</x:v>
      </x:c>
      <x:c r="D46" s="111" t="n">
        <x:v>1500</x:v>
      </x:c>
      <x:c r="E46" s="18" t="str">
        <x:v>Current 2024 placeholder; not measured port bunkering.</x:v>
      </x:c>
      <x:c r="F46" s="29"/>
      <x:c r="G46" s="29"/>
      <x:c r="H46" s="29"/>
      <x:c r="I46" s="29"/>
      <x:c r="J46" s="29"/>
      <x:c r="K46" s="29"/>
      <x:c r="L46" s="29"/>
      <x:c r="M46" s="29"/>
      <x:c r="N46" s="29"/>
      <x:c r="O46" s="29"/>
      <x:c r="P46" s="29"/>
      <x:c r="Q46" s="29"/>
      <x:c r="R46" s="29"/>
      <x:c r="S46" s="29"/>
      <x:c r="T46" s="16" t="str">
        <x:v>Frozen current high_demand; provisional</x:v>
      </x:c>
      <x:c r="U46" s="16" t="str">
        <x:v>https://github.com/Africa-International-Advisors/liq… [N322]</x:v>
      </x:c>
      <x:c r="V46" s="16" t="str">
        <x:v>Engine dependency is in Python; Excel links expose… [N323]</x:v>
      </x:c>
    </x:row>
    <x:row r="47" ht="30" customHeight="1">
      <x:c r="A47" s="16" t="str">
        <x:v>Other demand: cape_town provisional port baseline</x:v>
      </x:c>
      <x:c r="B47" s="16" t="str">
        <x:v>million L/year</x:v>
      </x:c>
      <x:c r="C47" s="16" t="str">
        <x:v>Current scalar</x:v>
      </x:c>
      <x:c r="D47" s="111" t="n">
        <x:v>500</x:v>
      </x:c>
      <x:c r="E47" s="18" t="str">
        <x:v>Current 2024 placeholder; not measured port bunkering.</x:v>
      </x:c>
      <x:c r="F47" s="29"/>
      <x:c r="G47" s="29"/>
      <x:c r="H47" s="29"/>
      <x:c r="I47" s="29"/>
      <x:c r="J47" s="29"/>
      <x:c r="K47" s="29"/>
      <x:c r="L47" s="29"/>
      <x:c r="M47" s="29"/>
      <x:c r="N47" s="29"/>
      <x:c r="O47" s="29"/>
      <x:c r="P47" s="29"/>
      <x:c r="Q47" s="29"/>
      <x:c r="R47" s="29"/>
      <x:c r="S47" s="29"/>
      <x:c r="T47" s="16" t="str">
        <x:v>Frozen current high_demand; provisional</x:v>
      </x:c>
      <x:c r="U47" s="16" t="str">
        <x:v>https://github.com/Africa-International-Advisors/liq… [N324]</x:v>
      </x:c>
      <x:c r="V47" s="16" t="str">
        <x:v>Engine dependency is in Python; Excel links expose… [N325]</x:v>
      </x:c>
    </x:row>
    <x:row r="48" ht="30" customHeight="1">
      <x:c r="A48" s="16" t="str">
        <x:v>Other demand: saldanha provisional port baseline</x:v>
      </x:c>
      <x:c r="B48" s="16" t="str">
        <x:v>million L/year</x:v>
      </x:c>
      <x:c r="C48" s="16" t="str">
        <x:v>Current scalar</x:v>
      </x:c>
      <x:c r="D48" s="111" t="n">
        <x:v>200</x:v>
      </x:c>
      <x:c r="E48" s="18" t="str">
        <x:v>Current 2024 placeholder; not measured port bunkering.</x:v>
      </x:c>
      <x:c r="F48" s="29"/>
      <x:c r="G48" s="29"/>
      <x:c r="H48" s="29"/>
      <x:c r="I48" s="29"/>
      <x:c r="J48" s="29"/>
      <x:c r="K48" s="29"/>
      <x:c r="L48" s="29"/>
      <x:c r="M48" s="29"/>
      <x:c r="N48" s="29"/>
      <x:c r="O48" s="29"/>
      <x:c r="P48" s="29"/>
      <x:c r="Q48" s="29"/>
      <x:c r="R48" s="29"/>
      <x:c r="S48" s="29"/>
      <x:c r="T48" s="16" t="str">
        <x:v>Frozen current high_demand; provisional</x:v>
      </x:c>
      <x:c r="U48" s="16" t="str">
        <x:v>https://github.com/Africa-International-Advisors/liq… [N326]</x:v>
      </x:c>
      <x:c r="V48" s="16" t="str">
        <x:v>Engine dependency is in Python; Excel links expose… [N327]</x:v>
      </x:c>
    </x:row>
    <x:row r="49" ht="30" customHeight="1">
      <x:c r="A49" s="16" t="str">
        <x:v>Other demand: Marine GDP/capita elasticity</x:v>
      </x:c>
      <x:c r="B49" s="16" t="str">
        <x:v>dimensionless</x:v>
      </x:c>
      <x:c r="C49" s="16" t="str">
        <x:v>Current scalar</x:v>
      </x:c>
      <x:c r="D49" s="111" t="n">
        <x:v>0.4</x:v>
      </x:c>
      <x:c r="E49" s="18" t="str">
        <x:v>Current proxy response.</x:v>
      </x:c>
      <x:c r="F49" s="29"/>
      <x:c r="G49" s="29"/>
      <x:c r="H49" s="29"/>
      <x:c r="I49" s="29"/>
      <x:c r="J49" s="29"/>
      <x:c r="K49" s="29"/>
      <x:c r="L49" s="29"/>
      <x:c r="M49" s="29"/>
      <x:c r="N49" s="29"/>
      <x:c r="O49" s="29"/>
      <x:c r="P49" s="29"/>
      <x:c r="Q49" s="29"/>
      <x:c r="R49" s="29"/>
      <x:c r="S49" s="29"/>
      <x:c r="T49" s="16" t="str">
        <x:v>Frozen current high_demand; provisional</x:v>
      </x:c>
      <x:c r="U49" s="16" t="str">
        <x:v>https://github.com/Africa-International-Advisors/liq… [N328]</x:v>
      </x:c>
      <x:c r="V49" s="16" t="str">
        <x:v>Engine dependency is in Python; Excel links expose… [N329]</x:v>
      </x:c>
    </x:row>
    <x:row r="50" ht="30" customHeight="1">
      <x:c r="A50" s="16" t="str">
        <x:v>Other demand: Marine fuel-oil share</x:v>
      </x:c>
      <x:c r="B50" s="16" t="str">
        <x:v>share</x:v>
      </x:c>
      <x:c r="C50" s="16" t="str">
        <x:v>Current scalar</x:v>
      </x:c>
      <x:c r="D50" s="100" t="n">
        <x:v>0.65</x:v>
      </x:c>
      <x:c r="E50" s="100" t="str">
        <x:v>One provisional split across ports.</x:v>
      </x:c>
      <x:c r="F50" s="103"/>
      <x:c r="G50" s="103"/>
      <x:c r="H50" s="103"/>
      <x:c r="I50" s="103"/>
      <x:c r="J50" s="103"/>
      <x:c r="K50" s="103"/>
      <x:c r="L50" s="103"/>
      <x:c r="M50" s="103"/>
      <x:c r="N50" s="103"/>
      <x:c r="O50" s="103"/>
      <x:c r="P50" s="103"/>
      <x:c r="Q50" s="103"/>
      <x:c r="R50" s="103"/>
      <x:c r="S50" s="103"/>
      <x:c r="T50" s="16" t="str">
        <x:v>Frozen current high_demand; provisional</x:v>
      </x:c>
      <x:c r="U50" s="16" t="str">
        <x:v>https://github.com/Africa-International-Advisors/liq… [N330]</x:v>
      </x:c>
      <x:c r="V50" s="16" t="str">
        <x:v>Engine dependency is in Python; Excel links expose… [N331]</x:v>
      </x:c>
    </x:row>
    <x:row r="51" ht="30" customHeight="1">
      <x:c r="A51" s="16" t="str">
        <x:v>Other demand: Marine diesel share</x:v>
      </x:c>
      <x:c r="B51" s="16" t="str">
        <x:v>share</x:v>
      </x:c>
      <x:c r="C51" s="16" t="str">
        <x:v>Current scalar</x:v>
      </x:c>
      <x:c r="D51" s="100" t="n">
        <x:v>0.35</x:v>
      </x:c>
      <x:c r="E51" s="100" t="str">
        <x:v>Diesel_500ppm; part of total diesel comparison.</x:v>
      </x:c>
      <x:c r="F51" s="103"/>
      <x:c r="G51" s="103"/>
      <x:c r="H51" s="103"/>
      <x:c r="I51" s="103"/>
      <x:c r="J51" s="103"/>
      <x:c r="K51" s="103"/>
      <x:c r="L51" s="103"/>
      <x:c r="M51" s="103"/>
      <x:c r="N51" s="103"/>
      <x:c r="O51" s="103"/>
      <x:c r="P51" s="103"/>
      <x:c r="Q51" s="103"/>
      <x:c r="R51" s="103"/>
      <x:c r="S51" s="103"/>
      <x:c r="T51" s="16" t="str">
        <x:v>Frozen current high_demand; provisional</x:v>
      </x:c>
      <x:c r="U51" s="16" t="str">
        <x:v>https://github.com/Africa-International-Advisors/liq… [N332]</x:v>
      </x:c>
      <x:c r="V51" s="16" t="str">
        <x:v>Engine dependency is in Python; Excel links expose… [N333]</x:v>
      </x:c>
    </x:row>
    <x:row r="52" ht="30" customHeight="1">
      <x:c r="A52" s="16" t="str">
        <x:v>Other demand: Marine diesel demand</x:v>
      </x:c>
      <x:c r="B52" s="16" t="str">
        <x:v>million L/year</x:v>
      </x:c>
      <x:c r="C52" s="16" t="str">
        <x:v>Model output</x:v>
      </x:c>
      <x:c r="D52" s="111"/>
      <x:c r="E52" s="18" t="str">
        <x:v>No 2022–23 output from current marine engine.</x:v>
      </x:c>
      <x:c r="F52" s="29"/>
      <x:c r="G52" s="29"/>
      <x:c r="H52" s="29" t="n">
        <x:v>770</x:v>
      </x:c>
      <x:c r="I52" s="29" t="n">
        <x:v>768.0479411262189</x:v>
      </x:c>
      <x:c r="J52" s="29" t="n">
        <x:v>769.7944960278282</x:v>
      </x:c>
      <x:c r="K52" s="29" t="n">
        <x:v>771.6654589894948</x:v>
      </x:c>
      <x:c r="L52" s="29" t="n">
        <x:v>773.6595270700128</x:v>
      </x:c>
      <x:c r="M52" s="29" t="n">
        <x:v>775.7652040543675</x:v>
      </x:c>
      <x:c r="N52" s="29" t="n">
        <x:v>777.9678732371657</x:v>
      </x:c>
      <x:c r="O52" s="29" t="n">
        <x:v>780.1767965694195</x:v>
      </x:c>
      <x:c r="P52" s="29" t="n">
        <x:v>782.3919918088507</x:v>
      </x:c>
      <x:c r="Q52" s="29" t="n">
        <x:v>784.6134767636006</x:v>
      </x:c>
      <x:c r="R52" s="29" t="n">
        <x:v>786.8412692923746</x:v>
      </x:c>
      <x:c r="S52" s="29" t="n">
        <x:v>789.0753873045852</x:v>
      </x:c>
      <x:c r="T52" s="16" t="str">
        <x:v>Frozen current high_demand; provisional</x:v>
      </x:c>
      <x:c r="U52" s="16" t="str">
        <x:v>https://github.com/Africa-International-Advisors/liq… [N334]</x:v>
      </x:c>
      <x:c r="V52" s="16" t="str">
        <x:v>Engine dependency is in Python; Excel links expose… [N335]</x:v>
      </x:c>
    </x:row>
    <x:row r="53" ht="30" customHeight="1">
      <x:c r="A53" s="16" t="str">
        <x:v>Other demand: Marine fuel-oil demand</x:v>
      </x:c>
      <x:c r="B53" s="16" t="str">
        <x:v>million L/year</x:v>
      </x:c>
      <x:c r="C53" s="16" t="str">
        <x:v>Model output</x:v>
      </x:c>
      <x:c r="D53" s="111"/>
      <x:c r="E53" s="18" t="str">
        <x:v>Marine only; does not represent all national fuel-oil consumption.</x:v>
      </x:c>
      <x:c r="F53" s="29"/>
      <x:c r="G53" s="29"/>
      <x:c r="H53" s="29" t="n">
        <x:v>1430</x:v>
      </x:c>
      <x:c r="I53" s="29" t="n">
        <x:v>1426.3747478058353</x:v>
      </x:c>
      <x:c r="J53" s="29" t="n">
        <x:v>1429.618349765967</x:v>
      </x:c>
      <x:c r="K53" s="29" t="n">
        <x:v>1433.0929952662048</x:v>
      </x:c>
      <x:c r="L53" s="29" t="n">
        <x:v>1436.7962645585953</x:v>
      </x:c>
      <x:c r="M53" s="29" t="n">
        <x:v>1440.7068075295397</x:v>
      </x:c>
      <x:c r="N53" s="29" t="n">
        <x:v>1444.7974788690221</x:v>
      </x:c>
      <x:c r="O53" s="29" t="n">
        <x:v>1448.8997650574934</x:v>
      </x:c>
      <x:c r="P53" s="29" t="n">
        <x:v>1453.01369907358</x:v>
      </x:c>
      <x:c r="Q53" s="29" t="n">
        <x:v>1457.1393139895442</x:v>
      </x:c>
      <x:c r="R53" s="29" t="n">
        <x:v>1461.2766429715527</x:v>
      </x:c>
      <x:c r="S53" s="29" t="n">
        <x:v>1465.4257192799441</x:v>
      </x:c>
      <x:c r="T53" s="16" t="str">
        <x:v>Frozen current high_demand; provisional</x:v>
      </x:c>
      <x:c r="U53" s="16" t="str">
        <x:v>https://github.com/Africa-International-Advisors/liq… [N336]</x:v>
      </x:c>
      <x:c r="V53" s="16" t="str">
        <x:v>Engine dependency is in Python; Excel links expose… [N337]</x:v>
      </x:c>
    </x:row>
    <x:row r="54" ht="30" customHeight="1">
      <x:c r="A54" s="16" t="str">
        <x:v>LCV petrol stock</x:v>
      </x:c>
      <x:c r="B54" s="16" t="str">
        <x:v>vehicles</x:v>
      </x:c>
      <x:c r="C54" s="16" t="str">
        <x:v>Python result</x:v>
      </x:c>
      <x:c r="D54" s="111"/>
      <x:c r="E54" s="18" t="str">
        <x:v>lcv / petrol_95 / stock</x:v>
      </x:c>
      <x:c r="F54" s="29" t="n">
        <x:v>314192.8954495676</x:v>
      </x:c>
      <x:c r="G54" s="29" t="n">
        <x:v>322939.1449073407</x:v>
      </x:c>
      <x:c r="H54" s="29" t="n">
        <x:v>330432.66872277175</x:v>
      </x:c>
      <x:c r="I54" s="29" t="n">
        <x:v>336615.3455909181</x:v>
      </x:c>
      <x:c r="J54" s="29" t="n">
        <x:v>343295.78619356663</x:v>
      </x:c>
      <x:c r="K54" s="29" t="n">
        <x:v>350502.1747177935</x:v>
      </x:c>
      <x:c r="L54" s="29" t="n">
        <x:v>358257.39995631337</x:v>
      </x:c>
      <x:c r="M54" s="29" t="n">
        <x:v>366572.88486067957</x:v>
      </x:c>
      <x:c r="N54" s="29" t="n">
        <x:v>375445.49282227794</x:v>
      </x:c>
      <x:c r="O54" s="29" t="n">
        <x:v>384819.1161193799</x:v>
      </x:c>
      <x:c r="P54" s="29" t="n">
        <x:v>394627.2939942893</x:v>
      </x:c>
      <x:c r="Q54" s="29" t="n">
        <x:v>404790.206462875</x:v>
      </x:c>
      <x:c r="R54" s="29" t="n">
        <x:v>415212.0111547706</x:v>
      </x:c>
      <x:c r="S54" s="29" t="n">
        <x:v>425779.55885102786</x:v>
      </x:c>
      <x:c r="T54" s="16" t="str">
        <x:v>Frozen high_demand</x:v>
      </x:c>
      <x:c r="U54" s="16" t="str">
        <x:v>src/lfm/model/demand/vehicles.py</x:v>
      </x:c>
      <x:c r="V54" s="16" t="str">
        <x:v>Uses vehicle inputs shown on sector tabs; refresh via Python.</x:v>
      </x:c>
    </x:row>
    <x:row r="55" ht="30" customHeight="1">
      <x:c r="A55" s="16" t="str">
        <x:v>LCV petrol vehicle kilometres</x:v>
      </x:c>
      <x:c r="B55" s="16" t="str">
        <x:v>vehicle km/year</x:v>
      </x:c>
      <x:c r="C55" s="16" t="str">
        <x:v>Python result</x:v>
      </x:c>
      <x:c r="D55" s="111"/>
      <x:c r="E55" s="18" t="str">
        <x:v>lcv / petrol_95 / vehicle_km</x:v>
      </x:c>
      <x:c r="F55" s="29" t="n">
        <x:v>8797401072.587893</x:v>
      </x:c>
      <x:c r="G55" s="29" t="n">
        <x:v>9042296057.40554</x:v>
      </x:c>
      <x:c r="H55" s="29" t="n">
        <x:v>9252114724.23761</x:v>
      </x:c>
      <x:c r="I55" s="29" t="n">
        <x:v>9425229676.545706</x:v>
      </x:c>
      <x:c r="J55" s="29" t="n">
        <x:v>9612282013.419867</x:v>
      </x:c>
      <x:c r="K55" s="29" t="n">
        <x:v>9814060892.098217</x:v>
      </x:c>
      <x:c r="L55" s="29" t="n">
        <x:v>10031207198.776773</x:v>
      </x:c>
      <x:c r="M55" s="29" t="n">
        <x:v>10264040776.099028</x:v>
      </x:c>
      <x:c r="N55" s="29" t="n">
        <x:v>10512473799.023783</x:v>
      </x:c>
      <x:c r="O55" s="29" t="n">
        <x:v>10774935251.342636</x:v>
      </x:c>
      <x:c r="P55" s="29" t="n">
        <x:v>11049564231.840101</x:v>
      </x:c>
      <x:c r="Q55" s="29" t="n">
        <x:v>11334125780.9605</x:v>
      </x:c>
      <x:c r="R55" s="29" t="n">
        <x:v>11625936312.333578</x:v>
      </x:c>
      <x:c r="S55" s="29" t="n">
        <x:v>11921827647.82878</x:v>
      </x:c>
      <x:c r="T55" s="16" t="str">
        <x:v>Frozen high_demand</x:v>
      </x:c>
      <x:c r="U55" s="16" t="str">
        <x:v>src/lfm/model/demand/vehicles.py</x:v>
      </x:c>
      <x:c r="V55" s="16" t="str">
        <x:v>Uses vehicle inputs shown on sector tabs; refresh via Python.</x:v>
      </x:c>
    </x:row>
    <x:row r="56" ht="30" customHeight="1">
      <x:c r="A56" s="16" t="str">
        <x:v>LCV petrol demand</x:v>
      </x:c>
      <x:c r="B56" s="16" t="str">
        <x:v>L/year</x:v>
      </x:c>
      <x:c r="C56" s="16" t="str">
        <x:v>Python result</x:v>
      </x:c>
      <x:c r="D56" s="111"/>
      <x:c r="E56" s="18" t="str">
        <x:v>lcv / petrol_95 / litres</x:v>
      </x:c>
      <x:c r="F56" s="29" t="n">
        <x:v>919866693.5897633</x:v>
      </x:c>
      <x:c r="G56" s="29" t="n">
        <x:v>942940528.1008457</x:v>
      </x:c>
      <x:c r="H56" s="29" t="n">
        <x:v>961890176.7509885</x:v>
      </x:c>
      <x:c r="I56" s="29" t="n">
        <x:v>976640100.8379743</x:v>
      </x:c>
      <x:c r="J56" s="29" t="n">
        <x:v>992235203.3301032</x:v>
      </x:c>
      <x:c r="K56" s="29" t="n">
        <x:v>1008739265.7905924</x:v>
      </x:c>
      <x:c r="L56" s="29" t="n">
        <x:v>1026198724.557906</x:v>
      </x:c>
      <x:c r="M56" s="29" t="n">
        <x:v>1044626923.1796882</x:v>
      </x:c>
      <x:c r="N56" s="29" t="n">
        <x:v>1063997282.7085907</x:v>
      </x:c>
      <x:c r="O56" s="29" t="n">
        <x:v>1084144827.0850654</x:v>
      </x:c>
      <x:c r="P56" s="29" t="n">
        <x:v>1104881788.715154</x:v>
      </x:c>
      <x:c r="Q56" s="29" t="n">
        <x:v>1125991051.9396014</x:v>
      </x:c>
      <x:c r="R56" s="29" t="n">
        <x:v>1147220828.5629623</x:v>
      </x:c>
      <x:c r="S56" s="29" t="n">
        <x:v>1168283097.2723525</x:v>
      </x:c>
      <x:c r="T56" s="16" t="str">
        <x:v>Frozen high_demand</x:v>
      </x:c>
      <x:c r="U56" s="16" t="str">
        <x:v>src/lfm/model/demand/vehicles.py</x:v>
      </x:c>
      <x:c r="V56" s="16" t="str">
        <x:v>Uses vehicle inputs shown on sector tabs; refresh via Python.</x:v>
      </x:c>
    </x:row>
    <x:row r="57" ht="30" customHeight="1">
      <x:c r="A57" s="16" t="str">
        <x:v>Passenger diesel demand</x:v>
      </x:c>
      <x:c r="B57" s="16" t="str">
        <x:v>L/year</x:v>
      </x:c>
      <x:c r="C57" s="16" t="str">
        <x:v>Python result</x:v>
      </x:c>
      <x:c r="D57" s="111"/>
      <x:c r="E57" s="18" t="str">
        <x:v>passenger / diesel_50ppm / litres</x:v>
      </x:c>
      <x:c r="F57" s="29" t="n">
        <x:v>1070017165.7744831</x:v>
      </x:c>
      <x:c r="G57" s="29" t="n">
        <x:v>1103053881.2208219</x:v>
      </x:c>
      <x:c r="H57" s="29" t="n">
        <x:v>1131873998.594546</x:v>
      </x:c>
      <x:c r="I57" s="29" t="n">
        <x:v>1156302504.824944</x:v>
      </x:c>
      <x:c r="J57" s="29" t="n">
        <x:v>1181870186.781693</x:v>
      </x:c>
      <x:c r="K57" s="29" t="n">
        <x:v>1208669881.483022</x:v>
      </x:c>
      <x:c r="L57" s="29" t="n">
        <x:v>1236776716.2386463</x:v>
      </x:c>
      <x:c r="M57" s="29" t="n">
        <x:v>1266229710.8116758</x:v>
      </x:c>
      <x:c r="N57" s="29" t="n">
        <x:v>1297022884.6605835</x:v>
      </x:c>
      <x:c r="O57" s="29" t="n">
        <x:v>1328991310.3771868</x:v>
      </x:c>
      <x:c r="P57" s="29" t="n">
        <x:v>1361939124.5095053</x:v>
      </x:c>
      <x:c r="Q57" s="29" t="n">
        <x:v>1395631137.9065378</x:v>
      </x:c>
      <x:c r="R57" s="29" t="n">
        <x:v>1429785597.406811</x:v>
      </x:c>
      <x:c r="S57" s="29" t="n">
        <x:v>1464071106.2363532</x:v>
      </x:c>
      <x:c r="T57" s="16" t="str">
        <x:v>Frozen high_demand</x:v>
      </x:c>
      <x:c r="U57" s="16" t="str">
        <x:v>src/lfm/model/demand/vehicles.py</x:v>
      </x:c>
      <x:c r="V57" s="16" t="str">
        <x:v>Uses vehicle inputs shown on sector tabs; refresh via Python.</x:v>
      </x:c>
    </x:row>
    <x:row r="58" ht="30" customHeight="1">
      <x:c r="A58" s="16" t="str">
        <x:v>LCV diesel demand</x:v>
      </x:c>
      <x:c r="B58" s="16" t="str">
        <x:v>L/year</x:v>
      </x:c>
      <x:c r="C58" s="16" t="str">
        <x:v>Python result</x:v>
      </x:c>
      <x:c r="D58" s="111"/>
      <x:c r="E58" s="18" t="str">
        <x:v>lcv / diesel_50ppm / litres</x:v>
      </x:c>
      <x:c r="F58" s="29" t="n">
        <x:v>1843579855.9917438</x:v>
      </x:c>
      <x:c r="G58" s="29" t="n">
        <x:v>1892347006.3928142</x:v>
      </x:c>
      <x:c r="H58" s="29" t="n">
        <x:v>1933295112.1783125</x:v>
      </x:c>
      <x:c r="I58" s="29" t="n">
        <x:v>1966176391.3208497</x:v>
      </x:c>
      <x:c r="J58" s="29" t="n">
        <x:v>2001346844.8079367</x:v>
      </x:c>
      <x:c r="K58" s="29" t="n">
        <x:v>2038949242.099122</x:v>
      </x:c>
      <x:c r="L58" s="29" t="n">
        <x:v>2079093201.7613623</x:v>
      </x:c>
      <x:c r="M58" s="29" t="n">
        <x:v>2121821339.5044446</x:v>
      </x:c>
      <x:c r="N58" s="29" t="n">
        <x:v>2167093406.5802474</x:v>
      </x:c>
      <x:c r="O58" s="29" t="n">
        <x:v>2214575314.4391193</x:v>
      </x:c>
      <x:c r="P58" s="29" t="n">
        <x:v>2263879922.4641056</x:v>
      </x:c>
      <x:c r="Q58" s="29" t="n">
        <x:v>2314551798.318617</x:v>
      </x:c>
      <x:c r="R58" s="29" t="n">
        <x:v>2366054256.3872366</x:v>
      </x:c>
      <x:c r="S58" s="29" t="n">
        <x:v>2417764235.278815</x:v>
      </x:c>
      <x:c r="T58" s="16" t="str">
        <x:v>Frozen high_demand</x:v>
      </x:c>
      <x:c r="U58" s="16" t="str">
        <x:v>src/lfm/model/demand/vehicles.py</x:v>
      </x:c>
      <x:c r="V58" s="16" t="str">
        <x:v>Uses vehicle inputs shown on sector tabs; refresh via Python.</x:v>
      </x:c>
    </x:row>
    <x:row r="59" ht="8" customHeight="1">
      <x:c r="A59" s="3"/>
      <x:c r="B59" s="3"/>
      <x:c r="C59" s="3"/>
      <x:c r="D59" s="84"/>
      <x:c r="E59" s="13"/>
      <x:c r="F59" s="26"/>
      <x:c r="G59" s="26"/>
      <x:c r="H59" s="26"/>
      <x:c r="I59" s="26"/>
      <x:c r="J59" s="26"/>
      <x:c r="K59" s="26"/>
      <x:c r="L59" s="26"/>
      <x:c r="M59" s="26"/>
      <x:c r="N59" s="26"/>
      <x:c r="O59" s="26"/>
      <x:c r="P59" s="26"/>
      <x:c r="Q59" s="26"/>
      <x:c r="R59" s="26"/>
      <x:c r="S59" s="26"/>
      <x:c r="T59" s="3"/>
      <x:c r="U59" s="3"/>
      <x:c r="V59" s="3"/>
    </x:row>
    <x:row r="60" ht="8" customHeight="1">
      <x:c r="A60" s="3"/>
      <x:c r="B60" s="3"/>
      <x:c r="C60" s="3"/>
      <x:c r="D60" s="84"/>
      <x:c r="E60" s="13"/>
      <x:c r="F60" s="26"/>
      <x:c r="G60" s="26"/>
      <x:c r="H60" s="26"/>
      <x:c r="I60" s="26"/>
      <x:c r="J60" s="26"/>
      <x:c r="K60" s="26"/>
      <x:c r="L60" s="26"/>
      <x:c r="M60" s="26"/>
      <x:c r="N60" s="26"/>
      <x:c r="O60" s="26"/>
      <x:c r="P60" s="26"/>
      <x:c r="Q60" s="26"/>
      <x:c r="R60" s="26"/>
      <x:c r="S60" s="26"/>
      <x:c r="T60" s="3"/>
      <x:c r="U60" s="3"/>
      <x:c r="V60" s="3"/>
    </x:row>
    <x:row r="61" ht="30" customHeight="1">
      <x:c r="A61" s="3" t="str">
        <x:v>Run provenance</x:v>
      </x:c>
      <x:c r="B61" s="3" t="str">
        <x:v>record</x:v>
      </x:c>
      <x:c r="C61" s="3" t="str">
        <x:v>Frozen export</x:v>
      </x:c>
      <x:c r="D61" s="84"/>
      <x:c r="E61" s="13" t="str">
        <x:v>2026-10-07T10:48:46.852505+00:00;… [N338]</x:v>
      </x:c>
      <x:c r="F61" s="26"/>
      <x:c r="G61" s="26"/>
      <x:c r="H61" s="26"/>
      <x:c r="I61" s="26"/>
      <x:c r="J61" s="26"/>
      <x:c r="K61" s="26"/>
      <x:c r="L61" s="26"/>
      <x:c r="M61" s="26"/>
      <x:c r="N61" s="26"/>
      <x:c r="O61" s="26"/>
      <x:c r="P61" s="26"/>
      <x:c r="Q61" s="26"/>
      <x:c r="R61" s="26"/>
      <x:c r="S61" s="26"/>
      <x:c r="T61" s="3"/>
      <x:c r="U61" s="3"/>
      <x:c r="V61" s="3"/>
    </x:row>
    <x:row r="62" ht="8" customHeight="1">
      <x:c r="A62" s="3"/>
      <x:c r="B62" s="3"/>
      <x:c r="C62" s="3"/>
      <x:c r="D62" s="84"/>
      <x:c r="E62" s="13"/>
      <x:c r="F62" s="26"/>
      <x:c r="G62" s="26"/>
      <x:c r="H62" s="26"/>
      <x:c r="I62" s="26"/>
      <x:c r="J62" s="26"/>
      <x:c r="K62" s="26"/>
      <x:c r="L62" s="26"/>
      <x:c r="M62" s="26"/>
      <x:c r="N62" s="26"/>
      <x:c r="O62" s="26"/>
      <x:c r="P62" s="26"/>
      <x:c r="Q62" s="26"/>
      <x:c r="R62" s="26"/>
      <x:c r="S62" s="26"/>
      <x:c r="T62" s="3"/>
      <x:c r="U62" s="3"/>
      <x:c r="V62" s="3"/>
    </x:row>
    <x:row r="63" ht="8" customHeight="1">
      <x:c r="A63" s="3"/>
      <x:c r="B63" s="3"/>
      <x:c r="C63" s="3"/>
      <x:c r="D63" s="84"/>
      <x:c r="E63" s="13"/>
      <x:c r="F63" s="26"/>
      <x:c r="G63" s="26"/>
      <x:c r="H63" s="26"/>
      <x:c r="I63" s="26"/>
      <x:c r="J63" s="26"/>
      <x:c r="K63" s="26"/>
      <x:c r="L63" s="26"/>
      <x:c r="M63" s="26"/>
      <x:c r="N63" s="26"/>
      <x:c r="O63" s="26"/>
      <x:c r="P63" s="26"/>
      <x:c r="Q63" s="26"/>
      <x:c r="R63" s="26"/>
      <x:c r="S63" s="26"/>
      <x:c r="T63" s="3"/>
      <x:c r="U63" s="3"/>
      <x:c r="V63" s="3"/>
    </x:row>
    <x:row r="64" ht="30" customHeight="1">
      <x:c r="A64" s="3" t="str">
        <x:v>Input snapshot manifest</x:v>
      </x:c>
      <x:c r="B64" s="3" t="str">
        <x:v>SHA256</x:v>
      </x:c>
      <x:c r="C64" s="3" t="str">
        <x:v>Audit record</x:v>
      </x:c>
      <x:c r="D64" s="84"/>
      <x:c r="E64" s="13" t="str">
        <x:v>Paths and hashes identify the captured input files;… [N339]</x:v>
      </x:c>
      <x:c r="F64" s="26"/>
      <x:c r="G64" s="26"/>
      <x:c r="H64" s="26"/>
      <x:c r="I64" s="26"/>
      <x:c r="J64" s="26"/>
      <x:c r="K64" s="26"/>
      <x:c r="L64" s="26"/>
      <x:c r="M64" s="26"/>
      <x:c r="N64" s="26"/>
      <x:c r="O64" s="26"/>
      <x:c r="P64" s="26"/>
      <x:c r="Q64" s="26"/>
      <x:c r="R64" s="26"/>
      <x:c r="S64" s="26"/>
      <x:c r="T64" s="3"/>
      <x:c r="U64" s="3"/>
      <x:c r="V64" s="3"/>
    </x:row>
    <x:row r="65" ht="30" customHeight="1">
      <x:c r="A65" s="3" t="str">
        <x:v>assumptions/2026/_meta.yaml</x:v>
      </x:c>
      <x:c r="B65" s="3" t="str">
        <x:v>SHA256</x:v>
      </x:c>
      <x:c r="C65" s="3" t="str">
        <x:v>Frozen file</x:v>
      </x:c>
      <x:c r="D65" s="84"/>
      <x:c r="E65" s="13" t="str">
        <x:v>0e3bc69dba8106755b3e1e6403460b0fad8e2bbe007745c940233ba8a044b6a2</x:v>
      </x:c>
      <x:c r="F65" s="26"/>
      <x:c r="G65" s="26"/>
      <x:c r="H65" s="26"/>
      <x:c r="I65" s="26"/>
      <x:c r="J65" s="26"/>
      <x:c r="K65" s="26"/>
      <x:c r="L65" s="26"/>
      <x:c r="M65" s="26"/>
      <x:c r="N65" s="26"/>
      <x:c r="O65" s="26"/>
      <x:c r="P65" s="26"/>
      <x:c r="Q65" s="26"/>
      <x:c r="R65" s="26"/>
      <x:c r="S65" s="26"/>
      <x:c r="T65" s="3"/>
      <x:c r="U65" s="3"/>
      <x:c r="V65" s="3"/>
    </x:row>
    <x:row r="66" ht="30" customHeight="1">
      <x:c r="A66" s="3" t="str">
        <x:v>assumptions/2026/agriculture.yaml</x:v>
      </x:c>
      <x:c r="B66" s="3" t="str">
        <x:v>SHA256</x:v>
      </x:c>
      <x:c r="C66" s="3" t="str">
        <x:v>Frozen file</x:v>
      </x:c>
      <x:c r="D66" s="84"/>
      <x:c r="E66" s="13" t="str">
        <x:v>9af1efe4bf94b6efccfb04e67222961da53ec5192ecd7d8c708221b7ddbff407</x:v>
      </x:c>
      <x:c r="F66" s="26"/>
      <x:c r="G66" s="26"/>
      <x:c r="H66" s="26"/>
      <x:c r="I66" s="26"/>
      <x:c r="J66" s="26"/>
      <x:c r="K66" s="26"/>
      <x:c r="L66" s="26"/>
      <x:c r="M66" s="26"/>
      <x:c r="N66" s="26"/>
      <x:c r="O66" s="26"/>
      <x:c r="P66" s="26"/>
      <x:c r="Q66" s="26"/>
      <x:c r="R66" s="26"/>
      <x:c r="S66" s="26"/>
      <x:c r="T66" s="3"/>
      <x:c r="U66" s="3"/>
      <x:c r="V66" s="3"/>
    </x:row>
    <x:row r="67" ht="30" customHeight="1">
      <x:c r="A67" s="3" t="str">
        <x:v>assumptions/2026/aviation.yaml</x:v>
      </x:c>
      <x:c r="B67" s="3" t="str">
        <x:v>SHA256</x:v>
      </x:c>
      <x:c r="C67" s="3" t="str">
        <x:v>Frozen file</x:v>
      </x:c>
      <x:c r="D67" s="84"/>
      <x:c r="E67" s="13" t="str">
        <x:v>8eb68563f2d8466df52f7460028b9d4df1e480a463baf63645fbe34e92baee12</x:v>
      </x:c>
      <x:c r="F67" s="26"/>
      <x:c r="G67" s="26"/>
      <x:c r="H67" s="26"/>
      <x:c r="I67" s="26"/>
      <x:c r="J67" s="26"/>
      <x:c r="K67" s="26"/>
      <x:c r="L67" s="26"/>
      <x:c r="M67" s="26"/>
      <x:c r="N67" s="26"/>
      <x:c r="O67" s="26"/>
      <x:c r="P67" s="26"/>
      <x:c r="Q67" s="26"/>
      <x:c r="R67" s="26"/>
      <x:c r="S67" s="26"/>
      <x:c r="T67" s="3"/>
      <x:c r="U67" s="3"/>
      <x:c r="V67" s="3"/>
    </x:row>
    <x:row r="68" ht="30" customHeight="1">
      <x:c r="A68" s="3" t="str">
        <x:v>assumptions/2026/fuel_lever_design.yaml</x:v>
      </x:c>
      <x:c r="B68" s="3" t="str">
        <x:v>SHA256</x:v>
      </x:c>
      <x:c r="C68" s="3" t="str">
        <x:v>Frozen file</x:v>
      </x:c>
      <x:c r="D68" s="84"/>
      <x:c r="E68" s="13" t="str">
        <x:v>26bd2b42eb5f21e5167ce831acd2963e9c0f7f33870f6f356becb7d7622dc458</x:v>
      </x:c>
      <x:c r="F68" s="26"/>
      <x:c r="G68" s="26"/>
      <x:c r="H68" s="26"/>
      <x:c r="I68" s="26"/>
      <x:c r="J68" s="26"/>
      <x:c r="K68" s="26"/>
      <x:c r="L68" s="26"/>
      <x:c r="M68" s="26"/>
      <x:c r="N68" s="26"/>
      <x:c r="O68" s="26"/>
      <x:c r="P68" s="26"/>
      <x:c r="Q68" s="26"/>
      <x:c r="R68" s="26"/>
      <x:c r="S68" s="26"/>
      <x:c r="T68" s="3"/>
      <x:c r="U68" s="3"/>
      <x:c r="V68" s="3"/>
    </x:row>
    <x:row r="69" ht="30" customHeight="1">
      <x:c r="A69" s="3" t="str">
        <x:v>assumptions/2026/generation.yaml</x:v>
      </x:c>
      <x:c r="B69" s="3" t="str">
        <x:v>SHA256</x:v>
      </x:c>
      <x:c r="C69" s="3" t="str">
        <x:v>Frozen file</x:v>
      </x:c>
      <x:c r="D69" s="84"/>
      <x:c r="E69" s="13" t="str">
        <x:v>60afb39b8dade734943b98cec9295258d400b6d62a4031dd3110228a94557518</x:v>
      </x:c>
      <x:c r="F69" s="26"/>
      <x:c r="G69" s="26"/>
      <x:c r="H69" s="26"/>
      <x:c r="I69" s="26"/>
      <x:c r="J69" s="26"/>
      <x:c r="K69" s="26"/>
      <x:c r="L69" s="26"/>
      <x:c r="M69" s="26"/>
      <x:c r="N69" s="26"/>
      <x:c r="O69" s="26"/>
      <x:c r="P69" s="26"/>
      <x:c r="Q69" s="26"/>
      <x:c r="R69" s="26"/>
      <x:c r="S69" s="26"/>
      <x:c r="T69" s="3"/>
      <x:c r="U69" s="3"/>
      <x:c r="V69" s="3"/>
    </x:row>
    <x:row r="70" ht="30" customHeight="1">
      <x:c r="A70" s="3" t="str">
        <x:v>assumptions/2026/industrial.yaml</x:v>
      </x:c>
      <x:c r="B70" s="3" t="str">
        <x:v>SHA256</x:v>
      </x:c>
      <x:c r="C70" s="3" t="str">
        <x:v>Frozen file</x:v>
      </x:c>
      <x:c r="D70" s="84"/>
      <x:c r="E70" s="13" t="str">
        <x:v>371d67d323cbf21b5c018b4bca4a6c372480f860f29b659afcb132bc279262ab</x:v>
      </x:c>
      <x:c r="F70" s="26"/>
      <x:c r="G70" s="26"/>
      <x:c r="H70" s="26"/>
      <x:c r="I70" s="26"/>
      <x:c r="J70" s="26"/>
      <x:c r="K70" s="26"/>
      <x:c r="L70" s="26"/>
      <x:c r="M70" s="26"/>
      <x:c r="N70" s="26"/>
      <x:c r="O70" s="26"/>
      <x:c r="P70" s="26"/>
      <x:c r="Q70" s="26"/>
      <x:c r="R70" s="26"/>
      <x:c r="S70" s="26"/>
      <x:c r="T70" s="3"/>
      <x:c r="U70" s="3"/>
      <x:c r="V70" s="3"/>
    </x:row>
    <x:row r="71" ht="30" customHeight="1">
      <x:c r="A71" s="3" t="str">
        <x:v>assumptions/2026/infrastructure/storag… [N340]</x:v>
      </x:c>
      <x:c r="B71" s="3" t="str">
        <x:v>SHA256</x:v>
      </x:c>
      <x:c r="C71" s="3" t="str">
        <x:v>Frozen file</x:v>
      </x:c>
      <x:c r="D71" s="84"/>
      <x:c r="E71" s="13" t="str">
        <x:v>3fe3d166768ecfe702fbe7a487dd04083f42f75a70454f8dd48097e779d4ac73</x:v>
      </x:c>
      <x:c r="F71" s="26"/>
      <x:c r="G71" s="26"/>
      <x:c r="H71" s="26"/>
      <x:c r="I71" s="26"/>
      <x:c r="J71" s="26"/>
      <x:c r="K71" s="26"/>
      <x:c r="L71" s="26"/>
      <x:c r="M71" s="26"/>
      <x:c r="N71" s="26"/>
      <x:c r="O71" s="26"/>
      <x:c r="P71" s="26"/>
      <x:c r="Q71" s="26"/>
      <x:c r="R71" s="26"/>
      <x:c r="S71" s="26"/>
      <x:c r="T71" s="3"/>
      <x:c r="U71" s="3"/>
      <x:c r="V71" s="3"/>
    </x:row>
    <x:row r="72" ht="30" customHeight="1">
      <x:c r="A72" s="3" t="str">
        <x:v>assumptions/2026/infrastructure/storag… [N341]</x:v>
      </x:c>
      <x:c r="B72" s="3" t="str">
        <x:v>SHA256</x:v>
      </x:c>
      <x:c r="C72" s="3" t="str">
        <x:v>Frozen file</x:v>
      </x:c>
      <x:c r="D72" s="84"/>
      <x:c r="E72" s="13" t="str">
        <x:v>cc3bf1ce107458f5dbab71090bdfbcd379cdeb491a725368fea6c8b00d831e5a</x:v>
      </x:c>
      <x:c r="F72" s="26"/>
      <x:c r="G72" s="26"/>
      <x:c r="H72" s="26"/>
      <x:c r="I72" s="26"/>
      <x:c r="J72" s="26"/>
      <x:c r="K72" s="26"/>
      <x:c r="L72" s="26"/>
      <x:c r="M72" s="26"/>
      <x:c r="N72" s="26"/>
      <x:c r="O72" s="26"/>
      <x:c r="P72" s="26"/>
      <x:c r="Q72" s="26"/>
      <x:c r="R72" s="26"/>
      <x:c r="S72" s="26"/>
      <x:c r="T72" s="3"/>
      <x:c r="U72" s="3"/>
      <x:c r="V72" s="3"/>
    </x:row>
    <x:row r="73" ht="30" customHeight="1">
      <x:c r="A73" s="3" t="str">
        <x:v>assumptions/2026/macro.yaml</x:v>
      </x:c>
      <x:c r="B73" s="3" t="str">
        <x:v>SHA256</x:v>
      </x:c>
      <x:c r="C73" s="3" t="str">
        <x:v>Frozen file</x:v>
      </x:c>
      <x:c r="D73" s="84"/>
      <x:c r="E73" s="13" t="str">
        <x:v>d800f8024eaa02a9528cfbc1032c035c4e826dbd897da3bc3a6ead4d4ca68b29</x:v>
      </x:c>
      <x:c r="F73" s="26"/>
      <x:c r="G73" s="26"/>
      <x:c r="H73" s="26"/>
      <x:c r="I73" s="26"/>
      <x:c r="J73" s="26"/>
      <x:c r="K73" s="26"/>
      <x:c r="L73" s="26"/>
      <x:c r="M73" s="26"/>
      <x:c r="N73" s="26"/>
      <x:c r="O73" s="26"/>
      <x:c r="P73" s="26"/>
      <x:c r="Q73" s="26"/>
      <x:c r="R73" s="26"/>
      <x:c r="S73" s="26"/>
      <x:c r="T73" s="3"/>
      <x:c r="U73" s="3"/>
      <x:c r="V73" s="3"/>
    </x:row>
    <x:row r="74" ht="30" customHeight="1">
      <x:c r="A74" s="3" t="str">
        <x:v>assumptions/2026/marine.yaml</x:v>
      </x:c>
      <x:c r="B74" s="3" t="str">
        <x:v>SHA256</x:v>
      </x:c>
      <x:c r="C74" s="3" t="str">
        <x:v>Frozen file</x:v>
      </x:c>
      <x:c r="D74" s="84"/>
      <x:c r="E74" s="13" t="str">
        <x:v>cc38dd8c98d286e0f6fd4c748779e2d1aaf075e7630e76235a21d072da773a91</x:v>
      </x:c>
      <x:c r="F74" s="26"/>
      <x:c r="G74" s="26"/>
      <x:c r="H74" s="26"/>
      <x:c r="I74" s="26"/>
      <x:c r="J74" s="26"/>
      <x:c r="K74" s="26"/>
      <x:c r="L74" s="26"/>
      <x:c r="M74" s="26"/>
      <x:c r="N74" s="26"/>
      <x:c r="O74" s="26"/>
      <x:c r="P74" s="26"/>
      <x:c r="Q74" s="26"/>
      <x:c r="R74" s="26"/>
      <x:c r="S74" s="26"/>
      <x:c r="T74" s="3"/>
      <x:c r="U74" s="3"/>
      <x:c r="V74" s="3"/>
    </x:row>
    <x:row r="75" ht="30" customHeight="1">
      <x:c r="A75" s="3" t="str">
        <x:v>assumptions/2026/reference/fleet_fuel_… [N342]</x:v>
      </x:c>
      <x:c r="B75" s="3" t="str">
        <x:v>SHA256</x:v>
      </x:c>
      <x:c r="C75" s="3" t="str">
        <x:v>Frozen file</x:v>
      </x:c>
      <x:c r="D75" s="84"/>
      <x:c r="E75" s="13" t="str">
        <x:v>71e7b0804f8221d944d29b15b9a81b2b6142442cf699f748b0f6142d098468fb</x:v>
      </x:c>
      <x:c r="F75" s="26"/>
      <x:c r="G75" s="26"/>
      <x:c r="H75" s="26"/>
      <x:c r="I75" s="26"/>
      <x:c r="J75" s="26"/>
      <x:c r="K75" s="26"/>
      <x:c r="L75" s="26"/>
      <x:c r="M75" s="26"/>
      <x:c r="N75" s="26"/>
      <x:c r="O75" s="26"/>
      <x:c r="P75" s="26"/>
      <x:c r="Q75" s="26"/>
      <x:c r="R75" s="26"/>
      <x:c r="S75" s="26"/>
      <x:c r="T75" s="3"/>
      <x:c r="U75" s="3"/>
      <x:c r="V75" s="3"/>
    </x:row>
    <x:row r="76" ht="30" customHeight="1">
      <x:c r="A76" s="3" t="str">
        <x:v>assumptions/2026/reference/fleet_fuel_… [N343]</x:v>
      </x:c>
      <x:c r="B76" s="3" t="str">
        <x:v>SHA256</x:v>
      </x:c>
      <x:c r="C76" s="3" t="str">
        <x:v>Frozen file</x:v>
      </x:c>
      <x:c r="D76" s="84"/>
      <x:c r="E76" s="13" t="str">
        <x:v>868002df1a97e7f6c84079e1a7486842298d221cf56a2e87449ed666bad459e3</x:v>
      </x:c>
      <x:c r="F76" s="26"/>
      <x:c r="G76" s="26"/>
      <x:c r="H76" s="26"/>
      <x:c r="I76" s="26"/>
      <x:c r="J76" s="26"/>
      <x:c r="K76" s="26"/>
      <x:c r="L76" s="26"/>
      <x:c r="M76" s="26"/>
      <x:c r="N76" s="26"/>
      <x:c r="O76" s="26"/>
      <x:c r="P76" s="26"/>
      <x:c r="Q76" s="26"/>
      <x:c r="R76" s="26"/>
      <x:c r="S76" s="26"/>
      <x:c r="T76" s="3"/>
      <x:c r="U76" s="3"/>
      <x:c r="V76" s="3"/>
    </x:row>
    <x:row r="77" ht="30" customHeight="1">
      <x:c r="A77" s="3" t="str">
        <x:v>assumptions/2026/reference/vehicle_par… [N344]</x:v>
      </x:c>
      <x:c r="B77" s="3" t="str">
        <x:v>SHA256</x:v>
      </x:c>
      <x:c r="C77" s="3" t="str">
        <x:v>Frozen file</x:v>
      </x:c>
      <x:c r="D77" s="84"/>
      <x:c r="E77" s="13" t="str">
        <x:v>84ee5d2fae42b26d41312201022fdd017c30ee871f3bbd47071064aa6e1a96ec</x:v>
      </x:c>
      <x:c r="F77" s="26"/>
      <x:c r="G77" s="26"/>
      <x:c r="H77" s="26"/>
      <x:c r="I77" s="26"/>
      <x:c r="J77" s="26"/>
      <x:c r="K77" s="26"/>
      <x:c r="L77" s="26"/>
      <x:c r="M77" s="26"/>
      <x:c r="N77" s="26"/>
      <x:c r="O77" s="26"/>
      <x:c r="P77" s="26"/>
      <x:c r="Q77" s="26"/>
      <x:c r="R77" s="26"/>
      <x:c r="S77" s="26"/>
      <x:c r="T77" s="3"/>
      <x:c r="U77" s="3"/>
      <x:c r="V77" s="3"/>
    </x:row>
    <x:row r="78" ht="30" customHeight="1">
      <x:c r="A78" s="3" t="str">
        <x:v>assumptions/2026/reference/vehicle_par… [N345]</x:v>
      </x:c>
      <x:c r="B78" s="3" t="str">
        <x:v>SHA256</x:v>
      </x:c>
      <x:c r="C78" s="3" t="str">
        <x:v>Frozen file</x:v>
      </x:c>
      <x:c r="D78" s="84"/>
      <x:c r="E78" s="13" t="str">
        <x:v>c17b4fabf65b6d404aa961c0afa8a161158de6cc7a3f920573b0ff9c51356238</x:v>
      </x:c>
      <x:c r="F78" s="26"/>
      <x:c r="G78" s="26"/>
      <x:c r="H78" s="26"/>
      <x:c r="I78" s="26"/>
      <x:c r="J78" s="26"/>
      <x:c r="K78" s="26"/>
      <x:c r="L78" s="26"/>
      <x:c r="M78" s="26"/>
      <x:c r="N78" s="26"/>
      <x:c r="O78" s="26"/>
      <x:c r="P78" s="26"/>
      <x:c r="Q78" s="26"/>
      <x:c r="R78" s="26"/>
      <x:c r="S78" s="26"/>
      <x:c r="T78" s="3"/>
      <x:c r="U78" s="3"/>
      <x:c r="V78" s="3"/>
    </x:row>
    <x:row r="79" ht="30" customHeight="1">
      <x:c r="A79" s="3" t="str">
        <x:v>assumptions/2026/reference/vehicle_pop… [N346]</x:v>
      </x:c>
      <x:c r="B79" s="3" t="str">
        <x:v>SHA256</x:v>
      </x:c>
      <x:c r="C79" s="3" t="str">
        <x:v>Frozen file</x:v>
      </x:c>
      <x:c r="D79" s="84"/>
      <x:c r="E79" s="13" t="str">
        <x:v>8b19edbe057a7011d8da2d523dd22057109ef0164ed8d55e003817a11f536d1d</x:v>
      </x:c>
      <x:c r="F79" s="26"/>
      <x:c r="G79" s="26"/>
      <x:c r="H79" s="26"/>
      <x:c r="I79" s="26"/>
      <x:c r="J79" s="26"/>
      <x:c r="K79" s="26"/>
      <x:c r="L79" s="26"/>
      <x:c r="M79" s="26"/>
      <x:c r="N79" s="26"/>
      <x:c r="O79" s="26"/>
      <x:c r="P79" s="26"/>
      <x:c r="Q79" s="26"/>
      <x:c r="R79" s="26"/>
      <x:c r="S79" s="26"/>
      <x:c r="T79" s="3"/>
      <x:c r="U79" s="3"/>
      <x:c r="V79" s="3"/>
    </x:row>
    <x:row r="80" ht="30" customHeight="1">
      <x:c r="A80" s="3" t="str">
        <x:v>assumptions/2026/reference/vehicle_pop… [N347]</x:v>
      </x:c>
      <x:c r="B80" s="3" t="str">
        <x:v>SHA256</x:v>
      </x:c>
      <x:c r="C80" s="3" t="str">
        <x:v>Frozen file</x:v>
      </x:c>
      <x:c r="D80" s="84"/>
      <x:c r="E80" s="13" t="str">
        <x:v>98c5d5a0087e07bb5d466964385209787333423bacccdfa8a0d2c8965f6c8451</x:v>
      </x:c>
      <x:c r="F80" s="26"/>
      <x:c r="G80" s="26"/>
      <x:c r="H80" s="26"/>
      <x:c r="I80" s="26"/>
      <x:c r="J80" s="26"/>
      <x:c r="K80" s="26"/>
      <x:c r="L80" s="26"/>
      <x:c r="M80" s="26"/>
      <x:c r="N80" s="26"/>
      <x:c r="O80" s="26"/>
      <x:c r="P80" s="26"/>
      <x:c r="Q80" s="26"/>
      <x:c r="R80" s="26"/>
      <x:c r="S80" s="26"/>
      <x:c r="T80" s="3"/>
      <x:c r="U80" s="3"/>
      <x:c r="V80" s="3"/>
    </x:row>
    <x:row r="81" ht="30" customHeight="1">
      <x:c r="A81" s="3" t="str">
        <x:v>assumptions/2026/review_capacity_scenarios.yaml</x:v>
      </x:c>
      <x:c r="B81" s="3" t="str">
        <x:v>SHA256</x:v>
      </x:c>
      <x:c r="C81" s="3" t="str">
        <x:v>Frozen file</x:v>
      </x:c>
      <x:c r="D81" s="84"/>
      <x:c r="E81" s="13" t="str">
        <x:v>b2146915515f653c5a3e710564a290fd1d0e0aacd8276b9050ba82b067b5fcf7</x:v>
      </x:c>
      <x:c r="F81" s="26"/>
      <x:c r="G81" s="26"/>
      <x:c r="H81" s="26"/>
      <x:c r="I81" s="26"/>
      <x:c r="J81" s="26"/>
      <x:c r="K81" s="26"/>
      <x:c r="L81" s="26"/>
      <x:c r="M81" s="26"/>
      <x:c r="N81" s="26"/>
      <x:c r="O81" s="26"/>
      <x:c r="P81" s="26"/>
      <x:c r="Q81" s="26"/>
      <x:c r="R81" s="26"/>
      <x:c r="S81" s="26"/>
      <x:c r="T81" s="3"/>
      <x:c r="U81" s="3"/>
      <x:c r="V81" s="3"/>
    </x:row>
    <x:row r="82" ht="30" customHeight="1">
      <x:c r="A82" s="3" t="str">
        <x:v>assumptions/2026/sources.yaml</x:v>
      </x:c>
      <x:c r="B82" s="3" t="str">
        <x:v>SHA256</x:v>
      </x:c>
      <x:c r="C82" s="3" t="str">
        <x:v>Frozen file</x:v>
      </x:c>
      <x:c r="D82" s="84"/>
      <x:c r="E82" s="13" t="str">
        <x:v>7720ffdbd88f5432616a6f6915c1d6dec51549a1c876e6377284ce82664fe687</x:v>
      </x:c>
      <x:c r="F82" s="26"/>
      <x:c r="G82" s="26"/>
      <x:c r="H82" s="26"/>
      <x:c r="I82" s="26"/>
      <x:c r="J82" s="26"/>
      <x:c r="K82" s="26"/>
      <x:c r="L82" s="26"/>
      <x:c r="M82" s="26"/>
      <x:c r="N82" s="26"/>
      <x:c r="O82" s="26"/>
      <x:c r="P82" s="26"/>
      <x:c r="Q82" s="26"/>
      <x:c r="R82" s="26"/>
      <x:c r="S82" s="26"/>
      <x:c r="T82" s="3"/>
      <x:c r="U82" s="3"/>
      <x:c r="V82" s="3"/>
    </x:row>
    <x:row r="83" ht="30" customHeight="1">
      <x:c r="A83" s="3" t="str">
        <x:v>assumptions/2026/supply.yaml</x:v>
      </x:c>
      <x:c r="B83" s="3" t="str">
        <x:v>SHA256</x:v>
      </x:c>
      <x:c r="C83" s="3" t="str">
        <x:v>Frozen file</x:v>
      </x:c>
      <x:c r="D83" s="84"/>
      <x:c r="E83" s="13" t="str">
        <x:v>941ad87753ba74335a6d356dfd996f6185c9f96e00527ceb3abe9b74d8bb8907</x:v>
      </x:c>
      <x:c r="F83" s="26"/>
      <x:c r="G83" s="26"/>
      <x:c r="H83" s="26"/>
      <x:c r="I83" s="26"/>
      <x:c r="J83" s="26"/>
      <x:c r="K83" s="26"/>
      <x:c r="L83" s="26"/>
      <x:c r="M83" s="26"/>
      <x:c r="N83" s="26"/>
      <x:c r="O83" s="26"/>
      <x:c r="P83" s="26"/>
      <x:c r="Q83" s="26"/>
      <x:c r="R83" s="26"/>
      <x:c r="S83" s="26"/>
      <x:c r="T83" s="3"/>
      <x:c r="U83" s="3"/>
      <x:c r="V83" s="3"/>
    </x:row>
    <x:row r="84" ht="30" customHeight="1">
      <x:c r="A84" s="3" t="str">
        <x:v>assumptions/2026/terminal_handling.yaml</x:v>
      </x:c>
      <x:c r="B84" s="3" t="str">
        <x:v>SHA256</x:v>
      </x:c>
      <x:c r="C84" s="3" t="str">
        <x:v>Frozen file</x:v>
      </x:c>
      <x:c r="D84" s="84"/>
      <x:c r="E84" s="13" t="str">
        <x:v>5c3cdbcd436ef4ead0d81235c2b9eef2e4dd1f59d709f85ebd3fa066ada45fc9</x:v>
      </x:c>
      <x:c r="F84" s="26"/>
      <x:c r="G84" s="26"/>
      <x:c r="H84" s="26"/>
      <x:c r="I84" s="26"/>
      <x:c r="J84" s="26"/>
      <x:c r="K84" s="26"/>
      <x:c r="L84" s="26"/>
      <x:c r="M84" s="26"/>
      <x:c r="N84" s="26"/>
      <x:c r="O84" s="26"/>
      <x:c r="P84" s="26"/>
      <x:c r="Q84" s="26"/>
      <x:c r="R84" s="26"/>
      <x:c r="S84" s="26"/>
      <x:c r="T84" s="3"/>
      <x:c r="U84" s="3"/>
      <x:c r="V84" s="3"/>
    </x:row>
    <x:row r="85" ht="30" customHeight="1">
      <x:c r="A85" s="3" t="str">
        <x:v>assumptions/2026/timeseries/acsa.sources.yaml</x:v>
      </x:c>
      <x:c r="B85" s="3" t="str">
        <x:v>SHA256</x:v>
      </x:c>
      <x:c r="C85" s="3" t="str">
        <x:v>Frozen file</x:v>
      </x:c>
      <x:c r="D85" s="84"/>
      <x:c r="E85" s="13" t="str">
        <x:v>faa38d765948cd8fc8809d3bdee3fa8d1328b1da5859963f0c467d08a14129ee</x:v>
      </x:c>
      <x:c r="F85" s="26"/>
      <x:c r="G85" s="26"/>
      <x:c r="H85" s="26"/>
      <x:c r="I85" s="26"/>
      <x:c r="J85" s="26"/>
      <x:c r="K85" s="26"/>
      <x:c r="L85" s="26"/>
      <x:c r="M85" s="26"/>
      <x:c r="N85" s="26"/>
      <x:c r="O85" s="26"/>
      <x:c r="P85" s="26"/>
      <x:c r="Q85" s="26"/>
      <x:c r="R85" s="26"/>
      <x:c r="S85" s="26"/>
      <x:c r="T85" s="3"/>
      <x:c r="U85" s="3"/>
      <x:c r="V85" s="3"/>
    </x:row>
    <x:row r="86" ht="30" customHeight="1">
      <x:c r="A86" s="3" t="str">
        <x:v>assumptions/2026/timeseries/air_traffic_acsa.csv</x:v>
      </x:c>
      <x:c r="B86" s="3" t="str">
        <x:v>SHA256</x:v>
      </x:c>
      <x:c r="C86" s="3" t="str">
        <x:v>Frozen file</x:v>
      </x:c>
      <x:c r="D86" s="84"/>
      <x:c r="E86" s="13" t="str">
        <x:v>760a8ce2752b494346900eeaa7228b6abee32d8de6fc57ab609f3661d58b8c86</x:v>
      </x:c>
      <x:c r="F86" s="26"/>
      <x:c r="G86" s="26"/>
      <x:c r="H86" s="26"/>
      <x:c r="I86" s="26"/>
      <x:c r="J86" s="26"/>
      <x:c r="K86" s="26"/>
      <x:c r="L86" s="26"/>
      <x:c r="M86" s="26"/>
      <x:c r="N86" s="26"/>
      <x:c r="O86" s="26"/>
      <x:c r="P86" s="26"/>
      <x:c r="Q86" s="26"/>
      <x:c r="R86" s="26"/>
      <x:c r="S86" s="26"/>
      <x:c r="T86" s="3"/>
      <x:c r="U86" s="3"/>
      <x:c r="V86" s="3"/>
    </x:row>
    <x:row r="87" ht="30" customHeight="1">
      <x:c r="A87" s="3" t="str">
        <x:v>assumptions/2026/timeseries/air_traffi… [N348]</x:v>
      </x:c>
      <x:c r="B87" s="3" t="str">
        <x:v>SHA256</x:v>
      </x:c>
      <x:c r="C87" s="3" t="str">
        <x:v>Frozen file</x:v>
      </x:c>
      <x:c r="D87" s="84"/>
      <x:c r="E87" s="13" t="str">
        <x:v>8d51f267d626b855cbf0d66b6a59829f531c985ab01f4ff6ed744d54a0befe8e</x:v>
      </x:c>
      <x:c r="F87" s="26"/>
      <x:c r="G87" s="26"/>
      <x:c r="H87" s="26"/>
      <x:c r="I87" s="26"/>
      <x:c r="J87" s="26"/>
      <x:c r="K87" s="26"/>
      <x:c r="L87" s="26"/>
      <x:c r="M87" s="26"/>
      <x:c r="N87" s="26"/>
      <x:c r="O87" s="26"/>
      <x:c r="P87" s="26"/>
      <x:c r="Q87" s="26"/>
      <x:c r="R87" s="26"/>
      <x:c r="S87" s="26"/>
      <x:c r="T87" s="3"/>
      <x:c r="U87" s="3"/>
      <x:c r="V87" s="3"/>
    </x:row>
    <x:row r="88" ht="30" customHeight="1">
      <x:c r="A88" s="3" t="str">
        <x:v>assumptions/2026/timeseries/economy.sources.yaml</x:v>
      </x:c>
      <x:c r="B88" s="3" t="str">
        <x:v>SHA256</x:v>
      </x:c>
      <x:c r="C88" s="3" t="str">
        <x:v>Frozen file</x:v>
      </x:c>
      <x:c r="D88" s="84"/>
      <x:c r="E88" s="13" t="str">
        <x:v>e52fee7ad0e684f33f3343b175bee3a77fe816a59a0a3a1be17aed5240a3a1ea</x:v>
      </x:c>
      <x:c r="F88" s="26"/>
      <x:c r="G88" s="26"/>
      <x:c r="H88" s="26"/>
      <x:c r="I88" s="26"/>
      <x:c r="J88" s="26"/>
      <x:c r="K88" s="26"/>
      <x:c r="L88" s="26"/>
      <x:c r="M88" s="26"/>
      <x:c r="N88" s="26"/>
      <x:c r="O88" s="26"/>
      <x:c r="P88" s="26"/>
      <x:c r="Q88" s="26"/>
      <x:c r="R88" s="26"/>
      <x:c r="S88" s="26"/>
      <x:c r="T88" s="3"/>
      <x:c r="U88" s="3"/>
      <x:c r="V88" s="3"/>
    </x:row>
    <x:row r="89" ht="30" customHeight="1">
      <x:c r="A89" s="3" t="str">
        <x:v>assumptions/2026/timeseries/efficiency… [N349]</x:v>
      </x:c>
      <x:c r="B89" s="3" t="str">
        <x:v>SHA256</x:v>
      </x:c>
      <x:c r="C89" s="3" t="str">
        <x:v>Frozen file</x:v>
      </x:c>
      <x:c r="D89" s="84"/>
      <x:c r="E89" s="13" t="str">
        <x:v>c70b4b719df721c8b64e5496dc3f362ba1747faeb5ab3d1cdc654bdcfffa451c</x:v>
      </x:c>
      <x:c r="F89" s="26"/>
      <x:c r="G89" s="26"/>
      <x:c r="H89" s="26"/>
      <x:c r="I89" s="26"/>
      <x:c r="J89" s="26"/>
      <x:c r="K89" s="26"/>
      <x:c r="L89" s="26"/>
      <x:c r="M89" s="26"/>
      <x:c r="N89" s="26"/>
      <x:c r="O89" s="26"/>
      <x:c r="P89" s="26"/>
      <x:c r="Q89" s="26"/>
      <x:c r="R89" s="26"/>
      <x:c r="S89" s="26"/>
      <x:c r="T89" s="3"/>
      <x:c r="U89" s="3"/>
      <x:c r="V89" s="3"/>
    </x:row>
    <x:row r="90" ht="30" customHeight="1">
      <x:c r="A90" s="3" t="str">
        <x:v>assumptions/2026/timeseries/efficiency… [N350]</x:v>
      </x:c>
      <x:c r="B90" s="3" t="str">
        <x:v>SHA256</x:v>
      </x:c>
      <x:c r="C90" s="3" t="str">
        <x:v>Frozen file</x:v>
      </x:c>
      <x:c r="D90" s="84"/>
      <x:c r="E90" s="13" t="str">
        <x:v>404797987a9253b988754037185c70679e3cf6b32290cbd734d1356ae03b0337</x:v>
      </x:c>
      <x:c r="F90" s="26"/>
      <x:c r="G90" s="26"/>
      <x:c r="H90" s="26"/>
      <x:c r="I90" s="26"/>
      <x:c r="J90" s="26"/>
      <x:c r="K90" s="26"/>
      <x:c r="L90" s="26"/>
      <x:c r="M90" s="26"/>
      <x:c r="N90" s="26"/>
      <x:c r="O90" s="26"/>
      <x:c r="P90" s="26"/>
      <x:c r="Q90" s="26"/>
      <x:c r="R90" s="26"/>
      <x:c r="S90" s="26"/>
      <x:c r="T90" s="3"/>
      <x:c r="U90" s="3"/>
      <x:c r="V90" s="3"/>
    </x:row>
    <x:row r="91" ht="30" customHeight="1">
      <x:c r="A91" s="3" t="str">
        <x:v>assumptions/2026/timeseries/energy_bal… [N351]</x:v>
      </x:c>
      <x:c r="B91" s="3" t="str">
        <x:v>SHA256</x:v>
      </x:c>
      <x:c r="C91" s="3" t="str">
        <x:v>Frozen file</x:v>
      </x:c>
      <x:c r="D91" s="84"/>
      <x:c r="E91" s="13" t="str">
        <x:v>e7a3b6b2ae23c8bf60e414470914174ea2dd226782a8ed26d438c519dbe650e9</x:v>
      </x:c>
      <x:c r="F91" s="26"/>
      <x:c r="G91" s="26"/>
      <x:c r="H91" s="26"/>
      <x:c r="I91" s="26"/>
      <x:c r="J91" s="26"/>
      <x:c r="K91" s="26"/>
      <x:c r="L91" s="26"/>
      <x:c r="M91" s="26"/>
      <x:c r="N91" s="26"/>
      <x:c r="O91" s="26"/>
      <x:c r="P91" s="26"/>
      <x:c r="Q91" s="26"/>
      <x:c r="R91" s="26"/>
      <x:c r="S91" s="26"/>
      <x:c r="T91" s="3"/>
      <x:c r="U91" s="3"/>
      <x:c r="V91" s="3"/>
    </x:row>
    <x:row r="92" ht="30" customHeight="1">
      <x:c r="A92" s="3" t="str">
        <x:v>assumptions/2026/timeseries/energy_dep… [N352]</x:v>
      </x:c>
      <x:c r="B92" s="3" t="str">
        <x:v>SHA256</x:v>
      </x:c>
      <x:c r="C92" s="3" t="str">
        <x:v>Frozen file</x:v>
      </x:c>
      <x:c r="D92" s="84"/>
      <x:c r="E92" s="13" t="str">
        <x:v>e740f766e6c7940d253c343b590dc00af2ab67e018fb2d005a348280e19f3f59</x:v>
      </x:c>
      <x:c r="F92" s="26"/>
      <x:c r="G92" s="26"/>
      <x:c r="H92" s="26"/>
      <x:c r="I92" s="26"/>
      <x:c r="J92" s="26"/>
      <x:c r="K92" s="26"/>
      <x:c r="L92" s="26"/>
      <x:c r="M92" s="26"/>
      <x:c r="N92" s="26"/>
      <x:c r="O92" s="26"/>
      <x:c r="P92" s="26"/>
      <x:c r="Q92" s="26"/>
      <x:c r="R92" s="26"/>
      <x:c r="S92" s="26"/>
      <x:c r="T92" s="3"/>
      <x:c r="U92" s="3"/>
      <x:c r="V92" s="3"/>
    </x:row>
    <x:row r="93" ht="30" customHeight="1">
      <x:c r="A93" s="3" t="str">
        <x:v>assumptions/2026/timeseries/freight_pa… [N353]</x:v>
      </x:c>
      <x:c r="B93" s="3" t="str">
        <x:v>SHA256</x:v>
      </x:c>
      <x:c r="C93" s="3" t="str">
        <x:v>Frozen file</x:v>
      </x:c>
      <x:c r="D93" s="84"/>
      <x:c r="E93" s="13" t="str">
        <x:v>416ca6bafb0f3cb1e53c0484415f9335d515db14ca1442f4523d6ecfa75293e8</x:v>
      </x:c>
      <x:c r="F93" s="26"/>
      <x:c r="G93" s="26"/>
      <x:c r="H93" s="26"/>
      <x:c r="I93" s="26"/>
      <x:c r="J93" s="26"/>
      <x:c r="K93" s="26"/>
      <x:c r="L93" s="26"/>
      <x:c r="M93" s="26"/>
      <x:c r="N93" s="26"/>
      <x:c r="O93" s="26"/>
      <x:c r="P93" s="26"/>
      <x:c r="Q93" s="26"/>
      <x:c r="R93" s="26"/>
      <x:c r="S93" s="26"/>
      <x:c r="T93" s="3"/>
      <x:c r="U93" s="3"/>
      <x:c r="V93" s="3"/>
    </x:row>
    <x:row r="94" ht="30" customHeight="1">
      <x:c r="A94" s="3" t="str">
        <x:v>assumptions/2026/timeseries/fuel_lever… [N354]</x:v>
      </x:c>
      <x:c r="B94" s="3" t="str">
        <x:v>SHA256</x:v>
      </x:c>
      <x:c r="C94" s="3" t="str">
        <x:v>Frozen file</x:v>
      </x:c>
      <x:c r="D94" s="84"/>
      <x:c r="E94" s="13" t="str">
        <x:v>102d3292265eed7501c142d40de582d0be25df5955f1ea96c85c0b42649f1fb5</x:v>
      </x:c>
      <x:c r="F94" s="26"/>
      <x:c r="G94" s="26"/>
      <x:c r="H94" s="26"/>
      <x:c r="I94" s="26"/>
      <x:c r="J94" s="26"/>
      <x:c r="K94" s="26"/>
      <x:c r="L94" s="26"/>
      <x:c r="M94" s="26"/>
      <x:c r="N94" s="26"/>
      <x:c r="O94" s="26"/>
      <x:c r="P94" s="26"/>
      <x:c r="Q94" s="26"/>
      <x:c r="R94" s="26"/>
      <x:c r="S94" s="26"/>
      <x:c r="T94" s="3"/>
      <x:c r="U94" s="3"/>
      <x:c r="V94" s="3"/>
    </x:row>
    <x:row r="95" ht="30" customHeight="1">
      <x:c r="A95" s="3" t="str">
        <x:v>assumptions/2026/timeseries/fuel_price… [N355]</x:v>
      </x:c>
      <x:c r="B95" s="3" t="str">
        <x:v>SHA256</x:v>
      </x:c>
      <x:c r="C95" s="3" t="str">
        <x:v>Frozen file</x:v>
      </x:c>
      <x:c r="D95" s="84"/>
      <x:c r="E95" s="13" t="str">
        <x:v>8fd3952d569770796ab576de5f2e9c70f0a61e0e972fb6f9fd8509cc64c871cb</x:v>
      </x:c>
      <x:c r="F95" s="26"/>
      <x:c r="G95" s="26"/>
      <x:c r="H95" s="26"/>
      <x:c r="I95" s="26"/>
      <x:c r="J95" s="26"/>
      <x:c r="K95" s="26"/>
      <x:c r="L95" s="26"/>
      <x:c r="M95" s="26"/>
      <x:c r="N95" s="26"/>
      <x:c r="O95" s="26"/>
      <x:c r="P95" s="26"/>
      <x:c r="Q95" s="26"/>
      <x:c r="R95" s="26"/>
      <x:c r="S95" s="26"/>
      <x:c r="T95" s="3"/>
      <x:c r="U95" s="3"/>
      <x:c r="V95" s="3"/>
    </x:row>
    <x:row r="96" ht="30" customHeight="1">
      <x:c r="A96" s="3" t="str">
        <x:v>assumptions/2026/timeseries/fuel_price… [N356]</x:v>
      </x:c>
      <x:c r="B96" s="3" t="str">
        <x:v>SHA256</x:v>
      </x:c>
      <x:c r="C96" s="3" t="str">
        <x:v>Frozen file</x:v>
      </x:c>
      <x:c r="D96" s="84"/>
      <x:c r="E96" s="13" t="str">
        <x:v>604c8e85f767d9506ae3717251d126ce67189c8e6e4b6c5883c6ad72a3cdf0ee</x:v>
      </x:c>
      <x:c r="F96" s="26"/>
      <x:c r="G96" s="26"/>
      <x:c r="H96" s="26"/>
      <x:c r="I96" s="26"/>
      <x:c r="J96" s="26"/>
      <x:c r="K96" s="26"/>
      <x:c r="L96" s="26"/>
      <x:c r="M96" s="26"/>
      <x:c r="N96" s="26"/>
      <x:c r="O96" s="26"/>
      <x:c r="P96" s="26"/>
      <x:c r="Q96" s="26"/>
      <x:c r="R96" s="26"/>
      <x:c r="S96" s="26"/>
      <x:c r="T96" s="3"/>
      <x:c r="U96" s="3"/>
      <x:c r="V96" s="3"/>
    </x:row>
    <x:row r="97" ht="30" customHeight="1">
      <x:c r="A97" s="3" t="str">
        <x:v>assumptions/2026/timeseries/fuel_sales… [N357]</x:v>
      </x:c>
      <x:c r="B97" s="3" t="str">
        <x:v>SHA256</x:v>
      </x:c>
      <x:c r="C97" s="3" t="str">
        <x:v>Frozen file</x:v>
      </x:c>
      <x:c r="D97" s="84"/>
      <x:c r="E97" s="13" t="str">
        <x:v>41223a0fa4d749959a02499bc1f9672b39c41d28023f7ab6f7aaaa581b03428c</x:v>
      </x:c>
      <x:c r="F97" s="26"/>
      <x:c r="G97" s="26"/>
      <x:c r="H97" s="26"/>
      <x:c r="I97" s="26"/>
      <x:c r="J97" s="26"/>
      <x:c r="K97" s="26"/>
      <x:c r="L97" s="26"/>
      <x:c r="M97" s="26"/>
      <x:c r="N97" s="26"/>
      <x:c r="O97" s="26"/>
      <x:c r="P97" s="26"/>
      <x:c r="Q97" s="26"/>
      <x:c r="R97" s="26"/>
      <x:c r="S97" s="26"/>
      <x:c r="T97" s="3"/>
      <x:c r="U97" s="3"/>
      <x:c r="V97" s="3"/>
    </x:row>
    <x:row r="98" ht="30" customHeight="1">
      <x:c r="A98" s="3" t="str">
        <x:v>assumptions/2026/timeseries/fuel_sales… [N358]</x:v>
      </x:c>
      <x:c r="B98" s="3" t="str">
        <x:v>SHA256</x:v>
      </x:c>
      <x:c r="C98" s="3" t="str">
        <x:v>Frozen file</x:v>
      </x:c>
      <x:c r="D98" s="84"/>
      <x:c r="E98" s="13" t="str">
        <x:v>92d1d57a2e4b73d98fad393bb9226770868057b1ab9637b94e329a76ac2c0259</x:v>
      </x:c>
      <x:c r="F98" s="26"/>
      <x:c r="G98" s="26"/>
      <x:c r="H98" s="26"/>
      <x:c r="I98" s="26"/>
      <x:c r="J98" s="26"/>
      <x:c r="K98" s="26"/>
      <x:c r="L98" s="26"/>
      <x:c r="M98" s="26"/>
      <x:c r="N98" s="26"/>
      <x:c r="O98" s="26"/>
      <x:c r="P98" s="26"/>
      <x:c r="Q98" s="26"/>
      <x:c r="R98" s="26"/>
      <x:c r="S98" s="26"/>
      <x:c r="T98" s="3"/>
      <x:c r="U98" s="3"/>
      <x:c r="V98" s="3"/>
    </x:row>
    <x:row r="99" ht="30" customHeight="1">
      <x:c r="A99" s="3" t="str">
        <x:v>assumptions/2026/timeseries/fuel_sales… [N359]</x:v>
      </x:c>
      <x:c r="B99" s="3" t="str">
        <x:v>SHA256</x:v>
      </x:c>
      <x:c r="C99" s="3" t="str">
        <x:v>Frozen file</x:v>
      </x:c>
      <x:c r="D99" s="84"/>
      <x:c r="E99" s="13" t="str">
        <x:v>aec82481b33f70429b6b8e7c9c02767d62a6e8c7bf6bda09e21123a5bc56c9d6</x:v>
      </x:c>
      <x:c r="F99" s="26"/>
      <x:c r="G99" s="26"/>
      <x:c r="H99" s="26"/>
      <x:c r="I99" s="26"/>
      <x:c r="J99" s="26"/>
      <x:c r="K99" s="26"/>
      <x:c r="L99" s="26"/>
      <x:c r="M99" s="26"/>
      <x:c r="N99" s="26"/>
      <x:c r="O99" s="26"/>
      <x:c r="P99" s="26"/>
      <x:c r="Q99" s="26"/>
      <x:c r="R99" s="26"/>
      <x:c r="S99" s="26"/>
      <x:c r="T99" s="3"/>
      <x:c r="U99" s="3"/>
      <x:c r="V99" s="3"/>
    </x:row>
    <x:row r="100" ht="30" customHeight="1">
      <x:c r="A100" s="3" t="str">
        <x:v>assumptions/2026/timeseries/fuel_sales… [N360]</x:v>
      </x:c>
      <x:c r="B100" s="3" t="str">
        <x:v>SHA256</x:v>
      </x:c>
      <x:c r="C100" s="3" t="str">
        <x:v>Frozen file</x:v>
      </x:c>
      <x:c r="D100" s="84"/>
      <x:c r="E100" s="13" t="str">
        <x:v>9111da1ea931b8c499aec12ae898b9506320b529706445a473f08fee524fa8d0</x:v>
      </x:c>
      <x:c r="F100" s="26"/>
      <x:c r="G100" s="26"/>
      <x:c r="H100" s="26"/>
      <x:c r="I100" s="26"/>
      <x:c r="J100" s="26"/>
      <x:c r="K100" s="26"/>
      <x:c r="L100" s="26"/>
      <x:c r="M100" s="26"/>
      <x:c r="N100" s="26"/>
      <x:c r="O100" s="26"/>
      <x:c r="P100" s="26"/>
      <x:c r="Q100" s="26"/>
      <x:c r="R100" s="26"/>
      <x:c r="S100" s="26"/>
      <x:c r="T100" s="3"/>
      <x:c r="U100" s="3"/>
      <x:c r="V100" s="3"/>
    </x:row>
    <x:row r="101" ht="30" customHeight="1">
      <x:c r="A101" s="3" t="str">
        <x:v>assumptions/2026/timeseries/fuel_sales_fiasa.csv</x:v>
      </x:c>
      <x:c r="B101" s="3" t="str">
        <x:v>SHA256</x:v>
      </x:c>
      <x:c r="C101" s="3" t="str">
        <x:v>Frozen file</x:v>
      </x:c>
      <x:c r="D101" s="84"/>
      <x:c r="E101" s="13" t="str">
        <x:v>2f297c38bbdd7006614055381b67a3f31445549a8ca214ee78212a7b3e833bee</x:v>
      </x:c>
      <x:c r="F101" s="26"/>
      <x:c r="G101" s="26"/>
      <x:c r="H101" s="26"/>
      <x:c r="I101" s="26"/>
      <x:c r="J101" s="26"/>
      <x:c r="K101" s="26"/>
      <x:c r="L101" s="26"/>
      <x:c r="M101" s="26"/>
      <x:c r="N101" s="26"/>
      <x:c r="O101" s="26"/>
      <x:c r="P101" s="26"/>
      <x:c r="Q101" s="26"/>
      <x:c r="R101" s="26"/>
      <x:c r="S101" s="26"/>
      <x:c r="T101" s="3"/>
      <x:c r="U101" s="3"/>
      <x:c r="V101" s="3"/>
    </x:row>
    <x:row r="102" ht="30" customHeight="1">
      <x:c r="A102" s="3" t="str">
        <x:v>assumptions/2026/timeseries/fuel_sales… [N361]</x:v>
      </x:c>
      <x:c r="B102" s="3" t="str">
        <x:v>SHA256</x:v>
      </x:c>
      <x:c r="C102" s="3" t="str">
        <x:v>Frozen file</x:v>
      </x:c>
      <x:c r="D102" s="84"/>
      <x:c r="E102" s="13" t="str">
        <x:v>c00973df661ccdd826c3946b97fca6152b345738d01bb02f63181356ad8d39c9</x:v>
      </x:c>
      <x:c r="F102" s="26"/>
      <x:c r="G102" s="26"/>
      <x:c r="H102" s="26"/>
      <x:c r="I102" s="26"/>
      <x:c r="J102" s="26"/>
      <x:c r="K102" s="26"/>
      <x:c r="L102" s="26"/>
      <x:c r="M102" s="26"/>
      <x:c r="N102" s="26"/>
      <x:c r="O102" s="26"/>
      <x:c r="P102" s="26"/>
      <x:c r="Q102" s="26"/>
      <x:c r="R102" s="26"/>
      <x:c r="S102" s="26"/>
      <x:c r="T102" s="3"/>
      <x:c r="U102" s="3"/>
      <x:c r="V102" s="3"/>
    </x:row>
    <x:row r="103" ht="30" customHeight="1">
      <x:c r="A103" s="3" t="str">
        <x:v>assumptions/2026/timeseries/fuel_trade… [N362]</x:v>
      </x:c>
      <x:c r="B103" s="3" t="str">
        <x:v>SHA256</x:v>
      </x:c>
      <x:c r="C103" s="3" t="str">
        <x:v>Frozen file</x:v>
      </x:c>
      <x:c r="D103" s="84"/>
      <x:c r="E103" s="13" t="str">
        <x:v>e1b5788c6c307d695065fc160207b422c0899190b579ac7a0be4b26deb0623e8</x:v>
      </x:c>
      <x:c r="F103" s="26"/>
      <x:c r="G103" s="26"/>
      <x:c r="H103" s="26"/>
      <x:c r="I103" s="26"/>
      <x:c r="J103" s="26"/>
      <x:c r="K103" s="26"/>
      <x:c r="L103" s="26"/>
      <x:c r="M103" s="26"/>
      <x:c r="N103" s="26"/>
      <x:c r="O103" s="26"/>
      <x:c r="P103" s="26"/>
      <x:c r="Q103" s="26"/>
      <x:c r="R103" s="26"/>
      <x:c r="S103" s="26"/>
      <x:c r="T103" s="3"/>
      <x:c r="U103" s="3"/>
      <x:c r="V103" s="3"/>
    </x:row>
    <x:row r="104" ht="30" customHeight="1">
      <x:c r="A104" s="3" t="str">
        <x:v>assumptions/2026/timeseries/fuel_trade_fiasa.csv</x:v>
      </x:c>
      <x:c r="B104" s="3" t="str">
        <x:v>SHA256</x:v>
      </x:c>
      <x:c r="C104" s="3" t="str">
        <x:v>Frozen file</x:v>
      </x:c>
      <x:c r="D104" s="84"/>
      <x:c r="E104" s="13" t="str">
        <x:v>a0aaad23707a80643ceac79b6418c1ab386ed4a766e66d098f80e94dd04fafe3</x:v>
      </x:c>
      <x:c r="F104" s="26"/>
      <x:c r="G104" s="26"/>
      <x:c r="H104" s="26"/>
      <x:c r="I104" s="26"/>
      <x:c r="J104" s="26"/>
      <x:c r="K104" s="26"/>
      <x:c r="L104" s="26"/>
      <x:c r="M104" s="26"/>
      <x:c r="N104" s="26"/>
      <x:c r="O104" s="26"/>
      <x:c r="P104" s="26"/>
      <x:c r="Q104" s="26"/>
      <x:c r="R104" s="26"/>
      <x:c r="S104" s="26"/>
      <x:c r="T104" s="3"/>
      <x:c r="U104" s="3"/>
      <x:c r="V104" s="3"/>
    </x:row>
    <x:row r="105" ht="30" customHeight="1">
      <x:c r="A105" s="3" t="str">
        <x:v>assumptions/2026/timeseries/gdp.csv</x:v>
      </x:c>
      <x:c r="B105" s="3" t="str">
        <x:v>SHA256</x:v>
      </x:c>
      <x:c r="C105" s="3" t="str">
        <x:v>Frozen file</x:v>
      </x:c>
      <x:c r="D105" s="84"/>
      <x:c r="E105" s="13" t="str">
        <x:v>823725b7bab4bb1eee942a768d79302f4af3fba752ff3f14cd658320bb596cb9</x:v>
      </x:c>
      <x:c r="F105" s="26"/>
      <x:c r="G105" s="26"/>
      <x:c r="H105" s="26"/>
      <x:c r="I105" s="26"/>
      <x:c r="J105" s="26"/>
      <x:c r="K105" s="26"/>
      <x:c r="L105" s="26"/>
      <x:c r="M105" s="26"/>
      <x:c r="N105" s="26"/>
      <x:c r="O105" s="26"/>
      <x:c r="P105" s="26"/>
      <x:c r="Q105" s="26"/>
      <x:c r="R105" s="26"/>
      <x:c r="S105" s="26"/>
      <x:c r="T105" s="3"/>
      <x:c r="U105" s="3"/>
      <x:c r="V105" s="3"/>
    </x:row>
    <x:row r="106" ht="30" customHeight="1">
      <x:c r="A106" s="3" t="str">
        <x:v>assumptions/2026/timeseries/gdp_growth.csv</x:v>
      </x:c>
      <x:c r="B106" s="3" t="str">
        <x:v>SHA256</x:v>
      </x:c>
      <x:c r="C106" s="3" t="str">
        <x:v>Frozen file</x:v>
      </x:c>
      <x:c r="D106" s="84"/>
      <x:c r="E106" s="13" t="str">
        <x:v>14b82eab313c4027c55ee9d9997447ca2d7e3e5bf25d5d5c3f90547fc7879ea4</x:v>
      </x:c>
      <x:c r="F106" s="26"/>
      <x:c r="G106" s="26"/>
      <x:c r="H106" s="26"/>
      <x:c r="I106" s="26"/>
      <x:c r="J106" s="26"/>
      <x:c r="K106" s="26"/>
      <x:c r="L106" s="26"/>
      <x:c r="M106" s="26"/>
      <x:c r="N106" s="26"/>
      <x:c r="O106" s="26"/>
      <x:c r="P106" s="26"/>
      <x:c r="Q106" s="26"/>
      <x:c r="R106" s="26"/>
      <x:c r="S106" s="26"/>
      <x:c r="T106" s="3"/>
      <x:c r="U106" s="3"/>
      <x:c r="V106" s="3"/>
    </x:row>
    <x:row r="107" ht="30" customHeight="1">
      <x:c r="A107" s="3" t="str">
        <x:v>assumptions/2026/timeseries/gdp_growth… [N363]</x:v>
      </x:c>
      <x:c r="B107" s="3" t="str">
        <x:v>SHA256</x:v>
      </x:c>
      <x:c r="C107" s="3" t="str">
        <x:v>Frozen file</x:v>
      </x:c>
      <x:c r="D107" s="84"/>
      <x:c r="E107" s="13" t="str">
        <x:v>278b1c7782f17a1874edd2138376b860a4cd660440d6e5de71cf30c493e034c9</x:v>
      </x:c>
      <x:c r="F107" s="26"/>
      <x:c r="G107" s="26"/>
      <x:c r="H107" s="26"/>
      <x:c r="I107" s="26"/>
      <x:c r="J107" s="26"/>
      <x:c r="K107" s="26"/>
      <x:c r="L107" s="26"/>
      <x:c r="M107" s="26"/>
      <x:c r="N107" s="26"/>
      <x:c r="O107" s="26"/>
      <x:c r="P107" s="26"/>
      <x:c r="Q107" s="26"/>
      <x:c r="R107" s="26"/>
      <x:c r="S107" s="26"/>
      <x:c r="T107" s="3"/>
      <x:c r="U107" s="3"/>
      <x:c r="V107" s="3"/>
    </x:row>
    <x:row r="108" ht="30" customHeight="1">
      <x:c r="A108" s="3" t="str">
        <x:v>assumptions/2026/timeseries/gdp_per_capita.csv</x:v>
      </x:c>
      <x:c r="B108" s="3" t="str">
        <x:v>SHA256</x:v>
      </x:c>
      <x:c r="C108" s="3" t="str">
        <x:v>Frozen file</x:v>
      </x:c>
      <x:c r="D108" s="84"/>
      <x:c r="E108" s="13" t="str">
        <x:v>f48fe9427e6916c0a9047ed1cbcd20c3bd3cf361312b5172a42e494dd53b47ff</x:v>
      </x:c>
      <x:c r="F108" s="26"/>
      <x:c r="G108" s="26"/>
      <x:c r="H108" s="26"/>
      <x:c r="I108" s="26"/>
      <x:c r="J108" s="26"/>
      <x:c r="K108" s="26"/>
      <x:c r="L108" s="26"/>
      <x:c r="M108" s="26"/>
      <x:c r="N108" s="26"/>
      <x:c r="O108" s="26"/>
      <x:c r="P108" s="26"/>
      <x:c r="Q108" s="26"/>
      <x:c r="R108" s="26"/>
      <x:c r="S108" s="26"/>
      <x:c r="T108" s="3"/>
      <x:c r="U108" s="3"/>
      <x:c r="V108" s="3"/>
    </x:row>
    <x:row r="109" ht="30" customHeight="1">
      <x:c r="A109" s="3" t="str">
        <x:v>assumptions/2026/timeseries/historical_demand.csv</x:v>
      </x:c>
      <x:c r="B109" s="3" t="str">
        <x:v>SHA256</x:v>
      </x:c>
      <x:c r="C109" s="3" t="str">
        <x:v>Frozen file</x:v>
      </x:c>
      <x:c r="D109" s="84"/>
      <x:c r="E109" s="13" t="str">
        <x:v>729ea6ffca882148030264cdb3829d6b67afae46c4cbf818b4eca45d496a79a7</x:v>
      </x:c>
      <x:c r="F109" s="26"/>
      <x:c r="G109" s="26"/>
      <x:c r="H109" s="26"/>
      <x:c r="I109" s="26"/>
      <x:c r="J109" s="26"/>
      <x:c r="K109" s="26"/>
      <x:c r="L109" s="26"/>
      <x:c r="M109" s="26"/>
      <x:c r="N109" s="26"/>
      <x:c r="O109" s="26"/>
      <x:c r="P109" s="26"/>
      <x:c r="Q109" s="26"/>
      <x:c r="R109" s="26"/>
      <x:c r="S109" s="26"/>
      <x:c r="T109" s="3"/>
      <x:c r="U109" s="3"/>
      <x:c r="V109" s="3"/>
    </x:row>
    <x:row r="110" ht="30" customHeight="1">
      <x:c r="A110" s="3" t="str">
        <x:v>assumptions/2026/timeseries/macro_statssa.csv</x:v>
      </x:c>
      <x:c r="B110" s="3" t="str">
        <x:v>SHA256</x:v>
      </x:c>
      <x:c r="C110" s="3" t="str">
        <x:v>Frozen file</x:v>
      </x:c>
      <x:c r="D110" s="84"/>
      <x:c r="E110" s="13" t="str">
        <x:v>ce45c515a70e04bc4569bf29cfec41147db3dc444e93fb7e754bfab459af36d3</x:v>
      </x:c>
      <x:c r="F110" s="26"/>
      <x:c r="G110" s="26"/>
      <x:c r="H110" s="26"/>
      <x:c r="I110" s="26"/>
      <x:c r="J110" s="26"/>
      <x:c r="K110" s="26"/>
      <x:c r="L110" s="26"/>
      <x:c r="M110" s="26"/>
      <x:c r="N110" s="26"/>
      <x:c r="O110" s="26"/>
      <x:c r="P110" s="26"/>
      <x:c r="Q110" s="26"/>
      <x:c r="R110" s="26"/>
      <x:c r="S110" s="26"/>
      <x:c r="T110" s="3"/>
      <x:c r="U110" s="3"/>
      <x:c r="V110" s="3"/>
    </x:row>
    <x:row r="111" ht="30" customHeight="1">
      <x:c r="A111" s="3" t="str">
        <x:v>assumptions/2026/timeseries/macro_worldbank.csv</x:v>
      </x:c>
      <x:c r="B111" s="3" t="str">
        <x:v>SHA256</x:v>
      </x:c>
      <x:c r="C111" s="3" t="str">
        <x:v>Frozen file</x:v>
      </x:c>
      <x:c r="D111" s="84"/>
      <x:c r="E111" s="13" t="str">
        <x:v>354bc79e194f8085270320844d7674e796fda07cf6e9cb8a4589c25283bfc3f6</x:v>
      </x:c>
      <x:c r="F111" s="26"/>
      <x:c r="G111" s="26"/>
      <x:c r="H111" s="26"/>
      <x:c r="I111" s="26"/>
      <x:c r="J111" s="26"/>
      <x:c r="K111" s="26"/>
      <x:c r="L111" s="26"/>
      <x:c r="M111" s="26"/>
      <x:c r="N111" s="26"/>
      <x:c r="O111" s="26"/>
      <x:c r="P111" s="26"/>
      <x:c r="Q111" s="26"/>
      <x:c r="R111" s="26"/>
      <x:c r="S111" s="26"/>
      <x:c r="T111" s="3"/>
      <x:c r="U111" s="3"/>
      <x:c r="V111" s="3"/>
    </x:row>
    <x:row r="112" ht="30" customHeight="1">
      <x:c r="A112" s="3" t="str">
        <x:v>assumptions/2026/timeseries/naamsa.sources.yaml</x:v>
      </x:c>
      <x:c r="B112" s="3" t="str">
        <x:v>SHA256</x:v>
      </x:c>
      <x:c r="C112" s="3" t="str">
        <x:v>Frozen file</x:v>
      </x:c>
      <x:c r="D112" s="84"/>
      <x:c r="E112" s="13" t="str">
        <x:v>aca53bfa4fcf655931542ed6448496b33ed9ae9f106205e4ac1bb6cb5e8235dc</x:v>
      </x:c>
      <x:c r="F112" s="26"/>
      <x:c r="G112" s="26"/>
      <x:c r="H112" s="26"/>
      <x:c r="I112" s="26"/>
      <x:c r="J112" s="26"/>
      <x:c r="K112" s="26"/>
      <x:c r="L112" s="26"/>
      <x:c r="M112" s="26"/>
      <x:c r="N112" s="26"/>
      <x:c r="O112" s="26"/>
      <x:c r="P112" s="26"/>
      <x:c r="Q112" s="26"/>
      <x:c r="R112" s="26"/>
      <x:c r="S112" s="26"/>
      <x:c r="T112" s="3"/>
      <x:c r="U112" s="3"/>
      <x:c r="V112" s="3"/>
    </x:row>
    <x:row r="113" ht="30" customHeight="1">
      <x:c r="A113" s="3" t="str">
        <x:v>assumptions/2026/timeseries/natis.sources.yaml</x:v>
      </x:c>
      <x:c r="B113" s="3" t="str">
        <x:v>SHA256</x:v>
      </x:c>
      <x:c r="C113" s="3" t="str">
        <x:v>Frozen file</x:v>
      </x:c>
      <x:c r="D113" s="84"/>
      <x:c r="E113" s="13" t="str">
        <x:v>8787984be492aceb38fb483fd1d37933a11364515b42b8488304083c26946b1a</x:v>
      </x:c>
      <x:c r="F113" s="26"/>
      <x:c r="G113" s="26"/>
      <x:c r="H113" s="26"/>
      <x:c r="I113" s="26"/>
      <x:c r="J113" s="26"/>
      <x:c r="K113" s="26"/>
      <x:c r="L113" s="26"/>
      <x:c r="M113" s="26"/>
      <x:c r="N113" s="26"/>
      <x:c r="O113" s="26"/>
      <x:c r="P113" s="26"/>
      <x:c r="Q113" s="26"/>
      <x:c r="R113" s="26"/>
      <x:c r="S113" s="26"/>
      <x:c r="T113" s="3"/>
      <x:c r="U113" s="3"/>
      <x:c r="V113" s="3"/>
    </x:row>
    <x:row r="114" ht="30" customHeight="1">
      <x:c r="A114" s="3" t="str">
        <x:v>assumptions/2026/timeseries/nev_sales_naamsa.csv</x:v>
      </x:c>
      <x:c r="B114" s="3" t="str">
        <x:v>SHA256</x:v>
      </x:c>
      <x:c r="C114" s="3" t="str">
        <x:v>Frozen file</x:v>
      </x:c>
      <x:c r="D114" s="84"/>
      <x:c r="E114" s="13" t="str">
        <x:v>c047aeef4485c2bf43779f6cbf1362cc9d2dc32d629d8b5605cea764c9defb91</x:v>
      </x:c>
      <x:c r="F114" s="26"/>
      <x:c r="G114" s="26"/>
      <x:c r="H114" s="26"/>
      <x:c r="I114" s="26"/>
      <x:c r="J114" s="26"/>
      <x:c r="K114" s="26"/>
      <x:c r="L114" s="26"/>
      <x:c r="M114" s="26"/>
      <x:c r="N114" s="26"/>
      <x:c r="O114" s="26"/>
      <x:c r="P114" s="26"/>
      <x:c r="Q114" s="26"/>
      <x:c r="R114" s="26"/>
      <x:c r="S114" s="26"/>
      <x:c r="T114" s="3"/>
      <x:c r="U114" s="3"/>
      <x:c r="V114" s="3"/>
    </x:row>
    <x:row r="115" ht="30" customHeight="1">
      <x:c r="A115" s="3" t="str">
        <x:v>assumptions/2026/timeseries/new_vehicl… [N364]</x:v>
      </x:c>
      <x:c r="B115" s="3" t="str">
        <x:v>SHA256</x:v>
      </x:c>
      <x:c r="C115" s="3" t="str">
        <x:v>Frozen file</x:v>
      </x:c>
      <x:c r="D115" s="84"/>
      <x:c r="E115" s="13" t="str">
        <x:v>d044b44ad018367130d3442b7cd0dcc798e52dcc1475aaaaa88aedcc885d8c4e</x:v>
      </x:c>
      <x:c r="F115" s="26"/>
      <x:c r="G115" s="26"/>
      <x:c r="H115" s="26"/>
      <x:c r="I115" s="26"/>
      <x:c r="J115" s="26"/>
      <x:c r="K115" s="26"/>
      <x:c r="L115" s="26"/>
      <x:c r="M115" s="26"/>
      <x:c r="N115" s="26"/>
      <x:c r="O115" s="26"/>
      <x:c r="P115" s="26"/>
      <x:c r="Q115" s="26"/>
      <x:c r="R115" s="26"/>
      <x:c r="S115" s="26"/>
      <x:c r="T115" s="3"/>
      <x:c r="U115" s="3"/>
      <x:c r="V115" s="3"/>
    </x:row>
    <x:row r="116" ht="30" customHeight="1">
      <x:c r="A116" s="3" t="str">
        <x:v>assumptions/2026/timeseries/new_vehicl… [N365]</x:v>
      </x:c>
      <x:c r="B116" s="3" t="str">
        <x:v>SHA256</x:v>
      </x:c>
      <x:c r="C116" s="3" t="str">
        <x:v>Frozen file</x:v>
      </x:c>
      <x:c r="D116" s="84"/>
      <x:c r="E116" s="13" t="str">
        <x:v>0efea6b314167a5bbac20611e07e8df548117c4c37ba2a0e5a18b09d566af8fd</x:v>
      </x:c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26"/>
      <x:c r="P116" s="26"/>
      <x:c r="Q116" s="26"/>
      <x:c r="R116" s="26"/>
      <x:c r="S116" s="26"/>
      <x:c r="T116" s="3"/>
      <x:c r="U116" s="3"/>
      <x:c r="V116" s="3"/>
    </x:row>
    <x:row r="117" ht="30" customHeight="1">
      <x:c r="A117" s="3" t="str">
        <x:v>assumptions/2026/timeseries/new_vehicl… [N366]</x:v>
      </x:c>
      <x:c r="B117" s="3" t="str">
        <x:v>SHA256</x:v>
      </x:c>
      <x:c r="C117" s="3" t="str">
        <x:v>Frozen file</x:v>
      </x:c>
      <x:c r="D117" s="84"/>
      <x:c r="E117" s="13" t="str">
        <x:v>18c3f96d82da8c7340e6a5833bd0c5f8c7f3aa8e4d89d9eb45b388bb2aec2b58</x:v>
      </x:c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26"/>
      <x:c r="P117" s="26"/>
      <x:c r="Q117" s="26"/>
      <x:c r="R117" s="26"/>
      <x:c r="S117" s="26"/>
      <x:c r="T117" s="3"/>
      <x:c r="U117" s="3"/>
      <x:c r="V117" s="3"/>
    </x:row>
    <x:row r="118" ht="30" customHeight="1">
      <x:c r="A118" s="3" t="str">
        <x:v>assumptions/2026/timeseries/ocgt_gener… [N367]</x:v>
      </x:c>
      <x:c r="B118" s="3" t="str">
        <x:v>SHA256</x:v>
      </x:c>
      <x:c r="C118" s="3" t="str">
        <x:v>Frozen file</x:v>
      </x:c>
      <x:c r="D118" s="84"/>
      <x:c r="E118" s="13" t="str">
        <x:v>24084b32a3e8ca70c033728722db40c9088649991bba1d2972848e4f22884add</x:v>
      </x:c>
      <x:c r="F118" s="26"/>
      <x:c r="G118" s="26"/>
      <x:c r="H118" s="26"/>
      <x:c r="I118" s="26"/>
      <x:c r="J118" s="26"/>
      <x:c r="K118" s="26"/>
      <x:c r="L118" s="26"/>
      <x:c r="M118" s="26"/>
      <x:c r="N118" s="26"/>
      <x:c r="O118" s="26"/>
      <x:c r="P118" s="26"/>
      <x:c r="Q118" s="26"/>
      <x:c r="R118" s="26"/>
      <x:c r="S118" s="26"/>
      <x:c r="T118" s="3"/>
      <x:c r="U118" s="3"/>
      <x:c r="V118" s="3"/>
    </x:row>
    <x:row r="119" ht="30" customHeight="1">
      <x:c r="A119" s="3" t="str">
        <x:v>assumptions/2026/timeseries/ocgt_gener… [N368]</x:v>
      </x:c>
      <x:c r="B119" s="3" t="str">
        <x:v>SHA256</x:v>
      </x:c>
      <x:c r="C119" s="3" t="str">
        <x:v>Frozen file</x:v>
      </x:c>
      <x:c r="D119" s="84"/>
      <x:c r="E119" s="13" t="str">
        <x:v>25d54771dab6fcff609054926ae9eccac811e27ae4ab7b3f38a088fe0e91921e</x:v>
      </x:c>
      <x:c r="F119" s="26"/>
      <x:c r="G119" s="26"/>
      <x:c r="H119" s="26"/>
      <x:c r="I119" s="26"/>
      <x:c r="J119" s="26"/>
      <x:c r="K119" s="26"/>
      <x:c r="L119" s="26"/>
      <x:c r="M119" s="26"/>
      <x:c r="N119" s="26"/>
      <x:c r="O119" s="26"/>
      <x:c r="P119" s="26"/>
      <x:c r="Q119" s="26"/>
      <x:c r="R119" s="26"/>
      <x:c r="S119" s="26"/>
      <x:c r="T119" s="3"/>
      <x:c r="U119" s="3"/>
      <x:c r="V119" s="3"/>
    </x:row>
    <x:row r="120" ht="30" customHeight="1">
      <x:c r="A120" s="3" t="str">
        <x:v>assumptions/2026/timeseries/ocgt_load_factor.csv</x:v>
      </x:c>
      <x:c r="B120" s="3" t="str">
        <x:v>SHA256</x:v>
      </x:c>
      <x:c r="C120" s="3" t="str">
        <x:v>Frozen file</x:v>
      </x:c>
      <x:c r="D120" s="84"/>
      <x:c r="E120" s="13" t="str">
        <x:v>4ee8d166218567440aa1601d18357eb6f7b5c1bd83fa9393099515480d128b0c</x:v>
      </x:c>
      <x:c r="F120" s="26"/>
      <x:c r="G120" s="26"/>
      <x:c r="H120" s="26"/>
      <x:c r="I120" s="26"/>
      <x:c r="J120" s="26"/>
      <x:c r="K120" s="26"/>
      <x:c r="L120" s="26"/>
      <x:c r="M120" s="26"/>
      <x:c r="N120" s="26"/>
      <x:c r="O120" s="26"/>
      <x:c r="P120" s="26"/>
      <x:c r="Q120" s="26"/>
      <x:c r="R120" s="26"/>
      <x:c r="S120" s="26"/>
      <x:c r="T120" s="3"/>
      <x:c r="U120" s="3"/>
      <x:c r="V120" s="3"/>
    </x:row>
    <x:row r="121" ht="30" customHeight="1">
      <x:c r="A121" s="3" t="str">
        <x:v>assumptions/2026/timeseries/ocgt_load_shedding.csv</x:v>
      </x:c>
      <x:c r="B121" s="3" t="str">
        <x:v>SHA256</x:v>
      </x:c>
      <x:c r="C121" s="3" t="str">
        <x:v>Frozen file</x:v>
      </x:c>
      <x:c r="D121" s="84"/>
      <x:c r="E121" s="13" t="str">
        <x:v>a59366005a96f0750629cfa6abf0d46e3eb508cce396b98c1806401d46e854e3</x:v>
      </x:c>
      <x:c r="F121" s="26"/>
      <x:c r="G121" s="26"/>
      <x:c r="H121" s="26"/>
      <x:c r="I121" s="26"/>
      <x:c r="J121" s="26"/>
      <x:c r="K121" s="26"/>
      <x:c r="L121" s="26"/>
      <x:c r="M121" s="26"/>
      <x:c r="N121" s="26"/>
      <x:c r="O121" s="26"/>
      <x:c r="P121" s="26"/>
      <x:c r="Q121" s="26"/>
      <x:c r="R121" s="26"/>
      <x:c r="S121" s="26"/>
      <x:c r="T121" s="3"/>
      <x:c r="U121" s="3"/>
      <x:c r="V121" s="3"/>
    </x:row>
    <x:row r="122" ht="30" customHeight="1">
      <x:c r="A122" s="3" t="str">
        <x:v>assumptions/2026/timeseries/passenger_… [N369]</x:v>
      </x:c>
      <x:c r="B122" s="3" t="str">
        <x:v>SHA256</x:v>
      </x:c>
      <x:c r="C122" s="3" t="str">
        <x:v>Frozen file</x:v>
      </x:c>
      <x:c r="D122" s="84"/>
      <x:c r="E122" s="13" t="str">
        <x:v>c4fc42851b8fe56a95926f27e5d3af1dfe17fd0f7438d87efd45cd3750b7d7e7</x:v>
      </x:c>
      <x:c r="F122" s="26"/>
      <x:c r="G122" s="26"/>
      <x:c r="H122" s="26"/>
      <x:c r="I122" s="26"/>
      <x:c r="J122" s="26"/>
      <x:c r="K122" s="26"/>
      <x:c r="L122" s="26"/>
      <x:c r="M122" s="26"/>
      <x:c r="N122" s="26"/>
      <x:c r="O122" s="26"/>
      <x:c r="P122" s="26"/>
      <x:c r="Q122" s="26"/>
      <x:c r="R122" s="26"/>
      <x:c r="S122" s="26"/>
      <x:c r="T122" s="3"/>
      <x:c r="U122" s="3"/>
      <x:c r="V122" s="3"/>
    </x:row>
    <x:row r="123" ht="30" customHeight="1">
      <x:c r="A123" s="3" t="str">
        <x:v>assumptions/2026/timeseries/population.csv</x:v>
      </x:c>
      <x:c r="B123" s="3" t="str">
        <x:v>SHA256</x:v>
      </x:c>
      <x:c r="C123" s="3" t="str">
        <x:v>Frozen file</x:v>
      </x:c>
      <x:c r="D123" s="84"/>
      <x:c r="E123" s="13" t="str">
        <x:v>84ad50a18791de0cf8a3e90ec5ab76f29b07dc89307e05fb58ce67157b8a4962</x:v>
      </x:c>
      <x:c r="F123" s="26"/>
      <x:c r="G123" s="26"/>
      <x:c r="H123" s="26"/>
      <x:c r="I123" s="26"/>
      <x:c r="J123" s="26"/>
      <x:c r="K123" s="26"/>
      <x:c r="L123" s="26"/>
      <x:c r="M123" s="26"/>
      <x:c r="N123" s="26"/>
      <x:c r="O123" s="26"/>
      <x:c r="P123" s="26"/>
      <x:c r="Q123" s="26"/>
      <x:c r="R123" s="26"/>
      <x:c r="S123" s="26"/>
      <x:c r="T123" s="3"/>
      <x:c r="U123" s="3"/>
      <x:c r="V123" s="3"/>
    </x:row>
    <x:row r="124" ht="30" customHeight="1">
      <x:c r="A124" s="3" t="str">
        <x:v>assumptions/2026/timeseries/refinery_c… [N370]</x:v>
      </x:c>
      <x:c r="B124" s="3" t="str">
        <x:v>SHA256</x:v>
      </x:c>
      <x:c r="C124" s="3" t="str">
        <x:v>Frozen file</x:v>
      </x:c>
      <x:c r="D124" s="84"/>
      <x:c r="E124" s="13" t="str">
        <x:v>07df1233838f20c2ba38a8d46ae575261905ff4c064d1a27cd78aee280fc00d2</x:v>
      </x:c>
      <x:c r="F124" s="26"/>
      <x:c r="G124" s="26"/>
      <x:c r="H124" s="26"/>
      <x:c r="I124" s="26"/>
      <x:c r="J124" s="26"/>
      <x:c r="K124" s="26"/>
      <x:c r="L124" s="26"/>
      <x:c r="M124" s="26"/>
      <x:c r="N124" s="26"/>
      <x:c r="O124" s="26"/>
      <x:c r="P124" s="26"/>
      <x:c r="Q124" s="26"/>
      <x:c r="R124" s="26"/>
      <x:c r="S124" s="26"/>
      <x:c r="T124" s="3"/>
      <x:c r="U124" s="3"/>
      <x:c r="V124" s="3"/>
    </x:row>
    <x:row r="125" ht="30" customHeight="1">
      <x:c r="A125" s="3" t="str">
        <x:v>assumptions/2026/timeseries/refinery_p… [N371]</x:v>
      </x:c>
      <x:c r="B125" s="3" t="str">
        <x:v>SHA256</x:v>
      </x:c>
      <x:c r="C125" s="3" t="str">
        <x:v>Frozen file</x:v>
      </x:c>
      <x:c r="D125" s="84"/>
      <x:c r="E125" s="13" t="str">
        <x:v>d2d7241a40c7dbd819e1017106bac96b22e2cc1424cf488012d9f9c20ef11a04</x:v>
      </x:c>
      <x:c r="F125" s="26"/>
      <x:c r="G125" s="26"/>
      <x:c r="H125" s="26"/>
      <x:c r="I125" s="26"/>
      <x:c r="J125" s="26"/>
      <x:c r="K125" s="26"/>
      <x:c r="L125" s="26"/>
      <x:c r="M125" s="26"/>
      <x:c r="N125" s="26"/>
      <x:c r="O125" s="26"/>
      <x:c r="P125" s="26"/>
      <x:c r="Q125" s="26"/>
      <x:c r="R125" s="26"/>
      <x:c r="S125" s="26"/>
      <x:c r="T125" s="3"/>
      <x:c r="U125" s="3"/>
      <x:c r="V125" s="3"/>
    </x:row>
    <x:row r="126" ht="30" customHeight="1">
      <x:c r="A126" s="3" t="str">
        <x:v>assumptions/2026/timeseries/vehicle_po… [N372]</x:v>
      </x:c>
      <x:c r="B126" s="3" t="str">
        <x:v>SHA256</x:v>
      </x:c>
      <x:c r="C126" s="3" t="str">
        <x:v>Frozen file</x:v>
      </x:c>
      <x:c r="D126" s="84"/>
      <x:c r="E126" s="13" t="str">
        <x:v>fb103c7f4e1ccf92402b167f16c38c54462bc51b8951fc7c204b8484ad7254c4</x:v>
      </x:c>
      <x:c r="F126" s="26"/>
      <x:c r="G126" s="26"/>
      <x:c r="H126" s="26"/>
      <x:c r="I126" s="26"/>
      <x:c r="J126" s="26"/>
      <x:c r="K126" s="26"/>
      <x:c r="L126" s="26"/>
      <x:c r="M126" s="26"/>
      <x:c r="N126" s="26"/>
      <x:c r="O126" s="26"/>
      <x:c r="P126" s="26"/>
      <x:c r="Q126" s="26"/>
      <x:c r="R126" s="26"/>
      <x:c r="S126" s="26"/>
      <x:c r="T126" s="3"/>
      <x:c r="U126" s="3"/>
      <x:c r="V126" s="3"/>
    </x:row>
    <x:row r="127" ht="30" customHeight="1">
      <x:c r="A127" s="3" t="str">
        <x:v>assumptions/2026/vehicles.yaml</x:v>
      </x:c>
      <x:c r="B127" s="3" t="str">
        <x:v>SHA256</x:v>
      </x:c>
      <x:c r="C127" s="3" t="str">
        <x:v>Frozen file</x:v>
      </x:c>
      <x:c r="D127" s="84"/>
      <x:c r="E127" s="13" t="str">
        <x:v>e77eb3eceb54949da864a8d522d71db9950d738a69b97af6a58692e6666a028a</x:v>
      </x:c>
      <x:c r="F127" s="26"/>
      <x:c r="G127" s="26"/>
      <x:c r="H127" s="26"/>
      <x:c r="I127" s="26"/>
      <x:c r="J127" s="26"/>
      <x:c r="K127" s="26"/>
      <x:c r="L127" s="26"/>
      <x:c r="M127" s="26"/>
      <x:c r="N127" s="26"/>
      <x:c r="O127" s="26"/>
      <x:c r="P127" s="26"/>
      <x:c r="Q127" s="26"/>
      <x:c r="R127" s="26"/>
      <x:c r="S127" s="26"/>
      <x:c r="T127" s="3"/>
      <x:c r="U127" s="3"/>
      <x:c r="V127" s="3"/>
    </x:row>
    <x:row r="128" ht="8" customHeight="1">
      <x:c r="A128" s="3"/>
      <x:c r="B128" s="3"/>
      <x:c r="C128" s="3"/>
      <x:c r="D128" s="84"/>
      <x:c r="E128" s="13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26"/>
      <x:c r="P128" s="26"/>
      <x:c r="Q128" s="26"/>
      <x:c r="R128" s="26"/>
      <x:c r="S128" s="26"/>
      <x:c r="T128" s="3"/>
      <x:c r="U128" s="3"/>
      <x:c r="V128" s="3"/>
    </x:row>
    <x:row r="129" ht="8" customHeight="1">
      <x:c r="A129" s="3"/>
      <x:c r="B129" s="3"/>
      <x:c r="C129" s="3"/>
      <x:c r="D129" s="84"/>
      <x:c r="E129" s="13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26"/>
      <x:c r="P129" s="26"/>
      <x:c r="Q129" s="26"/>
      <x:c r="R129" s="26"/>
      <x:c r="S129" s="26"/>
      <x:c r="T129" s="3"/>
      <x:c r="U129" s="3"/>
      <x:c r="V129" s="3"/>
    </x:row>
    <x:row r="130" ht="8" customHeight="1">
      <x:c r="A130" s="3"/>
      <x:c r="B130" s="3"/>
      <x:c r="C130" s="3"/>
      <x:c r="D130" s="84"/>
      <x:c r="E130" s="13"/>
      <x:c r="F130" s="26"/>
      <x:c r="G130" s="26"/>
      <x:c r="H130" s="26"/>
      <x:c r="I130" s="26"/>
      <x:c r="J130" s="26"/>
      <x:c r="K130" s="26"/>
      <x:c r="L130" s="26"/>
      <x:c r="M130" s="26"/>
      <x:c r="N130" s="26"/>
      <x:c r="O130" s="26"/>
      <x:c r="P130" s="26"/>
      <x:c r="Q130" s="26"/>
      <x:c r="R130" s="26"/>
      <x:c r="S130" s="26"/>
      <x:c r="T130" s="3"/>
      <x:c r="U130" s="3"/>
      <x:c r="V130" s="3"/>
    </x:row>
    <x:row r="131" ht="8" customHeight="1">
      <x:c r="A131" s="3"/>
      <x:c r="B131" s="3"/>
      <x:c r="C131" s="3"/>
      <x:c r="D131" s="84"/>
      <x:c r="E131" s="13"/>
      <x:c r="F131" s="26"/>
      <x:c r="G131" s="26"/>
      <x:c r="H131" s="26"/>
      <x:c r="I131" s="26"/>
      <x:c r="J131" s="26"/>
      <x:c r="K131" s="26"/>
      <x:c r="L131" s="26"/>
      <x:c r="M131" s="26"/>
      <x:c r="N131" s="26"/>
      <x:c r="O131" s="26"/>
      <x:c r="P131" s="26"/>
      <x:c r="Q131" s="26"/>
      <x:c r="R131" s="26"/>
      <x:c r="S131" s="26"/>
      <x:c r="T131" s="3"/>
      <x:c r="U131" s="3"/>
      <x:c r="V131" s="3"/>
    </x:row>
    <x:row r="132" ht="8" customHeight="1">
      <x:c r="A132" s="3"/>
      <x:c r="B132" s="3"/>
      <x:c r="C132" s="3"/>
      <x:c r="D132" s="84"/>
      <x:c r="E132" s="13"/>
      <x:c r="F132" s="26"/>
      <x:c r="G132" s="26"/>
      <x:c r="H132" s="26"/>
      <x:c r="I132" s="26"/>
      <x:c r="J132" s="26"/>
      <x:c r="K132" s="26"/>
      <x:c r="L132" s="26"/>
      <x:c r="M132" s="26"/>
      <x:c r="N132" s="26"/>
      <x:c r="O132" s="26"/>
      <x:c r="P132" s="26"/>
      <x:c r="Q132" s="26"/>
      <x:c r="R132" s="26"/>
      <x:c r="S132" s="26"/>
      <x:c r="T132" s="3"/>
      <x:c r="U132" s="3"/>
      <x:c r="V132" s="3"/>
    </x:row>
    <x:row r="133" ht="8" customHeight="1">
      <x:c r="A133" s="3"/>
      <x:c r="B133" s="3"/>
      <x:c r="C133" s="3"/>
      <x:c r="D133" s="84"/>
      <x:c r="E133" s="13"/>
      <x:c r="F133" s="26"/>
      <x:c r="G133" s="26"/>
      <x:c r="H133" s="26"/>
      <x:c r="I133" s="26"/>
      <x:c r="J133" s="26"/>
      <x:c r="K133" s="26"/>
      <x:c r="L133" s="26"/>
      <x:c r="M133" s="26"/>
      <x:c r="N133" s="26"/>
      <x:c r="O133" s="26"/>
      <x:c r="P133" s="26"/>
      <x:c r="Q133" s="26"/>
      <x:c r="R133" s="26"/>
      <x:c r="S133" s="26"/>
      <x:c r="T133" s="3"/>
      <x:c r="U133" s="3"/>
      <x:c r="V133" s="3"/>
    </x:row>
    <x:row r="134" ht="8" customHeight="1">
      <x:c r="A134" s="3"/>
      <x:c r="B134" s="3"/>
      <x:c r="C134" s="3"/>
      <x:c r="D134" s="84"/>
      <x:c r="E134" s="13"/>
      <x:c r="F134" s="26"/>
      <x:c r="G134" s="26"/>
      <x:c r="H134" s="26"/>
      <x:c r="I134" s="26"/>
      <x:c r="J134" s="26"/>
      <x:c r="K134" s="26"/>
      <x:c r="L134" s="26"/>
      <x:c r="M134" s="26"/>
      <x:c r="N134" s="26"/>
      <x:c r="O134" s="26"/>
      <x:c r="P134" s="26"/>
      <x:c r="Q134" s="26"/>
      <x:c r="R134" s="26"/>
      <x:c r="S134" s="26"/>
      <x:c r="T134" s="3"/>
      <x:c r="U134" s="3"/>
      <x:c r="V134" s="3"/>
    </x:row>
    <x:row r="135" ht="8" customHeight="1">
      <x:c r="A135" s="3"/>
      <x:c r="B135" s="3"/>
      <x:c r="C135" s="3"/>
      <x:c r="D135" s="84"/>
      <x:c r="E135" s="13"/>
      <x:c r="F135" s="26"/>
      <x:c r="G135" s="26"/>
      <x:c r="H135" s="26"/>
      <x:c r="I135" s="26"/>
      <x:c r="J135" s="26"/>
      <x:c r="K135" s="26"/>
      <x:c r="L135" s="26"/>
      <x:c r="M135" s="26"/>
      <x:c r="N135" s="26"/>
      <x:c r="O135" s="26"/>
      <x:c r="P135" s="26"/>
      <x:c r="Q135" s="26"/>
      <x:c r="R135" s="26"/>
      <x:c r="S135" s="26"/>
      <x:c r="T135" s="3"/>
      <x:c r="U135" s="3"/>
      <x:c r="V135" s="3"/>
    </x:row>
    <x:row r="136" ht="8" customHeight="1">
      <x:c r="A136" s="3"/>
      <x:c r="B136" s="3"/>
      <x:c r="C136" s="3"/>
      <x:c r="D136" s="84"/>
      <x:c r="E136" s="13"/>
      <x:c r="F136" s="26"/>
      <x:c r="G136" s="26"/>
      <x:c r="H136" s="26"/>
      <x:c r="I136" s="26"/>
      <x:c r="J136" s="26"/>
      <x:c r="K136" s="26"/>
      <x:c r="L136" s="26"/>
      <x:c r="M136" s="26"/>
      <x:c r="N136" s="26"/>
      <x:c r="O136" s="26"/>
      <x:c r="P136" s="26"/>
      <x:c r="Q136" s="26"/>
      <x:c r="R136" s="26"/>
      <x:c r="S136" s="26"/>
      <x:c r="T136" s="3"/>
      <x:c r="U136" s="3"/>
      <x:c r="V136" s="3"/>
    </x:row>
    <x:row r="137" ht="8" customHeight="1">
      <x:c r="A137" s="3"/>
      <x:c r="B137" s="3"/>
      <x:c r="C137" s="3"/>
      <x:c r="D137" s="84"/>
      <x:c r="E137" s="13"/>
      <x:c r="F137" s="26"/>
      <x:c r="G137" s="26"/>
      <x:c r="H137" s="26"/>
      <x:c r="I137" s="26"/>
      <x:c r="J137" s="26"/>
      <x:c r="K137" s="26"/>
      <x:c r="L137" s="26"/>
      <x:c r="M137" s="26"/>
      <x:c r="N137" s="26"/>
      <x:c r="O137" s="26"/>
      <x:c r="P137" s="26"/>
      <x:c r="Q137" s="26"/>
      <x:c r="R137" s="26"/>
      <x:c r="S137" s="26"/>
      <x:c r="T137" s="3"/>
      <x:c r="U137" s="3"/>
      <x:c r="V137" s="3"/>
    </x:row>
    <x:row r="138" ht="8" customHeight="1">
      <x:c r="A138" s="3"/>
      <x:c r="B138" s="3"/>
      <x:c r="C138" s="3"/>
      <x:c r="D138" s="84"/>
      <x:c r="E138" s="13"/>
      <x:c r="F138" s="26"/>
      <x:c r="G138" s="26"/>
      <x:c r="H138" s="26"/>
      <x:c r="I138" s="26"/>
      <x:c r="J138" s="26"/>
      <x:c r="K138" s="26"/>
      <x:c r="L138" s="26"/>
      <x:c r="M138" s="26"/>
      <x:c r="N138" s="26"/>
      <x:c r="O138" s="26"/>
      <x:c r="P138" s="26"/>
      <x:c r="Q138" s="26"/>
      <x:c r="R138" s="26"/>
      <x:c r="S138" s="26"/>
      <x:c r="T138" s="3"/>
      <x:c r="U138" s="3"/>
      <x:c r="V138" s="3"/>
    </x:row>
    <x:row r="139" ht="8" customHeight="1">
      <x:c r="A139" s="3"/>
      <x:c r="B139" s="3"/>
      <x:c r="C139" s="3"/>
      <x:c r="D139" s="84"/>
      <x:c r="E139" s="13"/>
      <x:c r="F139" s="26"/>
      <x:c r="G139" s="26"/>
      <x:c r="H139" s="26"/>
      <x:c r="I139" s="26"/>
      <x:c r="J139" s="26"/>
      <x:c r="K139" s="26"/>
      <x:c r="L139" s="26"/>
      <x:c r="M139" s="26"/>
      <x:c r="N139" s="26"/>
      <x:c r="O139" s="26"/>
      <x:c r="P139" s="26"/>
      <x:c r="Q139" s="26"/>
      <x:c r="R139" s="26"/>
      <x:c r="S139" s="26"/>
      <x:c r="T139" s="3"/>
      <x:c r="U139" s="3"/>
      <x:c r="V139" s="3"/>
    </x:row>
    <x:row r="140" ht="8" customHeight="1">
      <x:c r="A140" s="3"/>
      <x:c r="B140" s="3"/>
      <x:c r="C140" s="3"/>
      <x:c r="D140" s="84"/>
      <x:c r="E140" s="13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26"/>
      <x:c r="P140" s="26"/>
      <x:c r="Q140" s="26"/>
      <x:c r="R140" s="26"/>
      <x:c r="S140" s="26"/>
      <x:c r="T140" s="3"/>
      <x:c r="U140" s="3"/>
      <x:c r="V140" s="3"/>
    </x:row>
    <x:row r="141" ht="8" customHeight="1">
      <x:c r="A141" s="3"/>
      <x:c r="B141" s="3"/>
      <x:c r="C141" s="3"/>
      <x:c r="D141" s="84"/>
      <x:c r="E141" s="13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26"/>
      <x:c r="P141" s="26"/>
      <x:c r="Q141" s="26"/>
      <x:c r="R141" s="26"/>
      <x:c r="S141" s="26"/>
      <x:c r="T141" s="3"/>
      <x:c r="U141" s="3"/>
      <x:c r="V141" s="3"/>
    </x:row>
    <x:row r="142" ht="8" customHeight="1">
      <x:c r="A142" s="3"/>
      <x:c r="B142" s="3"/>
      <x:c r="C142" s="3"/>
      <x:c r="D142" s="84"/>
      <x:c r="E142" s="13"/>
      <x:c r="F142" s="26"/>
      <x:c r="G142" s="26"/>
      <x:c r="H142" s="26"/>
      <x:c r="I142" s="26"/>
      <x:c r="J142" s="26"/>
      <x:c r="K142" s="26"/>
      <x:c r="L142" s="26"/>
      <x:c r="M142" s="26"/>
      <x:c r="N142" s="26"/>
      <x:c r="O142" s="26"/>
      <x:c r="P142" s="26"/>
      <x:c r="Q142" s="26"/>
      <x:c r="R142" s="26"/>
      <x:c r="S142" s="26"/>
      <x:c r="T142" s="3"/>
      <x:c r="U142" s="3"/>
      <x:c r="V142" s="3"/>
    </x:row>
    <x:row r="143" ht="8" customHeight="1">
      <x:c r="A143" s="3"/>
      <x:c r="B143" s="3"/>
      <x:c r="C143" s="3"/>
      <x:c r="D143" s="84"/>
      <x:c r="E143" s="13"/>
      <x:c r="F143" s="26"/>
      <x:c r="G143" s="26"/>
      <x:c r="H143" s="26"/>
      <x:c r="I143" s="26"/>
      <x:c r="J143" s="26"/>
      <x:c r="K143" s="26"/>
      <x:c r="L143" s="26"/>
      <x:c r="M143" s="26"/>
      <x:c r="N143" s="26"/>
      <x:c r="O143" s="26"/>
      <x:c r="P143" s="26"/>
      <x:c r="Q143" s="26"/>
      <x:c r="R143" s="26"/>
      <x:c r="S143" s="26"/>
      <x:c r="T143" s="3"/>
      <x:c r="U143" s="3"/>
      <x:c r="V143" s="3"/>
    </x:row>
    <x:row r="144" ht="8" customHeight="1">
      <x:c r="A144" s="3"/>
      <x:c r="B144" s="3"/>
      <x:c r="C144" s="3"/>
      <x:c r="D144" s="84"/>
      <x:c r="E144" s="13"/>
      <x:c r="F144" s="26"/>
      <x:c r="G144" s="26"/>
      <x:c r="H144" s="26"/>
      <x:c r="I144" s="26"/>
      <x:c r="J144" s="26"/>
      <x:c r="K144" s="26"/>
      <x:c r="L144" s="26"/>
      <x:c r="M144" s="26"/>
      <x:c r="N144" s="26"/>
      <x:c r="O144" s="26"/>
      <x:c r="P144" s="26"/>
      <x:c r="Q144" s="26"/>
      <x:c r="R144" s="26"/>
      <x:c r="S144" s="26"/>
      <x:c r="T144" s="3"/>
      <x:c r="U144" s="3"/>
      <x:c r="V144" s="3"/>
    </x:row>
    <x:row r="145" ht="8" customHeight="1">
      <x:c r="A145" s="3"/>
      <x:c r="B145" s="3"/>
      <x:c r="C145" s="3"/>
      <x:c r="D145" s="84"/>
      <x:c r="E145" s="13"/>
      <x:c r="F145" s="26"/>
      <x:c r="G145" s="26"/>
      <x:c r="H145" s="26"/>
      <x:c r="I145" s="26"/>
      <x:c r="J145" s="26"/>
      <x:c r="K145" s="26"/>
      <x:c r="L145" s="26"/>
      <x:c r="M145" s="26"/>
      <x:c r="N145" s="26"/>
      <x:c r="O145" s="26"/>
      <x:c r="P145" s="26"/>
      <x:c r="Q145" s="26"/>
      <x:c r="R145" s="26"/>
      <x:c r="S145" s="26"/>
      <x:c r="T145" s="3"/>
      <x:c r="U145" s="3"/>
      <x:c r="V145" s="3"/>
    </x:row>
    <x:row r="146" ht="8" customHeight="1">
      <x:c r="A146" s="3"/>
      <x:c r="B146" s="3"/>
      <x:c r="C146" s="3"/>
      <x:c r="D146" s="84"/>
      <x:c r="E146" s="13"/>
      <x:c r="F146" s="26"/>
      <x:c r="G146" s="26"/>
      <x:c r="H146" s="26"/>
      <x:c r="I146" s="26"/>
      <x:c r="J146" s="26"/>
      <x:c r="K146" s="26"/>
      <x:c r="L146" s="26"/>
      <x:c r="M146" s="26"/>
      <x:c r="N146" s="26"/>
      <x:c r="O146" s="26"/>
      <x:c r="P146" s="26"/>
      <x:c r="Q146" s="26"/>
      <x:c r="R146" s="26"/>
      <x:c r="S146" s="26"/>
      <x:c r="T146" s="3"/>
      <x:c r="U146" s="3"/>
      <x:c r="V146" s="3"/>
    </x:row>
    <x:row r="147" ht="8" customHeight="1">
      <x:c r="A147" s="3"/>
      <x:c r="B147" s="3"/>
      <x:c r="C147" s="3"/>
      <x:c r="D147" s="84"/>
      <x:c r="E147" s="13"/>
      <x:c r="F147" s="26"/>
      <x:c r="G147" s="26"/>
      <x:c r="H147" s="26"/>
      <x:c r="I147" s="26"/>
      <x:c r="J147" s="26"/>
      <x:c r="K147" s="26"/>
      <x:c r="L147" s="26"/>
      <x:c r="M147" s="26"/>
      <x:c r="N147" s="26"/>
      <x:c r="O147" s="26"/>
      <x:c r="P147" s="26"/>
      <x:c r="Q147" s="26"/>
      <x:c r="R147" s="26"/>
      <x:c r="S147" s="26"/>
      <x:c r="T147" s="3"/>
      <x:c r="U147" s="3"/>
      <x:c r="V147" s="3"/>
    </x:row>
    <x:row r="148" ht="8" customHeight="1">
      <x:c r="A148" s="3"/>
      <x:c r="B148" s="3"/>
      <x:c r="C148" s="3"/>
      <x:c r="D148" s="84"/>
      <x:c r="E148" s="13"/>
      <x:c r="F148" s="26"/>
      <x:c r="G148" s="26"/>
      <x:c r="H148" s="26"/>
      <x:c r="I148" s="26"/>
      <x:c r="J148" s="26"/>
      <x:c r="K148" s="26"/>
      <x:c r="L148" s="26"/>
      <x:c r="M148" s="26"/>
      <x:c r="N148" s="26"/>
      <x:c r="O148" s="26"/>
      <x:c r="P148" s="26"/>
      <x:c r="Q148" s="26"/>
      <x:c r="R148" s="26"/>
      <x:c r="S148" s="26"/>
      <x:c r="T148" s="3"/>
      <x:c r="U148" s="3"/>
      <x:c r="V148" s="3"/>
    </x:row>
    <x:row r="149" ht="8" customHeight="1">
      <x:c r="A149" s="3"/>
      <x:c r="B149" s="3"/>
      <x:c r="C149" s="3"/>
      <x:c r="D149" s="84"/>
      <x:c r="E149" s="13"/>
      <x:c r="F149" s="26"/>
      <x:c r="G149" s="26"/>
      <x:c r="H149" s="26"/>
      <x:c r="I149" s="26"/>
      <x:c r="J149" s="26"/>
      <x:c r="K149" s="26"/>
      <x:c r="L149" s="26"/>
      <x:c r="M149" s="26"/>
      <x:c r="N149" s="26"/>
      <x:c r="O149" s="26"/>
      <x:c r="P149" s="26"/>
      <x:c r="Q149" s="26"/>
      <x:c r="R149" s="26"/>
      <x:c r="S149" s="26"/>
      <x:c r="T149" s="3"/>
      <x:c r="U149" s="3"/>
      <x:c r="V149" s="3"/>
    </x:row>
    <x:row r="150" ht="8" customHeight="1">
      <x:c r="A150" s="3"/>
      <x:c r="B150" s="3"/>
      <x:c r="C150" s="3"/>
      <x:c r="D150" s="84"/>
      <x:c r="E150" s="13"/>
      <x:c r="F150" s="26"/>
      <x:c r="G150" s="26"/>
      <x:c r="H150" s="26"/>
      <x:c r="I150" s="26"/>
      <x:c r="J150" s="26"/>
      <x:c r="K150" s="26"/>
      <x:c r="L150" s="26"/>
      <x:c r="M150" s="26"/>
      <x:c r="N150" s="26"/>
      <x:c r="O150" s="26"/>
      <x:c r="P150" s="26"/>
      <x:c r="Q150" s="26"/>
      <x:c r="R150" s="26"/>
      <x:c r="S150" s="26"/>
      <x:c r="T150" s="3"/>
      <x:c r="U150" s="3"/>
      <x:c r="V150" s="3"/>
    </x:row>
    <x:row r="151" ht="8" customHeight="1">
      <x:c r="A151" s="3"/>
      <x:c r="B151" s="3"/>
      <x:c r="C151" s="3"/>
      <x:c r="D151" s="84"/>
      <x:c r="E151" s="13"/>
      <x:c r="F151" s="26"/>
      <x:c r="G151" s="26"/>
      <x:c r="H151" s="26"/>
      <x:c r="I151" s="26"/>
      <x:c r="J151" s="26"/>
      <x:c r="K151" s="26"/>
      <x:c r="L151" s="26"/>
      <x:c r="M151" s="26"/>
      <x:c r="N151" s="26"/>
      <x:c r="O151" s="26"/>
      <x:c r="P151" s="26"/>
      <x:c r="Q151" s="26"/>
      <x:c r="R151" s="26"/>
      <x:c r="S151" s="26"/>
      <x:c r="T151" s="3"/>
      <x:c r="U151" s="3"/>
      <x:c r="V151" s="3"/>
    </x:row>
    <x:row r="152" ht="8" customHeight="1">
      <x:c r="A152" s="3"/>
      <x:c r="B152" s="3"/>
      <x:c r="C152" s="3"/>
      <x:c r="D152" s="84"/>
      <x:c r="E152" s="13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26"/>
      <x:c r="P152" s="26"/>
      <x:c r="Q152" s="26"/>
      <x:c r="R152" s="26"/>
      <x:c r="S152" s="26"/>
      <x:c r="T152" s="3"/>
      <x:c r="U152" s="3"/>
      <x:c r="V152" s="3"/>
    </x:row>
    <x:row r="153" ht="8" customHeight="1">
      <x:c r="A153" s="3"/>
      <x:c r="B153" s="3"/>
      <x:c r="C153" s="3"/>
      <x:c r="D153" s="84"/>
      <x:c r="E153" s="13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26"/>
      <x:c r="P153" s="26"/>
      <x:c r="Q153" s="26"/>
      <x:c r="R153" s="26"/>
      <x:c r="S153" s="26"/>
      <x:c r="T153" s="3"/>
      <x:c r="U153" s="3"/>
      <x:c r="V153" s="3"/>
    </x:row>
    <x:row r="154" ht="8" customHeight="1">
      <x:c r="A154" s="3"/>
      <x:c r="B154" s="3"/>
      <x:c r="C154" s="3"/>
      <x:c r="D154" s="84"/>
      <x:c r="E154" s="13"/>
      <x:c r="F154" s="26"/>
      <x:c r="G154" s="26"/>
      <x:c r="H154" s="26"/>
      <x:c r="I154" s="26"/>
      <x:c r="J154" s="26"/>
      <x:c r="K154" s="26"/>
      <x:c r="L154" s="26"/>
      <x:c r="M154" s="26"/>
      <x:c r="N154" s="26"/>
      <x:c r="O154" s="26"/>
      <x:c r="P154" s="26"/>
      <x:c r="Q154" s="26"/>
      <x:c r="R154" s="26"/>
      <x:c r="S154" s="26"/>
      <x:c r="T154" s="3"/>
      <x:c r="U154" s="3"/>
      <x:c r="V154" s="3"/>
    </x:row>
    <x:row r="155" ht="8" customHeight="1">
      <x:c r="A155" s="3"/>
      <x:c r="B155" s="3"/>
      <x:c r="C155" s="3"/>
      <x:c r="D155" s="84"/>
      <x:c r="E155" s="13"/>
      <x:c r="F155" s="26"/>
      <x:c r="G155" s="26"/>
      <x:c r="H155" s="26"/>
      <x:c r="I155" s="26"/>
      <x:c r="J155" s="26"/>
      <x:c r="K155" s="26"/>
      <x:c r="L155" s="26"/>
      <x:c r="M155" s="26"/>
      <x:c r="N155" s="26"/>
      <x:c r="O155" s="26"/>
      <x:c r="P155" s="26"/>
      <x:c r="Q155" s="26"/>
      <x:c r="R155" s="26"/>
      <x:c r="S155" s="26"/>
      <x:c r="T155" s="3"/>
      <x:c r="U155" s="3"/>
      <x:c r="V155" s="3"/>
    </x:row>
    <x:row r="156" ht="8" customHeight="1">
      <x:c r="A156" s="3"/>
      <x:c r="B156" s="3"/>
      <x:c r="C156" s="3"/>
      <x:c r="D156" s="84"/>
      <x:c r="E156" s="13"/>
      <x:c r="F156" s="26"/>
      <x:c r="G156" s="26"/>
      <x:c r="H156" s="26"/>
      <x:c r="I156" s="26"/>
      <x:c r="J156" s="26"/>
      <x:c r="K156" s="26"/>
      <x:c r="L156" s="26"/>
      <x:c r="M156" s="26"/>
      <x:c r="N156" s="26"/>
      <x:c r="O156" s="26"/>
      <x:c r="P156" s="26"/>
      <x:c r="Q156" s="26"/>
      <x:c r="R156" s="26"/>
      <x:c r="S156" s="26"/>
      <x:c r="T156" s="3"/>
      <x:c r="U156" s="3"/>
      <x:c r="V156" s="3"/>
    </x:row>
    <x:row r="157" ht="8" customHeight="1">
      <x:c r="A157" s="3"/>
      <x:c r="B157" s="3"/>
      <x:c r="C157" s="3"/>
      <x:c r="D157" s="84"/>
      <x:c r="E157" s="13"/>
      <x:c r="F157" s="26"/>
      <x:c r="G157" s="26"/>
      <x:c r="H157" s="26"/>
      <x:c r="I157" s="26"/>
      <x:c r="J157" s="26"/>
      <x:c r="K157" s="26"/>
      <x:c r="L157" s="26"/>
      <x:c r="M157" s="26"/>
      <x:c r="N157" s="26"/>
      <x:c r="O157" s="26"/>
      <x:c r="P157" s="26"/>
      <x:c r="Q157" s="26"/>
      <x:c r="R157" s="26"/>
      <x:c r="S157" s="26"/>
      <x:c r="T157" s="3"/>
      <x:c r="U157" s="3"/>
      <x:c r="V157" s="3"/>
    </x:row>
    <x:row r="158" ht="8" customHeight="1">
      <x:c r="A158" s="3"/>
      <x:c r="B158" s="3"/>
      <x:c r="C158" s="3"/>
      <x:c r="D158" s="84"/>
      <x:c r="E158" s="13"/>
      <x:c r="F158" s="26"/>
      <x:c r="G158" s="26"/>
      <x:c r="H158" s="26"/>
      <x:c r="I158" s="26"/>
      <x:c r="J158" s="26"/>
      <x:c r="K158" s="26"/>
      <x:c r="L158" s="26"/>
      <x:c r="M158" s="26"/>
      <x:c r="N158" s="26"/>
      <x:c r="O158" s="26"/>
      <x:c r="P158" s="26"/>
      <x:c r="Q158" s="26"/>
      <x:c r="R158" s="26"/>
      <x:c r="S158" s="26"/>
      <x:c r="T158" s="3"/>
      <x:c r="U158" s="3"/>
      <x:c r="V158" s="3"/>
    </x:row>
    <x:row r="159" ht="8" customHeight="1">
      <x:c r="A159" s="3"/>
      <x:c r="B159" s="3"/>
      <x:c r="C159" s="3"/>
      <x:c r="D159" s="84"/>
      <x:c r="E159" s="13"/>
      <x:c r="F159" s="26"/>
      <x:c r="G159" s="26"/>
      <x:c r="H159" s="26"/>
      <x:c r="I159" s="26"/>
      <x:c r="J159" s="26"/>
      <x:c r="K159" s="26"/>
      <x:c r="L159" s="26"/>
      <x:c r="M159" s="26"/>
      <x:c r="N159" s="26"/>
      <x:c r="O159" s="26"/>
      <x:c r="P159" s="26"/>
      <x:c r="Q159" s="26"/>
      <x:c r="R159" s="26"/>
      <x:c r="S159" s="26"/>
      <x:c r="T159" s="3"/>
      <x:c r="U159" s="3"/>
      <x:c r="V159" s="3"/>
    </x:row>
    <x:row r="160" ht="8" customHeight="1">
      <x:c r="A160" s="3"/>
      <x:c r="B160" s="3"/>
      <x:c r="C160" s="3"/>
      <x:c r="D160" s="84"/>
      <x:c r="E160" s="13"/>
      <x:c r="F160" s="26"/>
      <x:c r="G160" s="26"/>
      <x:c r="H160" s="26"/>
      <x:c r="I160" s="26"/>
      <x:c r="J160" s="26"/>
      <x:c r="K160" s="26"/>
      <x:c r="L160" s="26"/>
      <x:c r="M160" s="26"/>
      <x:c r="N160" s="26"/>
      <x:c r="O160" s="26"/>
      <x:c r="P160" s="26"/>
      <x:c r="Q160" s="26"/>
      <x:c r="R160" s="26"/>
      <x:c r="S160" s="26"/>
      <x:c r="T160" s="3"/>
      <x:c r="U160" s="3"/>
      <x:c r="V160" s="3"/>
    </x:row>
    <x:row r="161" ht="8" customHeight="1">
      <x:c r="A161" s="3"/>
      <x:c r="B161" s="3"/>
      <x:c r="C161" s="3"/>
      <x:c r="D161" s="84"/>
      <x:c r="E161" s="13"/>
      <x:c r="F161" s="26"/>
      <x:c r="G161" s="26"/>
      <x:c r="H161" s="26"/>
      <x:c r="I161" s="26"/>
      <x:c r="J161" s="26"/>
      <x:c r="K161" s="26"/>
      <x:c r="L161" s="26"/>
      <x:c r="M161" s="26"/>
      <x:c r="N161" s="26"/>
      <x:c r="O161" s="26"/>
      <x:c r="P161" s="26"/>
      <x:c r="Q161" s="26"/>
      <x:c r="R161" s="26"/>
      <x:c r="S161" s="26"/>
      <x:c r="T161" s="3"/>
      <x:c r="U161" s="3"/>
      <x:c r="V161" s="3"/>
    </x:row>
    <x:row r="162" ht="8" customHeight="1">
      <x:c r="A162" s="3"/>
      <x:c r="B162" s="3"/>
      <x:c r="C162" s="3"/>
      <x:c r="D162" s="84"/>
      <x:c r="E162" s="13"/>
      <x:c r="F162" s="26"/>
      <x:c r="G162" s="26"/>
      <x:c r="H162" s="26"/>
      <x:c r="I162" s="26"/>
      <x:c r="J162" s="26"/>
      <x:c r="K162" s="26"/>
      <x:c r="L162" s="26"/>
      <x:c r="M162" s="26"/>
      <x:c r="N162" s="26"/>
      <x:c r="O162" s="26"/>
      <x:c r="P162" s="26"/>
      <x:c r="Q162" s="26"/>
      <x:c r="R162" s="26"/>
      <x:c r="S162" s="26"/>
      <x:c r="T162" s="3"/>
      <x:c r="U162" s="3"/>
      <x:c r="V162" s="3"/>
    </x:row>
    <x:row r="163" ht="8" customHeight="1">
      <x:c r="A163" s="3"/>
      <x:c r="B163" s="3"/>
      <x:c r="C163" s="3"/>
      <x:c r="D163" s="84"/>
      <x:c r="E163" s="13"/>
      <x:c r="F163" s="26"/>
      <x:c r="G163" s="26"/>
      <x:c r="H163" s="26"/>
      <x:c r="I163" s="26"/>
      <x:c r="J163" s="26"/>
      <x:c r="K163" s="26"/>
      <x:c r="L163" s="26"/>
      <x:c r="M163" s="26"/>
      <x:c r="N163" s="26"/>
      <x:c r="O163" s="26"/>
      <x:c r="P163" s="26"/>
      <x:c r="Q163" s="26"/>
      <x:c r="R163" s="26"/>
      <x:c r="S163" s="26"/>
      <x:c r="T163" s="3"/>
      <x:c r="U163" s="3"/>
      <x:c r="V163" s="3"/>
    </x:row>
    <x:row r="164" ht="8" customHeight="1">
      <x:c r="A164" s="3"/>
      <x:c r="B164" s="3"/>
      <x:c r="C164" s="3"/>
      <x:c r="D164" s="84"/>
      <x:c r="E164" s="13"/>
      <x:c r="F164" s="26"/>
      <x:c r="G164" s="26"/>
      <x:c r="H164" s="26"/>
      <x:c r="I164" s="26"/>
      <x:c r="J164" s="26"/>
      <x:c r="K164" s="26"/>
      <x:c r="L164" s="26"/>
      <x:c r="M164" s="26"/>
      <x:c r="N164" s="26"/>
      <x:c r="O164" s="26"/>
      <x:c r="P164" s="26"/>
      <x:c r="Q164" s="26"/>
      <x:c r="R164" s="26"/>
      <x:c r="S164" s="26"/>
      <x:c r="T164" s="3"/>
      <x:c r="U164" s="3"/>
      <x:c r="V164" s="3"/>
    </x:row>
    <x:row r="165" ht="8" customHeight="1">
      <x:c r="A165" s="3"/>
      <x:c r="B165" s="3"/>
      <x:c r="C165" s="3"/>
      <x:c r="D165" s="84"/>
      <x:c r="E165" s="13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26"/>
      <x:c r="P165" s="26"/>
      <x:c r="Q165" s="26"/>
      <x:c r="R165" s="26"/>
      <x:c r="S165" s="26"/>
      <x:c r="T165" s="3"/>
      <x:c r="U165" s="3"/>
      <x:c r="V165" s="3"/>
    </x:row>
    <x:row r="166" ht="8" customHeight="1">
      <x:c r="A166" s="3"/>
      <x:c r="B166" s="3"/>
      <x:c r="C166" s="3"/>
      <x:c r="D166" s="84"/>
      <x:c r="E166" s="13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26"/>
      <x:c r="P166" s="26"/>
      <x:c r="Q166" s="26"/>
      <x:c r="R166" s="26"/>
      <x:c r="S166" s="26"/>
      <x:c r="T166" s="3"/>
      <x:c r="U166" s="3"/>
      <x:c r="V166" s="3"/>
    </x:row>
    <x:row r="167" ht="8" customHeight="1">
      <x:c r="A167" s="3"/>
      <x:c r="B167" s="3"/>
      <x:c r="C167" s="3"/>
      <x:c r="D167" s="84"/>
      <x:c r="E167" s="13"/>
      <x:c r="F167" s="26"/>
      <x:c r="G167" s="26"/>
      <x:c r="H167" s="26"/>
      <x:c r="I167" s="26"/>
      <x:c r="J167" s="26"/>
      <x:c r="K167" s="26"/>
      <x:c r="L167" s="26"/>
      <x:c r="M167" s="26"/>
      <x:c r="N167" s="26"/>
      <x:c r="O167" s="26"/>
      <x:c r="P167" s="26"/>
      <x:c r="Q167" s="26"/>
      <x:c r="R167" s="26"/>
      <x:c r="S167" s="26"/>
      <x:c r="T167" s="3"/>
      <x:c r="U167" s="3"/>
      <x:c r="V167" s="3"/>
    </x:row>
    <x:row r="168" ht="8" customHeight="1">
      <x:c r="A168" s="3"/>
      <x:c r="B168" s="3"/>
      <x:c r="C168" s="3"/>
      <x:c r="D168" s="84"/>
      <x:c r="E168" s="13"/>
      <x:c r="F168" s="26"/>
      <x:c r="G168" s="26"/>
      <x:c r="H168" s="26"/>
      <x:c r="I168" s="26"/>
      <x:c r="J168" s="26"/>
      <x:c r="K168" s="26"/>
      <x:c r="L168" s="26"/>
      <x:c r="M168" s="26"/>
      <x:c r="N168" s="26"/>
      <x:c r="O168" s="26"/>
      <x:c r="P168" s="26"/>
      <x:c r="Q168" s="26"/>
      <x:c r="R168" s="26"/>
      <x:c r="S168" s="26"/>
      <x:c r="T168" s="3"/>
      <x:c r="U168" s="3"/>
      <x:c r="V168" s="3"/>
    </x:row>
    <x:row r="169" ht="8" customHeight="1">
      <x:c r="A169" s="3"/>
      <x:c r="B169" s="3"/>
      <x:c r="C169" s="3"/>
      <x:c r="D169" s="84"/>
      <x:c r="E169" s="13"/>
      <x:c r="F169" s="26"/>
      <x:c r="G169" s="26"/>
      <x:c r="H169" s="26"/>
      <x:c r="I169" s="26"/>
      <x:c r="J169" s="26"/>
      <x:c r="K169" s="26"/>
      <x:c r="L169" s="26"/>
      <x:c r="M169" s="26"/>
      <x:c r="N169" s="26"/>
      <x:c r="O169" s="26"/>
      <x:c r="P169" s="26"/>
      <x:c r="Q169" s="26"/>
      <x:c r="R169" s="26"/>
      <x:c r="S169" s="26"/>
      <x:c r="T169" s="3"/>
      <x:c r="U169" s="3"/>
      <x:c r="V169" s="3"/>
    </x:row>
    <x:row r="170" ht="8" customHeight="1">
      <x:c r="A170" s="3"/>
      <x:c r="B170" s="3"/>
      <x:c r="C170" s="3"/>
      <x:c r="D170" s="84"/>
      <x:c r="E170" s="13"/>
      <x:c r="F170" s="26"/>
      <x:c r="G170" s="26"/>
      <x:c r="H170" s="26"/>
      <x:c r="I170" s="26"/>
      <x:c r="J170" s="26"/>
      <x:c r="K170" s="26"/>
      <x:c r="L170" s="26"/>
      <x:c r="M170" s="26"/>
      <x:c r="N170" s="26"/>
      <x:c r="O170" s="26"/>
      <x:c r="P170" s="26"/>
      <x:c r="Q170" s="26"/>
      <x:c r="R170" s="26"/>
      <x:c r="S170" s="26"/>
      <x:c r="T170" s="3"/>
      <x:c r="U170" s="3"/>
      <x:c r="V170" s="3"/>
    </x:row>
    <x:row r="171" ht="8" customHeight="1">
      <x:c r="A171" s="3"/>
      <x:c r="B171" s="3"/>
      <x:c r="C171" s="3"/>
      <x:c r="D171" s="84"/>
      <x:c r="E171" s="13"/>
      <x:c r="F171" s="26"/>
      <x:c r="G171" s="26"/>
      <x:c r="H171" s="26"/>
      <x:c r="I171" s="26"/>
      <x:c r="J171" s="26"/>
      <x:c r="K171" s="26"/>
      <x:c r="L171" s="26"/>
      <x:c r="M171" s="26"/>
      <x:c r="N171" s="26"/>
      <x:c r="O171" s="26"/>
      <x:c r="P171" s="26"/>
      <x:c r="Q171" s="26"/>
      <x:c r="R171" s="26"/>
      <x:c r="S171" s="26"/>
      <x:c r="T171" s="3"/>
      <x:c r="U171" s="3"/>
      <x:c r="V171" s="3"/>
    </x:row>
    <x:row r="172" ht="8" customHeight="1">
      <x:c r="A172" s="3"/>
      <x:c r="B172" s="3"/>
      <x:c r="C172" s="3"/>
      <x:c r="D172" s="84"/>
      <x:c r="E172" s="13"/>
      <x:c r="F172" s="26"/>
      <x:c r="G172" s="26"/>
      <x:c r="H172" s="26"/>
      <x:c r="I172" s="26"/>
      <x:c r="J172" s="26"/>
      <x:c r="K172" s="26"/>
      <x:c r="L172" s="26"/>
      <x:c r="M172" s="26"/>
      <x:c r="N172" s="26"/>
      <x:c r="O172" s="26"/>
      <x:c r="P172" s="26"/>
      <x:c r="Q172" s="26"/>
      <x:c r="R172" s="26"/>
      <x:c r="S172" s="26"/>
      <x:c r="T172" s="3"/>
      <x:c r="U172" s="3"/>
      <x:c r="V172" s="3"/>
    </x:row>
    <x:row r="173" ht="8" customHeight="1">
      <x:c r="A173" s="3"/>
      <x:c r="B173" s="3"/>
      <x:c r="C173" s="3"/>
      <x:c r="D173" s="84"/>
      <x:c r="E173" s="13"/>
      <x:c r="F173" s="26"/>
      <x:c r="G173" s="26"/>
      <x:c r="H173" s="26"/>
      <x:c r="I173" s="26"/>
      <x:c r="J173" s="26"/>
      <x:c r="K173" s="26"/>
      <x:c r="L173" s="26"/>
      <x:c r="M173" s="26"/>
      <x:c r="N173" s="26"/>
      <x:c r="O173" s="26"/>
      <x:c r="P173" s="26"/>
      <x:c r="Q173" s="26"/>
      <x:c r="R173" s="26"/>
      <x:c r="S173" s="26"/>
      <x:c r="T173" s="3"/>
      <x:c r="U173" s="3"/>
      <x:c r="V173" s="3"/>
    </x:row>
    <x:row r="174" ht="8" customHeight="1">
      <x:c r="A174" s="3"/>
      <x:c r="B174" s="3"/>
      <x:c r="C174" s="3"/>
      <x:c r="D174" s="84"/>
      <x:c r="E174" s="13"/>
      <x:c r="F174" s="26"/>
      <x:c r="G174" s="26"/>
      <x:c r="H174" s="26"/>
      <x:c r="I174" s="26"/>
      <x:c r="J174" s="26"/>
      <x:c r="K174" s="26"/>
      <x:c r="L174" s="26"/>
      <x:c r="M174" s="26"/>
      <x:c r="N174" s="26"/>
      <x:c r="O174" s="26"/>
      <x:c r="P174" s="26"/>
      <x:c r="Q174" s="26"/>
      <x:c r="R174" s="26"/>
      <x:c r="S174" s="26"/>
      <x:c r="T174" s="3"/>
      <x:c r="U174" s="3"/>
      <x:c r="V174" s="3"/>
    </x:row>
    <x:row r="175" ht="8" customHeight="1">
      <x:c r="A175" s="3"/>
      <x:c r="B175" s="3"/>
      <x:c r="C175" s="3"/>
      <x:c r="D175" s="84"/>
      <x:c r="E175" s="13"/>
      <x:c r="F175" s="26"/>
      <x:c r="G175" s="26"/>
      <x:c r="H175" s="26"/>
      <x:c r="I175" s="26"/>
      <x:c r="J175" s="26"/>
      <x:c r="K175" s="26"/>
      <x:c r="L175" s="26"/>
      <x:c r="M175" s="26"/>
      <x:c r="N175" s="26"/>
      <x:c r="O175" s="26"/>
      <x:c r="P175" s="26"/>
      <x:c r="Q175" s="26"/>
      <x:c r="R175" s="26"/>
      <x:c r="S175" s="26"/>
      <x:c r="T175" s="3"/>
      <x:c r="U175" s="3"/>
      <x:c r="V175" s="3"/>
    </x:row>
    <x:row r="176" ht="8" customHeight="1">
      <x:c r="A176" s="3"/>
      <x:c r="B176" s="3"/>
      <x:c r="C176" s="3"/>
      <x:c r="D176" s="84"/>
      <x:c r="E176" s="13"/>
      <x:c r="F176" s="26"/>
      <x:c r="G176" s="26"/>
      <x:c r="H176" s="26"/>
      <x:c r="I176" s="26"/>
      <x:c r="J176" s="26"/>
      <x:c r="K176" s="26"/>
      <x:c r="L176" s="26"/>
      <x:c r="M176" s="26"/>
      <x:c r="N176" s="26"/>
      <x:c r="O176" s="26"/>
      <x:c r="P176" s="26"/>
      <x:c r="Q176" s="26"/>
      <x:c r="R176" s="26"/>
      <x:c r="S176" s="26"/>
      <x:c r="T176" s="3"/>
      <x:c r="U176" s="3"/>
      <x:c r="V176" s="3"/>
    </x:row>
    <x:row r="177" ht="8" customHeight="1">
      <x:c r="A177" s="3"/>
      <x:c r="B177" s="3"/>
      <x:c r="C177" s="3"/>
      <x:c r="D177" s="84"/>
      <x:c r="E177" s="13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26"/>
      <x:c r="P177" s="26"/>
      <x:c r="Q177" s="26"/>
      <x:c r="R177" s="26"/>
      <x:c r="S177" s="26"/>
      <x:c r="T177" s="3"/>
      <x:c r="U177" s="3"/>
      <x:c r="V177" s="3"/>
    </x:row>
    <x:row r="178" ht="8" customHeight="1">
      <x:c r="A178" s="3"/>
      <x:c r="B178" s="3"/>
      <x:c r="C178" s="3"/>
      <x:c r="D178" s="84"/>
      <x:c r="E178" s="13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26"/>
      <x:c r="P178" s="26"/>
      <x:c r="Q178" s="26"/>
      <x:c r="R178" s="26"/>
      <x:c r="S178" s="26"/>
      <x:c r="T178" s="3"/>
      <x:c r="U178" s="3"/>
      <x:c r="V178" s="3"/>
    </x:row>
    <x:row r="179" ht="8" customHeight="1">
      <x:c r="A179" s="3"/>
      <x:c r="B179" s="3"/>
      <x:c r="C179" s="3"/>
      <x:c r="D179" s="84"/>
      <x:c r="E179" s="13"/>
      <x:c r="F179" s="26"/>
      <x:c r="G179" s="26"/>
      <x:c r="H179" s="26"/>
      <x:c r="I179" s="26"/>
      <x:c r="J179" s="26"/>
      <x:c r="K179" s="26"/>
      <x:c r="L179" s="26"/>
      <x:c r="M179" s="26"/>
      <x:c r="N179" s="26"/>
      <x:c r="O179" s="26"/>
      <x:c r="P179" s="26"/>
      <x:c r="Q179" s="26"/>
      <x:c r="R179" s="26"/>
      <x:c r="S179" s="26"/>
      <x:c r="T179" s="3"/>
      <x:c r="U179" s="3"/>
      <x:c r="V179" s="3"/>
    </x:row>
    <x:row r="180" ht="8" customHeight="1">
      <x:c r="A180" s="3"/>
      <x:c r="B180" s="3"/>
      <x:c r="C180" s="3"/>
      <x:c r="D180" s="84"/>
      <x:c r="E180" s="13"/>
      <x:c r="F180" s="26"/>
      <x:c r="G180" s="26"/>
      <x:c r="H180" s="26"/>
      <x:c r="I180" s="26"/>
      <x:c r="J180" s="26"/>
      <x:c r="K180" s="26"/>
      <x:c r="L180" s="26"/>
      <x:c r="M180" s="26"/>
      <x:c r="N180" s="26"/>
      <x:c r="O180" s="26"/>
      <x:c r="P180" s="26"/>
      <x:c r="Q180" s="26"/>
      <x:c r="R180" s="26"/>
      <x:c r="S180" s="26"/>
      <x:c r="T180" s="3"/>
      <x:c r="U180" s="3"/>
      <x:c r="V180" s="3"/>
    </x:row>
    <x:row r="181" ht="8" customHeight="1">
      <x:c r="A181" s="3"/>
      <x:c r="B181" s="3"/>
      <x:c r="C181" s="3"/>
      <x:c r="D181" s="84"/>
      <x:c r="E181" s="13"/>
      <x:c r="F181" s="26"/>
      <x:c r="G181" s="26"/>
      <x:c r="H181" s="26"/>
      <x:c r="I181" s="26"/>
      <x:c r="J181" s="26"/>
      <x:c r="K181" s="26"/>
      <x:c r="L181" s="26"/>
      <x:c r="M181" s="26"/>
      <x:c r="N181" s="26"/>
      <x:c r="O181" s="26"/>
      <x:c r="P181" s="26"/>
      <x:c r="Q181" s="26"/>
      <x:c r="R181" s="26"/>
      <x:c r="S181" s="26"/>
      <x:c r="T181" s="3"/>
      <x:c r="U181" s="3"/>
      <x:c r="V181" s="3"/>
    </x:row>
    <x:row r="182" ht="8" customHeight="1">
      <x:c r="A182" s="3"/>
      <x:c r="B182" s="3"/>
      <x:c r="C182" s="3"/>
      <x:c r="D182" s="84"/>
      <x:c r="E182" s="13"/>
      <x:c r="F182" s="26"/>
      <x:c r="G182" s="26"/>
      <x:c r="H182" s="26"/>
      <x:c r="I182" s="26"/>
      <x:c r="J182" s="26"/>
      <x:c r="K182" s="26"/>
      <x:c r="L182" s="26"/>
      <x:c r="M182" s="26"/>
      <x:c r="N182" s="26"/>
      <x:c r="O182" s="26"/>
      <x:c r="P182" s="26"/>
      <x:c r="Q182" s="26"/>
      <x:c r="R182" s="26"/>
      <x:c r="S182" s="26"/>
      <x:c r="T182" s="3"/>
      <x:c r="U182" s="3"/>
      <x:c r="V182" s="3"/>
    </x:row>
    <x:row r="183" ht="8" customHeight="1">
      <x:c r="A183" s="3"/>
      <x:c r="B183" s="3"/>
      <x:c r="C183" s="3"/>
      <x:c r="D183" s="84"/>
      <x:c r="E183" s="13"/>
      <x:c r="F183" s="26"/>
      <x:c r="G183" s="26"/>
      <x:c r="H183" s="26"/>
      <x:c r="I183" s="26"/>
      <x:c r="J183" s="26"/>
      <x:c r="K183" s="26"/>
      <x:c r="L183" s="26"/>
      <x:c r="M183" s="26"/>
      <x:c r="N183" s="26"/>
      <x:c r="O183" s="26"/>
      <x:c r="P183" s="26"/>
      <x:c r="Q183" s="26"/>
      <x:c r="R183" s="26"/>
      <x:c r="S183" s="26"/>
      <x:c r="T183" s="3"/>
      <x:c r="U183" s="3"/>
      <x:c r="V183" s="3"/>
    </x:row>
    <x:row r="184" ht="8" customHeight="1">
      <x:c r="A184" s="3"/>
      <x:c r="B184" s="3"/>
      <x:c r="C184" s="3"/>
      <x:c r="D184" s="84"/>
      <x:c r="E184" s="13"/>
      <x:c r="F184" s="26"/>
      <x:c r="G184" s="26"/>
      <x:c r="H184" s="26"/>
      <x:c r="I184" s="26"/>
      <x:c r="J184" s="26"/>
      <x:c r="K184" s="26"/>
      <x:c r="L184" s="26"/>
      <x:c r="M184" s="26"/>
      <x:c r="N184" s="26"/>
      <x:c r="O184" s="26"/>
      <x:c r="P184" s="26"/>
      <x:c r="Q184" s="26"/>
      <x:c r="R184" s="26"/>
      <x:c r="S184" s="26"/>
      <x:c r="T184" s="3"/>
      <x:c r="U184" s="3"/>
      <x:c r="V184" s="3"/>
    </x:row>
    <x:row r="185" ht="8" customHeight="1">
      <x:c r="A185" s="3"/>
      <x:c r="B185" s="3"/>
      <x:c r="C185" s="3"/>
      <x:c r="D185" s="84"/>
      <x:c r="E185" s="13"/>
      <x:c r="F185" s="26"/>
      <x:c r="G185" s="26"/>
      <x:c r="H185" s="26"/>
      <x:c r="I185" s="26"/>
      <x:c r="J185" s="26"/>
      <x:c r="K185" s="26"/>
      <x:c r="L185" s="26"/>
      <x:c r="M185" s="26"/>
      <x:c r="N185" s="26"/>
      <x:c r="O185" s="26"/>
      <x:c r="P185" s="26"/>
      <x:c r="Q185" s="26"/>
      <x:c r="R185" s="26"/>
      <x:c r="S185" s="26"/>
      <x:c r="T185" s="3"/>
      <x:c r="U185" s="3"/>
      <x:c r="V185" s="3"/>
    </x:row>
    <x:row r="186" ht="8" customHeight="1">
      <x:c r="A186" s="3"/>
      <x:c r="B186" s="3"/>
      <x:c r="C186" s="3"/>
      <x:c r="D186" s="84"/>
      <x:c r="E186" s="13"/>
      <x:c r="F186" s="26"/>
      <x:c r="G186" s="26"/>
      <x:c r="H186" s="26"/>
      <x:c r="I186" s="26"/>
      <x:c r="J186" s="26"/>
      <x:c r="K186" s="26"/>
      <x:c r="L186" s="26"/>
      <x:c r="M186" s="26"/>
      <x:c r="N186" s="26"/>
      <x:c r="O186" s="26"/>
      <x:c r="P186" s="26"/>
      <x:c r="Q186" s="26"/>
      <x:c r="R186" s="26"/>
      <x:c r="S186" s="26"/>
      <x:c r="T186" s="3"/>
      <x:c r="U186" s="3"/>
      <x:c r="V186" s="3"/>
    </x:row>
    <x:row r="187" ht="8" customHeight="1">
      <x:c r="A187" s="3"/>
      <x:c r="B187" s="3"/>
      <x:c r="C187" s="3"/>
      <x:c r="D187" s="84"/>
      <x:c r="E187" s="13"/>
      <x:c r="F187" s="26"/>
      <x:c r="G187" s="26"/>
      <x:c r="H187" s="26"/>
      <x:c r="I187" s="26"/>
      <x:c r="J187" s="26"/>
      <x:c r="K187" s="26"/>
      <x:c r="L187" s="26"/>
      <x:c r="M187" s="26"/>
      <x:c r="N187" s="26"/>
      <x:c r="O187" s="26"/>
      <x:c r="P187" s="26"/>
      <x:c r="Q187" s="26"/>
      <x:c r="R187" s="26"/>
      <x:c r="S187" s="26"/>
      <x:c r="T187" s="3"/>
      <x:c r="U187" s="3"/>
      <x:c r="V187" s="3"/>
    </x:row>
    <x:row r="188" ht="8" customHeight="1">
      <x:c r="A188" s="3"/>
      <x:c r="B188" s="3"/>
      <x:c r="C188" s="3"/>
      <x:c r="D188" s="84"/>
      <x:c r="E188" s="13"/>
      <x:c r="F188" s="26"/>
      <x:c r="G188" s="26"/>
      <x:c r="H188" s="26"/>
      <x:c r="I188" s="26"/>
      <x:c r="J188" s="26"/>
      <x:c r="K188" s="26"/>
      <x:c r="L188" s="26"/>
      <x:c r="M188" s="26"/>
      <x:c r="N188" s="26"/>
      <x:c r="O188" s="26"/>
      <x:c r="P188" s="26"/>
      <x:c r="Q188" s="26"/>
      <x:c r="R188" s="26"/>
      <x:c r="S188" s="26"/>
      <x:c r="T188" s="3"/>
      <x:c r="U188" s="3"/>
      <x:c r="V188" s="3"/>
    </x:row>
    <x:row r="189" ht="8" customHeight="1">
      <x:c r="A189" s="3"/>
      <x:c r="B189" s="3"/>
      <x:c r="C189" s="3"/>
      <x:c r="D189" s="84"/>
      <x:c r="E189" s="13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26"/>
      <x:c r="P189" s="26"/>
      <x:c r="Q189" s="26"/>
      <x:c r="R189" s="26"/>
      <x:c r="S189" s="26"/>
      <x:c r="T189" s="3"/>
      <x:c r="U189" s="3"/>
      <x:c r="V189" s="3"/>
    </x:row>
    <x:row r="190" ht="8" customHeight="1">
      <x:c r="A190" s="3"/>
      <x:c r="B190" s="3"/>
      <x:c r="C190" s="3"/>
      <x:c r="D190" s="84"/>
      <x:c r="E190" s="13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26"/>
      <x:c r="P190" s="26"/>
      <x:c r="Q190" s="26"/>
      <x:c r="R190" s="26"/>
      <x:c r="S190" s="26"/>
      <x:c r="T190" s="3"/>
      <x:c r="U190" s="3"/>
      <x:c r="V190" s="3"/>
    </x:row>
    <x:row r="191" ht="8" customHeight="1">
      <x:c r="A191" s="3"/>
      <x:c r="B191" s="3"/>
      <x:c r="C191" s="3"/>
      <x:c r="D191" s="84"/>
      <x:c r="E191" s="13"/>
      <x:c r="F191" s="26"/>
      <x:c r="G191" s="26"/>
      <x:c r="H191" s="26"/>
      <x:c r="I191" s="26"/>
      <x:c r="J191" s="26"/>
      <x:c r="K191" s="26"/>
      <x:c r="L191" s="26"/>
      <x:c r="M191" s="26"/>
      <x:c r="N191" s="26"/>
      <x:c r="O191" s="26"/>
      <x:c r="P191" s="26"/>
      <x:c r="Q191" s="26"/>
      <x:c r="R191" s="26"/>
      <x:c r="S191" s="26"/>
      <x:c r="T191" s="3"/>
      <x:c r="U191" s="3"/>
      <x:c r="V191" s="3"/>
    </x:row>
    <x:row r="192" ht="8" customHeight="1">
      <x:c r="A192" s="3"/>
      <x:c r="B192" s="3"/>
      <x:c r="C192" s="3"/>
      <x:c r="D192" s="84"/>
      <x:c r="E192" s="13"/>
      <x:c r="F192" s="26"/>
      <x:c r="G192" s="26"/>
      <x:c r="H192" s="26"/>
      <x:c r="I192" s="26"/>
      <x:c r="J192" s="26"/>
      <x:c r="K192" s="26"/>
      <x:c r="L192" s="26"/>
      <x:c r="M192" s="26"/>
      <x:c r="N192" s="26"/>
      <x:c r="O192" s="26"/>
      <x:c r="P192" s="26"/>
      <x:c r="Q192" s="26"/>
      <x:c r="R192" s="26"/>
      <x:c r="S192" s="26"/>
      <x:c r="T192" s="3"/>
      <x:c r="U192" s="3"/>
      <x:c r="V192" s="3"/>
    </x:row>
    <x:row r="193" ht="8" customHeight="1">
      <x:c r="A193" s="3"/>
      <x:c r="B193" s="3"/>
      <x:c r="C193" s="3"/>
      <x:c r="D193" s="84"/>
      <x:c r="E193" s="13"/>
      <x:c r="F193" s="26"/>
      <x:c r="G193" s="26"/>
      <x:c r="H193" s="26"/>
      <x:c r="I193" s="26"/>
      <x:c r="J193" s="26"/>
      <x:c r="K193" s="26"/>
      <x:c r="L193" s="26"/>
      <x:c r="M193" s="26"/>
      <x:c r="N193" s="26"/>
      <x:c r="O193" s="26"/>
      <x:c r="P193" s="26"/>
      <x:c r="Q193" s="26"/>
      <x:c r="R193" s="26"/>
      <x:c r="S193" s="26"/>
      <x:c r="T193" s="3"/>
      <x:c r="U193" s="3"/>
      <x:c r="V193" s="3"/>
    </x:row>
    <x:row r="194" ht="8" customHeight="1">
      <x:c r="A194" s="3"/>
      <x:c r="B194" s="3"/>
      <x:c r="C194" s="3"/>
      <x:c r="D194" s="84"/>
      <x:c r="E194" s="13"/>
      <x:c r="F194" s="26"/>
      <x:c r="G194" s="26"/>
      <x:c r="H194" s="26"/>
      <x:c r="I194" s="26"/>
      <x:c r="J194" s="26"/>
      <x:c r="K194" s="26"/>
      <x:c r="L194" s="26"/>
      <x:c r="M194" s="26"/>
      <x:c r="N194" s="26"/>
      <x:c r="O194" s="26"/>
      <x:c r="P194" s="26"/>
      <x:c r="Q194" s="26"/>
      <x:c r="R194" s="26"/>
      <x:c r="S194" s="26"/>
      <x:c r="T194" s="3"/>
      <x:c r="U194" s="3"/>
      <x:c r="V194" s="3"/>
    </x:row>
    <x:row r="195" ht="8" customHeight="1">
      <x:c r="A195" s="3"/>
      <x:c r="B195" s="3"/>
      <x:c r="C195" s="3"/>
      <x:c r="D195" s="84"/>
      <x:c r="E195" s="13"/>
      <x:c r="F195" s="26"/>
      <x:c r="G195" s="26"/>
      <x:c r="H195" s="26"/>
      <x:c r="I195" s="26"/>
      <x:c r="J195" s="26"/>
      <x:c r="K195" s="26"/>
      <x:c r="L195" s="26"/>
      <x:c r="M195" s="26"/>
      <x:c r="N195" s="26"/>
      <x:c r="O195" s="26"/>
      <x:c r="P195" s="26"/>
      <x:c r="Q195" s="26"/>
      <x:c r="R195" s="26"/>
      <x:c r="S195" s="26"/>
      <x:c r="T195" s="3"/>
      <x:c r="U195" s="3"/>
      <x:c r="V195" s="3"/>
    </x:row>
    <x:row r="196" ht="8" customHeight="1">
      <x:c r="A196" s="3"/>
      <x:c r="B196" s="3"/>
      <x:c r="C196" s="3"/>
      <x:c r="D196" s="84"/>
      <x:c r="E196" s="13"/>
      <x:c r="F196" s="26"/>
      <x:c r="G196" s="26"/>
      <x:c r="H196" s="26"/>
      <x:c r="I196" s="26"/>
      <x:c r="J196" s="26"/>
      <x:c r="K196" s="26"/>
      <x:c r="L196" s="26"/>
      <x:c r="M196" s="26"/>
      <x:c r="N196" s="26"/>
      <x:c r="O196" s="26"/>
      <x:c r="P196" s="26"/>
      <x:c r="Q196" s="26"/>
      <x:c r="R196" s="26"/>
      <x:c r="S196" s="26"/>
      <x:c r="T196" s="3"/>
      <x:c r="U196" s="3"/>
      <x:c r="V196" s="3"/>
    </x:row>
    <x:row r="197" ht="8" customHeight="1">
      <x:c r="A197" s="3"/>
      <x:c r="B197" s="3"/>
      <x:c r="C197" s="3"/>
      <x:c r="D197" s="84"/>
      <x:c r="E197" s="13"/>
      <x:c r="F197" s="26"/>
      <x:c r="G197" s="26"/>
      <x:c r="H197" s="26"/>
      <x:c r="I197" s="26"/>
      <x:c r="J197" s="26"/>
      <x:c r="K197" s="26"/>
      <x:c r="L197" s="26"/>
      <x:c r="M197" s="26"/>
      <x:c r="N197" s="26"/>
      <x:c r="O197" s="26"/>
      <x:c r="P197" s="26"/>
      <x:c r="Q197" s="26"/>
      <x:c r="R197" s="26"/>
      <x:c r="S197" s="26"/>
      <x:c r="T197" s="3"/>
      <x:c r="U197" s="3"/>
      <x:c r="V197" s="3"/>
    </x:row>
    <x:row r="198" ht="8" customHeight="1">
      <x:c r="A198" s="3"/>
      <x:c r="B198" s="3"/>
      <x:c r="C198" s="3"/>
      <x:c r="D198" s="84"/>
      <x:c r="E198" s="13"/>
      <x:c r="F198" s="26"/>
      <x:c r="G198" s="26"/>
      <x:c r="H198" s="26"/>
      <x:c r="I198" s="26"/>
      <x:c r="J198" s="26"/>
      <x:c r="K198" s="26"/>
      <x:c r="L198" s="26"/>
      <x:c r="M198" s="26"/>
      <x:c r="N198" s="26"/>
      <x:c r="O198" s="26"/>
      <x:c r="P198" s="26"/>
      <x:c r="Q198" s="26"/>
      <x:c r="R198" s="26"/>
      <x:c r="S198" s="26"/>
      <x:c r="T198" s="3"/>
      <x:c r="U198" s="3"/>
      <x:c r="V198" s="3"/>
    </x:row>
    <x:row r="199" ht="8" customHeight="1">
      <x:c r="A199" s="3"/>
      <x:c r="B199" s="3"/>
      <x:c r="C199" s="3"/>
      <x:c r="D199" s="84"/>
      <x:c r="E199" s="13"/>
      <x:c r="F199" s="26"/>
      <x:c r="G199" s="26"/>
      <x:c r="H199" s="26"/>
      <x:c r="I199" s="26"/>
      <x:c r="J199" s="26"/>
      <x:c r="K199" s="26"/>
      <x:c r="L199" s="26"/>
      <x:c r="M199" s="26"/>
      <x:c r="N199" s="26"/>
      <x:c r="O199" s="26"/>
      <x:c r="P199" s="26"/>
      <x:c r="Q199" s="26"/>
      <x:c r="R199" s="26"/>
      <x:c r="S199" s="26"/>
      <x:c r="T199" s="3"/>
      <x:c r="U199" s="3"/>
      <x:c r="V199" s="3"/>
    </x:row>
    <x:row r="200" ht="8" customHeight="1">
      <x:c r="A200" s="3"/>
      <x:c r="B200" s="3"/>
      <x:c r="C200" s="3"/>
      <x:c r="D200" s="84"/>
      <x:c r="E200" s="13"/>
      <x:c r="F200" s="26"/>
      <x:c r="G200" s="26"/>
      <x:c r="H200" s="26"/>
      <x:c r="I200" s="26"/>
      <x:c r="J200" s="26"/>
      <x:c r="K200" s="26"/>
      <x:c r="L200" s="26"/>
      <x:c r="M200" s="26"/>
      <x:c r="N200" s="26"/>
      <x:c r="O200" s="26"/>
      <x:c r="P200" s="26"/>
      <x:c r="Q200" s="26"/>
      <x:c r="R200" s="26"/>
      <x:c r="S200" s="26"/>
      <x:c r="T200" s="3"/>
      <x:c r="U200" s="3"/>
      <x:c r="V200" s="3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.75" hidden="0" customWidth="1"/>
    <x:col min="2" max="2" width="21.25" hidden="0" customWidth="1"/>
    <x:col min="3" max="3" width="39.380001068115234" hidden="0" customWidth="1"/>
    <x:col min="4" max="4" width="39.380001068115234" hidden="0" customWidth="1"/>
    <x:col min="5" max="5" width="40" hidden="0" customWidth="1"/>
    <x:col min="6" max="6" width="17.5" hidden="0" customWidth="1"/>
    <x:col min="7" max="7" width="41.25" hidden="0" customWidth="1"/>
    <x:col min="8" max="8" width="28.75" hidden="0" customWidth="1"/>
  </x:cols>
  <x:sheetData>
    <x:row r="1" ht="28" customHeight="1">
      <x:c r="A1" s="5" t="str">
        <x:v>Data needed to close the baseline</x:v>
      </x:c>
      <x:c r="B1" s="3"/>
      <x:c r="C1" s="3"/>
      <x:c r="D1" s="3"/>
      <x:c r="E1" s="3"/>
      <x:c r="F1" s="3"/>
      <x:c r="G1" s="3"/>
      <x:c r="H1" s="3"/>
    </x:row>
    <x:row r="2" ht="25" customHeight="1">
      <x:c r="A2" s="6" t="str">
        <x:v>Available does not mean approved • Owners follow the existing workplan; review triggers are explicit.</x:v>
      </x:c>
      <x:c r="B2" s="3"/>
      <x:c r="C2" s="3"/>
      <x:c r="D2" s="3"/>
      <x:c r="E2" s="3"/>
      <x:c r="F2" s="3"/>
      <x:c r="G2" s="3"/>
      <x:c r="H2" s="3"/>
    </x:row>
    <x:row r="3" ht="12" customHeight="1">
      <x:c r="A3" s="3"/>
      <x:c r="B3" s="3"/>
      <x:c r="C3" s="3"/>
      <x:c r="D3" s="3"/>
      <x:c r="E3" s="3"/>
      <x:c r="F3" s="3"/>
      <x:c r="G3" s="3"/>
      <x:c r="H3" s="3"/>
    </x:row>
    <x:row r="4" ht="42" customHeight="1">
      <x:c r="A4" s="61" t="str">
        <x:v>ID</x:v>
      </x:c>
      <x:c r="B4" s="61" t="str">
        <x:v>Demand component</x:v>
      </x:c>
      <x:c r="C4" s="61" t="str">
        <x:v>Available evidence</x:v>
      </x:c>
      <x:c r="D4" s="61" t="str">
        <x:v>Missing input / decision</x:v>
      </x:c>
      <x:c r="E4" s="61" t="str">
        <x:v>Retrieval starting point</x:v>
      </x:c>
      <x:c r="F4" s="61" t="str">
        <x:v>Owner / reviewer</x:v>
      </x:c>
      <x:c r="G4" s="61" t="str">
        <x:v>Next action</x:v>
      </x:c>
      <x:c r="H4" s="61" t="str">
        <x:v>Closure trigger</x:v>
      </x:c>
    </x:row>
    <x:row r="5" ht="100" customHeight="1">
      <x:c r="A5" s="3" t="str">
        <x:v>G01</x:v>
      </x:c>
      <x:c r="B5" s="3" t="str">
        <x:v>National fuel balance</x:v>
      </x:c>
      <x:c r="C5" s="3" t="str">
        <x:v>2022–24 reported sales; department comparison through 2023. Current engine output available.</x:v>
      </x:c>
      <x:c r="D5" s="3" t="str">
        <x:v>2024 source choice; 2025–26 sales; grades, bunkers and segment scope.</x:v>
      </x:c>
      <x:c r="E5" s="3" t="str">
        <x:v>FIASA editions and department originals; matched production/trade/stocks.</x:v>
      </x:c>
      <x:c r="F5" s="3" t="str">
        <x:v>Manish / Nigel</x:v>
      </x:c>
      <x:c r="G5" s="3" t="str">
        <x:v>Reconcile source/product/period; record adopted national baseline.</x:v>
      </x:c>
      <x:c r="H5" s="3" t="str">
        <x:v>Before calibration or forecast acceptance.</x:v>
      </x:c>
    </x:row>
    <x:row r="6" ht="100" customHeight="1">
      <x:c r="A6" s="3" t="str">
        <x:v>G02</x:v>
      </x:c>
      <x:c r="B6" s="3" t="str">
        <x:v>Fleet and new sales</x:v>
      </x:c>
      <x:c r="C6" s="3" t="str">
        <x:v>2022–25 sales and December fleet snapshots; June 2026 stock separately.</x:v>
      </x:c>
      <x:c r="D6" s="3" t="str">
        <x:v>Opening stock by age/fuel/drivetrain; class mapping; survival and mileage.</x:v>
      </x:c>
      <x:c r="E6" s="3" t="str">
        <x:v>eNaTIS, NAAMSA and registration/odometer evidence.</x:v>
      </x:c>
      <x:c r="F6" s="3" t="str">
        <x:v>Manish / Nigel</x:v>
      </x:c>
      <x:c r="G6" s="3" t="str">
        <x:v>Reconcile observed stock with engine backfill; fit sales and survival.</x:v>
      </x:c>
      <x:c r="H6" s="3" t="str">
        <x:v>Before vehicle baseline adoption.</x:v>
      </x:c>
    </x:row>
    <x:row r="7" ht="100" customHeight="1">
      <x:c r="A7" s="3" t="str">
        <x:v>G03</x:v>
      </x:c>
      <x:c r="B7" s="3" t="str">
        <x:v>Passenger electrification</x:v>
      </x:c>
      <x:c r="C7" s="3" t="str">
        <x:v>2022–25 BEV/PHEV/HEV sales for total market.</x:v>
      </x:c>
      <x:c r="D7" s="3" t="str">
        <x:v>Passenger-specific denominators, fleet stock and hybrid fuel savings.</x:v>
      </x:c>
      <x:c r="E7" s="3" t="str">
        <x:v>NAAMSA class/drivetrain data and vehicle-use evidence.</x:v>
      </x:c>
      <x:c r="F7" s="3" t="str">
        <x:v>Manish / Nigel</x:v>
      </x:c>
      <x:c r="G7" s="3" t="str">
        <x:v>Separate sales shares from fleet shares; calibrate electric distance and fuel use.</x:v>
      </x:c>
      <x:c r="H7" s="3" t="str">
        <x:v>Before passenger H/M/L integration.</x:v>
      </x:c>
    </x:row>
    <x:row r="8" ht="100" customHeight="1">
      <x:c r="A8" s="3" t="str">
        <x:v>G04</x:v>
      </x:c>
      <x:c r="B8" s="3" t="str">
        <x:v>Road freight activity</x:v>
      </x:c>
      <x:c r="C8" s="3" t="str">
        <x:v>Annual road/rail payload through 2025; Jan–Jul 2026 separately; truck sales/stock.</x:v>
      </x:c>
      <x:c r="D8" s="3" t="str">
        <x:v>Tonne-km, distance, payload, empty running; LCV freight scope.</x:v>
      </x:c>
      <x:c r="E8" s="3" t="str">
        <x:v>Stats SA transport evidence, operators, corridor studies and fleet records.</x:v>
      </x:c>
      <x:c r="F8" s="3" t="str">
        <x:v>Manish / Nigel</x:v>
      </x:c>
      <x:c r="G8" s="3" t="str">
        <x:v>Choose fleet or tonne-km method; retain other as cross-check.</x:v>
      </x:c>
      <x:c r="H8" s="3" t="str">
        <x:v>Before freight fuel calibration.</x:v>
      </x:c>
    </x:row>
    <x:row r="9" ht="100" customHeight="1">
      <x:c r="A9" s="3" t="str">
        <x:v>G05</x:v>
      </x:c>
      <x:c r="B9" s="3" t="str">
        <x:v>Freight electrification</x:v>
      </x:c>
      <x:c r="C9" s="3" t="str">
        <x:v>Current generic EV curve is visible. No truck-specific observations established.</x:v>
      </x:c>
      <x:c r="D9" s="3" t="str">
        <x:v>Truck BEV/hybrid sales/stock by duty cycle; utilisation and charging rollout.</x:v>
      </x:c>
      <x:c r="E9" s="3" t="str">
        <x:v>Commercial-vehicle registrations/sales; depot and fleet operating evidence.</x:v>
      </x:c>
      <x:c r="F9" s="3" t="str">
        <x:v>Manish / Nigel</x:v>
      </x:c>
      <x:c r="G9" s="3" t="str">
        <x:v>Define delivery/regional/long-haul paths and coherent work shares.</x:v>
      </x:c>
      <x:c r="H9" s="3" t="str">
        <x:v>Before freight H/M/L integration.</x:v>
      </x:c>
    </x:row>
    <x:row r="10" ht="100" customHeight="1">
      <x:c r="A10" s="3" t="str">
        <x:v>G06</x:v>
      </x:c>
      <x:c r="B10" s="3" t="str">
        <x:v>Manufacturing</x:v>
      </x:c>
      <x:c r="C10" s="3" t="str">
        <x:v>2022–25 production/GVA; Jan–Jul 2026 production. 2021 industry parent available.</x:v>
      </x:c>
      <x:c r="D10" s="3" t="str">
        <x:v>Manufacturing-only fuel baseline, subsector intensity and electrification.</x:v>
      </x:c>
      <x:c r="E10" s="3" t="str">
        <x:v>2021 energy-balance subsectors; newer department/industry fuel records.</x:v>
      </x:c>
      <x:c r="F10" s="3" t="str">
        <x:v>Manish / Nigel</x:v>
      </x:c>
      <x:c r="G10" s="3" t="str">
        <x:v>Reconcile manufacturing children and unspecified industry; do not assign industry parent to manufacturing.</x:v>
      </x:c>
      <x:c r="H10" s="3" t="str">
        <x:v>Before splitting industrial engine bucket.</x:v>
      </x:c>
    </x:row>
    <x:row r="11" ht="100" customHeight="1">
      <x:c r="A11" s="3" t="str">
        <x:v>G07</x:v>
      </x:c>
      <x:c r="B11" s="3" t="str">
        <x:v>Mining and construction</x:v>
      </x:c>
      <x:c r="C11" s="3" t="str">
        <x:v>2021 mining/construction diesel anchors; 2022–25 mining activity, Jan–Jul 2026 index.</x:v>
      </x:c>
      <x:c r="D11" s="3" t="str">
        <x:v>2022+ fuel use; site/commodity split; off-road/public-road boundary; electrification.</x:v>
      </x:c>
      <x:c r="E11" s="3" t="str">
        <x:v>Mine/site fuel and production records; energy balance; industry disclosures.</x:v>
      </x:c>
      <x:c r="F11" s="3" t="str">
        <x:v>Manish / Nigel</x:v>
      </x:c>
      <x:c r="G11" s="3" t="str">
        <x:v>Match baseline/activity; preserve construction and unresolved remainder.</x:v>
      </x:c>
      <x:c r="H11" s="3" t="str">
        <x:v>Before separate mining forecast.</x:v>
      </x:c>
    </x:row>
    <x:row r="12" ht="100" customHeight="1">
      <x:c r="A12" s="3" t="str">
        <x:v>G08</x:v>
      </x:c>
      <x:c r="B12" s="3" t="str">
        <x:v>Agriculture</x:v>
      </x:c>
      <x:c r="C12" s="3" t="str">
        <x:v>2021 agriculture/forestry fuel anchor; 2022–25 real GVA.</x:v>
      </x:c>
      <x:c r="D12" s="3" t="str">
        <x:v>Newer fuel baseline; crop/area/irrigation activity; intensity and scope.</x:v>
      </x:c>
      <x:c r="E12" s="3" t="str">
        <x:v>Department energy balance, agricultural statistics and sector fuel-use records.</x:v>
      </x:c>
      <x:c r="F12" s="3" t="str">
        <x:v>Manish / Nigel</x:v>
      </x:c>
      <x:c r="G12" s="3" t="str">
        <x:v>Choose activity proxy and base year; reconcile forestry/fishing/backup coverage.</x:v>
      </x:c>
      <x:c r="H12" s="3" t="str">
        <x:v>Before replacing held GDP proxy.</x:v>
      </x:c>
    </x:row>
    <x:row r="13" ht="100" customHeight="1">
      <x:c r="A13" s="3" t="str">
        <x:v>G09</x:v>
      </x:c>
      <x:c r="B13" s="3" t="str">
        <x:v>Generation</x:v>
      </x:c>
      <x:c r="C13" s="3" t="str">
        <x:v>Eskom/IPP FY generation through March 2026; current engine inputs/output.</x:v>
      </x:c>
      <x:c r="D13" s="3" t="str">
        <x:v>Matched fuel burn, calendar-year bridge; private-backup coverage.</x:v>
      </x:c>
      <x:c r="E13" s="3" t="str">
        <x:v>Eskom/IPP operating and fuel records; private generator evidence.</x:v>
      </x:c>
      <x:c r="F13" s="3" t="str">
        <x:v>Manish / Henry</x:v>
      </x:c>
      <x:c r="G13" s="3" t="str">
        <x:v>Reconcile GWh-to-litres and sector overlaps; count private backup once.</x:v>
      </x:c>
      <x:c r="H13" s="3" t="str">
        <x:v>Before generation calibration.</x:v>
      </x:c>
    </x:row>
    <x:row r="14" ht="100" customHeight="1">
      <x:c r="A14" s="3" t="str">
        <x:v>G10</x:v>
      </x:c>
      <x:c r="B14" s="3" t="str">
        <x:v>Aviation</x:v>
      </x:c>
      <x:c r="C14" s="3" t="str">
        <x:v>2022–25 ACSA departures; Jan–Aug 2026 separately; jet sales through 2024.</x:v>
      </x:c>
      <x:c r="D14" s="3" t="str">
        <x:v>Aircraft/route mix, cargo/non-ACSA coverage and matched jet uplift.</x:v>
      </x:c>
      <x:c r="E14" s="3" t="str">
        <x:v>ACSA and airport/airline fuel delivery records.</x:v>
      </x:c>
      <x:c r="F14" s="3" t="str">
        <x:v>Manish / Nigel</x:v>
      </x:c>
      <x:c r="G14" s="3" t="str">
        <x:v>Fit proposed movement model and back-test; preserve source coverage.</x:v>
      </x:c>
      <x:c r="H14" s="3" t="str">
        <x:v>Before jet driver replacement.</x:v>
      </x:c>
    </x:row>
    <x:row r="15" ht="100" customHeight="1">
      <x:c r="A15" s="3" t="str">
        <x:v>G11</x:v>
      </x:c>
      <x:c r="B15" s="3" t="str">
        <x:v>Provincial demand</x:v>
      </x:c>
      <x:c r="C15" s="3" t="str">
        <x:v>2022 full-year sales; Q1 2023 separately. National difference retained.</x:v>
      </x:c>
      <x:c r="D15" s="3" t="str">
        <x:v>2023+ complete provincial fuel sales and sector-specific distribution.</x:v>
      </x:c>
      <x:c r="E15" s="3" t="str">
        <x:v>Department district/provincial workbooks and provincial/site activity sources.</x:v>
      </x:c>
      <x:c r="F15" s="3" t="str">
        <x:v>Manish / Nigel</x:v>
      </x:c>
      <x:c r="G15" s="3" t="str">
        <x:v>Resolve completeness; choose allocation or local calculation by segment.</x:v>
      </x:c>
      <x:c r="H15" s="3" t="str">
        <x:v>Before provincial forecast acceptance.</x:v>
      </x:c>
    </x:row>
    <x:row r="16" ht="100" customHeight="1">
      <x:c r="A16" s="3" t="str">
        <x:v>G12</x:v>
      </x:c>
      <x:c r="B16" s="3" t="str">
        <x:v>Marine and other coverage</x:v>
      </x:c>
      <x:c r="C16" s="3" t="str">
        <x:v>Current provisional port assumptions; national fuel-oil comparison.</x:v>
      </x:c>
      <x:c r="D16" s="3" t="str">
        <x:v>Observed port/product bunker volumes, activity, 2022–23 model history and coverage.</x:v>
      </x:c>
      <x:c r="E16" s="3" t="str">
        <x:v>Port/operator bunker data; marine market and energy-balance sources.</x:v>
      </x:c>
      <x:c r="F16" s="3" t="str">
        <x:v>Manish / Nigel</x:v>
      </x:c>
      <x:c r="G16" s="3" t="str">
        <x:v>Separate domestic/international bunkers; reconcile diesel grades and national sales.</x:v>
      </x:c>
      <x:c r="H16" s="3" t="str">
        <x:v>Before marine baseline adoption.</x:v>
      </x:c>
    </x:row>
    <x:row r="17" ht="100" customHeight="1">
      <x:c r="A17" s="3" t="str">
        <x:v>G13</x:v>
      </x:c>
      <x:c r="B17" s="3" t="str">
        <x:v>Ranges and annual forecast paths</x:v>
      </x:c>
      <x:c r="C17" s="3" t="str">
        <x:v>Existing proposed H/M/L endpoints retained on last tab.</x:v>
      </x:c>
      <x:c r="D17" s="3" t="str">
        <x:v>Agreed medium/reference, annual paths and compatible provincial/sector settings.</x:v>
      </x:c>
      <x:c r="E17" s="3" t="str">
        <x:v>Review existing lever design against the above baseline evidence.</x:v>
      </x:c>
      <x:c r="F17" s="3" t="str">
        <x:v>Nigel / Henry</x:v>
      </x:c>
      <x:c r="G17" s="3" t="str">
        <x:v>Select input ranges and scenario combinations; record acceptance and implementation.</x:v>
      </x:c>
      <x:c r="H17" s="3" t="str">
        <x:v>Before forecast integration.</x:v>
      </x:c>
    </x:row>
    <x:row r="18" ht="100" customHeight="1">
      <x:c r="A18" s="3"/>
      <x:c r="B18" s="3"/>
      <x:c r="C18" s="3"/>
      <x:c r="D18" s="3"/>
      <x:c r="E18" s="3"/>
      <x:c r="F18" s="3"/>
      <x:c r="G18" s="3"/>
      <x:c r="H18" s="3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.5" hidden="0" customWidth="1"/>
    <x:col min="2" max="2" width="26.25" hidden="0" customWidth="1"/>
    <x:col min="3" max="3" width="17.5" hidden="0" customWidth="1"/>
    <x:col min="4" max="4" width="8.75" hidden="0" customWidth="1"/>
    <x:col min="5" max="5" width="10" hidden="0" customWidth="1"/>
    <x:col min="6" max="6" width="10" hidden="0" customWidth="1"/>
    <x:col min="7" max="7" width="10" hidden="0" customWidth="1"/>
    <x:col min="8" max="8" width="23.1299991607666" hidden="0" customWidth="1"/>
    <x:col min="9" max="9" width="42.5" hidden="0" customWidth="1"/>
    <x:col min="10" max="10" width="38.75" hidden="0" customWidth="1"/>
    <x:col min="11" max="11" width="15.630000114440918" hidden="0" customWidth="1"/>
    <x:col min="12" max="12" width="28.75" hidden="0" customWidth="1"/>
    <x:col min="13" max="13" width="37.5" hidden="0" customWidth="1"/>
  </x:cols>
  <x:sheetData>
    <x:row r="1" ht="28" customHeight="1">
      <x:c r="A1" s="5" t="str">
        <x:v>Demand input ranges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7" t="str">
        <x:v>L/M/H orders each input; it does not order fuel demand. Existing values are proposals. Blanks require workshop decisions.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38" customHeight="1">
      <x:c r="A4" s="9" t="str">
        <x:v>Fuel / segment</x:v>
      </x:c>
      <x:c r="B4" s="9" t="str">
        <x:v>Driver</x:v>
      </x:c>
      <x:c r="C4" s="9" t="str">
        <x:v>Unit</x:v>
      </x:c>
      <x:c r="D4" s="9" t="str">
        <x:v>Year</x:v>
      </x:c>
      <x:c r="E4" s="9" t="str">
        <x:v>Low</x:v>
      </x:c>
      <x:c r="F4" s="9" t="str">
        <x:v>Medium</x:v>
      </x:c>
      <x:c r="G4" s="9" t="str">
        <x:v>High</x:v>
      </x:c>
      <x:c r="H4" s="9" t="str">
        <x:v>Higher input means</x:v>
      </x:c>
      <x:c r="I4" s="9" t="str">
        <x:v>Basis / rationale</x:v>
      </x:c>
      <x:c r="J4" s="9" t="str">
        <x:v>Annual path and dependencies</x:v>
      </x:c>
      <x:c r="K4" s="9" t="str">
        <x:v>Accepted reference</x:v>
      </x:c>
      <x:c r="L4" s="9" t="str">
        <x:v>Decision / owner</x:v>
      </x:c>
      <x:c r="M4" s="9" t="str">
        <x:v>Source</x:v>
      </x:c>
    </x:row>
    <x:row r="5" ht="100" customHeight="1">
      <x:c r="A5" s="3" t="str">
        <x:v>diesel</x:v>
      </x:c>
      <x:c r="B5" s="3" t="str">
        <x:v>Freight activity 2024 = 100</x:v>
      </x:c>
      <x:c r="C5" s="3" t="str">
        <x:v>index_2024_100</x:v>
      </x:c>
      <x:c r="D5" s="20" t="n">
        <x:v>2030</x:v>
      </x:c>
      <x:c r="E5" s="19" t="n">
        <x:v>95</x:v>
      </x:c>
      <x:c r="F5" s="19" t="n">
        <x:v>115</x:v>
      </x:c>
      <x:c r="G5" s="19" t="n">
        <x:v>135</x:v>
      </x:c>
      <x:c r="H5" s="3" t="str">
        <x:v>More diesel</x:v>
      </x:c>
      <x:c r="I5" s="3" t="str">
        <x:v>2024 = 100 Observed proxy. Observed freight proxy, not fuel demand</x:v>
      </x:c>
      <x:c r="J5" s="3" t="str">
        <x:v>Authored flat / recovery / expansion tests. Apply before rail diversion; calibrate litres per activity unit. Annual path not agreed.</x:v>
      </x:c>
      <x:c r="K5" s="10"/>
      <x:c r="L5" s="10" t="str">
        <x:v>Proposed; Manish evidence, Nigel decision</x:v>
      </x:c>
      <x:c r="M5" s="3" t="str">
        <x:v>https://github.com/Africa-International-Advisors/liquid_fuels_model/blob/8c69f8333192483f19cd80911cb90fcd0943eb6b/assumptions/2026/timeseries/fuel_lever_design_2026_10_07.csv</x:v>
      </x:c>
    </x:row>
    <x:row r="6" ht="100" customHeight="1">
      <x:c r="A6" s="3" t="str">
        <x:v>diesel</x:v>
      </x:c>
      <x:c r="B6" s="3" t="str">
        <x:v>Freight activity 2024 = 100</x:v>
      </x:c>
      <x:c r="C6" s="3" t="str">
        <x:v>index_2024_100</x:v>
      </x:c>
      <x:c r="D6" s="20" t="n">
        <x:v>2035</x:v>
      </x:c>
      <x:c r="E6" s="19" t="n">
        <x:v>95</x:v>
      </x:c>
      <x:c r="F6" s="19" t="n">
        <x:v>135</x:v>
      </x:c>
      <x:c r="G6" s="19" t="n">
        <x:v>175</x:v>
      </x:c>
      <x:c r="H6" s="3" t="str">
        <x:v>More diesel</x:v>
      </x:c>
      <x:c r="I6" s="3" t="str">
        <x:v>2024 = 100 Observed proxy. Observed freight proxy, not fuel demand</x:v>
      </x:c>
      <x:c r="J6" s="3" t="str">
        <x:v>Authored flat / recovery / expansion tests. Apply before rail diversion; calibrate litres per activity unit. Annual path not agreed.</x:v>
      </x:c>
      <x:c r="K6" s="10"/>
      <x:c r="L6" s="10" t="str">
        <x:v>Proposed; Manish evidence, Nigel decision</x:v>
      </x:c>
      <x:c r="M6" s="3" t="str">
        <x:v>https://github.com/Africa-International-Advisors/liquid_fuels_model/blob/8c69f8333192483f19cd80911cb90fcd0943eb6b/assumptions/2026/timeseries/fuel_lever_design_2026_10_07.csv</x:v>
      </x:c>
    </x:row>
    <x:row r="7" ht="100" customHeight="1">
      <x:c r="A7" s="3" t="str">
        <x:v>diesel</x:v>
      </x:c>
      <x:c r="B7" s="3" t="str">
        <x:v>Road freight moved to rail % of reference road work</x:v>
      </x:c>
      <x:c r="C7" s="3" t="str">
        <x:v>%</x:v>
      </x:c>
      <x:c r="D7" s="20" t="n">
        <x:v>2030</x:v>
      </x:c>
      <x:c r="E7" s="24" t="n">
        <x:v>0</x:v>
      </x:c>
      <x:c r="F7" s="24" t="n">
        <x:v>0.1</x:v>
      </x:c>
      <x:c r="G7" s="24" t="n">
        <x:v>0.2</x:v>
      </x:c>
      <x:c r="H7" s="3" t="str">
        <x:v>Less road diesel</x:v>
      </x:c>
      <x:c r="I7" s="3" t="str">
        <x:v>No agreed diversion M is proposed. Authored modal-shift sensitivity; rail capacity unverified</x:v>
      </x:c>
      <x:c r="J7" s="3" t="str">
        <x:v>Higher diversion lowers road diesel. Avoid subtracting rail again if already embedded in the activity path. Annual path not agreed.</x:v>
      </x:c>
      <x:c r="K7" s="10"/>
      <x:c r="L7" s="10" t="str">
        <x:v>Proposed; Manish evidence, Nigel decision</x:v>
      </x:c>
      <x:c r="M7" s="3" t="str">
        <x:v>https://github.com/Africa-International-Advisors/liquid_fuels_model/blob/8c69f8333192483f19cd80911cb90fcd0943eb6b/assumptions/2026/timeseries/fuel_lever_design_2026_10_07.csv</x:v>
      </x:c>
    </x:row>
    <x:row r="8" ht="100" customHeight="1">
      <x:c r="A8" s="3" t="str">
        <x:v>diesel</x:v>
      </x:c>
      <x:c r="B8" s="3" t="str">
        <x:v>Road freight moved to rail % of reference road work</x:v>
      </x:c>
      <x:c r="C8" s="3" t="str">
        <x:v>%</x:v>
      </x:c>
      <x:c r="D8" s="20" t="n">
        <x:v>2035</x:v>
      </x:c>
      <x:c r="E8" s="24" t="n">
        <x:v>0</x:v>
      </x:c>
      <x:c r="F8" s="24" t="n">
        <x:v>0.2</x:v>
      </x:c>
      <x:c r="G8" s="24" t="n">
        <x:v>0.35</x:v>
      </x:c>
      <x:c r="H8" s="3" t="str">
        <x:v>Less road diesel</x:v>
      </x:c>
      <x:c r="I8" s="3" t="str">
        <x:v>No agreed diversion M is proposed. Authored modal-shift sensitivity; rail capacity unverified</x:v>
      </x:c>
      <x:c r="J8" s="3" t="str">
        <x:v>Higher diversion lowers road diesel. Avoid subtracting rail again if already embedded in the activity path. Annual path not agreed.</x:v>
      </x:c>
      <x:c r="K8" s="10"/>
      <x:c r="L8" s="10" t="str">
        <x:v>Proposed; Manish evidence, Nigel decision</x:v>
      </x:c>
      <x:c r="M8" s="3" t="str">
        <x:v>https://github.com/Africa-International-Advisors/liquid_fuels_model/blob/8c69f8333192483f19cd80911cb90fcd0943eb6b/assumptions/2026/timeseries/fuel_lever_design_2026_10_07.csv</x:v>
      </x:c>
    </x:row>
    <x:row r="9" ht="100" customHeight="1">
      <x:c r="A9" s="3" t="str">
        <x:v>diesel</x:v>
      </x:c>
      <x:c r="B9" s="3" t="str">
        <x:v>Diesel OCGT generation FY2024 = 100</x:v>
      </x:c>
      <x:c r="C9" s="3" t="str">
        <x:v>index_FY2024_100</x:v>
      </x:c>
      <x:c r="D9" s="20" t="n">
        <x:v>2030</x:v>
      </x:c>
      <x:c r="E9" s="19" t="n">
        <x:v>10</x:v>
      </x:c>
      <x:c r="F9" s="19" t="n">
        <x:v>25</x:v>
      </x:c>
      <x:c r="G9" s="19" t="n">
        <x:v>60</x:v>
      </x:c>
      <x:c r="H9" s="3" t="str">
        <x:v>More diesel</x:v>
      </x:c>
      <x:c r="I9" s="3" t="str">
        <x:v>FY2024 = 100 Latest trend is lower. Observed OCGT trend; all target-year indices authored</x:v>
      </x:c>
      <x:c r="J9" s="3" t="str">
        <x:v>Test grid recovery versus stress. Use one generation path; do not add a second load-shedding allowance. Annual path not agreed.</x:v>
      </x:c>
      <x:c r="K9" s="10"/>
      <x:c r="L9" s="10" t="str">
        <x:v>Proposed; Manish evidence, Nigel decision</x:v>
      </x:c>
      <x:c r="M9" s="3" t="str">
        <x:v>https://github.com/Africa-International-Advisors/liquid_fuels_model/blob/8c69f8333192483f19cd80911cb90fcd0943eb6b/assumptions/2026/timeseries/fuel_lever_design_2026_10_07.csv</x:v>
      </x:c>
    </x:row>
    <x:row r="10" ht="100" customHeight="1">
      <x:c r="A10" s="3" t="str">
        <x:v>diesel</x:v>
      </x:c>
      <x:c r="B10" s="3" t="str">
        <x:v>Diesel OCGT generation FY2024 = 100</x:v>
      </x:c>
      <x:c r="C10" s="3" t="str">
        <x:v>index_FY2024_100</x:v>
      </x:c>
      <x:c r="D10" s="20" t="n">
        <x:v>2035</x:v>
      </x:c>
      <x:c r="E10" s="19" t="n">
        <x:v>5</x:v>
      </x:c>
      <x:c r="F10" s="19" t="n">
        <x:v>15</x:v>
      </x:c>
      <x:c r="G10" s="19" t="n">
        <x:v>50</x:v>
      </x:c>
      <x:c r="H10" s="3" t="str">
        <x:v>More diesel</x:v>
      </x:c>
      <x:c r="I10" s="3" t="str">
        <x:v>FY2024 = 100 Latest trend is lower. Observed OCGT trend; all target-year indices authored</x:v>
      </x:c>
      <x:c r="J10" s="3" t="str">
        <x:v>Test grid recovery versus stress. Use one generation path; do not add a second load-shedding allowance. Annual path not agreed.</x:v>
      </x:c>
      <x:c r="K10" s="10"/>
      <x:c r="L10" s="10" t="str">
        <x:v>Proposed; Manish evidence, Nigel decision</x:v>
      </x:c>
      <x:c r="M10" s="3" t="str">
        <x:v>https://github.com/Africa-International-Advisors/liquid_fuels_model/blob/8c69f8333192483f19cd80911cb90fcd0943eb6b/assumptions/2026/timeseries/fuel_lever_design_2026_10_07.csv</x:v>
      </x:c>
    </x:row>
    <x:row r="11" ht="100" customHeight="1">
      <x:c r="A11" s="3" t="str">
        <x:v>diesel</x:v>
      </x:c>
      <x:c r="B11" s="3" t="str">
        <x:v>New-vehicle efficiency gain % per year</x:v>
      </x:c>
      <x:c r="C11" s="3" t="str">
        <x:v>% per year</x:v>
      </x:c>
      <x:c r="D11" s="20" t="n">
        <x:v>2030</x:v>
      </x:c>
      <x:c r="E11" s="24" t="n">
        <x:v>0.005</x:v>
      </x:c>
      <x:c r="F11" s="24" t="n">
        <x:v>0.0075</x:v>
      </x:c>
      <x:c r="G11" s="24" t="n">
        <x:v>0.01</x:v>
      </x:c>
      <x:c r="H11" s="3" t="str">
        <x:v>Less fuel</x:v>
      </x:c>
      <x:c r="I11" s="3" t="str">
        <x:v>Legacy: 0.5–1.0% New cohorts only. Registered diesel efficiency CSV; unreviewed</x:v>
      </x:c>
      <x:c r="J11" s="3" t="str">
        <x:v>Existing low/high input endpoints; M is a proposed midpoint. Higher gain lowers new-cohort fuel use. Annual path not agreed.</x:v>
      </x:c>
      <x:c r="K11" s="10"/>
      <x:c r="L11" s="10" t="str">
        <x:v>Proposed; Manish evidence, Nigel decision</x:v>
      </x:c>
      <x:c r="M11" s="3" t="str">
        <x:v>https://github.com/Africa-International-Advisors/liquid_fuels_model/blob/8c69f8333192483f19cd80911cb90fcd0943eb6b/assumptions/2026/timeseries/fuel_lever_design_2026_10_07.csv</x:v>
      </x:c>
    </x:row>
    <x:row r="12" ht="100" customHeight="1">
      <x:c r="A12" s="3" t="str">
        <x:v>diesel</x:v>
      </x:c>
      <x:c r="B12" s="3" t="str">
        <x:v>New-vehicle efficiency gain % per year</x:v>
      </x:c>
      <x:c r="C12" s="3" t="str">
        <x:v>% per year</x:v>
      </x:c>
      <x:c r="D12" s="20" t="n">
        <x:v>2035</x:v>
      </x:c>
      <x:c r="E12" s="24" t="n">
        <x:v>0.005</x:v>
      </x:c>
      <x:c r="F12" s="24" t="n">
        <x:v>0.0075</x:v>
      </x:c>
      <x:c r="G12" s="24" t="n">
        <x:v>0.01</x:v>
      </x:c>
      <x:c r="H12" s="3" t="str">
        <x:v>Less fuel</x:v>
      </x:c>
      <x:c r="I12" s="3" t="str">
        <x:v>Legacy: 0.5–1.0% New cohorts only. Registered diesel efficiency CSV; unreviewed</x:v>
      </x:c>
      <x:c r="J12" s="3" t="str">
        <x:v>Existing low/high input endpoints; M is a proposed midpoint. Higher gain lowers new-cohort fuel use. Annual path not agreed.</x:v>
      </x:c>
      <x:c r="K12" s="10"/>
      <x:c r="L12" s="10" t="str">
        <x:v>Proposed; Manish evidence, Nigel decision</x:v>
      </x:c>
      <x:c r="M12" s="3" t="str">
        <x:v>https://github.com/Africa-International-Advisors/liquid_fuels_model/blob/8c69f8333192483f19cd80911cb90fcd0943eb6b/assumptions/2026/timeseries/fuel_lever_design_2026_10_07.csv</x:v>
      </x:c>
    </x:row>
    <x:row r="13" ht="100" customHeight="1">
      <x:c r="A13" s="3" t="str">
        <x:v>jet</x:v>
      </x:c>
      <x:c r="B13" s="3" t="str">
        <x:v>Aircraft movements 2024 = 100</x:v>
      </x:c>
      <x:c r="C13" s="3" t="str">
        <x:v>index_2024_100</x:v>
      </x:c>
      <x:c r="D13" s="20" t="n">
        <x:v>2030</x:v>
      </x:c>
      <x:c r="E13" s="19" t="n">
        <x:v>100</x:v>
      </x:c>
      <x:c r="F13" s="19" t="n">
        <x:v>120</x:v>
      </x:c>
      <x:c r="G13" s="19" t="n">
        <x:v>140</x:v>
      </x:c>
      <x:c r="H13" s="3" t="str">
        <x:v>More jet</x:v>
      </x:c>
      <x:c r="I13" s="3" t="str">
        <x:v>2024 = 100 ACSA coverage only. Registered ACSA movement source; target indices authored</x:v>
      </x:c>
      <x:c r="J13" s="3" t="str">
        <x:v>Authored flat / recovery / expansion tests. Follow Manish's movement driver; re-fit against matched jet deliveries. Annual path not agreed.</x:v>
      </x:c>
      <x:c r="K13" s="10"/>
      <x:c r="L13" s="10" t="str">
        <x:v>Proposed; Manish evidence, Nigel decision</x:v>
      </x:c>
      <x:c r="M13" s="3" t="str">
        <x:v>https://github.com/Africa-International-Advisors/liquid_fuels_model/blob/8c69f8333192483f19cd80911cb90fcd0943eb6b/assumptions/2026/timeseries/fuel_lever_design_2026_10_07.csv</x:v>
      </x:c>
    </x:row>
    <x:row r="14" ht="100" customHeight="1">
      <x:c r="A14" s="3" t="str">
        <x:v>jet</x:v>
      </x:c>
      <x:c r="B14" s="3" t="str">
        <x:v>Aircraft movements 2024 = 100</x:v>
      </x:c>
      <x:c r="C14" s="3" t="str">
        <x:v>index_2024_100</x:v>
      </x:c>
      <x:c r="D14" s="20" t="n">
        <x:v>2035</x:v>
      </x:c>
      <x:c r="E14" s="19" t="n">
        <x:v>100</x:v>
      </x:c>
      <x:c r="F14" s="19" t="n">
        <x:v>145</x:v>
      </x:c>
      <x:c r="G14" s="19" t="n">
        <x:v>190</x:v>
      </x:c>
      <x:c r="H14" s="3" t="str">
        <x:v>More jet</x:v>
      </x:c>
      <x:c r="I14" s="3" t="str">
        <x:v>2024 = 100 ACSA coverage only. Registered ACSA movement source; target indices authored</x:v>
      </x:c>
      <x:c r="J14" s="3" t="str">
        <x:v>Authored flat / recovery / expansion tests. Follow Manish's movement driver; re-fit against matched jet deliveries. Annual path not agreed.</x:v>
      </x:c>
      <x:c r="K14" s="10"/>
      <x:c r="L14" s="10" t="str">
        <x:v>Proposed; Manish evidence, Nigel decision</x:v>
      </x:c>
      <x:c r="M14" s="3" t="str">
        <x:v>https://github.com/Africa-International-Advisors/liquid_fuels_model/blob/8c69f8333192483f19cd80911cb90fcd0943eb6b/assumptions/2026/timeseries/fuel_lever_design_2026_10_07.csv</x:v>
      </x:c>
    </x:row>
    <x:row r="15" ht="100" customHeight="1">
      <x:c r="A15" s="3" t="str">
        <x:v>jet</x:v>
      </x:c>
      <x:c r="B15" s="3" t="str">
        <x:v>Fuel burn per movement 2024 = 100</x:v>
      </x:c>
      <x:c r="C15" s="3" t="str">
        <x:v>index_2024_100</x:v>
      </x:c>
      <x:c r="D15" s="20" t="n">
        <x:v>2030</x:v>
      </x:c>
      <x:c r="E15" s="19" t="n">
        <x:v>80</x:v>
      </x:c>
      <x:c r="F15" s="19" t="n">
        <x:v>90</x:v>
      </x:c>
      <x:c r="G15" s="19" t="n">
        <x:v>100</x:v>
      </x:c>
      <x:c r="H15" s="3" t="str">
        <x:v>Confirm fuel effect</x:v>
      </x:c>
      <x:c r="I15" s="3" t="str">
        <x:v>2024 = 100 assumed Not yet measured. Authored intensity tests; ICAO supports mechanism, not these SA values</x:v>
      </x:c>
      <x:c r="J15" s="3" t="str">
        <x:v>Lower burn lowers litres. Separate aircraft efficiency from route length, aircraft size and international mix. Annual path not agreed.</x:v>
      </x:c>
      <x:c r="K15" s="10"/>
      <x:c r="L15" s="10" t="str">
        <x:v>Proposed; Manish evidence, Nigel decision</x:v>
      </x:c>
      <x:c r="M15" s="3" t="str">
        <x:v>https://github.com/Africa-International-Advisors/liquid_fuels_model/blob/8c69f8333192483f19cd80911cb90fcd0943eb6b/assumptions/2026/timeseries/fuel_lever_design_2026_10_07.csv</x:v>
      </x:c>
    </x:row>
    <x:row r="16" ht="100" customHeight="1">
      <x:c r="A16" s="3" t="str">
        <x:v>jet</x:v>
      </x:c>
      <x:c r="B16" s="3" t="str">
        <x:v>Fuel burn per movement 2024 = 100</x:v>
      </x:c>
      <x:c r="C16" s="3" t="str">
        <x:v>index_2024_100</x:v>
      </x:c>
      <x:c r="D16" s="20" t="n">
        <x:v>2035</x:v>
      </x:c>
      <x:c r="E16" s="19" t="n">
        <x:v>65</x:v>
      </x:c>
      <x:c r="F16" s="19" t="n">
        <x:v>80</x:v>
      </x:c>
      <x:c r="G16" s="19" t="n">
        <x:v>100</x:v>
      </x:c>
      <x:c r="H16" s="3" t="str">
        <x:v>Confirm fuel effect</x:v>
      </x:c>
      <x:c r="I16" s="3" t="str">
        <x:v>2024 = 100 assumed Not yet measured. Authored intensity tests; ICAO supports mechanism, not these SA values</x:v>
      </x:c>
      <x:c r="J16" s="3" t="str">
        <x:v>Lower burn lowers litres. Separate aircraft efficiency from route length, aircraft size and international mix. Annual path not agreed.</x:v>
      </x:c>
      <x:c r="K16" s="10"/>
      <x:c r="L16" s="10" t="str">
        <x:v>Proposed; Manish evidence, Nigel decision</x:v>
      </x:c>
      <x:c r="M16" s="3" t="str">
        <x:v>https://github.com/Africa-International-Advisors/liquid_fuels_model/blob/8c69f8333192483f19cd80911cb90fcd0943eb6b/assumptions/2026/timeseries/fuel_lever_design_2026_10_07.csv</x:v>
      </x:c>
    </x:row>
    <x:row r="17" ht="100" customHeight="1">
      <x:c r="A17" s="3" t="str">
        <x:v>jet</x:v>
      </x:c>
      <x:c r="B17" s="3" t="str">
        <x:v>SAF share of jet deliveries % by volume</x:v>
      </x:c>
      <x:c r="C17" s="3" t="str">
        <x:v>%</x:v>
      </x:c>
      <x:c r="D17" s="20" t="n">
        <x:v>2030</x:v>
      </x:c>
      <x:c r="E17" s="24" t="n">
        <x:v>0</x:v>
      </x:c>
      <x:c r="F17" s="24" t="n">
        <x:v>0.02</x:v>
      </x:c>
      <x:c r="G17" s="24" t="n">
        <x:v>0.05</x:v>
      </x:c>
      <x:c r="H17" s="3" t="str">
        <x:v>Confirm fuel effect</x:v>
      </x:c>
      <x:c r="I17" s="3" t="str">
        <x:v>SA blend baseline unknown Not a local mandate. Authored SA sensitivity; ICAO global framework only</x:v>
      </x:c>
      <x:c r="J17" s="3" t="str">
        <x:v>Changes fossil jet share, not total jet litres. Authored blend tests; ICAO's 5% emissions vision is not a volume target. Annual path not agreed.</x:v>
      </x:c>
      <x:c r="K17" s="10"/>
      <x:c r="L17" s="10" t="str">
        <x:v>Proposed; Manish evidence, Nigel decision</x:v>
      </x:c>
      <x:c r="M17" s="3" t="str">
        <x:v>https://github.com/Africa-International-Advisors/liquid_fuels_model/blob/8c69f8333192483f19cd80911cb90fcd0943eb6b/assumptions/2026/timeseries/fuel_lever_design_2026_10_07.csv</x:v>
      </x:c>
    </x:row>
    <x:row r="18" ht="100" customHeight="1">
      <x:c r="A18" s="3" t="str">
        <x:v>jet</x:v>
      </x:c>
      <x:c r="B18" s="3" t="str">
        <x:v>SAF share of jet deliveries % by volume</x:v>
      </x:c>
      <x:c r="C18" s="3" t="str">
        <x:v>%</x:v>
      </x:c>
      <x:c r="D18" s="20" t="n">
        <x:v>2035</x:v>
      </x:c>
      <x:c r="E18" s="24" t="n">
        <x:v>0</x:v>
      </x:c>
      <x:c r="F18" s="24" t="n">
        <x:v>0.05</x:v>
      </x:c>
      <x:c r="G18" s="24" t="n">
        <x:v>0.1</x:v>
      </x:c>
      <x:c r="H18" s="3" t="str">
        <x:v>Confirm fuel effect</x:v>
      </x:c>
      <x:c r="I18" s="3" t="str">
        <x:v>SA blend baseline unknown Not a local mandate. Authored SA sensitivity; ICAO global framework only</x:v>
      </x:c>
      <x:c r="J18" s="3" t="str">
        <x:v>Changes fossil jet share, not total jet litres. Authored blend tests; ICAO's 5% emissions vision is not a volume target. Annual path not agreed.</x:v>
      </x:c>
      <x:c r="K18" s="10"/>
      <x:c r="L18" s="10" t="str">
        <x:v>Proposed; Manish evidence, Nigel decision</x:v>
      </x:c>
      <x:c r="M18" s="3" t="str">
        <x:v>https://github.com/Africa-International-Advisors/liquid_fuels_model/blob/8c69f8333192483f19cd80911cb90fcd0943eb6b/assumptions/2026/timeseries/fuel_lever_design_2026_10_07.csv</x:v>
      </x:c>
    </x:row>
    <x:row r="19" ht="100" customHeight="1">
      <x:c r="A19" s="3" t="str">
        <x:v>petrol</x:v>
      </x:c>
      <x:c r="B19" s="3" t="str">
        <x:v>Passenger mileage km / vehicle / year</x:v>
      </x:c>
      <x:c r="C19" s="3" t="str">
        <x:v>km_per_vehicle_year</x:v>
      </x:c>
      <x:c r="D19" s="20" t="n">
        <x:v>2030</x:v>
      </x:c>
      <x:c r="E19" s="19" t="n">
        <x:v>13600</x:v>
      </x:c>
      <x:c r="F19" s="19" t="n">
        <x:v>17000</x:v>
      </x:c>
      <x:c r="G19" s="19" t="n">
        <x:v>20400</x:v>
      </x:c>
      <x:c r="H19" s="3" t="str">
        <x:v>More petrol</x:v>
      </x:c>
      <x:c r="I19" s="3" t="str">
        <x:v>Registered: 17,000 Provisional placeholder. Registered provisional passenger mileage</x:v>
      </x:c>
      <x:c r="J19" s="3" t="str">
        <x:v>Authored ±20% around the current mileage placeholder. Higher mileage raises petrol demand at a given fleet. Annual path not agreed.</x:v>
      </x:c>
      <x:c r="K19" s="10"/>
      <x:c r="L19" s="10" t="str">
        <x:v>Proposed; Manish evidence, Nigel decision</x:v>
      </x:c>
      <x:c r="M19" s="3" t="str">
        <x:v>https://github.com/Africa-International-Advisors/liquid_fuels_model/blob/8c69f8333192483f19cd80911cb90fcd0943eb6b/assumptions/2026/timeseries/fuel_lever_design_2026_10_07.csv</x:v>
      </x:c>
    </x:row>
    <x:row r="20" ht="100" customHeight="1">
      <x:c r="A20" s="3" t="str">
        <x:v>petrol</x:v>
      </x:c>
      <x:c r="B20" s="3" t="str">
        <x:v>Passenger mileage km / vehicle / year</x:v>
      </x:c>
      <x:c r="C20" s="3" t="str">
        <x:v>km_per_vehicle_year</x:v>
      </x:c>
      <x:c r="D20" s="20" t="n">
        <x:v>2035</x:v>
      </x:c>
      <x:c r="E20" s="19" t="n">
        <x:v>13600</x:v>
      </x:c>
      <x:c r="F20" s="19" t="n">
        <x:v>17000</x:v>
      </x:c>
      <x:c r="G20" s="19" t="n">
        <x:v>20400</x:v>
      </x:c>
      <x:c r="H20" s="3" t="str">
        <x:v>More petrol</x:v>
      </x:c>
      <x:c r="I20" s="3" t="str">
        <x:v>Registered: 17,000 Provisional placeholder. Registered provisional passenger mileage</x:v>
      </x:c>
      <x:c r="J20" s="3" t="str">
        <x:v>Authored ±20% around the current mileage placeholder. Higher mileage raises petrol demand at a given fleet. Annual path not agreed.</x:v>
      </x:c>
      <x:c r="K20" s="10"/>
      <x:c r="L20" s="10" t="str">
        <x:v>Proposed; Manish evidence, Nigel decision</x:v>
      </x:c>
      <x:c r="M20" s="3" t="str">
        <x:v>https://github.com/Africa-International-Advisors/liquid_fuels_model/blob/8c69f8333192483f19cd80911cb90fcd0943eb6b/assumptions/2026/timeseries/fuel_lever_design_2026_10_07.csv</x:v>
      </x:c>
    </x:row>
    <x:row r="21" ht="100" customHeight="1">
      <x:c r="A21" s="3" t="str">
        <x:v>petrol</x:v>
      </x:c>
      <x:c r="B21" s="3" t="str">
        <x:v>Real GDP growth % per year</x:v>
      </x:c>
      <x:c r="C21" s="3" t="str">
        <x:v>% per year</x:v>
      </x:c>
      <x:c r="D21" s="20" t="n">
        <x:v>2030</x:v>
      </x:c>
      <x:c r="E21" s="24" t="n">
        <x:v>0.01</x:v>
      </x:c>
      <x:c r="F21" s="24" t="n">
        <x:v>0.02</x:v>
      </x:c>
      <x:c r="G21" s="24" t="n">
        <x:v>0.03</x:v>
      </x:c>
      <x:c r="H21" s="3" t="str">
        <x:v>More sales via GDP/capita</x:v>
      </x:c>
      <x:c r="I21" s="3" t="str">
        <x:v>Team continuation: 2% Beyond official 2028. Registered macro proposal; outer range authored</x:v>
      </x:c>
      <x:c r="J21" s="3" t="str">
        <x:v>Bracket the 2% continuation proposal. Drives fleet additions through the fitted relationship, not a second fuel multiplier. Annual path not agreed.</x:v>
      </x:c>
      <x:c r="K21" s="10"/>
      <x:c r="L21" s="10" t="str">
        <x:v>Proposed; Manish evidence, Nigel decision</x:v>
      </x:c>
      <x:c r="M21" s="3" t="str">
        <x:v>https://github.com/Africa-International-Advisors/liquid_fuels_model/blob/8c69f8333192483f19cd80911cb90fcd0943eb6b/assumptions/2026/timeseries/fuel_lever_design_2026_10_07.csv</x:v>
      </x:c>
    </x:row>
    <x:row r="22" ht="100" customHeight="1">
      <x:c r="A22" s="3" t="str">
        <x:v>petrol</x:v>
      </x:c>
      <x:c r="B22" s="3" t="str">
        <x:v>Real GDP growth % per year</x:v>
      </x:c>
      <x:c r="C22" s="3" t="str">
        <x:v>% per year</x:v>
      </x:c>
      <x:c r="D22" s="20" t="n">
        <x:v>2035</x:v>
      </x:c>
      <x:c r="E22" s="24" t="n">
        <x:v>0.01</x:v>
      </x:c>
      <x:c r="F22" s="24" t="n">
        <x:v>0.02</x:v>
      </x:c>
      <x:c r="G22" s="24" t="n">
        <x:v>0.03</x:v>
      </x:c>
      <x:c r="H22" s="3" t="str">
        <x:v>More sales via GDP/capita</x:v>
      </x:c>
      <x:c r="I22" s="3" t="str">
        <x:v>Team continuation: 2% Beyond official 2028. Registered macro proposal; outer range authored</x:v>
      </x:c>
      <x:c r="J22" s="3" t="str">
        <x:v>Bracket the 2% continuation proposal. Drives fleet additions through the fitted relationship, not a second fuel multiplier. Annual path not agreed.</x:v>
      </x:c>
      <x:c r="K22" s="10"/>
      <x:c r="L22" s="10" t="str">
        <x:v>Proposed; Manish evidence, Nigel decision</x:v>
      </x:c>
      <x:c r="M22" s="3" t="str">
        <x:v>https://github.com/Africa-International-Advisors/liquid_fuels_model/blob/8c69f8333192483f19cd80911cb90fcd0943eb6b/assumptions/2026/timeseries/fuel_lever_design_2026_10_07.csv</x:v>
      </x:c>
    </x:row>
    <x:row r="23" ht="100" customHeight="1">
      <x:c r="A23" s="3" t="str">
        <x:v>petrol</x:v>
      </x:c>
      <x:c r="B23" s="3" t="str">
        <x:v>BEV share of new sales % of passenger sales</x:v>
      </x:c>
      <x:c r="C23" s="3" t="str">
        <x:v>%</x:v>
      </x:c>
      <x:c r="D23" s="20" t="n">
        <x:v>2030</x:v>
      </x:c>
      <x:c r="E23" s="24" t="n">
        <x:v>0.05</x:v>
      </x:c>
      <x:c r="F23" s="24" t="n">
        <x:v>0.15</x:v>
      </x:c>
      <x:c r="G23" s="24" t="n">
        <x:v>0.3</x:v>
      </x:c>
      <x:c r="H23" s="3" t="str">
        <x:v>Less petrol over fleet turnover</x:v>
      </x:c>
      <x:c r="I23" s="3" t="str">
        <x:v>Legacy uptake curves Sales/fleet basis to resolve. Authored replacement design, not values from legacy S-curves</x:v>
      </x:c>
      <x:c r="J23" s="3" t="str">
        <x:v>Authored sales-share tests. Higher BEV uptake lowers new ICE additions; total-fleet effect depends on survival. Annual path not agreed.</x:v>
      </x:c>
      <x:c r="K23" s="10"/>
      <x:c r="L23" s="10" t="str">
        <x:v>Proposed; Manish evidence, Nigel decision</x:v>
      </x:c>
      <x:c r="M23" s="3" t="str">
        <x:v>https://github.com/Africa-International-Advisors/liquid_fuels_model/blob/8c69f8333192483f19cd80911cb90fcd0943eb6b/assumptions/2026/timeseries/fuel_lever_design_2026_10_07.csv</x:v>
      </x:c>
    </x:row>
    <x:row r="24" ht="100" customHeight="1">
      <x:c r="A24" s="3" t="str">
        <x:v>petrol</x:v>
      </x:c>
      <x:c r="B24" s="3" t="str">
        <x:v>BEV share of new sales % of passenger sales</x:v>
      </x:c>
      <x:c r="C24" s="3" t="str">
        <x:v>%</x:v>
      </x:c>
      <x:c r="D24" s="20" t="n">
        <x:v>2035</x:v>
      </x:c>
      <x:c r="E24" s="24" t="n">
        <x:v>0.15</x:v>
      </x:c>
      <x:c r="F24" s="24" t="n">
        <x:v>0.35</x:v>
      </x:c>
      <x:c r="G24" s="24" t="n">
        <x:v>0.6</x:v>
      </x:c>
      <x:c r="H24" s="3" t="str">
        <x:v>Less petrol over fleet turnover</x:v>
      </x:c>
      <x:c r="I24" s="3" t="str">
        <x:v>Legacy uptake curves Sales/fleet basis to resolve. Authored replacement design, not values from legacy S-curves</x:v>
      </x:c>
      <x:c r="J24" s="3" t="str">
        <x:v>Authored sales-share tests. Higher BEV uptake lowers new ICE additions; total-fleet effect depends on survival. Annual path not agreed.</x:v>
      </x:c>
      <x:c r="K24" s="10"/>
      <x:c r="L24" s="10" t="str">
        <x:v>Proposed; Manish evidence, Nigel decision</x:v>
      </x:c>
      <x:c r="M24" s="3" t="str">
        <x:v>https://github.com/Africa-International-Advisors/liquid_fuels_model/blob/8c69f8333192483f19cd80911cb90fcd0943eb6b/assumptions/2026/timeseries/fuel_lever_design_2026_10_07.csv</x:v>
      </x:c>
    </x:row>
    <x:row r="25" ht="100" customHeight="1">
      <x:c r="A25" s="3" t="str">
        <x:v>petrol</x:v>
      </x:c>
      <x:c r="B25" s="3" t="str">
        <x:v>New-vehicle efficiency gain % per year</x:v>
      </x:c>
      <x:c r="C25" s="3" t="str">
        <x:v>% per year</x:v>
      </x:c>
      <x:c r="D25" s="20" t="n">
        <x:v>2030</x:v>
      </x:c>
      <x:c r="E25" s="24" t="n">
        <x:v>0.01</x:v>
      </x:c>
      <x:c r="F25" s="24" t="n">
        <x:v>0.0125</x:v>
      </x:c>
      <x:c r="G25" s="24" t="n">
        <x:v>0.015</x:v>
      </x:c>
      <x:c r="H25" s="3" t="str">
        <x:v>Less fuel</x:v>
      </x:c>
      <x:c r="I25" s="3" t="str">
        <x:v>Legacy: 1.0–1.5% New cohorts only. Registered gasoline efficiency CSV; unreviewed</x:v>
      </x:c>
      <x:c r="J25" s="3" t="str">
        <x:v>Existing low/high input endpoints; M is a proposed midpoint. Preserve each cohort's entry-year consumption. Annual path not agreed.</x:v>
      </x:c>
      <x:c r="K25" s="10"/>
      <x:c r="L25" s="10" t="str">
        <x:v>Proposed; Manish evidence, Nigel decision</x:v>
      </x:c>
      <x:c r="M25" s="3" t="str">
        <x:v>https://github.com/Africa-International-Advisors/liquid_fuels_model/blob/8c69f8333192483f19cd80911cb90fcd0943eb6b/assumptions/2026/timeseries/fuel_lever_design_2026_10_07.csv</x:v>
      </x:c>
    </x:row>
    <x:row r="26" ht="100" customHeight="1">
      <x:c r="A26" s="3" t="str">
        <x:v>petrol</x:v>
      </x:c>
      <x:c r="B26" s="3" t="str">
        <x:v>New-vehicle efficiency gain % per year</x:v>
      </x:c>
      <x:c r="C26" s="3" t="str">
        <x:v>% per year</x:v>
      </x:c>
      <x:c r="D26" s="20" t="n">
        <x:v>2035</x:v>
      </x:c>
      <x:c r="E26" s="24" t="n">
        <x:v>0.01</x:v>
      </x:c>
      <x:c r="F26" s="24" t="n">
        <x:v>0.0125</x:v>
      </x:c>
      <x:c r="G26" s="24" t="n">
        <x:v>0.015</x:v>
      </x:c>
      <x:c r="H26" s="3" t="str">
        <x:v>Less fuel</x:v>
      </x:c>
      <x:c r="I26" s="3" t="str">
        <x:v>Legacy: 1.0–1.5% New cohorts only. Registered gasoline efficiency CSV; unreviewed</x:v>
      </x:c>
      <x:c r="J26" s="3" t="str">
        <x:v>Existing low/high input endpoints; M is a proposed midpoint. Preserve each cohort's entry-year consumption. Annual path not agreed.</x:v>
      </x:c>
      <x:c r="K26" s="10"/>
      <x:c r="L26" s="10" t="str">
        <x:v>Proposed; Manish evidence, Nigel decision</x:v>
      </x:c>
      <x:c r="M26" s="3" t="str">
        <x:v>https://github.com/Africa-International-Advisors/liquid_fuels_model/blob/8c69f8333192483f19cd80911cb90fcd0943eb6b/assumptions/2026/timeseries/fuel_lever_design_2026_10_07.csv</x:v>
      </x:c>
    </x:row>
    <x:row r="27" ht="100" customHeight="1">
      <x:c r="A27" s="3" t="str">
        <x:v>Petrol</x:v>
      </x:c>
      <x:c r="B27" s="3" t="str">
        <x:v>Hybrid / PHEV new-sales shares</x:v>
      </x:c>
      <x:c r="C27" s="3" t="str">
        <x:v>%</x:v>
      </x:c>
      <x:c r="D27" s="20" t="n">
        <x:v>2030</x:v>
      </x:c>
      <x:c r="E27" s="24"/>
      <x:c r="F27" s="24"/>
      <x:c r="G27" s="24"/>
      <x:c r="H27" s="3" t="str">
        <x:v>Less fuel per km; not zero</x:v>
      </x:c>
      <x:c r="I27" s="3" t="str">
        <x:v>No numerical range proposed in this workbook.</x:v>
      </x:c>
      <x:c r="J27" s="3" t="str">
        <x:v>Separate drivetrains; shares reconcile; PHEV electric-distance fraction needed. Specify annual path.</x:v>
      </x:c>
      <x:c r="K27" s="10"/>
      <x:c r="L27" s="10" t="str">
        <x:v>Open; Manish evidence, Nigel decision</x:v>
      </x:c>
      <x:c r="M27" s="3" t="str">
        <x:v>https://github.com/Africa-International-Advisors/liquid_fuels_model/blob/8c69f8333192483f19cd80911cb90fcd0943eb6b/workstreams/WS0_governance/workplan/fuel_lever_review_2026-10-07.md</x:v>
      </x:c>
    </x:row>
    <x:row r="28" ht="100" customHeight="1">
      <x:c r="A28" s="3" t="str">
        <x:v>Petrol</x:v>
      </x:c>
      <x:c r="B28" s="3" t="str">
        <x:v>Hybrid / PHEV new-sales shares</x:v>
      </x:c>
      <x:c r="C28" s="3" t="str">
        <x:v>%</x:v>
      </x:c>
      <x:c r="D28" s="20" t="n">
        <x:v>2035</x:v>
      </x:c>
      <x:c r="E28" s="24"/>
      <x:c r="F28" s="24"/>
      <x:c r="G28" s="24"/>
      <x:c r="H28" s="3" t="str">
        <x:v>Less fuel per km; not zero</x:v>
      </x:c>
      <x:c r="I28" s="3" t="str">
        <x:v>No numerical range proposed in this workbook.</x:v>
      </x:c>
      <x:c r="J28" s="3" t="str">
        <x:v>Separate drivetrains; shares reconcile; PHEV electric-distance fraction needed. Specify annual path.</x:v>
      </x:c>
      <x:c r="K28" s="10"/>
      <x:c r="L28" s="10" t="str">
        <x:v>Open; Manish evidence, Nigel decision</x:v>
      </x:c>
      <x:c r="M28" s="3" t="str">
        <x:v>https://github.com/Africa-International-Advisors/liquid_fuels_model/blob/8c69f8333192483f19cd80911cb90fcd0943eb6b/workstreams/WS0_governance/workplan/fuel_lever_review_2026-10-07.md</x:v>
      </x:c>
    </x:row>
    <x:row r="29" ht="100" customHeight="1">
      <x:c r="A29" s="3" t="str">
        <x:v>Road vehicles</x:v>
      </x:c>
      <x:c r="B29" s="3" t="str">
        <x:v>Retirement / survival</x:v>
      </x:c>
      <x:c r="C29" s="3" t="str">
        <x:v>% per year</x:v>
      </x:c>
      <x:c r="D29" s="20" t="n">
        <x:v>2030</x:v>
      </x:c>
      <x:c r="E29" s="24"/>
      <x:c r="F29" s="24"/>
      <x:c r="G29" s="24"/>
      <x:c r="H29" s="3" t="str">
        <x:v>Depends on replacement and fleet mix</x:v>
      </x:c>
      <x:c r="I29" s="3" t="str">
        <x:v>No numerical range proposed in this workbook.</x:v>
      </x:c>
      <x:c r="J29" s="3" t="str">
        <x:v>Fit opening fleet and cohort survival; current flat rates are provisional. Specify annual path.</x:v>
      </x:c>
      <x:c r="K29" s="10"/>
      <x:c r="L29" s="10" t="str">
        <x:v>Open; Manish evidence, Nigel decision</x:v>
      </x:c>
      <x:c r="M29" s="3" t="str">
        <x:v>https://github.com/Africa-International-Advisors/liquid_fuels_model/blob/8c69f8333192483f19cd80911cb90fcd0943eb6b/workstreams/WS0_governance/workplan/fuel_lever_review_2026-10-07.md</x:v>
      </x:c>
    </x:row>
    <x:row r="30" ht="100" customHeight="1">
      <x:c r="A30" s="3" t="str">
        <x:v>Road vehicles</x:v>
      </x:c>
      <x:c r="B30" s="3" t="str">
        <x:v>Retirement / survival</x:v>
      </x:c>
      <x:c r="C30" s="3" t="str">
        <x:v>% per year</x:v>
      </x:c>
      <x:c r="D30" s="20" t="n">
        <x:v>2035</x:v>
      </x:c>
      <x:c r="E30" s="24"/>
      <x:c r="F30" s="24"/>
      <x:c r="G30" s="24"/>
      <x:c r="H30" s="3" t="str">
        <x:v>Depends on replacement and fleet mix</x:v>
      </x:c>
      <x:c r="I30" s="3" t="str">
        <x:v>No numerical range proposed in this workbook.</x:v>
      </x:c>
      <x:c r="J30" s="3" t="str">
        <x:v>Fit opening fleet and cohort survival; current flat rates are provisional. Specify annual path.</x:v>
      </x:c>
      <x:c r="K30" s="10"/>
      <x:c r="L30" s="10" t="str">
        <x:v>Open; Manish evidence, Nigel decision</x:v>
      </x:c>
      <x:c r="M30" s="3" t="str">
        <x:v>https://github.com/Africa-International-Advisors/liquid_fuels_model/blob/8c69f8333192483f19cd80911cb90fcd0943eb6b/workstreams/WS0_governance/workplan/fuel_lever_review_2026-10-07.md</x:v>
      </x:c>
    </x:row>
    <x:row r="31" ht="100" customHeight="1">
      <x:c r="A31" s="3" t="str">
        <x:v>Diesel freight</x:v>
      </x:c>
      <x:c r="B31" s="3" t="str">
        <x:v>Payload / empty running</x:v>
      </x:c>
      <x:c r="C31" s="3" t="str">
        <x:v>definition due</x:v>
      </x:c>
      <x:c r="D31" s="20" t="n">
        <x:v>2030</x:v>
      </x:c>
      <x:c r="E31" s="19"/>
      <x:c r="F31" s="19"/>
      <x:c r="G31" s="19"/>
      <x:c r="H31" s="3" t="str">
        <x:v>Depends on metric</x:v>
      </x:c>
      <x:c r="I31" s="3" t="str">
        <x:v>No numerical range proposed in this workbook.</x:v>
      </x:c>
      <x:c r="J31" s="3" t="str">
        <x:v>Choose tonne-km or fleet method; separate load factor from empty-running share. Specify annual path.</x:v>
      </x:c>
      <x:c r="K31" s="10"/>
      <x:c r="L31" s="10" t="str">
        <x:v>Open; Manish evidence, Nigel decision</x:v>
      </x:c>
      <x:c r="M31" s="3" t="str">
        <x:v>https://github.com/Africa-International-Advisors/liquid_fuels_model/blob/8c69f8333192483f19cd80911cb90fcd0943eb6b/workstreams/WS0_governance/workplan/fuel_lever_review_2026-10-07.md</x:v>
      </x:c>
    </x:row>
    <x:row r="32" ht="100" customHeight="1">
      <x:c r="A32" s="3" t="str">
        <x:v>Diesel freight</x:v>
      </x:c>
      <x:c r="B32" s="3" t="str">
        <x:v>Payload / empty running</x:v>
      </x:c>
      <x:c r="C32" s="3" t="str">
        <x:v>definition due</x:v>
      </x:c>
      <x:c r="D32" s="20" t="n">
        <x:v>2035</x:v>
      </x:c>
      <x:c r="E32" s="19"/>
      <x:c r="F32" s="19"/>
      <x:c r="G32" s="19"/>
      <x:c r="H32" s="3" t="str">
        <x:v>Depends on metric</x:v>
      </x:c>
      <x:c r="I32" s="3" t="str">
        <x:v>No numerical range proposed in this workbook.</x:v>
      </x:c>
      <x:c r="J32" s="3" t="str">
        <x:v>Choose tonne-km or fleet method; separate load factor from empty-running share. Specify annual path.</x:v>
      </x:c>
      <x:c r="K32" s="10"/>
      <x:c r="L32" s="10" t="str">
        <x:v>Open; Manish evidence, Nigel decision</x:v>
      </x:c>
      <x:c r="M32" s="3" t="str">
        <x:v>https://github.com/Africa-International-Advisors/liquid_fuels_model/blob/8c69f8333192483f19cd80911cb90fcd0943eb6b/workstreams/WS0_governance/workplan/fuel_lever_review_2026-10-07.md</x:v>
      </x:c>
    </x:row>
    <x:row r="33" ht="100" customHeight="1">
      <x:c r="A33" s="3" t="str">
        <x:v>Diesel agriculture</x:v>
      </x:c>
      <x:c r="B33" s="3" t="str">
        <x:v>Agricultural activity</x:v>
      </x:c>
      <x:c r="C33" s="3" t="str">
        <x:v>index, base = 100</x:v>
      </x:c>
      <x:c r="D33" s="20" t="n">
        <x:v>2030</x:v>
      </x:c>
      <x:c r="E33" s="19"/>
      <x:c r="F33" s="19"/>
      <x:c r="G33" s="19"/>
      <x:c r="H33" s="3" t="str">
        <x:v>More diesel</x:v>
      </x:c>
      <x:c r="I33" s="3" t="str">
        <x:v>No numerical range proposed in this workbook.</x:v>
      </x:c>
      <x:c r="J33" s="3" t="str">
        <x:v>Choose activity and baseline year; reconcile provincial/sector scope. Specify annual path.</x:v>
      </x:c>
      <x:c r="K33" s="10"/>
      <x:c r="L33" s="10" t="str">
        <x:v>Open; Manish evidence, Nigel decision</x:v>
      </x:c>
      <x:c r="M33" s="3" t="str">
        <x:v>https://github.com/Africa-International-Advisors/liquid_fuels_model/blob/8c69f8333192483f19cd80911cb90fcd0943eb6b/workstreams/WS0_governance/workplan/fuel_lever_review_2026-10-07.md</x:v>
      </x:c>
    </x:row>
    <x:row r="34" ht="100" customHeight="1">
      <x:c r="A34" s="3" t="str">
        <x:v>Diesel agriculture</x:v>
      </x:c>
      <x:c r="B34" s="3" t="str">
        <x:v>Agricultural activity</x:v>
      </x:c>
      <x:c r="C34" s="3" t="str">
        <x:v>index, base = 100</x:v>
      </x:c>
      <x:c r="D34" s="20" t="n">
        <x:v>2035</x:v>
      </x:c>
      <x:c r="E34" s="19"/>
      <x:c r="F34" s="19"/>
      <x:c r="G34" s="19"/>
      <x:c r="H34" s="3" t="str">
        <x:v>More diesel</x:v>
      </x:c>
      <x:c r="I34" s="3" t="str">
        <x:v>No numerical range proposed in this workbook.</x:v>
      </x:c>
      <x:c r="J34" s="3" t="str">
        <x:v>Choose activity and baseline year; reconcile provincial/sector scope. Specify annual path.</x:v>
      </x:c>
      <x:c r="K34" s="10"/>
      <x:c r="L34" s="10" t="str">
        <x:v>Open; Manish evidence, Nigel decision</x:v>
      </x:c>
      <x:c r="M34" s="3" t="str">
        <x:v>https://github.com/Africa-International-Advisors/liquid_fuels_model/blob/8c69f8333192483f19cd80911cb90fcd0943eb6b/workstreams/WS0_governance/workplan/fuel_lever_review_2026-10-07.md</x:v>
      </x:c>
    </x:row>
    <x:row r="35" ht="100" customHeight="1">
      <x:c r="A35" s="3" t="str">
        <x:v>Diesel agriculture</x:v>
      </x:c>
      <x:c r="B35" s="3" t="str">
        <x:v>Relative fuel intensity</x:v>
      </x:c>
      <x:c r="C35" s="3" t="str">
        <x:v>base = 1</x:v>
      </x:c>
      <x:c r="D35" s="20" t="n">
        <x:v>2030</x:v>
      </x:c>
      <x:c r="E35" s="19"/>
      <x:c r="F35" s="19"/>
      <x:c r="G35" s="19"/>
      <x:c r="H35" s="3" t="str">
        <x:v>More diesel</x:v>
      </x:c>
      <x:c r="I35" s="3" t="str">
        <x:v>No numerical range proposed in this workbook.</x:v>
      </x:c>
      <x:c r="J35" s="3" t="str">
        <x:v>Separate intensity changes from activity; avoid overlapping efficiency effects. Specify annual path.</x:v>
      </x:c>
      <x:c r="K35" s="10"/>
      <x:c r="L35" s="10" t="str">
        <x:v>Open; Manish evidence, Nigel decision</x:v>
      </x:c>
      <x:c r="M35" s="3" t="str">
        <x:v>https://github.com/Africa-International-Advisors/liquid_fuels_model/blob/8c69f8333192483f19cd80911cb90fcd0943eb6b/workstreams/WS0_governance/workplan/fuel_lever_review_2026-10-07.md</x:v>
      </x:c>
    </x:row>
    <x:row r="36" ht="100" customHeight="1">
      <x:c r="A36" s="3" t="str">
        <x:v>Diesel agriculture</x:v>
      </x:c>
      <x:c r="B36" s="3" t="str">
        <x:v>Relative fuel intensity</x:v>
      </x:c>
      <x:c r="C36" s="3" t="str">
        <x:v>base = 1</x:v>
      </x:c>
      <x:c r="D36" s="20" t="n">
        <x:v>2035</x:v>
      </x:c>
      <x:c r="E36" s="19"/>
      <x:c r="F36" s="19"/>
      <x:c r="G36" s="19"/>
      <x:c r="H36" s="3" t="str">
        <x:v>More diesel</x:v>
      </x:c>
      <x:c r="I36" s="3" t="str">
        <x:v>No numerical range proposed in this workbook.</x:v>
      </x:c>
      <x:c r="J36" s="3" t="str">
        <x:v>Separate intensity changes from activity; avoid overlapping efficiency effects. Specify annual path.</x:v>
      </x:c>
      <x:c r="K36" s="10"/>
      <x:c r="L36" s="10" t="str">
        <x:v>Open; Manish evidence, Nigel decision</x:v>
      </x:c>
      <x:c r="M36" s="3" t="str">
        <x:v>https://github.com/Africa-International-Advisors/liquid_fuels_model/blob/8c69f8333192483f19cd80911cb90fcd0943eb6b/workstreams/WS0_governance/workplan/fuel_lever_review_2026-10-07.md</x:v>
      </x:c>
    </x:row>
    <x:row r="37" ht="100" customHeight="1">
      <x:c r="A37" s="3" t="str">
        <x:v>Diesel manufacturing</x:v>
      </x:c>
      <x:c r="B37" s="3" t="str">
        <x:v>Sector activity</x:v>
      </x:c>
      <x:c r="C37" s="3" t="str">
        <x:v>index, base = 100</x:v>
      </x:c>
      <x:c r="D37" s="20" t="n">
        <x:v>2030</x:v>
      </x:c>
      <x:c r="E37" s="19"/>
      <x:c r="F37" s="19"/>
      <x:c r="G37" s="19"/>
      <x:c r="H37" s="3" t="str">
        <x:v>More diesel</x:v>
      </x:c>
      <x:c r="I37" s="3" t="str">
        <x:v>No numerical range proposed in this workbook.</x:v>
      </x:c>
      <x:c r="J37" s="3" t="str">
        <x:v>Manufacturing-specific activity and intensity; electrification separate unless already embedded. Reconcile baseline split. Specify annual path.</x:v>
      </x:c>
      <x:c r="K37" s="10"/>
      <x:c r="L37" s="10" t="str">
        <x:v>Open; Manish evidence, Nigel decision</x:v>
      </x:c>
      <x:c r="M37" s="3" t="str">
        <x:v>https://github.com/Africa-International-Advisors/liquid_fuels_model/blob/8c69f8333192483f19cd80911cb90fcd0943eb6b/workstreams/WS0_governance/workplan/fuel_lever_review_2026-10-07.md</x:v>
      </x:c>
    </x:row>
    <x:row r="38" ht="100" customHeight="1">
      <x:c r="A38" s="3" t="str">
        <x:v>Diesel manufacturing</x:v>
      </x:c>
      <x:c r="B38" s="3" t="str">
        <x:v>Sector activity</x:v>
      </x:c>
      <x:c r="C38" s="3" t="str">
        <x:v>index, base = 100</x:v>
      </x:c>
      <x:c r="D38" s="20" t="n">
        <x:v>2035</x:v>
      </x:c>
      <x:c r="E38" s="19"/>
      <x:c r="F38" s="19"/>
      <x:c r="G38" s="19"/>
      <x:c r="H38" s="3" t="str">
        <x:v>More diesel</x:v>
      </x:c>
      <x:c r="I38" s="3" t="str">
        <x:v>No numerical range proposed in this workbook.</x:v>
      </x:c>
      <x:c r="J38" s="3" t="str">
        <x:v>Manufacturing-specific activity and intensity; electrification separate unless already embedded. Reconcile baseline split. Specify annual path.</x:v>
      </x:c>
      <x:c r="K38" s="10"/>
      <x:c r="L38" s="10" t="str">
        <x:v>Open; Manish evidence, Nigel decision</x:v>
      </x:c>
      <x:c r="M38" s="3" t="str">
        <x:v>https://github.com/Africa-International-Advisors/liquid_fuels_model/blob/8c69f8333192483f19cd80911cb90fcd0943eb6b/workstreams/WS0_governance/workplan/fuel_lever_review_2026-10-07.md</x:v>
      </x:c>
    </x:row>
    <x:row r="39" ht="100" customHeight="1">
      <x:c r="A39" s="3" t="str">
        <x:v>Diesel manufacturing</x:v>
      </x:c>
      <x:c r="B39" s="3" t="str">
        <x:v>Relative sector fuel intensity</x:v>
      </x:c>
      <x:c r="C39" s="3" t="str">
        <x:v>base = 1</x:v>
      </x:c>
      <x:c r="D39" s="20" t="n">
        <x:v>2030</x:v>
      </x:c>
      <x:c r="E39" s="19"/>
      <x:c r="F39" s="19"/>
      <x:c r="G39" s="19"/>
      <x:c r="H39" s="3" t="str">
        <x:v>More diesel</x:v>
      </x:c>
      <x:c r="I39" s="3" t="str">
        <x:v>No numerical range proposed in this workbook.</x:v>
      </x:c>
      <x:c r="J39" s="3" t="str">
        <x:v>Manufacturing-specific activity and intensity; electrification separate unless already embedded. Reconcile baseline split. Specify annual path.</x:v>
      </x:c>
      <x:c r="K39" s="10"/>
      <x:c r="L39" s="10" t="str">
        <x:v>Open; Manish evidence, Nigel decision</x:v>
      </x:c>
      <x:c r="M39" s="3" t="str">
        <x:v>https://github.com/Africa-International-Advisors/liquid_fuels_model/blob/8c69f8333192483f19cd80911cb90fcd0943eb6b/workstreams/WS0_governance/workplan/fuel_lever_review_2026-10-07.md</x:v>
      </x:c>
    </x:row>
    <x:row r="40" ht="100" customHeight="1">
      <x:c r="A40" s="3" t="str">
        <x:v>Diesel manufacturing</x:v>
      </x:c>
      <x:c r="B40" s="3" t="str">
        <x:v>Relative sector fuel intensity</x:v>
      </x:c>
      <x:c r="C40" s="3" t="str">
        <x:v>base = 1</x:v>
      </x:c>
      <x:c r="D40" s="20" t="n">
        <x:v>2035</x:v>
      </x:c>
      <x:c r="E40" s="19"/>
      <x:c r="F40" s="19"/>
      <x:c r="G40" s="19"/>
      <x:c r="H40" s="3" t="str">
        <x:v>More diesel</x:v>
      </x:c>
      <x:c r="I40" s="3" t="str">
        <x:v>No numerical range proposed in this workbook.</x:v>
      </x:c>
      <x:c r="J40" s="3" t="str">
        <x:v>Manufacturing-specific activity and intensity; electrification separate unless already embedded. Reconcile baseline split. Specify annual path.</x:v>
      </x:c>
      <x:c r="K40" s="10"/>
      <x:c r="L40" s="10" t="str">
        <x:v>Open; Manish evidence, Nigel decision</x:v>
      </x:c>
      <x:c r="M40" s="3" t="str">
        <x:v>https://github.com/Africa-International-Advisors/liquid_fuels_model/blob/8c69f8333192483f19cd80911cb90fcd0943eb6b/workstreams/WS0_governance/workplan/fuel_lever_review_2026-10-07.md</x:v>
      </x:c>
    </x:row>
    <x:row r="41" ht="100" customHeight="1">
      <x:c r="A41" s="3" t="str">
        <x:v>Diesel private backup</x:v>
      </x:c>
      <x:c r="B41" s="3" t="str">
        <x:v>Generation / fuel burn</x:v>
      </x:c>
      <x:c r="C41" s="3" t="str">
        <x:v>definition due</x:v>
      </x:c>
      <x:c r="D41" s="20" t="n">
        <x:v>2030</x:v>
      </x:c>
      <x:c r="E41" s="19"/>
      <x:c r="F41" s="19"/>
      <x:c r="G41" s="19"/>
      <x:c r="H41" s="3" t="str">
        <x:v>More diesel</x:v>
      </x:c>
      <x:c r="I41" s="3" t="str">
        <x:v>No numerical range proposed in this workbook.</x:v>
      </x:c>
      <x:c r="J41" s="3" t="str">
        <x:v>Avoid overlap with grid OCGT and sector baselines. Specify annual path.</x:v>
      </x:c>
      <x:c r="K41" s="10"/>
      <x:c r="L41" s="10" t="str">
        <x:v>Open; Manish evidence, Nigel decision</x:v>
      </x:c>
      <x:c r="M41" s="3" t="str">
        <x:v>https://github.com/Africa-International-Advisors/liquid_fuels_model/blob/8c69f8333192483f19cd80911cb90fcd0943eb6b/workstreams/WS0_governance/workplan/fuel_lever_review_2026-10-07.md</x:v>
      </x:c>
    </x:row>
    <x:row r="42" ht="100" customHeight="1">
      <x:c r="A42" s="3" t="str">
        <x:v>Diesel private backup</x:v>
      </x:c>
      <x:c r="B42" s="3" t="str">
        <x:v>Generation / fuel burn</x:v>
      </x:c>
      <x:c r="C42" s="3" t="str">
        <x:v>definition due</x:v>
      </x:c>
      <x:c r="D42" s="20" t="n">
        <x:v>2035</x:v>
      </x:c>
      <x:c r="E42" s="19"/>
      <x:c r="F42" s="19"/>
      <x:c r="G42" s="19"/>
      <x:c r="H42" s="3" t="str">
        <x:v>More diesel</x:v>
      </x:c>
      <x:c r="I42" s="3" t="str">
        <x:v>No numerical range proposed in this workbook.</x:v>
      </x:c>
      <x:c r="J42" s="3" t="str">
        <x:v>Avoid overlap with grid OCGT and sector baselines. Specify annual path.</x:v>
      </x:c>
      <x:c r="K42" s="10"/>
      <x:c r="L42" s="10" t="str">
        <x:v>Open; Manish evidence, Nigel decision</x:v>
      </x:c>
      <x:c r="M42" s="3" t="str">
        <x:v>https://github.com/Africa-International-Advisors/liquid_fuels_model/blob/8c69f8333192483f19cd80911cb90fcd0943eb6b/workstreams/WS0_governance/workplan/fuel_lever_review_2026-10-07.md</x:v>
      </x:c>
    </x:row>
    <x:row r="43" ht="100" customHeight="1">
      <x:c r="A43" s="3" t="str">
        <x:v>Marine</x:v>
      </x:c>
      <x:c r="B43" s="3" t="str">
        <x:v>Activity / fuel intensity</x:v>
      </x:c>
      <x:c r="C43" s="3" t="str">
        <x:v>definition due</x:v>
      </x:c>
      <x:c r="D43" s="20" t="n">
        <x:v>2030</x:v>
      </x:c>
      <x:c r="E43" s="19"/>
      <x:c r="F43" s="19"/>
      <x:c r="G43" s="19"/>
      <x:c r="H43" s="3" t="str">
        <x:v>Depends on metric</x:v>
      </x:c>
      <x:c r="I43" s="3" t="str">
        <x:v>No numerical range proposed in this workbook.</x:v>
      </x:c>
      <x:c r="J43" s="3" t="str">
        <x:v>Separate product split, activity, efficiency and bunker coverage. Specify annual path.</x:v>
      </x:c>
      <x:c r="K43" s="10"/>
      <x:c r="L43" s="10" t="str">
        <x:v>Open; Manish evidence, Nigel decision</x:v>
      </x:c>
      <x:c r="M43" s="3" t="str">
        <x:v>https://github.com/Africa-International-Advisors/liquid_fuels_model/blob/8c69f8333192483f19cd80911cb90fcd0943eb6b/workstreams/WS0_governance/workplan/fuel_lever_review_2026-10-07.md</x:v>
      </x:c>
    </x:row>
    <x:row r="44" ht="100" customHeight="1">
      <x:c r="A44" s="3" t="str">
        <x:v>Marine</x:v>
      </x:c>
      <x:c r="B44" s="3" t="str">
        <x:v>Activity / fuel intensity</x:v>
      </x:c>
      <x:c r="C44" s="3" t="str">
        <x:v>definition due</x:v>
      </x:c>
      <x:c r="D44" s="20" t="n">
        <x:v>2035</x:v>
      </x:c>
      <x:c r="E44" s="19"/>
      <x:c r="F44" s="19"/>
      <x:c r="G44" s="19"/>
      <x:c r="H44" s="3" t="str">
        <x:v>Depends on metric</x:v>
      </x:c>
      <x:c r="I44" s="3" t="str">
        <x:v>No numerical range proposed in this workbook.</x:v>
      </x:c>
      <x:c r="J44" s="3" t="str">
        <x:v>Separate product split, activity, efficiency and bunker coverage. Specify annual path.</x:v>
      </x:c>
      <x:c r="K44" s="10"/>
      <x:c r="L44" s="10" t="str">
        <x:v>Open; Manish evidence, Nigel decision</x:v>
      </x:c>
      <x:c r="M44" s="3" t="str">
        <x:v>https://github.com/Africa-International-Advisors/liquid_fuels_model/blob/8c69f8333192483f19cd80911cb90fcd0943eb6b/workstreams/WS0_governance/workplan/fuel_lever_review_2026-10-07.md</x:v>
      </x:c>
    </x:row>
    <x:row r="45" ht="52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</x:row>
    <x:row r="46" ht="100" customHeight="1">
      <x:c r="A46" s="56" t="str">
        <x:v>Diesel freight</x:v>
      </x:c>
      <x:c r="B46" s="57" t="str">
        <x:v>Truck BEV new-sales share by duty cycle</x:v>
      </x:c>
      <x:c r="C46" s="57" t="str">
        <x:v>%</x:v>
      </x:c>
      <x:c r="D46" s="58" t="n">
        <x:v>2030</x:v>
      </x:c>
      <x:c r="E46" s="59"/>
      <x:c r="F46" s="59"/>
      <x:c r="G46" s="59"/>
      <x:c r="H46" s="57" t="str">
        <x:v>Less road diesel over fleet turnover</x:v>
      </x:c>
      <x:c r="I46" s="57" t="str">
        <x:v>No numerical brackets agreed.</x:v>
      </x:c>
      <x:c r="J46" s="57" t="str">
        <x:v>Separate delivery, regional and long haul; shares are new sales, not fleet or tonne-km. Annual path to agree.</x:v>
      </x:c>
      <x:c r="K46" s="41"/>
      <x:c r="L46" s="41" t="str">
        <x:v>Open; Manish evidence, Nigel decision</x:v>
      </x:c>
      <x:c r="M46" s="57" t="str">
        <x:v>Workshop proposal, 7 October 2026; no numerical assumption adopted.</x:v>
      </x:c>
    </x:row>
    <x:row r="47" ht="100" customHeight="1">
      <x:c r="A47" s="57" t="str">
        <x:v>Diesel freight</x:v>
      </x:c>
      <x:c r="B47" s="57" t="str">
        <x:v>Truck BEV new-sales share by duty cycle</x:v>
      </x:c>
      <x:c r="C47" s="57" t="str">
        <x:v>%</x:v>
      </x:c>
      <x:c r="D47" s="58" t="n">
        <x:v>2035</x:v>
      </x:c>
      <x:c r="E47" s="59"/>
      <x:c r="F47" s="59"/>
      <x:c r="G47" s="59"/>
      <x:c r="H47" s="57" t="str">
        <x:v>Less road diesel over fleet turnover</x:v>
      </x:c>
      <x:c r="I47" s="57" t="str">
        <x:v>No numerical brackets agreed.</x:v>
      </x:c>
      <x:c r="J47" s="57" t="str">
        <x:v>Separate delivery, regional and long haul; shares are new sales, not fleet or tonne-km. Annual path to agree.</x:v>
      </x:c>
      <x:c r="K47" s="41"/>
      <x:c r="L47" s="41" t="str">
        <x:v>Open; Manish evidence, Nigel decision</x:v>
      </x:c>
      <x:c r="M47" s="57" t="str">
        <x:v>Workshop proposal, 7 October 2026; no numerical assumption adopted.</x:v>
      </x:c>
    </x:row>
    <x:row r="48" ht="100" customHeight="1">
      <x:c r="A48" s="57" t="str">
        <x:v>Diesel freight</x:v>
      </x:c>
      <x:c r="B48" s="57" t="str">
        <x:v>Truck hybrid / PHEV shares</x:v>
      </x:c>
      <x:c r="C48" s="57" t="str">
        <x:v>%</x:v>
      </x:c>
      <x:c r="D48" s="58" t="n">
        <x:v>2030</x:v>
      </x:c>
      <x:c r="E48" s="59"/>
      <x:c r="F48" s="59"/>
      <x:c r="G48" s="59"/>
      <x:c r="H48" s="57" t="str">
        <x:v>Less diesel per km; not zero</x:v>
      </x:c>
      <x:c r="I48" s="57" t="str">
        <x:v>No numerical brackets agreed.</x:v>
      </x:c>
      <x:c r="J48" s="57" t="str">
        <x:v>Separate drivetrains and electric-distance fraction; shares reconcile with BEV and diesel. Annual path to agree.</x:v>
      </x:c>
      <x:c r="K48" s="41"/>
      <x:c r="L48" s="41" t="str">
        <x:v>Open; Manish evidence, Nigel decision</x:v>
      </x:c>
      <x:c r="M48" s="57" t="str">
        <x:v>Workshop proposal, 7 October 2026; no numerical assumption adopted.</x:v>
      </x:c>
    </x:row>
    <x:row r="49" ht="100" customHeight="1">
      <x:c r="A49" s="57" t="str">
        <x:v>Diesel freight</x:v>
      </x:c>
      <x:c r="B49" s="57" t="str">
        <x:v>Truck hybrid / PHEV shares</x:v>
      </x:c>
      <x:c r="C49" s="57" t="str">
        <x:v>%</x:v>
      </x:c>
      <x:c r="D49" s="58" t="n">
        <x:v>2035</x:v>
      </x:c>
      <x:c r="E49" s="59"/>
      <x:c r="F49" s="59"/>
      <x:c r="G49" s="59"/>
      <x:c r="H49" s="57" t="str">
        <x:v>Less diesel per km; not zero</x:v>
      </x:c>
      <x:c r="I49" s="57" t="str">
        <x:v>No numerical brackets agreed.</x:v>
      </x:c>
      <x:c r="J49" s="57" t="str">
        <x:v>Separate drivetrains and electric-distance fraction; shares reconcile with BEV and diesel. Annual path to agree.</x:v>
      </x:c>
      <x:c r="K49" s="41"/>
      <x:c r="L49" s="41" t="str">
        <x:v>Open; Manish evidence, Nigel decision</x:v>
      </x:c>
      <x:c r="M49" s="57" t="str">
        <x:v>Workshop proposal, 7 October 2026; no numerical assumption adopted.</x:v>
      </x:c>
    </x:row>
    <x:row r="50" ht="100" customHeight="1">
      <x:c r="A50" s="57" t="str">
        <x:v>Diesel freight</x:v>
      </x:c>
      <x:c r="B50" s="57" t="str">
        <x:v>Truck mileage by drivetrain</x:v>
      </x:c>
      <x:c r="C50" s="57" t="str">
        <x:v>km/vehicle/year</x:v>
      </x:c>
      <x:c r="D50" s="58" t="n">
        <x:v>2030</x:v>
      </x:c>
      <x:c r="E50" s="40"/>
      <x:c r="F50" s="40"/>
      <x:c r="G50" s="40"/>
      <x:c r="H50" s="57" t="str">
        <x:v>More work; fuel depends on drivetrain</x:v>
      </x:c>
      <x:c r="I50" s="57" t="str">
        <x:v>No numerical brackets agreed.</x:v>
      </x:c>
      <x:c r="J50" s="57" t="str">
        <x:v>Use fleet × mileage × payload to reconcile work shares; do not assume equal BEV and diesel utilisation. Annual path to agree.</x:v>
      </x:c>
      <x:c r="K50" s="41"/>
      <x:c r="L50" s="41" t="str">
        <x:v>Open; Manish evidence, Nigel decision</x:v>
      </x:c>
      <x:c r="M50" s="57" t="str">
        <x:v>Workshop proposal, 7 October 2026; no numerical assumption adopted.</x:v>
      </x:c>
    </x:row>
    <x:row r="51" ht="100" customHeight="1">
      <x:c r="A51" s="57" t="str">
        <x:v>Diesel freight</x:v>
      </x:c>
      <x:c r="B51" s="57" t="str">
        <x:v>Truck mileage by drivetrain</x:v>
      </x:c>
      <x:c r="C51" s="57" t="str">
        <x:v>km/vehicle/year</x:v>
      </x:c>
      <x:c r="D51" s="58" t="n">
        <x:v>2035</x:v>
      </x:c>
      <x:c r="E51" s="40"/>
      <x:c r="F51" s="40"/>
      <x:c r="G51" s="40"/>
      <x:c r="H51" s="57" t="str">
        <x:v>More work; fuel depends on drivetrain</x:v>
      </x:c>
      <x:c r="I51" s="57" t="str">
        <x:v>No numerical brackets agreed.</x:v>
      </x:c>
      <x:c r="J51" s="57" t="str">
        <x:v>Use fleet × mileage × payload to reconcile work shares; do not assume equal BEV and diesel utilisation. Annual path to agree.</x:v>
      </x:c>
      <x:c r="K51" s="41"/>
      <x:c r="L51" s="41" t="str">
        <x:v>Open; Manish evidence, Nigel decision</x:v>
      </x:c>
      <x:c r="M51" s="57" t="str">
        <x:v>Workshop proposal, 7 October 2026; no numerical assumption adopted.</x:v>
      </x:c>
    </x:row>
    <x:row r="52" ht="100" customHeight="1">
      <x:c r="A52" s="57" t="str">
        <x:v>Diesel freight</x:v>
      </x:c>
      <x:c r="B52" s="57" t="str">
        <x:v>Charging rollout and eligible duty cycles</x:v>
      </x:c>
      <x:c r="C52" s="57" t="str">
        <x:v>definition due</x:v>
      </x:c>
      <x:c r="D52" s="58" t="n">
        <x:v>2030</x:v>
      </x:c>
      <x:c r="E52" s="40"/>
      <x:c r="F52" s="40"/>
      <x:c r="G52" s="40"/>
      <x:c r="H52" s="57" t="str">
        <x:v>Constrains feasible uptake</x:v>
      </x:c>
      <x:c r="I52" s="57" t="str">
        <x:v>No numerical brackets agreed.</x:v>
      </x:c>
      <x:c r="J52" s="57" t="str">
        <x:v>Record route/depot access, dwell, grid power and timing. Not a second diesel reduction. Annual path to agree.</x:v>
      </x:c>
      <x:c r="K52" s="41"/>
      <x:c r="L52" s="41" t="str">
        <x:v>Open; Manish evidence, Nigel decision</x:v>
      </x:c>
      <x:c r="M52" s="57" t="str">
        <x:v>Workshop proposal, 7 October 2026; no numerical assumption adopted.</x:v>
      </x:c>
    </x:row>
    <x:row r="53" ht="100" customHeight="1">
      <x:c r="A53" s="57" t="str">
        <x:v>Diesel freight</x:v>
      </x:c>
      <x:c r="B53" s="57" t="str">
        <x:v>Charging rollout and eligible duty cycles</x:v>
      </x:c>
      <x:c r="C53" s="57" t="str">
        <x:v>definition due</x:v>
      </x:c>
      <x:c r="D53" s="58" t="n">
        <x:v>2035</x:v>
      </x:c>
      <x:c r="E53" s="40"/>
      <x:c r="F53" s="40"/>
      <x:c r="G53" s="40"/>
      <x:c r="H53" s="57" t="str">
        <x:v>Constrains feasible uptake</x:v>
      </x:c>
      <x:c r="I53" s="57" t="str">
        <x:v>No numerical brackets agreed.</x:v>
      </x:c>
      <x:c r="J53" s="57" t="str">
        <x:v>Record route/depot access, dwell, grid power and timing. Not a second diesel reduction. Annual path to agree.</x:v>
      </x:c>
      <x:c r="K53" s="41"/>
      <x:c r="L53" s="41" t="str">
        <x:v>Open; Manish evidence, Nigel decision</x:v>
      </x:c>
      <x:c r="M53" s="57" t="str">
        <x:v>Workshop proposal, 7 October 2026; no numerical assumption adopted.</x:v>
      </x:c>
    </x:row>
    <x:row r="54" ht="100" customHeight="1">
      <x:c r="A54" s="57" t="str">
        <x:v>Diesel manufacturing</x:v>
      </x:c>
      <x:c r="B54" s="57" t="str">
        <x:v>Remaining diesel fraction after electrification</x:v>
      </x:c>
      <x:c r="C54" s="57" t="str">
        <x:v>base year = 1</x:v>
      </x:c>
      <x:c r="D54" s="58" t="n">
        <x:v>2030</x:v>
      </x:c>
      <x:c r="E54" s="40"/>
      <x:c r="F54" s="40"/>
      <x:c r="G54" s="40"/>
      <x:c r="H54" s="57" t="str">
        <x:v>More diesel</x:v>
      </x:c>
      <x:c r="I54" s="57" t="str">
        <x:v>No numerical brackets agreed.</x:v>
      </x:c>
      <x:c r="J54" s="57" t="str">
        <x:v>Eligible manufacturing uses only; separate from efficiency and backup generation. Annual path to agree.</x:v>
      </x:c>
      <x:c r="K54" s="41"/>
      <x:c r="L54" s="41" t="str">
        <x:v>Open; Manish evidence, Nigel decision</x:v>
      </x:c>
      <x:c r="M54" s="57" t="str">
        <x:v>Workshop proposal, 7 October 2026; no numerical assumption adopted.</x:v>
      </x:c>
    </x:row>
    <x:row r="55" ht="100" customHeight="1">
      <x:c r="A55" s="57" t="str">
        <x:v>Diesel manufacturing</x:v>
      </x:c>
      <x:c r="B55" s="57" t="str">
        <x:v>Remaining diesel fraction after electrification</x:v>
      </x:c>
      <x:c r="C55" s="57" t="str">
        <x:v>base year = 1</x:v>
      </x:c>
      <x:c r="D55" s="58" t="n">
        <x:v>2035</x:v>
      </x:c>
      <x:c r="E55" s="40"/>
      <x:c r="F55" s="40"/>
      <x:c r="G55" s="40"/>
      <x:c r="H55" s="57" t="str">
        <x:v>More diesel</x:v>
      </x:c>
      <x:c r="I55" s="57" t="str">
        <x:v>No numerical brackets agreed.</x:v>
      </x:c>
      <x:c r="J55" s="57" t="str">
        <x:v>Eligible manufacturing uses only; separate from efficiency and backup generation. Annual path to agree.</x:v>
      </x:c>
      <x:c r="K55" s="41"/>
      <x:c r="L55" s="41" t="str">
        <x:v>Open; Manish evidence, Nigel decision</x:v>
      </x:c>
      <x:c r="M55" s="57" t="str">
        <x:v>Workshop proposal, 7 October 2026; no numerical assumption adopted.</x:v>
      </x:c>
    </x:row>
    <x:row r="56" ht="100" customHeight="1">
      <x:c r="A56" s="57" t="str">
        <x:v>Diesel mining</x:v>
      </x:c>
      <x:c r="B56" s="57" t="str">
        <x:v>Mining activity</x:v>
      </x:c>
      <x:c r="C56" s="57" t="str">
        <x:v>index, base = 100</x:v>
      </x:c>
      <x:c r="D56" s="58" t="n">
        <x:v>2030</x:v>
      </x:c>
      <x:c r="E56" s="40"/>
      <x:c r="F56" s="40"/>
      <x:c r="G56" s="40"/>
      <x:c r="H56" s="57" t="str">
        <x:v>More diesel</x:v>
      </x:c>
      <x:c r="I56" s="57" t="str">
        <x:v>No numerical brackets agreed.</x:v>
      </x:c>
      <x:c r="J56" s="57" t="str">
        <x:v>Commodity output or material moved by mine/subsector; specify matched base year. Annual path to agree.</x:v>
      </x:c>
      <x:c r="K56" s="41"/>
      <x:c r="L56" s="41" t="str">
        <x:v>Open; Manish evidence, Nigel decision</x:v>
      </x:c>
      <x:c r="M56" s="57" t="str">
        <x:v>Workshop proposal, 7 October 2026; no numerical assumption adopted.</x:v>
      </x:c>
    </x:row>
    <x:row r="57" ht="100" customHeight="1">
      <x:c r="A57" s="57" t="str">
        <x:v>Diesel mining</x:v>
      </x:c>
      <x:c r="B57" s="57" t="str">
        <x:v>Mining activity</x:v>
      </x:c>
      <x:c r="C57" s="57" t="str">
        <x:v>index, base = 100</x:v>
      </x:c>
      <x:c r="D57" s="58" t="n">
        <x:v>2035</x:v>
      </x:c>
      <x:c r="E57" s="40"/>
      <x:c r="F57" s="40"/>
      <x:c r="G57" s="40"/>
      <x:c r="H57" s="57" t="str">
        <x:v>More diesel</x:v>
      </x:c>
      <x:c r="I57" s="57" t="str">
        <x:v>No numerical brackets agreed.</x:v>
      </x:c>
      <x:c r="J57" s="57" t="str">
        <x:v>Commodity output or material moved by mine/subsector; specify matched base year. Annual path to agree.</x:v>
      </x:c>
      <x:c r="K57" s="41"/>
      <x:c r="L57" s="41" t="str">
        <x:v>Open; Manish evidence, Nigel decision</x:v>
      </x:c>
      <x:c r="M57" s="57" t="str">
        <x:v>Workshop proposal, 7 October 2026; no numerical assumption adopted.</x:v>
      </x:c>
    </x:row>
    <x:row r="58" ht="100" customHeight="1">
      <x:c r="A58" s="57" t="str">
        <x:v>Diesel mining</x:v>
      </x:c>
      <x:c r="B58" s="57" t="str">
        <x:v>Relative mining operating intensity</x:v>
      </x:c>
      <x:c r="C58" s="57" t="str">
        <x:v>base = 1</x:v>
      </x:c>
      <x:c r="D58" s="58" t="n">
        <x:v>2030</x:v>
      </x:c>
      <x:c r="E58" s="40"/>
      <x:c r="F58" s="40"/>
      <x:c r="G58" s="40"/>
      <x:c r="H58" s="57" t="str">
        <x:v>More diesel</x:v>
      </x:c>
      <x:c r="I58" s="57" t="str">
        <x:v>No numerical brackets agreed.</x:v>
      </x:c>
      <x:c r="J58" s="57" t="str">
        <x:v>Haul work, depth, grade and equipment mix; avoid overlap with activity and electrification. Annual path to agree.</x:v>
      </x:c>
      <x:c r="K58" s="41"/>
      <x:c r="L58" s="41" t="str">
        <x:v>Open; Manish evidence, Nigel decision</x:v>
      </x:c>
      <x:c r="M58" s="57" t="str">
        <x:v>Workshop proposal, 7 October 2026; no numerical assumption adopted.</x:v>
      </x:c>
    </x:row>
    <x:row r="59" ht="100" customHeight="1">
      <x:c r="A59" s="57" t="str">
        <x:v>Diesel mining</x:v>
      </x:c>
      <x:c r="B59" s="57" t="str">
        <x:v>Relative mining operating intensity</x:v>
      </x:c>
      <x:c r="C59" s="57" t="str">
        <x:v>base = 1</x:v>
      </x:c>
      <x:c r="D59" s="58" t="n">
        <x:v>2035</x:v>
      </x:c>
      <x:c r="E59" s="40"/>
      <x:c r="F59" s="40"/>
      <x:c r="G59" s="40"/>
      <x:c r="H59" s="57" t="str">
        <x:v>More diesel</x:v>
      </x:c>
      <x:c r="I59" s="57" t="str">
        <x:v>No numerical brackets agreed.</x:v>
      </x:c>
      <x:c r="J59" s="57" t="str">
        <x:v>Haul work, depth, grade and equipment mix; avoid overlap with activity and electrification. Annual path to agree.</x:v>
      </x:c>
      <x:c r="K59" s="41"/>
      <x:c r="L59" s="41" t="str">
        <x:v>Open; Manish evidence, Nigel decision</x:v>
      </x:c>
      <x:c r="M59" s="57" t="str">
        <x:v>Workshop proposal, 7 October 2026; no numerical assumption adopted.</x:v>
      </x:c>
    </x:row>
    <x:row r="60" ht="100" customHeight="1">
      <x:c r="A60" s="57" t="str">
        <x:v>Diesel mining</x:v>
      </x:c>
      <x:c r="B60" s="57" t="str">
        <x:v>Remaining diesel fraction after electrification</x:v>
      </x:c>
      <x:c r="C60" s="57" t="str">
        <x:v>base year = 1</x:v>
      </x:c>
      <x:c r="D60" s="58" t="n">
        <x:v>2030</x:v>
      </x:c>
      <x:c r="E60" s="40"/>
      <x:c r="F60" s="40"/>
      <x:c r="G60" s="40"/>
      <x:c r="H60" s="57" t="str">
        <x:v>More diesel</x:v>
      </x:c>
      <x:c r="I60" s="57" t="str">
        <x:v>No numerical brackets agreed.</x:v>
      </x:c>
      <x:c r="J60" s="57" t="str">
        <x:v>Mine-equipment-specific transition; do not borrow road-truck uptake. Annual path to agree.</x:v>
      </x:c>
      <x:c r="K60" s="41"/>
      <x:c r="L60" s="41" t="str">
        <x:v>Open; Manish evidence, Nigel decision</x:v>
      </x:c>
      <x:c r="M60" s="57" t="str">
        <x:v>Workshop proposal, 7 October 2026; no numerical assumption adopted.</x:v>
      </x:c>
    </x:row>
    <x:row r="61" ht="100" customHeight="1">
      <x:c r="A61" s="57" t="str">
        <x:v>Diesel mining</x:v>
      </x:c>
      <x:c r="B61" s="57" t="str">
        <x:v>Remaining diesel fraction after electrification</x:v>
      </x:c>
      <x:c r="C61" s="57" t="str">
        <x:v>base year = 1</x:v>
      </x:c>
      <x:c r="D61" s="58" t="n">
        <x:v>2035</x:v>
      </x:c>
      <x:c r="E61" s="40"/>
      <x:c r="F61" s="40"/>
      <x:c r="G61" s="40"/>
      <x:c r="H61" s="57" t="str">
        <x:v>More diesel</x:v>
      </x:c>
      <x:c r="I61" s="57" t="str">
        <x:v>No numerical brackets agreed.</x:v>
      </x:c>
      <x:c r="J61" s="57" t="str">
        <x:v>Mine-equipment-specific transition; do not borrow road-truck uptake. Annual path to agree.</x:v>
      </x:c>
      <x:c r="K61" s="41"/>
      <x:c r="L61" s="41" t="str">
        <x:v>Open; Manish evidence, Nigel decision</x:v>
      </x:c>
      <x:c r="M61" s="57" t="str">
        <x:v>Workshop proposal, 7 October 2026; no numerical assumption adopted.</x:v>
      </x:c>
    </x:row>
    <x:row r="62" ht="52" customHeight="1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</x:row>
    <x:row r="63" ht="100" customHeight="1">
      <x:c r="A63" s="37" t="str">
        <x:v>Workshop rules</x:v>
      </x:c>
      <x:c r="B63" s="37"/>
      <x:c r="C63" s="37"/>
      <x:c r="D63" s="37"/>
      <x:c r="E63" s="37"/>
      <x:c r="F63" s="37"/>
      <x:c r="G63" s="37"/>
      <x:c r="H63" s="37"/>
      <x:c r="I63" s="37"/>
      <x:c r="J63" s="37"/>
      <x:c r="K63" s="37"/>
      <x:c r="L63" s="37"/>
      <x:c r="M63" s="37"/>
    </x:row>
    <x:row r="64" ht="100" customHeight="1">
      <x:c r="A64" s="3" t="str">
        <x:v>Scenario construction</x:v>
      </x:c>
      <x:c r="B64" s="3" t="str">
        <x:v>Select low / medium / high independently for each input. Do not select all highs and call it high demand.</x:v>
      </x:c>
      <x:c r="C64" s="3"/>
      <x:c r="D64" s="3"/>
      <x:c r="E64" s="3"/>
      <x:c r="F64" s="3"/>
      <x:c r="G64" s="3"/>
      <x:c r="H64" s="3"/>
      <x:c r="I64" s="3" t="str">
        <x:v>Medium is a proposed reference, not an approved baseline.</x:v>
      </x:c>
      <x:c r="J64" s="3" t="str">
        <x:v>Keep supply utilisation, yields and restarts on an independent supply axis.</x:v>
      </x:c>
      <x:c r="K64" s="3"/>
      <x:c r="L64" s="3" t="str">
        <x:v>Nigel / Henry</x:v>
      </x:c>
      <x:c r="M64" s="3"/>
    </x:row>
    <x:row r="65" ht="100" customHeight="1">
      <x:c r="A65" s="3" t="str">
        <x:v>Annual paths</x:v>
      </x:c>
      <x:c r="B65" s="3" t="str">
        <x:v>Endpoints do not define the intervening years.</x:v>
      </x:c>
      <x:c r="C65" s="3"/>
      <x:c r="D65" s="3"/>
      <x:c r="E65" s="3"/>
      <x:c r="F65" s="3"/>
      <x:c r="G65" s="3"/>
      <x:c r="H65" s="3"/>
      <x:c r="I65" s="3" t="str">
        <x:v>Agree opening observation, timing, ramp, constraints and post-2035 treatment.</x:v>
      </x:c>
      <x:c r="J65" s="3" t="str">
        <x:v>Reconcile provincial weighted adoption with a national target when one is imposed.</x:v>
      </x:c>
      <x:c r="K65" s="3"/>
      <x:c r="L65" s="3" t="str">
        <x:v>Manish / Nigel</x:v>
      </x:c>
      <x:c r="M65" s="3"/>
    </x:row>
    <x:row r="66" ht="52" customHeight="1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</x:row>
    <x:row r="67" ht="52" customHeight="1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</x:row>
    <x:row r="68" ht="52" customHeight="1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</x:row>
    <x:row r="69" ht="52" customHeight="1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</x:row>
    <x:row r="70" ht="52" customHeight="1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</x:row>
    <x:row r="71" ht="52" customHeight="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</x:row>
    <x:row r="72" ht="52" customHeight="1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</x:row>
    <x:row r="73" ht="52" customHeight="1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</x:row>
    <x:row r="74" ht="52" customHeight="1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</x:row>
    <x:row r="75" ht="52" customHeight="1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</x:row>
    <x:row r="76" ht="52" customHeight="1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</x:row>
    <x:row r="77" ht="52" customHeight="1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</x:row>
    <x:row r="78" ht="52" customHeight="1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</x:row>
    <x:row r="79" ht="52" customHeight="1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</x:row>
    <x:row r="80" ht="52" customHeight="1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</x:row>
    <x:row r="81" ht="52" customHeight="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</x:row>
    <x:row r="82" ht="52" customHeight="1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</x:row>
    <x:row r="83" ht="52" customHeight="1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</x:row>
    <x:row r="84" ht="52" customHeight="1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</x:row>
    <x:row r="85" ht="52" customHeight="1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</x:row>
    <x:row r="86" ht="52" customHeight="1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</x:row>
    <x:row r="87" ht="52" customHeight="1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</x:row>
    <x:row r="88" ht="52" customHeight="1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</x:row>
    <x:row r="89" ht="52" customHeight="1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</x:row>
    <x:row r="90" ht="52" customHeight="1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.75" hidden="0" customWidth="1"/>
    <x:col min="2" max="2" width="16.25" hidden="0" customWidth="1"/>
    <x:col min="3" max="3" width="8.75" hidden="0" customWidth="1"/>
    <x:col min="4" max="4" width="31.25" hidden="0" customWidth="1"/>
    <x:col min="5" max="5" width="107.5" hidden="0" customWidth="1"/>
  </x:cols>
  <x:sheetData>
    <x:row r="1" ht="25" customHeight="1">
      <x:c r="A1" s="5" t="str">
        <x:v>Detailed notes</x:v>
      </x:c>
      <x:c r="B1" s="3"/>
      <x:c r="C1" s="3"/>
      <x:c r="D1" s="3"/>
      <x:c r="E1" s="3"/>
    </x:row>
    <x:row r="2" ht="21" customHeight="1">
      <x:c r="A2" s="6" t="str">
        <x:v>Full descriptions retained from the working tables. Match the N-reference or sheet/cell below.</x:v>
      </x:c>
      <x:c r="B2" s="3"/>
      <x:c r="C2" s="3"/>
      <x:c r="D2" s="3"/>
      <x:c r="E2" s="3"/>
    </x:row>
    <x:row r="3" ht="8" customHeight="1">
      <x:c r="A3" s="3"/>
      <x:c r="B3" s="3"/>
      <x:c r="C3" s="3"/>
      <x:c r="D3" s="3"/>
      <x:c r="E3" s="3"/>
    </x:row>
    <x:row r="4" ht="28" customHeight="1">
      <x:c r="A4" s="113" t="str">
        <x:v>Reference</x:v>
      </x:c>
      <x:c r="B4" s="113" t="str">
        <x:v>Sheet</x:v>
      </x:c>
      <x:c r="C4" s="113" t="str">
        <x:v>Cell</x:v>
      </x:c>
      <x:c r="D4" s="113" t="str">
        <x:v>Driver / output</x:v>
      </x:c>
      <x:c r="E4" s="113" t="str">
        <x:v>Full text</x:v>
      </x:c>
    </x:row>
    <x:row r="5" ht="42" customHeight="1">
      <x:c r="A5" s="3" t="str">
        <x:v>N001</x:v>
      </x:c>
      <x:c r="B5" s="3" t="str">
        <x:v>Baseline</x:v>
      </x:c>
      <x:c r="C5" s="3" t="str">
        <x:v>E6</x:v>
      </x:c>
      <x:c r="D5" s="3" t="str">
        <x:v>Selected historical petrol sales</x:v>
      </x:c>
      <x:c r="E5" s="3" t="str">
        <x:v>Choice is explicit by year on Source selection. Alternative series remain on Evidence.</x:v>
      </x:c>
    </x:row>
    <x:row r="6" ht="42" customHeight="1">
      <x:c r="A6" s="3" t="str">
        <x:v>N002</x:v>
      </x:c>
      <x:c r="B6" s="3" t="str">
        <x:v>Baseline</x:v>
      </x:c>
      <x:c r="C6" s="3" t="str">
        <x:v>E7</x:v>
      </x:c>
      <x:c r="D6" s="3" t="str">
        <x:v>Historical source / status</x:v>
      </x:c>
      <x:c r="E6" s="3" t="str">
        <x:v>Source name shown when available; no automatic fallback if selected evidence is missing.</x:v>
      </x:c>
    </x:row>
    <x:row r="7" ht="42" customHeight="1">
      <x:c r="A7" s="3" t="str">
        <x:v>N003</x:v>
      </x:c>
      <x:c r="B7" s="3" t="str">
        <x:v>Baseline</x:v>
      </x:c>
      <x:c r="C7" s="3" t="str">
        <x:v>E8</x:v>
      </x:c>
      <x:c r="D7" s="3" t="str">
        <x:v>Current model road petrol</x:v>
      </x:c>
      <x:c r="E7" s="3" t="str">
        <x:v>Passenger + LCV petrol_95. Reported sales cover petrol grades; scope bridge remains open.</x:v>
      </x:c>
    </x:row>
    <x:row r="8" ht="42" customHeight="1">
      <x:c r="A8" s="3" t="str">
        <x:v>N004</x:v>
      </x:c>
      <x:c r="B8" s="3" t="str">
        <x:v>Baseline</x:v>
      </x:c>
      <x:c r="C8" s="3" t="str">
        <x:v>E9</x:v>
      </x:c>
      <x:c r="D8" s="3" t="str">
        <x:v>Model less selected historical sales</x:v>
      </x:c>
      <x:c r="E8" s="3" t="str">
        <x:v>Working discrepancy, not a calibrated residual or extra segment.</x:v>
      </x:c>
    </x:row>
    <x:row r="9" ht="42" customHeight="1">
      <x:c r="A9" s="3" t="str">
        <x:v>N005</x:v>
      </x:c>
      <x:c r="B9" s="3" t="str">
        <x:v>Baseline</x:v>
      </x:c>
      <x:c r="C9" s="3" t="str">
        <x:v>E12</x:v>
      </x:c>
      <x:c r="D9" s="3" t="str">
        <x:v>Selected historical diesel sales</x:v>
      </x:c>
      <x:c r="E9" s="3" t="str">
        <x:v>Choice is explicit by year on Source selection. Alternative series remain on Evidence.</x:v>
      </x:c>
    </x:row>
    <x:row r="10" ht="42" customHeight="1">
      <x:c r="A10" s="3" t="str">
        <x:v>N006</x:v>
      </x:c>
      <x:c r="B10" s="3" t="str">
        <x:v>Baseline</x:v>
      </x:c>
      <x:c r="C10" s="3" t="str">
        <x:v>E13</x:v>
      </x:c>
      <x:c r="D10" s="3" t="str">
        <x:v>Historical source / status</x:v>
      </x:c>
      <x:c r="E10" s="3" t="str">
        <x:v>Source name shown when available; no automatic fallback if selected evidence is missing.</x:v>
      </x:c>
    </x:row>
    <x:row r="11" ht="42" customHeight="1">
      <x:c r="A11" s="3" t="str">
        <x:v>N007</x:v>
      </x:c>
      <x:c r="B11" s="3" t="str">
        <x:v>Baseline</x:v>
      </x:c>
      <x:c r="C11" s="3" t="str">
        <x:v>E14</x:v>
      </x:c>
      <x:c r="D11" s="3" t="str">
        <x:v>All road diesel</x:v>
      </x:c>
      <x:c r="E11" s="3" t="str">
        <x:v>Passenger + LCV + HCV diesel; HCV alone is not national freight demand.</x:v>
      </x:c>
    </x:row>
    <x:row r="12" ht="42" customHeight="1">
      <x:c r="A12" s="3" t="str">
        <x:v>N008</x:v>
      </x:c>
      <x:c r="B12" s="3" t="str">
        <x:v>Baseline</x:v>
      </x:c>
      <x:c r="C12" s="3" t="str">
        <x:v>E15</x:v>
      </x:c>
      <x:c r="D12" s="3" t="str">
        <x:v>Grid OCGT diesel</x:v>
      </x:c>
      <x:c r="E12" s="3" t="str">
        <x:v>Operational plant set and current load-factor path. Private backup is not separately calibrated.</x:v>
      </x:c>
    </x:row>
    <x:row r="13" ht="42" customHeight="1">
      <x:c r="A13" s="3" t="str">
        <x:v>N009</x:v>
      </x:c>
      <x:c r="B13" s="3" t="str">
        <x:v>Baseline</x:v>
      </x:c>
      <x:c r="C13" s="3" t="str">
        <x:v>E16</x:v>
      </x:c>
      <x:c r="D13" s="3" t="str">
        <x:v>Agricultural diesel</x:v>
      </x:c>
      <x:c r="E13" s="3" t="str">
        <x:v>Held GDP/capita method with provisional 2024 baseline.</x:v>
      </x:c>
    </x:row>
    <x:row r="14" ht="42" customHeight="1">
      <x:c r="A14" s="3" t="str">
        <x:v>N010</x:v>
      </x:c>
      <x:c r="B14" s="3" t="str">
        <x:v>Baseline</x:v>
      </x:c>
      <x:c r="C14" s="3" t="str">
        <x:v>E17</x:v>
      </x:c>
      <x:c r="D14" s="3" t="str">
        <x:v>Combined industrial diesel</x:v>
      </x:c>
      <x:c r="E14" s="3" t="str">
        <x:v>Manufacturing + mining + construction remain ONE aggregate engine bucket.</x:v>
      </x:c>
    </x:row>
    <x:row r="15" ht="42" customHeight="1">
      <x:c r="A15" s="3" t="str">
        <x:v>N011</x:v>
      </x:c>
      <x:c r="B15" s="3" t="str">
        <x:v>Baseline</x:v>
      </x:c>
      <x:c r="C15" s="3" t="str">
        <x:v>E18</x:v>
      </x:c>
      <x:c r="D15" s="3" t="str">
        <x:v>Marine diesel</x:v>
      </x:c>
      <x:c r="E15" s="3" t="str">
        <x:v>Marine diesel_500ppm. No 2022-23 backcast provided by current marine engine.</x:v>
      </x:c>
    </x:row>
    <x:row r="16" ht="42" customHeight="1">
      <x:c r="A16" s="3" t="str">
        <x:v>N012</x:v>
      </x:c>
      <x:c r="B16" s="3" t="str">
        <x:v>Baseline</x:v>
      </x:c>
      <x:c r="C16" s="3" t="str">
        <x:v>E19</x:v>
      </x:c>
      <x:c r="D16" s="3" t="str">
        <x:v>Total model diesel</x:v>
      </x:c>
      <x:c r="E16" s="3" t="str">
        <x:v>Sum rows 14-18 once. Includes marine diesel; comparator bunker/grade scope unresolved.</x:v>
      </x:c>
    </x:row>
    <x:row r="17" ht="42" customHeight="1">
      <x:c r="A17" s="3" t="str">
        <x:v>N013</x:v>
      </x:c>
      <x:c r="B17" s="3" t="str">
        <x:v>Baseline</x:v>
      </x:c>
      <x:c r="C17" s="3" t="str">
        <x:v>E20</x:v>
      </x:c>
      <x:c r="D17" s="3" t="str">
        <x:v>Model less selected historical sales</x:v>
      </x:c>
      <x:c r="E17" s="3" t="str">
        <x:v>Difference is a diagnostic, not evidence of additional measured demand.</x:v>
      </x:c>
    </x:row>
    <x:row r="18" ht="42" customHeight="1">
      <x:c r="A18" s="3" t="str">
        <x:v>N014</x:v>
      </x:c>
      <x:c r="B18" s="3" t="str">
        <x:v>Baseline</x:v>
      </x:c>
      <x:c r="C18" s="3" t="str">
        <x:v>E21</x:v>
      </x:c>
      <x:c r="D18" s="3" t="str">
        <x:v>Manufacturing-only baseline</x:v>
      </x:c>
      <x:c r="E18" s="3" t="str">
        <x:v>Contained within the combined industrial model. Not added again.</x:v>
      </x:c>
    </x:row>
    <x:row r="19" ht="42" customHeight="1">
      <x:c r="A19" s="3" t="str">
        <x:v>N015</x:v>
      </x:c>
      <x:c r="B19" s="3" t="str">
        <x:v>Baseline</x:v>
      </x:c>
      <x:c r="C19" s="3" t="str">
        <x:v>U21</x:v>
      </x:c>
      <x:c r="D19" s="3" t="str">
        <x:v>Manufacturing-only baseline</x:v>
      </x:c>
      <x:c r="E19" s="3" t="str">
        <x:v>https://github.com/Africa-International-Advisors/liquid_fuels_model/blob/8c69f8333192483f19cd80911cb90fcd0943eb6b/assumptions/2026/timeseries/energy_balance_department.csv</x:v>
      </x:c>
    </x:row>
    <x:row r="20" ht="42" customHeight="1">
      <x:c r="A20" s="3" t="str">
        <x:v>N016</x:v>
      </x:c>
      <x:c r="B20" s="3" t="str">
        <x:v>Baseline</x:v>
      </x:c>
      <x:c r="C20" s="3" t="str">
        <x:v>E22</x:v>
      </x:c>
      <x:c r="D20" s="3" t="str">
        <x:v>Mining-only baseline</x:v>
      </x:c>
      <x:c r="E20" s="3" t="str">
        <x:v>D is a 2021 source anchor in million litres, NOT a 2022+ observation. Not added again.</x:v>
      </x:c>
    </x:row>
    <x:row r="21" ht="42" customHeight="1">
      <x:c r="A21" s="3" t="str">
        <x:v>N017</x:v>
      </x:c>
      <x:c r="B21" s="3" t="str">
        <x:v>Baseline</x:v>
      </x:c>
      <x:c r="C21" s="3" t="str">
        <x:v>U22</x:v>
      </x:c>
      <x:c r="D21" s="3" t="str">
        <x:v>Mining-only baseline</x:v>
      </x:c>
      <x:c r="E21" s="3" t="str">
        <x:v>https://github.com/Africa-International-Advisors/liquid_fuels_model/blob/8c69f8333192483f19cd80911cb90fcd0943eb6b/assumptions/2026/timeseries/energy_balance_department.csv</x:v>
      </x:c>
    </x:row>
    <x:row r="22" ht="42" customHeight="1">
      <x:c r="A22" s="3" t="str">
        <x:v>N018</x:v>
      </x:c>
      <x:c r="B22" s="3" t="str">
        <x:v>Baseline</x:v>
      </x:c>
      <x:c r="C22" s="3" t="str">
        <x:v>E23</x:v>
      </x:c>
      <x:c r="D22" s="3" t="str">
        <x:v>Private backup / other diesel</x:v>
      </x:c>
      <x:c r="E22" s="3" t="str">
        <x:v>No extra quantity assumed. Determine what is already embedded in sectors.</x:v>
      </x:c>
    </x:row>
    <x:row r="23" ht="42" customHeight="1">
      <x:c r="A23" s="3" t="str">
        <x:v>N019</x:v>
      </x:c>
      <x:c r="B23" s="3" t="str">
        <x:v>Baseline</x:v>
      </x:c>
      <x:c r="C23" s="3" t="str">
        <x:v>E26</x:v>
      </x:c>
      <x:c r="D23" s="3" t="str">
        <x:v>Selected historical jet sales</x:v>
      </x:c>
      <x:c r="E23" s="3" t="str">
        <x:v>Choice is explicit by year on Source selection. Alternative series remain on Evidence.</x:v>
      </x:c>
    </x:row>
    <x:row r="24" ht="42" customHeight="1">
      <x:c r="A24" s="3" t="str">
        <x:v>N020</x:v>
      </x:c>
      <x:c r="B24" s="3" t="str">
        <x:v>Baseline</x:v>
      </x:c>
      <x:c r="C24" s="3" t="str">
        <x:v>E27</x:v>
      </x:c>
      <x:c r="D24" s="3" t="str">
        <x:v>Historical source / status</x:v>
      </x:c>
      <x:c r="E24" s="3" t="str">
        <x:v>Source name shown when available; no automatic fallback if selected evidence is missing.</x:v>
      </x:c>
    </x:row>
    <x:row r="25" ht="42" customHeight="1">
      <x:c r="A25" s="3" t="str">
        <x:v>N021</x:v>
      </x:c>
      <x:c r="B25" s="3" t="str">
        <x:v>Baseline</x:v>
      </x:c>
      <x:c r="C25" s="3" t="str">
        <x:v>E28</x:v>
      </x:c>
      <x:c r="D25" s="3" t="str">
        <x:v>Current model jet</x:v>
      </x:c>
      <x:c r="E25" s="3" t="str">
        <x:v>Legacy GDP/capita and passenger regression; movement-driver proposal not integrated.</x:v>
      </x:c>
    </x:row>
    <x:row r="26" ht="42" customHeight="1">
      <x:c r="A26" s="3" t="str">
        <x:v>N022</x:v>
      </x:c>
      <x:c r="B26" s="3" t="str">
        <x:v>Baseline</x:v>
      </x:c>
      <x:c r="C26" s="3" t="str">
        <x:v>E29</x:v>
      </x:c>
      <x:c r="D26" s="3" t="str">
        <x:v>Model less selected historical sales</x:v>
      </x:c>
      <x:c r="E26" s="3" t="str">
        <x:v>Scope/reconciliation diagnostic.</x:v>
      </x:c>
    </x:row>
    <x:row r="27" ht="42" customHeight="1">
      <x:c r="A27" s="3" t="str">
        <x:v>N023</x:v>
      </x:c>
      <x:c r="B27" s="3" t="str">
        <x:v>Baseline</x:v>
      </x:c>
      <x:c r="C27" s="3" t="str">
        <x:v>E32</x:v>
      </x:c>
      <x:c r="D27" s="3" t="str">
        <x:v>Selected historical fuel oil sales</x:v>
      </x:c>
      <x:c r="E27" s="3" t="str">
        <x:v>Choice is explicit by year on Source selection. Alternative series remain on Evidence.</x:v>
      </x:c>
    </x:row>
    <x:row r="28" ht="42" customHeight="1">
      <x:c r="A28" s="3" t="str">
        <x:v>N024</x:v>
      </x:c>
      <x:c r="B28" s="3" t="str">
        <x:v>Baseline</x:v>
      </x:c>
      <x:c r="C28" s="3" t="str">
        <x:v>E33</x:v>
      </x:c>
      <x:c r="D28" s="3" t="str">
        <x:v>Current model marine fuel oil</x:v>
      </x:c>
      <x:c r="E28" s="3" t="str">
        <x:v>Marine component only. Do not treat difference from national fuel oil as a model error without scope bridge.</x:v>
      </x:c>
    </x:row>
    <x:row r="29" ht="42" customHeight="1">
      <x:c r="A29" s="3" t="str">
        <x:v>N025</x:v>
      </x:c>
      <x:c r="B29" s="3" t="str">
        <x:v>Baseline</x:v>
      </x:c>
      <x:c r="C29" s="3" t="str">
        <x:v>E35</x:v>
      </x:c>
      <x:c r="D29" s="3" t="str">
        <x:v>Baseline selection</x:v>
      </x:c>
      <x:c r="E29" s="3" t="str">
        <x:v>Historical comparator selection is explicit on Source selection. It does not calibrate the Python engine or approve a medium forecast.</x:v>
      </x:c>
    </x:row>
    <x:row r="30" ht="42" customHeight="1">
      <x:c r="A30" s="3" t="str">
        <x:v>N026</x:v>
      </x:c>
      <x:c r="B30" s="3" t="str">
        <x:v>Baseline</x:v>
      </x:c>
      <x:c r="C30" s="3" t="str">
        <x:v>E36</x:v>
      </x:c>
      <x:c r="D30" s="3" t="str">
        <x:v>Latest partial periods</x:v>
      </x:c>
      <x:c r="E30" s="3" t="str">
        <x:v>Full annual observations occupy year columns. A separate D value records latest YTD total, YTD mean or dated stock snapshot where available.</x:v>
      </x:c>
    </x:row>
    <x:row r="31" ht="42" customHeight="1">
      <x:c r="A31" s="3" t="str">
        <x:v>N027</x:v>
      </x:c>
      <x:c r="B31" s="3" t="str">
        <x:v>Baseline</x:v>
      </x:c>
      <x:c r="C31" s="3" t="str">
        <x:v>E37</x:v>
      </x:c>
      <x:c r="D31" s="3" t="str">
        <x:v>Run provenance</x:v>
      </x:c>
      <x:c r="E31" s="3" t="str">
        <x:v>Commit 8c69f8333192483f19cd80911cb90fcd0943eb6b; vintage 2026; high_demand; 2026-10-07T10:29:14.203830+00:00</x:v>
      </x:c>
    </x:row>
    <x:row r="32" ht="42" customHeight="1">
      <x:c r="A32" s="3" t="str">
        <x:v>N028</x:v>
      </x:c>
      <x:c r="B32" s="3" t="str">
        <x:v>Baseline</x:v>
      </x:c>
      <x:c r="C32" s="3" t="str">
        <x:v>U37</x:v>
      </x:c>
      <x:c r="D32" s="3" t="str">
        <x:v>Run provenance</x:v>
      </x:c>
      <x:c r="E32" s="3" t="str">
        <x:v>https://github.com/Africa-International-Advisors/liquid_fuels_model/blob/8c69f8333192483f19cd80911cb90fcd0943eb6b/GATE_CHECKLIST.md</x:v>
      </x:c>
    </x:row>
    <x:row r="33" ht="42" customHeight="1">
      <x:c r="A33" s="3" t="str">
        <x:v>N029</x:v>
      </x:c>
      <x:c r="B33" s="3" t="str">
        <x:v>Petrol</x:v>
      </x:c>
      <x:c r="C33" s="3" t="str">
        <x:v>E14</x:v>
      </x:c>
      <x:c r="D33" s="3" t="str">
        <x:v>New-cohort efficiency gain</x:v>
      </x:c>
      <x:c r="E33" s="3" t="str">
        <x:v>Applied cumulatively to new cohorts; older cohorts retain their entry efficiency.</x:v>
      </x:c>
    </x:row>
    <x:row r="34" ht="42" customHeight="1">
      <x:c r="A34" s="3" t="str">
        <x:v>N030</x:v>
      </x:c>
      <x:c r="B34" s="3" t="str">
        <x:v>Petrol</x:v>
      </x:c>
      <x:c r="C34" s="3" t="str">
        <x:v>E18</x:v>
      </x:c>
      <x:c r="D34" s="3" t="str">
        <x:v>Passenger petrol fleet</x:v>
      </x:c>
      <x:c r="E34" s="3" t="str">
        <x:v>Cohort stock from engine diagnostics. Opening stock is backfilled, not a verified registration total.</x:v>
      </x:c>
    </x:row>
    <x:row r="35" ht="42" customHeight="1">
      <x:c r="A35" s="3" t="str">
        <x:v>N031</x:v>
      </x:c>
      <x:c r="B35" s="3" t="str">
        <x:v>Petrol</x:v>
      </x:c>
      <x:c r="C35" s="3" t="str">
        <x:v>E26</x:v>
      </x:c>
      <x:c r="D35" s="3" t="str">
        <x:v>New passenger sales / BEV share</x:v>
      </x:c>
      <x:c r="E35" s="3" t="str">
        <x:v>New sales evidence is now in rows 35-41. Class-specific adoption remains missing.</x:v>
      </x:c>
    </x:row>
    <x:row r="36" ht="42" customHeight="1">
      <x:c r="A36" s="3" t="str">
        <x:v>N032</x:v>
      </x:c>
      <x:c r="B36" s="3" t="str">
        <x:v>Petrol</x:v>
      </x:c>
      <x:c r="C36" s="3" t="str">
        <x:v>E27</x:v>
      </x:c>
      <x:c r="D36" s="3" t="str">
        <x:v>Verified opening fleet</x:v>
      </x:c>
      <x:c r="E36" s="3" t="str">
        <x:v>All-drivetrain stock is in row 36. Petrol-only opening fleet and age distribution remain unresolved.</x:v>
      </x:c>
    </x:row>
    <x:row r="37" ht="42" customHeight="1">
      <x:c r="A37" s="3" t="str">
        <x:v>N033</x:v>
      </x:c>
      <x:c r="B37" s="3" t="str">
        <x:v>Petrol</x:v>
      </x:c>
      <x:c r="C37" s="3" t="str">
        <x:v>E28</x:v>
      </x:c>
      <x:c r="D37" s="3" t="str">
        <x:v>Reported total petrol sales</x:v>
      </x:c>
      <x:c r="E37" s="3" t="str">
        <x:v>FIASA staged reported sales; latest edition selected by existing extract. 2024 revisions unresolved; not verified consumption.</x:v>
      </x:c>
    </x:row>
    <x:row r="38" ht="42" customHeight="1">
      <x:c r="A38" s="3" t="str">
        <x:v>N034</x:v>
      </x:c>
      <x:c r="B38" s="3" t="str">
        <x:v>Petrol</x:v>
      </x:c>
      <x:c r="C38" s="3" t="str">
        <x:v>T28</x:v>
      </x:c>
      <x:c r="D38" s="3" t="str">
        <x:v>Reported total petrol sales</x:v>
      </x:c>
      <x:c r="E38" s="3" t="str">
        <x:v>Unreviewed source extract; annual cells contain complete periods only.</x:v>
      </x:c>
    </x:row>
    <x:row r="39" ht="42" customHeight="1">
      <x:c r="A39" s="3" t="str">
        <x:v>N035</x:v>
      </x:c>
      <x:c r="B39" s="3" t="str">
        <x:v>Petrol</x:v>
      </x:c>
      <x:c r="C39" s="3" t="str">
        <x:v>V28</x:v>
      </x:c>
      <x:c r="D39" s="3" t="str">
        <x:v>Reported total petrol sales</x:v>
      </x:c>
      <x:c r="E39" s="3" t="str">
        <x:v>All-product comparator; compare with road total, not just passenger demand.</x:v>
      </x:c>
    </x:row>
    <x:row r="40" ht="42" customHeight="1">
      <x:c r="A40" s="3" t="str">
        <x:v>N036</x:v>
      </x:c>
      <x:c r="B40" s="3" t="str">
        <x:v>Petrol</x:v>
      </x:c>
      <x:c r="C40" s="3" t="str">
        <x:v>E30</x:v>
      </x:c>
      <x:c r="D40" s="3" t="str">
        <x:v>Source</x:v>
      </x:c>
      <x:c r="E40" s="3" t="str">
        <x:v>https://github.com/Africa-International-Advisors/liquid_fuels_model/blob/8c69f8333192483f19cd80911cb90fcd0943eb6b/assumptions/2026/vehicles.yaml</x:v>
      </x:c>
    </x:row>
    <x:row r="41" ht="42" customHeight="1">
      <x:c r="A41" s="3" t="str">
        <x:v>N037</x:v>
      </x:c>
      <x:c r="B41" s="3" t="str">
        <x:v>Petrol</x:v>
      </x:c>
      <x:c r="C41" s="3" t="str">
        <x:v>E31</x:v>
      </x:c>
      <x:c r="D41" s="3" t="str">
        <x:v>Calculation source</x:v>
      </x:c>
      <x:c r="E41" s="3" t="str">
        <x:v>https://github.com/Africa-International-Advisors/liquid_fuels_model/blob/8c69f8333192483f19cd80911cb90fcd0943eb6b/src/lfm/model/demand/vehicles.py</x:v>
      </x:c>
    </x:row>
    <x:row r="42" ht="42" customHeight="1">
      <x:c r="A42" s="3" t="str">
        <x:v>N038</x:v>
      </x:c>
      <x:c r="B42" s="3" t="str">
        <x:v>Petrol</x:v>
      </x:c>
      <x:c r="C42" s="3" t="str">
        <x:v>E32</x:v>
      </x:c>
      <x:c r="D42" s="3" t="str">
        <x:v>Macro / efficiency sources</x:v>
      </x:c>
      <x:c r="E42" s="3" t="str">
        <x:v>https://github.com/Africa-International-Advisors/liquid_fuels_model/blob/8c69f8333192483f19cd80911cb90fcd0943eb6b/assumptions/2026/macro.yaml</x:v>
      </x:c>
    </x:row>
    <x:row r="43" ht="42" customHeight="1">
      <x:c r="A43" s="3" t="str">
        <x:v>N039</x:v>
      </x:c>
      <x:c r="B43" s="3" t="str">
        <x:v>Petrol</x:v>
      </x:c>
      <x:c r="C43" s="3" t="str">
        <x:v>E35</x:v>
      </x:c>
      <x:c r="D43" s="3" t="str">
        <x:v>New passenger-car sales</x:v>
      </x:c>
      <x:c r="E43" s="3" t="str">
        <x:v>NAAMSA actual new sales. Published 2026/27 projections excluded from observed rows.</x:v>
      </x:c>
    </x:row>
    <x:row r="44" ht="42" customHeight="1">
      <x:c r="A44" s="3" t="str">
        <x:v>N040</x:v>
      </x:c>
      <x:c r="B44" s="3" t="str">
        <x:v>Petrol</x:v>
      </x:c>
      <x:c r="C44" s="3" t="str">
        <x:v>T35</x:v>
      </x:c>
      <x:c r="D44" s="3" t="str">
        <x:v>New passenger-car sales</x:v>
      </x:c>
      <x:c r="E44" s="3" t="str">
        <x:v>Unreviewed source extract; annual cells contain complete periods only.</x:v>
      </x:c>
    </x:row>
    <x:row r="45" ht="42" customHeight="1">
      <x:c r="A45" s="3" t="str">
        <x:v>N041</x:v>
      </x:c>
      <x:c r="B45" s="3" t="str">
        <x:v>Petrol</x:v>
      </x:c>
      <x:c r="C45" s="3" t="str">
        <x:v>U35</x:v>
      </x:c>
      <x:c r="D45" s="3" t="str">
        <x:v>New passenger-car sales</x:v>
      </x:c>
      <x:c r="E45" s="3" t="str">
        <x:v>Evidence row 13; assumptions/2026/timeseries/new_vehicle_market_naamsa.csv</x:v>
      </x:c>
    </x:row>
    <x:row r="46" ht="42" customHeight="1">
      <x:c r="A46" s="3" t="str">
        <x:v>N042</x:v>
      </x:c>
      <x:c r="B46" s="3" t="str">
        <x:v>Petrol</x:v>
      </x:c>
      <x:c r="C46" s="3" t="str">
        <x:v>V35</x:v>
      </x:c>
      <x:c r="D46" s="3" t="str">
        <x:v>New passenger-car sales</x:v>
      </x:c>
      <x:c r="E46" s="3" t="str">
        <x:v>G02: fit class-specific sales and compare with current regression.</x:v>
      </x:c>
    </x:row>
    <x:row r="47" ht="42" customHeight="1">
      <x:c r="A47" s="3" t="str">
        <x:v>N043</x:v>
      </x:c>
      <x:c r="B47" s="3" t="str">
        <x:v>Petrol</x:v>
      </x:c>
      <x:c r="C47" s="3" t="str">
        <x:v>E36</x:v>
      </x:c>
      <x:c r="D47" s="3" t="str">
        <x:v>Registered cars, all drivetrains</x:v>
      </x:c>
      <x:c r="E47" s="3" t="str">
        <x:v>eNaTIS December snapshots; latest June 2026 kept separately. No fuel/drivetrain split. Latest value in D: 2026-06, snapshot.</x:v>
      </x:c>
    </x:row>
    <x:row r="48" ht="42" customHeight="1">
      <x:c r="A48" s="3" t="str">
        <x:v>N044</x:v>
      </x:c>
      <x:c r="B48" s="3" t="str">
        <x:v>Petrol</x:v>
      </x:c>
      <x:c r="C48" s="3" t="str">
        <x:v>T36</x:v>
      </x:c>
      <x:c r="D48" s="3" t="str">
        <x:v>Registered cars, all drivetrains</x:v>
      </x:c>
      <x:c r="E48" s="3" t="str">
        <x:v>Unreviewed source extract; annual cells contain complete periods only.</x:v>
      </x:c>
    </x:row>
    <x:row r="49" ht="42" customHeight="1">
      <x:c r="A49" s="3" t="str">
        <x:v>N045</x:v>
      </x:c>
      <x:c r="B49" s="3" t="str">
        <x:v>Petrol</x:v>
      </x:c>
      <x:c r="C49" s="3" t="str">
        <x:v>U36</x:v>
      </x:c>
      <x:c r="D49" s="3" t="str">
        <x:v>Registered cars, all drivetrains</x:v>
      </x:c>
      <x:c r="E49" s="3" t="str">
        <x:v>Evidence row 20; assumptions/2026/timeseries/vehicle_population_natis.csv</x:v>
      </x:c>
    </x:row>
    <x:row r="50" ht="42" customHeight="1">
      <x:c r="A50" s="3" t="str">
        <x:v>N046</x:v>
      </x:c>
      <x:c r="B50" s="3" t="str">
        <x:v>Petrol</x:v>
      </x:c>
      <x:c r="C50" s="3" t="str">
        <x:v>E37</x:v>
      </x:c>
      <x:c r="D50" s="3" t="str">
        <x:v>BEV new sales - all market</x:v>
      </x:c>
      <x:c r="E50" s="3" t="str">
        <x:v>All-market drivetrain sales; passenger/truck split is not supplied. Do not assign all to passenger or freight.</x:v>
      </x:c>
    </x:row>
    <x:row r="51" ht="42" customHeight="1">
      <x:c r="A51" s="3" t="str">
        <x:v>N047</x:v>
      </x:c>
      <x:c r="B51" s="3" t="str">
        <x:v>Petrol</x:v>
      </x:c>
      <x:c r="C51" s="3" t="str">
        <x:v>T37</x:v>
      </x:c>
      <x:c r="D51" s="3" t="str">
        <x:v>BEV new sales - all market</x:v>
      </x:c>
      <x:c r="E51" s="3" t="str">
        <x:v>Unreviewed source extract; annual cells contain complete periods only.</x:v>
      </x:c>
    </x:row>
    <x:row r="52" ht="42" customHeight="1">
      <x:c r="A52" s="3" t="str">
        <x:v>N048</x:v>
      </x:c>
      <x:c r="B52" s="3" t="str">
        <x:v>Petrol</x:v>
      </x:c>
      <x:c r="C52" s="3" t="str">
        <x:v>U37</x:v>
      </x:c>
      <x:c r="D52" s="3" t="str">
        <x:v>BEV new sales - all market</x:v>
      </x:c>
      <x:c r="E52" s="3" t="str">
        <x:v>Evidence row 17; assumptions/2026/timeseries/nev_sales_naamsa.csv</x:v>
      </x:c>
    </x:row>
    <x:row r="53" ht="42" customHeight="1">
      <x:c r="A53" s="3" t="str">
        <x:v>N049</x:v>
      </x:c>
      <x:c r="B53" s="3" t="str">
        <x:v>Petrol</x:v>
      </x:c>
      <x:c r="C53" s="3" t="str">
        <x:v>V37</x:v>
      </x:c>
      <x:c r="D53" s="3" t="str">
        <x:v>BEV new sales - all market</x:v>
      </x:c>
      <x:c r="E53" s="3" t="str">
        <x:v>G03: class split missing; do not treat as passenger-only or truck uptake.</x:v>
      </x:c>
    </x:row>
    <x:row r="54" ht="42" customHeight="1">
      <x:c r="A54" s="3" t="str">
        <x:v>N050</x:v>
      </x:c>
      <x:c r="B54" s="3" t="str">
        <x:v>Petrol</x:v>
      </x:c>
      <x:c r="C54" s="3" t="str">
        <x:v>E38</x:v>
      </x:c>
      <x:c r="D54" s="3" t="str">
        <x:v>PHEV new sales - all market</x:v>
      </x:c>
      <x:c r="E54" s="3" t="str">
        <x:v>All-market drivetrain sales; passenger/truck split is not supplied. Do not assign all to passenger or freight.</x:v>
      </x:c>
    </x:row>
    <x:row r="55" ht="42" customHeight="1">
      <x:c r="A55" s="3" t="str">
        <x:v>N051</x:v>
      </x:c>
      <x:c r="B55" s="3" t="str">
        <x:v>Petrol</x:v>
      </x:c>
      <x:c r="C55" s="3" t="str">
        <x:v>T38</x:v>
      </x:c>
      <x:c r="D55" s="3" t="str">
        <x:v>PHEV new sales - all market</x:v>
      </x:c>
      <x:c r="E55" s="3" t="str">
        <x:v>Unreviewed source extract; annual cells contain complete periods only.</x:v>
      </x:c>
    </x:row>
    <x:row r="56" ht="42" customHeight="1">
      <x:c r="A56" s="3" t="str">
        <x:v>N052</x:v>
      </x:c>
      <x:c r="B56" s="3" t="str">
        <x:v>Petrol</x:v>
      </x:c>
      <x:c r="C56" s="3" t="str">
        <x:v>U38</x:v>
      </x:c>
      <x:c r="D56" s="3" t="str">
        <x:v>PHEV new sales - all market</x:v>
      </x:c>
      <x:c r="E56" s="3" t="str">
        <x:v>Evidence row 18; assumptions/2026/timeseries/nev_sales_naamsa.csv</x:v>
      </x:c>
    </x:row>
    <x:row r="57" ht="42" customHeight="1">
      <x:c r="A57" s="3" t="str">
        <x:v>N053</x:v>
      </x:c>
      <x:c r="B57" s="3" t="str">
        <x:v>Petrol</x:v>
      </x:c>
      <x:c r="C57" s="3" t="str">
        <x:v>E39</x:v>
      </x:c>
      <x:c r="D57" s="3" t="str">
        <x:v>Conventional hybrid new sales</x:v>
      </x:c>
      <x:c r="E57" s="3" t="str">
        <x:v>All-market drivetrain sales; passenger/truck split is not supplied. Do not assign all to passenger or freight.</x:v>
      </x:c>
    </x:row>
    <x:row r="58" ht="42" customHeight="1">
      <x:c r="A58" s="3" t="str">
        <x:v>N054</x:v>
      </x:c>
      <x:c r="B58" s="3" t="str">
        <x:v>Petrol</x:v>
      </x:c>
      <x:c r="C58" s="3" t="str">
        <x:v>T39</x:v>
      </x:c>
      <x:c r="D58" s="3" t="str">
        <x:v>Conventional hybrid new sales</x:v>
      </x:c>
      <x:c r="E58" s="3" t="str">
        <x:v>Unreviewed source extract; annual cells contain complete periods only.</x:v>
      </x:c>
    </x:row>
    <x:row r="59" ht="42" customHeight="1">
      <x:c r="A59" s="3" t="str">
        <x:v>N055</x:v>
      </x:c>
      <x:c r="B59" s="3" t="str">
        <x:v>Petrol</x:v>
      </x:c>
      <x:c r="C59" s="3" t="str">
        <x:v>U39</x:v>
      </x:c>
      <x:c r="D59" s="3" t="str">
        <x:v>Conventional hybrid new sales</x:v>
      </x:c>
      <x:c r="E59" s="3" t="str">
        <x:v>Evidence row 19; assumptions/2026/timeseries/nev_sales_naamsa.csv</x:v>
      </x:c>
    </x:row>
    <x:row r="60" ht="42" customHeight="1">
      <x:c r="A60" s="3" t="str">
        <x:v>N056</x:v>
      </x:c>
      <x:c r="B60" s="3" t="str">
        <x:v>Petrol</x:v>
      </x:c>
      <x:c r="C60" s="3" t="str">
        <x:v>E40</x:v>
      </x:c>
      <x:c r="D60" s="3" t="str">
        <x:v>Total new-vehicle sales</x:v>
      </x:c>
      <x:c r="E60" s="3" t="str">
        <x:v>NAAMSA actual new sales. Published 2026/27 projections excluded from observed rows.</x:v>
      </x:c>
    </x:row>
    <x:row r="61" ht="42" customHeight="1">
      <x:c r="A61" s="3" t="str">
        <x:v>N057</x:v>
      </x:c>
      <x:c r="B61" s="3" t="str">
        <x:v>Petrol</x:v>
      </x:c>
      <x:c r="C61" s="3" t="str">
        <x:v>T40</x:v>
      </x:c>
      <x:c r="D61" s="3" t="str">
        <x:v>Total new-vehicle sales</x:v>
      </x:c>
      <x:c r="E61" s="3" t="str">
        <x:v>Unreviewed source extract; annual cells contain complete periods only.</x:v>
      </x:c>
    </x:row>
    <x:row r="62" ht="42" customHeight="1">
      <x:c r="A62" s="3" t="str">
        <x:v>N058</x:v>
      </x:c>
      <x:c r="B62" s="3" t="str">
        <x:v>Petrol</x:v>
      </x:c>
      <x:c r="C62" s="3" t="str">
        <x:v>U40</x:v>
      </x:c>
      <x:c r="D62" s="3" t="str">
        <x:v>Total new-vehicle sales</x:v>
      </x:c>
      <x:c r="E62" s="3" t="str">
        <x:v>Evidence row 16; assumptions/2026/timeseries/new_vehicle_market_naamsa.csv</x:v>
      </x:c>
    </x:row>
    <x:row r="63" ht="42" customHeight="1">
      <x:c r="A63" s="3" t="str">
        <x:v>N059</x:v>
      </x:c>
      <x:c r="B63" s="3" t="str">
        <x:v>Petrol</x:v>
      </x:c>
      <x:c r="C63" s="3" t="str">
        <x:v>V40</x:v>
      </x:c>
      <x:c r="D63" s="3" t="str">
        <x:v>Total new-vehicle sales</x:v>
      </x:c>
      <x:c r="E63" s="3" t="str">
        <x:v>G02/G03: same-market denominator only; reconcile sales definitions.</x:v>
      </x:c>
    </x:row>
    <x:row r="64" ht="42" customHeight="1">
      <x:c r="A64" s="3" t="str">
        <x:v>N060</x:v>
      </x:c>
      <x:c r="B64" s="3" t="str">
        <x:v>Petrol</x:v>
      </x:c>
      <x:c r="C64" s="3" t="str">
        <x:v>U41</x:v>
      </x:c>
      <x:c r="D64" s="3" t="str">
        <x:v>BEV share of total market sales</x:v>
      </x:c>
      <x:c r="E64" s="3" t="str">
        <x:v>https://github.com/Africa-International-Advisors/liquid_fuels_model/blob/8c69f8333192483f19cd80911cb90fcd0943eb6b/assumptions/2026/timeseries/nev_sales_naamsa.csv</x:v>
      </x:c>
    </x:row>
    <x:row r="65" ht="42" customHeight="1">
      <x:c r="A65" s="3" t="str">
        <x:v>N061</x:v>
      </x:c>
      <x:c r="B65" s="3" t="str">
        <x:v>Petrol</x:v>
      </x:c>
      <x:c r="C65" s="3" t="str">
        <x:v>E42</x:v>
      </x:c>
      <x:c r="D65" s="3" t="str">
        <x:v>Updated observed GDP per capita</x:v>
      </x:c>
      <x:c r="E65" s="3" t="str">
        <x:v>Stats SA annual actual in staged reporting copy. Sector value added is an activity proxy, not measured fuel use.</x:v>
      </x:c>
    </x:row>
    <x:row r="66" ht="42" customHeight="1">
      <x:c r="A66" s="3" t="str">
        <x:v>N062</x:v>
      </x:c>
      <x:c r="B66" s="3" t="str">
        <x:v>Petrol</x:v>
      </x:c>
      <x:c r="C66" s="3" t="str">
        <x:v>T42</x:v>
      </x:c>
      <x:c r="D66" s="3" t="str">
        <x:v>Updated observed GDP per capita</x:v>
      </x:c>
      <x:c r="E66" s="3" t="str">
        <x:v>Unreviewed source extract; annual cells contain complete periods only.</x:v>
      </x:c>
    </x:row>
    <x:row r="67" ht="42" customHeight="1">
      <x:c r="A67" s="3" t="str">
        <x:v>N063</x:v>
      </x:c>
      <x:c r="B67" s="3" t="str">
        <x:v>Petrol</x:v>
      </x:c>
      <x:c r="C67" s="3" t="str">
        <x:v>U42</x:v>
      </x:c>
      <x:c r="D67" s="3" t="str">
        <x:v>Updated observed GDP per capita</x:v>
      </x:c>
      <x:c r="E67" s="3" t="str">
        <x:v>Evidence row 25; pptx/story/evidence_2026_10_06/macro_statssa.csv</x:v>
      </x:c>
    </x:row>
    <x:row r="68" ht="42" customHeight="1">
      <x:c r="A68" s="3" t="str">
        <x:v>N064</x:v>
      </x:c>
      <x:c r="B68" s="3" t="str">
        <x:v>Freight</x:v>
      </x:c>
      <x:c r="C68" s="3" t="str">
        <x:v>E23</x:v>
      </x:c>
      <x:c r="D68" s="3" t="str">
        <x:v>Road work diverted to rail</x:v>
      </x:c>
      <x:c r="E68" s="3" t="str">
        <x:v>Deduct once. If already reflected in the road activity path, do not deduct again.</x:v>
      </x:c>
    </x:row>
    <x:row r="69" ht="42" customHeight="1">
      <x:c r="A69" s="3" t="str">
        <x:v>N065</x:v>
      </x:c>
      <x:c r="B69" s="3" t="str">
        <x:v>Freight</x:v>
      </x:c>
      <x:c r="C69" s="3" t="str">
        <x:v>E25</x:v>
      </x:c>
      <x:c r="D69" s="3" t="str">
        <x:v>Alternative freight demand</x:v>
      </x:c>
      <x:c r="E69" s="3" t="str">
        <x:v>Reference tonne-km × (1 − eligible diversion share) × L/tonne-km / 1,000,000. Not calculated here.</x:v>
      </x:c>
    </x:row>
    <x:row r="70" ht="42" customHeight="1">
      <x:c r="A70" s="3" t="str">
        <x:v>N066</x:v>
      </x:c>
      <x:c r="B70" s="3" t="str">
        <x:v>Freight</x:v>
      </x:c>
      <x:c r="C70" s="3" t="str">
        <x:v>E26</x:v>
      </x:c>
      <x:c r="D70" s="3" t="str">
        <x:v>Geographic definition</x:v>
      </x:c>
      <x:c r="E70" s="3" t="str">
        <x:v>Agree fuel sales location versus consumption/corridor. Do not allocate solely by truck registrations.</x:v>
      </x:c>
    </x:row>
    <x:row r="71" ht="42" customHeight="1">
      <x:c r="A71" s="3" t="str">
        <x:v>N067</x:v>
      </x:c>
      <x:c r="B71" s="3" t="str">
        <x:v>Freight</x:v>
      </x:c>
      <x:c r="C71" s="3" t="str">
        <x:v>E28</x:v>
      </x:c>
      <x:c r="D71" s="3" t="str">
        <x:v>Source</x:v>
      </x:c>
      <x:c r="E71" s="3" t="str">
        <x:v>https://github.com/Africa-International-Advisors/liquid_fuels_model/blob/8c69f8333192483f19cd80911cb90fcd0943eb6b/assumptions/2026/vehicles.yaml</x:v>
      </x:c>
    </x:row>
    <x:row r="72" ht="42" customHeight="1">
      <x:c r="A72" s="3" t="str">
        <x:v>N068</x:v>
      </x:c>
      <x:c r="B72" s="3" t="str">
        <x:v>Freight</x:v>
      </x:c>
      <x:c r="C72" s="3" t="str">
        <x:v>E31</x:v>
      </x:c>
      <x:c r="D72" s="3" t="str">
        <x:v>Current common EV share of new sales</x:v>
      </x:c>
      <x:c r="E72" s="3" t="str">
        <x:v>Existing engine curve applied to HCV as well as other classes. This is not a calibrated truck-specific forecast.</x:v>
      </x:c>
    </x:row>
    <x:row r="73" ht="42" customHeight="1">
      <x:c r="A73" s="3" t="str">
        <x:v>N069</x:v>
      </x:c>
      <x:c r="B73" s="3" t="str">
        <x:v>Freight</x:v>
      </x:c>
      <x:c r="C73" s="3" t="str">
        <x:v>E32</x:v>
      </x:c>
      <x:c r="D73" s="3" t="str">
        <x:v>Truck BEV share of new sales</x:v>
      </x:c>
      <x:c r="E73" s="3" t="str">
        <x:v>Separate light delivery, regional and long-haul cohorts. Use truck-specific opening shares and trajectories.</x:v>
      </x:c>
    </x:row>
    <x:row r="74" ht="42" customHeight="1">
      <x:c r="A74" s="3" t="str">
        <x:v>N070</x:v>
      </x:c>
      <x:c r="B74" s="3" t="str">
        <x:v>Freight</x:v>
      </x:c>
      <x:c r="C74" s="3" t="str">
        <x:v>E33</x:v>
      </x:c>
      <x:c r="D74" s="3" t="str">
        <x:v>Truck hybrid / PHEV new-sales share</x:v>
      </x:c>
      <x:c r="E74" s="3" t="str">
        <x:v>Separate from BEVs. Record residual diesel use; PHEV electric-distance fraction requires evidence.</x:v>
      </x:c>
    </x:row>
    <x:row r="75" ht="42" customHeight="1">
      <x:c r="A75" s="3" t="str">
        <x:v>N071</x:v>
      </x:c>
      <x:c r="B75" s="3" t="str">
        <x:v>Freight</x:v>
      </x:c>
      <x:c r="C75" s="3" t="str">
        <x:v>E34</x:v>
      </x:c>
      <x:c r="D75" s="3" t="str">
        <x:v>Opening fleet and survival by drivetrain</x:v>
      </x:c>
      <x:c r="E75" s="3" t="str">
        <x:v>New-sales shares become stock through cohort additions and retirements; do not apply sales shares directly to the total fleet.</x:v>
      </x:c>
    </x:row>
    <x:row r="76" ht="42" customHeight="1">
      <x:c r="A76" s="3" t="str">
        <x:v>N072</x:v>
      </x:c>
      <x:c r="B76" s="3" t="str">
        <x:v>Freight</x:v>
      </x:c>
      <x:c r="C76" s="3" t="str">
        <x:v>E35</x:v>
      </x:c>
      <x:c r="D76" s="3" t="str">
        <x:v>Mileage by drivetrain / duty cycle</x:v>
      </x:c>
      <x:c r="E76" s="3" t="str">
        <x:v>Electric and diesel trucks can perform different annual work. Use mileage/work shares rather than stock shares alone.</x:v>
      </x:c>
    </x:row>
    <x:row r="77" ht="42" customHeight="1">
      <x:c r="A77" s="3" t="str">
        <x:v>N073</x:v>
      </x:c>
      <x:c r="B77" s="3" t="str">
        <x:v>Freight</x:v>
      </x:c>
      <x:c r="C77" s="3" t="str">
        <x:v>E36</x:v>
      </x:c>
      <x:c r="D77" s="3" t="str">
        <x:v>Truck electricity intensity</x:v>
      </x:c>
      <x:c r="E77" s="3" t="str">
        <x:v>Optional electricity requirement and charging-feasibility check. BEV tailpipe diesel use is zero; backup/auxiliary fuel needs separate scope.</x:v>
      </x:c>
    </x:row>
    <x:row r="78" ht="42" customHeight="1">
      <x:c r="A78" s="3" t="str">
        <x:v>N074</x:v>
      </x:c>
      <x:c r="B78" s="3" t="str">
        <x:v>Freight</x:v>
      </x:c>
      <x:c r="C78" s="3" t="str">
        <x:v>E37</x:v>
      </x:c>
      <x:c r="D78" s="3" t="str">
        <x:v>Charging and operating constraints</x:v>
      </x:c>
      <x:c r="E78" s="3" t="str">
        <x:v>Depot/corridor access, charging power, dwell time, grid connection, range and payload constrain uptake. They do not create a second fuel discount.</x:v>
      </x:c>
    </x:row>
    <x:row r="79" ht="42" customHeight="1">
      <x:c r="A79" s="3" t="str">
        <x:v>N075</x:v>
      </x:c>
      <x:c r="B79" s="3" t="str">
        <x:v>Freight</x:v>
      </x:c>
      <x:c r="C79" s="3" t="str">
        <x:v>E38</x:v>
      </x:c>
      <x:c r="D79" s="3" t="str">
        <x:v>Electric freight share of road work</x:v>
      </x:c>
      <x:c r="E79" s="3" t="str">
        <x:v>For tonne-km method: derive consistent work share from drivetrain fleets, mileage and payload; exclude BEV work from diesel work once.</x:v>
      </x:c>
    </x:row>
    <x:row r="80" ht="42" customHeight="1">
      <x:c r="A80" s="3" t="str">
        <x:v>N076</x:v>
      </x:c>
      <x:c r="B80" s="3" t="str">
        <x:v>Freight</x:v>
      </x:c>
      <x:c r="C80" s="3" t="str">
        <x:v>E39</x:v>
      </x:c>
      <x:c r="D80" s="3" t="str">
        <x:v>Truck diesel demand after transition</x:v>
      </x:c>
      <x:c r="E80" s="3" t="str">
        <x:v>Fleet method: sum diesel/hybrid cohort vehicles × km × L/100 km / 100. BEVs contribute zero truck diesel. Proposed replacement not yet run.</x:v>
      </x:c>
    </x:row>
    <x:row r="81" ht="42" customHeight="1">
      <x:c r="A81" s="3" t="str">
        <x:v>N077</x:v>
      </x:c>
      <x:c r="B81" s="3" t="str">
        <x:v>Freight</x:v>
      </x:c>
      <x:c r="C81" s="3" t="str">
        <x:v>E40</x:v>
      </x:c>
      <x:c r="D81" s="3" t="str">
        <x:v>Rail and electrification interaction</x:v>
      </x:c>
      <x:c r="E81" s="3" t="str">
        <x:v>Rail diversion first defines remaining road work. Drivetrain shares divide that road work; do not subtract electrification again in efficiency.</x:v>
      </x:c>
    </x:row>
    <x:row r="82" ht="42" customHeight="1">
      <x:c r="A82" s="3" t="str">
        <x:v>N078</x:v>
      </x:c>
      <x:c r="B82" s="3" t="str">
        <x:v>Freight</x:v>
      </x:c>
      <x:c r="C82" s="3" t="str">
        <x:v>E41</x:v>
      </x:c>
      <x:c r="D82" s="3" t="str">
        <x:v>Province / corridor treatment</x:v>
      </x:c>
      <x:c r="E82" s="3" t="str">
        <x:v>Electrify feasible routes/depot fleets first; reconcile provincial/corridor work with the national total. Do not copy passenger uptake.</x:v>
      </x:c>
    </x:row>
    <x:row r="83" ht="42" customHeight="1">
      <x:c r="A83" s="3" t="str">
        <x:v>N079</x:v>
      </x:c>
      <x:c r="B83" s="3" t="str">
        <x:v>Freight</x:v>
      </x:c>
      <x:c r="C83" s="3" t="str">
        <x:v>E43</x:v>
      </x:c>
      <x:c r="D83" s="3" t="str">
        <x:v>H/M/L brackets</x:v>
      </x:c>
      <x:c r="E83" s="3" t="str">
        <x:v>Set truck BEV shares, hybrid treatment and rollout dates by duty cycle for 2030/2035; agree annual paths. Higher BEV uptake generally lowers road diesel.</x:v>
      </x:c>
    </x:row>
    <x:row r="84" ht="42" customHeight="1">
      <x:c r="A84" s="3" t="str">
        <x:v>N080</x:v>
      </x:c>
      <x:c r="B84" s="3" t="str">
        <x:v>Freight</x:v>
      </x:c>
      <x:c r="C84" s="3" t="str">
        <x:v>E45</x:v>
      </x:c>
      <x:c r="D84" s="3" t="str">
        <x:v>Current curve source</x:v>
      </x:c>
      <x:c r="E84" s="3" t="str">
        <x:v>https://github.com/Africa-International-Advisors/liquid_fuels_model/blob/8c69f8333192483f19cd80911cb90fcd0943eb6b/assumptions/2026/vehicles.yaml</x:v>
      </x:c>
    </x:row>
    <x:row r="85" ht="42" customHeight="1">
      <x:c r="A85" s="3" t="str">
        <x:v>N081</x:v>
      </x:c>
      <x:c r="B85" s="3" t="str">
        <x:v>Freight</x:v>
      </x:c>
      <x:c r="C85" s="3" t="str">
        <x:v>E48</x:v>
      </x:c>
      <x:c r="D85" s="3" t="str">
        <x:v>Medium/heavy commercial new sales</x:v>
      </x:c>
      <x:c r="E85" s="3" t="str">
        <x:v>NAAMSA actual new sales. Published 2026/27 projections excluded from observed rows.</x:v>
      </x:c>
    </x:row>
    <x:row r="86" ht="42" customHeight="1">
      <x:c r="A86" s="3" t="str">
        <x:v>N082</x:v>
      </x:c>
      <x:c r="B86" s="3" t="str">
        <x:v>Freight</x:v>
      </x:c>
      <x:c r="C86" s="3" t="str">
        <x:v>T48</x:v>
      </x:c>
      <x:c r="D86" s="3" t="str">
        <x:v>Medium/heavy commercial new sales</x:v>
      </x:c>
      <x:c r="E86" s="3" t="str">
        <x:v>Unreviewed source extract; annual cells contain complete periods only.</x:v>
      </x:c>
    </x:row>
    <x:row r="87" ht="42" customHeight="1">
      <x:c r="A87" s="3" t="str">
        <x:v>N083</x:v>
      </x:c>
      <x:c r="B87" s="3" t="str">
        <x:v>Freight</x:v>
      </x:c>
      <x:c r="C87" s="3" t="str">
        <x:v>U48</x:v>
      </x:c>
      <x:c r="D87" s="3" t="str">
        <x:v>Medium/heavy commercial new sales</x:v>
      </x:c>
      <x:c r="E87" s="3" t="str">
        <x:v>Evidence row 15; assumptions/2026/timeseries/new_vehicle_market_naamsa.csv</x:v>
      </x:c>
    </x:row>
    <x:row r="88" ht="42" customHeight="1">
      <x:c r="A88" s="3" t="str">
        <x:v>N084</x:v>
      </x:c>
      <x:c r="B88" s="3" t="str">
        <x:v>Freight</x:v>
      </x:c>
      <x:c r="C88" s="3" t="str">
        <x:v>V48</x:v>
      </x:c>
      <x:c r="D88" s="3" t="str">
        <x:v>Medium/heavy commercial new sales</x:v>
      </x:c>
      <x:c r="E88" s="3" t="str">
        <x:v>G04: align medium/heavy sales with HCV engine and LCV freight scope.</x:v>
      </x:c>
    </x:row>
    <x:row r="89" ht="42" customHeight="1">
      <x:c r="A89" s="3" t="str">
        <x:v>N085</x:v>
      </x:c>
      <x:c r="B89" s="3" t="str">
        <x:v>Freight</x:v>
      </x:c>
      <x:c r="C89" s="3" t="str">
        <x:v>E49</x:v>
      </x:c>
      <x:c r="D89" s="3" t="str">
        <x:v>Registered trucks, all drivetrains</x:v>
      </x:c>
      <x:c r="E89" s="3" t="str">
        <x:v>eNaTIS December snapshots; latest June 2026 kept separately. No fuel/drivetrain split. Latest value in D: 2026-06, snapshot.</x:v>
      </x:c>
    </x:row>
    <x:row r="90" ht="42" customHeight="1">
      <x:c r="A90" s="3" t="str">
        <x:v>N086</x:v>
      </x:c>
      <x:c r="B90" s="3" t="str">
        <x:v>Freight</x:v>
      </x:c>
      <x:c r="C90" s="3" t="str">
        <x:v>T49</x:v>
      </x:c>
      <x:c r="D90" s="3" t="str">
        <x:v>Registered trucks, all drivetrains</x:v>
      </x:c>
      <x:c r="E90" s="3" t="str">
        <x:v>Unreviewed source extract; annual cells contain complete periods only.</x:v>
      </x:c>
    </x:row>
    <x:row r="91" ht="42" customHeight="1">
      <x:c r="A91" s="3" t="str">
        <x:v>N087</x:v>
      </x:c>
      <x:c r="B91" s="3" t="str">
        <x:v>Freight</x:v>
      </x:c>
      <x:c r="C91" s="3" t="str">
        <x:v>U49</x:v>
      </x:c>
      <x:c r="D91" s="3" t="str">
        <x:v>Registered trucks, all drivetrains</x:v>
      </x:c>
      <x:c r="E91" s="3" t="str">
        <x:v>Evidence row 22; assumptions/2026/timeseries/vehicle_population_natis.csv</x:v>
      </x:c>
    </x:row>
    <x:row r="92" ht="42" customHeight="1">
      <x:c r="A92" s="3" t="str">
        <x:v>N088</x:v>
      </x:c>
      <x:c r="B92" s="3" t="str">
        <x:v>Freight</x:v>
      </x:c>
      <x:c r="C92" s="3" t="str">
        <x:v>V49</x:v>
      </x:c>
      <x:c r="D92" s="3" t="str">
        <x:v>Registered trucks, all drivetrains</x:v>
      </x:c>
      <x:c r="E92" s="3" t="str">
        <x:v>G04: reconcile vehicle definition, drivetrain and duty-cycle split.</x:v>
      </x:c>
    </x:row>
    <x:row r="93" ht="42" customHeight="1">
      <x:c r="A93" s="3" t="str">
        <x:v>N089</x:v>
      </x:c>
      <x:c r="B93" s="3" t="str">
        <x:v>Freight</x:v>
      </x:c>
      <x:c r="C93" s="3" t="str">
        <x:v>E50</x:v>
      </x:c>
      <x:c r="D93" s="3" t="str">
        <x:v>Road freight payload</x:v>
      </x:c>
      <x:c r="E93" s="3" t="str">
        <x:v>Complete calendar years only; 2026 Jan-Jul shown separately. Tonnes do not measure tonne-km. Latest value in D: 2026-01 to 2026-07, 7 months; sum; not annualised.</x:v>
      </x:c>
    </x:row>
    <x:row r="94" ht="42" customHeight="1">
      <x:c r="A94" s="3" t="str">
        <x:v>N090</x:v>
      </x:c>
      <x:c r="B94" s="3" t="str">
        <x:v>Freight</x:v>
      </x:c>
      <x:c r="C94" s="3" t="str">
        <x:v>T50</x:v>
      </x:c>
      <x:c r="D94" s="3" t="str">
        <x:v>Road freight payload</x:v>
      </x:c>
      <x:c r="E94" s="3" t="str">
        <x:v>Unreviewed source extract; annual cells contain complete periods only.</x:v>
      </x:c>
    </x:row>
    <x:row r="95" ht="42" customHeight="1">
      <x:c r="A95" s="3" t="str">
        <x:v>N091</x:v>
      </x:c>
      <x:c r="B95" s="3" t="str">
        <x:v>Freight</x:v>
      </x:c>
      <x:c r="C95" s="3" t="str">
        <x:v>U50</x:v>
      </x:c>
      <x:c r="D95" s="3" t="str">
        <x:v>Road freight payload</x:v>
      </x:c>
      <x:c r="E95" s="3" t="str">
        <x:v>Evidence row 32; pptx/story/evidence_2026_10_06/activity_statssa_monthly.csv</x:v>
      </x:c>
    </x:row>
    <x:row r="96" ht="42" customHeight="1">
      <x:c r="A96" s="3" t="str">
        <x:v>N092</x:v>
      </x:c>
      <x:c r="B96" s="3" t="str">
        <x:v>Freight</x:v>
      </x:c>
      <x:c r="C96" s="3" t="str">
        <x:v>V50</x:v>
      </x:c>
      <x:c r="D96" s="3" t="str">
        <x:v>Road freight payload</x:v>
      </x:c>
      <x:c r="E96" s="3" t="str">
        <x:v>G04: tonnes need distance/payload/empty-running bridge to tonne-km and litres.</x:v>
      </x:c>
    </x:row>
    <x:row r="97" ht="42" customHeight="1">
      <x:c r="A97" s="3" t="str">
        <x:v>N093</x:v>
      </x:c>
      <x:c r="B97" s="3" t="str">
        <x:v>Freight</x:v>
      </x:c>
      <x:c r="C97" s="3" t="str">
        <x:v>E51</x:v>
      </x:c>
      <x:c r="D97" s="3" t="str">
        <x:v>Rail freight payload</x:v>
      </x:c>
      <x:c r="E97" s="3" t="str">
        <x:v>Complete calendar years only; 2026 Jan-Jul shown separately. Tonnes do not measure tonne-km. Latest value in D: 2026-01 to 2026-07, 7 months; sum; not annualised.</x:v>
      </x:c>
    </x:row>
    <x:row r="98" ht="42" customHeight="1">
      <x:c r="A98" s="3" t="str">
        <x:v>N094</x:v>
      </x:c>
      <x:c r="B98" s="3" t="str">
        <x:v>Freight</x:v>
      </x:c>
      <x:c r="C98" s="3" t="str">
        <x:v>T51</x:v>
      </x:c>
      <x:c r="D98" s="3" t="str">
        <x:v>Rail freight payload</x:v>
      </x:c>
      <x:c r="E98" s="3" t="str">
        <x:v>Unreviewed source extract; annual cells contain complete periods only.</x:v>
      </x:c>
    </x:row>
    <x:row r="99" ht="42" customHeight="1">
      <x:c r="A99" s="3" t="str">
        <x:v>N095</x:v>
      </x:c>
      <x:c r="B99" s="3" t="str">
        <x:v>Freight</x:v>
      </x:c>
      <x:c r="C99" s="3" t="str">
        <x:v>U51</x:v>
      </x:c>
      <x:c r="D99" s="3" t="str">
        <x:v>Rail freight payload</x:v>
      </x:c>
      <x:c r="E99" s="3" t="str">
        <x:v>Evidence row 33; pptx/story/evidence_2026_10_06/activity_statssa_monthly.csv</x:v>
      </x:c>
    </x:row>
    <x:row r="100" ht="42" customHeight="1">
      <x:c r="A100" s="3" t="str">
        <x:v>N096</x:v>
      </x:c>
      <x:c r="B100" s="3" t="str">
        <x:v>Freight</x:v>
      </x:c>
      <x:c r="C100" s="3" t="str">
        <x:v>V51</x:v>
      </x:c>
      <x:c r="D100" s="3" t="str">
        <x:v>Rail freight payload</x:v>
      </x:c>
      <x:c r="E100" s="3" t="str">
        <x:v>G04: source feasible diversion by commodity/corridor; no automatic diesel saving.</x:v>
      </x:c>
    </x:row>
    <x:row r="101" ht="42" customHeight="1">
      <x:c r="A101" s="3" t="str">
        <x:v>N097</x:v>
      </x:c>
      <x:c r="B101" s="3" t="str">
        <x:v>Freight</x:v>
      </x:c>
      <x:c r="C101" s="3" t="str">
        <x:v>E52</x:v>
      </x:c>
      <x:c r="D101" s="3" t="str">
        <x:v>LCV new sales</x:v>
      </x:c>
      <x:c r="E101" s="3" t="str">
        <x:v>NAAMSA actual new sales. Published 2026/27 projections excluded from observed rows.</x:v>
      </x:c>
    </x:row>
    <x:row r="102" ht="42" customHeight="1">
      <x:c r="A102" s="3" t="str">
        <x:v>N098</x:v>
      </x:c>
      <x:c r="B102" s="3" t="str">
        <x:v>Freight</x:v>
      </x:c>
      <x:c r="C102" s="3" t="str">
        <x:v>T52</x:v>
      </x:c>
      <x:c r="D102" s="3" t="str">
        <x:v>LCV new sales</x:v>
      </x:c>
      <x:c r="E102" s="3" t="str">
        <x:v>Unreviewed source extract; annual cells contain complete periods only.</x:v>
      </x:c>
    </x:row>
    <x:row r="103" ht="42" customHeight="1">
      <x:c r="A103" s="3" t="str">
        <x:v>N099</x:v>
      </x:c>
      <x:c r="B103" s="3" t="str">
        <x:v>Freight</x:v>
      </x:c>
      <x:c r="C103" s="3" t="str">
        <x:v>U52</x:v>
      </x:c>
      <x:c r="D103" s="3" t="str">
        <x:v>LCV new sales</x:v>
      </x:c>
      <x:c r="E103" s="3" t="str">
        <x:v>Evidence row 14; assumptions/2026/timeseries/new_vehicle_market_naamsa.csv</x:v>
      </x:c>
    </x:row>
    <x:row r="104" ht="42" customHeight="1">
      <x:c r="A104" s="3" t="str">
        <x:v>N100</x:v>
      </x:c>
      <x:c r="B104" s="3" t="str">
        <x:v>Freight</x:v>
      </x:c>
      <x:c r="C104" s="3" t="str">
        <x:v>E53</x:v>
      </x:c>
      <x:c r="D104" s="3" t="str">
        <x:v>Truck-specific BEV sales / fleet</x:v>
      </x:c>
      <x:c r="E104" s="3" t="str">
        <x:v>All-market NEV data exists on Petrol sheet; no truck-specific split established.</x:v>
      </x:c>
    </x:row>
    <x:row r="105" ht="42" customHeight="1">
      <x:c r="A105" s="3" t="str">
        <x:v>N101</x:v>
      </x:c>
      <x:c r="B105" s="3" t="str">
        <x:v>Freight</x:v>
      </x:c>
      <x:c r="C105" s="3" t="str">
        <x:v>V53</x:v>
      </x:c>
      <x:c r="D105" s="3" t="str">
        <x:v>Truck-specific BEV sales / fleet</x:v>
      </x:c>
      <x:c r="E105" s="3" t="str">
        <x:v>G05: source truck registrations/sales, fleet pilots, duty cycles and charging.</x:v>
      </x:c>
    </x:row>
    <x:row r="106" ht="42" customHeight="1">
      <x:c r="A106" s="3" t="str">
        <x:v>N102</x:v>
      </x:c>
      <x:c r="B106" s="3" t="str">
        <x:v>Agriculture</x:v>
      </x:c>
      <x:c r="C106" s="3" t="str">
        <x:v>E16</x:v>
      </x:c>
      <x:c r="D106" s="3" t="str">
        <x:v>Reviewed baseline demand</x:v>
      </x:c>
      <x:c r="E106" s="3" t="str">
        <x:v>A 2021 source anchor is available in row 30, but has not been selected as the new model baseline.</x:v>
      </x:c>
    </x:row>
    <x:row r="107" ht="42" customHeight="1">
      <x:c r="A107" s="3" t="str">
        <x:v>N103</x:v>
      </x:c>
      <x:c r="B107" s="3" t="str">
        <x:v>Agriculture</x:v>
      </x:c>
      <x:c r="C107" s="3" t="str">
        <x:v>E17</x:v>
      </x:c>
      <x:c r="D107" s="3" t="str">
        <x:v>Agricultural activity index</x:v>
      </x:c>
      <x:c r="E107" s="3" t="str">
        <x:v>Real agricultural GVA is available in row 29. Select/rebase an activity measure only after matching fuel coverage.</x:v>
      </x:c>
    </x:row>
    <x:row r="108" ht="42" customHeight="1">
      <x:c r="A108" s="3" t="str">
        <x:v>N104</x:v>
      </x:c>
      <x:c r="B108" s="3" t="str">
        <x:v>Agriculture</x:v>
      </x:c>
      <x:c r="C108" s="3" t="str">
        <x:v>E18</x:v>
      </x:c>
      <x:c r="D108" s="3" t="str">
        <x:v>Relative fuel intensity</x:v>
      </x:c>
      <x:c r="E108" s="3" t="str">
        <x:v>Lower values mean less fuel per activity unit; mechanisation can increase intensity.</x:v>
      </x:c>
    </x:row>
    <x:row r="109" ht="42" customHeight="1">
      <x:c r="A109" s="3" t="str">
        <x:v>N105</x:v>
      </x:c>
      <x:c r="B109" s="3" t="str">
        <x:v>Agriculture</x:v>
      </x:c>
      <x:c r="C109" s="3" t="str">
        <x:v>E19</x:v>
      </x:c>
      <x:c r="D109" s="3" t="str">
        <x:v>Proposed agricultural demand</x:v>
      </x:c>
      <x:c r="E109" s="3" t="str">
        <x:v>Reviewed base demand × activity index / 100 × relative intensity. No engine change or new forecast here.</x:v>
      </x:c>
    </x:row>
    <x:row r="110" ht="42" customHeight="1">
      <x:c r="A110" s="3" t="str">
        <x:v>N106</x:v>
      </x:c>
      <x:c r="B110" s="3" t="str">
        <x:v>Agriculture</x:v>
      </x:c>
      <x:c r="C110" s="3" t="str">
        <x:v>E20</x:v>
      </x:c>
      <x:c r="D110" s="3" t="str">
        <x:v>Provincial activity / baseline shares</x:v>
      </x:c>
      <x:c r="E110" s="3" t="str">
        <x:v>Use local agricultural evidence; confirm that national allocations sum to 100%.</x:v>
      </x:c>
    </x:row>
    <x:row r="111" ht="42" customHeight="1">
      <x:c r="A111" s="3" t="str">
        <x:v>N107</x:v>
      </x:c>
      <x:c r="B111" s="3" t="str">
        <x:v>Agriculture</x:v>
      </x:c>
      <x:c r="C111" s="3" t="str">
        <x:v>E21</x:v>
      </x:c>
      <x:c r="D111" s="3" t="str">
        <x:v>Sector boundaries</x:v>
      </x:c>
      <x:c r="E111" s="3" t="str">
        <x:v>Resolve irrigation, off-road machinery, road vehicles and backup generation; avoid overlapping litres.</x:v>
      </x:c>
    </x:row>
    <x:row r="112" ht="42" customHeight="1">
      <x:c r="A112" s="3" t="str">
        <x:v>N108</x:v>
      </x:c>
      <x:c r="B112" s="3" t="str">
        <x:v>Agriculture</x:v>
      </x:c>
      <x:c r="C112" s="3" t="str">
        <x:v>E23</x:v>
      </x:c>
      <x:c r="D112" s="3" t="str">
        <x:v>Industry / mining extension</x:v>
      </x:c>
      <x:c r="E112" s="3" t="str">
        <x:v>Apply the same structure separately to mining, manufacturing and construction after baseline splits reconcile.</x:v>
      </x:c>
    </x:row>
    <x:row r="113" ht="42" customHeight="1">
      <x:c r="A113" s="3" t="str">
        <x:v>N109</x:v>
      </x:c>
      <x:c r="B113" s="3" t="str">
        <x:v>Agriculture</x:v>
      </x:c>
      <x:c r="C113" s="3" t="str">
        <x:v>E25</x:v>
      </x:c>
      <x:c r="D113" s="3" t="str">
        <x:v>Source</x:v>
      </x:c>
      <x:c r="E113" s="3" t="str">
        <x:v>https://github.com/Africa-International-Advisors/liquid_fuels_model/blob/8c69f8333192483f19cd80911cb90fcd0943eb6b/assumptions/2026/agriculture.yaml</x:v>
      </x:c>
    </x:row>
    <x:row r="114" ht="42" customHeight="1">
      <x:c r="A114" s="3" t="str">
        <x:v>N110</x:v>
      </x:c>
      <x:c r="B114" s="3" t="str">
        <x:v>Agriculture</x:v>
      </x:c>
      <x:c r="C114" s="3" t="str">
        <x:v>E26</x:v>
      </x:c>
      <x:c r="D114" s="3" t="str">
        <x:v>Calculation source</x:v>
      </x:c>
      <x:c r="E114" s="3" t="str">
        <x:v>https://github.com/Africa-International-Advisors/liquid_fuels_model/blob/8c69f8333192483f19cd80911cb90fcd0943eb6b/src/lfm/model/demand/agriculture.py</x:v>
      </x:c>
    </x:row>
    <x:row r="115" ht="42" customHeight="1">
      <x:c r="A115" s="3" t="str">
        <x:v>N111</x:v>
      </x:c>
      <x:c r="B115" s="3" t="str">
        <x:v>Agriculture</x:v>
      </x:c>
      <x:c r="C115" s="3" t="str">
        <x:v>E29</x:v>
      </x:c>
      <x:c r="D115" s="3" t="str">
        <x:v>Agriculture/forestry/fishing real GVA</x:v>
      </x:c>
      <x:c r="E115" s="3" t="str">
        <x:v>Stats SA annual actual in staged reporting copy. Sector value added is an activity proxy, not measured fuel use.</x:v>
      </x:c>
    </x:row>
    <x:row r="116" ht="42" customHeight="1">
      <x:c r="A116" s="3" t="str">
        <x:v>N112</x:v>
      </x:c>
      <x:c r="B116" s="3" t="str">
        <x:v>Agriculture</x:v>
      </x:c>
      <x:c r="C116" s="3" t="str">
        <x:v>T29</x:v>
      </x:c>
      <x:c r="D116" s="3" t="str">
        <x:v>Agriculture/forestry/fishing real GVA</x:v>
      </x:c>
      <x:c r="E116" s="3" t="str">
        <x:v>Unreviewed source extract; annual cells contain complete periods only.</x:v>
      </x:c>
    </x:row>
    <x:row r="117" ht="42" customHeight="1">
      <x:c r="A117" s="3" t="str">
        <x:v>N113</x:v>
      </x:c>
      <x:c r="B117" s="3" t="str">
        <x:v>Agriculture</x:v>
      </x:c>
      <x:c r="C117" s="3" t="str">
        <x:v>U29</x:v>
      </x:c>
      <x:c r="D117" s="3" t="str">
        <x:v>Agriculture/forestry/fishing real GVA</x:v>
      </x:c>
      <x:c r="E117" s="3" t="str">
        <x:v>Evidence row 26; pptx/story/evidence_2026_10_06/macro_statssa.csv</x:v>
      </x:c>
    </x:row>
    <x:row r="118" ht="42" customHeight="1">
      <x:c r="A118" s="3" t="str">
        <x:v>N114</x:v>
      </x:c>
      <x:c r="B118" s="3" t="str">
        <x:v>Agriculture</x:v>
      </x:c>
      <x:c r="C118" s="3" t="str">
        <x:v>V29</x:v>
      </x:c>
      <x:c r="D118" s="3" t="str">
        <x:v>Agriculture/forestry/fishing real GVA</x:v>
      </x:c>
      <x:c r="E118" s="3" t="str">
        <x:v>G08: choose crop/area/output proxy and rebase to agreed fuel baseline.</x:v>
      </x:c>
    </x:row>
    <x:row r="119" ht="42" customHeight="1">
      <x:c r="A119" s="3" t="str">
        <x:v>N115</x:v>
      </x:c>
      <x:c r="B119" s="3" t="str">
        <x:v>Agriculture</x:v>
      </x:c>
      <x:c r="C119" s="3" t="str">
        <x:v>U30</x:v>
      </x:c>
      <x:c r="D119" s="3" t="str">
        <x:v>2021 agriculture/forestry diesel</x:v>
      </x:c>
      <x:c r="E119" s="3" t="str">
        <x:v>https://github.com/Africa-International-Advisors/liquid_fuels_model/blob/8c69f8333192483f19cd80911cb90fcd0943eb6b/assumptions/2026/timeseries/energy_balance_department.csv</x:v>
      </x:c>
    </x:row>
    <x:row r="120" ht="42" customHeight="1">
      <x:c r="A120" s="3" t="str">
        <x:v>N116</x:v>
      </x:c>
      <x:c r="B120" s="3" t="str">
        <x:v>Agriculture</x:v>
      </x:c>
      <x:c r="C120" s="3" t="str">
        <x:v>V30</x:v>
      </x:c>
      <x:c r="D120" s="3" t="str">
        <x:v>2021 agriculture/forestry diesel</x:v>
      </x:c>
      <x:c r="E120" s="3" t="str">
        <x:v>G08: reconcile forestry/fishing and machinery/irrigation/backup scope; source newer fuel data.</x:v>
      </x:c>
    </x:row>
    <x:row r="121" ht="42" customHeight="1">
      <x:c r="A121" s="3" t="str">
        <x:v>N117</x:v>
      </x:c>
      <x:c r="B121" s="3" t="str">
        <x:v>Manufacturing</x:v>
      </x:c>
      <x:c r="C121" s="3" t="str">
        <x:v>E6</x:v>
      </x:c>
      <x:c r="D121" s="3" t="str">
        <x:v>Reviewed manufacturing baseline</x:v>
      </x:c>
      <x:c r="E121" s="3" t="str">
        <x:v>2021 industry parent exists (row 34), but is not manufacturing-only. A matched manufacturing baseline remains missing.</x:v>
      </x:c>
    </x:row>
    <x:row r="122" ht="42" customHeight="1">
      <x:c r="A122" s="3" t="str">
        <x:v>N118</x:v>
      </x:c>
      <x:c r="B122" s="3" t="str">
        <x:v>Manufacturing</x:v>
      </x:c>
      <x:c r="C122" s="3" t="str">
        <x:v>E8</x:v>
      </x:c>
      <x:c r="D122" s="3" t="str">
        <x:v>Manufacturing production index</x:v>
      </x:c>
      <x:c r="E122" s="3" t="str">
        <x:v>Observed production indices now appear in row 32. Rebase to the agreed baseline before using the proposed equation.</x:v>
      </x:c>
    </x:row>
    <x:row r="123" ht="42" customHeight="1">
      <x:c r="A123" s="3" t="str">
        <x:v>N119</x:v>
      </x:c>
      <x:c r="B123" s="3" t="str">
        <x:v>Manufacturing</x:v>
      </x:c>
      <x:c r="C123" s="3" t="str">
        <x:v>E9</x:v>
      </x:c>
      <x:c r="D123" s="3" t="str">
        <x:v>Relative fuel intensity</x:v>
      </x:c>
      <x:c r="E123" s="3" t="str">
        <x:v>Efficiency and process mix for continuing diesel uses. Exclude electrification if separately modelled below.</x:v>
      </x:c>
    </x:row>
    <x:row r="124" ht="42" customHeight="1">
      <x:c r="A124" s="3" t="str">
        <x:v>N120</x:v>
      </x:c>
      <x:c r="B124" s="3" t="str">
        <x:v>Manufacturing</x:v>
      </x:c>
      <x:c r="C124" s="3" t="str">
        <x:v>E10</x:v>
      </x:c>
      <x:c r="D124" s="3" t="str">
        <x:v>Electrification: remaining diesel fraction</x:v>
      </x:c>
      <x:c r="E124" s="3" t="str">
        <x:v>After baseline, fraction of counterfactual diesel retained as processes/equipment switch. Eligible use, timing and conversion efficiency need evidence.</x:v>
      </x:c>
    </x:row>
    <x:row r="125" ht="42" customHeight="1">
      <x:c r="A125" s="3" t="str">
        <x:v>N121</x:v>
      </x:c>
      <x:c r="B125" s="3" t="str">
        <x:v>Manufacturing</x:v>
      </x:c>
      <x:c r="C125" s="3" t="str">
        <x:v>E11</x:v>
      </x:c>
      <x:c r="D125" s="3" t="str">
        <x:v>Private backup generation</x:v>
      </x:c>
      <x:c r="E125" s="3" t="str">
        <x:v>Include here OR in generation. Record whether the baseline already includes backup fuel.</x:v>
      </x:c>
    </x:row>
    <x:row r="126" ht="42" customHeight="1">
      <x:c r="A126" s="3" t="str">
        <x:v>N122</x:v>
      </x:c>
      <x:c r="B126" s="3" t="str">
        <x:v>Manufacturing</x:v>
      </x:c>
      <x:c r="C126" s="3" t="str">
        <x:v>E12</x:v>
      </x:c>
      <x:c r="D126" s="3" t="str">
        <x:v>Provincial baseline / activity</x:v>
      </x:c>
      <x:c r="E126" s="3" t="str">
        <x:v>Use manufacturing establishments/production, not population by default. National = provinces + unallocated.</x:v>
      </x:c>
    </x:row>
    <x:row r="127" ht="42" customHeight="1">
      <x:c r="A127" s="3" t="str">
        <x:v>N123</x:v>
      </x:c>
      <x:c r="B127" s="3" t="str">
        <x:v>Manufacturing</x:v>
      </x:c>
      <x:c r="C127" s="3" t="str">
        <x:v>E15</x:v>
      </x:c>
      <x:c r="D127" s="3" t="str">
        <x:v>Manufacturing diesel demand</x:v>
      </x:c>
      <x:c r="E127" s="3" t="str">
        <x:v>Baseline × activity/100 × relative intensity × remaining diesel fraction. Not calculated until inputs and scope are agreed.</x:v>
      </x:c>
    </x:row>
    <x:row r="128" ht="42" customHeight="1">
      <x:c r="A128" s="3" t="str">
        <x:v>N124</x:v>
      </x:c>
      <x:c r="B128" s="3" t="str">
        <x:v>Manufacturing</x:v>
      </x:c>
      <x:c r="C128" s="3" t="str">
        <x:v>E16</x:v>
      </x:c>
      <x:c r="D128" s="3" t="str">
        <x:v>Observed manufacturing diesel</x:v>
      </x:c>
      <x:c r="E128" s="3" t="str">
        <x:v>Matched-period comparator; total national diesel sales cannot validate this segment alone.</x:v>
      </x:c>
    </x:row>
    <x:row r="129" ht="42" customHeight="1">
      <x:c r="A129" s="3" t="str">
        <x:v>N125</x:v>
      </x:c>
      <x:c r="B129" s="3" t="str">
        <x:v>Manufacturing</x:v>
      </x:c>
      <x:c r="C129" s="3" t="str">
        <x:v>E17</x:v>
      </x:c>
      <x:c r="D129" s="3" t="str">
        <x:v>Calculated less observed demand</x:v>
      </x:c>
      <x:c r="E129" s="3" t="str">
        <x:v>Reconcile only against matched manufacturing scope. No manufactured zero or assumed residual allocation.</x:v>
      </x:c>
    </x:row>
    <x:row r="130" ht="42" customHeight="1">
      <x:c r="A130" s="3" t="str">
        <x:v>N126</x:v>
      </x:c>
      <x:c r="B130" s="3" t="str">
        <x:v>Manufacturing</x:v>
      </x:c>
      <x:c r="C130" s="3" t="str">
        <x:v>E20</x:v>
      </x:c>
      <x:c r="D130" s="3" t="str">
        <x:v>Current combined industrial baseline</x:v>
      </x:c>
      <x:c r="E130" s="3" t="str">
        <x:v>ONE provisional total for manufacturing + mining + construction. Do not give the whole total to each sector.</x:v>
      </x:c>
    </x:row>
    <x:row r="131" ht="42" customHeight="1">
      <x:c r="A131" s="3" t="str">
        <x:v>N127</x:v>
      </x:c>
      <x:c r="B131" s="3" t="str">
        <x:v>Manufacturing</x:v>
      </x:c>
      <x:c r="C131" s="3" t="str">
        <x:v>E23</x:v>
      </x:c>
      <x:c r="D131" s="3" t="str">
        <x:v>Combined industrial diesel</x:v>
      </x:c>
      <x:c r="E131" s="3" t="str">
        <x:v>Existing engine output shown ONCE as a reference for the future split; includes mining and construction.</x:v>
      </x:c>
    </x:row>
    <x:row r="132" ht="42" customHeight="1">
      <x:c r="A132" s="3" t="str">
        <x:v>N128</x:v>
      </x:c>
      <x:c r="B132" s="3" t="str">
        <x:v>Manufacturing</x:v>
      </x:c>
      <x:c r="C132" s="3" t="str">
        <x:v>E26</x:v>
      </x:c>
      <x:c r="D132" s="3" t="str">
        <x:v>Split and reconcile the combined total</x:v>
      </x:c>
      <x:c r="E132" s="3" t="str">
        <x:v>Manufacturing + mining + construction/other + unallocated must explain the retained total or a reviewed revision. Do not silently drop construction.</x:v>
      </x:c>
    </x:row>
    <x:row r="133" ht="42" customHeight="1">
      <x:c r="A133" s="3" t="str">
        <x:v>N129</x:v>
      </x:c>
      <x:c r="B133" s="3" t="str">
        <x:v>Manufacturing</x:v>
      </x:c>
      <x:c r="C133" s="3" t="str">
        <x:v>E28</x:v>
      </x:c>
      <x:c r="D133" s="3" t="str">
        <x:v>Input source</x:v>
      </x:c>
      <x:c r="E133" s="3" t="str">
        <x:v>https://github.com/Africa-International-Advisors/liquid_fuels_model/blob/8c69f8333192483f19cd80911cb90fcd0943eb6b/assumptions/2026/industrial.yaml</x:v>
      </x:c>
    </x:row>
    <x:row r="134" ht="42" customHeight="1">
      <x:c r="A134" s="3" t="str">
        <x:v>N130</x:v>
      </x:c>
      <x:c r="B134" s="3" t="str">
        <x:v>Manufacturing</x:v>
      </x:c>
      <x:c r="C134" s="3" t="str">
        <x:v>E29</x:v>
      </x:c>
      <x:c r="D134" s="3" t="str">
        <x:v>Calculation source</x:v>
      </x:c>
      <x:c r="E134" s="3" t="str">
        <x:v>https://github.com/Africa-International-Advisors/liquid_fuels_model/blob/8c69f8333192483f19cd80911cb90fcd0943eb6b/src/lfm/model/demand/industrial.py</x:v>
      </x:c>
    </x:row>
    <x:row r="135" ht="42" customHeight="1">
      <x:c r="A135" s="3" t="str">
        <x:v>N131</x:v>
      </x:c>
      <x:c r="B135" s="3" t="str">
        <x:v>Manufacturing</x:v>
      </x:c>
      <x:c r="C135" s="3" t="str">
        <x:v>E32</x:v>
      </x:c>
      <x:c r="D135" s="3" t="str">
        <x:v>Manufacturing production volume</x:v>
      </x:c>
      <x:c r="E135" s="3" t="str">
        <x:v>Arithmetic mean of all 12 monthly production indices; 2026 Jan-Jul mean shown separately. Latest value in D: 2026-01 to 2026-07, 7 months; mean; not annualised.</x:v>
      </x:c>
    </x:row>
    <x:row r="136" ht="42" customHeight="1">
      <x:c r="A136" s="3" t="str">
        <x:v>N132</x:v>
      </x:c>
      <x:c r="B136" s="3" t="str">
        <x:v>Manufacturing</x:v>
      </x:c>
      <x:c r="C136" s="3" t="str">
        <x:v>T32</x:v>
      </x:c>
      <x:c r="D136" s="3" t="str">
        <x:v>Manufacturing production volume</x:v>
      </x:c>
      <x:c r="E136" s="3" t="str">
        <x:v>Unreviewed source extract; annual cells contain complete periods only.</x:v>
      </x:c>
    </x:row>
    <x:row r="137" ht="42" customHeight="1">
      <x:c r="A137" s="3" t="str">
        <x:v>N133</x:v>
      </x:c>
      <x:c r="B137" s="3" t="str">
        <x:v>Manufacturing</x:v>
      </x:c>
      <x:c r="C137" s="3" t="str">
        <x:v>U32</x:v>
      </x:c>
      <x:c r="D137" s="3" t="str">
        <x:v>Manufacturing production volume</x:v>
      </x:c>
      <x:c r="E137" s="3" t="str">
        <x:v>Evidence row 30; pptx/story/evidence_2026_10_06/activity_statssa_monthly.csv</x:v>
      </x:c>
    </x:row>
    <x:row r="138" ht="42" customHeight="1">
      <x:c r="A138" s="3" t="str">
        <x:v>N134</x:v>
      </x:c>
      <x:c r="B138" s="3" t="str">
        <x:v>Manufacturing</x:v>
      </x:c>
      <x:c r="C138" s="3" t="str">
        <x:v>V32</x:v>
      </x:c>
      <x:c r="D138" s="3" t="str">
        <x:v>Manufacturing production volume</x:v>
      </x:c>
      <x:c r="E138" s="3" t="str">
        <x:v>G06: match subsectors to fuel scope; rebase to chosen fuel-baseline year.</x:v>
      </x:c>
    </x:row>
    <x:row r="139" ht="42" customHeight="1">
      <x:c r="A139" s="3" t="str">
        <x:v>N135</x:v>
      </x:c>
      <x:c r="B139" s="3" t="str">
        <x:v>Manufacturing</x:v>
      </x:c>
      <x:c r="C139" s="3" t="str">
        <x:v>E33</x:v>
      </x:c>
      <x:c r="D139" s="3" t="str">
        <x:v>Manufacturing real GVA</x:v>
      </x:c>
      <x:c r="E139" s="3" t="str">
        <x:v>Stats SA annual actual in staged reporting copy. Sector value added is an activity proxy, not measured fuel use.</x:v>
      </x:c>
    </x:row>
    <x:row r="140" ht="42" customHeight="1">
      <x:c r="A140" s="3" t="str">
        <x:v>N136</x:v>
      </x:c>
      <x:c r="B140" s="3" t="str">
        <x:v>Manufacturing</x:v>
      </x:c>
      <x:c r="C140" s="3" t="str">
        <x:v>T33</x:v>
      </x:c>
      <x:c r="D140" s="3" t="str">
        <x:v>Manufacturing real GVA</x:v>
      </x:c>
      <x:c r="E140" s="3" t="str">
        <x:v>Unreviewed source extract; annual cells contain complete periods only.</x:v>
      </x:c>
    </x:row>
    <x:row r="141" ht="42" customHeight="1">
      <x:c r="A141" s="3" t="str">
        <x:v>N137</x:v>
      </x:c>
      <x:c r="B141" s="3" t="str">
        <x:v>Manufacturing</x:v>
      </x:c>
      <x:c r="C141" s="3" t="str">
        <x:v>U33</x:v>
      </x:c>
      <x:c r="D141" s="3" t="str">
        <x:v>Manufacturing real GVA</x:v>
      </x:c>
      <x:c r="E141" s="3" t="str">
        <x:v>Evidence row 27; pptx/story/evidence_2026_10_06/macro_statssa.csv</x:v>
      </x:c>
    </x:row>
    <x:row r="142" ht="42" customHeight="1">
      <x:c r="A142" s="3" t="str">
        <x:v>N138</x:v>
      </x:c>
      <x:c r="B142" s="3" t="str">
        <x:v>Manufacturing</x:v>
      </x:c>
      <x:c r="C142" s="3" t="str">
        <x:v>V33</x:v>
      </x:c>
      <x:c r="D142" s="3" t="str">
        <x:v>Manufacturing real GVA</x:v>
      </x:c>
      <x:c r="E142" s="3" t="str">
        <x:v>G06: alternative activity proxy, not additive to production-index growth.</x:v>
      </x:c>
    </x:row>
    <x:row r="143" ht="42" customHeight="1">
      <x:c r="A143" s="3" t="str">
        <x:v>N139</x:v>
      </x:c>
      <x:c r="B143" s="3" t="str">
        <x:v>Manufacturing</x:v>
      </x:c>
      <x:c r="C143" s="3" t="str">
        <x:v>E34</x:v>
      </x:c>
      <x:c r="D143" s="3" t="str">
        <x:v>2021 energy-balance industry total</x:v>
      </x:c>
      <x:c r="E143" s="3" t="str">
        <x:v>Parent industry total includes mining and construction. It is not manufacturing fuel demand.</x:v>
      </x:c>
    </x:row>
    <x:row r="144" ht="42" customHeight="1">
      <x:c r="A144" s="3" t="str">
        <x:v>N140</x:v>
      </x:c>
      <x:c r="B144" s="3" t="str">
        <x:v>Manufacturing</x:v>
      </x:c>
      <x:c r="C144" s="3" t="str">
        <x:v>U34</x:v>
      </x:c>
      <x:c r="D144" s="3" t="str">
        <x:v>2021 energy-balance industry total</x:v>
      </x:c>
      <x:c r="E144" s="3" t="str">
        <x:v>https://github.com/Africa-International-Advisors/liquid_fuels_model/blob/8c69f8333192483f19cd80911cb90fcd0943eb6b/assumptions/2026/timeseries/energy_balance_department.csv</x:v>
      </x:c>
    </x:row>
    <x:row r="145" ht="42" customHeight="1">
      <x:c r="A145" s="3" t="str">
        <x:v>N141</x:v>
      </x:c>
      <x:c r="B145" s="3" t="str">
        <x:v>Manufacturing</x:v>
      </x:c>
      <x:c r="C145" s="3" t="str">
        <x:v>V34</x:v>
      </x:c>
      <x:c r="D145" s="3" t="str">
        <x:v>2021 energy-balance industry total</x:v>
      </x:c>
      <x:c r="E145" s="3" t="str">
        <x:v>G06: reconcile manufacturing subsector rows and unspecified industry; do not double count parent and children.</x:v>
      </x:c>
    </x:row>
    <x:row r="146" ht="42" customHeight="1">
      <x:c r="A146" s="3" t="str">
        <x:v>N142</x:v>
      </x:c>
      <x:c r="B146" s="3" t="str">
        <x:v>Manufacturing</x:v>
      </x:c>
      <x:c r="C146" s="3" t="str">
        <x:v>E35</x:v>
      </x:c>
      <x:c r="D146" s="3" t="str">
        <x:v>2021 construction diesel</x:v>
      </x:c>
      <x:c r="E146" s="3" t="str">
        <x:v>Construction child of source industry total, shown separately to preserve scope.</x:v>
      </x:c>
    </x:row>
    <x:row r="147" ht="42" customHeight="1">
      <x:c r="A147" s="3" t="str">
        <x:v>N143</x:v>
      </x:c>
      <x:c r="B147" s="3" t="str">
        <x:v>Manufacturing</x:v>
      </x:c>
      <x:c r="C147" s="3" t="str">
        <x:v>U35</x:v>
      </x:c>
      <x:c r="D147" s="3" t="str">
        <x:v>2021 construction diesel</x:v>
      </x:c>
      <x:c r="E147" s="3" t="str">
        <x:v>https://github.com/Africa-International-Advisors/liquid_fuels_model/blob/8c69f8333192483f19cd80911cb90fcd0943eb6b/assumptions/2026/timeseries/energy_balance_department.csv</x:v>
      </x:c>
    </x:row>
    <x:row r="148" ht="42" customHeight="1">
      <x:c r="A148" s="3" t="str">
        <x:v>N144</x:v>
      </x:c>
      <x:c r="B148" s="3" t="str">
        <x:v>Manufacturing</x:v>
      </x:c>
      <x:c r="C148" s="3" t="str">
        <x:v>V35</x:v>
      </x:c>
      <x:c r="D148" s="3" t="str">
        <x:v>2021 construction diesel</x:v>
      </x:c>
      <x:c r="E148" s="3" t="str">
        <x:v>G06/G07: retain construction/other when splitting the model bucket.</x:v>
      </x:c>
    </x:row>
    <x:row r="149" ht="42" customHeight="1">
      <x:c r="A149" s="3" t="str">
        <x:v>N145</x:v>
      </x:c>
      <x:c r="B149" s="3" t="str">
        <x:v>Mining</x:v>
      </x:c>
      <x:c r="C149" s="3" t="str">
        <x:v>E6</x:v>
      </x:c>
      <x:c r="D149" s="3" t="str">
        <x:v>Reviewed mining baseline</x:v>
      </x:c>
      <x:c r="E149" s="3" t="str">
        <x:v>2021 mining fuel is shown in row 31. Source newer years and review scope before selecting a baseline.</x:v>
      </x:c>
    </x:row>
    <x:row r="150" ht="42" customHeight="1">
      <x:c r="A150" s="3" t="str">
        <x:v>N146</x:v>
      </x:c>
      <x:c r="B150" s="3" t="str">
        <x:v>Mining</x:v>
      </x:c>
      <x:c r="C150" s="3" t="str">
        <x:v>E8</x:v>
      </x:c>
      <x:c r="D150" s="3" t="str">
        <x:v>Mining activity index</x:v>
      </x:c>
      <x:c r="E150" s="3" t="str">
        <x:v>Production index and GVA now appear in rows 29-30. Select one coherent activity path, with mine-specific work where supported.</x:v>
      </x:c>
    </x:row>
    <x:row r="151" ht="42" customHeight="1">
      <x:c r="A151" s="3" t="str">
        <x:v>N147</x:v>
      </x:c>
      <x:c r="B151" s="3" t="str">
        <x:v>Mining</x:v>
      </x:c>
      <x:c r="C151" s="3" t="str">
        <x:v>E9</x:v>
      </x:c>
      <x:c r="D151" s="3" t="str">
        <x:v>Relative operating intensity</x:v>
      </x:c>
      <x:c r="E151" s="3" t="str">
        <x:v>Reflect depth, haul work, equipment mix and efficiency. Avoid duplicating work already embedded in the activity measure.</x:v>
      </x:c>
    </x:row>
    <x:row r="152" ht="42" customHeight="1">
      <x:c r="A152" s="3" t="str">
        <x:v>N148</x:v>
      </x:c>
      <x:c r="B152" s="3" t="str">
        <x:v>Mining</x:v>
      </x:c>
      <x:c r="C152" s="3" t="str">
        <x:v>E10</x:v>
      </x:c>
      <x:c r="D152" s="3" t="str">
        <x:v>Electrification: remaining diesel fraction</x:v>
      </x:c>
      <x:c r="E152" s="3" t="str">
        <x:v>Eligible off-road diesel work retained after switching equipment or haul systems. Fit by mine/equipment; do not apply road-truck uptake automatically.</x:v>
      </x:c>
    </x:row>
    <x:row r="153" ht="42" customHeight="1">
      <x:c r="A153" s="3" t="str">
        <x:v>N149</x:v>
      </x:c>
      <x:c r="B153" s="3" t="str">
        <x:v>Mining</x:v>
      </x:c>
      <x:c r="C153" s="3" t="str">
        <x:v>E12</x:v>
      </x:c>
      <x:c r="D153" s="3" t="str">
        <x:v>Provincial site / activity allocation</x:v>
      </x:c>
      <x:c r="E153" s="3" t="str">
        <x:v>Locate mine demand by site/activity; use explicit unallocated coverage if sites or fuel use are unknown.</x:v>
      </x:c>
    </x:row>
    <x:row r="154" ht="42" customHeight="1">
      <x:c r="A154" s="3" t="str">
        <x:v>N150</x:v>
      </x:c>
      <x:c r="B154" s="3" t="str">
        <x:v>Mining</x:v>
      </x:c>
      <x:c r="C154" s="3" t="str">
        <x:v>E15</x:v>
      </x:c>
      <x:c r="D154" s="3" t="str">
        <x:v>Mining diesel demand</x:v>
      </x:c>
      <x:c r="E154" s="3" t="str">
        <x:v>Baseline × activity/100 × relative intensity × remaining diesel fraction. Aggregate subsectors/sites where supported.</x:v>
      </x:c>
    </x:row>
    <x:row r="155" ht="42" customHeight="1">
      <x:c r="A155" s="3" t="str">
        <x:v>N151</x:v>
      </x:c>
      <x:c r="B155" s="3" t="str">
        <x:v>Mining</x:v>
      </x:c>
      <x:c r="C155" s="3" t="str">
        <x:v>E17</x:v>
      </x:c>
      <x:c r="D155" s="3" t="str">
        <x:v>Calculated less observed demand</x:v>
      </x:c>
      <x:c r="E155" s="3" t="str">
        <x:v>No numerical forecast or observed comparison until the sector baseline is sourced.</x:v>
      </x:c>
    </x:row>
    <x:row r="156" ht="42" customHeight="1">
      <x:c r="A156" s="3" t="str">
        <x:v>N152</x:v>
      </x:c>
      <x:c r="B156" s="3" t="str">
        <x:v>Mining</x:v>
      </x:c>
      <x:c r="C156" s="3" t="str">
        <x:v>E20</x:v>
      </x:c>
      <x:c r="D156" s="3" t="str">
        <x:v>Current combined model reference</x:v>
      </x:c>
      <x:c r="E156" s="3" t="str">
        <x:v>Manufacturing rows 20-24 hold the combined industrial baseline/output once. Mining has no separate current-engine result.</x:v>
      </x:c>
    </x:row>
    <x:row r="157" ht="42" customHeight="1">
      <x:c r="A157" s="3" t="str">
        <x:v>N153</x:v>
      </x:c>
      <x:c r="B157" s="3" t="str">
        <x:v>Mining</x:v>
      </x:c>
      <x:c r="C157" s="3" t="str">
        <x:v>E21</x:v>
      </x:c>
      <x:c r="D157" s="3" t="str">
        <x:v>Public-road freight boundary</x:v>
      </x:c>
      <x:c r="E157" s="3" t="str">
        <x:v>Mine-to-port road trucks belong to freight if already in that fleet/activity. Keep mine-site machinery and haulage in mining.</x:v>
      </x:c>
    </x:row>
    <x:row r="158" ht="42" customHeight="1">
      <x:c r="A158" s="3" t="str">
        <x:v>N154</x:v>
      </x:c>
      <x:c r="B158" s="3" t="str">
        <x:v>Mining</x:v>
      </x:c>
      <x:c r="C158" s="3" t="str">
        <x:v>E22</x:v>
      </x:c>
      <x:c r="D158" s="3" t="str">
        <x:v>Construction and other remainder</x:v>
      </x:c>
      <x:c r="E158" s="3" t="str">
        <x:v>Reconcile the combined baseline with manufacturing, mining and construction/other; retain unallocated demand explicitly.</x:v>
      </x:c>
    </x:row>
    <x:row r="159" ht="42" customHeight="1">
      <x:c r="A159" s="3" t="str">
        <x:v>N155</x:v>
      </x:c>
      <x:c r="B159" s="3" t="str">
        <x:v>Mining</x:v>
      </x:c>
      <x:c r="C159" s="3" t="str">
        <x:v>E24</x:v>
      </x:c>
      <x:c r="D159" s="3" t="str">
        <x:v>H/M/L brackets and reference case</x:v>
      </x:c>
      <x:c r="E159" s="3" t="str">
        <x:v>Agree mining activity, intensity and electrification separately. Higher remaining-diesel fraction raises fuel demand.</x:v>
      </x:c>
    </x:row>
    <x:row r="160" ht="42" customHeight="1">
      <x:c r="A160" s="3" t="str">
        <x:v>N156</x:v>
      </x:c>
      <x:c r="B160" s="3" t="str">
        <x:v>Mining</x:v>
      </x:c>
      <x:c r="C160" s="3" t="str">
        <x:v>E26</x:v>
      </x:c>
      <x:c r="D160" s="3" t="str">
        <x:v>Input source</x:v>
      </x:c>
      <x:c r="E160" s="3" t="str">
        <x:v>https://github.com/Africa-International-Advisors/liquid_fuels_model/blob/8c69f8333192483f19cd80911cb90fcd0943eb6b/assumptions/2026/industrial.yaml</x:v>
      </x:c>
    </x:row>
    <x:row r="161" ht="42" customHeight="1">
      <x:c r="A161" s="3" t="str">
        <x:v>N157</x:v>
      </x:c>
      <x:c r="B161" s="3" t="str">
        <x:v>Mining</x:v>
      </x:c>
      <x:c r="C161" s="3" t="str">
        <x:v>E29</x:v>
      </x:c>
      <x:c r="D161" s="3" t="str">
        <x:v>Mining production volume</x:v>
      </x:c>
      <x:c r="E161" s="3" t="str">
        <x:v>Arithmetic mean of all 12 monthly production indices; 2026 Jan-Jul mean shown separately. Latest value in D: 2026-01 to 2026-07, 7 months; mean; not annualised.</x:v>
      </x:c>
    </x:row>
    <x:row r="162" ht="42" customHeight="1">
      <x:c r="A162" s="3" t="str">
        <x:v>N158</x:v>
      </x:c>
      <x:c r="B162" s="3" t="str">
        <x:v>Mining</x:v>
      </x:c>
      <x:c r="C162" s="3" t="str">
        <x:v>T29</x:v>
      </x:c>
      <x:c r="D162" s="3" t="str">
        <x:v>Mining production volume</x:v>
      </x:c>
      <x:c r="E162" s="3" t="str">
        <x:v>Unreviewed source extract; annual cells contain complete periods only.</x:v>
      </x:c>
    </x:row>
    <x:row r="163" ht="42" customHeight="1">
      <x:c r="A163" s="3" t="str">
        <x:v>N159</x:v>
      </x:c>
      <x:c r="B163" s="3" t="str">
        <x:v>Mining</x:v>
      </x:c>
      <x:c r="C163" s="3" t="str">
        <x:v>U29</x:v>
      </x:c>
      <x:c r="D163" s="3" t="str">
        <x:v>Mining production volume</x:v>
      </x:c>
      <x:c r="E163" s="3" t="str">
        <x:v>Evidence row 31; pptx/story/evidence_2026_10_06/activity_statssa_monthly.csv</x:v>
      </x:c>
    </x:row>
    <x:row r="164" ht="42" customHeight="1">
      <x:c r="A164" s="3" t="str">
        <x:v>N160</x:v>
      </x:c>
      <x:c r="B164" s="3" t="str">
        <x:v>Mining</x:v>
      </x:c>
      <x:c r="C164" s="3" t="str">
        <x:v>V29</x:v>
      </x:c>
      <x:c r="D164" s="3" t="str">
        <x:v>Mining production volume</x:v>
      </x:c>
      <x:c r="E164" s="3" t="str">
        <x:v>G07: test commodity output versus material moved/haul work as diesel driver.</x:v>
      </x:c>
    </x:row>
    <x:row r="165" ht="42" customHeight="1">
      <x:c r="A165" s="3" t="str">
        <x:v>N161</x:v>
      </x:c>
      <x:c r="B165" s="3" t="str">
        <x:v>Mining</x:v>
      </x:c>
      <x:c r="C165" s="3" t="str">
        <x:v>E30</x:v>
      </x:c>
      <x:c r="D165" s="3" t="str">
        <x:v>Mining/quarrying real GVA</x:v>
      </x:c>
      <x:c r="E165" s="3" t="str">
        <x:v>Stats SA annual actual in staged reporting copy. Sector value added is an activity proxy, not measured fuel use.</x:v>
      </x:c>
    </x:row>
    <x:row r="166" ht="42" customHeight="1">
      <x:c r="A166" s="3" t="str">
        <x:v>N162</x:v>
      </x:c>
      <x:c r="B166" s="3" t="str">
        <x:v>Mining</x:v>
      </x:c>
      <x:c r="C166" s="3" t="str">
        <x:v>T30</x:v>
      </x:c>
      <x:c r="D166" s="3" t="str">
        <x:v>Mining/quarrying real GVA</x:v>
      </x:c>
      <x:c r="E166" s="3" t="str">
        <x:v>Unreviewed source extract; annual cells contain complete periods only.</x:v>
      </x:c>
    </x:row>
    <x:row r="167" ht="42" customHeight="1">
      <x:c r="A167" s="3" t="str">
        <x:v>N163</x:v>
      </x:c>
      <x:c r="B167" s="3" t="str">
        <x:v>Mining</x:v>
      </x:c>
      <x:c r="C167" s="3" t="str">
        <x:v>U30</x:v>
      </x:c>
      <x:c r="D167" s="3" t="str">
        <x:v>Mining/quarrying real GVA</x:v>
      </x:c>
      <x:c r="E167" s="3" t="str">
        <x:v>Evidence row 28; pptx/story/evidence_2026_10_06/macro_statssa.csv</x:v>
      </x:c>
    </x:row>
    <x:row r="168" ht="42" customHeight="1">
      <x:c r="A168" s="3" t="str">
        <x:v>N164</x:v>
      </x:c>
      <x:c r="B168" s="3" t="str">
        <x:v>Mining</x:v>
      </x:c>
      <x:c r="C168" s="3" t="str">
        <x:v>V30</x:v>
      </x:c>
      <x:c r="D168" s="3" t="str">
        <x:v>Mining/quarrying real GVA</x:v>
      </x:c>
      <x:c r="E168" s="3" t="str">
        <x:v>G07: alternative activity proxy; do not multiply both indices without calibration.</x:v>
      </x:c>
    </x:row>
    <x:row r="169" ht="42" customHeight="1">
      <x:c r="A169" s="3" t="str">
        <x:v>N165</x:v>
      </x:c>
      <x:c r="B169" s="3" t="str">
        <x:v>Mining</x:v>
      </x:c>
      <x:c r="C169" s="3" t="str">
        <x:v>U31</x:v>
      </x:c>
      <x:c r="D169" s="3" t="str">
        <x:v>2021 mining/quarrying diesel</x:v>
      </x:c>
      <x:c r="E169" s="3" t="str">
        <x:v>https://github.com/Africa-International-Advisors/liquid_fuels_model/blob/8c69f8333192483f19cd80911cb90fcd0943eb6b/assumptions/2026/timeseries/energy_balance_department.csv</x:v>
      </x:c>
    </x:row>
    <x:row r="170" ht="42" customHeight="1">
      <x:c r="A170" s="3" t="str">
        <x:v>N166</x:v>
      </x:c>
      <x:c r="B170" s="3" t="str">
        <x:v>Mining</x:v>
      </x:c>
      <x:c r="C170" s="3" t="str">
        <x:v>V31</x:v>
      </x:c>
      <x:c r="D170" s="3" t="str">
        <x:v>2021 mining/quarrying diesel</x:v>
      </x:c>
      <x:c r="E170" s="3" t="str">
        <x:v>G07: verify machinery/haulage/backup boundaries and newer fuel use.</x:v>
      </x:c>
    </x:row>
    <x:row r="171" ht="42" customHeight="1">
      <x:c r="A171" s="3" t="str">
        <x:v>N167</x:v>
      </x:c>
      <x:c r="B171" s="3" t="str">
        <x:v>Other demand</x:v>
      </x:c>
      <x:c r="C171" s="3" t="str">
        <x:v>E6</x:v>
      </x:c>
      <x:c r="D171" s="3" t="str">
        <x:v>Eskom OCGT generation</x:v>
      </x:c>
      <x:c r="E171" s="3" t="str">
        <x:v>Full financial year ending 31 March in the column year. Not calendar-year generation; fuel-burn bridge still required.</x:v>
      </x:c>
    </x:row>
    <x:row r="172" ht="42" customHeight="1">
      <x:c r="A172" s="3" t="str">
        <x:v>N168</x:v>
      </x:c>
      <x:c r="B172" s="3" t="str">
        <x:v>Other demand</x:v>
      </x:c>
      <x:c r="C172" s="3" t="str">
        <x:v>T6</x:v>
      </x:c>
      <x:c r="D172" s="3" t="str">
        <x:v>Eskom OCGT generation</x:v>
      </x:c>
      <x:c r="E172" s="3" t="str">
        <x:v>Unreviewed source extract; annual cells contain complete periods only.</x:v>
      </x:c>
    </x:row>
    <x:row r="173" ht="42" customHeight="1">
      <x:c r="A173" s="3" t="str">
        <x:v>N169</x:v>
      </x:c>
      <x:c r="B173" s="3" t="str">
        <x:v>Other demand</x:v>
      </x:c>
      <x:c r="C173" s="3" t="str">
        <x:v>U6</x:v>
      </x:c>
      <x:c r="D173" s="3" t="str">
        <x:v>Eskom OCGT generation</x:v>
      </x:c>
      <x:c r="E173" s="3" t="str">
        <x:v>Evidence row 34; assumptions/2026/timeseries/ocgt_generation_eskom.csv</x:v>
      </x:c>
    </x:row>
    <x:row r="174" ht="42" customHeight="1">
      <x:c r="A174" s="3" t="str">
        <x:v>N170</x:v>
      </x:c>
      <x:c r="B174" s="3" t="str">
        <x:v>Other demand</x:v>
      </x:c>
      <x:c r="C174" s="3" t="str">
        <x:v>V6</x:v>
      </x:c>
      <x:c r="D174" s="3" t="str">
        <x:v>Eskom OCGT generation</x:v>
      </x:c>
      <x:c r="E174" s="3" t="str">
        <x:v>G09: source matched litres and convert FY evidence to calendar-year basis.</x:v>
      </x:c>
    </x:row>
    <x:row r="175" ht="42" customHeight="1">
      <x:c r="A175" s="3" t="str">
        <x:v>N171</x:v>
      </x:c>
      <x:c r="B175" s="3" t="str">
        <x:v>Other demand</x:v>
      </x:c>
      <x:c r="C175" s="3" t="str">
        <x:v>E7</x:v>
      </x:c>
      <x:c r="D175" s="3" t="str">
        <x:v>IPP OCGT generation</x:v>
      </x:c>
      <x:c r="E175" s="3" t="str">
        <x:v>Full financial year ending 31 March in the column year. Not calendar-year generation; fuel-burn bridge still required.</x:v>
      </x:c>
    </x:row>
    <x:row r="176" ht="42" customHeight="1">
      <x:c r="A176" s="3" t="str">
        <x:v>N172</x:v>
      </x:c>
      <x:c r="B176" s="3" t="str">
        <x:v>Other demand</x:v>
      </x:c>
      <x:c r="C176" s="3" t="str">
        <x:v>T7</x:v>
      </x:c>
      <x:c r="D176" s="3" t="str">
        <x:v>IPP OCGT generation</x:v>
      </x:c>
      <x:c r="E176" s="3" t="str">
        <x:v>Unreviewed source extract; annual cells contain complete periods only.</x:v>
      </x:c>
    </x:row>
    <x:row r="177" ht="42" customHeight="1">
      <x:c r="A177" s="3" t="str">
        <x:v>N173</x:v>
      </x:c>
      <x:c r="B177" s="3" t="str">
        <x:v>Other demand</x:v>
      </x:c>
      <x:c r="C177" s="3" t="str">
        <x:v>U7</x:v>
      </x:c>
      <x:c r="D177" s="3" t="str">
        <x:v>IPP OCGT generation</x:v>
      </x:c>
      <x:c r="E177" s="3" t="str">
        <x:v>Evidence row 35; assumptions/2026/timeseries/ocgt_generation_eskom.csv</x:v>
      </x:c>
    </x:row>
    <x:row r="178" ht="42" customHeight="1">
      <x:c r="A178" s="3" t="str">
        <x:v>N174</x:v>
      </x:c>
      <x:c r="B178" s="3" t="str">
        <x:v>Other demand</x:v>
      </x:c>
      <x:c r="C178" s="3" t="str">
        <x:v>E8</x:v>
      </x:c>
      <x:c r="D178" s="3" t="str">
        <x:v>Combined OCGT generation</x:v>
      </x:c>
      <x:c r="E178" s="3" t="str">
        <x:v>Full financial year ending 31 March in the column year. Not calendar-year generation; fuel-burn bridge still required.</x:v>
      </x:c>
    </x:row>
    <x:row r="179" ht="42" customHeight="1">
      <x:c r="A179" s="3" t="str">
        <x:v>N175</x:v>
      </x:c>
      <x:c r="B179" s="3" t="str">
        <x:v>Other demand</x:v>
      </x:c>
      <x:c r="C179" s="3" t="str">
        <x:v>T8</x:v>
      </x:c>
      <x:c r="D179" s="3" t="str">
        <x:v>Combined OCGT generation</x:v>
      </x:c>
      <x:c r="E179" s="3" t="str">
        <x:v>Unreviewed source extract; annual cells contain complete periods only.</x:v>
      </x:c>
    </x:row>
    <x:row r="180" ht="42" customHeight="1">
      <x:c r="A180" s="3" t="str">
        <x:v>N176</x:v>
      </x:c>
      <x:c r="B180" s="3" t="str">
        <x:v>Other demand</x:v>
      </x:c>
      <x:c r="C180" s="3" t="str">
        <x:v>U8</x:v>
      </x:c>
      <x:c r="D180" s="3" t="str">
        <x:v>Combined OCGT generation</x:v>
      </x:c>
      <x:c r="E180" s="3" t="str">
        <x:v>Evidence row 36; assumptions/2026/timeseries/ocgt_generation_eskom.csv</x:v>
      </x:c>
    </x:row>
    <x:row r="181" ht="42" customHeight="1">
      <x:c r="A181" s="3" t="str">
        <x:v>N177</x:v>
      </x:c>
      <x:c r="B181" s="3" t="str">
        <x:v>Other demand</x:v>
      </x:c>
      <x:c r="C181" s="3" t="str">
        <x:v>U9</x:v>
      </x:c>
      <x:c r="D181" s="3" t="str">
        <x:v>Current engine load factor</x:v>
      </x:c>
      <x:c r="E181" s="3" t="str">
        <x:v>https://github.com/Africa-International-Advisors/liquid_fuels_model/blob/8c69f8333192483f19cd80911cb90fcd0943eb6b/assumptions/2026/generation.yaml</x:v>
      </x:c>
    </x:row>
    <x:row r="182" ht="42" customHeight="1">
      <x:c r="A182" s="3" t="str">
        <x:v>N178</x:v>
      </x:c>
      <x:c r="B182" s="3" t="str">
        <x:v>Other demand</x:v>
      </x:c>
      <x:c r="C182" s="3" t="str">
        <x:v>U10</x:v>
      </x:c>
      <x:c r="D182" s="3" t="str">
        <x:v>Current thermal efficiency</x:v>
      </x:c>
      <x:c r="E182" s="3" t="str">
        <x:v>https://github.com/Africa-International-Advisors/liquid_fuels_model/blob/8c69f8333192483f19cd80911cb90fcd0943eb6b/assumptions/2026/generation.yaml</x:v>
      </x:c>
    </x:row>
    <x:row r="183" ht="42" customHeight="1">
      <x:c r="A183" s="3" t="str">
        <x:v>N179</x:v>
      </x:c>
      <x:c r="B183" s="3" t="str">
        <x:v>Other demand</x:v>
      </x:c>
      <x:c r="C183" s="3" t="str">
        <x:v>U11</x:v>
      </x:c>
      <x:c r="D183" s="3" t="str">
        <x:v>Diesel energy content</x:v>
      </x:c>
      <x:c r="E183" s="3" t="str">
        <x:v>https://github.com/Africa-International-Advisors/liquid_fuels_model/blob/8c69f8333192483f19cd80911cb90fcd0943eb6b/assumptions/2026/generation.yaml</x:v>
      </x:c>
    </x:row>
    <x:row r="184" ht="42" customHeight="1">
      <x:c r="A184" s="3" t="str">
        <x:v>N180</x:v>
      </x:c>
      <x:c r="B184" s="3" t="str">
        <x:v>Other demand</x:v>
      </x:c>
      <x:c r="C184" s="3" t="str">
        <x:v>E12</x:v>
      </x:c>
      <x:c r="D184" s="3" t="str">
        <x:v>Current OCGT diesel demand</x:v>
      </x:c>
      <x:c r="E184" s="3" t="str">
        <x:v>Calendar-year model output; do not directly tie to FY generation without a bridge.</x:v>
      </x:c>
    </x:row>
    <x:row r="185" ht="42" customHeight="1">
      <x:c r="A185" s="3" t="str">
        <x:v>N181</x:v>
      </x:c>
      <x:c r="B185" s="3" t="str">
        <x:v>Other demand</x:v>
      </x:c>
      <x:c r="C185" s="3" t="str">
        <x:v>U12</x:v>
      </x:c>
      <x:c r="D185" s="3" t="str">
        <x:v>Current OCGT diesel demand</x:v>
      </x:c>
      <x:c r="E185" s="3" t="str">
        <x:v>https://github.com/Africa-International-Advisors/liquid_fuels_model/blob/8c69f8333192483f19cd80911cb90fcd0943eb6b/src/lfm/model/demand/generation.py</x:v>
      </x:c>
    </x:row>
    <x:row r="186" ht="42" customHeight="1">
      <x:c r="A186" s="3" t="str">
        <x:v>N182</x:v>
      </x:c>
      <x:c r="B186" s="3" t="str">
        <x:v>Other demand</x:v>
      </x:c>
      <x:c r="C186" s="3" t="str">
        <x:v>E13</x:v>
      </x:c>
      <x:c r="D186" s="3" t="str">
        <x:v>Private backup diesel baseline</x:v>
      </x:c>
      <x:c r="E186" s="3" t="str">
        <x:v>No separate observed litres established. Some may already be in sector fuel records.</x:v>
      </x:c>
    </x:row>
    <x:row r="187" ht="42" customHeight="1">
      <x:c r="A187" s="3" t="str">
        <x:v>N183</x:v>
      </x:c>
      <x:c r="B187" s="3" t="str">
        <x:v>Other demand</x:v>
      </x:c>
      <x:c r="C187" s="3" t="str">
        <x:v>E17</x:v>
      </x:c>
      <x:c r="D187" s="3" t="str">
        <x:v>ACSA aircraft departures</x:v>
      </x:c>
      <x:c r="E187" s="3" t="str">
        <x:v>ACSA departures only; sums monthly total-flight rows without double counting flight categories. 2026 is Jan-Aug, not annualised. Latest value in D: 2026-01 to 2026-08, 8 months; sum; not annualised.</x:v>
      </x:c>
    </x:row>
    <x:row r="188" ht="42" customHeight="1">
      <x:c r="A188" s="3" t="str">
        <x:v>N184</x:v>
      </x:c>
      <x:c r="B188" s="3" t="str">
        <x:v>Other demand</x:v>
      </x:c>
      <x:c r="C188" s="3" t="str">
        <x:v>T17</x:v>
      </x:c>
      <x:c r="D188" s="3" t="str">
        <x:v>ACSA aircraft departures</x:v>
      </x:c>
      <x:c r="E188" s="3" t="str">
        <x:v>Unreviewed source extract; annual cells contain complete periods only.</x:v>
      </x:c>
    </x:row>
    <x:row r="189" ht="42" customHeight="1">
      <x:c r="A189" s="3" t="str">
        <x:v>N185</x:v>
      </x:c>
      <x:c r="B189" s="3" t="str">
        <x:v>Other demand</x:v>
      </x:c>
      <x:c r="C189" s="3" t="str">
        <x:v>U17</x:v>
      </x:c>
      <x:c r="D189" s="3" t="str">
        <x:v>ACSA aircraft departures</x:v>
      </x:c>
      <x:c r="E189" s="3" t="str">
        <x:v>Evidence row 38; assumptions/2026/timeseries/air_traffic_acsa.csv</x:v>
      </x:c>
    </x:row>
    <x:row r="190" ht="42" customHeight="1">
      <x:c r="A190" s="3" t="str">
        <x:v>N186</x:v>
      </x:c>
      <x:c r="B190" s="3" t="str">
        <x:v>Other demand</x:v>
      </x:c>
      <x:c r="C190" s="3" t="str">
        <x:v>V17</x:v>
      </x:c>
      <x:c r="D190" s="3" t="str">
        <x:v>ACSA aircraft departures</x:v>
      </x:c>
      <x:c r="E190" s="3" t="str">
        <x:v>G10: fit movements to jet uplift, aircraft/route mix and non-ACSA coverage.</x:v>
      </x:c>
    </x:row>
    <x:row r="191" ht="42" customHeight="1">
      <x:c r="A191" s="3" t="str">
        <x:v>N187</x:v>
      </x:c>
      <x:c r="B191" s="3" t="str">
        <x:v>Other demand</x:v>
      </x:c>
      <x:c r="C191" s="3" t="str">
        <x:v>E18</x:v>
      </x:c>
      <x:c r="D191" s="3" t="str">
        <x:v>ACSA passenger departures</x:v>
      </x:c>
      <x:c r="E191" s="3" t="str">
        <x:v>ACSA departures only; sums monthly total-flight rows without double counting flight categories. 2026 is Jan-Aug, not annualised. Latest value in D: 2026-01 to 2026-08, 8 months; sum; not annualised.</x:v>
      </x:c>
    </x:row>
    <x:row r="192" ht="42" customHeight="1">
      <x:c r="A192" s="3" t="str">
        <x:v>N188</x:v>
      </x:c>
      <x:c r="B192" s="3" t="str">
        <x:v>Other demand</x:v>
      </x:c>
      <x:c r="C192" s="3" t="str">
        <x:v>T18</x:v>
      </x:c>
      <x:c r="D192" s="3" t="str">
        <x:v>ACSA passenger departures</x:v>
      </x:c>
      <x:c r="E192" s="3" t="str">
        <x:v>Unreviewed source extract; annual cells contain complete periods only.</x:v>
      </x:c>
    </x:row>
    <x:row r="193" ht="42" customHeight="1">
      <x:c r="A193" s="3" t="str">
        <x:v>N189</x:v>
      </x:c>
      <x:c r="B193" s="3" t="str">
        <x:v>Other demand</x:v>
      </x:c>
      <x:c r="C193" s="3" t="str">
        <x:v>U18</x:v>
      </x:c>
      <x:c r="D193" s="3" t="str">
        <x:v>ACSA passenger departures</x:v>
      </x:c>
      <x:c r="E193" s="3" t="str">
        <x:v>Evidence row 37; assumptions/2026/timeseries/air_traffic_acsa.csv</x:v>
      </x:c>
    </x:row>
    <x:row r="194" ht="42" customHeight="1">
      <x:c r="A194" s="3" t="str">
        <x:v>N190</x:v>
      </x:c>
      <x:c r="B194" s="3" t="str">
        <x:v>Other demand</x:v>
      </x:c>
      <x:c r="C194" s="3" t="str">
        <x:v>U19</x:v>
      </x:c>
      <x:c r="D194" s="3" t="str">
        <x:v>Current engine passenger departures</x:v>
      </x:c>
      <x:c r="E194" s="3" t="str">
        <x:v>https://github.com/Africa-International-Advisors/liquid_fuels_model/blob/8c69f8333192483f19cd80911cb90fcd0943eb6b/assumptions/2026/aviation.yaml</x:v>
      </x:c>
    </x:row>
    <x:row r="195" ht="42" customHeight="1">
      <x:c r="A195" s="3" t="str">
        <x:v>N191</x:v>
      </x:c>
      <x:c r="B195" s="3" t="str">
        <x:v>Other demand</x:v>
      </x:c>
      <x:c r="C195" s="3" t="str">
        <x:v>V19</x:v>
      </x:c>
      <x:c r="D195" s="3" t="str">
        <x:v>Current engine passenger departures</x:v>
      </x:c>
      <x:c r="E195" s="3" t="str">
        <x:v>Fit proposed movement-based model before replacing passenger relationship.</x:v>
      </x:c>
    </x:row>
    <x:row r="196" ht="42" customHeight="1">
      <x:c r="A196" s="3" t="str">
        <x:v>N192</x:v>
      </x:c>
      <x:c r="B196" s="3" t="str">
        <x:v>Other demand</x:v>
      </x:c>
      <x:c r="C196" s="3" t="str">
        <x:v>U20</x:v>
      </x:c>
      <x:c r="D196" s="3" t="str">
        <x:v>Current jet demand</x:v>
      </x:c>
      <x:c r="E196" s="3" t="str">
        <x:v>https://github.com/Africa-International-Advisors/liquid_fuels_model/blob/8c69f8333192483f19cd80911cb90fcd0943eb6b/src/lfm/model/demand/aviation.py</x:v>
      </x:c>
    </x:row>
    <x:row r="197" ht="42" customHeight="1">
      <x:c r="A197" s="3" t="str">
        <x:v>N193</x:v>
      </x:c>
      <x:c r="B197" s="3" t="str">
        <x:v>Other demand</x:v>
      </x:c>
      <x:c r="C197" s="3" t="str">
        <x:v>E21</x:v>
      </x:c>
      <x:c r="D197" s="3" t="str">
        <x:v>Reported jet sales - FIASA</x:v>
      </x:c>
      <x:c r="E197" s="3" t="str">
        <x:v>FIASA staged reported sales; latest edition selected by existing extract. 2024 revisions unresolved; not verified consumption.</x:v>
      </x:c>
    </x:row>
    <x:row r="198" ht="42" customHeight="1">
      <x:c r="A198" s="3" t="str">
        <x:v>N194</x:v>
      </x:c>
      <x:c r="B198" s="3" t="str">
        <x:v>Other demand</x:v>
      </x:c>
      <x:c r="C198" s="3" t="str">
        <x:v>T21</x:v>
      </x:c>
      <x:c r="D198" s="3" t="str">
        <x:v>Reported jet sales - FIASA</x:v>
      </x:c>
      <x:c r="E198" s="3" t="str">
        <x:v>Unreviewed source extract; annual cells contain complete periods only.</x:v>
      </x:c>
    </x:row>
    <x:row r="199" ht="42" customHeight="1">
      <x:c r="A199" s="3" t="str">
        <x:v>N195</x:v>
      </x:c>
      <x:c r="B199" s="3" t="str">
        <x:v>Other demand</x:v>
      </x:c>
      <x:c r="C199" s="3" t="str">
        <x:v>V21</x:v>
      </x:c>
      <x:c r="D199" s="3" t="str">
        <x:v>Reported jet sales - FIASA</x:v>
      </x:c>
      <x:c r="E199" s="3" t="str">
        <x:v>G10: match fuel product, airport/airline and international coverage.</x:v>
      </x:c>
    </x:row>
    <x:row r="200" ht="42" customHeight="1">
      <x:c r="A200" s="3" t="str">
        <x:v>N196</x:v>
      </x:c>
      <x:c r="B200" s="3" t="str">
        <x:v>Other demand</x:v>
      </x:c>
      <x:c r="C200" s="3" t="str">
        <x:v>E22</x:v>
      </x:c>
      <x:c r="D200" s="3" t="str">
        <x:v>Legacy jet regression intercept</x:v>
      </x:c>
      <x:c r="E200" s="3" t="str">
        <x:v>Jet = intercept + GDP/capita coefficient × GDP/capita + passenger coefficient × departures.</x:v>
      </x:c>
    </x:row>
    <x:row r="201" ht="42" customHeight="1">
      <x:c r="A201" s="3" t="str">
        <x:v>N197</x:v>
      </x:c>
      <x:c r="B201" s="3" t="str">
        <x:v>Other demand</x:v>
      </x:c>
      <x:c r="C201" s="3" t="str">
        <x:v>U22</x:v>
      </x:c>
      <x:c r="D201" s="3" t="str">
        <x:v>Legacy jet regression intercept</x:v>
      </x:c>
      <x:c r="E201" s="3" t="str">
        <x:v>https://github.com/Africa-International-Advisors/liquid_fuels_model/blob/8c69f8333192483f19cd80911cb90fcd0943eb6b/assumptions/2026/aviation.yaml</x:v>
      </x:c>
    </x:row>
    <x:row r="202" ht="42" customHeight="1">
      <x:c r="A202" s="3" t="str">
        <x:v>N198</x:v>
      </x:c>
      <x:c r="B202" s="3" t="str">
        <x:v>Other demand</x:v>
      </x:c>
      <x:c r="C202" s="3" t="str">
        <x:v>U23</x:v>
      </x:c>
      <x:c r="D202" s="3" t="str">
        <x:v>GDP/capita coefficient</x:v>
      </x:c>
      <x:c r="E202" s="3" t="str">
        <x:v>https://github.com/Africa-International-Advisors/liquid_fuels_model/blob/8c69f8333192483f19cd80911cb90fcd0943eb6b/assumptions/2026/aviation.yaml</x:v>
      </x:c>
    </x:row>
    <x:row r="203" ht="42" customHeight="1">
      <x:c r="A203" s="3" t="str">
        <x:v>N199</x:v>
      </x:c>
      <x:c r="B203" s="3" t="str">
        <x:v>Other demand</x:v>
      </x:c>
      <x:c r="C203" s="3" t="str">
        <x:v>U24</x:v>
      </x:c>
      <x:c r="D203" s="3" t="str">
        <x:v>Passenger coefficient</x:v>
      </x:c>
      <x:c r="E203" s="3" t="str">
        <x:v>https://github.com/Africa-International-Advisors/liquid_fuels_model/blob/8c69f8333192483f19cd80911cb90fcd0943eb6b/assumptions/2026/aviation.yaml</x:v>
      </x:c>
    </x:row>
    <x:row r="204" ht="42" customHeight="1">
      <x:c r="A204" s="3" t="str">
        <x:v>N200</x:v>
      </x:c>
      <x:c r="B204" s="3" t="str">
        <x:v>Other demand</x:v>
      </x:c>
      <x:c r="C204" s="3" t="str">
        <x:v>U28</x:v>
      </x:c>
      <x:c r="D204" s="3" t="str">
        <x:v>durban provisional port baseline</x:v>
      </x:c>
      <x:c r="E204" s="3" t="str">
        <x:v>https://github.com/Africa-International-Advisors/liquid_fuels_model/blob/8c69f8333192483f19cd80911cb90fcd0943eb6b/assumptions/2026/marine.yaml</x:v>
      </x:c>
    </x:row>
    <x:row r="205" ht="42" customHeight="1">
      <x:c r="A205" s="3" t="str">
        <x:v>N201</x:v>
      </x:c>
      <x:c r="B205" s="3" t="str">
        <x:v>Other demand</x:v>
      </x:c>
      <x:c r="C205" s="3" t="str">
        <x:v>U29</x:v>
      </x:c>
      <x:c r="D205" s="3" t="str">
        <x:v>cape_town provisional port baseline</x:v>
      </x:c>
      <x:c r="E205" s="3" t="str">
        <x:v>https://github.com/Africa-International-Advisors/liquid_fuels_model/blob/8c69f8333192483f19cd80911cb90fcd0943eb6b/assumptions/2026/marine.yaml</x:v>
      </x:c>
    </x:row>
    <x:row r="206" ht="42" customHeight="1">
      <x:c r="A206" s="3" t="str">
        <x:v>N202</x:v>
      </x:c>
      <x:c r="B206" s="3" t="str">
        <x:v>Other demand</x:v>
      </x:c>
      <x:c r="C206" s="3" t="str">
        <x:v>U30</x:v>
      </x:c>
      <x:c r="D206" s="3" t="str">
        <x:v>saldanha provisional port baseline</x:v>
      </x:c>
      <x:c r="E206" s="3" t="str">
        <x:v>https://github.com/Africa-International-Advisors/liquid_fuels_model/blob/8c69f8333192483f19cd80911cb90fcd0943eb6b/assumptions/2026/marine.yaml</x:v>
      </x:c>
    </x:row>
    <x:row r="207" ht="42" customHeight="1">
      <x:c r="A207" s="3" t="str">
        <x:v>N203</x:v>
      </x:c>
      <x:c r="B207" s="3" t="str">
        <x:v>Other demand</x:v>
      </x:c>
      <x:c r="C207" s="3" t="str">
        <x:v>U31</x:v>
      </x:c>
      <x:c r="D207" s="3" t="str">
        <x:v>Marine GDP/capita elasticity</x:v>
      </x:c>
      <x:c r="E207" s="3" t="str">
        <x:v>https://github.com/Africa-International-Advisors/liquid_fuels_model/blob/8c69f8333192483f19cd80911cb90fcd0943eb6b/assumptions/2026/marine.yaml</x:v>
      </x:c>
    </x:row>
    <x:row r="208" ht="42" customHeight="1">
      <x:c r="A208" s="3" t="str">
        <x:v>N204</x:v>
      </x:c>
      <x:c r="B208" s="3" t="str">
        <x:v>Other demand</x:v>
      </x:c>
      <x:c r="C208" s="3" t="str">
        <x:v>U32</x:v>
      </x:c>
      <x:c r="D208" s="3" t="str">
        <x:v>Marine fuel-oil share</x:v>
      </x:c>
      <x:c r="E208" s="3" t="str">
        <x:v>https://github.com/Africa-International-Advisors/liquid_fuels_model/blob/8c69f8333192483f19cd80911cb90fcd0943eb6b/assumptions/2026/marine.yaml</x:v>
      </x:c>
    </x:row>
    <x:row r="209" ht="42" customHeight="1">
      <x:c r="A209" s="3" t="str">
        <x:v>N205</x:v>
      </x:c>
      <x:c r="B209" s="3" t="str">
        <x:v>Other demand</x:v>
      </x:c>
      <x:c r="C209" s="3" t="str">
        <x:v>U33</x:v>
      </x:c>
      <x:c r="D209" s="3" t="str">
        <x:v>Marine diesel share</x:v>
      </x:c>
      <x:c r="E209" s="3" t="str">
        <x:v>https://github.com/Africa-International-Advisors/liquid_fuels_model/blob/8c69f8333192483f19cd80911cb90fcd0943eb6b/assumptions/2026/marine.yaml</x:v>
      </x:c>
    </x:row>
    <x:row r="210" ht="42" customHeight="1">
      <x:c r="A210" s="3" t="str">
        <x:v>N206</x:v>
      </x:c>
      <x:c r="B210" s="3" t="str">
        <x:v>Other demand</x:v>
      </x:c>
      <x:c r="C210" s="3" t="str">
        <x:v>U34</x:v>
      </x:c>
      <x:c r="D210" s="3" t="str">
        <x:v>Marine diesel demand</x:v>
      </x:c>
      <x:c r="E210" s="3" t="str">
        <x:v>https://github.com/Africa-International-Advisors/liquid_fuels_model/blob/8c69f8333192483f19cd80911cb90fcd0943eb6b/src/lfm/model/demand/marine.py</x:v>
      </x:c>
    </x:row>
    <x:row r="211" ht="42" customHeight="1">
      <x:c r="A211" s="3" t="str">
        <x:v>N207</x:v>
      </x:c>
      <x:c r="B211" s="3" t="str">
        <x:v>Other demand</x:v>
      </x:c>
      <x:c r="C211" s="3" t="str">
        <x:v>U35</x:v>
      </x:c>
      <x:c r="D211" s="3" t="str">
        <x:v>Marine fuel-oil demand</x:v>
      </x:c>
      <x:c r="E211" s="3" t="str">
        <x:v>https://github.com/Africa-International-Advisors/liquid_fuels_model/blob/8c69f8333192483f19cd80911cb90fcd0943eb6b/src/lfm/model/demand/marine.py</x:v>
      </x:c>
    </x:row>
    <x:row r="212" ht="42" customHeight="1">
      <x:c r="A212" s="3" t="str">
        <x:v>N208</x:v>
      </x:c>
      <x:c r="B212" s="3" t="str">
        <x:v>Evidence</x:v>
      </x:c>
      <x:c r="C212" s="3" t="str">
        <x:v>E5</x:v>
      </x:c>
      <x:c r="D212" s="3" t="str">
        <x:v>sales_petrol</x:v>
      </x:c>
      <x:c r="E212" s="3" t="str">
        <x:v>FIASA staged reported sales; latest edition selected by existing extract. 2024 revisions unresolved; not verified consumption.</x:v>
      </x:c>
    </x:row>
    <x:row r="213" ht="42" customHeight="1">
      <x:c r="A213" s="3" t="str">
        <x:v>N209</x:v>
      </x:c>
      <x:c r="B213" s="3" t="str">
        <x:v>Evidence</x:v>
      </x:c>
      <x:c r="C213" s="3" t="str">
        <x:v>E6</x:v>
      </x:c>
      <x:c r="D213" s="3" t="str">
        <x:v>dept_petrol</x:v>
      </x:c>
      <x:c r="E213" s="3" t="str">
        <x:v>Department sales with four reported quarters. Preserve differences from FIASA; no automatic source selection.</x:v>
      </x:c>
    </x:row>
    <x:row r="214" ht="42" customHeight="1">
      <x:c r="A214" s="3" t="str">
        <x:v>N210</x:v>
      </x:c>
      <x:c r="B214" s="3" t="str">
        <x:v>Evidence</x:v>
      </x:c>
      <x:c r="C214" s="3" t="str">
        <x:v>E7</x:v>
      </x:c>
      <x:c r="D214" s="3" t="str">
        <x:v>sales_diesel</x:v>
      </x:c>
      <x:c r="E214" s="3" t="str">
        <x:v>FIASA staged reported sales; latest edition selected by existing extract. 2024 revisions unresolved; not verified consumption.</x:v>
      </x:c>
    </x:row>
    <x:row r="215" ht="42" customHeight="1">
      <x:c r="A215" s="3" t="str">
        <x:v>N211</x:v>
      </x:c>
      <x:c r="B215" s="3" t="str">
        <x:v>Evidence</x:v>
      </x:c>
      <x:c r="C215" s="3" t="str">
        <x:v>E8</x:v>
      </x:c>
      <x:c r="D215" s="3" t="str">
        <x:v>dept_diesel</x:v>
      </x:c>
      <x:c r="E215" s="3" t="str">
        <x:v>Department sales with four reported quarters. Preserve differences from FIASA; no automatic source selection.</x:v>
      </x:c>
    </x:row>
    <x:row r="216" ht="42" customHeight="1">
      <x:c r="A216" s="3" t="str">
        <x:v>N212</x:v>
      </x:c>
      <x:c r="B216" s="3" t="str">
        <x:v>Evidence</x:v>
      </x:c>
      <x:c r="C216" s="3" t="str">
        <x:v>E9</x:v>
      </x:c>
      <x:c r="D216" s="3" t="str">
        <x:v>sales_jet</x:v>
      </x:c>
      <x:c r="E216" s="3" t="str">
        <x:v>FIASA staged reported sales; latest edition selected by existing extract. 2024 revisions unresolved; not verified consumption.</x:v>
      </x:c>
    </x:row>
    <x:row r="217" ht="42" customHeight="1">
      <x:c r="A217" s="3" t="str">
        <x:v>N213</x:v>
      </x:c>
      <x:c r="B217" s="3" t="str">
        <x:v>Evidence</x:v>
      </x:c>
      <x:c r="C217" s="3" t="str">
        <x:v>E10</x:v>
      </x:c>
      <x:c r="D217" s="3" t="str">
        <x:v>dept_jet</x:v>
      </x:c>
      <x:c r="E217" s="3" t="str">
        <x:v>Department sales with four reported quarters. Preserve differences from FIASA; no automatic source selection.</x:v>
      </x:c>
    </x:row>
    <x:row r="218" ht="42" customHeight="1">
      <x:c r="A218" s="3" t="str">
        <x:v>N214</x:v>
      </x:c>
      <x:c r="B218" s="3" t="str">
        <x:v>Evidence</x:v>
      </x:c>
      <x:c r="C218" s="3" t="str">
        <x:v>E11</x:v>
      </x:c>
      <x:c r="D218" s="3" t="str">
        <x:v>sales_fuel_oil</x:v>
      </x:c>
      <x:c r="E218" s="3" t="str">
        <x:v>FIASA staged reported sales; latest edition selected by existing extract. 2024 revisions unresolved; not verified consumption.</x:v>
      </x:c>
    </x:row>
    <x:row r="219" ht="42" customHeight="1">
      <x:c r="A219" s="3" t="str">
        <x:v>N215</x:v>
      </x:c>
      <x:c r="B219" s="3" t="str">
        <x:v>Evidence</x:v>
      </x:c>
      <x:c r="C219" s="3" t="str">
        <x:v>E12</x:v>
      </x:c>
      <x:c r="D219" s="3" t="str">
        <x:v>dept_fuel_oil</x:v>
      </x:c>
      <x:c r="E219" s="3" t="str">
        <x:v>Department sales with four reported quarters. Preserve differences from FIASA; no automatic source selection.</x:v>
      </x:c>
    </x:row>
    <x:row r="220" ht="42" customHeight="1">
      <x:c r="A220" s="3" t="str">
        <x:v>N216</x:v>
      </x:c>
      <x:c r="B220" s="3" t="str">
        <x:v>Evidence</x:v>
      </x:c>
      <x:c r="C220" s="3" t="str">
        <x:v>E13</x:v>
      </x:c>
      <x:c r="D220" s="3" t="str">
        <x:v>sales_vehicles_cars</x:v>
      </x:c>
      <x:c r="E220" s="3" t="str">
        <x:v>NAAMSA actual new sales. Published 2026/27 projections excluded from observed rows.</x:v>
      </x:c>
    </x:row>
    <x:row r="221" ht="42" customHeight="1">
      <x:c r="A221" s="3" t="str">
        <x:v>N217</x:v>
      </x:c>
      <x:c r="B221" s="3" t="str">
        <x:v>Evidence</x:v>
      </x:c>
      <x:c r="C221" s="3" t="str">
        <x:v>E14</x:v>
      </x:c>
      <x:c r="D221" s="3" t="str">
        <x:v>sales_vehicles_light_commercial</x:v>
      </x:c>
      <x:c r="E221" s="3" t="str">
        <x:v>NAAMSA actual new sales. Published 2026/27 projections excluded from observed rows.</x:v>
      </x:c>
    </x:row>
    <x:row r="222" ht="42" customHeight="1">
      <x:c r="A222" s="3" t="str">
        <x:v>N218</x:v>
      </x:c>
      <x:c r="B222" s="3" t="str">
        <x:v>Evidence</x:v>
      </x:c>
      <x:c r="C222" s="3" t="str">
        <x:v>E15</x:v>
      </x:c>
      <x:c r="D222" s="3" t="str">
        <x:v>sales_vehicles_medium_heavy_commercial</x:v>
      </x:c>
      <x:c r="E222" s="3" t="str">
        <x:v>NAAMSA actual new sales. Published 2026/27 projections excluded from observed rows.</x:v>
      </x:c>
    </x:row>
    <x:row r="223" ht="42" customHeight="1">
      <x:c r="A223" s="3" t="str">
        <x:v>N219</x:v>
      </x:c>
      <x:c r="B223" s="3" t="str">
        <x:v>Evidence</x:v>
      </x:c>
      <x:c r="C223" s="3" t="str">
        <x:v>E16</x:v>
      </x:c>
      <x:c r="D223" s="3" t="str">
        <x:v>sales_vehicles_total</x:v>
      </x:c>
      <x:c r="E223" s="3" t="str">
        <x:v>NAAMSA actual new sales. Published 2026/27 projections excluded from observed rows.</x:v>
      </x:c>
    </x:row>
    <x:row r="224" ht="42" customHeight="1">
      <x:c r="A224" s="3" t="str">
        <x:v>N220</x:v>
      </x:c>
      <x:c r="B224" s="3" t="str">
        <x:v>Evidence</x:v>
      </x:c>
      <x:c r="C224" s="3" t="str">
        <x:v>E17</x:v>
      </x:c>
      <x:c r="D224" s="3" t="str">
        <x:v>nev_battery_electric</x:v>
      </x:c>
      <x:c r="E224" s="3" t="str">
        <x:v>All-market drivetrain sales; passenger/truck split is not supplied. Do not assign all to passenger or freight.</x:v>
      </x:c>
    </x:row>
    <x:row r="225" ht="42" customHeight="1">
      <x:c r="A225" s="3" t="str">
        <x:v>N221</x:v>
      </x:c>
      <x:c r="B225" s="3" t="str">
        <x:v>Evidence</x:v>
      </x:c>
      <x:c r="C225" s="3" t="str">
        <x:v>E18</x:v>
      </x:c>
      <x:c r="D225" s="3" t="str">
        <x:v>nev_plug_in_hybrid</x:v>
      </x:c>
      <x:c r="E225" s="3" t="str">
        <x:v>All-market drivetrain sales; passenger/truck split is not supplied. Do not assign all to passenger or freight.</x:v>
      </x:c>
    </x:row>
    <x:row r="226" ht="42" customHeight="1">
      <x:c r="A226" s="3" t="str">
        <x:v>N222</x:v>
      </x:c>
      <x:c r="B226" s="3" t="str">
        <x:v>Evidence</x:v>
      </x:c>
      <x:c r="C226" s="3" t="str">
        <x:v>E19</x:v>
      </x:c>
      <x:c r="D226" s="3" t="str">
        <x:v>nev_traditional_hybrid</x:v>
      </x:c>
      <x:c r="E226" s="3" t="str">
        <x:v>All-market drivetrain sales; passenger/truck split is not supplied. Do not assign all to passenger or freight.</x:v>
      </x:c>
    </x:row>
    <x:row r="227" ht="42" customHeight="1">
      <x:c r="A227" s="3" t="str">
        <x:v>N223</x:v>
      </x:c>
      <x:c r="B227" s="3" t="str">
        <x:v>Evidence</x:v>
      </x:c>
      <x:c r="C227" s="3" t="str">
        <x:v>E20</x:v>
      </x:c>
      <x:c r="D227" s="3" t="str">
        <x:v>stock_cars</x:v>
      </x:c>
      <x:c r="E227" s="3" t="str">
        <x:v>eNaTIS December snapshots; latest June 2026 kept separately. No fuel/drivetrain split. Latest: 2026-06; snapshot.</x:v>
      </x:c>
    </x:row>
    <x:row r="228" ht="42" customHeight="1">
      <x:c r="A228" s="3" t="str">
        <x:v>N224</x:v>
      </x:c>
      <x:c r="B228" s="3" t="str">
        <x:v>Evidence</x:v>
      </x:c>
      <x:c r="C228" s="3" t="str">
        <x:v>E21</x:v>
      </x:c>
      <x:c r="D228" s="3" t="str">
        <x:v>stock_light_commercial</x:v>
      </x:c>
      <x:c r="E228" s="3" t="str">
        <x:v>eNaTIS December snapshots; latest June 2026 kept separately. No fuel/drivetrain split. Latest: 2026-06; snapshot.</x:v>
      </x:c>
    </x:row>
    <x:row r="229" ht="42" customHeight="1">
      <x:c r="A229" s="3" t="str">
        <x:v>N225</x:v>
      </x:c>
      <x:c r="B229" s="3" t="str">
        <x:v>Evidence</x:v>
      </x:c>
      <x:c r="C229" s="3" t="str">
        <x:v>E22</x:v>
      </x:c>
      <x:c r="D229" s="3" t="str">
        <x:v>stock_trucks</x:v>
      </x:c>
      <x:c r="E229" s="3" t="str">
        <x:v>eNaTIS December snapshots; latest June 2026 kept separately. No fuel/drivetrain split. Latest: 2026-06; snapshot.</x:v>
      </x:c>
    </x:row>
    <x:row r="230" ht="42" customHeight="1">
      <x:c r="A230" s="3" t="str">
        <x:v>N226</x:v>
      </x:c>
      <x:c r="B230" s="3" t="str">
        <x:v>Evidence</x:v>
      </x:c>
      <x:c r="C230" s="3" t="str">
        <x:v>E23</x:v>
      </x:c>
      <x:c r="D230" s="3" t="str">
        <x:v>stock_buses</x:v>
      </x:c>
      <x:c r="E230" s="3" t="str">
        <x:v>eNaTIS December snapshots; latest June 2026 kept separately. No fuel/drivetrain split. Latest: 2026-06; snapshot.</x:v>
      </x:c>
    </x:row>
    <x:row r="231" ht="42" customHeight="1">
      <x:c r="A231" s="3" t="str">
        <x:v>N227</x:v>
      </x:c>
      <x:c r="B231" s="3" t="str">
        <x:v>Evidence</x:v>
      </x:c>
      <x:c r="C231" s="3" t="str">
        <x:v>E24</x:v>
      </x:c>
      <x:c r="D231" s="3" t="str">
        <x:v>stock_minibuses</x:v>
      </x:c>
      <x:c r="E231" s="3" t="str">
        <x:v>eNaTIS December snapshots; latest June 2026 kept separately. No fuel/drivetrain split. Latest: 2026-06; snapshot.</x:v>
      </x:c>
    </x:row>
    <x:row r="232" ht="42" customHeight="1">
      <x:c r="A232" s="3" t="str">
        <x:v>N228</x:v>
      </x:c>
      <x:c r="B232" s="3" t="str">
        <x:v>Evidence</x:v>
      </x:c>
      <x:c r="C232" s="3" t="str">
        <x:v>E25</x:v>
      </x:c>
      <x:c r="D232" s="3" t="str">
        <x:v>macro_gdp_per_capita</x:v>
      </x:c>
      <x:c r="E232" s="3" t="str">
        <x:v>Stats SA annual actual in staged reporting copy. Sector value added is an activity proxy, not measured fuel use.</x:v>
      </x:c>
    </x:row>
    <x:row r="233" ht="42" customHeight="1">
      <x:c r="A233" s="3" t="str">
        <x:v>N229</x:v>
      </x:c>
      <x:c r="B233" s="3" t="str">
        <x:v>Evidence</x:v>
      </x:c>
      <x:c r="C233" s="3" t="str">
        <x:v>E26</x:v>
      </x:c>
      <x:c r="D233" s="3" t="str">
        <x:v>macro_agriculture_forestry_and_fishing</x:v>
      </x:c>
      <x:c r="E233" s="3" t="str">
        <x:v>Stats SA annual actual in staged reporting copy. Sector value added is an activity proxy, not measured fuel use.</x:v>
      </x:c>
    </x:row>
    <x:row r="234" ht="42" customHeight="1">
      <x:c r="A234" s="3" t="str">
        <x:v>N230</x:v>
      </x:c>
      <x:c r="B234" s="3" t="str">
        <x:v>Evidence</x:v>
      </x:c>
      <x:c r="C234" s="3" t="str">
        <x:v>E27</x:v>
      </x:c>
      <x:c r="D234" s="3" t="str">
        <x:v>macro_manufacturing</x:v>
      </x:c>
      <x:c r="E234" s="3" t="str">
        <x:v>Stats SA annual actual in staged reporting copy. Sector value added is an activity proxy, not measured fuel use.</x:v>
      </x:c>
    </x:row>
    <x:row r="235" ht="42" customHeight="1">
      <x:c r="A235" s="3" t="str">
        <x:v>N231</x:v>
      </x:c>
      <x:c r="B235" s="3" t="str">
        <x:v>Evidence</x:v>
      </x:c>
      <x:c r="C235" s="3" t="str">
        <x:v>E28</x:v>
      </x:c>
      <x:c r="D235" s="3" t="str">
        <x:v>macro_mining_and_quarrying</x:v>
      </x:c>
      <x:c r="E235" s="3" t="str">
        <x:v>Stats SA annual actual in staged reporting copy. Sector value added is an activity proxy, not measured fuel use.</x:v>
      </x:c>
    </x:row>
    <x:row r="236" ht="42" customHeight="1">
      <x:c r="A236" s="3" t="str">
        <x:v>N232</x:v>
      </x:c>
      <x:c r="B236" s="3" t="str">
        <x:v>Evidence</x:v>
      </x:c>
      <x:c r="C236" s="3" t="str">
        <x:v>E29</x:v>
      </x:c>
      <x:c r="D236" s="3" t="str">
        <x:v>macro_construction</x:v>
      </x:c>
      <x:c r="E236" s="3" t="str">
        <x:v>Stats SA annual actual in staged reporting copy. Sector value added is an activity proxy, not measured fuel use.</x:v>
      </x:c>
    </x:row>
    <x:row r="237" ht="42" customHeight="1">
      <x:c r="A237" s="3" t="str">
        <x:v>N233</x:v>
      </x:c>
      <x:c r="B237" s="3" t="str">
        <x:v>Evidence</x:v>
      </x:c>
      <x:c r="C237" s="3" t="str">
        <x:v>E30</x:v>
      </x:c>
      <x:c r="D237" s="3" t="str">
        <x:v>manufacturing_volume_total</x:v>
      </x:c>
      <x:c r="E237" s="3" t="str">
        <x:v>Arithmetic mean of all 12 monthly production indices; 2026 Jan-Jul mean shown separately. Latest: 2026-01 to 2026-07; 7 months; mean; not annualised.</x:v>
      </x:c>
    </x:row>
    <x:row r="238" ht="42" customHeight="1">
      <x:c r="A238" s="3" t="str">
        <x:v>N234</x:v>
      </x:c>
      <x:c r="B238" s="3" t="str">
        <x:v>Evidence</x:v>
      </x:c>
      <x:c r="C238" s="3" t="str">
        <x:v>E31</x:v>
      </x:c>
      <x:c r="D238" s="3" t="str">
        <x:v>mining_volume_total</x:v>
      </x:c>
      <x:c r="E238" s="3" t="str">
        <x:v>Arithmetic mean of all 12 monthly production indices; 2026 Jan-Jul mean shown separately. Latest: 2026-01 to 2026-07; 7 months; mean; not annualised.</x:v>
      </x:c>
    </x:row>
    <x:row r="239" ht="42" customHeight="1">
      <x:c r="A239" s="3" t="str">
        <x:v>N235</x:v>
      </x:c>
      <x:c r="B239" s="3" t="str">
        <x:v>Evidence</x:v>
      </x:c>
      <x:c r="C239" s="3" t="str">
        <x:v>E32</x:v>
      </x:c>
      <x:c r="D239" s="3" t="str">
        <x:v>freight_payload_road</x:v>
      </x:c>
      <x:c r="E239" s="3" t="str">
        <x:v>Complete calendar years only; 2026 Jan-Jul shown separately. Tonnes do not measure tonne-km. Latest: 2026-01 to 2026-07; 7 months; sum; not annualised.</x:v>
      </x:c>
    </x:row>
    <x:row r="240" ht="42" customHeight="1">
      <x:c r="A240" s="3" t="str">
        <x:v>N236</x:v>
      </x:c>
      <x:c r="B240" s="3" t="str">
        <x:v>Evidence</x:v>
      </x:c>
      <x:c r="C240" s="3" t="str">
        <x:v>E33</x:v>
      </x:c>
      <x:c r="D240" s="3" t="str">
        <x:v>freight_payload_rail</x:v>
      </x:c>
      <x:c r="E240" s="3" t="str">
        <x:v>Complete calendar years only; 2026 Jan-Jul shown separately. Tonnes do not measure tonne-km. Latest: 2026-01 to 2026-07; 7 months; sum; not annualised.</x:v>
      </x:c>
    </x:row>
    <x:row r="241" ht="42" customHeight="1">
      <x:c r="A241" s="3" t="str">
        <x:v>N237</x:v>
      </x:c>
      <x:c r="B241" s="3" t="str">
        <x:v>Evidence</x:v>
      </x:c>
      <x:c r="C241" s="3" t="str">
        <x:v>E34</x:v>
      </x:c>
      <x:c r="D241" s="3" t="str">
        <x:v>eskom_ocgt</x:v>
      </x:c>
      <x:c r="E241" s="3" t="str">
        <x:v>Full financial year ending 31 March in the column year. Not calendar-year generation; fuel-burn bridge still required.</x:v>
      </x:c>
    </x:row>
    <x:row r="242" ht="42" customHeight="1">
      <x:c r="A242" s="3" t="str">
        <x:v>N238</x:v>
      </x:c>
      <x:c r="B242" s="3" t="str">
        <x:v>Evidence</x:v>
      </x:c>
      <x:c r="C242" s="3" t="str">
        <x:v>E35</x:v>
      </x:c>
      <x:c r="D242" s="3" t="str">
        <x:v>ipp_ocgt</x:v>
      </x:c>
      <x:c r="E242" s="3" t="str">
        <x:v>Full financial year ending 31 March in the column year. Not calendar-year generation; fuel-burn bridge still required.</x:v>
      </x:c>
    </x:row>
    <x:row r="243" ht="42" customHeight="1">
      <x:c r="A243" s="3" t="str">
        <x:v>N239</x:v>
      </x:c>
      <x:c r="B243" s="3" t="str">
        <x:v>Evidence</x:v>
      </x:c>
      <x:c r="C243" s="3" t="str">
        <x:v>E36</x:v>
      </x:c>
      <x:c r="D243" s="3" t="str">
        <x:v>eskom_and_ipp_ocgt</x:v>
      </x:c>
      <x:c r="E243" s="3" t="str">
        <x:v>Full financial year ending 31 March in the column year. Not calendar-year generation; fuel-burn bridge still required.</x:v>
      </x:c>
    </x:row>
    <x:row r="244" ht="42" customHeight="1">
      <x:c r="A244" s="3" t="str">
        <x:v>N240</x:v>
      </x:c>
      <x:c r="B244" s="3" t="str">
        <x:v>Evidence</x:v>
      </x:c>
      <x:c r="C244" s="3" t="str">
        <x:v>E37</x:v>
      </x:c>
      <x:c r="D244" s="3" t="str">
        <x:v>acsa_passengers</x:v>
      </x:c>
      <x:c r="E244" s="3" t="str">
        <x:v>ACSA departures only; sums monthly total-flight rows without double counting flight categories. 2026 is Jan-Aug, not annualised. Latest: 2026-01 to 2026-08; 8 months; sum; not annualised.</x:v>
      </x:c>
    </x:row>
    <x:row r="245" ht="42" customHeight="1">
      <x:c r="A245" s="3" t="str">
        <x:v>N241</x:v>
      </x:c>
      <x:c r="B245" s="3" t="str">
        <x:v>Evidence</x:v>
      </x:c>
      <x:c r="C245" s="3" t="str">
        <x:v>E38</x:v>
      </x:c>
      <x:c r="D245" s="3" t="str">
        <x:v>acsa_aircraft_movements</x:v>
      </x:c>
      <x:c r="E245" s="3" t="str">
        <x:v>ACSA departures only; sums monthly total-flight rows without double counting flight categories. 2026 is Jan-Aug, not annualised. Latest: 2026-01 to 2026-08; 8 months; sum; not annualised.</x:v>
      </x:c>
    </x:row>
    <x:row r="246" ht="42" customHeight="1">
      <x:c r="A246" s="3" t="str">
        <x:v>N242</x:v>
      </x:c>
      <x:c r="B246" s="3" t="str">
        <x:v>Evidence</x:v>
      </x:c>
      <x:c r="C246" s="3" t="str">
        <x:v>U39</x:v>
      </x:c>
      <x:c r="D246" s="3" t="str">
        <x:v>Agriculture: 2021 agriculture/forestry diesel</x:v>
      </x:c>
      <x:c r="E246" s="3" t="str">
        <x:v>https://github.com/Africa-International-Advisors/liquid_fuels_model/blob/8c69f8333192483f19cd80911cb90fcd0943eb6b/assumptions/2026/timeseries/energy_balance_department.csv</x:v>
      </x:c>
    </x:row>
    <x:row r="247" ht="42" customHeight="1">
      <x:c r="A247" s="3" t="str">
        <x:v>N243</x:v>
      </x:c>
      <x:c r="B247" s="3" t="str">
        <x:v>Evidence</x:v>
      </x:c>
      <x:c r="C247" s="3" t="str">
        <x:v>E40</x:v>
      </x:c>
      <x:c r="D247" s="3" t="str">
        <x:v>Manufacturing: 2021 energy-balance industry total</x:v>
      </x:c>
      <x:c r="E247" s="3" t="str">
        <x:v>Parent industry total includes mining and construction. It is not manufacturing fuel demand.</x:v>
      </x:c>
    </x:row>
    <x:row r="248" ht="42" customHeight="1">
      <x:c r="A248" s="3" t="str">
        <x:v>N244</x:v>
      </x:c>
      <x:c r="B248" s="3" t="str">
        <x:v>Evidence</x:v>
      </x:c>
      <x:c r="C248" s="3" t="str">
        <x:v>U40</x:v>
      </x:c>
      <x:c r="D248" s="3" t="str">
        <x:v>Manufacturing: 2021 energy-balance industry total</x:v>
      </x:c>
      <x:c r="E248" s="3" t="str">
        <x:v>https://github.com/Africa-International-Advisors/liquid_fuels_model/blob/8c69f8333192483f19cd80911cb90fcd0943eb6b/assumptions/2026/timeseries/energy_balance_department.csv</x:v>
      </x:c>
    </x:row>
    <x:row r="249" ht="42" customHeight="1">
      <x:c r="A249" s="3" t="str">
        <x:v>N245</x:v>
      </x:c>
      <x:c r="B249" s="3" t="str">
        <x:v>Evidence</x:v>
      </x:c>
      <x:c r="C249" s="3" t="str">
        <x:v>E41</x:v>
      </x:c>
      <x:c r="D249" s="3" t="str">
        <x:v>Manufacturing: 2021 construction diesel</x:v>
      </x:c>
      <x:c r="E249" s="3" t="str">
        <x:v>Construction child of source industry total, shown separately to preserve scope.</x:v>
      </x:c>
    </x:row>
    <x:row r="250" ht="42" customHeight="1">
      <x:c r="A250" s="3" t="str">
        <x:v>N246</x:v>
      </x:c>
      <x:c r="B250" s="3" t="str">
        <x:v>Evidence</x:v>
      </x:c>
      <x:c r="C250" s="3" t="str">
        <x:v>U41</x:v>
      </x:c>
      <x:c r="D250" s="3" t="str">
        <x:v>Manufacturing: 2021 construction diesel</x:v>
      </x:c>
      <x:c r="E250" s="3" t="str">
        <x:v>https://github.com/Africa-International-Advisors/liquid_fuels_model/blob/8c69f8333192483f19cd80911cb90fcd0943eb6b/assumptions/2026/timeseries/energy_balance_department.csv</x:v>
      </x:c>
    </x:row>
    <x:row r="251" ht="42" customHeight="1">
      <x:c r="A251" s="3" t="str">
        <x:v>N247</x:v>
      </x:c>
      <x:c r="B251" s="3" t="str">
        <x:v>Evidence</x:v>
      </x:c>
      <x:c r="C251" s="3" t="str">
        <x:v>U42</x:v>
      </x:c>
      <x:c r="D251" s="3" t="str">
        <x:v>Mining: 2021 mining/quarrying diesel</x:v>
      </x:c>
      <x:c r="E251" s="3" t="str">
        <x:v>https://github.com/Africa-International-Advisors/liquid_fuels_model/blob/8c69f8333192483f19cd80911cb90fcd0943eb6b/assumptions/2026/timeseries/energy_balance_department.csv</x:v>
      </x:c>
    </x:row>
    <x:row r="252" ht="42" customHeight="1">
      <x:c r="A252" s="3" t="str">
        <x:v>N248</x:v>
      </x:c>
      <x:c r="B252" s="3" t="str">
        <x:v>Evidence</x:v>
      </x:c>
      <x:c r="C252" s="3" t="str">
        <x:v>U43</x:v>
      </x:c>
      <x:c r="D252" s="3" t="str">
        <x:v>Provincial: EC petrol / million L/year</x:v>
      </x:c>
      <x:c r="E252" s="3" t="str">
        <x:v>https://github.com/Africa-International-Advisors/liquid_fuels_model/blob/8c69f8333192483f19cd80911cb90fcd0943eb6b/assumptions/2026/timeseries/fuel_sales_department_by_province_quarterly.csv</x:v>
      </x:c>
    </x:row>
    <x:row r="253" ht="42" customHeight="1">
      <x:c r="A253" s="3" t="str">
        <x:v>N249</x:v>
      </x:c>
      <x:c r="B253" s="3" t="str">
        <x:v>Evidence</x:v>
      </x:c>
      <x:c r="C253" s="3" t="str">
        <x:v>U44</x:v>
      </x:c>
      <x:c r="D253" s="3" t="str">
        <x:v>Provincial: FS petrol / million L/year</x:v>
      </x:c>
      <x:c r="E253" s="3" t="str">
        <x:v>https://github.com/Africa-International-Advisors/liquid_fuels_model/blob/8c69f8333192483f19cd80911cb90fcd0943eb6b/assumptions/2026/timeseries/fuel_sales_department_by_province_quarterly.csv</x:v>
      </x:c>
    </x:row>
    <x:row r="254" ht="42" customHeight="1">
      <x:c r="A254" s="3" t="str">
        <x:v>N250</x:v>
      </x:c>
      <x:c r="B254" s="3" t="str">
        <x:v>Evidence</x:v>
      </x:c>
      <x:c r="C254" s="3" t="str">
        <x:v>U45</x:v>
      </x:c>
      <x:c r="D254" s="3" t="str">
        <x:v>Provincial: GP petrol / million L/year</x:v>
      </x:c>
      <x:c r="E254" s="3" t="str">
        <x:v>https://github.com/Africa-International-Advisors/liquid_fuels_model/blob/8c69f8333192483f19cd80911cb90fcd0943eb6b/assumptions/2026/timeseries/fuel_sales_department_by_province_quarterly.csv</x:v>
      </x:c>
    </x:row>
    <x:row r="255" ht="42" customHeight="1">
      <x:c r="A255" s="3" t="str">
        <x:v>N251</x:v>
      </x:c>
      <x:c r="B255" s="3" t="str">
        <x:v>Evidence</x:v>
      </x:c>
      <x:c r="C255" s="3" t="str">
        <x:v>U46</x:v>
      </x:c>
      <x:c r="D255" s="3" t="str">
        <x:v>Provincial: KZN petrol / million L/year</x:v>
      </x:c>
      <x:c r="E255" s="3" t="str">
        <x:v>https://github.com/Africa-International-Advisors/liquid_fuels_model/blob/8c69f8333192483f19cd80911cb90fcd0943eb6b/assumptions/2026/timeseries/fuel_sales_department_by_province_quarterly.csv</x:v>
      </x:c>
    </x:row>
    <x:row r="256" ht="42" customHeight="1">
      <x:c r="A256" s="3" t="str">
        <x:v>N252</x:v>
      </x:c>
      <x:c r="B256" s="3" t="str">
        <x:v>Evidence</x:v>
      </x:c>
      <x:c r="C256" s="3" t="str">
        <x:v>U47</x:v>
      </x:c>
      <x:c r="D256" s="3" t="str">
        <x:v>Provincial: LP petrol / million L/year</x:v>
      </x:c>
      <x:c r="E256" s="3" t="str">
        <x:v>https://github.com/Africa-International-Advisors/liquid_fuels_model/blob/8c69f8333192483f19cd80911cb90fcd0943eb6b/assumptions/2026/timeseries/fuel_sales_department_by_province_quarterly.csv</x:v>
      </x:c>
    </x:row>
    <x:row r="257" ht="42" customHeight="1">
      <x:c r="A257" s="3" t="str">
        <x:v>N253</x:v>
      </x:c>
      <x:c r="B257" s="3" t="str">
        <x:v>Evidence</x:v>
      </x:c>
      <x:c r="C257" s="3" t="str">
        <x:v>U48</x:v>
      </x:c>
      <x:c r="D257" s="3" t="str">
        <x:v>Provincial: MP petrol / million L/year</x:v>
      </x:c>
      <x:c r="E257" s="3" t="str">
        <x:v>https://github.com/Africa-International-Advisors/liquid_fuels_model/blob/8c69f8333192483f19cd80911cb90fcd0943eb6b/assumptions/2026/timeseries/fuel_sales_department_by_province_quarterly.csv</x:v>
      </x:c>
    </x:row>
    <x:row r="258" ht="42" customHeight="1">
      <x:c r="A258" s="3" t="str">
        <x:v>N254</x:v>
      </x:c>
      <x:c r="B258" s="3" t="str">
        <x:v>Evidence</x:v>
      </x:c>
      <x:c r="C258" s="3" t="str">
        <x:v>U49</x:v>
      </x:c>
      <x:c r="D258" s="3" t="str">
        <x:v>Provincial: NC petrol / million L/year</x:v>
      </x:c>
      <x:c r="E258" s="3" t="str">
        <x:v>https://github.com/Africa-International-Advisors/liquid_fuels_model/blob/8c69f8333192483f19cd80911cb90fcd0943eb6b/assumptions/2026/timeseries/fuel_sales_department_by_province_quarterly.csv</x:v>
      </x:c>
    </x:row>
    <x:row r="259" ht="42" customHeight="1">
      <x:c r="A259" s="3" t="str">
        <x:v>N255</x:v>
      </x:c>
      <x:c r="B259" s="3" t="str">
        <x:v>Evidence</x:v>
      </x:c>
      <x:c r="C259" s="3" t="str">
        <x:v>U50</x:v>
      </x:c>
      <x:c r="D259" s="3" t="str">
        <x:v>Provincial: NW petrol / million L/year</x:v>
      </x:c>
      <x:c r="E259" s="3" t="str">
        <x:v>https://github.com/Africa-International-Advisors/liquid_fuels_model/blob/8c69f8333192483f19cd80911cb90fcd0943eb6b/assumptions/2026/timeseries/fuel_sales_department_by_province_quarterly.csv</x:v>
      </x:c>
    </x:row>
    <x:row r="260" ht="42" customHeight="1">
      <x:c r="A260" s="3" t="str">
        <x:v>N256</x:v>
      </x:c>
      <x:c r="B260" s="3" t="str">
        <x:v>Evidence</x:v>
      </x:c>
      <x:c r="C260" s="3" t="str">
        <x:v>U51</x:v>
      </x:c>
      <x:c r="D260" s="3" t="str">
        <x:v>Provincial: WC petrol / million L/year</x:v>
      </x:c>
      <x:c r="E260" s="3" t="str">
        <x:v>https://github.com/Africa-International-Advisors/liquid_fuels_model/blob/8c69f8333192483f19cd80911cb90fcd0943eb6b/assumptions/2026/timeseries/fuel_sales_department_by_province_quarterly.csv</x:v>
      </x:c>
    </x:row>
    <x:row r="261" ht="42" customHeight="1">
      <x:c r="A261" s="3" t="str">
        <x:v>N257</x:v>
      </x:c>
      <x:c r="B261" s="3" t="str">
        <x:v>Evidence</x:v>
      </x:c>
      <x:c r="C261" s="3" t="str">
        <x:v>U52</x:v>
      </x:c>
      <x:c r="D261" s="3" t="str">
        <x:v>Provincial: EC diesel / million L/year</x:v>
      </x:c>
      <x:c r="E261" s="3" t="str">
        <x:v>https://github.com/Africa-International-Advisors/liquid_fuels_model/blob/8c69f8333192483f19cd80911cb90fcd0943eb6b/assumptions/2026/timeseries/fuel_sales_department_by_province_quarterly.csv</x:v>
      </x:c>
    </x:row>
    <x:row r="262" ht="42" customHeight="1">
      <x:c r="A262" s="3" t="str">
        <x:v>N258</x:v>
      </x:c>
      <x:c r="B262" s="3" t="str">
        <x:v>Evidence</x:v>
      </x:c>
      <x:c r="C262" s="3" t="str">
        <x:v>U53</x:v>
      </x:c>
      <x:c r="D262" s="3" t="str">
        <x:v>Provincial: FS diesel / million L/year</x:v>
      </x:c>
      <x:c r="E262" s="3" t="str">
        <x:v>https://github.com/Africa-International-Advisors/liquid_fuels_model/blob/8c69f8333192483f19cd80911cb90fcd0943eb6b/assumptions/2026/timeseries/fuel_sales_department_by_province_quarterly.csv</x:v>
      </x:c>
    </x:row>
    <x:row r="263" ht="42" customHeight="1">
      <x:c r="A263" s="3" t="str">
        <x:v>N259</x:v>
      </x:c>
      <x:c r="B263" s="3" t="str">
        <x:v>Evidence</x:v>
      </x:c>
      <x:c r="C263" s="3" t="str">
        <x:v>U54</x:v>
      </x:c>
      <x:c r="D263" s="3" t="str">
        <x:v>Provincial: GP diesel / million L/year</x:v>
      </x:c>
      <x:c r="E263" s="3" t="str">
        <x:v>https://github.com/Africa-International-Advisors/liquid_fuels_model/blob/8c69f8333192483f19cd80911cb90fcd0943eb6b/assumptions/2026/timeseries/fuel_sales_department_by_province_quarterly.csv</x:v>
      </x:c>
    </x:row>
    <x:row r="264" ht="42" customHeight="1">
      <x:c r="A264" s="3" t="str">
        <x:v>N260</x:v>
      </x:c>
      <x:c r="B264" s="3" t="str">
        <x:v>Evidence</x:v>
      </x:c>
      <x:c r="C264" s="3" t="str">
        <x:v>U55</x:v>
      </x:c>
      <x:c r="D264" s="3" t="str">
        <x:v>Provincial: KZN diesel / million L/year</x:v>
      </x:c>
      <x:c r="E264" s="3" t="str">
        <x:v>https://github.com/Africa-International-Advisors/liquid_fuels_model/blob/8c69f8333192483f19cd80911cb90fcd0943eb6b/assumptions/2026/timeseries/fuel_sales_department_by_province_quarterly.csv</x:v>
      </x:c>
    </x:row>
    <x:row r="265" ht="42" customHeight="1">
      <x:c r="A265" s="3" t="str">
        <x:v>N261</x:v>
      </x:c>
      <x:c r="B265" s="3" t="str">
        <x:v>Evidence</x:v>
      </x:c>
      <x:c r="C265" s="3" t="str">
        <x:v>U56</x:v>
      </x:c>
      <x:c r="D265" s="3" t="str">
        <x:v>Provincial: LP diesel / million L/year</x:v>
      </x:c>
      <x:c r="E265" s="3" t="str">
        <x:v>https://github.com/Africa-International-Advisors/liquid_fuels_model/blob/8c69f8333192483f19cd80911cb90fcd0943eb6b/assumptions/2026/timeseries/fuel_sales_department_by_province_quarterly.csv</x:v>
      </x:c>
    </x:row>
    <x:row r="266" ht="42" customHeight="1">
      <x:c r="A266" s="3" t="str">
        <x:v>N262</x:v>
      </x:c>
      <x:c r="B266" s="3" t="str">
        <x:v>Evidence</x:v>
      </x:c>
      <x:c r="C266" s="3" t="str">
        <x:v>U57</x:v>
      </x:c>
      <x:c r="D266" s="3" t="str">
        <x:v>Provincial: MP diesel / million L/year</x:v>
      </x:c>
      <x:c r="E266" s="3" t="str">
        <x:v>https://github.com/Africa-International-Advisors/liquid_fuels_model/blob/8c69f8333192483f19cd80911cb90fcd0943eb6b/assumptions/2026/timeseries/fuel_sales_department_by_province_quarterly.csv</x:v>
      </x:c>
    </x:row>
    <x:row r="267" ht="42" customHeight="1">
      <x:c r="A267" s="3" t="str">
        <x:v>N263</x:v>
      </x:c>
      <x:c r="B267" s="3" t="str">
        <x:v>Evidence</x:v>
      </x:c>
      <x:c r="C267" s="3" t="str">
        <x:v>U58</x:v>
      </x:c>
      <x:c r="D267" s="3" t="str">
        <x:v>Provincial: NC diesel / million L/year</x:v>
      </x:c>
      <x:c r="E267" s="3" t="str">
        <x:v>https://github.com/Africa-International-Advisors/liquid_fuels_model/blob/8c69f8333192483f19cd80911cb90fcd0943eb6b/assumptions/2026/timeseries/fuel_sales_department_by_province_quarterly.csv</x:v>
      </x:c>
    </x:row>
    <x:row r="268" ht="42" customHeight="1">
      <x:c r="A268" s="3" t="str">
        <x:v>N264</x:v>
      </x:c>
      <x:c r="B268" s="3" t="str">
        <x:v>Evidence</x:v>
      </x:c>
      <x:c r="C268" s="3" t="str">
        <x:v>U59</x:v>
      </x:c>
      <x:c r="D268" s="3" t="str">
        <x:v>Provincial: NW diesel / million L/year</x:v>
      </x:c>
      <x:c r="E268" s="3" t="str">
        <x:v>https://github.com/Africa-International-Advisors/liquid_fuels_model/blob/8c69f8333192483f19cd80911cb90fcd0943eb6b/assumptions/2026/timeseries/fuel_sales_department_by_province_quarterly.csv</x:v>
      </x:c>
    </x:row>
    <x:row r="269" ht="42" customHeight="1">
      <x:c r="A269" s="3" t="str">
        <x:v>N265</x:v>
      </x:c>
      <x:c r="B269" s="3" t="str">
        <x:v>Evidence</x:v>
      </x:c>
      <x:c r="C269" s="3" t="str">
        <x:v>U60</x:v>
      </x:c>
      <x:c r="D269" s="3" t="str">
        <x:v>Provincial: WC diesel / million L/year</x:v>
      </x:c>
      <x:c r="E269" s="3" t="str">
        <x:v>https://github.com/Africa-International-Advisors/liquid_fuels_model/blob/8c69f8333192483f19cd80911cb90fcd0943eb6b/assumptions/2026/timeseries/fuel_sales_department_by_province_quarterly.csv</x:v>
      </x:c>
    </x:row>
    <x:row r="270" ht="42" customHeight="1">
      <x:c r="A270" s="3" t="str">
        <x:v>N266</x:v>
      </x:c>
      <x:c r="B270" s="3" t="str">
        <x:v>Model run</x:v>
      </x:c>
      <x:c r="C270" s="3" t="str">
        <x:v>V5</x:v>
      </x:c>
      <x:c r="D270" s="3" t="str">
        <x:v>Petrol: GDP per capita</x:v>
      </x:c>
      <x:c r="E270" s="3" t="str">
        <x:v>Engine dependency is in Python; Excel links expose the recorded run.</x:v>
      </x:c>
    </x:row>
    <x:row r="271" ht="42" customHeight="1">
      <x:c r="A271" s="3" t="str">
        <x:v>N267</x:v>
      </x:c>
      <x:c r="B271" s="3" t="str">
        <x:v>Model run</x:v>
      </x:c>
      <x:c r="C271" s="3" t="str">
        <x:v>V6</x:v>
      </x:c>
      <x:c r="D271" s="3" t="str">
        <x:v>Petrol: New-sales regression slope</x:v>
      </x:c>
      <x:c r="E271" s="3" t="str">
        <x:v>Engine dependency is in Python; Excel links expose the recorded run.</x:v>
      </x:c>
    </x:row>
    <x:row r="272" ht="42" customHeight="1">
      <x:c r="A272" s="3" t="str">
        <x:v>N268</x:v>
      </x:c>
      <x:c r="B272" s="3" t="str">
        <x:v>Model run</x:v>
      </x:c>
      <x:c r="C272" s="3" t="str">
        <x:v>V7</x:v>
      </x:c>
      <x:c r="D272" s="3" t="str">
        <x:v>Petrol: New-sales regression intercept</x:v>
      </x:c>
      <x:c r="E272" s="3" t="str">
        <x:v>Engine dependency is in Python; Excel links expose the recorded run.</x:v>
      </x:c>
    </x:row>
    <x:row r="273" ht="42" customHeight="1">
      <x:c r="A273" s="3" t="str">
        <x:v>N269</x:v>
      </x:c>
      <x:c r="B273" s="3" t="str">
        <x:v>Model run</x:v>
      </x:c>
      <x:c r="C273" s="3" t="str">
        <x:v>V8</x:v>
      </x:c>
      <x:c r="D273" s="3" t="str">
        <x:v>Petrol: Passenger share of new sales</x:v>
      </x:c>
      <x:c r="E273" s="3" t="str">
        <x:v>Engine dependency is in Python; Excel links expose the recorded run.</x:v>
      </x:c>
    </x:row>
    <x:row r="274" ht="42" customHeight="1">
      <x:c r="A274" s="3" t="str">
        <x:v>N270</x:v>
      </x:c>
      <x:c r="B274" s="3" t="str">
        <x:v>Model run</x:v>
      </x:c>
      <x:c r="C274" s="3" t="str">
        <x:v>V9</x:v>
      </x:c>
      <x:c r="D274" s="3" t="str">
        <x:v>Petrol: Petrol share of passenger ICE sales</x:v>
      </x:c>
      <x:c r="E274" s="3" t="str">
        <x:v>Engine dependency is in Python; Excel links expose the recorded run.</x:v>
      </x:c>
    </x:row>
    <x:row r="275" ht="42" customHeight="1">
      <x:c r="A275" s="3" t="str">
        <x:v>N271</x:v>
      </x:c>
      <x:c r="B275" s="3" t="str">
        <x:v>Model run</x:v>
      </x:c>
      <x:c r="C275" s="3" t="str">
        <x:v>V10</x:v>
      </x:c>
      <x:c r="D275" s="3" t="str">
        <x:v>Petrol: Passenger annual mileage</x:v>
      </x:c>
      <x:c r="E275" s="3" t="str">
        <x:v>Engine dependency is in Python; Excel links expose the recorded run.</x:v>
      </x:c>
    </x:row>
    <x:row r="276" ht="42" customHeight="1">
      <x:c r="A276" s="3" t="str">
        <x:v>N272</x:v>
      </x:c>
      <x:c r="B276" s="3" t="str">
        <x:v>Model run</x:v>
      </x:c>
      <x:c r="C276" s="3" t="str">
        <x:v>V11</x:v>
      </x:c>
      <x:c r="D276" s="3" t="str">
        <x:v>Petrol: Passenger retirement rate</x:v>
      </x:c>
      <x:c r="E276" s="3" t="str">
        <x:v>Engine dependency is in Python; Excel links expose the recorded run.</x:v>
      </x:c>
    </x:row>
    <x:row r="277" ht="42" customHeight="1">
      <x:c r="A277" s="3" t="str">
        <x:v>N273</x:v>
      </x:c>
      <x:c r="B277" s="3" t="str">
        <x:v>Model run</x:v>
      </x:c>
      <x:c r="C277" s="3" t="str">
        <x:v>V12</x:v>
      </x:c>
      <x:c r="D277" s="3" t="str">
        <x:v>Petrol: Base new petrol vehicle consumption</x:v>
      </x:c>
      <x:c r="E277" s="3" t="str">
        <x:v>Engine dependency is in Python; Excel links expose the recorded run.</x:v>
      </x:c>
    </x:row>
    <x:row r="278" ht="42" customHeight="1">
      <x:c r="A278" s="3" t="str">
        <x:v>N274</x:v>
      </x:c>
      <x:c r="B278" s="3" t="str">
        <x:v>Model run</x:v>
      </x:c>
      <x:c r="C278" s="3" t="str">
        <x:v>E13</x:v>
      </x:c>
      <x:c r="D278" s="3" t="str">
        <x:v>Petrol: New-cohort efficiency gain</x:v>
      </x:c>
      <x:c r="E278" s="3" t="str">
        <x:v>Applied cumulatively to new cohorts; older cohorts retain their entry efficiency.</x:v>
      </x:c>
    </x:row>
    <x:row r="279" ht="42" customHeight="1">
      <x:c r="A279" s="3" t="str">
        <x:v>N275</x:v>
      </x:c>
      <x:c r="B279" s="3" t="str">
        <x:v>Model run</x:v>
      </x:c>
      <x:c r="C279" s="3" t="str">
        <x:v>V13</x:v>
      </x:c>
      <x:c r="D279" s="3" t="str">
        <x:v>Petrol: New-cohort efficiency gain</x:v>
      </x:c>
      <x:c r="E279" s="3" t="str">
        <x:v>Engine dependency is in Python; Excel links expose the recorded run.</x:v>
      </x:c>
    </x:row>
    <x:row r="280" ht="42" customHeight="1">
      <x:c r="A280" s="3" t="str">
        <x:v>N276</x:v>
      </x:c>
      <x:c r="B280" s="3" t="str">
        <x:v>Model run</x:v>
      </x:c>
      <x:c r="C280" s="3" t="str">
        <x:v>V14</x:v>
      </x:c>
      <x:c r="D280" s="3" t="str">
        <x:v>Petrol: EV curve ceiling</x:v>
      </x:c>
      <x:c r="E280" s="3" t="str">
        <x:v>Engine dependency is in Python; Excel links expose the recorded run.</x:v>
      </x:c>
    </x:row>
    <x:row r="281" ht="42" customHeight="1">
      <x:c r="A281" s="3" t="str">
        <x:v>N277</x:v>
      </x:c>
      <x:c r="B281" s="3" t="str">
        <x:v>Model run</x:v>
      </x:c>
      <x:c r="C281" s="3" t="str">
        <x:v>E15</x:v>
      </x:c>
      <x:c r="D281" s="3" t="str">
        <x:v>Petrol: Passenger petrol fleet</x:v>
      </x:c>
      <x:c r="E281" s="3" t="str">
        <x:v>Cohort stock from engine diagnostics. Opening stock is backfilled, not a verified registration total.</x:v>
      </x:c>
    </x:row>
    <x:row r="282" ht="42" customHeight="1">
      <x:c r="A282" s="3" t="str">
        <x:v>N278</x:v>
      </x:c>
      <x:c r="B282" s="3" t="str">
        <x:v>Model run</x:v>
      </x:c>
      <x:c r="C282" s="3" t="str">
        <x:v>V15</x:v>
      </x:c>
      <x:c r="D282" s="3" t="str">
        <x:v>Petrol: Passenger petrol fleet</x:v>
      </x:c>
      <x:c r="E282" s="3" t="str">
        <x:v>Engine dependency is in Python; Excel links expose the recorded run.</x:v>
      </x:c>
    </x:row>
    <x:row r="283" ht="42" customHeight="1">
      <x:c r="A283" s="3" t="str">
        <x:v>N279</x:v>
      </x:c>
      <x:c r="B283" s="3" t="str">
        <x:v>Model run</x:v>
      </x:c>
      <x:c r="C283" s="3" t="str">
        <x:v>V16</x:v>
      </x:c>
      <x:c r="D283" s="3" t="str">
        <x:v>Petrol: Passenger petrol vehicle-km</x:v>
      </x:c>
      <x:c r="E283" s="3" t="str">
        <x:v>Engine dependency is in Python; Excel links expose the recorded run.</x:v>
      </x:c>
    </x:row>
    <x:row r="284" ht="42" customHeight="1">
      <x:c r="A284" s="3" t="str">
        <x:v>N280</x:v>
      </x:c>
      <x:c r="B284" s="3" t="str">
        <x:v>Model run</x:v>
      </x:c>
      <x:c r="C284" s="3" t="str">
        <x:v>V17</x:v>
      </x:c>
      <x:c r="D284" s="3" t="str">
        <x:v>Petrol: Passenger petrol demand</x:v>
      </x:c>
      <x:c r="E284" s="3" t="str">
        <x:v>Engine dependency is in Python; Excel links expose the recorded run.</x:v>
      </x:c>
    </x:row>
    <x:row r="285" ht="42" customHeight="1">
      <x:c r="A285" s="3" t="str">
        <x:v>N281</x:v>
      </x:c>
      <x:c r="B285" s="3" t="str">
        <x:v>Model run</x:v>
      </x:c>
      <x:c r="C285" s="3" t="str">
        <x:v>V18</x:v>
      </x:c>
      <x:c r="D285" s="3" t="str">
        <x:v>Petrol: All road petrol demand</x:v>
      </x:c>
      <x:c r="E285" s="3" t="str">
        <x:v>Engine dependency is in Python; Excel links expose the recorded run.</x:v>
      </x:c>
    </x:row>
    <x:row r="286" ht="42" customHeight="1">
      <x:c r="A286" s="3" t="str">
        <x:v>N282</x:v>
      </x:c>
      <x:c r="B286" s="3" t="str">
        <x:v>Model run</x:v>
      </x:c>
      <x:c r="C286" s="3" t="str">
        <x:v>V19</x:v>
      </x:c>
      <x:c r="D286" s="3" t="str">
        <x:v>Freight: GDP per capita</x:v>
      </x:c>
      <x:c r="E286" s="3" t="str">
        <x:v>Engine dependency is in Python; Excel links expose the recorded run.</x:v>
      </x:c>
    </x:row>
    <x:row r="287" ht="42" customHeight="1">
      <x:c r="A287" s="3" t="str">
        <x:v>N283</x:v>
      </x:c>
      <x:c r="B287" s="3" t="str">
        <x:v>Model run</x:v>
      </x:c>
      <x:c r="C287" s="3" t="str">
        <x:v>V20</x:v>
      </x:c>
      <x:c r="D287" s="3" t="str">
        <x:v>Freight: HCV share of new vehicle sales</x:v>
      </x:c>
      <x:c r="E287" s="3" t="str">
        <x:v>Engine dependency is in Python; Excel links expose the recorded run.</x:v>
      </x:c>
    </x:row>
    <x:row r="288" ht="42" customHeight="1">
      <x:c r="A288" s="3" t="str">
        <x:v>N284</x:v>
      </x:c>
      <x:c r="B288" s="3" t="str">
        <x:v>Model run</x:v>
      </x:c>
      <x:c r="C288" s="3" t="str">
        <x:v>V21</x:v>
      </x:c>
      <x:c r="D288" s="3" t="str">
        <x:v>Freight: Diesel share of HCV ICE sales</x:v>
      </x:c>
      <x:c r="E288" s="3" t="str">
        <x:v>Engine dependency is in Python; Excel links expose the recorded run.</x:v>
      </x:c>
    </x:row>
    <x:row r="289" ht="42" customHeight="1">
      <x:c r="A289" s="3" t="str">
        <x:v>N285</x:v>
      </x:c>
      <x:c r="B289" s="3" t="str">
        <x:v>Model run</x:v>
      </x:c>
      <x:c r="C289" s="3" t="str">
        <x:v>V22</x:v>
      </x:c>
      <x:c r="D289" s="3" t="str">
        <x:v>Freight: Heavy-truck annual mileage</x:v>
      </x:c>
      <x:c r="E289" s="3" t="str">
        <x:v>Engine dependency is in Python; Excel links expose the recorded run.</x:v>
      </x:c>
    </x:row>
    <x:row r="290" ht="42" customHeight="1">
      <x:c r="A290" s="3" t="str">
        <x:v>N286</x:v>
      </x:c>
      <x:c r="B290" s="3" t="str">
        <x:v>Model run</x:v>
      </x:c>
      <x:c r="C290" s="3" t="str">
        <x:v>V23</x:v>
      </x:c>
      <x:c r="D290" s="3" t="str">
        <x:v>Freight: Heavy-truck retirement rate</x:v>
      </x:c>
      <x:c r="E290" s="3" t="str">
        <x:v>Engine dependency is in Python; Excel links expose the recorded run.</x:v>
      </x:c>
    </x:row>
    <x:row r="291" ht="42" customHeight="1">
      <x:c r="A291" s="3" t="str">
        <x:v>N287</x:v>
      </x:c>
      <x:c r="B291" s="3" t="str">
        <x:v>Model run</x:v>
      </x:c>
      <x:c r="C291" s="3" t="str">
        <x:v>V24</x:v>
      </x:c>
      <x:c r="D291" s="3" t="str">
        <x:v>Freight: Base new-truck consumption</x:v>
      </x:c>
      <x:c r="E291" s="3" t="str">
        <x:v>Engine dependency is in Python; Excel links expose the recorded run.</x:v>
      </x:c>
    </x:row>
    <x:row r="292" ht="42" customHeight="1">
      <x:c r="A292" s="3" t="str">
        <x:v>N288</x:v>
      </x:c>
      <x:c r="B292" s="3" t="str">
        <x:v>Model run</x:v>
      </x:c>
      <x:c r="C292" s="3" t="str">
        <x:v>V25</x:v>
      </x:c>
      <x:c r="D292" s="3" t="str">
        <x:v>Freight: New-cohort efficiency gain</x:v>
      </x:c>
      <x:c r="E292" s="3" t="str">
        <x:v>Engine dependency is in Python; Excel links expose the recorded run.</x:v>
      </x:c>
    </x:row>
    <x:row r="293" ht="42" customHeight="1">
      <x:c r="A293" s="3" t="str">
        <x:v>N289</x:v>
      </x:c>
      <x:c r="B293" s="3" t="str">
        <x:v>Model run</x:v>
      </x:c>
      <x:c r="C293" s="3" t="str">
        <x:v>V26</x:v>
      </x:c>
      <x:c r="D293" s="3" t="str">
        <x:v>Freight: Heavy-truck diesel fleet</x:v>
      </x:c>
      <x:c r="E293" s="3" t="str">
        <x:v>Engine dependency is in Python; Excel links expose the recorded run.</x:v>
      </x:c>
    </x:row>
    <x:row r="294" ht="42" customHeight="1">
      <x:c r="A294" s="3" t="str">
        <x:v>N290</x:v>
      </x:c>
      <x:c r="B294" s="3" t="str">
        <x:v>Model run</x:v>
      </x:c>
      <x:c r="C294" s="3" t="str">
        <x:v>V27</x:v>
      </x:c>
      <x:c r="D294" s="3" t="str">
        <x:v>Freight: Heavy-truck vehicle-km</x:v>
      </x:c>
      <x:c r="E294" s="3" t="str">
        <x:v>Engine dependency is in Python; Excel links expose the recorded run.</x:v>
      </x:c>
    </x:row>
    <x:row r="295" ht="42" customHeight="1">
      <x:c r="A295" s="3" t="str">
        <x:v>N291</x:v>
      </x:c>
      <x:c r="B295" s="3" t="str">
        <x:v>Model run</x:v>
      </x:c>
      <x:c r="C295" s="3" t="str">
        <x:v>V28</x:v>
      </x:c>
      <x:c r="D295" s="3" t="str">
        <x:v>Freight: Heavy-truck diesel demand</x:v>
      </x:c>
      <x:c r="E295" s="3" t="str">
        <x:v>Engine dependency is in Python; Excel links expose the recorded run.</x:v>
      </x:c>
    </x:row>
    <x:row r="296" ht="42" customHeight="1">
      <x:c r="A296" s="3" t="str">
        <x:v>N292</x:v>
      </x:c>
      <x:c r="B296" s="3" t="str">
        <x:v>Model run</x:v>
      </x:c>
      <x:c r="C296" s="3" t="str">
        <x:v>E29</x:v>
      </x:c>
      <x:c r="D296" s="3" t="str">
        <x:v>Freight: Current common EV share of new sales</x:v>
      </x:c>
      <x:c r="E296" s="3" t="str">
        <x:v>Existing engine curve applied to HCV as well as other classes. This is not a calibrated truck-specific forecast.</x:v>
      </x:c>
    </x:row>
    <x:row r="297" ht="42" customHeight="1">
      <x:c r="A297" s="3" t="str">
        <x:v>N293</x:v>
      </x:c>
      <x:c r="B297" s="3" t="str">
        <x:v>Model run</x:v>
      </x:c>
      <x:c r="C297" s="3" t="str">
        <x:v>V29</x:v>
      </x:c>
      <x:c r="D297" s="3" t="str">
        <x:v>Freight: Current common EV share of new sales</x:v>
      </x:c>
      <x:c r="E297" s="3" t="str">
        <x:v>Engine dependency is in Python; Excel links expose the recorded run.</x:v>
      </x:c>
    </x:row>
    <x:row r="298" ht="42" customHeight="1">
      <x:c r="A298" s="3" t="str">
        <x:v>N294</x:v>
      </x:c>
      <x:c r="B298" s="3" t="str">
        <x:v>Model run</x:v>
      </x:c>
      <x:c r="C298" s="3" t="str">
        <x:v>V30</x:v>
      </x:c>
      <x:c r="D298" s="3" t="str">
        <x:v>Agriculture: Base year</x:v>
      </x:c>
      <x:c r="E298" s="3" t="str">
        <x:v>Engine dependency is in Python; Excel links expose the recorded run.</x:v>
      </x:c>
    </x:row>
    <x:row r="299" ht="42" customHeight="1">
      <x:c r="A299" s="3" t="str">
        <x:v>N295</x:v>
      </x:c>
      <x:c r="B299" s="3" t="str">
        <x:v>Model run</x:v>
      </x:c>
      <x:c r="C299" s="3" t="str">
        <x:v>V31</x:v>
      </x:c>
      <x:c r="D299" s="3" t="str">
        <x:v>Agriculture: GDP/capita elasticity</x:v>
      </x:c>
      <x:c r="E299" s="3" t="str">
        <x:v>Engine dependency is in Python; Excel links expose the recorded run.</x:v>
      </x:c>
    </x:row>
    <x:row r="300" ht="42" customHeight="1">
      <x:c r="A300" s="3" t="str">
        <x:v>N296</x:v>
      </x:c>
      <x:c r="B300" s="3" t="str">
        <x:v>Model run</x:v>
      </x:c>
      <x:c r="C300" s="3" t="str">
        <x:v>V32</x:v>
      </x:c>
      <x:c r="D300" s="3" t="str">
        <x:v>Agriculture: GDP per capita</x:v>
      </x:c>
      <x:c r="E300" s="3" t="str">
        <x:v>Engine dependency is in Python; Excel links expose the recorded run.</x:v>
      </x:c>
    </x:row>
    <x:row r="301" ht="42" customHeight="1">
      <x:c r="A301" s="3" t="str">
        <x:v>N297</x:v>
      </x:c>
      <x:c r="B301" s="3" t="str">
        <x:v>Model run</x:v>
      </x:c>
      <x:c r="C301" s="3" t="str">
        <x:v>V33</x:v>
      </x:c>
      <x:c r="D301" s="3" t="str">
        <x:v>Agriculture: Agricultural diesel demand</x:v>
      </x:c>
      <x:c r="E301" s="3" t="str">
        <x:v>Engine dependency is in Python; Excel links expose the recorded run.</x:v>
      </x:c>
    </x:row>
    <x:row r="302" ht="42" customHeight="1">
      <x:c r="A302" s="3" t="str">
        <x:v>N298</x:v>
      </x:c>
      <x:c r="B302" s="3" t="str">
        <x:v>Model run</x:v>
      </x:c>
      <x:c r="C302" s="3" t="str">
        <x:v>V34</x:v>
      </x:c>
      <x:c r="D302" s="3" t="str">
        <x:v>Manufacturing: Combined baseline year</x:v>
      </x:c>
      <x:c r="E302" s="3" t="str">
        <x:v>Engine dependency is in Python; Excel links expose the recorded run.</x:v>
      </x:c>
    </x:row>
    <x:row r="303" ht="42" customHeight="1">
      <x:c r="A303" s="3" t="str">
        <x:v>N299</x:v>
      </x:c>
      <x:c r="B303" s="3" t="str">
        <x:v>Model run</x:v>
      </x:c>
      <x:c r="C303" s="3" t="str">
        <x:v>V35</x:v>
      </x:c>
      <x:c r="D303" s="3" t="str">
        <x:v>Manufacturing: Combined GDP/capita elasticity</x:v>
      </x:c>
      <x:c r="E303" s="3" t="str">
        <x:v>Engine dependency is in Python; Excel links expose the recorded run.</x:v>
      </x:c>
    </x:row>
    <x:row r="304" ht="42" customHeight="1">
      <x:c r="A304" s="3" t="str">
        <x:v>N300</x:v>
      </x:c>
      <x:c r="B304" s="3" t="str">
        <x:v>Model run</x:v>
      </x:c>
      <x:c r="C304" s="3" t="str">
        <x:v>E36</x:v>
      </x:c>
      <x:c r="D304" s="3" t="str">
        <x:v>Manufacturing: Combined industrial diesel</x:v>
      </x:c>
      <x:c r="E304" s="3" t="str">
        <x:v>Existing engine output shown ONCE as a reference for the future split; includes mining and construction.</x:v>
      </x:c>
    </x:row>
    <x:row r="305" ht="42" customHeight="1">
      <x:c r="A305" s="3" t="str">
        <x:v>N301</x:v>
      </x:c>
      <x:c r="B305" s="3" t="str">
        <x:v>Model run</x:v>
      </x:c>
      <x:c r="C305" s="3" t="str">
        <x:v>V36</x:v>
      </x:c>
      <x:c r="D305" s="3" t="str">
        <x:v>Manufacturing: Combined industrial diesel</x:v>
      </x:c>
      <x:c r="E305" s="3" t="str">
        <x:v>Engine dependency is in Python; Excel links expose the recorded run.</x:v>
      </x:c>
    </x:row>
    <x:row r="306" ht="42" customHeight="1">
      <x:c r="A306" s="3" t="str">
        <x:v>N302</x:v>
      </x:c>
      <x:c r="B306" s="3" t="str">
        <x:v>Model run</x:v>
      </x:c>
      <x:c r="C306" s="3" t="str">
        <x:v>U37</x:v>
      </x:c>
      <x:c r="D306" s="3" t="str">
        <x:v>Other demand: Current engine load factor</x:v>
      </x:c>
      <x:c r="E306" s="3" t="str">
        <x:v>https://github.com/Africa-International-Advisors/liquid_fuels_model/blob/8c69f8333192483f19cd80911cb90fcd0943eb6b/assumptions/2026/generation.yaml</x:v>
      </x:c>
    </x:row>
    <x:row r="307" ht="42" customHeight="1">
      <x:c r="A307" s="3" t="str">
        <x:v>N303</x:v>
      </x:c>
      <x:c r="B307" s="3" t="str">
        <x:v>Model run</x:v>
      </x:c>
      <x:c r="C307" s="3" t="str">
        <x:v>V37</x:v>
      </x:c>
      <x:c r="D307" s="3" t="str">
        <x:v>Other demand: Current engine load factor</x:v>
      </x:c>
      <x:c r="E307" s="3" t="str">
        <x:v>Engine dependency is in Python; Excel links expose the recorded run.</x:v>
      </x:c>
    </x:row>
    <x:row r="308" ht="42" customHeight="1">
      <x:c r="A308" s="3" t="str">
        <x:v>N304</x:v>
      </x:c>
      <x:c r="B308" s="3" t="str">
        <x:v>Model run</x:v>
      </x:c>
      <x:c r="C308" s="3" t="str">
        <x:v>U38</x:v>
      </x:c>
      <x:c r="D308" s="3" t="str">
        <x:v>Other demand: Current thermal efficiency</x:v>
      </x:c>
      <x:c r="E308" s="3" t="str">
        <x:v>https://github.com/Africa-International-Advisors/liquid_fuels_model/blob/8c69f8333192483f19cd80911cb90fcd0943eb6b/assumptions/2026/generation.yaml</x:v>
      </x:c>
    </x:row>
    <x:row r="309" ht="42" customHeight="1">
      <x:c r="A309" s="3" t="str">
        <x:v>N305</x:v>
      </x:c>
      <x:c r="B309" s="3" t="str">
        <x:v>Model run</x:v>
      </x:c>
      <x:c r="C309" s="3" t="str">
        <x:v>V38</x:v>
      </x:c>
      <x:c r="D309" s="3" t="str">
        <x:v>Other demand: Current thermal efficiency</x:v>
      </x:c>
      <x:c r="E309" s="3" t="str">
        <x:v>Engine dependency is in Python; Excel links expose the recorded run.</x:v>
      </x:c>
    </x:row>
    <x:row r="310" ht="42" customHeight="1">
      <x:c r="A310" s="3" t="str">
        <x:v>N306</x:v>
      </x:c>
      <x:c r="B310" s="3" t="str">
        <x:v>Model run</x:v>
      </x:c>
      <x:c r="C310" s="3" t="str">
        <x:v>U39</x:v>
      </x:c>
      <x:c r="D310" s="3" t="str">
        <x:v>Other demand: Diesel energy content</x:v>
      </x:c>
      <x:c r="E310" s="3" t="str">
        <x:v>https://github.com/Africa-International-Advisors/liquid_fuels_model/blob/8c69f8333192483f19cd80911cb90fcd0943eb6b/assumptions/2026/generation.yaml</x:v>
      </x:c>
    </x:row>
    <x:row r="311" ht="42" customHeight="1">
      <x:c r="A311" s="3" t="str">
        <x:v>N307</x:v>
      </x:c>
      <x:c r="B311" s="3" t="str">
        <x:v>Model run</x:v>
      </x:c>
      <x:c r="C311" s="3" t="str">
        <x:v>V39</x:v>
      </x:c>
      <x:c r="D311" s="3" t="str">
        <x:v>Other demand: Diesel energy content</x:v>
      </x:c>
      <x:c r="E311" s="3" t="str">
        <x:v>Engine dependency is in Python; Excel links expose the recorded run.</x:v>
      </x:c>
    </x:row>
    <x:row r="312" ht="42" customHeight="1">
      <x:c r="A312" s="3" t="str">
        <x:v>N308</x:v>
      </x:c>
      <x:c r="B312" s="3" t="str">
        <x:v>Model run</x:v>
      </x:c>
      <x:c r="C312" s="3" t="str">
        <x:v>E40</x:v>
      </x:c>
      <x:c r="D312" s="3" t="str">
        <x:v>Other demand: Current OCGT diesel demand</x:v>
      </x:c>
      <x:c r="E312" s="3" t="str">
        <x:v>Calendar-year model output; do not directly tie to FY generation without a bridge.</x:v>
      </x:c>
    </x:row>
    <x:row r="313" ht="42" customHeight="1">
      <x:c r="A313" s="3" t="str">
        <x:v>N309</x:v>
      </x:c>
      <x:c r="B313" s="3" t="str">
        <x:v>Model run</x:v>
      </x:c>
      <x:c r="C313" s="3" t="str">
        <x:v>U40</x:v>
      </x:c>
      <x:c r="D313" s="3" t="str">
        <x:v>Other demand: Current OCGT diesel demand</x:v>
      </x:c>
      <x:c r="E313" s="3" t="str">
        <x:v>https://github.com/Africa-International-Advisors/liquid_fuels_model/blob/8c69f8333192483f19cd80911cb90fcd0943eb6b/src/lfm/model/demand/generation.py</x:v>
      </x:c>
    </x:row>
    <x:row r="314" ht="42" customHeight="1">
      <x:c r="A314" s="3" t="str">
        <x:v>N310</x:v>
      </x:c>
      <x:c r="B314" s="3" t="str">
        <x:v>Model run</x:v>
      </x:c>
      <x:c r="C314" s="3" t="str">
        <x:v>V40</x:v>
      </x:c>
      <x:c r="D314" s="3" t="str">
        <x:v>Other demand: Current OCGT diesel demand</x:v>
      </x:c>
      <x:c r="E314" s="3" t="str">
        <x:v>Engine dependency is in Python; Excel links expose the recorded run.</x:v>
      </x:c>
    </x:row>
    <x:row r="315" ht="42" customHeight="1">
      <x:c r="A315" s="3" t="str">
        <x:v>N311</x:v>
      </x:c>
      <x:c r="B315" s="3" t="str">
        <x:v>Model run</x:v>
      </x:c>
      <x:c r="C315" s="3" t="str">
        <x:v>U41</x:v>
      </x:c>
      <x:c r="D315" s="3" t="str">
        <x:v>Other demand: Current engine passenger departures</x:v>
      </x:c>
      <x:c r="E315" s="3" t="str">
        <x:v>https://github.com/Africa-International-Advisors/liquid_fuels_model/blob/8c69f8333192483f19cd80911cb90fcd0943eb6b/assumptions/2026/aviation.yaml</x:v>
      </x:c>
    </x:row>
    <x:row r="316" ht="42" customHeight="1">
      <x:c r="A316" s="3" t="str">
        <x:v>N312</x:v>
      </x:c>
      <x:c r="B316" s="3" t="str">
        <x:v>Model run</x:v>
      </x:c>
      <x:c r="C316" s="3" t="str">
        <x:v>V41</x:v>
      </x:c>
      <x:c r="D316" s="3" t="str">
        <x:v>Other demand: Current engine passenger departures</x:v>
      </x:c>
      <x:c r="E316" s="3" t="str">
        <x:v>Engine dependency is in Python; Excel links expose the recorded run.</x:v>
      </x:c>
    </x:row>
    <x:row r="317" ht="42" customHeight="1">
      <x:c r="A317" s="3" t="str">
        <x:v>N313</x:v>
      </x:c>
      <x:c r="B317" s="3" t="str">
        <x:v>Model run</x:v>
      </x:c>
      <x:c r="C317" s="3" t="str">
        <x:v>U42</x:v>
      </x:c>
      <x:c r="D317" s="3" t="str">
        <x:v>Other demand: Current jet demand</x:v>
      </x:c>
      <x:c r="E317" s="3" t="str">
        <x:v>https://github.com/Africa-International-Advisors/liquid_fuels_model/blob/8c69f8333192483f19cd80911cb90fcd0943eb6b/src/lfm/model/demand/aviation.py</x:v>
      </x:c>
    </x:row>
    <x:row r="318" ht="42" customHeight="1">
      <x:c r="A318" s="3" t="str">
        <x:v>N314</x:v>
      </x:c>
      <x:c r="B318" s="3" t="str">
        <x:v>Model run</x:v>
      </x:c>
      <x:c r="C318" s="3" t="str">
        <x:v>V42</x:v>
      </x:c>
      <x:c r="D318" s="3" t="str">
        <x:v>Other demand: Current jet demand</x:v>
      </x:c>
      <x:c r="E318" s="3" t="str">
        <x:v>Engine dependency is in Python; Excel links expose the recorded run.</x:v>
      </x:c>
    </x:row>
    <x:row r="319" ht="42" customHeight="1">
      <x:c r="A319" s="3" t="str">
        <x:v>N315</x:v>
      </x:c>
      <x:c r="B319" s="3" t="str">
        <x:v>Model run</x:v>
      </x:c>
      <x:c r="C319" s="3" t="str">
        <x:v>E43</x:v>
      </x:c>
      <x:c r="D319" s="3" t="str">
        <x:v>Other demand: Legacy jet regression intercept</x:v>
      </x:c>
      <x:c r="E319" s="3" t="str">
        <x:v>Jet = intercept + GDP/capita coefficient × GDP/capita + passenger coefficient × departures.</x:v>
      </x:c>
    </x:row>
    <x:row r="320" ht="42" customHeight="1">
      <x:c r="A320" s="3" t="str">
        <x:v>N316</x:v>
      </x:c>
      <x:c r="B320" s="3" t="str">
        <x:v>Model run</x:v>
      </x:c>
      <x:c r="C320" s="3" t="str">
        <x:v>U43</x:v>
      </x:c>
      <x:c r="D320" s="3" t="str">
        <x:v>Other demand: Legacy jet regression intercept</x:v>
      </x:c>
      <x:c r="E320" s="3" t="str">
        <x:v>https://github.com/Africa-International-Advisors/liquid_fuels_model/blob/8c69f8333192483f19cd80911cb90fcd0943eb6b/assumptions/2026/aviation.yaml</x:v>
      </x:c>
    </x:row>
    <x:row r="321" ht="42" customHeight="1">
      <x:c r="A321" s="3" t="str">
        <x:v>N317</x:v>
      </x:c>
      <x:c r="B321" s="3" t="str">
        <x:v>Model run</x:v>
      </x:c>
      <x:c r="C321" s="3" t="str">
        <x:v>V43</x:v>
      </x:c>
      <x:c r="D321" s="3" t="str">
        <x:v>Other demand: Legacy jet regression intercept</x:v>
      </x:c>
      <x:c r="E321" s="3" t="str">
        <x:v>Engine dependency is in Python; Excel links expose the recorded run.</x:v>
      </x:c>
    </x:row>
    <x:row r="322" ht="42" customHeight="1">
      <x:c r="A322" s="3" t="str">
        <x:v>N318</x:v>
      </x:c>
      <x:c r="B322" s="3" t="str">
        <x:v>Model run</x:v>
      </x:c>
      <x:c r="C322" s="3" t="str">
        <x:v>U44</x:v>
      </x:c>
      <x:c r="D322" s="3" t="str">
        <x:v>Other demand: GDP/capita coefficient</x:v>
      </x:c>
      <x:c r="E322" s="3" t="str">
        <x:v>https://github.com/Africa-International-Advisors/liquid_fuels_model/blob/8c69f8333192483f19cd80911cb90fcd0943eb6b/assumptions/2026/aviation.yaml</x:v>
      </x:c>
    </x:row>
    <x:row r="323" ht="42" customHeight="1">
      <x:c r="A323" s="3" t="str">
        <x:v>N319</x:v>
      </x:c>
      <x:c r="B323" s="3" t="str">
        <x:v>Model run</x:v>
      </x:c>
      <x:c r="C323" s="3" t="str">
        <x:v>V44</x:v>
      </x:c>
      <x:c r="D323" s="3" t="str">
        <x:v>Other demand: GDP/capita coefficient</x:v>
      </x:c>
      <x:c r="E323" s="3" t="str">
        <x:v>Engine dependency is in Python; Excel links expose the recorded run.</x:v>
      </x:c>
    </x:row>
    <x:row r="324" ht="42" customHeight="1">
      <x:c r="A324" s="3" t="str">
        <x:v>N320</x:v>
      </x:c>
      <x:c r="B324" s="3" t="str">
        <x:v>Model run</x:v>
      </x:c>
      <x:c r="C324" s="3" t="str">
        <x:v>U45</x:v>
      </x:c>
      <x:c r="D324" s="3" t="str">
        <x:v>Other demand: Passenger coefficient</x:v>
      </x:c>
      <x:c r="E324" s="3" t="str">
        <x:v>https://github.com/Africa-International-Advisors/liquid_fuels_model/blob/8c69f8333192483f19cd80911cb90fcd0943eb6b/assumptions/2026/aviation.yaml</x:v>
      </x:c>
    </x:row>
    <x:row r="325" ht="42" customHeight="1">
      <x:c r="A325" s="3" t="str">
        <x:v>N321</x:v>
      </x:c>
      <x:c r="B325" s="3" t="str">
        <x:v>Model run</x:v>
      </x:c>
      <x:c r="C325" s="3" t="str">
        <x:v>V45</x:v>
      </x:c>
      <x:c r="D325" s="3" t="str">
        <x:v>Other demand: Passenger coefficient</x:v>
      </x:c>
      <x:c r="E325" s="3" t="str">
        <x:v>Engine dependency is in Python; Excel links expose the recorded run.</x:v>
      </x:c>
    </x:row>
    <x:row r="326" ht="42" customHeight="1">
      <x:c r="A326" s="3" t="str">
        <x:v>N322</x:v>
      </x:c>
      <x:c r="B326" s="3" t="str">
        <x:v>Model run</x:v>
      </x:c>
      <x:c r="C326" s="3" t="str">
        <x:v>U46</x:v>
      </x:c>
      <x:c r="D326" s="3" t="str">
        <x:v>Other demand: durban provisional port baseline</x:v>
      </x:c>
      <x:c r="E326" s="3" t="str">
        <x:v>https://github.com/Africa-International-Advisors/liquid_fuels_model/blob/8c69f8333192483f19cd80911cb90fcd0943eb6b/assumptions/2026/marine.yaml</x:v>
      </x:c>
    </x:row>
    <x:row r="327" ht="42" customHeight="1">
      <x:c r="A327" s="3" t="str">
        <x:v>N323</x:v>
      </x:c>
      <x:c r="B327" s="3" t="str">
        <x:v>Model run</x:v>
      </x:c>
      <x:c r="C327" s="3" t="str">
        <x:v>V46</x:v>
      </x:c>
      <x:c r="D327" s="3" t="str">
        <x:v>Other demand: durban provisional port baseline</x:v>
      </x:c>
      <x:c r="E327" s="3" t="str">
        <x:v>Engine dependency is in Python; Excel links expose the recorded run.</x:v>
      </x:c>
    </x:row>
    <x:row r="328" ht="42" customHeight="1">
      <x:c r="A328" s="3" t="str">
        <x:v>N324</x:v>
      </x:c>
      <x:c r="B328" s="3" t="str">
        <x:v>Model run</x:v>
      </x:c>
      <x:c r="C328" s="3" t="str">
        <x:v>U47</x:v>
      </x:c>
      <x:c r="D328" s="3" t="str">
        <x:v>Other demand: cape_town provisional port baseline</x:v>
      </x:c>
      <x:c r="E328" s="3" t="str">
        <x:v>https://github.com/Africa-International-Advisors/liquid_fuels_model/blob/8c69f8333192483f19cd80911cb90fcd0943eb6b/assumptions/2026/marine.yaml</x:v>
      </x:c>
    </x:row>
    <x:row r="329" ht="42" customHeight="1">
      <x:c r="A329" s="3" t="str">
        <x:v>N325</x:v>
      </x:c>
      <x:c r="B329" s="3" t="str">
        <x:v>Model run</x:v>
      </x:c>
      <x:c r="C329" s="3" t="str">
        <x:v>V47</x:v>
      </x:c>
      <x:c r="D329" s="3" t="str">
        <x:v>Other demand: cape_town provisional port baseline</x:v>
      </x:c>
      <x:c r="E329" s="3" t="str">
        <x:v>Engine dependency is in Python; Excel links expose the recorded run.</x:v>
      </x:c>
    </x:row>
    <x:row r="330" ht="42" customHeight="1">
      <x:c r="A330" s="3" t="str">
        <x:v>N326</x:v>
      </x:c>
      <x:c r="B330" s="3" t="str">
        <x:v>Model run</x:v>
      </x:c>
      <x:c r="C330" s="3" t="str">
        <x:v>U48</x:v>
      </x:c>
      <x:c r="D330" s="3" t="str">
        <x:v>Other demand: saldanha provisional port baseline</x:v>
      </x:c>
      <x:c r="E330" s="3" t="str">
        <x:v>https://github.com/Africa-International-Advisors/liquid_fuels_model/blob/8c69f8333192483f19cd80911cb90fcd0943eb6b/assumptions/2026/marine.yaml</x:v>
      </x:c>
    </x:row>
    <x:row r="331" ht="42" customHeight="1">
      <x:c r="A331" s="3" t="str">
        <x:v>N327</x:v>
      </x:c>
      <x:c r="B331" s="3" t="str">
        <x:v>Model run</x:v>
      </x:c>
      <x:c r="C331" s="3" t="str">
        <x:v>V48</x:v>
      </x:c>
      <x:c r="D331" s="3" t="str">
        <x:v>Other demand: saldanha provisional port baseline</x:v>
      </x:c>
      <x:c r="E331" s="3" t="str">
        <x:v>Engine dependency is in Python; Excel links expose the recorded run.</x:v>
      </x:c>
    </x:row>
    <x:row r="332" ht="42" customHeight="1">
      <x:c r="A332" s="3" t="str">
        <x:v>N328</x:v>
      </x:c>
      <x:c r="B332" s="3" t="str">
        <x:v>Model run</x:v>
      </x:c>
      <x:c r="C332" s="3" t="str">
        <x:v>U49</x:v>
      </x:c>
      <x:c r="D332" s="3" t="str">
        <x:v>Other demand: Marine GDP/capita elasticity</x:v>
      </x:c>
      <x:c r="E332" s="3" t="str">
        <x:v>https://github.com/Africa-International-Advisors/liquid_fuels_model/blob/8c69f8333192483f19cd80911cb90fcd0943eb6b/assumptions/2026/marine.yaml</x:v>
      </x:c>
    </x:row>
    <x:row r="333" ht="42" customHeight="1">
      <x:c r="A333" s="3" t="str">
        <x:v>N329</x:v>
      </x:c>
      <x:c r="B333" s="3" t="str">
        <x:v>Model run</x:v>
      </x:c>
      <x:c r="C333" s="3" t="str">
        <x:v>V49</x:v>
      </x:c>
      <x:c r="D333" s="3" t="str">
        <x:v>Other demand: Marine GDP/capita elasticity</x:v>
      </x:c>
      <x:c r="E333" s="3" t="str">
        <x:v>Engine dependency is in Python; Excel links expose the recorded run.</x:v>
      </x:c>
    </x:row>
    <x:row r="334" ht="42" customHeight="1">
      <x:c r="A334" s="3" t="str">
        <x:v>N330</x:v>
      </x:c>
      <x:c r="B334" s="3" t="str">
        <x:v>Model run</x:v>
      </x:c>
      <x:c r="C334" s="3" t="str">
        <x:v>U50</x:v>
      </x:c>
      <x:c r="D334" s="3" t="str">
        <x:v>Other demand: Marine fuel-oil share</x:v>
      </x:c>
      <x:c r="E334" s="3" t="str">
        <x:v>https://github.com/Africa-International-Advisors/liquid_fuels_model/blob/8c69f8333192483f19cd80911cb90fcd0943eb6b/assumptions/2026/marine.yaml</x:v>
      </x:c>
    </x:row>
    <x:row r="335" ht="42" customHeight="1">
      <x:c r="A335" s="3" t="str">
        <x:v>N331</x:v>
      </x:c>
      <x:c r="B335" s="3" t="str">
        <x:v>Model run</x:v>
      </x:c>
      <x:c r="C335" s="3" t="str">
        <x:v>V50</x:v>
      </x:c>
      <x:c r="D335" s="3" t="str">
        <x:v>Other demand: Marine fuel-oil share</x:v>
      </x:c>
      <x:c r="E335" s="3" t="str">
        <x:v>Engine dependency is in Python; Excel links expose the recorded run.</x:v>
      </x:c>
    </x:row>
    <x:row r="336" ht="42" customHeight="1">
      <x:c r="A336" s="3" t="str">
        <x:v>N332</x:v>
      </x:c>
      <x:c r="B336" s="3" t="str">
        <x:v>Model run</x:v>
      </x:c>
      <x:c r="C336" s="3" t="str">
        <x:v>U51</x:v>
      </x:c>
      <x:c r="D336" s="3" t="str">
        <x:v>Other demand: Marine diesel share</x:v>
      </x:c>
      <x:c r="E336" s="3" t="str">
        <x:v>https://github.com/Africa-International-Advisors/liquid_fuels_model/blob/8c69f8333192483f19cd80911cb90fcd0943eb6b/assumptions/2026/marine.yaml</x:v>
      </x:c>
    </x:row>
    <x:row r="337" ht="42" customHeight="1">
      <x:c r="A337" s="3" t="str">
        <x:v>N333</x:v>
      </x:c>
      <x:c r="B337" s="3" t="str">
        <x:v>Model run</x:v>
      </x:c>
      <x:c r="C337" s="3" t="str">
        <x:v>V51</x:v>
      </x:c>
      <x:c r="D337" s="3" t="str">
        <x:v>Other demand: Marine diesel share</x:v>
      </x:c>
      <x:c r="E337" s="3" t="str">
        <x:v>Engine dependency is in Python; Excel links expose the recorded run.</x:v>
      </x:c>
    </x:row>
    <x:row r="338" ht="42" customHeight="1">
      <x:c r="A338" s="3" t="str">
        <x:v>N334</x:v>
      </x:c>
      <x:c r="B338" s="3" t="str">
        <x:v>Model run</x:v>
      </x:c>
      <x:c r="C338" s="3" t="str">
        <x:v>U52</x:v>
      </x:c>
      <x:c r="D338" s="3" t="str">
        <x:v>Other demand: Marine diesel demand</x:v>
      </x:c>
      <x:c r="E338" s="3" t="str">
        <x:v>https://github.com/Africa-International-Advisors/liquid_fuels_model/blob/8c69f8333192483f19cd80911cb90fcd0943eb6b/src/lfm/model/demand/marine.py</x:v>
      </x:c>
    </x:row>
    <x:row r="339" ht="42" customHeight="1">
      <x:c r="A339" s="3" t="str">
        <x:v>N335</x:v>
      </x:c>
      <x:c r="B339" s="3" t="str">
        <x:v>Model run</x:v>
      </x:c>
      <x:c r="C339" s="3" t="str">
        <x:v>V52</x:v>
      </x:c>
      <x:c r="D339" s="3" t="str">
        <x:v>Other demand: Marine diesel demand</x:v>
      </x:c>
      <x:c r="E339" s="3" t="str">
        <x:v>Engine dependency is in Python; Excel links expose the recorded run.</x:v>
      </x:c>
    </x:row>
    <x:row r="340" ht="42" customHeight="1">
      <x:c r="A340" s="3" t="str">
        <x:v>N336</x:v>
      </x:c>
      <x:c r="B340" s="3" t="str">
        <x:v>Model run</x:v>
      </x:c>
      <x:c r="C340" s="3" t="str">
        <x:v>U53</x:v>
      </x:c>
      <x:c r="D340" s="3" t="str">
        <x:v>Other demand: Marine fuel-oil demand</x:v>
      </x:c>
      <x:c r="E340" s="3" t="str">
        <x:v>https://github.com/Africa-International-Advisors/liquid_fuels_model/blob/8c69f8333192483f19cd80911cb90fcd0943eb6b/src/lfm/model/demand/marine.py</x:v>
      </x:c>
    </x:row>
    <x:row r="341" ht="42" customHeight="1">
      <x:c r="A341" s="3" t="str">
        <x:v>N337</x:v>
      </x:c>
      <x:c r="B341" s="3" t="str">
        <x:v>Model run</x:v>
      </x:c>
      <x:c r="C341" s="3" t="str">
        <x:v>V53</x:v>
      </x:c>
      <x:c r="D341" s="3" t="str">
        <x:v>Other demand: Marine fuel-oil demand</x:v>
      </x:c>
      <x:c r="E341" s="3" t="str">
        <x:v>Engine dependency is in Python; Excel links expose the recorded run.</x:v>
      </x:c>
    </x:row>
    <x:row r="342" ht="42" customHeight="1">
      <x:c r="A342" s="3" t="str">
        <x:v>N338</x:v>
      </x:c>
      <x:c r="B342" s="3" t="str">
        <x:v>Model run</x:v>
      </x:c>
      <x:c r="C342" s="3" t="str">
        <x:v>E61</x:v>
      </x:c>
      <x:c r="D342" s="3" t="str">
        <x:v>Run provenance</x:v>
      </x:c>
      <x:c r="E342" s="3" t="str">
        <x:v>2026-10-07T10:48:46.852505+00:00; 8c69f8333192483f19cd80911cb90fcd0943eb6b; vintage 2026; high_demand. Input hashes: workshop_data.json. Engine inputs resolve before model calculation.</x:v>
      </x:c>
    </x:row>
    <x:row r="343" ht="42" customHeight="1">
      <x:c r="A343" s="3" t="str">
        <x:v>N339</x:v>
      </x:c>
      <x:c r="B343" s="3" t="str">
        <x:v>Model run</x:v>
      </x:c>
      <x:c r="C343" s="3" t="str">
        <x:v>E64</x:v>
      </x:c>
      <x:c r="D343" s="3" t="str">
        <x:v>Input snapshot manifest</x:v>
      </x:c>
      <x:c r="E343" s="3" t="str">
        <x:v>Paths and hashes identify the captured input files; source/assumption changes require rerun.</x:v>
      </x:c>
    </x:row>
    <x:row r="344" ht="42" customHeight="1">
      <x:c r="A344" s="3" t="str">
        <x:v>N340</x:v>
      </x:c>
      <x:c r="B344" s="3" t="str">
        <x:v>Model run</x:v>
      </x:c>
      <x:c r="C344" s="3" t="str">
        <x:v>A71</x:v>
      </x:c>
      <x:c r="D344" s="3" t="str">
        <x:v>assumptions/2026/infrastructure/storage_transnet_pipelines_depots.csv</x:v>
      </x:c>
      <x:c r="E344" s="3" t="str">
        <x:v>assumptions/2026/infrastructure/storage_transnet_pipelines_depots.csv</x:v>
      </x:c>
    </x:row>
    <x:row r="345" ht="42" customHeight="1">
      <x:c r="A345" s="3" t="str">
        <x:v>N341</x:v>
      </x:c>
      <x:c r="B345" s="3" t="str">
        <x:v>Model run</x:v>
      </x:c>
      <x:c r="C345" s="3" t="str">
        <x:v>A72</x:v>
      </x:c>
      <x:c r="D345" s="3" t="str">
        <x:v>assumptions/2026/infrastructure/storage_transnet_pipelines_depots.sources.yaml</x:v>
      </x:c>
      <x:c r="E345" s="3" t="str">
        <x:v>assumptions/2026/infrastructure/storage_transnet_pipelines_depots.sources.yaml</x:v>
      </x:c>
    </x:row>
    <x:row r="346" ht="42" customHeight="1">
      <x:c r="A346" s="3" t="str">
        <x:v>N342</x:v>
      </x:c>
      <x:c r="B346" s="3" t="str">
        <x:v>Model run</x:v>
      </x:c>
      <x:c r="C346" s="3" t="str">
        <x:v>A75</x:v>
      </x:c>
      <x:c r="D346" s="3" t="str">
        <x:v>assumptions/2026/reference/fleet_fuel_split_2023.csv</x:v>
      </x:c>
      <x:c r="E346" s="3" t="str">
        <x:v>assumptions/2026/reference/fleet_fuel_split_2023.csv</x:v>
      </x:c>
    </x:row>
    <x:row r="347" ht="42" customHeight="1">
      <x:c r="A347" s="3" t="str">
        <x:v>N343</x:v>
      </x:c>
      <x:c r="B347" s="3" t="str">
        <x:v>Model run</x:v>
      </x:c>
      <x:c r="C347" s="3" t="str">
        <x:v>A76</x:v>
      </x:c>
      <x:c r="D347" s="3" t="str">
        <x:v>assumptions/2026/reference/fleet_fuel_split_2023.sources.yaml</x:v>
      </x:c>
      <x:c r="E347" s="3" t="str">
        <x:v>assumptions/2026/reference/fleet_fuel_split_2023.sources.yaml</x:v>
      </x:c>
    </x:row>
    <x:row r="348" ht="42" customHeight="1">
      <x:c r="A348" s="3" t="str">
        <x:v>N344</x:v>
      </x:c>
      <x:c r="B348" s="3" t="str">
        <x:v>Model run</x:v>
      </x:c>
      <x:c r="C348" s="3" t="str">
        <x:v>A77</x:v>
      </x:c>
      <x:c r="D348" s="3" t="str">
        <x:v>assumptions/2026/reference/vehicle_parameters_stone2018.csv</x:v>
      </x:c>
      <x:c r="E348" s="3" t="str">
        <x:v>assumptions/2026/reference/vehicle_parameters_stone2018.csv</x:v>
      </x:c>
    </x:row>
    <x:row r="349" ht="42" customHeight="1">
      <x:c r="A349" s="3" t="str">
        <x:v>N345</x:v>
      </x:c>
      <x:c r="B349" s="3" t="str">
        <x:v>Model run</x:v>
      </x:c>
      <x:c r="C349" s="3" t="str">
        <x:v>A78</x:v>
      </x:c>
      <x:c r="D349" s="3" t="str">
        <x:v>assumptions/2026/reference/vehicle_parameters_stone2018.sources.yaml</x:v>
      </x:c>
      <x:c r="E349" s="3" t="str">
        <x:v>assumptions/2026/reference/vehicle_parameters_stone2018.sources.yaml</x:v>
      </x:c>
    </x:row>
    <x:row r="350" ht="42" customHeight="1">
      <x:c r="A350" s="3" t="str">
        <x:v>N346</x:v>
      </x:c>
      <x:c r="B350" s="3" t="str">
        <x:v>Model run</x:v>
      </x:c>
      <x:c r="C350" s="3" t="str">
        <x:v>A79</x:v>
      </x:c>
      <x:c r="D350" s="3" t="str">
        <x:v>assumptions/2026/reference/vehicle_population_by_fuel_dot2023.csv</x:v>
      </x:c>
      <x:c r="E350" s="3" t="str">
        <x:v>assumptions/2026/reference/vehicle_population_by_fuel_dot2023.csv</x:v>
      </x:c>
    </x:row>
    <x:row r="351" ht="42" customHeight="1">
      <x:c r="A351" s="3" t="str">
        <x:v>N347</x:v>
      </x:c>
      <x:c r="B351" s="3" t="str">
        <x:v>Model run</x:v>
      </x:c>
      <x:c r="C351" s="3" t="str">
        <x:v>A80</x:v>
      </x:c>
      <x:c r="D351" s="3" t="str">
        <x:v>assumptions/2026/reference/vehicle_population_by_fuel_dot2023.sources.yaml</x:v>
      </x:c>
      <x:c r="E351" s="3" t="str">
        <x:v>assumptions/2026/reference/vehicle_population_by_fuel_dot2023.sources.yaml</x:v>
      </x:c>
    </x:row>
    <x:row r="352" ht="42" customHeight="1">
      <x:c r="A352" s="3" t="str">
        <x:v>N348</x:v>
      </x:c>
      <x:c r="B352" s="3" t="str">
        <x:v>Model run</x:v>
      </x:c>
      <x:c r="C352" s="3" t="str">
        <x:v>A87</x:v>
      </x:c>
      <x:c r="D352" s="3" t="str">
        <x:v>assumptions/2026/timeseries/air_traffic_acsa_annual.csv</x:v>
      </x:c>
      <x:c r="E352" s="3" t="str">
        <x:v>assumptions/2026/timeseries/air_traffic_acsa_annual.csv</x:v>
      </x:c>
    </x:row>
    <x:row r="353" ht="42" customHeight="1">
      <x:c r="A353" s="3" t="str">
        <x:v>N349</x:v>
      </x:c>
      <x:c r="B353" s="3" t="str">
        <x:v>Model run</x:v>
      </x:c>
      <x:c r="C353" s="3" t="str">
        <x:v>A89</x:v>
      </x:c>
      <x:c r="D353" s="3" t="str">
        <x:v>assumptions/2026/timeseries/efficiency_improvement_diesel.csv</x:v>
      </x:c>
      <x:c r="E353" s="3" t="str">
        <x:v>assumptions/2026/timeseries/efficiency_improvement_diesel.csv</x:v>
      </x:c>
    </x:row>
    <x:row r="354" ht="42" customHeight="1">
      <x:c r="A354" s="3" t="str">
        <x:v>N350</x:v>
      </x:c>
      <x:c r="B354" s="3" t="str">
        <x:v>Model run</x:v>
      </x:c>
      <x:c r="C354" s="3" t="str">
        <x:v>A90</x:v>
      </x:c>
      <x:c r="D354" s="3" t="str">
        <x:v>assumptions/2026/timeseries/efficiency_improvement_gasoline.csv</x:v>
      </x:c>
      <x:c r="E354" s="3" t="str">
        <x:v>assumptions/2026/timeseries/efficiency_improvement_gasoline.csv</x:v>
      </x:c>
    </x:row>
    <x:row r="355" ht="42" customHeight="1">
      <x:c r="A355" s="3" t="str">
        <x:v>N351</x:v>
      </x:c>
      <x:c r="B355" s="3" t="str">
        <x:v>Model run</x:v>
      </x:c>
      <x:c r="C355" s="3" t="str">
        <x:v>A91</x:v>
      </x:c>
      <x:c r="D355" s="3" t="str">
        <x:v>assumptions/2026/timeseries/energy_balance_department.csv</x:v>
      </x:c>
      <x:c r="E355" s="3" t="str">
        <x:v>assumptions/2026/timeseries/energy_balance_department.csv</x:v>
      </x:c>
    </x:row>
    <x:row r="356" ht="42" customHeight="1">
      <x:c r="A356" s="3" t="str">
        <x:v>N352</x:v>
      </x:c>
      <x:c r="B356" s="3" t="str">
        <x:v>Model run</x:v>
      </x:c>
      <x:c r="C356" s="3" t="str">
        <x:v>A92</x:v>
      </x:c>
      <x:c r="D356" s="3" t="str">
        <x:v>assumptions/2026/timeseries/energy_department.sources.yaml</x:v>
      </x:c>
      <x:c r="E356" s="3" t="str">
        <x:v>assumptions/2026/timeseries/energy_department.sources.yaml</x:v>
      </x:c>
    </x:row>
    <x:row r="357" ht="42" customHeight="1">
      <x:c r="A357" s="3" t="str">
        <x:v>N353</x:v>
      </x:c>
      <x:c r="B357" s="3" t="str">
        <x:v>Model run</x:v>
      </x:c>
      <x:c r="C357" s="3" t="str">
        <x:v>A93</x:v>
      </x:c>
      <x:c r="D357" s="3" t="str">
        <x:v>assumptions/2026/timeseries/freight_payload_statssa_review.csv</x:v>
      </x:c>
      <x:c r="E357" s="3" t="str">
        <x:v>assumptions/2026/timeseries/freight_payload_statssa_review.csv</x:v>
      </x:c>
    </x:row>
    <x:row r="358" ht="42" customHeight="1">
      <x:c r="A358" s="3" t="str">
        <x:v>N354</x:v>
      </x:c>
      <x:c r="B358" s="3" t="str">
        <x:v>Model run</x:v>
      </x:c>
      <x:c r="C358" s="3" t="str">
        <x:v>A94</x:v>
      </x:c>
      <x:c r="D358" s="3" t="str">
        <x:v>assumptions/2026/timeseries/fuel_lever_design_2026_10_07.csv</x:v>
      </x:c>
      <x:c r="E358" s="3" t="str">
        <x:v>assumptions/2026/timeseries/fuel_lever_design_2026_10_07.csv</x:v>
      </x:c>
    </x:row>
    <x:row r="359" ht="42" customHeight="1">
      <x:c r="A359" s="3" t="str">
        <x:v>N355</x:v>
      </x:c>
      <x:c r="B359" s="3" t="str">
        <x:v>Model run</x:v>
      </x:c>
      <x:c r="C359" s="3" t="str">
        <x:v>A95</x:v>
      </x:c>
      <x:c r="D359" s="3" t="str">
        <x:v>assumptions/2026/timeseries/fuel_prices_department.csv</x:v>
      </x:c>
      <x:c r="E359" s="3" t="str">
        <x:v>assumptions/2026/timeseries/fuel_prices_department.csv</x:v>
      </x:c>
    </x:row>
    <x:row r="360" ht="42" customHeight="1">
      <x:c r="A360" s="3" t="str">
        <x:v>N356</x:v>
      </x:c>
      <x:c r="B360" s="3" t="str">
        <x:v>Model run</x:v>
      </x:c>
      <x:c r="C360" s="3" t="str">
        <x:v>A96</x:v>
      </x:c>
      <x:c r="D360" s="3" t="str">
        <x:v>assumptions/2026/timeseries/fuel_prices_department_annual.csv</x:v>
      </x:c>
      <x:c r="E360" s="3" t="str">
        <x:v>assumptions/2026/timeseries/fuel_prices_department_annual.csv</x:v>
      </x:c>
    </x:row>
    <x:row r="361" ht="42" customHeight="1">
      <x:c r="A361" s="3" t="str">
        <x:v>N357</x:v>
      </x:c>
      <x:c r="B361" s="3" t="str">
        <x:v>Model run</x:v>
      </x:c>
      <x:c r="C361" s="3" t="str">
        <x:v>A97</x:v>
      </x:c>
      <x:c r="D361" s="3" t="str">
        <x:v>assumptions/2026/timeseries/fuel_sales_department.csv</x:v>
      </x:c>
      <x:c r="E361" s="3" t="str">
        <x:v>assumptions/2026/timeseries/fuel_sales_department.csv</x:v>
      </x:c>
    </x:row>
    <x:row r="362" ht="42" customHeight="1">
      <x:c r="A362" s="3" t="str">
        <x:v>N358</x:v>
      </x:c>
      <x:c r="B362" s="3" t="str">
        <x:v>Model run</x:v>
      </x:c>
      <x:c r="C362" s="3" t="str">
        <x:v>A98</x:v>
      </x:c>
      <x:c r="D362" s="3" t="str">
        <x:v>assumptions/2026/timeseries/fuel_sales_department_by_province.csv</x:v>
      </x:c>
      <x:c r="E362" s="3" t="str">
        <x:v>assumptions/2026/timeseries/fuel_sales_department_by_province.csv</x:v>
      </x:c>
    </x:row>
    <x:row r="363" ht="42" customHeight="1">
      <x:c r="A363" s="3" t="str">
        <x:v>N359</x:v>
      </x:c>
      <x:c r="B363" s="3" t="str">
        <x:v>Model run</x:v>
      </x:c>
      <x:c r="C363" s="3" t="str">
        <x:v>A99</x:v>
      </x:c>
      <x:c r="D363" s="3" t="str">
        <x:v>assumptions/2026/timeseries/fuel_sales_department_by_province_quarterly.csv</x:v>
      </x:c>
      <x:c r="E363" s="3" t="str">
        <x:v>assumptions/2026/timeseries/fuel_sales_department_by_province_quarterly.csv</x:v>
      </x:c>
    </x:row>
    <x:row r="364" ht="42" customHeight="1">
      <x:c r="A364" s="3" t="str">
        <x:v>N360</x:v>
      </x:c>
      <x:c r="B364" s="3" t="str">
        <x:v>Model run</x:v>
      </x:c>
      <x:c r="C364" s="3" t="str">
        <x:v>A100</x:v>
      </x:c>
      <x:c r="D364" s="3" t="str">
        <x:v>assumptions/2026/timeseries/fuel_sales_department_quarterly.csv</x:v>
      </x:c>
      <x:c r="E364" s="3" t="str">
        <x:v>assumptions/2026/timeseries/fuel_sales_department_quarterly.csv</x:v>
      </x:c>
    </x:row>
    <x:row r="365" ht="42" customHeight="1">
      <x:c r="A365" s="3" t="str">
        <x:v>N361</x:v>
      </x:c>
      <x:c r="B365" s="3" t="str">
        <x:v>Model run</x:v>
      </x:c>
      <x:c r="C365" s="3" t="str">
        <x:v>A102</x:v>
      </x:c>
      <x:c r="D365" s="3" t="str">
        <x:v>assumptions/2026/timeseries/fuel_sales_fiasa.sources.yaml</x:v>
      </x:c>
      <x:c r="E365" s="3" t="str">
        <x:v>assumptions/2026/timeseries/fuel_sales_fiasa.sources.yaml</x:v>
      </x:c>
    </x:row>
    <x:row r="366" ht="42" customHeight="1">
      <x:c r="A366" s="3" t="str">
        <x:v>N362</x:v>
      </x:c>
      <x:c r="B366" s="3" t="str">
        <x:v>Model run</x:v>
      </x:c>
      <x:c r="C366" s="3" t="str">
        <x:v>A103</x:v>
      </x:c>
      <x:c r="D366" s="3" t="str">
        <x:v>assumptions/2026/timeseries/fuel_trade_department_review.csv</x:v>
      </x:c>
      <x:c r="E366" s="3" t="str">
        <x:v>assumptions/2026/timeseries/fuel_trade_department_review.csv</x:v>
      </x:c>
    </x:row>
    <x:row r="367" ht="42" customHeight="1">
      <x:c r="A367" s="3" t="str">
        <x:v>N363</x:v>
      </x:c>
      <x:c r="B367" s="3" t="str">
        <x:v>Model run</x:v>
      </x:c>
      <x:c r="C367" s="3" t="str">
        <x:v>A107</x:v>
      </x:c>
      <x:c r="D367" s="3" t="str">
        <x:v>assumptions/2026/timeseries/gdp_growth_treasury.csv</x:v>
      </x:c>
      <x:c r="E367" s="3" t="str">
        <x:v>assumptions/2026/timeseries/gdp_growth_treasury.csv</x:v>
      </x:c>
    </x:row>
    <x:row r="368" ht="42" customHeight="1">
      <x:c r="A368" s="3" t="str">
        <x:v>N364</x:v>
      </x:c>
      <x:c r="B368" s="3" t="str">
        <x:v>Model run</x:v>
      </x:c>
      <x:c r="C368" s="3" t="str">
        <x:v>A115</x:v>
      </x:c>
      <x:c r="D368" s="3" t="str">
        <x:v>assumptions/2026/timeseries/new_vehicle_market_naamsa.csv</x:v>
      </x:c>
      <x:c r="E368" s="3" t="str">
        <x:v>assumptions/2026/timeseries/new_vehicle_market_naamsa.csv</x:v>
      </x:c>
    </x:row>
    <x:row r="369" ht="42" customHeight="1">
      <x:c r="A369" s="3" t="str">
        <x:v>N365</x:v>
      </x:c>
      <x:c r="B369" s="3" t="str">
        <x:v>Model run</x:v>
      </x:c>
      <x:c r="C369" s="3" t="str">
        <x:v>A116</x:v>
      </x:c>
      <x:c r="D369" s="3" t="str">
        <x:v>assumptions/2026/timeseries/new_vehicle_registrations_natis.csv</x:v>
      </x:c>
      <x:c r="E369" s="3" t="str">
        <x:v>assumptions/2026/timeseries/new_vehicle_registrations_natis.csv</x:v>
      </x:c>
    </x:row>
    <x:row r="370" ht="42" customHeight="1">
      <x:c r="A370" s="3" t="str">
        <x:v>N366</x:v>
      </x:c>
      <x:c r="B370" s="3" t="str">
        <x:v>Model run</x:v>
      </x:c>
      <x:c r="C370" s="3" t="str">
        <x:v>A117</x:v>
      </x:c>
      <x:c r="D370" s="3" t="str">
        <x:v>assumptions/2026/timeseries/new_vehicle_registrations_natis_annual.csv</x:v>
      </x:c>
      <x:c r="E370" s="3" t="str">
        <x:v>assumptions/2026/timeseries/new_vehicle_registrations_natis_annual.csv</x:v>
      </x:c>
    </x:row>
    <x:row r="371" ht="42" customHeight="1">
      <x:c r="A371" s="3" t="str">
        <x:v>N367</x:v>
      </x:c>
      <x:c r="B371" s="3" t="str">
        <x:v>Model run</x:v>
      </x:c>
      <x:c r="C371" s="3" t="str">
        <x:v>A118</x:v>
      </x:c>
      <x:c r="D371" s="3" t="str">
        <x:v>assumptions/2026/timeseries/ocgt_generation_eskom.csv</x:v>
      </x:c>
      <x:c r="E371" s="3" t="str">
        <x:v>assumptions/2026/timeseries/ocgt_generation_eskom.csv</x:v>
      </x:c>
    </x:row>
    <x:row r="372" ht="42" customHeight="1">
      <x:c r="A372" s="3" t="str">
        <x:v>N368</x:v>
      </x:c>
      <x:c r="B372" s="3" t="str">
        <x:v>Model run</x:v>
      </x:c>
      <x:c r="C372" s="3" t="str">
        <x:v>A119</x:v>
      </x:c>
      <x:c r="D372" s="3" t="str">
        <x:v>assumptions/2026/timeseries/ocgt_generation_eskom.sources.yaml</x:v>
      </x:c>
      <x:c r="E372" s="3" t="str">
        <x:v>assumptions/2026/timeseries/ocgt_generation_eskom.sources.yaml</x:v>
      </x:c>
    </x:row>
    <x:row r="373" ht="42" customHeight="1">
      <x:c r="A373" s="3" t="str">
        <x:v>N369</x:v>
      </x:c>
      <x:c r="B373" s="3" t="str">
        <x:v>Model run</x:v>
      </x:c>
      <x:c r="C373" s="3" t="str">
        <x:v>A122</x:v>
      </x:c>
      <x:c r="D373" s="3" t="str">
        <x:v>assumptions/2026/timeseries/passenger_departures.csv</x:v>
      </x:c>
      <x:c r="E373" s="3" t="str">
        <x:v>assumptions/2026/timeseries/passenger_departures.csv</x:v>
      </x:c>
    </x:row>
    <x:row r="374" ht="42" customHeight="1">
      <x:c r="A374" s="3" t="str">
        <x:v>N370</x:v>
      </x:c>
      <x:c r="B374" s="3" t="str">
        <x:v>Model run</x:v>
      </x:c>
      <x:c r="C374" s="3" t="str">
        <x:v>A124</x:v>
      </x:c>
      <x:c r="D374" s="3" t="str">
        <x:v>assumptions/2026/timeseries/refinery_capacity_reported.csv</x:v>
      </x:c>
      <x:c r="E374" s="3" t="str">
        <x:v>assumptions/2026/timeseries/refinery_capacity_reported.csv</x:v>
      </x:c>
    </x:row>
    <x:row r="375" ht="42" customHeight="1">
      <x:c r="A375" s="3" t="str">
        <x:v>N371</x:v>
      </x:c>
      <x:c r="B375" s="3" t="str">
        <x:v>Model run</x:v>
      </x:c>
      <x:c r="C375" s="3" t="str">
        <x:v>A125</x:v>
      </x:c>
      <x:c r="D375" s="3" t="str">
        <x:v>assumptions/2026/timeseries/refinery_production.csv</x:v>
      </x:c>
      <x:c r="E375" s="3" t="str">
        <x:v>assumptions/2026/timeseries/refinery_production.csv</x:v>
      </x:c>
    </x:row>
    <x:row r="376" ht="42" customHeight="1">
      <x:c r="A376" s="3" t="str">
        <x:v>N372</x:v>
      </x:c>
      <x:c r="B376" s="3" t="str">
        <x:v>Model run</x:v>
      </x:c>
      <x:c r="C376" s="3" t="str">
        <x:v>A126</x:v>
      </x:c>
      <x:c r="D376" s="3" t="str">
        <x:v>assumptions/2026/timeseries/vehicle_population_natis.csv</x:v>
      </x:c>
      <x:c r="E376" s="3" t="str">
        <x:v>assumptions/2026/timeseries/vehicle_population_natis.csv</x:v>
      </x:c>
    </x:row>
  </x:sheetData>
  <x:pageMargins left="0.7" right="0.7" top="0.75" bottom="0.75" header="0.3" footer="0.3"/>
</x:worksheet>
</file>