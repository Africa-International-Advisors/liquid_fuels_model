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s" sheetId="1" state="visible" r:id="rId1"/>
    <sheet xmlns:r="http://schemas.openxmlformats.org/officeDocument/2006/relationships" name="DR01 national balance" sheetId="2" state="visible" r:id="rId2"/>
    <sheet xmlns:r="http://schemas.openxmlformats.org/officeDocument/2006/relationships" name="DR01 sales by province" sheetId="3" state="visible" r:id="rId3"/>
    <sheet xmlns:r="http://schemas.openxmlformats.org/officeDocument/2006/relationships" name="DR01 demand by sector" sheetId="4" state="visible" r:id="rId4"/>
    <sheet xmlns:r="http://schemas.openxmlformats.org/officeDocument/2006/relationships" name="DR01 sector activity" sheetId="5" state="visible" r:id="rId5"/>
    <sheet xmlns:r="http://schemas.openxmlformats.org/officeDocument/2006/relationships" name="DR04 routes and access" sheetId="6" state="visible" r:id="rId6"/>
    <sheet xmlns:r="http://schemas.openxmlformats.org/officeDocument/2006/relationships" name="DR04 entry points" sheetId="7" state="visible" r:id="rId7"/>
    <sheet xmlns:r="http://schemas.openxmlformats.org/officeDocument/2006/relationships" name="DR04 transport cost" sheetId="8" state="visible" r:id="rId8"/>
    <sheet xmlns:r="http://schemas.openxmlformats.org/officeDocument/2006/relationships" name="DR07 demand evidence" sheetId="9" state="visible" r:id="rId9"/>
    <sheet xmlns:r="http://schemas.openxmlformats.org/officeDocument/2006/relationships" name="DR07 fleet by province" sheetId="10" state="visible" r:id="rId10"/>
    <sheet xmlns:r="http://schemas.openxmlformats.org/officeDocument/2006/relationships" name="DR08 refinery supply" sheetId="11" state="visible" r:id="rId11"/>
    <sheet xmlns:r="http://schemas.openxmlformats.org/officeDocument/2006/relationships" name="Market sizing" sheetId="12" state="visible" r:id="rId12"/>
    <sheet xmlns:r="http://schemas.openxmlformats.org/officeDocument/2006/relationships" name="Not available" sheetId="13" state="visible" r:id="rId13"/>
  </sheets>
  <definedNames/>
  <calcPr calcId="124519" fullCalcOnLoad="1"/>
</workbook>
</file>

<file path=xl/styles.xml><?xml version="1.0" encoding="utf-8"?>
<styleSheet xmlns="http://schemas.openxmlformats.org/spreadsheetml/2006/main">
  <numFmts count="4">
    <numFmt numFmtId="164" formatCode="[&gt;=0.005]0.00;[&lt;=-0.005]-0.00;0.00"/>
    <numFmt numFmtId="165" formatCode="#,##0.0"/>
    <numFmt numFmtId="166" formatCode="0.0"/>
    <numFmt numFmtId="167" formatCode="0.0%"/>
  </numFmts>
  <fonts count="7">
    <font>
      <name val="Calibri"/>
      <family val="2"/>
      <color theme="1"/>
      <sz val="11"/>
      <scheme val="minor"/>
    </font>
    <font>
      <name val="Arial"/>
      <b val="1"/>
      <color rgb="FF243B53"/>
      <sz val="15"/>
    </font>
    <font>
      <name val="Arial"/>
      <color rgb="FF243B53"/>
      <sz val="10"/>
    </font>
    <font>
      <name val="Arial"/>
      <b val="1"/>
      <color rgb="FF243B53"/>
      <sz val="10"/>
    </font>
    <font>
      <name val="Arial"/>
      <b val="1"/>
      <color rgb="FFFFFFFF"/>
      <sz val="10"/>
    </font>
    <font>
      <name val="Arial"/>
      <i val="1"/>
      <color rgb="FF243B53"/>
      <sz val="10"/>
    </font>
    <font>
      <name val="Arial"/>
      <color rgb="FF243B53"/>
      <sz val="10"/>
      <u val="single"/>
    </font>
  </fonts>
  <fills count="8">
    <fill>
      <patternFill/>
    </fill>
    <fill>
      <patternFill patternType="gray125"/>
    </fill>
    <fill>
      <patternFill patternType="solid">
        <fgColor rgb="FFEAF0F5"/>
      </patternFill>
    </fill>
    <fill>
      <patternFill patternType="solid">
        <fgColor rgb="FF243B53"/>
      </patternFill>
    </fill>
    <fill>
      <patternFill patternType="solid">
        <fgColor rgb="FFEDF3FA"/>
      </patternFill>
    </fill>
    <fill>
      <patternFill patternType="solid">
        <fgColor rgb="FFFFF2CC"/>
      </patternFill>
    </fill>
    <fill>
      <patternFill patternType="solid">
        <fgColor rgb="FFFFFFFF"/>
      </patternFill>
    </fill>
    <fill>
      <patternFill patternType="solid">
        <fgColor rgb="FFF4F4F4"/>
      </patternFill>
    </fill>
  </fills>
  <borders count="1">
    <border>
      <left/>
      <right/>
      <top/>
      <bottom/>
      <diagonal/>
    </border>
  </borders>
  <cellStyleXfs count="1">
    <xf numFmtId="0" fontId="0" fillId="0" borderId="0"/>
  </cellStyleXfs>
  <cellXfs count="72">
    <xf numFmtId="0" fontId="0" fillId="0" borderId="0" pivotButton="0" quotePrefix="0" xfId="0"/>
    <xf numFmtId="0" fontId="1" fillId="0" borderId="0" pivotButton="0" quotePrefix="0" xfId="0"/>
    <xf numFmtId="0" fontId="2" fillId="0" borderId="0" pivotButton="0" quotePrefix="0" xfId="0"/>
    <xf numFmtId="0" fontId="4" fillId="3" borderId="0" pivotButton="0" quotePrefix="0" xfId="0"/>
    <xf numFmtId="0" fontId="6"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2" fillId="4" borderId="0" pivotButton="0" quotePrefix="0" xfId="0"/>
    <xf numFmtId="0" fontId="2" fillId="6" borderId="0" pivotButton="0" quotePrefix="0" xfId="0"/>
    <xf numFmtId="0" fontId="2" fillId="5" borderId="0" pivotButton="0" quotePrefix="0" xfId="0"/>
    <xf numFmtId="0" fontId="3" fillId="2" borderId="0" applyAlignment="1" pivotButton="0" quotePrefix="0" xfId="0">
      <alignment vertical="top"/>
    </xf>
    <xf numFmtId="164" fontId="3" fillId="2" borderId="0" applyAlignment="1" pivotButton="0" quotePrefix="0" xfId="0">
      <alignment vertical="top"/>
    </xf>
    <xf numFmtId="0" fontId="3" fillId="2" borderId="0" applyAlignment="1" pivotButton="0" quotePrefix="0" xfId="0">
      <alignment vertical="top" wrapText="1"/>
    </xf>
    <xf numFmtId="0" fontId="4" fillId="3" borderId="0" applyAlignment="1" pivotButton="0" quotePrefix="0" xfId="0">
      <alignment vertical="top"/>
    </xf>
    <xf numFmtId="0" fontId="4" fillId="3" borderId="0" applyAlignment="1" pivotButton="0" quotePrefix="0" xfId="0">
      <alignment vertical="top" wrapText="1"/>
    </xf>
    <xf numFmtId="0" fontId="2" fillId="4" borderId="0" applyAlignment="1" pivotButton="0" quotePrefix="0" xfId="0">
      <alignment vertical="top"/>
    </xf>
    <xf numFmtId="164" fontId="2" fillId="4" borderId="0" applyAlignment="1" pivotButton="0" quotePrefix="0" xfId="0">
      <alignment vertical="top"/>
    </xf>
    <xf numFmtId="0" fontId="2" fillId="4" borderId="0" applyAlignment="1" pivotButton="0" quotePrefix="0" xfId="0">
      <alignment vertical="top" wrapText="1"/>
    </xf>
    <xf numFmtId="0" fontId="2" fillId="5" borderId="0" applyAlignment="1" pivotButton="0" quotePrefix="0" xfId="0">
      <alignment vertical="top"/>
    </xf>
    <xf numFmtId="164" fontId="2" fillId="5" borderId="0" applyAlignment="1" pivotButton="0" quotePrefix="0" xfId="0">
      <alignment vertical="top"/>
    </xf>
    <xf numFmtId="0" fontId="2" fillId="5" borderId="0" applyAlignment="1" pivotButton="0" quotePrefix="0" xfId="0">
      <alignment vertical="top" wrapText="1"/>
    </xf>
    <xf numFmtId="0" fontId="2" fillId="6" borderId="0" applyAlignment="1" pivotButton="0" quotePrefix="0" xfId="0">
      <alignment vertical="top"/>
    </xf>
    <xf numFmtId="164" fontId="2" fillId="6" borderId="0" applyAlignment="1" pivotButton="0" quotePrefix="0" xfId="0">
      <alignment vertical="top"/>
    </xf>
    <xf numFmtId="0" fontId="2" fillId="6" borderId="0" applyAlignment="1" pivotButton="0" quotePrefix="0" xfId="0">
      <alignment vertical="top" wrapText="1"/>
    </xf>
    <xf numFmtId="0" fontId="3" fillId="6" borderId="0" applyAlignment="1" pivotButton="0" quotePrefix="0" xfId="0">
      <alignment vertical="top"/>
    </xf>
    <xf numFmtId="164" fontId="3" fillId="6" borderId="0" applyAlignment="1" pivotButton="0" quotePrefix="0" xfId="0">
      <alignment vertical="top"/>
    </xf>
    <xf numFmtId="0" fontId="3" fillId="6" borderId="0" applyAlignment="1" pivotButton="0" quotePrefix="0" xfId="0">
      <alignment vertical="top" wrapText="1"/>
    </xf>
    <xf numFmtId="0" fontId="2" fillId="7" borderId="0" applyAlignment="1" pivotButton="0" quotePrefix="0" xfId="0">
      <alignment vertical="top"/>
    </xf>
    <xf numFmtId="164" fontId="2" fillId="7" borderId="0" applyAlignment="1" pivotButton="0" quotePrefix="0" xfId="0">
      <alignment vertical="top"/>
    </xf>
    <xf numFmtId="0" fontId="2" fillId="7" borderId="0" applyAlignment="1" pivotButton="0" quotePrefix="0" xfId="0">
      <alignment vertical="top" wrapText="1"/>
    </xf>
    <xf numFmtId="0" fontId="3" fillId="4" borderId="0" applyAlignment="1" pivotButton="0" quotePrefix="0" xfId="0">
      <alignment vertical="top"/>
    </xf>
    <xf numFmtId="164" fontId="3" fillId="4" borderId="0" applyAlignment="1" pivotButton="0" quotePrefix="0" xfId="0">
      <alignment vertical="top"/>
    </xf>
    <xf numFmtId="0" fontId="3" fillId="4" borderId="0" applyAlignment="1" pivotButton="0" quotePrefix="0" xfId="0">
      <alignment vertical="top" wrapText="1"/>
    </xf>
    <xf numFmtId="165" fontId="2" fillId="4" borderId="0" applyAlignment="1" pivotButton="0" quotePrefix="0" xfId="0">
      <alignment vertical="top"/>
    </xf>
    <xf numFmtId="4" fontId="2" fillId="6" borderId="0" applyAlignment="1" pivotButton="0" quotePrefix="0" xfId="0">
      <alignment vertical="top"/>
    </xf>
    <xf numFmtId="0" fontId="3" fillId="2" borderId="0" applyAlignment="1" pivotButton="0" quotePrefix="0" xfId="0">
      <alignment horizontal="left" vertical="top" wrapText="1"/>
    </xf>
    <xf numFmtId="0" fontId="4" fillId="3" borderId="0" applyAlignment="1" pivotButton="0" quotePrefix="0" xfId="0">
      <alignment horizontal="left" vertical="top" wrapText="1"/>
    </xf>
    <xf numFmtId="0" fontId="4" fillId="3" borderId="0" applyAlignment="1" pivotButton="0" quotePrefix="0" xfId="0">
      <alignment horizontal="right" vertical="top" wrapText="1"/>
    </xf>
    <xf numFmtId="0" fontId="2" fillId="4" borderId="0" applyAlignment="1" pivotButton="0" quotePrefix="0" xfId="0">
      <alignment horizontal="left" vertical="top" wrapText="1"/>
    </xf>
    <xf numFmtId="3" fontId="2" fillId="4" borderId="0" applyAlignment="1" pivotButton="0" quotePrefix="0" xfId="0">
      <alignment horizontal="right" vertical="top" wrapText="1"/>
    </xf>
    <xf numFmtId="4" fontId="2" fillId="4" borderId="0" applyAlignment="1" pivotButton="0" quotePrefix="0" xfId="0">
      <alignment horizontal="right" vertical="top" wrapText="1"/>
    </xf>
    <xf numFmtId="3" fontId="2" fillId="4" borderId="0" applyAlignment="1" pivotButton="0" quotePrefix="0" xfId="0">
      <alignment horizontal="left" vertical="top" wrapText="1"/>
    </xf>
    <xf numFmtId="0" fontId="2" fillId="6" borderId="0" applyAlignment="1" pivotButton="0" quotePrefix="0" xfId="0">
      <alignment horizontal="left" vertical="top" wrapText="1"/>
    </xf>
    <xf numFmtId="4" fontId="2" fillId="6" borderId="0" applyAlignment="1" pivotButton="0" quotePrefix="0" xfId="0">
      <alignment horizontal="left" vertical="top" wrapText="1"/>
    </xf>
    <xf numFmtId="4" fontId="2" fillId="6" borderId="0" applyAlignment="1" pivotButton="0" quotePrefix="0" xfId="0">
      <alignment horizontal="right" vertical="top" wrapText="1"/>
    </xf>
    <xf numFmtId="0" fontId="2" fillId="5" borderId="0" applyAlignment="1" pivotButton="0" quotePrefix="0" xfId="0">
      <alignment horizontal="left" vertical="top" wrapText="1"/>
    </xf>
    <xf numFmtId="3" fontId="2" fillId="6" borderId="0" applyAlignment="1" pivotButton="0" quotePrefix="0" xfId="0">
      <alignment horizontal="right" vertical="top" wrapText="1"/>
    </xf>
    <xf numFmtId="4" fontId="2" fillId="4" borderId="0" applyAlignment="1" pivotButton="0" quotePrefix="0" xfId="0">
      <alignment horizontal="left" vertical="top" wrapText="1"/>
    </xf>
    <xf numFmtId="0" fontId="3" fillId="2" borderId="0" pivotButton="0" quotePrefix="0" xfId="0"/>
    <xf numFmtId="0" fontId="2" fillId="4" borderId="0" applyAlignment="1" pivotButton="0" quotePrefix="0" xfId="0">
      <alignment horizontal="left" vertical="top"/>
    </xf>
    <xf numFmtId="164" fontId="2" fillId="4" borderId="0" applyAlignment="1" pivotButton="0" quotePrefix="0" xfId="0">
      <alignment horizontal="right" vertical="top"/>
    </xf>
    <xf numFmtId="0" fontId="3" fillId="6" borderId="0" applyAlignment="1" pivotButton="0" quotePrefix="0" xfId="0">
      <alignment horizontal="left" vertical="top"/>
    </xf>
    <xf numFmtId="0" fontId="2" fillId="6" borderId="0" applyAlignment="1" pivotButton="0" quotePrefix="0" xfId="0">
      <alignment horizontal="left" vertical="top"/>
    </xf>
    <xf numFmtId="164" fontId="2" fillId="6" borderId="0" applyAlignment="1" pivotButton="0" quotePrefix="0" xfId="0">
      <alignment horizontal="right" vertical="top"/>
    </xf>
    <xf numFmtId="9" fontId="2" fillId="6" borderId="0" applyAlignment="1" pivotButton="0" quotePrefix="0" xfId="0">
      <alignment horizontal="right" vertical="top"/>
    </xf>
    <xf numFmtId="2" fontId="2" fillId="4" borderId="0" applyAlignment="1" pivotButton="0" quotePrefix="0" xfId="0">
      <alignment horizontal="right" vertical="top"/>
    </xf>
    <xf numFmtId="2" fontId="5" fillId="4" borderId="0" applyAlignment="1" pivotButton="0" quotePrefix="0" xfId="0">
      <alignment horizontal="right" vertical="top"/>
    </xf>
    <xf numFmtId="0" fontId="2" fillId="5" borderId="0" applyAlignment="1" pivotButton="0" quotePrefix="0" xfId="0">
      <alignment horizontal="left" vertical="top"/>
    </xf>
    <xf numFmtId="2" fontId="2" fillId="5" borderId="0" applyAlignment="1" pivotButton="0" quotePrefix="0" xfId="0">
      <alignment horizontal="right" vertical="top"/>
    </xf>
    <xf numFmtId="0" fontId="3" fillId="4" borderId="0" applyAlignment="1" pivotButton="0" quotePrefix="0" xfId="0">
      <alignment horizontal="left" vertical="top"/>
    </xf>
    <xf numFmtId="0" fontId="2" fillId="4" borderId="0" applyAlignment="1" pivotButton="0" quotePrefix="0" xfId="0">
      <alignment horizontal="right" vertical="top"/>
    </xf>
    <xf numFmtId="166" fontId="2" fillId="4" borderId="0" applyAlignment="1" pivotButton="0" quotePrefix="0" xfId="0">
      <alignment horizontal="right" vertical="top"/>
    </xf>
    <xf numFmtId="166" fontId="2" fillId="6" borderId="0" applyAlignment="1" pivotButton="0" quotePrefix="0" xfId="0">
      <alignment horizontal="right" vertical="top"/>
    </xf>
    <xf numFmtId="165" fontId="2" fillId="4" borderId="0" applyAlignment="1" pivotButton="0" quotePrefix="0" xfId="0">
      <alignment horizontal="right" vertical="top" wrapText="1"/>
    </xf>
    <xf numFmtId="3" fontId="2" fillId="6" borderId="0" applyAlignment="1" pivotButton="0" quotePrefix="0" xfId="0">
      <alignment horizontal="left" vertical="top" wrapText="1"/>
    </xf>
    <xf numFmtId="165" fontId="2" fillId="6" borderId="0" applyAlignment="1" pivotButton="0" quotePrefix="0" xfId="0">
      <alignment horizontal="left" vertical="top" wrapText="1"/>
    </xf>
    <xf numFmtId="3" fontId="2" fillId="4" borderId="0" applyAlignment="1" pivotButton="0" quotePrefix="0" xfId="0">
      <alignment horizontal="right" vertical="top"/>
    </xf>
    <xf numFmtId="167" fontId="2" fillId="6" borderId="0" applyAlignment="1" pivotButton="0" quotePrefix="0" xfId="0">
      <alignment horizontal="right" vertical="top"/>
    </xf>
    <xf numFmtId="3" fontId="2" fillId="6" borderId="0" applyAlignment="1" pivotButton="0" quotePrefix="0" xfId="0">
      <alignment horizontal="right" vertical="top"/>
    </xf>
    <xf numFmtId="2" fontId="2" fillId="4" borderId="0" applyAlignment="1" pivotButton="0" quotePrefix="0" xfId="0">
      <alignment vertical="top" wrapText="1"/>
    </xf>
    <xf numFmtId="2" fontId="2" fillId="6" borderId="0" applyAlignment="1" pivotButton="0" quotePrefix="0" xfId="0">
      <alignment vertical="top" wrapText="1"/>
    </xf>
    <xf numFmtId="2" fontId="2"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DR01 national balance'!A1" TargetMode="External" Id="rId1"/><Relationship Type="http://schemas.openxmlformats.org/officeDocument/2006/relationships/hyperlink" Target="#'DR01 sales by province'!A1" TargetMode="External" Id="rId2"/><Relationship Type="http://schemas.openxmlformats.org/officeDocument/2006/relationships/hyperlink" Target="#'DR01 demand by sector'!A1" TargetMode="External" Id="rId3"/><Relationship Type="http://schemas.openxmlformats.org/officeDocument/2006/relationships/hyperlink" Target="#'DR01 sector activity'!A1" TargetMode="External" Id="rId4"/><Relationship Type="http://schemas.openxmlformats.org/officeDocument/2006/relationships/hyperlink" Target="#'DR04 routes and access'!A1" TargetMode="External" Id="rId5"/><Relationship Type="http://schemas.openxmlformats.org/officeDocument/2006/relationships/hyperlink" Target="#'DR04 entry points'!A1" TargetMode="External" Id="rId6"/><Relationship Type="http://schemas.openxmlformats.org/officeDocument/2006/relationships/hyperlink" Target="#'DR04 transport cost'!A1" TargetMode="External" Id="rId7"/><Relationship Type="http://schemas.openxmlformats.org/officeDocument/2006/relationships/hyperlink" Target="#'DR07 demand evidence'!A1" TargetMode="External" Id="rId8"/><Relationship Type="http://schemas.openxmlformats.org/officeDocument/2006/relationships/hyperlink" Target="#'DR07 fleet by province'!A1" TargetMode="External" Id="rId9"/><Relationship Type="http://schemas.openxmlformats.org/officeDocument/2006/relationships/hyperlink" Target="#'DR08 refinery supply'!A1" TargetMode="External" Id="rId10"/><Relationship Type="http://schemas.openxmlformats.org/officeDocument/2006/relationships/hyperlink" Target="#'Market sizing'!A1" TargetMode="External" Id="rId11"/><Relationship Type="http://schemas.openxmlformats.org/officeDocument/2006/relationships/hyperlink" Target="#'Not available'!A1" TargetMode="External" Id="rId12"/></Relationships>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26" customWidth="1" min="1" max="1"/>
    <col width="78" customWidth="1" min="2" max="2"/>
    <col width="13" customWidth="1" min="3" max="3"/>
    <col width="12" customWidth="1" min="4" max="4"/>
    <col width="14" customWidth="1" min="5" max="5"/>
  </cols>
  <sheetData>
    <row r="1">
      <c r="A1" s="1" t="inlineStr">
        <is>
          <t>Master data book: sourced data for the South Africa story</t>
        </is>
      </c>
    </row>
    <row r="2">
      <c r="A2" s="2" t="inlineStr">
        <is>
          <t>The one place to look for a sourced figure, set out by data request (DR01, DR04, DR07, DR08). Petrol and diesel only. Every figure names its source. Built by python -m lfm.scripts.build_data_requests_workbook --vintage 2026; do not edit by hand.</t>
        </is>
      </c>
    </row>
    <row r="4">
      <c r="A4" s="3" t="inlineStr">
        <is>
          <t>Sheet</t>
        </is>
      </c>
      <c r="B4" s="3" t="inlineStr">
        <is>
          <t>What it holds</t>
        </is>
      </c>
      <c r="C4" s="3" t="inlineStr">
        <is>
          <t>From source</t>
        </is>
      </c>
      <c r="D4" s="3" t="inlineStr">
        <is>
          <t>Calculated</t>
        </is>
      </c>
      <c r="E4" s="3" t="inlineStr">
        <is>
          <t>Not available</t>
        </is>
      </c>
    </row>
    <row r="5">
      <c r="A5" s="4" t="inlineStr">
        <is>
          <t>DR01 national balance</t>
        </is>
      </c>
      <c r="B5" s="5" t="inlineStr">
        <is>
          <t>Sales, production, imports and exports by year, with the difference between supply and sales</t>
        </is>
      </c>
      <c r="C5" s="5" t="n">
        <v>8</v>
      </c>
      <c r="D5" s="5" t="n">
        <v>2</v>
      </c>
      <c r="E5" s="5" t="n">
        <v>2</v>
      </c>
    </row>
    <row r="6">
      <c r="A6" s="4" t="inlineStr">
        <is>
          <t>DR01 sales by province</t>
        </is>
      </c>
      <c r="B6" s="5" t="inlineStr">
        <is>
          <t>Petrol and diesel sold in each of the nine provinces by year; 2023 estimated</t>
        </is>
      </c>
      <c r="C6" s="5" t="n"/>
      <c r="D6" s="5" t="n"/>
      <c r="E6" s="5" t="n"/>
    </row>
    <row r="7">
      <c r="A7" s="4" t="inlineStr">
        <is>
          <t>DR01 demand by sector</t>
        </is>
      </c>
      <c r="B7" s="5" t="inlineStr">
        <is>
          <t>Diesel and petrol used by industry, mining, agriculture, transport and other sectors, 2014 to 2021</t>
        </is>
      </c>
      <c r="C7" s="5" t="n"/>
      <c r="D7" s="5" t="n"/>
      <c r="E7" s="5" t="n"/>
    </row>
    <row r="8">
      <c r="A8" s="4" t="inlineStr">
        <is>
          <t>DR01 sector activity</t>
        </is>
      </c>
      <c r="B8" s="5" t="inlineStr">
        <is>
          <t>Mining, manufacturing and agriculture: activity to 2025, diesel per unit of activity, and estimated diesel after 2021</t>
        </is>
      </c>
      <c r="C8" s="5" t="n"/>
      <c r="D8" s="5" t="n"/>
      <c r="E8" s="5" t="n"/>
    </row>
    <row r="9">
      <c r="A9" s="4" t="inlineStr">
        <is>
          <t>DR04 routes and access</t>
        </is>
      </c>
      <c r="B9" s="5" t="inlineStr">
        <is>
          <t>Pipeline limit and cost, regulated and published transport costs, port use, access at Durban and Lesedi, competing routes</t>
        </is>
      </c>
      <c r="C9" s="5" t="n">
        <v>66</v>
      </c>
      <c r="D9" s="5" t="n">
        <v>6</v>
      </c>
      <c r="E9" s="5" t="n">
        <v>7</v>
      </c>
    </row>
    <row r="10">
      <c r="A10" s="4" t="inlineStr">
        <is>
          <t>DR04 entry points</t>
        </is>
      </c>
      <c r="B10" s="5" t="inlineStr">
        <is>
          <t>Petrol and diesel imports cleared at each customs office, by year</t>
        </is>
      </c>
      <c r="C10" s="5" t="n"/>
      <c r="D10" s="5" t="n"/>
      <c r="E10" s="5" t="n"/>
    </row>
    <row r="11">
      <c r="A11" s="4" t="inlineStr">
        <is>
          <t>DR04 transport cost</t>
        </is>
      </c>
      <c r="B11" s="5" t="inlineStr">
        <is>
          <t>The Durban to Gauteng route by cost element, and the regulated transport differential for all 54 pricing zones</t>
        </is>
      </c>
      <c r="C11" s="5" t="n"/>
      <c r="D11" s="5" t="n"/>
      <c r="E11" s="5" t="n"/>
    </row>
    <row r="12">
      <c r="A12" s="4" t="inlineStr">
        <is>
          <t>DR07 demand evidence</t>
        </is>
      </c>
      <c r="B12" s="5" t="inlineStr">
        <is>
          <t>Eskom and independent diesel burn, plant dates, vehicle fleet, new vehicles, efficiency, freight and rail</t>
        </is>
      </c>
      <c r="C12" s="5" t="n">
        <v>75</v>
      </c>
      <c r="D12" s="5" t="n">
        <v>21</v>
      </c>
      <c r="E12" s="5" t="n">
        <v>5</v>
      </c>
    </row>
    <row r="13">
      <c r="A13" s="4" t="inlineStr">
        <is>
          <t>DR07 fleet by province</t>
        </is>
      </c>
      <c r="B13" s="5" t="inlineStr">
        <is>
          <t>Registered vehicles by class and province, and petrol and diesel vehicles by province</t>
        </is>
      </c>
      <c r="C13" s="5" t="n"/>
      <c r="D13" s="5" t="n"/>
      <c r="E13" s="5" t="n"/>
    </row>
    <row r="14">
      <c r="A14" s="4" t="inlineStr">
        <is>
          <t>DR08 refinery supply</t>
        </is>
      </c>
      <c r="B14" s="5" t="inlineStr">
        <is>
          <t>Capacity, status and closure dates, output by plant and nationally, yields, utilisation and outlook</t>
        </is>
      </c>
      <c r="C14" s="5" t="n">
        <v>43</v>
      </c>
      <c r="D14" s="5" t="n">
        <v>19</v>
      </c>
      <c r="E14" s="5" t="n">
        <v>2</v>
      </c>
    </row>
    <row r="15">
      <c r="A15" s="4" t="inlineStr">
        <is>
          <t>Market sizing</t>
        </is>
      </c>
      <c r="B15" s="5" t="inlineStr">
        <is>
          <t>What Vopak Durban and Vopak Lesedi can reach: site markets, the inland-bound flow, the trunk line and what the tanks allow</t>
        </is>
      </c>
      <c r="C15" s="5" t="n"/>
      <c r="D15" s="5" t="n"/>
      <c r="E15" s="5" t="n"/>
    </row>
    <row r="16">
      <c r="A16" s="4" t="inlineStr">
        <is>
          <t>Not available</t>
        </is>
      </c>
      <c r="B16" s="5" t="inlineStr">
        <is>
          <t>The 17 items that could not be found, with the reason for each</t>
        </is>
      </c>
      <c r="C16" s="5" t="n"/>
      <c r="D16" s="5" t="n"/>
      <c r="E16" s="5" t="n"/>
    </row>
    <row r="18">
      <c r="A18" s="6" t="inlineStr">
        <is>
          <t>Colours</t>
        </is>
      </c>
    </row>
    <row r="19">
      <c r="A19" s="7" t="inlineStr">
        <is>
          <t>Blue: read from a published source</t>
        </is>
      </c>
    </row>
    <row r="20">
      <c r="A20" s="8" t="inlineStr">
        <is>
          <t>White: calculated here from figures on the sheet</t>
        </is>
      </c>
    </row>
    <row r="21">
      <c r="A21" s="9" t="inlineStr">
        <is>
          <t>Yellow: not available</t>
        </is>
      </c>
    </row>
  </sheetData>
  <mergeCells count="3">
    <mergeCell ref="A21:B21"/>
    <mergeCell ref="A20:B20"/>
    <mergeCell ref="A19:B19"/>
  </mergeCells>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 xmlns:r="http://schemas.openxmlformats.org/officeDocument/2006/relationships" ref="A15" r:id="rId11"/>
    <hyperlink xmlns:r="http://schemas.openxmlformats.org/officeDocument/2006/relationships" ref="A16" r:id="rId1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1"/>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4" customWidth="1" min="1" max="1"/>
    <col width="8.5" customWidth="1" min="2" max="2"/>
    <col width="8.5" customWidth="1" min="3" max="3"/>
    <col width="8.5" customWidth="1" min="4" max="4"/>
    <col width="8.5" customWidth="1" min="5" max="5"/>
    <col width="8.5" customWidth="1" min="6" max="6"/>
    <col width="8.5" customWidth="1" min="7" max="7"/>
    <col width="8.5" customWidth="1" min="8" max="8"/>
    <col width="8.5" customWidth="1" min="9" max="9"/>
    <col width="8.5" customWidth="1" min="10" max="10"/>
    <col width="8.5" customWidth="1" min="11" max="11"/>
    <col width="8.5" customWidth="1" min="12" max="12"/>
    <col width="8.5" customWidth="1" min="13" max="13"/>
    <col width="58" customWidth="1" min="14" max="14"/>
    <col width="62" customWidth="1" min="15" max="15"/>
  </cols>
  <sheetData>
    <row r="1">
      <c r="A1" s="1" t="inlineStr">
        <is>
          <t>DR01 National balance: petrol and diesel</t>
        </is>
      </c>
    </row>
    <row r="2">
      <c r="A2" s="2" t="inlineStr">
        <is>
          <t>Billion litres, calendar years. Blank means not published. Sales are the department's figures: provinces added up for 2014 to 2022, the national total for 2023. FIASA and JODI are not used.</t>
        </is>
      </c>
    </row>
    <row r="5">
      <c r="A5" s="10" t="inlineStr">
        <is>
          <t>Petrol</t>
        </is>
      </c>
      <c r="B5" s="11" t="n"/>
      <c r="C5" s="11" t="n"/>
      <c r="D5" s="11" t="n"/>
      <c r="E5" s="11" t="n"/>
      <c r="F5" s="11" t="n"/>
      <c r="G5" s="11" t="n"/>
      <c r="H5" s="11" t="n"/>
      <c r="I5" s="11" t="n"/>
      <c r="J5" s="11" t="n"/>
      <c r="K5" s="11" t="n"/>
      <c r="L5" s="11" t="n"/>
      <c r="M5" s="11" t="n"/>
      <c r="N5" s="12" t="n"/>
      <c r="O5" s="12" t="n"/>
    </row>
    <row r="6">
      <c r="A6" s="13" t="inlineStr">
        <is>
          <t>Line</t>
        </is>
      </c>
      <c r="B6" s="13" t="n">
        <v>2014</v>
      </c>
      <c r="C6" s="13" t="n">
        <v>2015</v>
      </c>
      <c r="D6" s="13" t="n">
        <v>2016</v>
      </c>
      <c r="E6" s="13" t="n">
        <v>2017</v>
      </c>
      <c r="F6" s="13" t="n">
        <v>2018</v>
      </c>
      <c r="G6" s="13" t="n">
        <v>2019</v>
      </c>
      <c r="H6" s="13" t="n">
        <v>2020</v>
      </c>
      <c r="I6" s="13" t="n">
        <v>2021</v>
      </c>
      <c r="J6" s="13" t="n">
        <v>2022</v>
      </c>
      <c r="K6" s="13" t="n">
        <v>2023</v>
      </c>
      <c r="L6" s="13" t="n">
        <v>2024</v>
      </c>
      <c r="M6" s="13" t="n">
        <v>2025</v>
      </c>
      <c r="N6" s="14" t="inlineStr">
        <is>
          <t>Source</t>
        </is>
      </c>
      <c r="O6" s="14" t="inlineStr">
        <is>
          <t>Note</t>
        </is>
      </c>
    </row>
    <row r="7">
      <c r="A7" s="15" t="inlineStr">
        <is>
          <t>Sales</t>
        </is>
      </c>
      <c r="B7" s="16" t="n">
        <v>11.030664865</v>
      </c>
      <c r="C7" s="16" t="n">
        <v>11.469654472</v>
      </c>
      <c r="D7" s="16" t="n">
        <v>11.462252467</v>
      </c>
      <c r="E7" s="16" t="n">
        <v>11.173811004</v>
      </c>
      <c r="F7" s="16" t="n">
        <v>10.928999242</v>
      </c>
      <c r="G7" s="16" t="n">
        <v>10.773208065</v>
      </c>
      <c r="H7" s="16" t="n">
        <v>8.761470961000001</v>
      </c>
      <c r="I7" s="16" t="n">
        <v>9.301584227999999</v>
      </c>
      <c r="J7" s="16" t="n">
        <v>9.184869916</v>
      </c>
      <c r="K7" s="16" t="n">
        <v>9.036950113</v>
      </c>
      <c r="L7" s="16" t="n"/>
      <c r="M7" s="16" t="n"/>
      <c r="N7" s="17" t="inlineStr">
        <is>
          <t>Department of Mineral and Petroleum Resources, fuel sales volumes</t>
        </is>
      </c>
      <c r="O7" s="17" t="inlineStr">
        <is>
          <t>Nothing published after 2023.</t>
        </is>
      </c>
    </row>
    <row r="8">
      <c r="A8" s="15" t="inlineStr">
        <is>
          <t>Production</t>
        </is>
      </c>
      <c r="B8" s="16" t="n">
        <v>10.82816</v>
      </c>
      <c r="C8" s="16" t="n">
        <v>10.457813</v>
      </c>
      <c r="D8" s="16" t="n">
        <v>10.393066</v>
      </c>
      <c r="E8" s="16" t="n">
        <v>9.43444</v>
      </c>
      <c r="F8" s="16" t="n">
        <v>9.97456</v>
      </c>
      <c r="G8" s="16" t="n">
        <v>10.424467</v>
      </c>
      <c r="H8" s="16" t="n">
        <v>7.895</v>
      </c>
      <c r="I8" s="16" t="n">
        <v>6.351306667</v>
      </c>
      <c r="J8" s="16" t="n"/>
      <c r="K8" s="16" t="n"/>
      <c r="L8" s="16" t="n"/>
      <c r="M8" s="16" t="n"/>
      <c r="N8" s="17" t="inlineStr">
        <is>
          <t>Department of Mineral and Petroleum Resources, energy balances, one file a year</t>
        </is>
      </c>
      <c r="O8" s="17" t="inlineStr">
        <is>
          <t>The last balance published is 2021.</t>
        </is>
      </c>
    </row>
    <row r="9">
      <c r="A9" s="15" t="inlineStr">
        <is>
          <t>Imports</t>
        </is>
      </c>
      <c r="B9" s="16" t="n">
        <v>1.150194822</v>
      </c>
      <c r="C9" s="16" t="n">
        <v>1.869645208</v>
      </c>
      <c r="D9" s="16" t="n">
        <v>1.395638476</v>
      </c>
      <c r="E9" s="16" t="n">
        <v>2.114156485</v>
      </c>
      <c r="F9" s="16" t="n">
        <v>1.829771264</v>
      </c>
      <c r="G9" s="16" t="n">
        <v>1.477385841</v>
      </c>
      <c r="H9" s="16" t="n">
        <v>1.719673064</v>
      </c>
      <c r="I9" s="16" t="n">
        <v>4.008612764</v>
      </c>
      <c r="J9" s="16" t="n">
        <v>5.455261815</v>
      </c>
      <c r="K9" s="16" t="n">
        <v>4.48277476</v>
      </c>
      <c r="L9" s="16" t="n">
        <v>4.000854433</v>
      </c>
      <c r="M9" s="16" t="n">
        <v>4.453471178</v>
      </c>
      <c r="N9" s="17" t="inlineStr">
        <is>
          <t>SARS customs, trade statistics portal, petrol and diesel tariff lines</t>
        </is>
      </c>
      <c r="O9" s="17" t="inlineStr">
        <is>
          <t>Complete calendar years, in litres.</t>
        </is>
      </c>
    </row>
    <row r="10">
      <c r="A10" s="15" t="inlineStr">
        <is>
          <t>Exports</t>
        </is>
      </c>
      <c r="B10" s="16" t="n">
        <v>0.989515894</v>
      </c>
      <c r="C10" s="16" t="n">
        <v>1.085670442</v>
      </c>
      <c r="D10" s="16" t="n">
        <v>1.157328794</v>
      </c>
      <c r="E10" s="16" t="n">
        <v>1.07588616</v>
      </c>
      <c r="F10" s="16" t="n">
        <v>1.135050255</v>
      </c>
      <c r="G10" s="16" t="n">
        <v>1.174701778</v>
      </c>
      <c r="H10" s="16" t="n">
        <v>1.154779071</v>
      </c>
      <c r="I10" s="16" t="n">
        <v>1.052495145</v>
      </c>
      <c r="J10" s="16" t="n">
        <v>0.854613714</v>
      </c>
      <c r="K10" s="16" t="n">
        <v>0.9940195590000001</v>
      </c>
      <c r="L10" s="16" t="n">
        <v>0.919745016</v>
      </c>
      <c r="M10" s="16" t="n">
        <v>0.801762466</v>
      </c>
      <c r="N10" s="17" t="inlineStr">
        <is>
          <t>SARS customs, trade statistics portal, petrol and diesel tariff lines</t>
        </is>
      </c>
      <c r="O10" s="17" t="inlineStr"/>
    </row>
    <row r="11">
      <c r="A11" s="18" t="inlineStr">
        <is>
          <t>Stock change</t>
        </is>
      </c>
      <c r="B11" s="19" t="inlineStr"/>
      <c r="C11" s="19" t="inlineStr"/>
      <c r="D11" s="19" t="inlineStr"/>
      <c r="E11" s="19" t="inlineStr"/>
      <c r="F11" s="19" t="inlineStr"/>
      <c r="G11" s="19" t="inlineStr"/>
      <c r="H11" s="19" t="inlineStr"/>
      <c r="I11" s="19" t="inlineStr"/>
      <c r="J11" s="19" t="inlineStr"/>
      <c r="K11" s="19" t="inlineStr"/>
      <c r="L11" s="19" t="inlineStr"/>
      <c r="M11" s="19" t="inlineStr"/>
      <c r="N11" s="20" t="inlineStr">
        <is>
          <t>None</t>
        </is>
      </c>
      <c r="O11" s="20" t="inlineStr">
        <is>
          <t>Not published by any source used.</t>
        </is>
      </c>
    </row>
    <row r="12">
      <c r="A12" s="21" t="inlineStr">
        <is>
          <t>Supply less sales</t>
        </is>
      </c>
      <c r="B12" s="22">
        <f>IF(COUNT(B7,B8,B9,B10)&lt;4,"",B8+B9-B10-B7)</f>
        <v/>
      </c>
      <c r="C12" s="22">
        <f>IF(COUNT(C7,C8,C9,C10)&lt;4,"",C8+C9-C10-C7)</f>
        <v/>
      </c>
      <c r="D12" s="22">
        <f>IF(COUNT(D7,D8,D9,D10)&lt;4,"",D8+D9-D10-D7)</f>
        <v/>
      </c>
      <c r="E12" s="22">
        <f>IF(COUNT(E7,E8,E9,E10)&lt;4,"",E8+E9-E10-E7)</f>
        <v/>
      </c>
      <c r="F12" s="22">
        <f>IF(COUNT(F7,F8,F9,F10)&lt;4,"",F8+F9-F10-F7)</f>
        <v/>
      </c>
      <c r="G12" s="22">
        <f>IF(COUNT(G7,G8,G9,G10)&lt;4,"",G8+G9-G10-G7)</f>
        <v/>
      </c>
      <c r="H12" s="22">
        <f>IF(COUNT(H7,H8,H9,H10)&lt;4,"",H8+H9-H10-H7)</f>
        <v/>
      </c>
      <c r="I12" s="22">
        <f>IF(COUNT(I7,I8,I9,I10)&lt;4,"",I8+I9-I10-I7)</f>
        <v/>
      </c>
      <c r="J12" s="22">
        <f>IF(COUNT(J7,J8,J9,J10)&lt;4,"",J8+J9-J10-J7)</f>
        <v/>
      </c>
      <c r="K12" s="22">
        <f>IF(COUNT(K7,K8,K9,K10)&lt;4,"",K8+K9-K10-K7)</f>
        <v/>
      </c>
      <c r="L12" s="22">
        <f>IF(COUNT(L7,L8,L9,L10)&lt;4,"",L8+L9-L10-L7)</f>
        <v/>
      </c>
      <c r="M12" s="22">
        <f>IF(COUNT(M7,M8,M9,M10)&lt;4,"",M8+M9-M10-M7)</f>
        <v/>
      </c>
      <c r="N12" s="23" t="inlineStr">
        <is>
          <t>Calculated: production + imports - exports - sales</t>
        </is>
      </c>
      <c r="O12" s="23" t="inlineStr">
        <is>
          <t>Stock change and statistical difference together. Shown only where all four lines exist.</t>
        </is>
      </c>
    </row>
    <row r="14">
      <c r="A14" s="10" t="inlineStr">
        <is>
          <t>Diesel</t>
        </is>
      </c>
      <c r="B14" s="11" t="n"/>
      <c r="C14" s="11" t="n"/>
      <c r="D14" s="11" t="n"/>
      <c r="E14" s="11" t="n"/>
      <c r="F14" s="11" t="n"/>
      <c r="G14" s="11" t="n"/>
      <c r="H14" s="11" t="n"/>
      <c r="I14" s="11" t="n"/>
      <c r="J14" s="11" t="n"/>
      <c r="K14" s="11" t="n"/>
      <c r="L14" s="11" t="n"/>
      <c r="M14" s="11" t="n"/>
      <c r="N14" s="12" t="n"/>
      <c r="O14" s="12" t="n"/>
    </row>
    <row r="15">
      <c r="A15" s="13" t="inlineStr">
        <is>
          <t>Line</t>
        </is>
      </c>
      <c r="B15" s="13" t="n">
        <v>2014</v>
      </c>
      <c r="C15" s="13" t="n">
        <v>2015</v>
      </c>
      <c r="D15" s="13" t="n">
        <v>2016</v>
      </c>
      <c r="E15" s="13" t="n">
        <v>2017</v>
      </c>
      <c r="F15" s="13" t="n">
        <v>2018</v>
      </c>
      <c r="G15" s="13" t="n">
        <v>2019</v>
      </c>
      <c r="H15" s="13" t="n">
        <v>2020</v>
      </c>
      <c r="I15" s="13" t="n">
        <v>2021</v>
      </c>
      <c r="J15" s="13" t="n">
        <v>2022</v>
      </c>
      <c r="K15" s="13" t="n">
        <v>2023</v>
      </c>
      <c r="L15" s="13" t="n">
        <v>2024</v>
      </c>
      <c r="M15" s="13" t="n">
        <v>2025</v>
      </c>
      <c r="N15" s="14" t="inlineStr">
        <is>
          <t>Source</t>
        </is>
      </c>
      <c r="O15" s="14" t="inlineStr">
        <is>
          <t>Note</t>
        </is>
      </c>
    </row>
    <row r="16">
      <c r="A16" s="15" t="inlineStr">
        <is>
          <t>Sales</t>
        </is>
      </c>
      <c r="B16" s="16" t="n">
        <v>12.743389886</v>
      </c>
      <c r="C16" s="16" t="n">
        <v>13.492151359</v>
      </c>
      <c r="D16" s="16" t="n">
        <v>12.082374038</v>
      </c>
      <c r="E16" s="16" t="n">
        <v>12.145150189</v>
      </c>
      <c r="F16" s="16" t="n">
        <v>12.318620432</v>
      </c>
      <c r="G16" s="16" t="n">
        <v>12.908631232</v>
      </c>
      <c r="H16" s="16" t="n">
        <v>11.689957759</v>
      </c>
      <c r="I16" s="16" t="n">
        <v>12.945018015</v>
      </c>
      <c r="J16" s="16" t="n">
        <v>12.717326319</v>
      </c>
      <c r="K16" s="16" t="n">
        <v>12.907499966</v>
      </c>
      <c r="L16" s="16" t="n"/>
      <c r="M16" s="16" t="n"/>
      <c r="N16" s="17" t="inlineStr">
        <is>
          <t>Department of Mineral and Petroleum Resources, fuel sales volumes</t>
        </is>
      </c>
      <c r="O16" s="17" t="inlineStr">
        <is>
          <t>Nothing published after 2023.</t>
        </is>
      </c>
    </row>
    <row r="17">
      <c r="A17" s="15" t="inlineStr">
        <is>
          <t>Production</t>
        </is>
      </c>
      <c r="B17" s="16" t="n">
        <v>9.58774</v>
      </c>
      <c r="C17" s="16" t="n">
        <v>9.368482</v>
      </c>
      <c r="D17" s="16" t="n">
        <v>9.014189999999999</v>
      </c>
      <c r="E17" s="16" t="n">
        <v>7.921726</v>
      </c>
      <c r="F17" s="16" t="n">
        <v>8.425262</v>
      </c>
      <c r="G17" s="16" t="n">
        <v>9.080356999999999</v>
      </c>
      <c r="H17" s="16" t="n">
        <v>6.4478095</v>
      </c>
      <c r="I17" s="16" t="n">
        <v>5.314964286</v>
      </c>
      <c r="J17" s="16" t="n"/>
      <c r="K17" s="16" t="n"/>
      <c r="L17" s="16" t="n"/>
      <c r="M17" s="16" t="n"/>
      <c r="N17" s="17" t="inlineStr">
        <is>
          <t>Department of Mineral and Petroleum Resources, energy balances, one file a year</t>
        </is>
      </c>
      <c r="O17" s="17" t="inlineStr">
        <is>
          <t>The last balance published is 2021.</t>
        </is>
      </c>
    </row>
    <row r="18">
      <c r="A18" s="15" t="inlineStr">
        <is>
          <t>Imports</t>
        </is>
      </c>
      <c r="B18" s="16" t="n">
        <v>4.991712327</v>
      </c>
      <c r="C18" s="16" t="n">
        <v>6.450779035</v>
      </c>
      <c r="D18" s="16" t="n">
        <v>4.424294965</v>
      </c>
      <c r="E18" s="16" t="n">
        <v>6.037459911</v>
      </c>
      <c r="F18" s="16" t="n">
        <v>5.122959487</v>
      </c>
      <c r="G18" s="16" t="n">
        <v>5.590272109</v>
      </c>
      <c r="H18" s="16" t="n">
        <v>6.814985448</v>
      </c>
      <c r="I18" s="16" t="n">
        <v>9.761395306000001</v>
      </c>
      <c r="J18" s="16" t="n">
        <v>11.954256548</v>
      </c>
      <c r="K18" s="16" t="n">
        <v>12.870032101</v>
      </c>
      <c r="L18" s="16" t="n">
        <v>10.792547134</v>
      </c>
      <c r="M18" s="16" t="n">
        <v>12.248720262</v>
      </c>
      <c r="N18" s="17" t="inlineStr">
        <is>
          <t>SARS customs, trade statistics portal, petrol and diesel tariff lines</t>
        </is>
      </c>
      <c r="O18" s="17" t="inlineStr">
        <is>
          <t>Complete calendar years, in litres.</t>
        </is>
      </c>
    </row>
    <row r="19">
      <c r="A19" s="15" t="inlineStr">
        <is>
          <t>Exports</t>
        </is>
      </c>
      <c r="B19" s="16" t="n">
        <v>1.493762628</v>
      </c>
      <c r="C19" s="16" t="n">
        <v>1.61285504</v>
      </c>
      <c r="D19" s="16" t="n">
        <v>1.88560543</v>
      </c>
      <c r="E19" s="16" t="n">
        <v>1.78267408</v>
      </c>
      <c r="F19" s="16" t="n">
        <v>1.582070108</v>
      </c>
      <c r="G19" s="16" t="n">
        <v>1.741377312</v>
      </c>
      <c r="H19" s="16" t="n">
        <v>0.91381452</v>
      </c>
      <c r="I19" s="16" t="n">
        <v>0.8934881059999999</v>
      </c>
      <c r="J19" s="16" t="n">
        <v>0.889199068</v>
      </c>
      <c r="K19" s="16" t="n">
        <v>0.889445908</v>
      </c>
      <c r="L19" s="16" t="n">
        <v>0.795834679</v>
      </c>
      <c r="M19" s="16" t="n">
        <v>0.74670021</v>
      </c>
      <c r="N19" s="17" t="inlineStr">
        <is>
          <t>SARS customs, trade statistics portal, petrol and diesel tariff lines</t>
        </is>
      </c>
      <c r="O19" s="17" t="inlineStr"/>
    </row>
    <row r="20">
      <c r="A20" s="18" t="inlineStr">
        <is>
          <t>Stock change</t>
        </is>
      </c>
      <c r="B20" s="19" t="inlineStr"/>
      <c r="C20" s="19" t="inlineStr"/>
      <c r="D20" s="19" t="inlineStr"/>
      <c r="E20" s="19" t="inlineStr"/>
      <c r="F20" s="19" t="inlineStr"/>
      <c r="G20" s="19" t="inlineStr"/>
      <c r="H20" s="19" t="inlineStr"/>
      <c r="I20" s="19" t="inlineStr"/>
      <c r="J20" s="19" t="inlineStr"/>
      <c r="K20" s="19" t="inlineStr"/>
      <c r="L20" s="19" t="inlineStr"/>
      <c r="M20" s="19" t="inlineStr"/>
      <c r="N20" s="20" t="inlineStr">
        <is>
          <t>None</t>
        </is>
      </c>
      <c r="O20" s="20" t="inlineStr">
        <is>
          <t>Not published by any source used.</t>
        </is>
      </c>
    </row>
    <row r="21">
      <c r="A21" s="21" t="inlineStr">
        <is>
          <t>Supply less sales</t>
        </is>
      </c>
      <c r="B21" s="22">
        <f>IF(COUNT(B16,B17,B18,B19)&lt;4,"",B17+B18-B19-B16)</f>
        <v/>
      </c>
      <c r="C21" s="22">
        <f>IF(COUNT(C16,C17,C18,C19)&lt;4,"",C17+C18-C19-C16)</f>
        <v/>
      </c>
      <c r="D21" s="22">
        <f>IF(COUNT(D16,D17,D18,D19)&lt;4,"",D17+D18-D19-D16)</f>
        <v/>
      </c>
      <c r="E21" s="22">
        <f>IF(COUNT(E16,E17,E18,E19)&lt;4,"",E17+E18-E19-E16)</f>
        <v/>
      </c>
      <c r="F21" s="22">
        <f>IF(COUNT(F16,F17,F18,F19)&lt;4,"",F17+F18-F19-F16)</f>
        <v/>
      </c>
      <c r="G21" s="22">
        <f>IF(COUNT(G16,G17,G18,G19)&lt;4,"",G17+G18-G19-G16)</f>
        <v/>
      </c>
      <c r="H21" s="22">
        <f>IF(COUNT(H16,H17,H18,H19)&lt;4,"",H17+H18-H19-H16)</f>
        <v/>
      </c>
      <c r="I21" s="22">
        <f>IF(COUNT(I16,I17,I18,I19)&lt;4,"",I17+I18-I19-I16)</f>
        <v/>
      </c>
      <c r="J21" s="22">
        <f>IF(COUNT(J16,J17,J18,J19)&lt;4,"",J17+J18-J19-J16)</f>
        <v/>
      </c>
      <c r="K21" s="22">
        <f>IF(COUNT(K16,K17,K18,K19)&lt;4,"",K17+K18-K19-K16)</f>
        <v/>
      </c>
      <c r="L21" s="22">
        <f>IF(COUNT(L16,L17,L18,L19)&lt;4,"",L17+L18-L19-L16)</f>
        <v/>
      </c>
      <c r="M21" s="22">
        <f>IF(COUNT(M16,M17,M18,M19)&lt;4,"",M17+M18-M19-M16)</f>
        <v/>
      </c>
      <c r="N21" s="23" t="inlineStr">
        <is>
          <t>Calculated: production + imports - exports - sales</t>
        </is>
      </c>
      <c r="O21" s="23" t="inlineStr">
        <is>
          <t>Stock change and statistical difference together. Shown only where all four lines exist.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4" customWidth="1" min="1" max="1"/>
    <col width="8.5" customWidth="1" min="2" max="2"/>
    <col width="8.5" customWidth="1" min="3" max="3"/>
    <col width="8.5" customWidth="1" min="4" max="4"/>
    <col width="8.5" customWidth="1" min="5" max="5"/>
    <col width="8.5" customWidth="1" min="6" max="6"/>
    <col width="8.5" customWidth="1" min="7" max="7"/>
    <col width="8.5" customWidth="1" min="8" max="8"/>
    <col width="8.5" customWidth="1" min="9" max="9"/>
    <col width="8.5" customWidth="1" min="10" max="10"/>
    <col width="8.5" customWidth="1" min="11" max="11"/>
    <col width="8.5" customWidth="1" min="12" max="12"/>
    <col width="8.5" customWidth="1" min="13" max="13"/>
    <col width="8.5" customWidth="1" min="14" max="14"/>
    <col width="58" customWidth="1" min="15" max="15"/>
    <col width="62" customWidth="1" min="16" max="16"/>
  </cols>
  <sheetData>
    <row r="1">
      <c r="A1" s="1" t="inlineStr">
        <is>
          <t>DR01 Sales by province: petrol and diesel</t>
        </is>
      </c>
    </row>
    <row r="2">
      <c r="A2" s="2" t="inlineStr">
        <is>
          <t>Billion litres, calendar years. 2013 to 2022 are the department's district data added up by province (blue). 2023 is an estimate (yellow): the national total split by each province's share of sales in the first quarter of 2023. 2024 and 2025 are blank.</t>
        </is>
      </c>
    </row>
    <row r="5">
      <c r="A5" s="10" t="inlineStr">
        <is>
          <t>Petrol</t>
        </is>
      </c>
      <c r="B5" s="11" t="n"/>
      <c r="C5" s="11" t="n"/>
      <c r="D5" s="11" t="n"/>
      <c r="E5" s="11" t="n"/>
      <c r="F5" s="11" t="n"/>
      <c r="G5" s="11" t="n"/>
      <c r="H5" s="11" t="n"/>
      <c r="I5" s="11" t="n"/>
      <c r="J5" s="11" t="n"/>
      <c r="K5" s="11" t="n"/>
      <c r="L5" s="11" t="n"/>
      <c r="M5" s="11" t="n"/>
      <c r="N5" s="11" t="n"/>
      <c r="O5" s="12" t="n"/>
      <c r="P5" s="12" t="n"/>
    </row>
    <row r="6">
      <c r="A6" s="13" t="inlineStr">
        <is>
          <t>Province</t>
        </is>
      </c>
      <c r="B6" s="13" t="n">
        <v>2013</v>
      </c>
      <c r="C6" s="13" t="n">
        <v>2014</v>
      </c>
      <c r="D6" s="13" t="n">
        <v>2015</v>
      </c>
      <c r="E6" s="13" t="n">
        <v>2016</v>
      </c>
      <c r="F6" s="13" t="n">
        <v>2017</v>
      </c>
      <c r="G6" s="13" t="n">
        <v>2018</v>
      </c>
      <c r="H6" s="13" t="n">
        <v>2019</v>
      </c>
      <c r="I6" s="13" t="n">
        <v>2020</v>
      </c>
      <c r="J6" s="13" t="n">
        <v>2021</v>
      </c>
      <c r="K6" s="13" t="n">
        <v>2022</v>
      </c>
      <c r="L6" s="13" t="n">
        <v>2023</v>
      </c>
      <c r="M6" s="13" t="n">
        <v>2024</v>
      </c>
      <c r="N6" s="13" t="n">
        <v>2025</v>
      </c>
      <c r="O6" s="14" t="inlineStr">
        <is>
          <t>Source</t>
        </is>
      </c>
      <c r="P6" s="14" t="inlineStr">
        <is>
          <t>Note</t>
        </is>
      </c>
    </row>
    <row r="7">
      <c r="A7" s="15" t="inlineStr">
        <is>
          <t>Gauteng</t>
        </is>
      </c>
      <c r="B7" s="16" t="n">
        <v>4.171983524</v>
      </c>
      <c r="C7" s="16" t="n">
        <v>3.979997125</v>
      </c>
      <c r="D7" s="16" t="n">
        <v>4.119366712</v>
      </c>
      <c r="E7" s="16" t="n">
        <v>4.176977822376999</v>
      </c>
      <c r="F7" s="16" t="n">
        <v>4.088405053397992</v>
      </c>
      <c r="G7" s="16" t="n">
        <v>3.997042005330989</v>
      </c>
      <c r="H7" s="16" t="n">
        <v>4.076244625884989</v>
      </c>
      <c r="I7" s="16" t="n">
        <v>3.135066820591998</v>
      </c>
      <c r="J7" s="16" t="n">
        <v>3.440817407428995</v>
      </c>
      <c r="K7" s="16" t="n">
        <v>3.530440256933996</v>
      </c>
      <c r="L7" s="19" t="n">
        <v>3.460323031725302</v>
      </c>
      <c r="M7" s="16" t="n"/>
      <c r="N7" s="16" t="n"/>
      <c r="O7" s="17" t="inlineStr">
        <is>
          <t>Department of Mineral and Petroleum Resources, fuel sales volumes by magisterial district</t>
        </is>
      </c>
      <c r="P7" s="17" t="inlineStr">
        <is>
          <t>2023 is an estimate. Nothing published by province after the first quarter of 2023.</t>
        </is>
      </c>
    </row>
    <row r="8">
      <c r="A8" s="15" t="inlineStr">
        <is>
          <t>KwaZulu-Natal</t>
        </is>
      </c>
      <c r="B8" s="16" t="n">
        <v>1.812811997</v>
      </c>
      <c r="C8" s="16" t="n">
        <v>1.720802481</v>
      </c>
      <c r="D8" s="16" t="n">
        <v>1.78755299</v>
      </c>
      <c r="E8" s="16" t="n">
        <v>1.765676202214999</v>
      </c>
      <c r="F8" s="16" t="n">
        <v>1.725656013445999</v>
      </c>
      <c r="G8" s="16" t="n">
        <v>1.631980330118998</v>
      </c>
      <c r="H8" s="16" t="n">
        <v>1.678493347827998</v>
      </c>
      <c r="I8" s="16" t="n">
        <v>1.448369960555999</v>
      </c>
      <c r="J8" s="16" t="n">
        <v>1.549922121068</v>
      </c>
      <c r="K8" s="16" t="n">
        <v>1.498937893394999</v>
      </c>
      <c r="L8" s="19" t="n">
        <v>1.4577349644864</v>
      </c>
      <c r="M8" s="16" t="n"/>
      <c r="N8" s="16" t="n"/>
      <c r="O8" s="17" t="inlineStr">
        <is>
          <t>Department of Mineral and Petroleum Resources, fuel sales volumes by magisterial district</t>
        </is>
      </c>
      <c r="P8" s="17" t="inlineStr">
        <is>
          <t>2023 is an estimate. Nothing published by province after the first quarter of 2023.</t>
        </is>
      </c>
    </row>
    <row r="9">
      <c r="A9" s="15" t="inlineStr">
        <is>
          <t>Western Cape</t>
        </is>
      </c>
      <c r="B9" s="16" t="n">
        <v>1.723881868</v>
      </c>
      <c r="C9" s="16" t="n">
        <v>1.721127181</v>
      </c>
      <c r="D9" s="16" t="n">
        <v>1.745448213</v>
      </c>
      <c r="E9" s="16" t="n">
        <v>1.825199833514999</v>
      </c>
      <c r="F9" s="16" t="n">
        <v>1.773042771191996</v>
      </c>
      <c r="G9" s="16" t="n">
        <v>1.693799014629997</v>
      </c>
      <c r="H9" s="16" t="n">
        <v>1.657998099955999</v>
      </c>
      <c r="I9" s="16" t="n">
        <v>1.307477143670998</v>
      </c>
      <c r="J9" s="16" t="n">
        <v>1.401742918922</v>
      </c>
      <c r="K9" s="16" t="n">
        <v>1.431005460082997</v>
      </c>
      <c r="L9" s="19" t="n">
        <v>1.465456655189953</v>
      </c>
      <c r="M9" s="16" t="n"/>
      <c r="N9" s="16" t="n"/>
      <c r="O9" s="17" t="inlineStr">
        <is>
          <t>Department of Mineral and Petroleum Resources, fuel sales volumes by magisterial district</t>
        </is>
      </c>
      <c r="P9" s="17" t="inlineStr">
        <is>
          <t>2023 is an estimate. Nothing published by province after the first quarter of 2023.</t>
        </is>
      </c>
    </row>
    <row r="10">
      <c r="A10" s="15" t="inlineStr">
        <is>
          <t>Eastern Cape</t>
        </is>
      </c>
      <c r="B10" s="16" t="n">
        <v>0.803774683</v>
      </c>
      <c r="C10" s="16" t="n">
        <v>0.819491591</v>
      </c>
      <c r="D10" s="16" t="n">
        <v>0.869872499</v>
      </c>
      <c r="E10" s="16" t="n">
        <v>0.8577412373969998</v>
      </c>
      <c r="F10" s="16" t="n">
        <v>0.8316881186979991</v>
      </c>
      <c r="G10" s="16" t="n">
        <v>0.8097136954959999</v>
      </c>
      <c r="H10" s="16" t="n">
        <v>0.7931127999850002</v>
      </c>
      <c r="I10" s="16" t="n">
        <v>0.6788019054649999</v>
      </c>
      <c r="J10" s="16" t="n">
        <v>0.7347899636659989</v>
      </c>
      <c r="K10" s="16" t="n">
        <v>0.703132444716999</v>
      </c>
      <c r="L10" s="19" t="n">
        <v>0.6787863802367698</v>
      </c>
      <c r="M10" s="16" t="n"/>
      <c r="N10" s="16" t="n"/>
      <c r="O10" s="17" t="inlineStr">
        <is>
          <t>Department of Mineral and Petroleum Resources, fuel sales volumes by magisterial district</t>
        </is>
      </c>
      <c r="P10" s="17" t="inlineStr">
        <is>
          <t>2023 is an estimate. Nothing published by province after the first quarter of 2023.</t>
        </is>
      </c>
    </row>
    <row r="11">
      <c r="A11" s="15" t="inlineStr">
        <is>
          <t>Mpumalanga</t>
        </is>
      </c>
      <c r="B11" s="16" t="n">
        <v>0.831700207</v>
      </c>
      <c r="C11" s="16" t="n">
        <v>0.827866839</v>
      </c>
      <c r="D11" s="16" t="n">
        <v>0.955039003</v>
      </c>
      <c r="E11" s="16" t="n">
        <v>1.029394273387</v>
      </c>
      <c r="F11" s="16" t="n">
        <v>0.962780173855999</v>
      </c>
      <c r="G11" s="16" t="n">
        <v>0.8799551351020001</v>
      </c>
      <c r="H11" s="16" t="n">
        <v>0.8015741130669999</v>
      </c>
      <c r="I11" s="16" t="n">
        <v>0.6905111551299999</v>
      </c>
      <c r="J11" s="16" t="n">
        <v>0.66162120883</v>
      </c>
      <c r="K11" s="16" t="n">
        <v>0.6122656460789989</v>
      </c>
      <c r="L11" s="19" t="n">
        <v>0.6375904461238479</v>
      </c>
      <c r="M11" s="16" t="n"/>
      <c r="N11" s="16" t="n"/>
      <c r="O11" s="17" t="inlineStr">
        <is>
          <t>Department of Mineral and Petroleum Resources, fuel sales volumes by magisterial district</t>
        </is>
      </c>
      <c r="P11" s="17" t="inlineStr">
        <is>
          <t>2023 is an estimate. Nothing published by province after the first quarter of 2023.</t>
        </is>
      </c>
    </row>
    <row r="12">
      <c r="A12" s="15" t="inlineStr">
        <is>
          <t>Free State</t>
        </is>
      </c>
      <c r="B12" s="16" t="n">
        <v>0.9669694759999999</v>
      </c>
      <c r="C12" s="16" t="n">
        <v>0.936721229</v>
      </c>
      <c r="D12" s="16" t="n">
        <v>0.921287592</v>
      </c>
      <c r="E12" s="16" t="n">
        <v>0.814793779638</v>
      </c>
      <c r="F12" s="16" t="n">
        <v>0.813970951595</v>
      </c>
      <c r="G12" s="16" t="n">
        <v>0.9706248663350001</v>
      </c>
      <c r="H12" s="16" t="n">
        <v>0.82469138896</v>
      </c>
      <c r="I12" s="16" t="n">
        <v>0.7240952293349998</v>
      </c>
      <c r="J12" s="16" t="n">
        <v>0.6946956084940001</v>
      </c>
      <c r="K12" s="16" t="n">
        <v>0.5874580081820001</v>
      </c>
      <c r="L12" s="19" t="n">
        <v>0.5360862566639604</v>
      </c>
      <c r="M12" s="16" t="n"/>
      <c r="N12" s="16" t="n"/>
      <c r="O12" s="17" t="inlineStr">
        <is>
          <t>Department of Mineral and Petroleum Resources, fuel sales volumes by magisterial district</t>
        </is>
      </c>
      <c r="P12" s="17" t="inlineStr">
        <is>
          <t>2023 is an estimate. Nothing published by province after the first quarter of 2023.</t>
        </is>
      </c>
    </row>
    <row r="13">
      <c r="A13" s="15" t="inlineStr">
        <is>
          <t>North West</t>
        </is>
      </c>
      <c r="B13" s="16" t="n">
        <v>0.603840792</v>
      </c>
      <c r="C13" s="16" t="n">
        <v>0.52100824</v>
      </c>
      <c r="D13" s="16" t="n">
        <v>0.529806494</v>
      </c>
      <c r="E13" s="16" t="n">
        <v>0.514437385502</v>
      </c>
      <c r="F13" s="16" t="n">
        <v>0.514143216471999</v>
      </c>
      <c r="G13" s="16" t="n">
        <v>0.477701288098997</v>
      </c>
      <c r="H13" s="16" t="n">
        <v>0.4889077239649991</v>
      </c>
      <c r="I13" s="16" t="n">
        <v>0.4117813621149989</v>
      </c>
      <c r="J13" s="16" t="n">
        <v>0.4452178577829989</v>
      </c>
      <c r="K13" s="16" t="n">
        <v>0.4481562321239999</v>
      </c>
      <c r="L13" s="19" t="n">
        <v>0.4307631510530271</v>
      </c>
      <c r="M13" s="16" t="n"/>
      <c r="N13" s="16" t="n"/>
      <c r="O13" s="17" t="inlineStr">
        <is>
          <t>Department of Mineral and Petroleum Resources, fuel sales volumes by magisterial district</t>
        </is>
      </c>
      <c r="P13" s="17" t="inlineStr">
        <is>
          <t>2023 is an estimate. Nothing published by province after the first quarter of 2023.</t>
        </is>
      </c>
    </row>
    <row r="14">
      <c r="A14" s="15" t="inlineStr">
        <is>
          <t>Limpopo</t>
        </is>
      </c>
      <c r="B14" s="16" t="n">
        <v>0.4031878270000001</v>
      </c>
      <c r="C14" s="16" t="n">
        <v>0.382400652</v>
      </c>
      <c r="D14" s="16" t="n">
        <v>0.410456596</v>
      </c>
      <c r="E14" s="16" t="n">
        <v>0.3571924879839999</v>
      </c>
      <c r="F14" s="16" t="n">
        <v>0.3557936672359999</v>
      </c>
      <c r="G14" s="16" t="n">
        <v>0.366571940750999</v>
      </c>
      <c r="H14" s="16" t="n">
        <v>0.3500576575879999</v>
      </c>
      <c r="I14" s="16" t="n">
        <v>0.276512089095</v>
      </c>
      <c r="J14" s="16" t="n">
        <v>0.276417064935999</v>
      </c>
      <c r="K14" s="16" t="n">
        <v>0.273644045045999</v>
      </c>
      <c r="L14" s="19" t="n">
        <v>0.2719084994821917</v>
      </c>
      <c r="M14" s="16" t="n"/>
      <c r="N14" s="16" t="n"/>
      <c r="O14" s="17" t="inlineStr">
        <is>
          <t>Department of Mineral and Petroleum Resources, fuel sales volumes by magisterial district</t>
        </is>
      </c>
      <c r="P14" s="17" t="inlineStr">
        <is>
          <t>2023 is an estimate. Nothing published by province after the first quarter of 2023.</t>
        </is>
      </c>
    </row>
    <row r="15">
      <c r="A15" s="15" t="inlineStr">
        <is>
          <t>Northern Cape</t>
        </is>
      </c>
      <c r="B15" s="16" t="n">
        <v>0.121963655</v>
      </c>
      <c r="C15" s="16" t="n">
        <v>0.121249527</v>
      </c>
      <c r="D15" s="16" t="n">
        <v>0.130824373</v>
      </c>
      <c r="E15" s="16" t="n">
        <v>0.120839444671</v>
      </c>
      <c r="F15" s="16" t="n">
        <v>0.108331038477</v>
      </c>
      <c r="G15" s="16" t="n">
        <v>0.101610966637</v>
      </c>
      <c r="H15" s="16" t="n">
        <v>0.102128307828</v>
      </c>
      <c r="I15" s="16" t="n">
        <v>0.088855295537</v>
      </c>
      <c r="J15" s="16" t="n">
        <v>0.09636007655499999</v>
      </c>
      <c r="K15" s="16" t="n">
        <v>0.099829929013</v>
      </c>
      <c r="L15" s="19" t="n">
        <v>0.0983007285305493</v>
      </c>
      <c r="M15" s="16" t="n"/>
      <c r="N15" s="16" t="n"/>
      <c r="O15" s="17" t="inlineStr">
        <is>
          <t>Department of Mineral and Petroleum Resources, fuel sales volumes by magisterial district</t>
        </is>
      </c>
      <c r="P15" s="17" t="inlineStr">
        <is>
          <t>2023 is an estimate. Nothing published by province after the first quarter of 2023.</t>
        </is>
      </c>
    </row>
    <row r="16">
      <c r="A16" s="24" t="inlineStr">
        <is>
          <t>Nine provinces</t>
        </is>
      </c>
      <c r="B16" s="25">
        <f>IF(COUNT(B7:B15)=0,"",SUM(B7:B15))</f>
        <v/>
      </c>
      <c r="C16" s="25">
        <f>IF(COUNT(C7:C15)=0,"",SUM(C7:C15))</f>
        <v/>
      </c>
      <c r="D16" s="25">
        <f>IF(COUNT(D7:D15)=0,"",SUM(D7:D15))</f>
        <v/>
      </c>
      <c r="E16" s="25">
        <f>IF(COUNT(E7:E15)=0,"",SUM(E7:E15))</f>
        <v/>
      </c>
      <c r="F16" s="25">
        <f>IF(COUNT(F7:F15)=0,"",SUM(F7:F15))</f>
        <v/>
      </c>
      <c r="G16" s="25">
        <f>IF(COUNT(G7:G15)=0,"",SUM(G7:G15))</f>
        <v/>
      </c>
      <c r="H16" s="25">
        <f>IF(COUNT(H7:H15)=0,"",SUM(H7:H15))</f>
        <v/>
      </c>
      <c r="I16" s="25">
        <f>IF(COUNT(I7:I15)=0,"",SUM(I7:I15))</f>
        <v/>
      </c>
      <c r="J16" s="25">
        <f>IF(COUNT(J7:J15)=0,"",SUM(J7:J15))</f>
        <v/>
      </c>
      <c r="K16" s="25">
        <f>IF(COUNT(K7:K15)=0,"",SUM(K7:K15))</f>
        <v/>
      </c>
      <c r="L16" s="25">
        <f>IF(COUNT(L7:L15)=0,"",SUM(L7:L15))</f>
        <v/>
      </c>
      <c r="M16" s="25">
        <f>IF(COUNT(M7:M15)=0,"",SUM(M7:M15))</f>
        <v/>
      </c>
      <c r="N16" s="25">
        <f>IF(COUNT(N7:N15)=0,"",SUM(N7:N15))</f>
        <v/>
      </c>
      <c r="O16" s="26" t="inlineStr">
        <is>
          <t>Calculated: sum of the rows above</t>
        </is>
      </c>
      <c r="P16" s="26" t="inlineStr">
        <is>
          <t>The sales line on the national balance sheet.</t>
        </is>
      </c>
    </row>
    <row r="17">
      <c r="A17" s="27" t="inlineStr">
        <is>
          <t>National file, for comparison</t>
        </is>
      </c>
      <c r="B17" s="28" t="n">
        <v>11.439925235</v>
      </c>
      <c r="C17" s="28" t="n">
        <v>10.890207679</v>
      </c>
      <c r="D17" s="28" t="n">
        <v>11.475709420318</v>
      </c>
      <c r="E17" s="28" t="n">
        <v>11.462252466686</v>
      </c>
      <c r="F17" s="28" t="n">
        <v>11.17408298037</v>
      </c>
      <c r="G17" s="28" t="n">
        <v>11.141630546702</v>
      </c>
      <c r="H17" s="28" t="n">
        <v>10.773208065062</v>
      </c>
      <c r="I17" s="28" t="n">
        <v>8.761470961496</v>
      </c>
      <c r="J17" s="28" t="n">
        <v>9.301584227683001</v>
      </c>
      <c r="K17" s="28" t="n">
        <v>9.184869915573</v>
      </c>
      <c r="L17" s="28" t="n">
        <v>9.036950113492001</v>
      </c>
      <c r="M17" s="28" t="n"/>
      <c r="N17" s="28" t="n"/>
      <c r="O17" s="29" t="inlineStr">
        <is>
          <t>Department of Mineral and Petroleum Resources, national fuel sales volumes</t>
        </is>
      </c>
      <c r="P17" s="29" t="inlineStr">
        <is>
          <t>The 2023 estimates add up to this by construction. The two files differ in 2014 and 2018.</t>
        </is>
      </c>
    </row>
    <row r="19">
      <c r="A19" s="10" t="inlineStr">
        <is>
          <t>Diesel</t>
        </is>
      </c>
      <c r="B19" s="11" t="n"/>
      <c r="C19" s="11" t="n"/>
      <c r="D19" s="11" t="n"/>
      <c r="E19" s="11" t="n"/>
      <c r="F19" s="11" t="n"/>
      <c r="G19" s="11" t="n"/>
      <c r="H19" s="11" t="n"/>
      <c r="I19" s="11" t="n"/>
      <c r="J19" s="11" t="n"/>
      <c r="K19" s="11" t="n"/>
      <c r="L19" s="11" t="n"/>
      <c r="M19" s="11" t="n"/>
      <c r="N19" s="11" t="n"/>
      <c r="O19" s="12" t="n"/>
      <c r="P19" s="12" t="n"/>
    </row>
    <row r="20">
      <c r="A20" s="13" t="inlineStr">
        <is>
          <t>Province</t>
        </is>
      </c>
      <c r="B20" s="13" t="n">
        <v>2013</v>
      </c>
      <c r="C20" s="13" t="n">
        <v>2014</v>
      </c>
      <c r="D20" s="13" t="n">
        <v>2015</v>
      </c>
      <c r="E20" s="13" t="n">
        <v>2016</v>
      </c>
      <c r="F20" s="13" t="n">
        <v>2017</v>
      </c>
      <c r="G20" s="13" t="n">
        <v>2018</v>
      </c>
      <c r="H20" s="13" t="n">
        <v>2019</v>
      </c>
      <c r="I20" s="13" t="n">
        <v>2020</v>
      </c>
      <c r="J20" s="13" t="n">
        <v>2021</v>
      </c>
      <c r="K20" s="13" t="n">
        <v>2022</v>
      </c>
      <c r="L20" s="13" t="n">
        <v>2023</v>
      </c>
      <c r="M20" s="13" t="n">
        <v>2024</v>
      </c>
      <c r="N20" s="13" t="n">
        <v>2025</v>
      </c>
      <c r="O20" s="14" t="inlineStr">
        <is>
          <t>Source</t>
        </is>
      </c>
      <c r="P20" s="14" t="inlineStr">
        <is>
          <t>Note</t>
        </is>
      </c>
    </row>
    <row r="21">
      <c r="A21" s="15" t="inlineStr">
        <is>
          <t>Gauteng</t>
        </is>
      </c>
      <c r="B21" s="16" t="n">
        <v>2.785429802</v>
      </c>
      <c r="C21" s="16" t="n">
        <v>3.118078004</v>
      </c>
      <c r="D21" s="16" t="n">
        <v>3.160426878</v>
      </c>
      <c r="E21" s="16" t="n">
        <v>2.953325706855998</v>
      </c>
      <c r="F21" s="16" t="n">
        <v>3.125523429546999</v>
      </c>
      <c r="G21" s="16" t="n">
        <v>3.320043256458995</v>
      </c>
      <c r="H21" s="16" t="n">
        <v>3.565209035882996</v>
      </c>
      <c r="I21" s="16" t="n">
        <v>2.950670842131997</v>
      </c>
      <c r="J21" s="16" t="n">
        <v>3.205191324365998</v>
      </c>
      <c r="K21" s="16" t="n">
        <v>3.278990501961998</v>
      </c>
      <c r="L21" s="19" t="n">
        <v>3.350233605312275</v>
      </c>
      <c r="M21" s="16" t="n"/>
      <c r="N21" s="16" t="n"/>
      <c r="O21" s="17" t="inlineStr">
        <is>
          <t>Department of Mineral and Petroleum Resources, fuel sales volumes by magisterial district</t>
        </is>
      </c>
      <c r="P21" s="17" t="inlineStr">
        <is>
          <t>2023 is an estimate. Nothing published by province after the first quarter of 2023.</t>
        </is>
      </c>
    </row>
    <row r="22">
      <c r="A22" s="15" t="inlineStr">
        <is>
          <t>KwaZulu-Natal</t>
        </is>
      </c>
      <c r="B22" s="16" t="n">
        <v>2.252156455</v>
      </c>
      <c r="C22" s="16" t="n">
        <v>2.131256221</v>
      </c>
      <c r="D22" s="16" t="n">
        <v>2.125006744</v>
      </c>
      <c r="E22" s="16" t="n">
        <v>2.176897259443</v>
      </c>
      <c r="F22" s="16" t="n">
        <v>2.459701383962</v>
      </c>
      <c r="G22" s="16" t="n">
        <v>2.374693964448</v>
      </c>
      <c r="H22" s="16" t="n">
        <v>2.576035405942</v>
      </c>
      <c r="I22" s="16" t="n">
        <v>2.610320287135</v>
      </c>
      <c r="J22" s="16" t="n">
        <v>2.724422486838</v>
      </c>
      <c r="K22" s="16" t="n">
        <v>2.785554802503</v>
      </c>
      <c r="L22" s="19" t="n">
        <v>2.450585160053153</v>
      </c>
      <c r="M22" s="16" t="n"/>
      <c r="N22" s="16" t="n"/>
      <c r="O22" s="17" t="inlineStr">
        <is>
          <t>Department of Mineral and Petroleum Resources, fuel sales volumes by magisterial district</t>
        </is>
      </c>
      <c r="P22" s="17" t="inlineStr">
        <is>
          <t>2023 is an estimate. Nothing published by province after the first quarter of 2023.</t>
        </is>
      </c>
    </row>
    <row r="23">
      <c r="A23" s="15" t="inlineStr">
        <is>
          <t>Western Cape</t>
        </is>
      </c>
      <c r="B23" s="16" t="n">
        <v>1.987532805</v>
      </c>
      <c r="C23" s="16" t="n">
        <v>2.37162726</v>
      </c>
      <c r="D23" s="16" t="n">
        <v>2.951017107</v>
      </c>
      <c r="E23" s="16" t="n">
        <v>1.896010479563</v>
      </c>
      <c r="F23" s="16" t="n">
        <v>1.854222386571999</v>
      </c>
      <c r="G23" s="16" t="n">
        <v>1.849560718467999</v>
      </c>
      <c r="H23" s="16" t="n">
        <v>2.061836736</v>
      </c>
      <c r="I23" s="16" t="n">
        <v>1.849409077413</v>
      </c>
      <c r="J23" s="16" t="n">
        <v>2.608371193924998</v>
      </c>
      <c r="K23" s="16" t="n">
        <v>2.499769547067</v>
      </c>
      <c r="L23" s="19" t="n">
        <v>3.03141400389425</v>
      </c>
      <c r="M23" s="16" t="n"/>
      <c r="N23" s="16" t="n"/>
      <c r="O23" s="17" t="inlineStr">
        <is>
          <t>Department of Mineral and Petroleum Resources, fuel sales volumes by magisterial district</t>
        </is>
      </c>
      <c r="P23" s="17" t="inlineStr">
        <is>
          <t>2023 is an estimate. Nothing published by province after the first quarter of 2023.</t>
        </is>
      </c>
    </row>
    <row r="24">
      <c r="A24" s="15" t="inlineStr">
        <is>
          <t>Eastern Cape</t>
        </is>
      </c>
      <c r="B24" s="16" t="n">
        <v>0.7821488440000001</v>
      </c>
      <c r="C24" s="16" t="n">
        <v>0.807224237</v>
      </c>
      <c r="D24" s="16" t="n">
        <v>0.9292690330000001</v>
      </c>
      <c r="E24" s="16" t="n">
        <v>0.9281418288860002</v>
      </c>
      <c r="F24" s="16" t="n">
        <v>0.937323412165999</v>
      </c>
      <c r="G24" s="16" t="n">
        <v>0.9606054126530001</v>
      </c>
      <c r="H24" s="16" t="n">
        <v>0.9990317762660001</v>
      </c>
      <c r="I24" s="16" t="n">
        <v>0.9368169864540001</v>
      </c>
      <c r="J24" s="16" t="n">
        <v>1.036454764805</v>
      </c>
      <c r="K24" s="16" t="n">
        <v>1.03235218272</v>
      </c>
      <c r="L24" s="19" t="n">
        <v>1.018489160935218</v>
      </c>
      <c r="M24" s="16" t="n"/>
      <c r="N24" s="16" t="n"/>
      <c r="O24" s="17" t="inlineStr">
        <is>
          <t>Department of Mineral and Petroleum Resources, fuel sales volumes by magisterial district</t>
        </is>
      </c>
      <c r="P24" s="17" t="inlineStr">
        <is>
          <t>2023 is an estimate. Nothing published by province after the first quarter of 2023.</t>
        </is>
      </c>
    </row>
    <row r="25">
      <c r="A25" s="15" t="inlineStr">
        <is>
          <t>Mpumalanga</t>
        </is>
      </c>
      <c r="B25" s="16" t="n">
        <v>1.488831128</v>
      </c>
      <c r="C25" s="16" t="n">
        <v>1.513316515</v>
      </c>
      <c r="D25" s="16" t="n">
        <v>1.499329399</v>
      </c>
      <c r="E25" s="16" t="n">
        <v>1.631206634515</v>
      </c>
      <c r="F25" s="16" t="n">
        <v>1.546048578055</v>
      </c>
      <c r="G25" s="16" t="n">
        <v>1.576691392181</v>
      </c>
      <c r="H25" s="16" t="n">
        <v>1.435128292351999</v>
      </c>
      <c r="I25" s="16" t="n">
        <v>1.307424417362</v>
      </c>
      <c r="J25" s="16" t="n">
        <v>1.275609358918997</v>
      </c>
      <c r="K25" s="16" t="n">
        <v>1.144924075864997</v>
      </c>
      <c r="L25" s="19" t="n">
        <v>1.181554616040971</v>
      </c>
      <c r="M25" s="16" t="n"/>
      <c r="N25" s="16" t="n"/>
      <c r="O25" s="17" t="inlineStr">
        <is>
          <t>Department of Mineral and Petroleum Resources, fuel sales volumes by magisterial district</t>
        </is>
      </c>
      <c r="P25" s="17" t="inlineStr">
        <is>
          <t>2023 is an estimate. Nothing published by province after the first quarter of 2023.</t>
        </is>
      </c>
    </row>
    <row r="26">
      <c r="A26" s="15" t="inlineStr">
        <is>
          <t>Free State</t>
        </is>
      </c>
      <c r="B26" s="16" t="n">
        <v>1.292525069</v>
      </c>
      <c r="C26" s="16" t="n">
        <v>1.249179829</v>
      </c>
      <c r="D26" s="16" t="n">
        <v>1.259015189</v>
      </c>
      <c r="E26" s="16" t="n">
        <v>1.124907207231</v>
      </c>
      <c r="F26" s="16" t="n">
        <v>0.930163930832</v>
      </c>
      <c r="G26" s="16" t="n">
        <v>1.007279195237</v>
      </c>
      <c r="H26" s="16" t="n">
        <v>1.059053904877</v>
      </c>
      <c r="I26" s="16" t="n">
        <v>1.030588800552</v>
      </c>
      <c r="J26" s="16" t="n">
        <v>1.025652327622999</v>
      </c>
      <c r="K26" s="16" t="n">
        <v>0.7818611598310002</v>
      </c>
      <c r="L26" s="19" t="n">
        <v>0.7004122852472372</v>
      </c>
      <c r="M26" s="16" t="n"/>
      <c r="N26" s="16" t="n"/>
      <c r="O26" s="17" t="inlineStr">
        <is>
          <t>Department of Mineral and Petroleum Resources, fuel sales volumes by magisterial district</t>
        </is>
      </c>
      <c r="P26" s="17" t="inlineStr">
        <is>
          <t>2023 is an estimate. Nothing published by province after the first quarter of 2023.</t>
        </is>
      </c>
    </row>
    <row r="27">
      <c r="A27" s="15" t="inlineStr">
        <is>
          <t>North West</t>
        </is>
      </c>
      <c r="B27" s="16" t="n">
        <v>0.662591762</v>
      </c>
      <c r="C27" s="16" t="n">
        <v>0.637278121</v>
      </c>
      <c r="D27" s="16" t="n">
        <v>0.659007947</v>
      </c>
      <c r="E27" s="16" t="n">
        <v>0.6504184553739999</v>
      </c>
      <c r="F27" s="16" t="n">
        <v>0.5871623233729999</v>
      </c>
      <c r="G27" s="16" t="n">
        <v>0.514025031385</v>
      </c>
      <c r="H27" s="16" t="n">
        <v>0.518359393999</v>
      </c>
      <c r="I27" s="16" t="n">
        <v>0.436165795866</v>
      </c>
      <c r="J27" s="16" t="n">
        <v>0.5004056482319998</v>
      </c>
      <c r="K27" s="16" t="n">
        <v>0.6199064889129999</v>
      </c>
      <c r="L27" s="19" t="n">
        <v>0.5685802737091206</v>
      </c>
      <c r="M27" s="16" t="n"/>
      <c r="N27" s="16" t="n"/>
      <c r="O27" s="17" t="inlineStr">
        <is>
          <t>Department of Mineral and Petroleum Resources, fuel sales volumes by magisterial district</t>
        </is>
      </c>
      <c r="P27" s="17" t="inlineStr">
        <is>
          <t>2023 is an estimate. Nothing published by province after the first quarter of 2023.</t>
        </is>
      </c>
    </row>
    <row r="28">
      <c r="A28" s="15" t="inlineStr">
        <is>
          <t>Limpopo</t>
        </is>
      </c>
      <c r="B28" s="16" t="n">
        <v>0.424483028</v>
      </c>
      <c r="C28" s="16" t="n">
        <v>0.40841603</v>
      </c>
      <c r="D28" s="16" t="n">
        <v>0.371279601</v>
      </c>
      <c r="E28" s="16" t="n">
        <v>0.309226164304</v>
      </c>
      <c r="F28" s="16" t="n">
        <v>0.274713980268</v>
      </c>
      <c r="G28" s="16" t="n">
        <v>0.29560009792</v>
      </c>
      <c r="H28" s="16" t="n">
        <v>0.269697983735</v>
      </c>
      <c r="I28" s="16" t="n">
        <v>0.2161239956</v>
      </c>
      <c r="J28" s="16" t="n">
        <v>0.210257732307</v>
      </c>
      <c r="K28" s="16" t="n">
        <v>0.221987440248</v>
      </c>
      <c r="L28" s="19" t="n">
        <v>0.2438145704893091</v>
      </c>
      <c r="M28" s="16" t="n"/>
      <c r="N28" s="16" t="n"/>
      <c r="O28" s="17" t="inlineStr">
        <is>
          <t>Department of Mineral and Petroleum Resources, fuel sales volumes by magisterial district</t>
        </is>
      </c>
      <c r="P28" s="17" t="inlineStr">
        <is>
          <t>2023 is an estimate. Nothing published by province after the first quarter of 2023.</t>
        </is>
      </c>
    </row>
    <row r="29">
      <c r="A29" s="15" t="inlineStr">
        <is>
          <t>Northern Cape</t>
        </is>
      </c>
      <c r="B29" s="16" t="n">
        <v>0.465348224</v>
      </c>
      <c r="C29" s="16" t="n">
        <v>0.507013669</v>
      </c>
      <c r="D29" s="16" t="n">
        <v>0.537799461</v>
      </c>
      <c r="E29" s="16" t="n">
        <v>0.41224030225</v>
      </c>
      <c r="F29" s="16" t="n">
        <v>0.430290764414</v>
      </c>
      <c r="G29" s="16" t="n">
        <v>0.420121363622</v>
      </c>
      <c r="H29" s="16" t="n">
        <v>0.424278703163</v>
      </c>
      <c r="I29" s="16" t="n">
        <v>0.3524375567820001</v>
      </c>
      <c r="J29" s="16" t="n">
        <v>0.358653178157</v>
      </c>
      <c r="K29" s="16" t="n">
        <v>0.3519801199100001</v>
      </c>
      <c r="L29" s="19" t="n">
        <v>0.3624162901264679</v>
      </c>
      <c r="M29" s="16" t="n"/>
      <c r="N29" s="16" t="n"/>
      <c r="O29" s="17" t="inlineStr">
        <is>
          <t>Department of Mineral and Petroleum Resources, fuel sales volumes by magisterial district</t>
        </is>
      </c>
      <c r="P29" s="17" t="inlineStr">
        <is>
          <t>2023 is an estimate. Nothing published by province after the first quarter of 2023.</t>
        </is>
      </c>
    </row>
    <row r="30">
      <c r="A30" s="24" t="inlineStr">
        <is>
          <t>Nine provinces</t>
        </is>
      </c>
      <c r="B30" s="25">
        <f>IF(COUNT(B21:B29)=0,"",SUM(B21:B29))</f>
        <v/>
      </c>
      <c r="C30" s="25">
        <f>IF(COUNT(C21:C29)=0,"",SUM(C21:C29))</f>
        <v/>
      </c>
      <c r="D30" s="25">
        <f>IF(COUNT(D21:D29)=0,"",SUM(D21:D29))</f>
        <v/>
      </c>
      <c r="E30" s="25">
        <f>IF(COUNT(E21:E29)=0,"",SUM(E21:E29))</f>
        <v/>
      </c>
      <c r="F30" s="25">
        <f>IF(COUNT(F21:F29)=0,"",SUM(F21:F29))</f>
        <v/>
      </c>
      <c r="G30" s="25">
        <f>IF(COUNT(G21:G29)=0,"",SUM(G21:G29))</f>
        <v/>
      </c>
      <c r="H30" s="25">
        <f>IF(COUNT(H21:H29)=0,"",SUM(H21:H29))</f>
        <v/>
      </c>
      <c r="I30" s="25">
        <f>IF(COUNT(I21:I29)=0,"",SUM(I21:I29))</f>
        <v/>
      </c>
      <c r="J30" s="25">
        <f>IF(COUNT(J21:J29)=0,"",SUM(J21:J29))</f>
        <v/>
      </c>
      <c r="K30" s="25">
        <f>IF(COUNT(K21:K29)=0,"",SUM(K21:K29))</f>
        <v/>
      </c>
      <c r="L30" s="25">
        <f>IF(COUNT(L21:L29)=0,"",SUM(L21:L29))</f>
        <v/>
      </c>
      <c r="M30" s="25">
        <f>IF(COUNT(M21:M29)=0,"",SUM(M21:M29))</f>
        <v/>
      </c>
      <c r="N30" s="25">
        <f>IF(COUNT(N21:N29)=0,"",SUM(N21:N29))</f>
        <v/>
      </c>
      <c r="O30" s="26" t="inlineStr">
        <is>
          <t>Calculated: sum of the rows above</t>
        </is>
      </c>
      <c r="P30" s="26" t="inlineStr">
        <is>
          <t>The sales line on the national balance sheet.</t>
        </is>
      </c>
    </row>
    <row r="31">
      <c r="A31" s="27" t="inlineStr">
        <is>
          <t>National file, for comparison</t>
        </is>
      </c>
      <c r="B31" s="28" t="n">
        <v>12.141281548</v>
      </c>
      <c r="C31" s="28" t="n">
        <v>12.615023359</v>
      </c>
      <c r="D31" s="28" t="n">
        <v>13.52013925195</v>
      </c>
      <c r="E31" s="28" t="n">
        <v>12.082374038422</v>
      </c>
      <c r="F31" s="28" t="n">
        <v>12.147245167189</v>
      </c>
      <c r="G31" s="28" t="n">
        <v>12.538744325998</v>
      </c>
      <c r="H31" s="28" t="n">
        <v>12.908631232217</v>
      </c>
      <c r="I31" s="28" t="n">
        <v>11.689957759296</v>
      </c>
      <c r="J31" s="28" t="n">
        <v>12.945782750435</v>
      </c>
      <c r="K31" s="28" t="n">
        <v>12.717326319019</v>
      </c>
      <c r="L31" s="28" t="n">
        <v>12.907499965808</v>
      </c>
      <c r="M31" s="28" t="n"/>
      <c r="N31" s="28" t="n"/>
      <c r="O31" s="29" t="inlineStr">
        <is>
          <t>Department of Mineral and Petroleum Resources, national fuel sales volumes</t>
        </is>
      </c>
      <c r="P31" s="29" t="inlineStr">
        <is>
          <t>The 2023 estimates add up to this by construction. The two files differ in 2014 and 2018.</t>
        </is>
      </c>
    </row>
    <row r="33">
      <c r="A33" s="2" t="inlineStr">
        <is>
          <t>2024 and 2025 are blank: the department has published no sales after 2023. FIASA and JODI carry figures for those years, but they are not used.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4" customWidth="1" min="1" max="1"/>
    <col width="8.5" customWidth="1" min="2" max="2"/>
    <col width="8.5" customWidth="1" min="3" max="3"/>
    <col width="8.5" customWidth="1" min="4" max="4"/>
    <col width="8.5" customWidth="1" min="5" max="5"/>
    <col width="8.5" customWidth="1" min="6" max="6"/>
    <col width="8.5" customWidth="1" min="7" max="7"/>
    <col width="8.5" customWidth="1" min="8" max="8"/>
    <col width="8.5" customWidth="1" min="9" max="9"/>
    <col width="58" customWidth="1" min="10" max="10"/>
    <col width="70" customWidth="1" min="11" max="11"/>
  </cols>
  <sheetData>
    <row r="1">
      <c r="A1" s="1" t="inlineStr">
        <is>
          <t>DR01 Demand by sector: diesel and petrol</t>
        </is>
      </c>
    </row>
    <row r="2">
      <c r="A2" s="2" t="inlineStr">
        <is>
          <t>Billion litres, calendar years, as reported in the department's energy balances. The last balance is 2021, so nothing later is published by sector. Blank means the balance gives no figure.</t>
        </is>
      </c>
    </row>
    <row r="5">
      <c r="A5" s="10" t="inlineStr">
        <is>
          <t>Diesel</t>
        </is>
      </c>
      <c r="B5" s="11" t="n"/>
      <c r="C5" s="11" t="n"/>
      <c r="D5" s="11" t="n"/>
      <c r="E5" s="11" t="n"/>
      <c r="F5" s="11" t="n"/>
      <c r="G5" s="11" t="n"/>
      <c r="H5" s="11" t="n"/>
      <c r="I5" s="11" t="n"/>
      <c r="J5" s="12" t="n"/>
      <c r="K5" s="12" t="n"/>
    </row>
    <row r="6">
      <c r="A6" s="13" t="inlineStr">
        <is>
          <t>Sector</t>
        </is>
      </c>
      <c r="B6" s="13" t="n">
        <v>2014</v>
      </c>
      <c r="C6" s="13" t="n">
        <v>2015</v>
      </c>
      <c r="D6" s="13" t="n">
        <v>2016</v>
      </c>
      <c r="E6" s="13" t="n">
        <v>2017</v>
      </c>
      <c r="F6" s="13" t="n">
        <v>2018</v>
      </c>
      <c r="G6" s="13" t="n">
        <v>2019</v>
      </c>
      <c r="H6" s="13" t="n">
        <v>2020</v>
      </c>
      <c r="I6" s="13" t="n">
        <v>2021</v>
      </c>
      <c r="J6" s="14" t="inlineStr">
        <is>
          <t>Source</t>
        </is>
      </c>
      <c r="K6" s="14" t="inlineStr">
        <is>
          <t>Note</t>
        </is>
      </c>
    </row>
    <row r="7">
      <c r="A7" s="30" t="inlineStr">
        <is>
          <t>All sectors</t>
        </is>
      </c>
      <c r="B7" s="31" t="n">
        <v>12.59787647412109</v>
      </c>
      <c r="C7" s="31" t="n">
        <v>13.49108998730469</v>
      </c>
      <c r="D7" s="31" t="n">
        <v>12.7943489753437</v>
      </c>
      <c r="E7" s="31" t="n">
        <v>13.25845856243897</v>
      </c>
      <c r="F7" s="31" t="n">
        <v>13.20475053698731</v>
      </c>
      <c r="G7" s="31" t="n">
        <v>13.5358227109375</v>
      </c>
      <c r="H7" s="31" t="n">
        <v>12.17967734509277</v>
      </c>
      <c r="I7" s="31" t="n">
        <v>13.40726619</v>
      </c>
      <c r="J7" s="32" t="inlineStr">
        <is>
          <t>Department of Mineral and Petroleum Resources, energy balances, one file a year</t>
        </is>
      </c>
      <c r="K7" s="32" t="inlineStr">
        <is>
          <t>The department's total for all sectors. It is not the sales figure on the national balance sheet.</t>
        </is>
      </c>
    </row>
    <row r="8">
      <c r="A8" s="15" t="inlineStr">
        <is>
          <t>Road transport</t>
        </is>
      </c>
      <c r="B8" s="16" t="n">
        <v>8.903131</v>
      </c>
      <c r="C8" s="16" t="n">
        <v>9.428381</v>
      </c>
      <c r="D8" s="16" t="n">
        <v>4.3963865</v>
      </c>
      <c r="E8" s="16" t="n">
        <v>9.359175</v>
      </c>
      <c r="F8" s="16" t="n">
        <v>6.3919425</v>
      </c>
      <c r="G8" s="16" t="n">
        <v>6.725982</v>
      </c>
      <c r="H8" s="16" t="n">
        <v>5.8481915</v>
      </c>
      <c r="I8" s="16" t="n">
        <v>6.32795728</v>
      </c>
      <c r="J8" s="17" t="inlineStr">
        <is>
          <t>Department of Mineral and Petroleum Resources, energy balances, one file a year</t>
        </is>
      </c>
      <c r="K8" s="17" t="inlineStr"/>
    </row>
    <row r="9">
      <c r="A9" s="15" t="inlineStr">
        <is>
          <t>Rail</t>
        </is>
      </c>
      <c r="B9" s="16" t="n">
        <v>0.09044075</v>
      </c>
      <c r="C9" s="16" t="n">
        <v>0.1239532578125</v>
      </c>
      <c r="D9" s="16" t="n">
        <v>0.186905984375</v>
      </c>
      <c r="E9" s="16" t="n">
        <v>0.136104515625</v>
      </c>
      <c r="F9" s="16" t="n">
        <v>0.16974334375</v>
      </c>
      <c r="G9" s="16" t="n">
        <v>0.1281826640625</v>
      </c>
      <c r="H9" s="16" t="n">
        <v>0.0994271875</v>
      </c>
      <c r="I9" s="16" t="n">
        <v>0.01312792</v>
      </c>
      <c r="J9" s="17" t="inlineStr">
        <is>
          <t>Department of Mineral and Petroleum Resources, energy balances, one file a year</t>
        </is>
      </c>
      <c r="K9" s="17" t="inlineStr"/>
    </row>
    <row r="10">
      <c r="A10" s="15" t="inlineStr">
        <is>
          <t>Industry, all</t>
        </is>
      </c>
      <c r="B10" s="16" t="n">
        <v>1.639750640625</v>
      </c>
      <c r="C10" s="16" t="n">
        <v>1.9331291796875</v>
      </c>
      <c r="D10" s="16" t="n">
        <v>1.319798182863235</v>
      </c>
      <c r="E10" s="16" t="n">
        <v>1.54383980682373</v>
      </c>
      <c r="F10" s="16" t="n">
        <v>1.884421682861328</v>
      </c>
      <c r="G10" s="16" t="n">
        <v>1.897990848388672</v>
      </c>
      <c r="H10" s="16" t="n">
        <v>1.44622069909668</v>
      </c>
      <c r="I10" s="16" t="n">
        <v>1.49913926</v>
      </c>
      <c r="J10" s="17" t="inlineStr">
        <is>
          <t>Department of Mineral and Petroleum Resources, energy balances, one file a year</t>
        </is>
      </c>
      <c r="K10" s="17" t="inlineStr">
        <is>
          <t>Mining, construction, manufacturing and industry not specified, together. Manufacturing and other industry is this line less the two below.</t>
        </is>
      </c>
    </row>
    <row r="11">
      <c r="A11" s="15" t="inlineStr">
        <is>
          <t>Mining (part of industry)</t>
        </is>
      </c>
      <c r="B11" s="16" t="n">
        <v>1.50503225</v>
      </c>
      <c r="C11" s="16" t="n">
        <v>1.8183965</v>
      </c>
      <c r="D11" s="16" t="n">
        <v>1.0442530625</v>
      </c>
      <c r="E11" s="16" t="n">
        <v>1.300426</v>
      </c>
      <c r="F11" s="16" t="n">
        <v>1.650123</v>
      </c>
      <c r="G11" s="16" t="n">
        <v>1.66724925</v>
      </c>
      <c r="H11" s="16" t="n">
        <v>1.26340575</v>
      </c>
      <c r="I11" s="16" t="n">
        <v>1.29381342</v>
      </c>
      <c r="J11" s="17" t="inlineStr">
        <is>
          <t>Department of Mineral and Petroleum Resources, energy balances, one file a year</t>
        </is>
      </c>
      <c r="K11" s="17" t="inlineStr"/>
    </row>
    <row r="12">
      <c r="A12" s="15" t="inlineStr">
        <is>
          <t>Construction (part of industry)</t>
        </is>
      </c>
      <c r="B12" s="16" t="n">
        <v>0.134718390625</v>
      </c>
      <c r="C12" s="16" t="n">
        <v>0.1147326796875</v>
      </c>
      <c r="D12" s="16" t="n">
        <v>0.138693625</v>
      </c>
      <c r="E12" s="16" t="n">
        <v>0.1244697890625</v>
      </c>
      <c r="F12" s="16" t="n">
        <v>0.074592859375</v>
      </c>
      <c r="G12" s="16" t="n"/>
      <c r="H12" s="16" t="n">
        <v>0.04284740625</v>
      </c>
      <c r="I12" s="16" t="n">
        <v>0.04869243</v>
      </c>
      <c r="J12" s="17" t="inlineStr">
        <is>
          <t>Department of Mineral and Petroleum Resources, energy balances, one file a year</t>
        </is>
      </c>
      <c r="K12" s="17" t="inlineStr"/>
    </row>
    <row r="13">
      <c r="A13" s="15" t="inlineStr">
        <is>
          <t>Agriculture</t>
        </is>
      </c>
      <c r="B13" s="16" t="n">
        <v>1.09249875</v>
      </c>
      <c r="C13" s="16" t="n">
        <v>1.07349425</v>
      </c>
      <c r="D13" s="16" t="n">
        <v>1.887278875</v>
      </c>
      <c r="E13" s="16" t="n">
        <v>1.876914</v>
      </c>
      <c r="F13" s="16" t="n">
        <v>0.8998834375</v>
      </c>
      <c r="G13" s="16" t="n">
        <v>0.9218486875</v>
      </c>
      <c r="H13" s="16" t="n">
        <v>1.0489635</v>
      </c>
      <c r="I13" s="16" t="n">
        <v>1.05839895</v>
      </c>
      <c r="J13" s="17" t="inlineStr">
        <is>
          <t>Department of Mineral and Petroleum Resources, energy balances, one file a year</t>
        </is>
      </c>
      <c r="K13" s="17" t="inlineStr"/>
    </row>
    <row r="14">
      <c r="A14" s="15" t="inlineStr">
        <is>
          <t>Commercial and public services</t>
        </is>
      </c>
      <c r="B14" s="16" t="n">
        <v>0.023462720703125</v>
      </c>
      <c r="C14" s="16" t="n">
        <v>0.0147306484375</v>
      </c>
      <c r="D14" s="16" t="n">
        <v>4.9728395</v>
      </c>
      <c r="E14" s="16" t="n"/>
      <c r="F14" s="16" t="n">
        <v>3.8237085</v>
      </c>
      <c r="G14" s="16" t="n">
        <v>3.8215455</v>
      </c>
      <c r="H14" s="16" t="n">
        <v>3.63912175</v>
      </c>
      <c r="I14" s="16" t="n">
        <v>4.29997573</v>
      </c>
      <c r="J14" s="17" t="inlineStr">
        <is>
          <t>Department of Mineral and Petroleum Resources, energy balances, one file a year</t>
        </is>
      </c>
      <c r="K14" s="17" t="inlineStr">
        <is>
          <t>Jumps from almost nothing to several billion litres from 2016: the department moved volumes between sectors, so read with care.</t>
        </is>
      </c>
    </row>
    <row r="15">
      <c r="A15" s="15" t="inlineStr">
        <is>
          <t>Households</t>
        </is>
      </c>
      <c r="B15" s="16" t="n">
        <v>0.00761448779296875</v>
      </c>
      <c r="C15" s="16" t="n">
        <v>0.0055073388671875</v>
      </c>
      <c r="D15" s="16" t="n"/>
      <c r="E15" s="16" t="n">
        <v>0.000305239990234375</v>
      </c>
      <c r="F15" s="16" t="n">
        <v>0.00132148095703125</v>
      </c>
      <c r="G15" s="16" t="n">
        <v>0.0007139210205078125</v>
      </c>
      <c r="H15" s="16" t="n">
        <v>0.00609755810546875</v>
      </c>
      <c r="I15" s="16" t="n">
        <v>0.00201032</v>
      </c>
      <c r="J15" s="17" t="inlineStr">
        <is>
          <t>Department of Mineral and Petroleum Resources, energy balances, one file a year</t>
        </is>
      </c>
      <c r="K15" s="17" t="inlineStr"/>
    </row>
    <row r="16">
      <c r="A16" s="15" t="inlineStr">
        <is>
          <t>Power stations</t>
        </is>
      </c>
      <c r="B16" s="16" t="n">
        <v>1.178599875</v>
      </c>
      <c r="C16" s="16" t="n">
        <v>1.2478</v>
      </c>
      <c r="D16" s="16" t="n">
        <v>1.247800125</v>
      </c>
      <c r="E16" s="16" t="n">
        <v>0.01</v>
      </c>
      <c r="F16" s="16" t="n">
        <v>0.01</v>
      </c>
      <c r="G16" s="16" t="n">
        <v>0.02872419140625</v>
      </c>
      <c r="H16" s="16" t="n"/>
      <c r="I16" s="16" t="n"/>
      <c r="J16" s="17" t="inlineStr">
        <is>
          <t>Department of Mineral and Petroleum Resources, energy balances, one file a year</t>
        </is>
      </c>
      <c r="K16" s="17" t="inlineStr">
        <is>
          <t>The balances record little or none after 2016; Eskom's own reported fuel is on the DR07 sheet.</t>
        </is>
      </c>
    </row>
    <row r="18">
      <c r="A18" s="10" t="inlineStr">
        <is>
          <t>Petrol</t>
        </is>
      </c>
      <c r="B18" s="11" t="n"/>
      <c r="C18" s="11" t="n"/>
      <c r="D18" s="11" t="n"/>
      <c r="E18" s="11" t="n"/>
      <c r="F18" s="11" t="n"/>
      <c r="G18" s="11" t="n"/>
      <c r="H18" s="11" t="n"/>
      <c r="I18" s="11" t="n"/>
      <c r="J18" s="12" t="n"/>
      <c r="K18" s="12" t="n"/>
    </row>
    <row r="19">
      <c r="A19" s="13" t="inlineStr">
        <is>
          <t>Sector</t>
        </is>
      </c>
      <c r="B19" s="13" t="n">
        <v>2014</v>
      </c>
      <c r="C19" s="13" t="n">
        <v>2015</v>
      </c>
      <c r="D19" s="13" t="n">
        <v>2016</v>
      </c>
      <c r="E19" s="13" t="n">
        <v>2017</v>
      </c>
      <c r="F19" s="13" t="n">
        <v>2018</v>
      </c>
      <c r="G19" s="13" t="n">
        <v>2019</v>
      </c>
      <c r="H19" s="13" t="n">
        <v>2020</v>
      </c>
      <c r="I19" s="13" t="n">
        <v>2021</v>
      </c>
      <c r="J19" s="14" t="inlineStr">
        <is>
          <t>Source</t>
        </is>
      </c>
      <c r="K19" s="14" t="inlineStr">
        <is>
          <t>Note</t>
        </is>
      </c>
    </row>
    <row r="20">
      <c r="A20" s="30" t="inlineStr">
        <is>
          <t>All sectors</t>
        </is>
      </c>
      <c r="B20" s="31" t="n">
        <v>10.85563314111328</v>
      </c>
      <c r="C20" s="31" t="n">
        <v>11.46766662414551</v>
      </c>
      <c r="D20" s="31" t="n">
        <v>12.10512484949922</v>
      </c>
      <c r="E20" s="31" t="n">
        <v>11.81206795934439</v>
      </c>
      <c r="F20" s="31" t="n">
        <v>11.71542098850632</v>
      </c>
      <c r="G20" s="31" t="n">
        <v>11.38288891483688</v>
      </c>
      <c r="H20" s="31" t="n">
        <v>9.274792034894944</v>
      </c>
      <c r="I20" s="31" t="n">
        <v>9.83617596</v>
      </c>
      <c r="J20" s="32" t="inlineStr">
        <is>
          <t>Department of Mineral and Petroleum Resources, energy balances, one file a year</t>
        </is>
      </c>
      <c r="K20" s="32" t="inlineStr">
        <is>
          <t>The department's total for all sectors. It is not the sales figure on the national balance sheet.</t>
        </is>
      </c>
    </row>
    <row r="21">
      <c r="A21" s="15" t="inlineStr">
        <is>
          <t>Road transport</t>
        </is>
      </c>
      <c r="B21" s="16" t="n">
        <v>10.599969</v>
      </c>
      <c r="C21" s="16" t="n">
        <v>11.20332</v>
      </c>
      <c r="D21" s="16" t="n">
        <v>7.8504055</v>
      </c>
      <c r="E21" s="16" t="n">
        <v>7.799955</v>
      </c>
      <c r="F21" s="16" t="n">
        <v>9.421383000000001</v>
      </c>
      <c r="G21" s="16" t="n">
        <v>10.179225</v>
      </c>
      <c r="H21" s="16" t="n">
        <v>8.15771</v>
      </c>
      <c r="I21" s="16" t="n">
        <v>8.73466503</v>
      </c>
      <c r="J21" s="17" t="inlineStr">
        <is>
          <t>Department of Mineral and Petroleum Resources, energy balances, one file a year</t>
        </is>
      </c>
      <c r="K21" s="17" t="inlineStr"/>
    </row>
    <row r="22">
      <c r="A22" s="15" t="inlineStr">
        <is>
          <t>Rail</t>
        </is>
      </c>
      <c r="B22" s="16" t="n">
        <v>0.018827935546875</v>
      </c>
      <c r="C22" s="16" t="n">
        <v>0.04779277734375</v>
      </c>
      <c r="D22" s="16" t="n">
        <v>0.04603073046875</v>
      </c>
      <c r="E22" s="16" t="n">
        <v>0.05994</v>
      </c>
      <c r="F22" s="16" t="n">
        <v>0.0354285234375</v>
      </c>
      <c r="G22" s="16" t="n">
        <v>0.0007918057861328125</v>
      </c>
      <c r="H22" s="16" t="n">
        <v>0.0007387239990234375</v>
      </c>
      <c r="I22" s="16" t="n">
        <v>0.00011681</v>
      </c>
      <c r="J22" s="17" t="inlineStr">
        <is>
          <t>Department of Mineral and Petroleum Resources, energy balances, one file a year</t>
        </is>
      </c>
      <c r="K22" s="17" t="inlineStr"/>
    </row>
    <row r="23">
      <c r="A23" s="15" t="inlineStr">
        <is>
          <t>Industry, all</t>
        </is>
      </c>
      <c r="B23" s="16" t="n">
        <v>0.0236017978515625</v>
      </c>
      <c r="C23" s="16" t="n">
        <v>0.006052782104492187</v>
      </c>
      <c r="D23" s="16" t="n">
        <v>0.03118286829805374</v>
      </c>
      <c r="E23" s="16" t="n">
        <v>0.1008564789366722</v>
      </c>
      <c r="F23" s="16" t="n">
        <v>0.1848299668388367</v>
      </c>
      <c r="G23" s="16" t="n">
        <v>0.1829707760734558</v>
      </c>
      <c r="H23" s="16" t="n">
        <v>0.08609156905555725</v>
      </c>
      <c r="I23" s="16" t="n">
        <v>0.06503531000000001</v>
      </c>
      <c r="J23" s="17" t="inlineStr">
        <is>
          <t>Department of Mineral and Petroleum Resources, energy balances, one file a year</t>
        </is>
      </c>
      <c r="K23" s="17" t="inlineStr">
        <is>
          <t>Mining, construction, manufacturing and industry not specified, together. Manufacturing and other industry is this line less the two below.</t>
        </is>
      </c>
    </row>
    <row r="24">
      <c r="A24" s="15" t="inlineStr">
        <is>
          <t>Mining (part of industry)</t>
        </is>
      </c>
      <c r="B24" s="16" t="n">
        <v>0.0166193828125</v>
      </c>
      <c r="C24" s="16" t="n">
        <v>0.005637662109375</v>
      </c>
      <c r="D24" s="16" t="n">
        <v>0.0048052275390625</v>
      </c>
      <c r="E24" s="16" t="n">
        <v>0.07230403906250001</v>
      </c>
      <c r="F24" s="16" t="n">
        <v>0.159424375</v>
      </c>
      <c r="G24" s="16" t="n">
        <v>0.1585386875</v>
      </c>
      <c r="H24" s="16" t="n">
        <v>0.0722790703125</v>
      </c>
      <c r="I24" s="16" t="n">
        <v>0.05449402</v>
      </c>
      <c r="J24" s="17" t="inlineStr">
        <is>
          <t>Department of Mineral and Petroleum Resources, energy balances, one file a year</t>
        </is>
      </c>
      <c r="K24" s="17" t="inlineStr"/>
    </row>
    <row r="25">
      <c r="A25" s="15" t="inlineStr">
        <is>
          <t>Construction (part of industry)</t>
        </is>
      </c>
      <c r="B25" s="16" t="n">
        <v>0.0069824150390625</v>
      </c>
      <c r="C25" s="16" t="n">
        <v>0.0004151199951171875</v>
      </c>
      <c r="D25" s="16" t="n">
        <v>0.0033661767578125</v>
      </c>
      <c r="E25" s="16" t="n">
        <v>0.006626169921875</v>
      </c>
      <c r="F25" s="16" t="n">
        <v>0.00136849658203125</v>
      </c>
      <c r="G25" s="16" t="n">
        <v>0.0005697340698242188</v>
      </c>
      <c r="H25" s="16" t="n">
        <v>0.000611820068359375</v>
      </c>
      <c r="I25" s="16" t="n">
        <v>0.00105943</v>
      </c>
      <c r="J25" s="17" t="inlineStr">
        <is>
          <t>Department of Mineral and Petroleum Resources, energy balances, one file a year</t>
        </is>
      </c>
      <c r="K25" s="17" t="inlineStr"/>
    </row>
    <row r="26">
      <c r="A26" s="15" t="inlineStr">
        <is>
          <t>Agriculture</t>
        </is>
      </c>
      <c r="B26" s="16" t="n">
        <v>0.157224265625</v>
      </c>
      <c r="C26" s="16" t="n">
        <v>0.1724905</v>
      </c>
      <c r="D26" s="16" t="n">
        <v>1.928879125</v>
      </c>
      <c r="E26" s="16" t="n">
        <v>1.95126</v>
      </c>
      <c r="F26" s="16" t="n">
        <v>0.1204940234375</v>
      </c>
      <c r="G26" s="16" t="n">
        <v>0.1068119453125</v>
      </c>
      <c r="H26" s="16" t="n">
        <v>0.1140243828125</v>
      </c>
      <c r="I26" s="16" t="n">
        <v>0.12018356</v>
      </c>
      <c r="J26" s="17" t="inlineStr">
        <is>
          <t>Department of Mineral and Petroleum Resources, energy balances, one file a year</t>
        </is>
      </c>
      <c r="K26" s="17" t="inlineStr"/>
    </row>
    <row r="27">
      <c r="A27" s="15" t="inlineStr">
        <is>
          <t>Commercial and public services</t>
        </is>
      </c>
      <c r="B27" s="16" t="n">
        <v>0.00377131591796875</v>
      </c>
      <c r="C27" s="16" t="n">
        <v>0.003779844970703125</v>
      </c>
      <c r="D27" s="16" t="n">
        <v>2.24386625</v>
      </c>
      <c r="E27" s="16" t="n">
        <v>1.88338425</v>
      </c>
      <c r="F27" s="16" t="n">
        <v>1.947136625</v>
      </c>
      <c r="G27" s="16" t="n">
        <v>0.90765475</v>
      </c>
      <c r="H27" s="16" t="n">
        <v>0.904899875</v>
      </c>
      <c r="I27" s="16" t="n">
        <v>0.90667726</v>
      </c>
      <c r="J27" s="17" t="inlineStr">
        <is>
          <t>Department of Mineral and Petroleum Resources, energy balances, one file a year</t>
        </is>
      </c>
      <c r="K27" s="17" t="inlineStr">
        <is>
          <t>Jumps from almost nothing to several billion litres from 2016: the department moved volumes between sectors, so read with care.</t>
        </is>
      </c>
    </row>
    <row r="28">
      <c r="A28" s="15" t="inlineStr">
        <is>
          <t>Households</t>
        </is>
      </c>
      <c r="B28" s="16" t="n">
        <v>0.003343123046875</v>
      </c>
      <c r="C28" s="16" t="n">
        <v>0.0021842490234375</v>
      </c>
      <c r="D28" s="16" t="n"/>
      <c r="E28" s="16" t="n"/>
      <c r="F28" s="16" t="n">
        <v>0.0001797019958496094</v>
      </c>
      <c r="G28" s="16" t="n">
        <v>0.0001673529968261719</v>
      </c>
      <c r="H28" s="16" t="n">
        <v>1.579899978637695e-05</v>
      </c>
      <c r="I28" s="16" t="n">
        <v>1.481e-05</v>
      </c>
      <c r="J28" s="17" t="inlineStr">
        <is>
          <t>Department of Mineral and Petroleum Resources, energy balances, one file a year</t>
        </is>
      </c>
      <c r="K28" s="1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2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44" customWidth="1" min="1" max="1"/>
    <col width="30" customWidth="1" min="2" max="2"/>
    <col width="8.5" customWidth="1" min="3" max="3"/>
    <col width="8.5" customWidth="1" min="4" max="4"/>
    <col width="8.5" customWidth="1" min="5" max="5"/>
    <col width="8.5" customWidth="1" min="6" max="6"/>
    <col width="8.5" customWidth="1" min="7" max="7"/>
    <col width="8.5" customWidth="1" min="8" max="8"/>
    <col width="8.5" customWidth="1" min="9" max="9"/>
    <col width="8.5" customWidth="1" min="10" max="10"/>
    <col width="8.5" customWidth="1" min="11" max="11"/>
    <col width="8.5" customWidth="1" min="12" max="12"/>
    <col width="8.5" customWidth="1" min="13" max="13"/>
    <col width="8.5" customWidth="1" min="14" max="14"/>
    <col width="50" customWidth="1" min="15" max="15"/>
    <col width="66" customWidth="1" min="16" max="16"/>
  </cols>
  <sheetData>
    <row r="1">
      <c r="A1" s="1" t="inlineStr">
        <is>
          <t>DR01 Sector activity: mining, manufacturing and agriculture</t>
        </is>
      </c>
    </row>
    <row r="2">
      <c r="A2" s="2" t="inlineStr">
        <is>
          <t>Activity is published to 2025; diesel by sector stops at 2021. The estimate for later years is the average diesel per unit of activity in 2018 to 2021 times the activity of that year. Diesel is read from the demand by sector sheet, not repeated here.</t>
        </is>
      </c>
    </row>
    <row r="5">
      <c r="A5" s="12" t="inlineStr">
        <is>
          <t>Mining</t>
        </is>
      </c>
      <c r="B5" s="10" t="n"/>
      <c r="C5" s="10" t="n"/>
      <c r="D5" s="10" t="n"/>
      <c r="E5" s="10" t="n"/>
      <c r="F5" s="10" t="n"/>
      <c r="G5" s="10" t="n"/>
      <c r="H5" s="10" t="n"/>
      <c r="I5" s="10" t="n"/>
      <c r="J5" s="10" t="n"/>
      <c r="K5" s="10" t="n"/>
      <c r="L5" s="10" t="n"/>
      <c r="M5" s="10" t="n"/>
      <c r="N5" s="10" t="n"/>
      <c r="O5" s="12" t="n"/>
      <c r="P5" s="12" t="n"/>
    </row>
    <row r="6">
      <c r="A6" s="14" t="inlineStr">
        <is>
          <t>Line</t>
        </is>
      </c>
      <c r="B6" s="13" t="inlineStr">
        <is>
          <t>Unit</t>
        </is>
      </c>
      <c r="C6" s="13" t="n">
        <v>2014</v>
      </c>
      <c r="D6" s="13" t="n">
        <v>2015</v>
      </c>
      <c r="E6" s="13" t="n">
        <v>2016</v>
      </c>
      <c r="F6" s="13" t="n">
        <v>2017</v>
      </c>
      <c r="G6" s="13" t="n">
        <v>2018</v>
      </c>
      <c r="H6" s="13" t="n">
        <v>2019</v>
      </c>
      <c r="I6" s="13" t="n">
        <v>2020</v>
      </c>
      <c r="J6" s="13" t="n">
        <v>2021</v>
      </c>
      <c r="K6" s="13" t="n">
        <v>2022</v>
      </c>
      <c r="L6" s="13" t="n">
        <v>2023</v>
      </c>
      <c r="M6" s="13" t="n">
        <v>2024</v>
      </c>
      <c r="N6" s="13" t="n">
        <v>2025</v>
      </c>
      <c r="O6" s="14" t="inlineStr">
        <is>
          <t>Source</t>
        </is>
      </c>
      <c r="P6" s="14" t="inlineStr">
        <is>
          <t>Note</t>
        </is>
      </c>
    </row>
    <row r="7">
      <c r="A7" s="17" t="inlineStr">
        <is>
          <t>Mining production volume</t>
        </is>
      </c>
      <c r="B7" s="15" t="inlineStr">
        <is>
          <t>index, 2019 = 100</t>
        </is>
      </c>
      <c r="C7" s="33" t="n">
        <v>99.03333333333335</v>
      </c>
      <c r="D7" s="33" t="n">
        <v>102.2416666666667</v>
      </c>
      <c r="E7" s="33" t="n">
        <v>98.91666666666667</v>
      </c>
      <c r="F7" s="33" t="n">
        <v>102.5333333333333</v>
      </c>
      <c r="G7" s="33" t="n">
        <v>100.925</v>
      </c>
      <c r="H7" s="33" t="n">
        <v>99.98333333333333</v>
      </c>
      <c r="I7" s="33" t="n">
        <v>89.10000000000001</v>
      </c>
      <c r="J7" s="33" t="n">
        <v>100.875</v>
      </c>
      <c r="K7" s="33" t="n">
        <v>93.00833333333333</v>
      </c>
      <c r="L7" s="33" t="n">
        <v>93.01666666666667</v>
      </c>
      <c r="M7" s="33" t="n">
        <v>93.53333333333335</v>
      </c>
      <c r="N7" s="33" t="n">
        <v>93.70833333333333</v>
      </c>
      <c r="O7" s="17" t="inlineStr">
        <is>
          <t>Statistics South Africa, Mining production and sales (P2041)</t>
        </is>
      </c>
      <c r="P7" s="17" t="inlineStr">
        <is>
          <t>Published to 2025.</t>
        </is>
      </c>
    </row>
    <row r="8">
      <c r="A8" s="23" t="inlineStr">
        <is>
          <t>Diesel per unit of activity</t>
        </is>
      </c>
      <c r="B8" s="21" t="inlineStr">
        <is>
          <t>million litres per index point</t>
        </is>
      </c>
      <c r="C8" s="34">
        <f>'DR01 demand by sector'!B11*1000/C7</f>
        <v/>
      </c>
      <c r="D8" s="34">
        <f>'DR01 demand by sector'!C11*1000/D7</f>
        <v/>
      </c>
      <c r="E8" s="34">
        <f>'DR01 demand by sector'!D11*1000/E7</f>
        <v/>
      </c>
      <c r="F8" s="34">
        <f>'DR01 demand by sector'!E11*1000/F7</f>
        <v/>
      </c>
      <c r="G8" s="34">
        <f>'DR01 demand by sector'!F11*1000/G7</f>
        <v/>
      </c>
      <c r="H8" s="34">
        <f>'DR01 demand by sector'!G11*1000/H7</f>
        <v/>
      </c>
      <c r="I8" s="34">
        <f>'DR01 demand by sector'!H11*1000/I7</f>
        <v/>
      </c>
      <c r="J8" s="34">
        <f>'DR01 demand by sector'!I11*1000/J7</f>
        <v/>
      </c>
      <c r="K8" s="34" t="n"/>
      <c r="L8" s="34" t="n"/>
      <c r="M8" s="34" t="n"/>
      <c r="N8" s="34" t="n"/>
      <c r="O8" s="23" t="inlineStr">
        <is>
          <t>Calculated: diesel on the demand by sector sheet over the activity above</t>
        </is>
      </c>
      <c r="P8" s="23" t="inlineStr">
        <is>
          <t>The energy balance's mining line includes mines' haul trucks and road vehicles.</t>
        </is>
      </c>
    </row>
    <row r="9">
      <c r="A9" s="23" t="inlineStr">
        <is>
          <t>Estimated diesel after 2021</t>
        </is>
      </c>
      <c r="B9" s="21" t="inlineStr">
        <is>
          <t>billion litres</t>
        </is>
      </c>
      <c r="C9" s="22" t="n"/>
      <c r="D9" s="22" t="n"/>
      <c r="E9" s="22" t="n"/>
      <c r="F9" s="22" t="n"/>
      <c r="G9" s="22" t="n"/>
      <c r="H9" s="22" t="n"/>
      <c r="I9" s="22" t="n"/>
      <c r="J9" s="22" t="n"/>
      <c r="K9" s="22">
        <f>AVERAGE(G8:J8)*K7/1000</f>
        <v/>
      </c>
      <c r="L9" s="22">
        <f>AVERAGE(G8:J8)*L7/1000</f>
        <v/>
      </c>
      <c r="M9" s="22">
        <f>AVERAGE(G8:J8)*M7/1000</f>
        <v/>
      </c>
      <c r="N9" s="22">
        <f>AVERAGE(G8:J8)*N7/1000</f>
        <v/>
      </c>
      <c r="O9" s="23" t="inlineStr">
        <is>
          <t>Calculated: average diesel per unit of activity, 2018 to 2021, times that year's activity</t>
        </is>
      </c>
      <c r="P9" s="23" t="inlineStr">
        <is>
          <t>An estimate, not an observation and not an accepted model input. Holds diesel per unit of activity constant. For Nigel to agree.</t>
        </is>
      </c>
    </row>
    <row r="11">
      <c r="A11" s="12" t="inlineStr">
        <is>
          <t>Manufacturing and other industry</t>
        </is>
      </c>
      <c r="B11" s="10" t="n"/>
      <c r="C11" s="10" t="n"/>
      <c r="D11" s="10" t="n"/>
      <c r="E11" s="10" t="n"/>
      <c r="F11" s="10" t="n"/>
      <c r="G11" s="10" t="n"/>
      <c r="H11" s="10" t="n"/>
      <c r="I11" s="10" t="n"/>
      <c r="J11" s="10" t="n"/>
      <c r="K11" s="10" t="n"/>
      <c r="L11" s="10" t="n"/>
      <c r="M11" s="10" t="n"/>
      <c r="N11" s="10" t="n"/>
      <c r="O11" s="12" t="n"/>
      <c r="P11" s="12" t="n"/>
    </row>
    <row r="12">
      <c r="A12" s="14" t="inlineStr">
        <is>
          <t>Line</t>
        </is>
      </c>
      <c r="B12" s="13" t="inlineStr">
        <is>
          <t>Unit</t>
        </is>
      </c>
      <c r="C12" s="13" t="n">
        <v>2014</v>
      </c>
      <c r="D12" s="13" t="n">
        <v>2015</v>
      </c>
      <c r="E12" s="13" t="n">
        <v>2016</v>
      </c>
      <c r="F12" s="13" t="n">
        <v>2017</v>
      </c>
      <c r="G12" s="13" t="n">
        <v>2018</v>
      </c>
      <c r="H12" s="13" t="n">
        <v>2019</v>
      </c>
      <c r="I12" s="13" t="n">
        <v>2020</v>
      </c>
      <c r="J12" s="13" t="n">
        <v>2021</v>
      </c>
      <c r="K12" s="13" t="n">
        <v>2022</v>
      </c>
      <c r="L12" s="13" t="n">
        <v>2023</v>
      </c>
      <c r="M12" s="13" t="n">
        <v>2024</v>
      </c>
      <c r="N12" s="13" t="n">
        <v>2025</v>
      </c>
      <c r="O12" s="14" t="inlineStr">
        <is>
          <t>Source</t>
        </is>
      </c>
      <c r="P12" s="14" t="inlineStr">
        <is>
          <t>Note</t>
        </is>
      </c>
    </row>
    <row r="13">
      <c r="A13" s="17" t="inlineStr">
        <is>
          <t>Manufacturing production volume</t>
        </is>
      </c>
      <c r="B13" s="15" t="inlineStr">
        <is>
          <t>index, 2019 = 100</t>
        </is>
      </c>
      <c r="C13" s="33" t="n">
        <v>100.1166666666667</v>
      </c>
      <c r="D13" s="33" t="n">
        <v>100.1</v>
      </c>
      <c r="E13" s="33" t="n">
        <v>100.8083333333333</v>
      </c>
      <c r="F13" s="33" t="n">
        <v>100.1333333333333</v>
      </c>
      <c r="G13" s="33" t="n">
        <v>101.1</v>
      </c>
      <c r="H13" s="33" t="n">
        <v>99.98333333333333</v>
      </c>
      <c r="I13" s="33" t="n">
        <v>87.66666666666667</v>
      </c>
      <c r="J13" s="33" t="n">
        <v>93.11666666666667</v>
      </c>
      <c r="K13" s="33" t="n">
        <v>93.14166666666667</v>
      </c>
      <c r="L13" s="33" t="n">
        <v>93.71666666666665</v>
      </c>
      <c r="M13" s="33" t="n">
        <v>93.33333333333333</v>
      </c>
      <c r="N13" s="33" t="n">
        <v>92.14166666666667</v>
      </c>
      <c r="O13" s="17" t="inlineStr">
        <is>
          <t>Statistics South Africa, Manufacturing production and sales (P3041.2)</t>
        </is>
      </c>
      <c r="P13" s="17" t="inlineStr">
        <is>
          <t>Published to 2025.</t>
        </is>
      </c>
    </row>
    <row r="14">
      <c r="A14" s="23" t="inlineStr">
        <is>
          <t>Diesel per unit of activity</t>
        </is>
      </c>
      <c r="B14" s="21" t="inlineStr">
        <is>
          <t>million litres per index point</t>
        </is>
      </c>
      <c r="C14" s="34">
        <f>('DR01 demand by sector'!B10-'DR01 demand by sector'!B11-N('DR01 demand by sector'!B12))*1000/C13</f>
        <v/>
      </c>
      <c r="D14" s="34">
        <f>('DR01 demand by sector'!C10-'DR01 demand by sector'!C11-N('DR01 demand by sector'!C12))*1000/D13</f>
        <v/>
      </c>
      <c r="E14" s="34">
        <f>('DR01 demand by sector'!D10-'DR01 demand by sector'!D11-N('DR01 demand by sector'!D12))*1000/E13</f>
        <v/>
      </c>
      <c r="F14" s="34">
        <f>('DR01 demand by sector'!E10-'DR01 demand by sector'!E11-N('DR01 demand by sector'!E12))*1000/F13</f>
        <v/>
      </c>
      <c r="G14" s="34">
        <f>('DR01 demand by sector'!F10-'DR01 demand by sector'!F11-N('DR01 demand by sector'!F12))*1000/G13</f>
        <v/>
      </c>
      <c r="H14" s="34">
        <f>('DR01 demand by sector'!G10-'DR01 demand by sector'!G11-N('DR01 demand by sector'!G12))*1000/H13</f>
        <v/>
      </c>
      <c r="I14" s="34">
        <f>('DR01 demand by sector'!H10-'DR01 demand by sector'!H11-N('DR01 demand by sector'!H12))*1000/I13</f>
        <v/>
      </c>
      <c r="J14" s="34">
        <f>('DR01 demand by sector'!I10-'DR01 demand by sector'!I11-N('DR01 demand by sector'!I12))*1000/J13</f>
        <v/>
      </c>
      <c r="K14" s="34" t="n"/>
      <c r="L14" s="34" t="n"/>
      <c r="M14" s="34" t="n"/>
      <c r="N14" s="34" t="n"/>
      <c r="O14" s="23" t="inlineStr">
        <is>
          <t>Calculated: diesel on the demand by sector sheet over the activity above</t>
        </is>
      </c>
      <c r="P14" s="23" t="inlineStr">
        <is>
          <t>Diesel is industry less mining less construction. It is small (0.1 to 0.3 billion litres), so it moves with reclassification more than with output.</t>
        </is>
      </c>
    </row>
    <row r="15">
      <c r="A15" s="23" t="inlineStr">
        <is>
          <t>Estimated diesel after 2021</t>
        </is>
      </c>
      <c r="B15" s="21" t="inlineStr">
        <is>
          <t>billion litres</t>
        </is>
      </c>
      <c r="C15" s="22" t="n"/>
      <c r="D15" s="22" t="n"/>
      <c r="E15" s="22" t="n"/>
      <c r="F15" s="22" t="n"/>
      <c r="G15" s="22" t="n"/>
      <c r="H15" s="22" t="n"/>
      <c r="I15" s="22" t="n"/>
      <c r="J15" s="22" t="n"/>
      <c r="K15" s="22">
        <f>AVERAGE(G14:J14)*K13/1000</f>
        <v/>
      </c>
      <c r="L15" s="22">
        <f>AVERAGE(G14:J14)*L13/1000</f>
        <v/>
      </c>
      <c r="M15" s="22">
        <f>AVERAGE(G14:J14)*M13/1000</f>
        <v/>
      </c>
      <c r="N15" s="22">
        <f>AVERAGE(G14:J14)*N13/1000</f>
        <v/>
      </c>
      <c r="O15" s="23" t="inlineStr">
        <is>
          <t>Calculated: average diesel per unit of activity, 2018 to 2021, times that year's activity</t>
        </is>
      </c>
      <c r="P15" s="23" t="inlineStr">
        <is>
          <t>An estimate, not an observation and not an accepted model input. Holds diesel per unit of activity constant. For Nigel to agree.</t>
        </is>
      </c>
    </row>
    <row r="17">
      <c r="A17" s="12" t="inlineStr">
        <is>
          <t>Agriculture</t>
        </is>
      </c>
      <c r="B17" s="10" t="n"/>
      <c r="C17" s="10" t="n"/>
      <c r="D17" s="10" t="n"/>
      <c r="E17" s="10" t="n"/>
      <c r="F17" s="10" t="n"/>
      <c r="G17" s="10" t="n"/>
      <c r="H17" s="10" t="n"/>
      <c r="I17" s="10" t="n"/>
      <c r="J17" s="10" t="n"/>
      <c r="K17" s="10" t="n"/>
      <c r="L17" s="10" t="n"/>
      <c r="M17" s="10" t="n"/>
      <c r="N17" s="10" t="n"/>
      <c r="O17" s="12" t="n"/>
      <c r="P17" s="12" t="n"/>
    </row>
    <row r="18">
      <c r="A18" s="14" t="inlineStr">
        <is>
          <t>Line</t>
        </is>
      </c>
      <c r="B18" s="13" t="inlineStr">
        <is>
          <t>Unit</t>
        </is>
      </c>
      <c r="C18" s="13" t="n">
        <v>2014</v>
      </c>
      <c r="D18" s="13" t="n">
        <v>2015</v>
      </c>
      <c r="E18" s="13" t="n">
        <v>2016</v>
      </c>
      <c r="F18" s="13" t="n">
        <v>2017</v>
      </c>
      <c r="G18" s="13" t="n">
        <v>2018</v>
      </c>
      <c r="H18" s="13" t="n">
        <v>2019</v>
      </c>
      <c r="I18" s="13" t="n">
        <v>2020</v>
      </c>
      <c r="J18" s="13" t="n">
        <v>2021</v>
      </c>
      <c r="K18" s="13" t="n">
        <v>2022</v>
      </c>
      <c r="L18" s="13" t="n">
        <v>2023</v>
      </c>
      <c r="M18" s="13" t="n">
        <v>2024</v>
      </c>
      <c r="N18" s="13" t="n">
        <v>2025</v>
      </c>
      <c r="O18" s="14" t="inlineStr">
        <is>
          <t>Source</t>
        </is>
      </c>
      <c r="P18" s="14" t="inlineStr">
        <is>
          <t>Note</t>
        </is>
      </c>
    </row>
    <row r="19">
      <c r="A19" s="17" t="inlineStr">
        <is>
          <t>Agriculture, forestry and fishing real value added</t>
        </is>
      </c>
      <c r="B19" s="15" t="inlineStr">
        <is>
          <t>billion rand, 2015 prices</t>
        </is>
      </c>
      <c r="C19" s="33" t="n">
        <v>102.4876916980824</v>
      </c>
      <c r="D19" s="33" t="n">
        <v>98.75956925138433</v>
      </c>
      <c r="E19" s="33" t="n">
        <v>93.67210531089499</v>
      </c>
      <c r="F19" s="33" t="n">
        <v>111.5450795375386</v>
      </c>
      <c r="G19" s="33" t="n">
        <v>112.0949257517988</v>
      </c>
      <c r="H19" s="33" t="n">
        <v>104.7847576991143</v>
      </c>
      <c r="I19" s="33" t="n">
        <v>122.8700990753462</v>
      </c>
      <c r="J19" s="33" t="n">
        <v>128.9830895613611</v>
      </c>
      <c r="K19" s="33" t="n">
        <v>131.7706421450265</v>
      </c>
      <c r="L19" s="33" t="n">
        <v>125.7466421450265</v>
      </c>
      <c r="M19" s="33" t="n">
        <v>114.7916421450265</v>
      </c>
      <c r="N19" s="33" t="n">
        <v>134.7967469817132</v>
      </c>
      <c r="O19" s="17" t="inlineStr">
        <is>
          <t>Statistics South Africa, Gross domestic product (P0441)</t>
        </is>
      </c>
      <c r="P19" s="17" t="inlineStr">
        <is>
          <t>Published to 2025.</t>
        </is>
      </c>
    </row>
    <row r="20">
      <c r="A20" s="23" t="inlineStr">
        <is>
          <t>Diesel per unit of activity</t>
        </is>
      </c>
      <c r="B20" s="21" t="inlineStr">
        <is>
          <t>million litres per billion rand</t>
        </is>
      </c>
      <c r="C20" s="34">
        <f>'DR01 demand by sector'!B13*1000/C19</f>
        <v/>
      </c>
      <c r="D20" s="34">
        <f>'DR01 demand by sector'!C13*1000/D19</f>
        <v/>
      </c>
      <c r="E20" s="34">
        <f>'DR01 demand by sector'!D13*1000/E19</f>
        <v/>
      </c>
      <c r="F20" s="34">
        <f>'DR01 demand by sector'!E13*1000/F19</f>
        <v/>
      </c>
      <c r="G20" s="34">
        <f>'DR01 demand by sector'!F13*1000/G19</f>
        <v/>
      </c>
      <c r="H20" s="34">
        <f>'DR01 demand by sector'!G13*1000/H19</f>
        <v/>
      </c>
      <c r="I20" s="34">
        <f>'DR01 demand by sector'!H13*1000/I19</f>
        <v/>
      </c>
      <c r="J20" s="34">
        <f>'DR01 demand by sector'!I13*1000/J19</f>
        <v/>
      </c>
      <c r="K20" s="34" t="n"/>
      <c r="L20" s="34" t="n"/>
      <c r="M20" s="34" t="n"/>
      <c r="N20" s="34" t="n"/>
      <c r="O20" s="23" t="inlineStr">
        <is>
          <t>Calculated: diesel on the demand by sector sheet over the activity above</t>
        </is>
      </c>
      <c r="P20" s="23" t="inlineStr">
        <is>
          <t>The balance's 2016 and 2017 figures are about double the other years and look like reclassification.</t>
        </is>
      </c>
    </row>
    <row r="21">
      <c r="A21" s="23" t="inlineStr">
        <is>
          <t>Estimated diesel after 2021</t>
        </is>
      </c>
      <c r="B21" s="21" t="inlineStr">
        <is>
          <t>billion litres</t>
        </is>
      </c>
      <c r="C21" s="22" t="n"/>
      <c r="D21" s="22" t="n"/>
      <c r="E21" s="22" t="n"/>
      <c r="F21" s="22" t="n"/>
      <c r="G21" s="22" t="n"/>
      <c r="H21" s="22" t="n"/>
      <c r="I21" s="22" t="n"/>
      <c r="J21" s="22" t="n"/>
      <c r="K21" s="22">
        <f>AVERAGE(G20:J20)*K19/1000</f>
        <v/>
      </c>
      <c r="L21" s="22">
        <f>AVERAGE(G20:J20)*L19/1000</f>
        <v/>
      </c>
      <c r="M21" s="22">
        <f>AVERAGE(G20:J20)*M19/1000</f>
        <v/>
      </c>
      <c r="N21" s="22">
        <f>AVERAGE(G20:J20)*N19/1000</f>
        <v/>
      </c>
      <c r="O21" s="23" t="inlineStr">
        <is>
          <t>Calculated: average diesel per unit of activity, 2018 to 2021, times that year's activity</t>
        </is>
      </c>
      <c r="P21" s="23" t="inlineStr">
        <is>
          <t>An estimate, not an observation and not an accepted model input. Holds diesel per unit of activity constant. For Nigel to agree.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11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6" customWidth="1" min="1" max="1"/>
    <col width="30" customWidth="1" min="2" max="2"/>
    <col width="20" customWidth="1" min="3" max="3"/>
    <col width="16"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3" customWidth="1" min="19" max="19"/>
    <col width="46" customWidth="1" min="20" max="20"/>
    <col width="16" customWidth="1" min="21" max="21"/>
    <col width="62" customWidth="1" min="22" max="22"/>
  </cols>
  <sheetData>
    <row r="1">
      <c r="A1" s="1" t="inlineStr">
        <is>
          <t>DR04 Routes and access</t>
        </is>
      </c>
    </row>
    <row r="2">
      <c r="A2" s="2" t="inlineStr">
        <is>
          <t>66 facts from sources (blue), 6 calculated (white), 7 not available (yellow). Petrol and diesel only. Figures reported for several years are set out one column a year; every row names its source.</t>
        </is>
      </c>
    </row>
    <row r="5">
      <c r="A5" s="35" t="inlineStr">
        <is>
          <t>Pipeline limit</t>
        </is>
      </c>
      <c r="B5" s="35" t="n"/>
      <c r="C5" s="35" t="n"/>
      <c r="D5" s="35" t="n"/>
      <c r="E5" s="35" t="n"/>
      <c r="F5" s="35" t="n"/>
      <c r="G5" s="35" t="n"/>
      <c r="H5" s="35" t="n"/>
      <c r="I5" s="35" t="n"/>
      <c r="J5" s="35" t="n"/>
      <c r="K5" s="35" t="n"/>
      <c r="L5" s="35" t="n"/>
      <c r="M5" s="35" t="n"/>
      <c r="N5" s="35" t="n"/>
      <c r="O5" s="35" t="n"/>
      <c r="P5" s="35" t="n"/>
      <c r="Q5" s="35" t="n"/>
      <c r="R5" s="35" t="n"/>
      <c r="S5" s="35" t="n"/>
      <c r="T5" s="35" t="n"/>
      <c r="U5" s="35" t="n"/>
      <c r="V5" s="35" t="n"/>
      <c r="W5" s="35" t="n"/>
    </row>
    <row r="6">
      <c r="A6" s="36" t="inlineStr">
        <is>
          <t>Item</t>
        </is>
      </c>
      <c r="B6" s="36" t="inlineStr">
        <is>
          <t>Asset or route</t>
        </is>
      </c>
      <c r="C6" s="36" t="inlineStr">
        <is>
          <t>Unit</t>
        </is>
      </c>
      <c r="D6" s="36" t="inlineStr">
        <is>
          <t>Basis</t>
        </is>
      </c>
      <c r="E6" s="37" t="n">
        <v>2021</v>
      </c>
      <c r="F6" s="37" t="n">
        <v>2022</v>
      </c>
      <c r="G6" s="37" t="n">
        <v>2023</v>
      </c>
      <c r="H6" s="37" t="n">
        <v>2024</v>
      </c>
      <c r="I6" s="36" t="n"/>
      <c r="J6" s="36" t="n"/>
      <c r="K6" s="36" t="n"/>
      <c r="L6" s="36" t="n"/>
      <c r="M6" s="36" t="n"/>
      <c r="N6" s="36" t="n"/>
      <c r="O6" s="36" t="n"/>
      <c r="P6" s="36" t="n"/>
      <c r="Q6" s="36" t="n"/>
      <c r="R6" s="36" t="n"/>
      <c r="S6" s="36" t="inlineStr">
        <is>
          <t>Status</t>
        </is>
      </c>
      <c r="T6" s="36" t="inlineStr">
        <is>
          <t>Source</t>
        </is>
      </c>
      <c r="U6" s="36" t="inlineStr">
        <is>
          <t>Page</t>
        </is>
      </c>
      <c r="V6" s="36" t="inlineStr">
        <is>
          <t>Note</t>
        </is>
      </c>
    </row>
    <row r="7" ht="42.5" customHeight="1">
      <c r="A7" s="38" t="inlineStr">
        <is>
          <t>Trunk line use</t>
        </is>
      </c>
      <c r="B7" s="38" t="inlineStr">
        <is>
          <t>Multi-product pipeline, Durban to Jameson Park</t>
        </is>
      </c>
      <c r="C7" s="38" t="inlineStr">
        <is>
          <t>million litres a week</t>
        </is>
      </c>
      <c r="D7" s="38" t="inlineStr">
        <is>
          <t>years to March</t>
        </is>
      </c>
      <c r="E7" s="39" t="n">
        <v>81</v>
      </c>
      <c r="F7" s="39" t="n">
        <v>91</v>
      </c>
      <c r="G7" s="39" t="n">
        <v>87</v>
      </c>
      <c r="H7" s="39" t="n">
        <v>97</v>
      </c>
      <c r="I7" s="38" t="n"/>
      <c r="J7" s="38" t="n"/>
      <c r="K7" s="38" t="n"/>
      <c r="L7" s="38" t="n"/>
      <c r="M7" s="38" t="n"/>
      <c r="N7" s="38" t="n"/>
      <c r="O7" s="38" t="n"/>
      <c r="P7" s="38" t="n"/>
      <c r="Q7" s="38" t="n"/>
      <c r="R7" s="38" t="n"/>
      <c r="S7" s="38" t="inlineStr">
        <is>
          <t>From source</t>
        </is>
      </c>
      <c r="T7" s="38" t="inlineStr">
        <is>
          <t>Transnet Pipelines Report 2024, key performance indicators</t>
        </is>
      </c>
      <c r="U7" s="38" t="inlineStr">
        <is>
          <t>PDF p.5</t>
        </is>
      </c>
      <c r="V7" s="38" t="inlineStr">
        <is>
          <t>About two thirds full in the year to March 2024: 97 a week is 5.0 billion litres a year. Not split by product. The target for the year to March 2025 was 104.</t>
        </is>
      </c>
    </row>
    <row r="8" ht="42.5" customHeight="1">
      <c r="A8" s="38" t="inlineStr">
        <is>
          <t>Refined products moved, whole network</t>
        </is>
      </c>
      <c r="B8" s="38" t="inlineStr">
        <is>
          <t>All Transnet refined-product pipelines</t>
        </is>
      </c>
      <c r="C8" s="38" t="inlineStr">
        <is>
          <t>billion litres</t>
        </is>
      </c>
      <c r="D8" s="38" t="inlineStr">
        <is>
          <t>years to March</t>
        </is>
      </c>
      <c r="E8" s="40" t="n">
        <v>9</v>
      </c>
      <c r="F8" s="40" t="n">
        <v>9.789999999999999</v>
      </c>
      <c r="G8" s="40" t="n">
        <v>9.68</v>
      </c>
      <c r="H8" s="40" t="n">
        <v>9.51</v>
      </c>
      <c r="I8" s="38" t="n"/>
      <c r="J8" s="38" t="n"/>
      <c r="K8" s="38" t="n"/>
      <c r="L8" s="38" t="n"/>
      <c r="M8" s="38" t="n"/>
      <c r="N8" s="38" t="n"/>
      <c r="O8" s="38" t="n"/>
      <c r="P8" s="38" t="n"/>
      <c r="Q8" s="38" t="n"/>
      <c r="R8" s="38" t="n"/>
      <c r="S8" s="38" t="inlineStr">
        <is>
          <t>From source</t>
        </is>
      </c>
      <c r="T8" s="38" t="inlineStr">
        <is>
          <t>Transnet Pipelines Report 2024, key performance indicators</t>
        </is>
      </c>
      <c r="U8" s="38" t="inlineStr">
        <is>
          <t>PDF p.5</t>
        </is>
      </c>
      <c r="V8" s="38" t="inlineStr">
        <is>
          <t>Petrol and diesel grades on every Transnet line, including those fed by Natref and Secunda; jet fuel and crude are reported separately. Not the trunk line alone.</t>
        </is>
      </c>
    </row>
    <row r="9">
      <c r="A9" s="36" t="inlineStr">
        <is>
          <t>Item</t>
        </is>
      </c>
      <c r="B9" s="36" t="inlineStr">
        <is>
          <t>Asset or route</t>
        </is>
      </c>
      <c r="C9" s="36" t="inlineStr">
        <is>
          <t>Unit</t>
        </is>
      </c>
      <c r="D9" s="36" t="inlineStr">
        <is>
          <t>Period</t>
        </is>
      </c>
      <c r="E9" s="36" t="inlineStr">
        <is>
          <t>Value</t>
        </is>
      </c>
      <c r="K9" s="36" t="n"/>
      <c r="L9" s="36" t="n"/>
      <c r="M9" s="36" t="n"/>
      <c r="N9" s="36" t="n"/>
      <c r="O9" s="36" t="n"/>
      <c r="P9" s="36" t="n"/>
      <c r="Q9" s="36" t="n"/>
      <c r="R9" s="36" t="n"/>
      <c r="S9" s="36" t="inlineStr">
        <is>
          <t>Status</t>
        </is>
      </c>
      <c r="T9" s="36" t="inlineStr">
        <is>
          <t>Source</t>
        </is>
      </c>
      <c r="U9" s="36" t="inlineStr">
        <is>
          <t>Page</t>
        </is>
      </c>
      <c r="V9" s="36" t="inlineStr">
        <is>
          <t>Note</t>
        </is>
      </c>
    </row>
    <row r="10" ht="29" customHeight="1">
      <c r="A10" s="38" t="inlineStr">
        <is>
          <t>Trunk line capacity</t>
        </is>
      </c>
      <c r="B10" s="38" t="inlineStr">
        <is>
          <t>Durban to Jameson Park, 24-inch multi-product line</t>
        </is>
      </c>
      <c r="C10" s="38" t="inlineStr">
        <is>
          <t>million litres a week</t>
        </is>
      </c>
      <c r="D10" s="38" t="inlineStr">
        <is>
          <t>as stated in 2020</t>
        </is>
      </c>
      <c r="E10" s="41" t="n">
        <v>148</v>
      </c>
      <c r="K10" s="38" t="n"/>
      <c r="L10" s="38" t="n"/>
      <c r="M10" s="38" t="n"/>
      <c r="N10" s="38" t="n"/>
      <c r="O10" s="38" t="n"/>
      <c r="P10" s="38" t="n"/>
      <c r="Q10" s="38" t="n"/>
      <c r="R10" s="38" t="n"/>
      <c r="S10" s="38" t="inlineStr">
        <is>
          <t>From source</t>
        </is>
      </c>
      <c r="T10" s="38" t="inlineStr">
        <is>
          <t>Transnet Pipelines 2020 report</t>
        </is>
      </c>
      <c r="U10" s="38" t="inlineStr">
        <is>
          <t>PDF p.3</t>
        </is>
      </c>
      <c r="V10" s="38" t="inlineStr">
        <is>
          <t>Not confirmed as today's capacity; later phases and pump stations may have changed it.</t>
        </is>
      </c>
    </row>
    <row r="11" ht="29" customHeight="1">
      <c r="A11" s="42" t="inlineStr">
        <is>
          <t>Trunk line capacity, annualised</t>
        </is>
      </c>
      <c r="B11" s="42" t="inlineStr">
        <is>
          <t>Durban to Jameson Park, 24-inch multi-product line</t>
        </is>
      </c>
      <c r="C11" s="42" t="inlineStr">
        <is>
          <t>billion litres a year</t>
        </is>
      </c>
      <c r="D11" s="42" t="inlineStr">
        <is>
          <t>as stated in 2020</t>
        </is>
      </c>
      <c r="E11" s="43" t="n">
        <v>7.7</v>
      </c>
      <c r="K11" s="42" t="n"/>
      <c r="L11" s="42" t="n"/>
      <c r="M11" s="42" t="n"/>
      <c r="N11" s="42" t="n"/>
      <c r="O11" s="42" t="n"/>
      <c r="P11" s="42" t="n"/>
      <c r="Q11" s="42" t="n"/>
      <c r="R11" s="42" t="n"/>
      <c r="S11" s="42" t="inlineStr">
        <is>
          <t>Calculated</t>
        </is>
      </c>
      <c r="T11" s="42" t="inlineStr">
        <is>
          <t>148 million litres a week x 52</t>
        </is>
      </c>
      <c r="U11" s="42" t="inlineStr">
        <is>
          <t>PDF p.3</t>
        </is>
      </c>
      <c r="V11" s="42" t="inlineStr">
        <is>
          <t>Assumes every week at full rate; real annual capacity is lower.</t>
        </is>
      </c>
    </row>
    <row r="12" ht="42.5" customHeight="1">
      <c r="A12" s="38" t="inlineStr">
        <is>
          <t>Trunk line capacity, latest statement</t>
        </is>
      </c>
      <c r="B12" s="38" t="inlineStr">
        <is>
          <t>Multi-product pipeline, Durban to Jameson Park</t>
        </is>
      </c>
      <c r="C12" s="38" t="inlineStr">
        <is>
          <t>million litres a week</t>
        </is>
      </c>
      <c r="D12" s="38" t="inlineStr">
        <is>
          <t>years to March 2021 to 2024, and the 2025 target</t>
        </is>
      </c>
      <c r="E12" s="41" t="n">
        <v>148</v>
      </c>
      <c r="K12" s="38" t="n"/>
      <c r="L12" s="38" t="n"/>
      <c r="M12" s="38" t="n"/>
      <c r="N12" s="38" t="n"/>
      <c r="O12" s="38" t="n"/>
      <c r="P12" s="38" t="n"/>
      <c r="Q12" s="38" t="n"/>
      <c r="R12" s="38" t="n"/>
      <c r="S12" s="38" t="inlineStr">
        <is>
          <t>From source</t>
        </is>
      </c>
      <c r="T12" s="38" t="inlineStr">
        <is>
          <t>Transnet Pipelines Report 2024, key performance indicators</t>
        </is>
      </c>
      <c r="U12" s="38" t="inlineStr">
        <is>
          <t>PDF p.5</t>
        </is>
      </c>
      <c r="V12" s="38" t="inlineStr">
        <is>
          <t>Unchanged from the 2020 figure: Transnet reports use against a capacity of 148 in every year. The latest report found is for the year to March 2024.</t>
        </is>
      </c>
    </row>
    <row r="13" ht="29" customHeight="1">
      <c r="A13" s="42" t="inlineStr">
        <is>
          <t>Trunk line use, annualised</t>
        </is>
      </c>
      <c r="B13" s="42" t="inlineStr">
        <is>
          <t>Multi-product pipeline, Durban to Jameson Park</t>
        </is>
      </c>
      <c r="C13" s="42" t="inlineStr">
        <is>
          <t>billion litres a year</t>
        </is>
      </c>
      <c r="D13" s="42" t="inlineStr">
        <is>
          <t>year to March 2024</t>
        </is>
      </c>
      <c r="E13" s="43" t="n">
        <v>5.04</v>
      </c>
      <c r="K13" s="42" t="n"/>
      <c r="L13" s="42" t="n"/>
      <c r="M13" s="42" t="n"/>
      <c r="N13" s="42" t="n"/>
      <c r="O13" s="42" t="n"/>
      <c r="P13" s="42" t="n"/>
      <c r="Q13" s="42" t="n"/>
      <c r="R13" s="42" t="n"/>
      <c r="S13" s="42" t="inlineStr">
        <is>
          <t>Calculated</t>
        </is>
      </c>
      <c r="T13" s="42" t="inlineStr">
        <is>
          <t>97 million litres a week x 52</t>
        </is>
      </c>
      <c r="U13" s="42" t="inlineStr">
        <is>
          <t>PDF p.5</t>
        </is>
      </c>
      <c r="V13" s="42" t="inlineStr">
        <is>
          <t>All refined products the line carried. Petrol and diesel are not reported separately.</t>
        </is>
      </c>
    </row>
    <row r="14" ht="29" customHeight="1">
      <c r="A14" s="38" t="inlineStr">
        <is>
          <t>Inland accumulation facility</t>
        </is>
      </c>
      <c r="B14" s="38" t="inlineStr">
        <is>
          <t>Jameson Park, Gauteng (Transnet's TM2)</t>
        </is>
      </c>
      <c r="C14" s="38" t="inlineStr">
        <is>
          <t>million litres</t>
        </is>
      </c>
      <c r="D14" s="38" t="inlineStr">
        <is>
          <t>operational since December 2017</t>
        </is>
      </c>
      <c r="E14" s="41" t="n">
        <v>180</v>
      </c>
      <c r="K14" s="38" t="n"/>
      <c r="L14" s="38" t="n"/>
      <c r="M14" s="38" t="n"/>
      <c r="N14" s="38" t="n"/>
      <c r="O14" s="38" t="n"/>
      <c r="P14" s="38" t="n"/>
      <c r="Q14" s="38" t="n"/>
      <c r="R14" s="38" t="n"/>
      <c r="S14" s="38" t="inlineStr">
        <is>
          <t>From source</t>
        </is>
      </c>
      <c r="T14" s="38" t="inlineStr">
        <is>
          <t>Transnet Pipelines 2020 report</t>
        </is>
      </c>
      <c r="U14" s="38" t="inlineStr">
        <is>
          <t>PDF p.3</t>
        </is>
      </c>
      <c r="V14" s="38" t="inlineStr">
        <is>
          <t>Working capacity by product not stated.</t>
        </is>
      </c>
    </row>
    <row r="15" ht="42.5" customHeight="1">
      <c r="A15" s="38" t="inlineStr">
        <is>
          <t>Jameson Park and Transnet's storage sites out for proposal</t>
        </is>
      </c>
      <c r="B15" s="38" t="inlineStr">
        <is>
          <t>Jameson Park, Gauteng (Transnet's TM2)</t>
        </is>
      </c>
      <c r="C15" s="38" t="inlineStr"/>
      <c r="D15" s="38" t="inlineStr">
        <is>
          <t>request for proposals, closes 4 December 2026</t>
        </is>
      </c>
      <c r="E15" s="38" t="inlineStr">
        <is>
          <t>Not one of the five sites</t>
        </is>
      </c>
      <c r="K15" s="38" t="n"/>
      <c r="L15" s="38" t="n"/>
      <c r="M15" s="38" t="n"/>
      <c r="N15" s="38" t="n"/>
      <c r="O15" s="38" t="n"/>
      <c r="P15" s="38" t="n"/>
      <c r="Q15" s="38" t="n"/>
      <c r="R15" s="38" t="n"/>
      <c r="S15" s="38" t="inlineStr">
        <is>
          <t>From source</t>
        </is>
      </c>
      <c r="T15" s="38" t="inlineStr">
        <is>
          <t>Transnet Pipelines, leasing opportunities: Kroonstad, Standerton, Magdala, Ladysmith and Bethlehem</t>
        </is>
      </c>
      <c r="U15" s="38" t="inlineStr"/>
      <c r="V15" s="38" t="inlineStr">
        <is>
          <t>Transnet's own storage at Jameson Park is existing capacity beside Vopak Lesedi, which is connected to the same pipeline. Raised by Nigel on 9 October.</t>
        </is>
      </c>
    </row>
    <row r="16" ht="15.5" customHeight="1">
      <c r="A16" s="38" t="inlineStr">
        <is>
          <t>Products carried on the trunk line</t>
        </is>
      </c>
      <c r="B16" s="38" t="inlineStr">
        <is>
          <t>Durban to Jameson Park</t>
        </is>
      </c>
      <c r="C16" s="38" t="inlineStr"/>
      <c r="D16" s="38" t="inlineStr">
        <is>
          <t>as stated in 2020</t>
        </is>
      </c>
      <c r="E16" s="38" t="inlineStr">
        <is>
          <t>Two diesel grades, two petrol grades, jet fuel</t>
        </is>
      </c>
      <c r="K16" s="38" t="n"/>
      <c r="L16" s="38" t="n"/>
      <c r="M16" s="38" t="n"/>
      <c r="N16" s="38" t="n"/>
      <c r="O16" s="38" t="n"/>
      <c r="P16" s="38" t="n"/>
      <c r="Q16" s="38" t="n"/>
      <c r="R16" s="38" t="n"/>
      <c r="S16" s="38" t="inlineStr">
        <is>
          <t>From source</t>
        </is>
      </c>
      <c r="T16" s="38" t="inlineStr">
        <is>
          <t>Transnet Pipelines 2020 report</t>
        </is>
      </c>
      <c r="U16" s="38" t="inlineStr">
        <is>
          <t>PDF p.3</t>
        </is>
      </c>
      <c r="V16" s="38" t="inlineStr"/>
    </row>
    <row r="17" ht="29" customHeight="1">
      <c r="A17" s="38" t="inlineStr">
        <is>
          <t>Old Durban to Johannesburg pipeline</t>
        </is>
      </c>
      <c r="B17" s="38" t="inlineStr">
        <is>
          <t>Durban to Johannesburg (DJP)</t>
        </is>
      </c>
      <c r="C17" s="38" t="inlineStr"/>
      <c r="D17" s="38" t="inlineStr">
        <is>
          <t>as stated in 2020</t>
        </is>
      </c>
      <c r="E17" s="38" t="inlineStr">
        <is>
          <t>Being decommissioned; completion expected 2021</t>
        </is>
      </c>
      <c r="K17" s="38" t="n"/>
      <c r="L17" s="38" t="n"/>
      <c r="M17" s="38" t="n"/>
      <c r="N17" s="38" t="n"/>
      <c r="O17" s="38" t="n"/>
      <c r="P17" s="38" t="n"/>
      <c r="Q17" s="38" t="n"/>
      <c r="R17" s="38" t="n"/>
      <c r="S17" s="38" t="inlineStr">
        <is>
          <t>From source</t>
        </is>
      </c>
      <c r="T17" s="38" t="inlineStr">
        <is>
          <t>Transnet Pipelines 2020 report</t>
        </is>
      </c>
      <c r="U17" s="38" t="inlineStr">
        <is>
          <t>PDF p.3</t>
        </is>
      </c>
      <c r="V17" s="38" t="inlineStr">
        <is>
          <t>Whether decommissioning is complete is not confirmed from a later source.</t>
        </is>
      </c>
    </row>
    <row r="18" ht="29" customHeight="1">
      <c r="A18" s="38" t="inlineStr">
        <is>
          <t>Pipeline use as a share of capacity</t>
        </is>
      </c>
      <c r="B18" s="38" t="inlineStr">
        <is>
          <t>Transnet pipelines from Durban</t>
        </is>
      </c>
      <c r="C18" s="38" t="inlineStr">
        <is>
          <t>%</t>
        </is>
      </c>
      <c r="D18" s="38" t="inlineStr">
        <is>
          <t>as told to Parliament, 2026</t>
        </is>
      </c>
      <c r="E18" s="38" t="inlineStr">
        <is>
          <t>About 70</t>
        </is>
      </c>
      <c r="K18" s="38" t="n"/>
      <c r="L18" s="38" t="n"/>
      <c r="M18" s="38" t="n"/>
      <c r="N18" s="38" t="n"/>
      <c r="O18" s="38" t="n"/>
      <c r="P18" s="38" t="n"/>
      <c r="Q18" s="38" t="n"/>
      <c r="R18" s="38" t="n"/>
      <c r="S18" s="38" t="inlineStr">
        <is>
          <t>From source</t>
        </is>
      </c>
      <c r="T18" s="38" t="inlineStr">
        <is>
          <t>Report of five Portfolio Committees on the Island View directive, 11 March 2026 (Parliament)</t>
        </is>
      </c>
      <c r="U18" s="38" t="inlineStr">
        <is>
          <t>section 3.1</t>
        </is>
      </c>
      <c r="V18" s="38" t="inlineStr">
        <is>
          <t>The Minister of Transport's estimate, all products. New Island View leases are to require more use of the pipeline.</t>
        </is>
      </c>
    </row>
    <row r="20">
      <c r="A20" s="35" t="inlineStr">
        <is>
          <t>Pipeline cost</t>
        </is>
      </c>
      <c r="B20" s="35" t="n"/>
      <c r="C20" s="35" t="n"/>
      <c r="D20" s="35" t="n"/>
      <c r="E20" s="35" t="n"/>
      <c r="F20" s="35" t="n"/>
      <c r="G20" s="35" t="n"/>
      <c r="H20" s="35" t="n"/>
      <c r="I20" s="35" t="n"/>
      <c r="J20" s="35" t="n"/>
      <c r="K20" s="35" t="n"/>
      <c r="L20" s="35" t="n"/>
      <c r="M20" s="35" t="n"/>
      <c r="N20" s="35" t="n"/>
      <c r="O20" s="35" t="n"/>
      <c r="P20" s="35" t="n"/>
      <c r="Q20" s="35" t="n"/>
      <c r="R20" s="35" t="n"/>
      <c r="S20" s="35" t="n"/>
      <c r="T20" s="35" t="n"/>
      <c r="U20" s="35" t="n"/>
      <c r="V20" s="35" t="n"/>
      <c r="W20" s="35" t="n"/>
    </row>
    <row r="21">
      <c r="A21" s="36" t="inlineStr">
        <is>
          <t>Item</t>
        </is>
      </c>
      <c r="B21" s="36" t="inlineStr">
        <is>
          <t>Asset or route</t>
        </is>
      </c>
      <c r="C21" s="36" t="inlineStr">
        <is>
          <t>Unit</t>
        </is>
      </c>
      <c r="D21" s="36" t="inlineStr">
        <is>
          <t>Basis</t>
        </is>
      </c>
      <c r="E21" s="36" t="inlineStr">
        <is>
          <t>2023/24</t>
        </is>
      </c>
      <c r="F21" s="36" t="inlineStr">
        <is>
          <t>2024/25</t>
        </is>
      </c>
      <c r="G21" s="36" t="inlineStr">
        <is>
          <t>2025/26</t>
        </is>
      </c>
      <c r="H21" s="36" t="inlineStr">
        <is>
          <t>2026/27</t>
        </is>
      </c>
      <c r="I21" s="36" t="n"/>
      <c r="J21" s="36" t="n"/>
      <c r="K21" s="36" t="n"/>
      <c r="L21" s="36" t="n"/>
      <c r="M21" s="36" t="n"/>
      <c r="N21" s="36" t="n"/>
      <c r="O21" s="36" t="n"/>
      <c r="P21" s="36" t="n"/>
      <c r="Q21" s="36" t="n"/>
      <c r="R21" s="36" t="n"/>
      <c r="S21" s="36" t="inlineStr">
        <is>
          <t>Status</t>
        </is>
      </c>
      <c r="T21" s="36" t="inlineStr">
        <is>
          <t>Source</t>
        </is>
      </c>
      <c r="U21" s="36" t="inlineStr">
        <is>
          <t>Page</t>
        </is>
      </c>
      <c r="V21" s="36" t="inlineStr">
        <is>
          <t>Note</t>
        </is>
      </c>
    </row>
    <row r="22" ht="29" customHeight="1">
      <c r="A22" s="38" t="inlineStr">
        <is>
          <t>Pipeline tariff, Durban to Alrode</t>
        </is>
      </c>
      <c r="B22" s="38" t="inlineStr">
        <is>
          <t>Durban to Alrode (Johannesburg)</t>
        </is>
      </c>
      <c r="C22" s="38" t="inlineStr">
        <is>
          <t>cents a litre</t>
        </is>
      </c>
      <c r="D22" s="38" t="inlineStr">
        <is>
          <t>financial years</t>
        </is>
      </c>
      <c r="E22" s="40" t="n">
        <v>61.74</v>
      </c>
      <c r="F22" s="40" t="n">
        <v>67.98999999999999</v>
      </c>
      <c r="G22" s="38" t="n"/>
      <c r="H22" s="38" t="n"/>
      <c r="I22" s="38" t="n"/>
      <c r="J22" s="38" t="n"/>
      <c r="K22" s="38" t="n"/>
      <c r="L22" s="38" t="n"/>
      <c r="M22" s="38" t="n"/>
      <c r="N22" s="38" t="n"/>
      <c r="O22" s="38" t="n"/>
      <c r="P22" s="38" t="n"/>
      <c r="Q22" s="38" t="n"/>
      <c r="R22" s="38" t="n"/>
      <c r="S22" s="38" t="inlineStr">
        <is>
          <t>From source</t>
        </is>
      </c>
      <c r="T22" s="38" t="inlineStr">
        <is>
          <t>NERSA statement of 15 March 2024, as quoted by Engineering News</t>
        </is>
      </c>
      <c r="U22" s="38" t="inlineStr"/>
      <c r="V22" s="38" t="inlineStr">
        <is>
          <t>Read from a news report quoting the regulator word for word; NERSA's own statement was not located. A 10.13% increase.</t>
        </is>
      </c>
    </row>
    <row r="23" ht="29" customHeight="1">
      <c r="A23" s="42" t="inlineStr">
        <is>
          <t>Pipeline tariff, Durban to Alrode</t>
        </is>
      </c>
      <c r="B23" s="42" t="inlineStr">
        <is>
          <t>Durban to Alrode (Johannesburg)</t>
        </is>
      </c>
      <c r="C23" s="42" t="inlineStr">
        <is>
          <t>cents a litre</t>
        </is>
      </c>
      <c r="D23" s="42" t="inlineStr">
        <is>
          <t>financial years</t>
        </is>
      </c>
      <c r="E23" s="42" t="n"/>
      <c r="F23" s="42" t="n"/>
      <c r="G23" s="44" t="n">
        <v>73.22</v>
      </c>
      <c r="H23" s="44" t="n">
        <v>77.02</v>
      </c>
      <c r="I23" s="42" t="n"/>
      <c r="J23" s="42" t="n"/>
      <c r="K23" s="42" t="n"/>
      <c r="L23" s="42" t="n"/>
      <c r="M23" s="42" t="n"/>
      <c r="N23" s="42" t="n"/>
      <c r="O23" s="42" t="n"/>
      <c r="P23" s="42" t="n"/>
      <c r="Q23" s="42" t="n"/>
      <c r="R23" s="42" t="n"/>
      <c r="S23" s="42" t="inlineStr">
        <is>
          <t>Calculated</t>
        </is>
      </c>
      <c r="T23" s="42" t="inlineStr">
        <is>
          <t>67.99 plus the increases of 5.23 and 3.80 in NERSA's statement of 15 April 2025</t>
        </is>
      </c>
      <c r="U23" s="42" t="inlineStr">
        <is>
          <t>p.1</t>
        </is>
      </c>
      <c r="V23" s="42" t="inlineStr">
        <is>
          <t>Assumes the stated effect on the fuel price is the change in this tariff, as it was in 2024/25. To confirm in the reasons for decision.</t>
        </is>
      </c>
    </row>
    <row r="24">
      <c r="A24" s="36" t="inlineStr">
        <is>
          <t>Item</t>
        </is>
      </c>
      <c r="B24" s="36" t="inlineStr">
        <is>
          <t>Asset or route</t>
        </is>
      </c>
      <c r="C24" s="36" t="inlineStr">
        <is>
          <t>Unit</t>
        </is>
      </c>
      <c r="D24" s="36" t="inlineStr">
        <is>
          <t>Period</t>
        </is>
      </c>
      <c r="E24" s="36" t="inlineStr">
        <is>
          <t>Value</t>
        </is>
      </c>
      <c r="K24" s="36" t="n"/>
      <c r="L24" s="36" t="n"/>
      <c r="M24" s="36" t="n"/>
      <c r="N24" s="36" t="n"/>
      <c r="O24" s="36" t="n"/>
      <c r="P24" s="36" t="n"/>
      <c r="Q24" s="36" t="n"/>
      <c r="R24" s="36" t="n"/>
      <c r="S24" s="36" t="inlineStr">
        <is>
          <t>Status</t>
        </is>
      </c>
      <c r="T24" s="36" t="inlineStr">
        <is>
          <t>Source</t>
        </is>
      </c>
      <c r="U24" s="36" t="inlineStr">
        <is>
          <t>Page</t>
        </is>
      </c>
      <c r="V24" s="36" t="inlineStr">
        <is>
          <t>Note</t>
        </is>
      </c>
    </row>
    <row r="25" ht="29" customHeight="1">
      <c r="A25" s="38" t="inlineStr">
        <is>
          <t>Effect of the tariff decision on the fuel price</t>
        </is>
      </c>
      <c r="B25" s="38" t="inlineStr">
        <is>
          <t>Durban to Johannesburg proxy</t>
        </is>
      </c>
      <c r="C25" s="38" t="inlineStr">
        <is>
          <t>cents a litre</t>
        </is>
      </c>
      <c r="D25" s="38" t="inlineStr">
        <is>
          <t>2025/26; 2026/27</t>
        </is>
      </c>
      <c r="E25" s="38" t="inlineStr">
        <is>
          <t>+5.23; +3.80</t>
        </is>
      </c>
      <c r="K25" s="38" t="n"/>
      <c r="L25" s="38" t="n"/>
      <c r="M25" s="38" t="n"/>
      <c r="N25" s="38" t="n"/>
      <c r="O25" s="38" t="n"/>
      <c r="P25" s="38" t="n"/>
      <c r="Q25" s="38" t="n"/>
      <c r="R25" s="38" t="n"/>
      <c r="S25" s="38" t="inlineStr">
        <is>
          <t>From source</t>
        </is>
      </c>
      <c r="T25" s="38" t="inlineStr">
        <is>
          <t>NERSA media statement, 15 April 2025</t>
        </is>
      </c>
      <c r="U25" s="38" t="inlineStr">
        <is>
          <t>p.1</t>
        </is>
      </c>
      <c r="V25" s="38" t="inlineStr">
        <is>
          <t>This is the change, not the tariff. The tariff by route is in the reasons for decision, not yet obtained.</t>
        </is>
      </c>
    </row>
    <row r="26" ht="42.5" customHeight="1">
      <c r="A26" s="38" t="inlineStr">
        <is>
          <t>What the tariff covers</t>
        </is>
      </c>
      <c r="B26" s="38" t="inlineStr">
        <is>
          <t>Transnet's petroleum pipelines system</t>
        </is>
      </c>
      <c r="C26" s="38" t="inlineStr"/>
      <c r="D26" s="38" t="inlineStr">
        <is>
          <t>decision of 27 February 2025</t>
        </is>
      </c>
      <c r="E26" s="38" t="inlineStr">
        <is>
          <t>One set of tariffs for the whole licensed system; the department uses Durban to Alrode as its proxy for moving fuel from Durban to Johannesburg</t>
        </is>
      </c>
      <c r="K26" s="38" t="n"/>
      <c r="L26" s="38" t="n"/>
      <c r="M26" s="38" t="n"/>
      <c r="N26" s="38" t="n"/>
      <c r="O26" s="38" t="n"/>
      <c r="P26" s="38" t="n"/>
      <c r="Q26" s="38" t="n"/>
      <c r="R26" s="38" t="n"/>
      <c r="S26" s="38" t="inlineStr">
        <is>
          <t>From source</t>
        </is>
      </c>
      <c r="T26" s="38" t="inlineStr">
        <is>
          <t>NERSA media statement, 15 April 2025</t>
        </is>
      </c>
      <c r="U26" s="38" t="inlineStr">
        <is>
          <t>p.1</t>
        </is>
      </c>
      <c r="V26" s="38" t="inlineStr">
        <is>
          <t>The statement does not say which products or which line each route tariff applies to; that is in the reasons for decision, not found online. Nigel to validate (call of 9 October).</t>
        </is>
      </c>
    </row>
    <row r="27" ht="42.5" customHeight="1">
      <c r="A27" s="45" t="inlineStr">
        <is>
          <t>Tariff on routes other than Durban to Alrode</t>
        </is>
      </c>
      <c r="B27" s="45" t="inlineStr">
        <is>
          <t>Other inland routes</t>
        </is>
      </c>
      <c r="C27" s="45" t="inlineStr">
        <is>
          <t>cents a litre</t>
        </is>
      </c>
      <c r="D27" s="45" t="inlineStr">
        <is>
          <t>2026/27</t>
        </is>
      </c>
      <c r="E27" s="45" t="inlineStr">
        <is>
          <t>Not available</t>
        </is>
      </c>
      <c r="K27" s="45" t="n"/>
      <c r="L27" s="45" t="n"/>
      <c r="M27" s="45" t="n"/>
      <c r="N27" s="45" t="n"/>
      <c r="O27" s="45" t="n"/>
      <c r="P27" s="45" t="n"/>
      <c r="Q27" s="45" t="n"/>
      <c r="R27" s="45" t="n"/>
      <c r="S27" s="45" t="inlineStr">
        <is>
          <t>Not available</t>
        </is>
      </c>
      <c r="T27" s="45" t="inlineStr">
        <is>
          <t>NERSA reasons for decision (not obtained)</t>
        </is>
      </c>
      <c r="U27" s="45" t="inlineStr"/>
      <c r="V27" s="45" t="inlineStr">
        <is>
          <t>Needed to compare destinations other than Gauteng. NERSA's decisions pages were searched again on 9 October; the route table was not found online. Owner: Manish.</t>
        </is>
      </c>
    </row>
    <row r="29">
      <c r="A29" s="35" t="inlineStr">
        <is>
          <t>Delivered cost</t>
        </is>
      </c>
      <c r="B29" s="35" t="n"/>
      <c r="C29" s="35" t="n"/>
      <c r="D29" s="35" t="n"/>
      <c r="E29" s="35" t="n"/>
      <c r="F29" s="35" t="n"/>
      <c r="G29" s="35" t="n"/>
      <c r="H29" s="35" t="n"/>
      <c r="I29" s="35" t="n"/>
      <c r="J29" s="35" t="n"/>
      <c r="K29" s="35" t="n"/>
      <c r="L29" s="35" t="n"/>
      <c r="M29" s="35" t="n"/>
      <c r="N29" s="35" t="n"/>
      <c r="O29" s="35" t="n"/>
      <c r="P29" s="35" t="n"/>
      <c r="Q29" s="35" t="n"/>
      <c r="R29" s="35" t="n"/>
      <c r="S29" s="35" t="n"/>
      <c r="T29" s="35" t="n"/>
      <c r="U29" s="35" t="n"/>
      <c r="V29" s="35" t="n"/>
      <c r="W29" s="35" t="n"/>
    </row>
    <row r="30">
      <c r="A30" s="36" t="inlineStr">
        <is>
          <t>Item</t>
        </is>
      </c>
      <c r="B30" s="36" t="inlineStr">
        <is>
          <t>Asset or route</t>
        </is>
      </c>
      <c r="C30" s="36" t="inlineStr">
        <is>
          <t>Unit</t>
        </is>
      </c>
      <c r="D30" s="36" t="inlineStr">
        <is>
          <t>Basis</t>
        </is>
      </c>
      <c r="E30" s="37" t="n">
        <v>2012</v>
      </c>
      <c r="F30" s="37" t="n">
        <v>2013</v>
      </c>
      <c r="G30" s="37" t="n">
        <v>2014</v>
      </c>
      <c r="H30" s="37" t="n">
        <v>2015</v>
      </c>
      <c r="I30" s="37" t="n">
        <v>2016</v>
      </c>
      <c r="J30" s="37" t="n">
        <v>2017</v>
      </c>
      <c r="K30" s="37" t="n">
        <v>2018</v>
      </c>
      <c r="L30" s="37" t="n">
        <v>2019</v>
      </c>
      <c r="M30" s="37" t="n">
        <v>2020</v>
      </c>
      <c r="N30" s="37" t="n">
        <v>2021</v>
      </c>
      <c r="O30" s="37" t="n">
        <v>2022</v>
      </c>
      <c r="P30" s="37" t="n">
        <v>2023</v>
      </c>
      <c r="Q30" s="37" t="n">
        <v>2024</v>
      </c>
      <c r="R30" s="37" t="n">
        <v>2025</v>
      </c>
      <c r="S30" s="36" t="inlineStr">
        <is>
          <t>Status</t>
        </is>
      </c>
      <c r="T30" s="36" t="inlineStr">
        <is>
          <t>Source</t>
        </is>
      </c>
      <c r="U30" s="36" t="inlineStr">
        <is>
          <t>Page</t>
        </is>
      </c>
      <c r="V30" s="36" t="inlineStr">
        <is>
          <t>Note</t>
        </is>
      </c>
    </row>
    <row r="31" ht="56" customHeight="1">
      <c r="A31" s="38" t="inlineStr">
        <is>
          <t>Regulated transport cost to Gauteng in the diesel price</t>
        </is>
      </c>
      <c r="B31" s="38" t="inlineStr">
        <is>
          <t>Coast to Gauteng</t>
        </is>
      </c>
      <c r="C31" s="38" t="inlineStr">
        <is>
          <t>cents a litre</t>
        </is>
      </c>
      <c r="D31" s="38" t="inlineStr">
        <is>
          <t>year end</t>
        </is>
      </c>
      <c r="E31" s="40" t="n">
        <v>26.8</v>
      </c>
      <c r="F31" s="40" t="n">
        <v>28.9</v>
      </c>
      <c r="G31" s="40" t="n">
        <v>33.1</v>
      </c>
      <c r="H31" s="40" t="n">
        <v>35.3</v>
      </c>
      <c r="I31" s="40" t="n">
        <v>41</v>
      </c>
      <c r="J31" s="40" t="n">
        <v>41.5</v>
      </c>
      <c r="K31" s="40" t="n">
        <v>51.7</v>
      </c>
      <c r="L31" s="40" t="n">
        <v>57.4</v>
      </c>
      <c r="M31" s="40" t="n">
        <v>63.7</v>
      </c>
      <c r="N31" s="40" t="n">
        <v>64.90000000000001</v>
      </c>
      <c r="O31" s="40" t="n">
        <v>64.90000000000001</v>
      </c>
      <c r="P31" s="40" t="n">
        <v>75.7</v>
      </c>
      <c r="Q31" s="40" t="n">
        <v>75.7</v>
      </c>
      <c r="R31" s="38" t="n"/>
      <c r="S31" s="38" t="inlineStr">
        <is>
          <t>From source</t>
        </is>
      </c>
      <c r="T31" s="38" t="inlineStr">
        <is>
          <t>Department of Mineral and Petroleum Resources, yearly price tables (levies, taxes and margins)</t>
        </is>
      </c>
      <c r="U31" s="38" t="inlineStr">
        <is>
          <t>Transport cost column</t>
        </is>
      </c>
      <c r="V31" s="38" t="inlineStr">
        <is>
          <t>The figure in the last month the department published for each year (April for 2024). It is reset each April. A regulated allowance, not a commercial rate. The April 2024 table shows 75.7 while the zone list of the same month shows 82.8.</t>
        </is>
      </c>
    </row>
    <row r="32" ht="69.5" customHeight="1">
      <c r="A32" s="38" t="inlineStr">
        <is>
          <t>Regulated transport cost to Gauteng in the petrol price</t>
        </is>
      </c>
      <c r="B32" s="38" t="inlineStr">
        <is>
          <t>Coast to Gauteng</t>
        </is>
      </c>
      <c r="C32" s="38" t="inlineStr">
        <is>
          <t>cents a litre</t>
        </is>
      </c>
      <c r="D32" s="38" t="inlineStr">
        <is>
          <t>year end</t>
        </is>
      </c>
      <c r="E32" s="40" t="n">
        <v>26.8</v>
      </c>
      <c r="F32" s="40" t="n">
        <v>28.9</v>
      </c>
      <c r="G32" s="40" t="n">
        <v>28.9</v>
      </c>
      <c r="H32" s="40" t="n">
        <v>35.3</v>
      </c>
      <c r="I32" s="40" t="n">
        <v>41</v>
      </c>
      <c r="J32" s="40" t="n">
        <v>41.5</v>
      </c>
      <c r="K32" s="40" t="n">
        <v>51.7</v>
      </c>
      <c r="L32" s="40" t="n">
        <v>57.4</v>
      </c>
      <c r="M32" s="40" t="n">
        <v>63.7</v>
      </c>
      <c r="N32" s="40" t="n">
        <v>64.90000000000001</v>
      </c>
      <c r="O32" s="40" t="n">
        <v>67.90000000000001</v>
      </c>
      <c r="P32" s="40" t="n">
        <v>75.7</v>
      </c>
      <c r="Q32" s="40" t="n">
        <v>75.7</v>
      </c>
      <c r="R32" s="38" t="n"/>
      <c r="S32" s="38" t="inlineStr">
        <is>
          <t>From source</t>
        </is>
      </c>
      <c r="T32" s="38" t="inlineStr">
        <is>
          <t>Department of Mineral and Petroleum Resources, yearly price tables (levies, taxes and margins)</t>
        </is>
      </c>
      <c r="U32" s="38" t="inlineStr">
        <is>
          <t>Transport cost column</t>
        </is>
      </c>
      <c r="V32" s="38" t="inlineStr">
        <is>
          <t>The figure in the last month the department published for each year (April for 2024). It is reset each April. A regulated allowance, not a commercial rate. The April 2024 table shows 75.7 while the zone list of the same month shows 82.8. The department's petrol table shows 28.9 throughout 2014, where its diesel table and zone list show 33.1 from April.</t>
        </is>
      </c>
    </row>
    <row r="33" ht="29" customHeight="1">
      <c r="A33" s="42" t="inlineStr">
        <is>
          <t>Road freight income per tonne carried, all goods</t>
        </is>
      </c>
      <c r="B33" s="42" t="inlineStr">
        <is>
          <t>Road, South Africa</t>
        </is>
      </c>
      <c r="C33" s="42" t="inlineStr">
        <is>
          <t>rand a tonne</t>
        </is>
      </c>
      <c r="D33" s="42" t="inlineStr">
        <is>
          <t>calendar years</t>
        </is>
      </c>
      <c r="E33" s="42" t="n"/>
      <c r="F33" s="42" t="n"/>
      <c r="G33" s="42" t="n"/>
      <c r="H33" s="42" t="n"/>
      <c r="I33" s="42" t="n"/>
      <c r="J33" s="42" t="n"/>
      <c r="K33" s="42" t="n"/>
      <c r="L33" s="46" t="n">
        <v>182</v>
      </c>
      <c r="M33" s="42" t="n"/>
      <c r="N33" s="42" t="n"/>
      <c r="O33" s="42" t="n"/>
      <c r="P33" s="42" t="n"/>
      <c r="Q33" s="46" t="n">
        <v>204</v>
      </c>
      <c r="R33" s="46" t="n">
        <v>205</v>
      </c>
      <c r="S33" s="42" t="inlineStr">
        <is>
          <t>Calculated</t>
        </is>
      </c>
      <c r="T33" s="42" t="inlineStr">
        <is>
          <t>Statistics South Africa, Land transport survey (P7162), July 2026 release</t>
        </is>
      </c>
      <c r="U33" s="42" t="inlineStr">
        <is>
          <t>series roadincf over roadpayl</t>
        </is>
      </c>
      <c r="V33" s="42" t="inlineStr">
        <is>
          <t>Income divided by payload. All goods and all distances together, so not a fuel rate or a route rate.</t>
        </is>
      </c>
    </row>
    <row r="34" ht="29" customHeight="1">
      <c r="A34" s="42" t="inlineStr">
        <is>
          <t>Rail freight income per tonne carried, all goods</t>
        </is>
      </c>
      <c r="B34" s="42" t="inlineStr">
        <is>
          <t>Rail, South Africa</t>
        </is>
      </c>
      <c r="C34" s="42" t="inlineStr">
        <is>
          <t>rand a tonne</t>
        </is>
      </c>
      <c r="D34" s="42" t="inlineStr">
        <is>
          <t>calendar years</t>
        </is>
      </c>
      <c r="E34" s="42" t="n"/>
      <c r="F34" s="42" t="n"/>
      <c r="G34" s="42" t="n"/>
      <c r="H34" s="42" t="n"/>
      <c r="I34" s="42" t="n"/>
      <c r="J34" s="42" t="n"/>
      <c r="K34" s="42" t="n"/>
      <c r="L34" s="46" t="n">
        <v>205</v>
      </c>
      <c r="M34" s="42" t="n"/>
      <c r="N34" s="42" t="n"/>
      <c r="O34" s="42" t="n"/>
      <c r="P34" s="42" t="n"/>
      <c r="Q34" s="46" t="n">
        <v>269</v>
      </c>
      <c r="R34" s="46" t="n">
        <v>272</v>
      </c>
      <c r="S34" s="42" t="inlineStr">
        <is>
          <t>Calculated</t>
        </is>
      </c>
      <c r="T34" s="42" t="inlineStr">
        <is>
          <t>Statistics South Africa, Land transport survey (P7162), July 2026 release</t>
        </is>
      </c>
      <c r="U34" s="42" t="inlineStr">
        <is>
          <t>series railincf over railpayl</t>
        </is>
      </c>
      <c r="V34" s="42" t="inlineStr">
        <is>
          <t>Income divided by payload. Mostly bulk minerals over long distances, so not a fuel rate.</t>
        </is>
      </c>
    </row>
    <row r="35">
      <c r="A35" s="36" t="inlineStr">
        <is>
          <t>Item</t>
        </is>
      </c>
      <c r="B35" s="36" t="inlineStr">
        <is>
          <t>Asset or route</t>
        </is>
      </c>
      <c r="C35" s="36" t="inlineStr">
        <is>
          <t>Unit</t>
        </is>
      </c>
      <c r="D35" s="36" t="inlineStr">
        <is>
          <t>Basis</t>
        </is>
      </c>
      <c r="E35" s="36" t="inlineStr">
        <is>
          <t>2024/25</t>
        </is>
      </c>
      <c r="F35" s="36" t="inlineStr">
        <is>
          <t>2025/26</t>
        </is>
      </c>
      <c r="G35" s="36" t="inlineStr">
        <is>
          <t>2026/27</t>
        </is>
      </c>
      <c r="H35" s="36" t="n"/>
      <c r="I35" s="36" t="n"/>
      <c r="J35" s="36" t="n"/>
      <c r="K35" s="36" t="n"/>
      <c r="L35" s="36" t="n"/>
      <c r="M35" s="36" t="n"/>
      <c r="N35" s="36" t="n"/>
      <c r="O35" s="36" t="n"/>
      <c r="P35" s="36" t="n"/>
      <c r="Q35" s="36" t="n"/>
      <c r="R35" s="36" t="n"/>
      <c r="S35" s="36" t="inlineStr">
        <is>
          <t>Status</t>
        </is>
      </c>
      <c r="T35" s="36" t="inlineStr">
        <is>
          <t>Source</t>
        </is>
      </c>
      <c r="U35" s="36" t="inlineStr">
        <is>
          <t>Page</t>
        </is>
      </c>
      <c r="V35" s="36" t="inlineStr">
        <is>
          <t>Note</t>
        </is>
      </c>
    </row>
    <row r="36" ht="69.5" customHeight="1">
      <c r="A36" s="42" t="inlineStr">
        <is>
          <t>Regulated transport differential less the pipeline tariff, Gauteng</t>
        </is>
      </c>
      <c r="B36" s="42" t="inlineStr">
        <is>
          <t>Coast to Gauteng</t>
        </is>
      </c>
      <c r="C36" s="42" t="inlineStr">
        <is>
          <t>cents a litre</t>
        </is>
      </c>
      <c r="D36" s="42" t="inlineStr">
        <is>
          <t>financial years</t>
        </is>
      </c>
      <c r="E36" s="44" t="n">
        <v>14.8</v>
      </c>
      <c r="F36" s="44" t="n">
        <v>13.9</v>
      </c>
      <c r="G36" s="44" t="n">
        <v>14.1</v>
      </c>
      <c r="H36" s="42" t="n"/>
      <c r="I36" s="42" t="n"/>
      <c r="J36" s="42" t="n"/>
      <c r="K36" s="42" t="n"/>
      <c r="L36" s="42" t="n"/>
      <c r="M36" s="42" t="n"/>
      <c r="N36" s="42" t="n"/>
      <c r="O36" s="42" t="n"/>
      <c r="P36" s="42" t="n"/>
      <c r="Q36" s="42" t="n"/>
      <c r="R36" s="42" t="n"/>
      <c r="S36" s="42" t="inlineStr">
        <is>
          <t>Calculated</t>
        </is>
      </c>
      <c r="T36" s="42" t="inlineStr">
        <is>
          <t>Gauteng differential (82.8, 87.1, 91.1) less the Durban to Alrode tariff (67.99, 73.22, 77.02)</t>
        </is>
      </c>
      <c r="U36" s="42" t="inlineStr"/>
      <c r="V36" s="42" t="inlineStr">
        <is>
          <t>About 14 cents a litre in each year. What it pays for is not itemised in any document found: the department's working rules for the zone differentials were looked for on its site and in the price releases. The 2025 release shows the differentials are rebuilt from the pipeline tariff to each zone's supply point.</t>
        </is>
      </c>
    </row>
    <row r="37">
      <c r="A37" s="36" t="inlineStr">
        <is>
          <t>Item</t>
        </is>
      </c>
      <c r="B37" s="36" t="inlineStr">
        <is>
          <t>Asset or route</t>
        </is>
      </c>
      <c r="C37" s="36" t="inlineStr">
        <is>
          <t>Unit</t>
        </is>
      </c>
      <c r="D37" s="36" t="inlineStr">
        <is>
          <t>Period</t>
        </is>
      </c>
      <c r="E37" s="36" t="inlineStr">
        <is>
          <t>Value</t>
        </is>
      </c>
      <c r="K37" s="36" t="n"/>
      <c r="L37" s="36" t="n"/>
      <c r="M37" s="36" t="n"/>
      <c r="N37" s="36" t="n"/>
      <c r="O37" s="36" t="n"/>
      <c r="P37" s="36" t="n"/>
      <c r="Q37" s="36" t="n"/>
      <c r="R37" s="36" t="n"/>
      <c r="S37" s="36" t="inlineStr">
        <is>
          <t>Status</t>
        </is>
      </c>
      <c r="T37" s="36" t="inlineStr">
        <is>
          <t>Source</t>
        </is>
      </c>
      <c r="U37" s="36" t="inlineStr">
        <is>
          <t>Page</t>
        </is>
      </c>
      <c r="V37" s="36" t="inlineStr">
        <is>
          <t>Note</t>
        </is>
      </c>
    </row>
    <row r="38" ht="29" customHeight="1">
      <c r="A38" s="38" t="inlineStr">
        <is>
          <t>Regulated price difference, inland less coast, diesel wholesale</t>
        </is>
      </c>
      <c r="B38" s="38" t="inlineStr">
        <is>
          <t>Gauteng less coast</t>
        </is>
      </c>
      <c r="C38" s="38" t="inlineStr">
        <is>
          <t>cents a litre</t>
        </is>
      </c>
      <c r="D38" s="38" t="inlineStr">
        <is>
          <t>July 2024</t>
        </is>
      </c>
      <c r="E38" s="47" t="n">
        <v>79</v>
      </c>
      <c r="K38" s="38" t="n"/>
      <c r="L38" s="38" t="n"/>
      <c r="M38" s="38" t="n"/>
      <c r="N38" s="38" t="n"/>
      <c r="O38" s="38" t="n"/>
      <c r="P38" s="38" t="n"/>
      <c r="Q38" s="38" t="n"/>
      <c r="R38" s="38" t="n"/>
      <c r="S38" s="38" t="inlineStr">
        <is>
          <t>From source</t>
        </is>
      </c>
      <c r="T38" s="38" t="inlineStr">
        <is>
          <t>Department of Mineral and Petroleum Resources, regulated fuel prices</t>
        </is>
      </c>
      <c r="U38" s="38" t="inlineStr"/>
      <c r="V38" s="38" t="inlineStr">
        <is>
          <t>The regulated allowance for moving fuel inland, not an operator's actual cost. Coast series held ends November 2025.</t>
        </is>
      </c>
    </row>
    <row r="39" ht="29" customHeight="1">
      <c r="A39" s="38" t="inlineStr">
        <is>
          <t>Regulated price difference, inland less coast, diesel wholesale</t>
        </is>
      </c>
      <c r="B39" s="38" t="inlineStr">
        <is>
          <t>Gauteng less coast</t>
        </is>
      </c>
      <c r="C39" s="38" t="inlineStr">
        <is>
          <t>cents a litre</t>
        </is>
      </c>
      <c r="D39" s="38" t="inlineStr">
        <is>
          <t>July 2025</t>
        </is>
      </c>
      <c r="E39" s="47" t="n">
        <v>83.3</v>
      </c>
      <c r="K39" s="38" t="n"/>
      <c r="L39" s="38" t="n"/>
      <c r="M39" s="38" t="n"/>
      <c r="N39" s="38" t="n"/>
      <c r="O39" s="38" t="n"/>
      <c r="P39" s="38" t="n"/>
      <c r="Q39" s="38" t="n"/>
      <c r="R39" s="38" t="n"/>
      <c r="S39" s="38" t="inlineStr">
        <is>
          <t>From source</t>
        </is>
      </c>
      <c r="T39" s="38" t="inlineStr">
        <is>
          <t>Department of Mineral and Petroleum Resources, regulated fuel prices</t>
        </is>
      </c>
      <c r="U39" s="38" t="inlineStr"/>
      <c r="V39" s="38" t="inlineStr">
        <is>
          <t>The regulated allowance for moving fuel inland, not an operator's actual cost. Coast series held ends November 2025.</t>
        </is>
      </c>
    </row>
    <row r="40" ht="29" customHeight="1">
      <c r="A40" s="38" t="inlineStr">
        <is>
          <t>Regulated price difference, inland less coast, diesel wholesale</t>
        </is>
      </c>
      <c r="B40" s="38" t="inlineStr">
        <is>
          <t>Gauteng less coast</t>
        </is>
      </c>
      <c r="C40" s="38" t="inlineStr">
        <is>
          <t>cents a litre</t>
        </is>
      </c>
      <c r="D40" s="38" t="inlineStr">
        <is>
          <t>November 2025</t>
        </is>
      </c>
      <c r="E40" s="47" t="n">
        <v>83.3</v>
      </c>
      <c r="K40" s="38" t="n"/>
      <c r="L40" s="38" t="n"/>
      <c r="M40" s="38" t="n"/>
      <c r="N40" s="38" t="n"/>
      <c r="O40" s="38" t="n"/>
      <c r="P40" s="38" t="n"/>
      <c r="Q40" s="38" t="n"/>
      <c r="R40" s="38" t="n"/>
      <c r="S40" s="38" t="inlineStr">
        <is>
          <t>From source</t>
        </is>
      </c>
      <c r="T40" s="38" t="inlineStr">
        <is>
          <t>Department of Mineral and Petroleum Resources, regulated fuel prices</t>
        </is>
      </c>
      <c r="U40" s="38" t="inlineStr"/>
      <c r="V40" s="38" t="inlineStr">
        <is>
          <t>The regulated allowance for moving fuel inland, not an operator's actual cost. Coast series held ends November 2025.</t>
        </is>
      </c>
    </row>
    <row r="41" ht="29" customHeight="1">
      <c r="A41" s="38" t="inlineStr">
        <is>
          <t>Regulated transport differential, Gauteng (zone 9C)</t>
        </is>
      </c>
      <c r="B41" s="38" t="inlineStr">
        <is>
          <t>Coast to Gauteng</t>
        </is>
      </c>
      <c r="C41" s="38" t="inlineStr">
        <is>
          <t>cents a litre</t>
        </is>
      </c>
      <c r="D41" s="38" t="inlineStr">
        <is>
          <t>April 2014</t>
        </is>
      </c>
      <c r="E41" s="47" t="n">
        <v>33.1</v>
      </c>
      <c r="K41" s="38" t="n"/>
      <c r="L41" s="38" t="n"/>
      <c r="M41" s="38" t="n"/>
      <c r="N41" s="38" t="n"/>
      <c r="O41" s="38" t="n"/>
      <c r="P41" s="38" t="n"/>
      <c r="Q41" s="38" t="n"/>
      <c r="R41" s="38" t="n"/>
      <c r="S41" s="38" t="inlineStr">
        <is>
          <t>From source</t>
        </is>
      </c>
      <c r="T41" s="38" t="inlineStr">
        <is>
          <t>Department zone lists (2014, 2024); Central Energy Fund price composition (2025, 2026)</t>
        </is>
      </c>
      <c r="U41" s="38" t="inlineStr">
        <is>
          <t>CEF p.3</t>
        </is>
      </c>
      <c r="V41" s="38" t="inlineStr">
        <is>
          <t>The regulated allowance for getting petrol and diesel to Gauteng, which the regulator ties to the pipeline tariff. Not a commercial rate.</t>
        </is>
      </c>
    </row>
    <row r="42" ht="29" customHeight="1">
      <c r="A42" s="38" t="inlineStr">
        <is>
          <t>Regulated transport differential, Gauteng (zone 9C)</t>
        </is>
      </c>
      <c r="B42" s="38" t="inlineStr">
        <is>
          <t>Coast to Gauteng</t>
        </is>
      </c>
      <c r="C42" s="38" t="inlineStr">
        <is>
          <t>cents a litre</t>
        </is>
      </c>
      <c r="D42" s="38" t="inlineStr">
        <is>
          <t>April 2024</t>
        </is>
      </c>
      <c r="E42" s="47" t="n">
        <v>82.8</v>
      </c>
      <c r="K42" s="38" t="n"/>
      <c r="L42" s="38" t="n"/>
      <c r="M42" s="38" t="n"/>
      <c r="N42" s="38" t="n"/>
      <c r="O42" s="38" t="n"/>
      <c r="P42" s="38" t="n"/>
      <c r="Q42" s="38" t="n"/>
      <c r="R42" s="38" t="n"/>
      <c r="S42" s="38" t="inlineStr">
        <is>
          <t>From source</t>
        </is>
      </c>
      <c r="T42" s="38" t="inlineStr">
        <is>
          <t>Department zone lists (2014, 2024); Central Energy Fund price composition (2025, 2026)</t>
        </is>
      </c>
      <c r="U42" s="38" t="inlineStr">
        <is>
          <t>CEF p.3</t>
        </is>
      </c>
      <c r="V42" s="38" t="inlineStr">
        <is>
          <t>The regulated allowance for getting petrol and diesel to Gauteng, which the regulator ties to the pipeline tariff. Not a commercial rate.</t>
        </is>
      </c>
    </row>
    <row r="43" ht="29" customHeight="1">
      <c r="A43" s="38" t="inlineStr">
        <is>
          <t>Regulated transport differential, Gauteng (zone 9C)</t>
        </is>
      </c>
      <c r="B43" s="38" t="inlineStr">
        <is>
          <t>Coast to Gauteng</t>
        </is>
      </c>
      <c r="C43" s="38" t="inlineStr">
        <is>
          <t>cents a litre</t>
        </is>
      </c>
      <c r="D43" s="38" t="inlineStr">
        <is>
          <t>June 2025</t>
        </is>
      </c>
      <c r="E43" s="47" t="n">
        <v>87.09999999999999</v>
      </c>
      <c r="K43" s="38" t="n"/>
      <c r="L43" s="38" t="n"/>
      <c r="M43" s="38" t="n"/>
      <c r="N43" s="38" t="n"/>
      <c r="O43" s="38" t="n"/>
      <c r="P43" s="38" t="n"/>
      <c r="Q43" s="38" t="n"/>
      <c r="R43" s="38" t="n"/>
      <c r="S43" s="38" t="inlineStr">
        <is>
          <t>From source</t>
        </is>
      </c>
      <c r="T43" s="38" t="inlineStr">
        <is>
          <t>Department zone lists (2014, 2024); Central Energy Fund price composition (2025, 2026)</t>
        </is>
      </c>
      <c r="U43" s="38" t="inlineStr">
        <is>
          <t>CEF p.3</t>
        </is>
      </c>
      <c r="V43" s="38" t="inlineStr">
        <is>
          <t>The regulated allowance for getting petrol and diesel to Gauteng, which the regulator ties to the pipeline tariff. Not a commercial rate.</t>
        </is>
      </c>
    </row>
    <row r="44" ht="29" customHeight="1">
      <c r="A44" s="38" t="inlineStr">
        <is>
          <t>Regulated transport differential, Gauteng (zone 9C)</t>
        </is>
      </c>
      <c r="B44" s="38" t="inlineStr">
        <is>
          <t>Coast to Gauteng</t>
        </is>
      </c>
      <c r="C44" s="38" t="inlineStr">
        <is>
          <t>cents a litre</t>
        </is>
      </c>
      <c r="D44" s="38" t="inlineStr">
        <is>
          <t>April 2026</t>
        </is>
      </c>
      <c r="E44" s="47" t="n">
        <v>91.09999999999999</v>
      </c>
      <c r="K44" s="38" t="n"/>
      <c r="L44" s="38" t="n"/>
      <c r="M44" s="38" t="n"/>
      <c r="N44" s="38" t="n"/>
      <c r="O44" s="38" t="n"/>
      <c r="P44" s="38" t="n"/>
      <c r="Q44" s="38" t="n"/>
      <c r="R44" s="38" t="n"/>
      <c r="S44" s="38" t="inlineStr">
        <is>
          <t>From source</t>
        </is>
      </c>
      <c r="T44" s="38" t="inlineStr">
        <is>
          <t>Department zone lists (2014, 2024); Central Energy Fund price composition (2025, 2026)</t>
        </is>
      </c>
      <c r="U44" s="38" t="inlineStr">
        <is>
          <t>CEF p.3</t>
        </is>
      </c>
      <c r="V44" s="38" t="inlineStr">
        <is>
          <t>The regulated allowance for getting petrol and diesel to Gauteng, which the regulator ties to the pipeline tariff. Not a commercial rate.</t>
        </is>
      </c>
    </row>
    <row r="45" ht="42.5" customHeight="1">
      <c r="A45" s="38" t="inlineStr">
        <is>
          <t>Regulated transport differential, all zones</t>
        </is>
      </c>
      <c r="B45" s="38" t="inlineStr">
        <is>
          <t>Coast to each of 54 pricing zones</t>
        </is>
      </c>
      <c r="C45" s="38" t="inlineStr">
        <is>
          <t>cents a litre</t>
        </is>
      </c>
      <c r="D45" s="38" t="inlineStr">
        <is>
          <t>April 2024</t>
        </is>
      </c>
      <c r="E45" s="38" t="inlineStr">
        <is>
          <t>3.8 to 179.6</t>
        </is>
      </c>
      <c r="K45" s="38" t="n"/>
      <c r="L45" s="38" t="n"/>
      <c r="M45" s="38" t="n"/>
      <c r="N45" s="38" t="n"/>
      <c r="O45" s="38" t="n"/>
      <c r="P45" s="38" t="n"/>
      <c r="Q45" s="38" t="n"/>
      <c r="R45" s="38" t="n"/>
      <c r="S45" s="38" t="inlineStr">
        <is>
          <t>From source</t>
        </is>
      </c>
      <c r="T45" s="38" t="inlineStr">
        <is>
          <t>Department diesel wholesale price list, effective 3 April 2024</t>
        </is>
      </c>
      <c r="U45" s="38" t="inlineStr">
        <is>
          <t>pp.1-2</t>
        </is>
      </c>
      <c r="V45" s="38" t="inlineStr">
        <is>
          <t>Lowest at the coast (zone 1A), highest in zone 17A. By zone on the DR04 transport cost sheet. The files do not say which mode serves each zone.</t>
        </is>
      </c>
    </row>
    <row r="46" ht="29" customHeight="1">
      <c r="A46" s="38" t="inlineStr">
        <is>
          <t>Regulated secondary distribution (depot to service station by road)</t>
        </is>
      </c>
      <c r="B46" s="38" t="inlineStr">
        <is>
          <t>All zones</t>
        </is>
      </c>
      <c r="C46" s="38" t="inlineStr">
        <is>
          <t>cents a litre</t>
        </is>
      </c>
      <c r="D46" s="38" t="inlineStr">
        <is>
          <t>April 2024</t>
        </is>
      </c>
      <c r="E46" s="47" t="n">
        <v>17.2</v>
      </c>
      <c r="K46" s="38" t="n"/>
      <c r="L46" s="38" t="n"/>
      <c r="M46" s="38" t="n"/>
      <c r="N46" s="38" t="n"/>
      <c r="O46" s="38" t="n"/>
      <c r="P46" s="38" t="n"/>
      <c r="Q46" s="38" t="n"/>
      <c r="R46" s="38" t="n"/>
      <c r="S46" s="38" t="inlineStr">
        <is>
          <t>From source</t>
        </is>
      </c>
      <c r="T46" s="38" t="inlineStr">
        <is>
          <t>Department diesel margins (2024); Central Energy Fund price composition (2026)</t>
        </is>
      </c>
      <c r="U46" s="38" t="inlineStr">
        <is>
          <t>CEF p.3</t>
        </is>
      </c>
      <c r="V46" s="38" t="inlineStr">
        <is>
          <t>The only regulated road delivery element. One national figure; it does not vary by distance.</t>
        </is>
      </c>
    </row>
    <row r="47" ht="29" customHeight="1">
      <c r="A47" s="38" t="inlineStr">
        <is>
          <t>Regulated secondary distribution (depot to service station by road)</t>
        </is>
      </c>
      <c r="B47" s="38" t="inlineStr">
        <is>
          <t>All zones</t>
        </is>
      </c>
      <c r="C47" s="38" t="inlineStr">
        <is>
          <t>cents a litre</t>
        </is>
      </c>
      <c r="D47" s="38" t="inlineStr">
        <is>
          <t>April 2026</t>
        </is>
      </c>
      <c r="E47" s="47" t="n">
        <v>19.1</v>
      </c>
      <c r="K47" s="38" t="n"/>
      <c r="L47" s="38" t="n"/>
      <c r="M47" s="38" t="n"/>
      <c r="N47" s="38" t="n"/>
      <c r="O47" s="38" t="n"/>
      <c r="P47" s="38" t="n"/>
      <c r="Q47" s="38" t="n"/>
      <c r="R47" s="38" t="n"/>
      <c r="S47" s="38" t="inlineStr">
        <is>
          <t>From source</t>
        </is>
      </c>
      <c r="T47" s="38" t="inlineStr">
        <is>
          <t>Department diesel margins (2024); Central Energy Fund price composition (2026)</t>
        </is>
      </c>
      <c r="U47" s="38" t="inlineStr">
        <is>
          <t>CEF p.3</t>
        </is>
      </c>
      <c r="V47" s="38" t="inlineStr">
        <is>
          <t>The only regulated road delivery element. One national figure; it does not vary by distance.</t>
        </is>
      </c>
    </row>
    <row r="48" ht="29" customHeight="1">
      <c r="A48" s="38" t="inlineStr">
        <is>
          <t>Regulated secondary storage</t>
        </is>
      </c>
      <c r="B48" s="38" t="inlineStr">
        <is>
          <t>All zones</t>
        </is>
      </c>
      <c r="C48" s="38" t="inlineStr">
        <is>
          <t>cents a litre</t>
        </is>
      </c>
      <c r="D48" s="38" t="inlineStr">
        <is>
          <t>April 2024</t>
        </is>
      </c>
      <c r="E48" s="47" t="n">
        <v>36.6</v>
      </c>
      <c r="K48" s="38" t="n"/>
      <c r="L48" s="38" t="n"/>
      <c r="M48" s="38" t="n"/>
      <c r="N48" s="38" t="n"/>
      <c r="O48" s="38" t="n"/>
      <c r="P48" s="38" t="n"/>
      <c r="Q48" s="38" t="n"/>
      <c r="R48" s="38" t="n"/>
      <c r="S48" s="38" t="inlineStr">
        <is>
          <t>From source</t>
        </is>
      </c>
      <c r="T48" s="38" t="inlineStr">
        <is>
          <t>Department diesel margins (2024); Central Energy Fund price composition (2026)</t>
        </is>
      </c>
      <c r="U48" s="38" t="inlineStr">
        <is>
          <t>CEF p.3</t>
        </is>
      </c>
      <c r="V48" s="38" t="inlineStr">
        <is>
          <t>The regulated allowance for depot storage, which is the service a terminal such as Lesedi sells. One national figure.</t>
        </is>
      </c>
    </row>
    <row r="49" ht="29" customHeight="1">
      <c r="A49" s="38" t="inlineStr">
        <is>
          <t>Regulated secondary storage</t>
        </is>
      </c>
      <c r="B49" s="38" t="inlineStr">
        <is>
          <t>All zones</t>
        </is>
      </c>
      <c r="C49" s="38" t="inlineStr">
        <is>
          <t>cents a litre</t>
        </is>
      </c>
      <c r="D49" s="38" t="inlineStr">
        <is>
          <t>April 2026</t>
        </is>
      </c>
      <c r="E49" s="47" t="n">
        <v>39</v>
      </c>
      <c r="K49" s="38" t="n"/>
      <c r="L49" s="38" t="n"/>
      <c r="M49" s="38" t="n"/>
      <c r="N49" s="38" t="n"/>
      <c r="O49" s="38" t="n"/>
      <c r="P49" s="38" t="n"/>
      <c r="Q49" s="38" t="n"/>
      <c r="R49" s="38" t="n"/>
      <c r="S49" s="38" t="inlineStr">
        <is>
          <t>From source</t>
        </is>
      </c>
      <c r="T49" s="38" t="inlineStr">
        <is>
          <t>Department diesel margins (2024); Central Energy Fund price composition (2026)</t>
        </is>
      </c>
      <c r="U49" s="38" t="inlineStr">
        <is>
          <t>CEF p.3</t>
        </is>
      </c>
      <c r="V49" s="38" t="inlineStr">
        <is>
          <t>The regulated allowance for depot storage, which is the service a terminal such as Lesedi sells. One national figure.</t>
        </is>
      </c>
    </row>
    <row r="50" ht="29" customHeight="1">
      <c r="A50" s="38" t="inlineStr">
        <is>
          <t>Road against pipeline, as stated by a haulier</t>
        </is>
      </c>
      <c r="B50" s="38" t="inlineStr">
        <is>
          <t>Durban to Gauteng</t>
        </is>
      </c>
      <c r="C50" s="38" t="inlineStr"/>
      <c r="D50" s="38" t="inlineStr">
        <is>
          <t>May 2025</t>
        </is>
      </c>
      <c r="E50" s="38" t="inlineStr">
        <is>
          <t>Pipeline plus the last stretch by truck costs about a third more than trucking all the way</t>
        </is>
      </c>
      <c r="K50" s="38" t="n"/>
      <c r="L50" s="38" t="n"/>
      <c r="M50" s="38" t="n"/>
      <c r="N50" s="38" t="n"/>
      <c r="O50" s="38" t="n"/>
      <c r="P50" s="38" t="n"/>
      <c r="Q50" s="38" t="n"/>
      <c r="R50" s="38" t="n"/>
      <c r="S50" s="38" t="inlineStr">
        <is>
          <t>From source</t>
        </is>
      </c>
      <c r="T50" s="38" t="inlineStr">
        <is>
          <t>Bloomberg, 12 May 2025, quoting the managing director of a fuel haulier</t>
        </is>
      </c>
      <c r="U50" s="38" t="inlineStr"/>
      <c r="V50" s="38" t="inlineStr">
        <is>
          <t>One operator's statement, with no rate given. It implies road is competitive with the pipeline; it is not a measured cost.</t>
        </is>
      </c>
    </row>
    <row r="51" ht="29" customHeight="1">
      <c r="A51" s="38" t="inlineStr">
        <is>
          <t>Road freight rate, as Transnet compares it</t>
        </is>
      </c>
      <c r="B51" s="38" t="inlineStr">
        <is>
          <t>Road, containers, average haul 507 km</t>
        </is>
      </c>
      <c r="C51" s="38" t="inlineStr">
        <is>
          <t>rand per net tonne-kilometre</t>
        </is>
      </c>
      <c r="D51" s="38" t="inlineStr">
        <is>
          <t>2025</t>
        </is>
      </c>
      <c r="E51" s="47" t="n">
        <v>1.23</v>
      </c>
      <c r="K51" s="38" t="n"/>
      <c r="L51" s="38" t="n"/>
      <c r="M51" s="38" t="n"/>
      <c r="N51" s="38" t="n"/>
      <c r="O51" s="38" t="n"/>
      <c r="P51" s="38" t="n"/>
      <c r="Q51" s="38" t="n"/>
      <c r="R51" s="38" t="n"/>
      <c r="S51" s="38" t="inlineStr">
        <is>
          <t>From source</t>
        </is>
      </c>
      <c r="T51" s="38" t="inlineStr">
        <is>
          <t>Transnet Rail Infrastructure Manager, Tariff Proposal 2025/26</t>
        </is>
      </c>
      <c r="U51" s="38" t="inlineStr">
        <is>
          <t>PDF p.18, Table 8</t>
        </is>
      </c>
      <c r="V51" s="38" t="inlineStr">
        <is>
          <t>Containers, not fuel tankers. From a 2022 freight study Transnet commissioned, raised by inflation.</t>
        </is>
      </c>
    </row>
    <row r="52" ht="29" customHeight="1">
      <c r="A52" s="38" t="inlineStr">
        <is>
          <t>Rail freight rate, as Transnet compares it</t>
        </is>
      </c>
      <c r="B52" s="38" t="inlineStr">
        <is>
          <t>Rail, containers, average haul 507 km</t>
        </is>
      </c>
      <c r="C52" s="38" t="inlineStr">
        <is>
          <t>rand per net tonne-kilometre</t>
        </is>
      </c>
      <c r="D52" s="38" t="inlineStr">
        <is>
          <t>2025</t>
        </is>
      </c>
      <c r="E52" s="47" t="n">
        <v>0.43</v>
      </c>
      <c r="K52" s="38" t="n"/>
      <c r="L52" s="38" t="n"/>
      <c r="M52" s="38" t="n"/>
      <c r="N52" s="38" t="n"/>
      <c r="O52" s="38" t="n"/>
      <c r="P52" s="38" t="n"/>
      <c r="Q52" s="38" t="n"/>
      <c r="R52" s="38" t="n"/>
      <c r="S52" s="38" t="inlineStr">
        <is>
          <t>From source</t>
        </is>
      </c>
      <c r="T52" s="38" t="inlineStr">
        <is>
          <t>Transnet Rail Infrastructure Manager, Tariff Proposal 2025/26</t>
        </is>
      </c>
      <c r="U52" s="38" t="inlineStr">
        <is>
          <t>PDF p.18, Table 8</t>
        </is>
      </c>
      <c r="V52" s="38" t="inlineStr">
        <is>
          <t>Containers, not fuel. Road is 2.9 times rail on this comparison.</t>
        </is>
      </c>
    </row>
    <row r="53" ht="29" customHeight="1">
      <c r="A53" s="38" t="inlineStr">
        <is>
          <t>Rail track access charge, grain and tankers</t>
        </is>
      </c>
      <c r="B53" s="38" t="inlineStr">
        <is>
          <t>Rail, any route</t>
        </is>
      </c>
      <c r="C53" s="38" t="inlineStr"/>
      <c r="D53" s="38" t="inlineStr">
        <is>
          <t>2024/25, approved</t>
        </is>
      </c>
      <c r="E53" s="38" t="inlineStr">
        <is>
          <t>30 rand per train-kilometre plus 6.96 cents per gross tonne-kilometre</t>
        </is>
      </c>
      <c r="K53" s="38" t="n"/>
      <c r="L53" s="38" t="n"/>
      <c r="M53" s="38" t="n"/>
      <c r="N53" s="38" t="n"/>
      <c r="O53" s="38" t="n"/>
      <c r="P53" s="38" t="n"/>
      <c r="Q53" s="38" t="n"/>
      <c r="R53" s="38" t="n"/>
      <c r="S53" s="38" t="inlineStr">
        <is>
          <t>From source</t>
        </is>
      </c>
      <c r="T53" s="38" t="inlineStr">
        <is>
          <t>Transnet Rail Infrastructure Manager, Tariff Proposal 2025/26</t>
        </is>
      </c>
      <c r="U53" s="38" t="inlineStr">
        <is>
          <t>PDF p.12, Table 1</t>
        </is>
      </c>
      <c r="V53" s="38" t="inlineStr">
        <is>
          <t>What a train operator pays Transnet for the track. Not the rate a shipper pays.</t>
        </is>
      </c>
    </row>
    <row r="54" ht="42.5" customHeight="1">
      <c r="A54" s="45" t="inlineStr">
        <is>
          <t>Commercial road tanker rate, Durban to Gauteng</t>
        </is>
      </c>
      <c r="B54" s="45" t="inlineStr">
        <is>
          <t>Road</t>
        </is>
      </c>
      <c r="C54" s="45" t="inlineStr">
        <is>
          <t>cents a litre</t>
        </is>
      </c>
      <c r="D54" s="45" t="inlineStr"/>
      <c r="E54" s="45" t="inlineStr">
        <is>
          <t>Not available</t>
        </is>
      </c>
      <c r="K54" s="45" t="n"/>
      <c r="L54" s="45" t="n"/>
      <c r="M54" s="45" t="n"/>
      <c r="N54" s="45" t="n"/>
      <c r="O54" s="45" t="n"/>
      <c r="P54" s="45" t="n"/>
      <c r="Q54" s="45" t="n"/>
      <c r="R54" s="45" t="n"/>
      <c r="S54" s="45" t="inlineStr">
        <is>
          <t>Not available</t>
        </is>
      </c>
      <c r="T54" s="45" t="inlineStr">
        <is>
          <t>None public</t>
        </is>
      </c>
      <c r="U54" s="45" t="inlineStr"/>
      <c r="V54" s="45" t="inlineStr">
        <is>
          <t>No fuel tanker rate is published. The rows above are the nearest published figures: a container rate and an all-goods average. Needs Vopak or a haulier quote.</t>
        </is>
      </c>
    </row>
    <row r="55" ht="42.5" customHeight="1">
      <c r="A55" s="45" t="inlineStr">
        <is>
          <t>Rail rate, Durban to Gauteng</t>
        </is>
      </c>
      <c r="B55" s="45" t="inlineStr">
        <is>
          <t>Rail</t>
        </is>
      </c>
      <c r="C55" s="45" t="inlineStr">
        <is>
          <t>cents a litre</t>
        </is>
      </c>
      <c r="D55" s="45" t="inlineStr"/>
      <c r="E55" s="45" t="inlineStr">
        <is>
          <t>Not available</t>
        </is>
      </c>
      <c r="K55" s="45" t="n"/>
      <c r="L55" s="45" t="n"/>
      <c r="M55" s="45" t="n"/>
      <c r="N55" s="45" t="n"/>
      <c r="O55" s="45" t="n"/>
      <c r="P55" s="45" t="n"/>
      <c r="Q55" s="45" t="n"/>
      <c r="R55" s="45" t="n"/>
      <c r="S55" s="45" t="inlineStr">
        <is>
          <t>Not available</t>
        </is>
      </c>
      <c r="T55" s="45" t="inlineStr">
        <is>
          <t>None public</t>
        </is>
      </c>
      <c r="U55" s="45" t="inlineStr"/>
      <c r="V55" s="45" t="inlineStr">
        <is>
          <t>Transnet does not publish a fuel rate. The rows above give its container rate and its track access charge for tankers. Needs Transnet or Vopak.</t>
        </is>
      </c>
    </row>
    <row r="56" ht="56" customHeight="1">
      <c r="A56" s="45" t="inlineStr">
        <is>
          <t>Matched delivered cost, Durban to Gauteng, by mode</t>
        </is>
      </c>
      <c r="B56" s="45" t="inlineStr">
        <is>
          <t>Pipeline against road and rail</t>
        </is>
      </c>
      <c r="C56" s="45" t="inlineStr">
        <is>
          <t>cents a litre</t>
        </is>
      </c>
      <c r="D56" s="45" t="inlineStr"/>
      <c r="E56" s="45" t="inlineStr">
        <is>
          <t>Not available</t>
        </is>
      </c>
      <c r="K56" s="45" t="n"/>
      <c r="L56" s="45" t="n"/>
      <c r="M56" s="45" t="n"/>
      <c r="N56" s="45" t="n"/>
      <c r="O56" s="45" t="n"/>
      <c r="P56" s="45" t="n"/>
      <c r="Q56" s="45" t="n"/>
      <c r="R56" s="45" t="n"/>
      <c r="S56" s="45" t="inlineStr">
        <is>
          <t>Not available</t>
        </is>
      </c>
      <c r="T56" s="45" t="inlineStr">
        <is>
          <t>None published for road or rail</t>
        </is>
      </c>
      <c r="U56" s="45" t="inlineStr"/>
      <c r="V56" s="45" t="inlineStr">
        <is>
          <t>Pipeline: 77.02 (tariff) or 91.1 (regulated allowance) in 2026/27. No fuel tanker or rail rate is published, so the modes cannot be set side by side. Looked in: Transnet's tariff proposal, Stats SA, NERSA, Parliament. Needs Vopak or a haulier.</t>
        </is>
      </c>
    </row>
    <row r="58">
      <c r="A58" s="35" t="inlineStr">
        <is>
          <t>Port use</t>
        </is>
      </c>
      <c r="B58" s="35" t="n"/>
      <c r="C58" s="35" t="n"/>
      <c r="D58" s="35" t="n"/>
      <c r="E58" s="35" t="n"/>
      <c r="F58" s="35" t="n"/>
      <c r="G58" s="35" t="n"/>
      <c r="H58" s="35" t="n"/>
      <c r="I58" s="35" t="n"/>
      <c r="J58" s="35" t="n"/>
      <c r="K58" s="35" t="n"/>
      <c r="L58" s="35" t="n"/>
      <c r="M58" s="35" t="n"/>
      <c r="N58" s="35" t="n"/>
      <c r="O58" s="35" t="n"/>
      <c r="P58" s="35" t="n"/>
      <c r="Q58" s="35" t="n"/>
      <c r="R58" s="35" t="n"/>
      <c r="S58" s="35" t="n"/>
      <c r="T58" s="35" t="n"/>
      <c r="U58" s="35" t="n"/>
      <c r="V58" s="35" t="n"/>
      <c r="W58" s="35" t="n"/>
    </row>
    <row r="59">
      <c r="A59" s="36" t="inlineStr">
        <is>
          <t>Item</t>
        </is>
      </c>
      <c r="B59" s="36" t="inlineStr">
        <is>
          <t>Asset or route</t>
        </is>
      </c>
      <c r="C59" s="36" t="inlineStr">
        <is>
          <t>Unit</t>
        </is>
      </c>
      <c r="D59" s="36" t="inlineStr">
        <is>
          <t>Basis</t>
        </is>
      </c>
      <c r="E59" s="37" t="n">
        <v>2024</v>
      </c>
      <c r="F59" s="37" t="n">
        <v>2025</v>
      </c>
      <c r="G59" s="36" t="n"/>
      <c r="H59" s="36" t="n"/>
      <c r="I59" s="36" t="n"/>
      <c r="J59" s="36" t="n"/>
      <c r="K59" s="36" t="n"/>
      <c r="L59" s="36" t="n"/>
      <c r="M59" s="36" t="n"/>
      <c r="N59" s="36" t="n"/>
      <c r="O59" s="36" t="n"/>
      <c r="P59" s="36" t="n"/>
      <c r="Q59" s="36" t="n"/>
      <c r="R59" s="36" t="n"/>
      <c r="S59" s="36" t="inlineStr">
        <is>
          <t>Status</t>
        </is>
      </c>
      <c r="T59" s="36" t="inlineStr">
        <is>
          <t>Source</t>
        </is>
      </c>
      <c r="U59" s="36" t="inlineStr">
        <is>
          <t>Page</t>
        </is>
      </c>
      <c r="V59" s="36" t="inlineStr">
        <is>
          <t>Note</t>
        </is>
      </c>
    </row>
    <row r="60" ht="29" customHeight="1">
      <c r="A60" s="38" t="inlineStr">
        <is>
          <t>Petrol and diesel imports cleared</t>
        </is>
      </c>
      <c r="B60" s="38" t="inlineStr">
        <is>
          <t>Durban customs office</t>
        </is>
      </c>
      <c r="C60" s="38" t="inlineStr">
        <is>
          <t>billion litres</t>
        </is>
      </c>
      <c r="D60" s="38" t="inlineStr">
        <is>
          <t>calendar years</t>
        </is>
      </c>
      <c r="E60" s="40" t="n">
        <v>11.84</v>
      </c>
      <c r="F60" s="40" t="n">
        <v>13.16</v>
      </c>
      <c r="G60" s="38" t="n"/>
      <c r="H60" s="38" t="n"/>
      <c r="I60" s="38" t="n"/>
      <c r="J60" s="38" t="n"/>
      <c r="K60" s="38" t="n"/>
      <c r="L60" s="38" t="n"/>
      <c r="M60" s="38" t="n"/>
      <c r="N60" s="38" t="n"/>
      <c r="O60" s="38" t="n"/>
      <c r="P60" s="38" t="n"/>
      <c r="Q60" s="38" t="n"/>
      <c r="R60" s="38" t="n"/>
      <c r="S60" s="38" t="inlineStr">
        <is>
          <t>From source</t>
        </is>
      </c>
      <c r="T60" s="38" t="inlineStr">
        <is>
          <t>SARS customs, by office</t>
        </is>
      </c>
      <c r="U60" s="38" t="inlineStr"/>
      <c r="V60" s="38" t="inlineStr">
        <is>
          <t>Customs office of clearance: the nearest public record of entry port, not a berth or terminal record.</t>
        </is>
      </c>
    </row>
    <row r="61" ht="15.5" customHeight="1">
      <c r="A61" s="38" t="inlineStr">
        <is>
          <t>Durban share of petrol and diesel imports</t>
        </is>
      </c>
      <c r="B61" s="38" t="inlineStr">
        <is>
          <t>Durban customs office</t>
        </is>
      </c>
      <c r="C61" s="38" t="inlineStr">
        <is>
          <t>%</t>
        </is>
      </c>
      <c r="D61" s="38" t="inlineStr">
        <is>
          <t>calendar years</t>
        </is>
      </c>
      <c r="E61" s="40" t="n">
        <v>80</v>
      </c>
      <c r="F61" s="40" t="n">
        <v>78.8</v>
      </c>
      <c r="G61" s="38" t="n"/>
      <c r="H61" s="38" t="n"/>
      <c r="I61" s="38" t="n"/>
      <c r="J61" s="38" t="n"/>
      <c r="K61" s="38" t="n"/>
      <c r="L61" s="38" t="n"/>
      <c r="M61" s="38" t="n"/>
      <c r="N61" s="38" t="n"/>
      <c r="O61" s="38" t="n"/>
      <c r="P61" s="38" t="n"/>
      <c r="Q61" s="38" t="n"/>
      <c r="R61" s="38" t="n"/>
      <c r="S61" s="38" t="inlineStr">
        <is>
          <t>From source</t>
        </is>
      </c>
      <c r="T61" s="38" t="inlineStr">
        <is>
          <t>SARS customs, by office</t>
        </is>
      </c>
      <c r="U61" s="38" t="inlineStr"/>
      <c r="V61" s="38" t="inlineStr"/>
    </row>
    <row r="62" ht="15.5" customHeight="1">
      <c r="A62" s="38" t="inlineStr">
        <is>
          <t>Petrol and diesel imports cleared</t>
        </is>
      </c>
      <c r="B62" s="38" t="inlineStr">
        <is>
          <t>Richards Bay customs office</t>
        </is>
      </c>
      <c r="C62" s="38" t="inlineStr">
        <is>
          <t>billion litres</t>
        </is>
      </c>
      <c r="D62" s="38" t="inlineStr">
        <is>
          <t>calendar years</t>
        </is>
      </c>
      <c r="E62" s="40" t="n">
        <v>0.39</v>
      </c>
      <c r="F62" s="40" t="n">
        <v>0.66</v>
      </c>
      <c r="G62" s="38" t="n"/>
      <c r="H62" s="38" t="n"/>
      <c r="I62" s="38" t="n"/>
      <c r="J62" s="38" t="n"/>
      <c r="K62" s="38" t="n"/>
      <c r="L62" s="38" t="n"/>
      <c r="M62" s="38" t="n"/>
      <c r="N62" s="38" t="n"/>
      <c r="O62" s="38" t="n"/>
      <c r="P62" s="38" t="n"/>
      <c r="Q62" s="38" t="n"/>
      <c r="R62" s="38" t="n"/>
      <c r="S62" s="38" t="inlineStr">
        <is>
          <t>From source</t>
        </is>
      </c>
      <c r="T62" s="38" t="inlineStr">
        <is>
          <t>SARS customs, by office</t>
        </is>
      </c>
      <c r="U62" s="38" t="inlineStr"/>
      <c r="V62" s="38" t="inlineStr"/>
    </row>
    <row r="63" ht="15.5" customHeight="1">
      <c r="A63" s="38" t="inlineStr">
        <is>
          <t>Petrol and diesel imports cleared</t>
        </is>
      </c>
      <c r="B63" s="38" t="inlineStr">
        <is>
          <t>Cape Town customs office</t>
        </is>
      </c>
      <c r="C63" s="38" t="inlineStr">
        <is>
          <t>billion litres</t>
        </is>
      </c>
      <c r="D63" s="38" t="inlineStr">
        <is>
          <t>calendar years</t>
        </is>
      </c>
      <c r="E63" s="40" t="n">
        <v>1.09</v>
      </c>
      <c r="F63" s="40" t="n">
        <v>1.52</v>
      </c>
      <c r="G63" s="38" t="n"/>
      <c r="H63" s="38" t="n"/>
      <c r="I63" s="38" t="n"/>
      <c r="J63" s="38" t="n"/>
      <c r="K63" s="38" t="n"/>
      <c r="L63" s="38" t="n"/>
      <c r="M63" s="38" t="n"/>
      <c r="N63" s="38" t="n"/>
      <c r="O63" s="38" t="n"/>
      <c r="P63" s="38" t="n"/>
      <c r="Q63" s="38" t="n"/>
      <c r="R63" s="38" t="n"/>
      <c r="S63" s="38" t="inlineStr">
        <is>
          <t>From source</t>
        </is>
      </c>
      <c r="T63" s="38" t="inlineStr">
        <is>
          <t>SARS customs, by office</t>
        </is>
      </c>
      <c r="U63" s="38" t="inlineStr"/>
      <c r="V63" s="38" t="inlineStr"/>
    </row>
    <row r="64" ht="29" customHeight="1">
      <c r="A64" s="38" t="inlineStr">
        <is>
          <t>Petrol and diesel imports by road from Mozambique</t>
        </is>
      </c>
      <c r="B64" s="38" t="inlineStr">
        <is>
          <t>Komatipoort customs office</t>
        </is>
      </c>
      <c r="C64" s="38" t="inlineStr">
        <is>
          <t>billion litres</t>
        </is>
      </c>
      <c r="D64" s="38" t="inlineStr">
        <is>
          <t>calendar years</t>
        </is>
      </c>
      <c r="E64" s="40" t="n">
        <v>0.19</v>
      </c>
      <c r="F64" s="40" t="n">
        <v>0.09</v>
      </c>
      <c r="G64" s="38" t="n"/>
      <c r="H64" s="38" t="n"/>
      <c r="I64" s="38" t="n"/>
      <c r="J64" s="38" t="n"/>
      <c r="K64" s="38" t="n"/>
      <c r="L64" s="38" t="n"/>
      <c r="M64" s="38" t="n"/>
      <c r="N64" s="38" t="n"/>
      <c r="O64" s="38" t="n"/>
      <c r="P64" s="38" t="n"/>
      <c r="Q64" s="38" t="n"/>
      <c r="R64" s="38" t="n"/>
      <c r="S64" s="38" t="inlineStr">
        <is>
          <t>From source</t>
        </is>
      </c>
      <c r="T64" s="38" t="inlineStr">
        <is>
          <t>SARS customs, by office</t>
        </is>
      </c>
      <c r="U64" s="38" t="inlineStr"/>
      <c r="V64" s="38" t="inlineStr">
        <is>
          <t>The only recorded entry from the Maputo and Matola side.</t>
        </is>
      </c>
    </row>
    <row r="66">
      <c r="A66" s="35" t="inlineStr">
        <is>
          <t>Port limit</t>
        </is>
      </c>
      <c r="B66" s="35" t="n"/>
      <c r="C66" s="35" t="n"/>
      <c r="D66" s="35" t="n"/>
      <c r="E66" s="35" t="n"/>
      <c r="F66" s="35" t="n"/>
      <c r="G66" s="35" t="n"/>
      <c r="H66" s="35" t="n"/>
      <c r="I66" s="35" t="n"/>
      <c r="J66" s="35" t="n"/>
      <c r="K66" s="35" t="n"/>
      <c r="L66" s="35" t="n"/>
      <c r="M66" s="35" t="n"/>
      <c r="N66" s="35" t="n"/>
      <c r="O66" s="35" t="n"/>
      <c r="P66" s="35" t="n"/>
      <c r="Q66" s="35" t="n"/>
      <c r="R66" s="35" t="n"/>
      <c r="S66" s="35" t="n"/>
      <c r="T66" s="35" t="n"/>
      <c r="U66" s="35" t="n"/>
      <c r="V66" s="35" t="n"/>
      <c r="W66" s="35" t="n"/>
    </row>
    <row r="67">
      <c r="A67" s="36" t="inlineStr">
        <is>
          <t>Item</t>
        </is>
      </c>
      <c r="B67" s="36" t="inlineStr">
        <is>
          <t>Asset or route</t>
        </is>
      </c>
      <c r="C67" s="36" t="inlineStr">
        <is>
          <t>Unit</t>
        </is>
      </c>
      <c r="D67" s="36" t="inlineStr">
        <is>
          <t>Period</t>
        </is>
      </c>
      <c r="E67" s="36" t="inlineStr">
        <is>
          <t>Value</t>
        </is>
      </c>
      <c r="K67" s="36" t="n"/>
      <c r="L67" s="36" t="n"/>
      <c r="M67" s="36" t="n"/>
      <c r="N67" s="36" t="n"/>
      <c r="O67" s="36" t="n"/>
      <c r="P67" s="36" t="n"/>
      <c r="Q67" s="36" t="n"/>
      <c r="R67" s="36" t="n"/>
      <c r="S67" s="36" t="inlineStr">
        <is>
          <t>Status</t>
        </is>
      </c>
      <c r="T67" s="36" t="inlineStr">
        <is>
          <t>Source</t>
        </is>
      </c>
      <c r="U67" s="36" t="inlineStr">
        <is>
          <t>Page</t>
        </is>
      </c>
      <c r="V67" s="36" t="inlineStr">
        <is>
          <t>Note</t>
        </is>
      </c>
    </row>
    <row r="68" ht="29" customHeight="1">
      <c r="A68" s="38" t="inlineStr">
        <is>
          <t>Berths</t>
        </is>
      </c>
      <c r="B68" s="38" t="inlineStr">
        <is>
          <t>Durban</t>
        </is>
      </c>
      <c r="C68" s="38" t="inlineStr"/>
      <c r="D68" s="38" t="inlineStr">
        <is>
          <t>as on the page, read 8 October 2026</t>
        </is>
      </c>
      <c r="E68" s="38" t="inlineStr">
        <is>
          <t>58 berths, 41 in operation, of which 8 liquid bulk</t>
        </is>
      </c>
      <c r="K68" s="38" t="n"/>
      <c r="L68" s="38" t="n"/>
      <c r="M68" s="38" t="n"/>
      <c r="N68" s="38" t="n"/>
      <c r="O68" s="38" t="n"/>
      <c r="P68" s="38" t="n"/>
      <c r="Q68" s="38" t="n"/>
      <c r="R68" s="38" t="n"/>
      <c r="S68" s="38" t="inlineStr">
        <is>
          <t>From source</t>
        </is>
      </c>
      <c r="T68" s="38" t="inlineStr">
        <is>
          <t>Transnet National Ports Authority, Our Ports page</t>
        </is>
      </c>
      <c r="U68" s="38" t="inlineStr">
        <is>
          <t>Port of Durban, Fast Fact</t>
        </is>
      </c>
      <c r="V68" s="38" t="inlineStr">
        <is>
          <t>No capacity in kilolitres is given on the page.</t>
        </is>
      </c>
    </row>
    <row r="69" ht="29" customHeight="1">
      <c r="A69" s="38" t="inlineStr">
        <is>
          <t>Berths</t>
        </is>
      </c>
      <c r="B69" s="38" t="inlineStr">
        <is>
          <t>Richards Bay</t>
        </is>
      </c>
      <c r="C69" s="38" t="inlineStr"/>
      <c r="D69" s="38" t="inlineStr">
        <is>
          <t>as on the page, read 8 October 2026</t>
        </is>
      </c>
      <c r="E69" s="38" t="inlineStr">
        <is>
          <t>22 berths, of which 2 liquid bulk</t>
        </is>
      </c>
      <c r="K69" s="38" t="n"/>
      <c r="L69" s="38" t="n"/>
      <c r="M69" s="38" t="n"/>
      <c r="N69" s="38" t="n"/>
      <c r="O69" s="38" t="n"/>
      <c r="P69" s="38" t="n"/>
      <c r="Q69" s="38" t="n"/>
      <c r="R69" s="38" t="n"/>
      <c r="S69" s="38" t="inlineStr">
        <is>
          <t>From source</t>
        </is>
      </c>
      <c r="T69" s="38" t="inlineStr">
        <is>
          <t>Transnet National Ports Authority, Our Ports page</t>
        </is>
      </c>
      <c r="U69" s="38" t="inlineStr">
        <is>
          <t>Port of Richards Bay, Fast Fact</t>
        </is>
      </c>
      <c r="V69" s="38" t="inlineStr">
        <is>
          <t>No capacity in kilolitres is given on the page.</t>
        </is>
      </c>
    </row>
    <row r="70" ht="29" customHeight="1">
      <c r="A70" s="38" t="inlineStr">
        <is>
          <t>Planned berth change at Island View</t>
        </is>
      </c>
      <c r="B70" s="38" t="inlineStr">
        <is>
          <t>Durban, Island View, Berth 1</t>
        </is>
      </c>
      <c r="C70" s="38" t="inlineStr"/>
      <c r="D70" s="38" t="inlineStr">
        <is>
          <t>2026, port framework plan 2022-2032</t>
        </is>
      </c>
      <c r="E70" s="38" t="inlineStr">
        <is>
          <t>To be rebuilt</t>
        </is>
      </c>
      <c r="K70" s="38" t="n"/>
      <c r="L70" s="38" t="n"/>
      <c r="M70" s="38" t="n"/>
      <c r="N70" s="38" t="n"/>
      <c r="O70" s="38" t="n"/>
      <c r="P70" s="38" t="n"/>
      <c r="Q70" s="38" t="n"/>
      <c r="R70" s="38" t="n"/>
      <c r="S70" s="38" t="inlineStr">
        <is>
          <t>From source</t>
        </is>
      </c>
      <c r="T70" s="38" t="inlineStr">
        <is>
          <t>Port authority tariff application slides, 2 September 2025</t>
        </is>
      </c>
      <c r="U70" s="38" t="inlineStr">
        <is>
          <t>PDF p.14</t>
        </is>
      </c>
      <c r="V70" s="38" t="inlineStr">
        <is>
          <t>Whether either is delivered is shown only by colour on the slide, which the text does not carry.</t>
        </is>
      </c>
    </row>
    <row r="71" ht="29" customHeight="1">
      <c r="A71" s="38" t="inlineStr">
        <is>
          <t>Planned berth change at Island View</t>
        </is>
      </c>
      <c r="B71" s="38" t="inlineStr">
        <is>
          <t>Durban, Island View, Berth 3</t>
        </is>
      </c>
      <c r="C71" s="38" t="inlineStr"/>
      <c r="D71" s="38" t="inlineStr">
        <is>
          <t>2026, port framework plan 2022-2032</t>
        </is>
      </c>
      <c r="E71" s="38" t="inlineStr">
        <is>
          <t>To convert from dry bulk to liquid bulk</t>
        </is>
      </c>
      <c r="K71" s="38" t="n"/>
      <c r="L71" s="38" t="n"/>
      <c r="M71" s="38" t="n"/>
      <c r="N71" s="38" t="n"/>
      <c r="O71" s="38" t="n"/>
      <c r="P71" s="38" t="n"/>
      <c r="Q71" s="38" t="n"/>
      <c r="R71" s="38" t="n"/>
      <c r="S71" s="38" t="inlineStr">
        <is>
          <t>From source</t>
        </is>
      </c>
      <c r="T71" s="38" t="inlineStr">
        <is>
          <t>Port authority tariff application slides, 2 September 2025</t>
        </is>
      </c>
      <c r="U71" s="38" t="inlineStr">
        <is>
          <t>PDF p.14</t>
        </is>
      </c>
      <c r="V71" s="38" t="inlineStr">
        <is>
          <t>Whether either is delivered is shown only by colour on the slide, which the text does not carry.</t>
        </is>
      </c>
    </row>
    <row r="72" ht="29" customHeight="1">
      <c r="A72" s="38" t="inlineStr">
        <is>
          <t>Planned liquid bulk berth at Richards Bay</t>
        </is>
      </c>
      <c r="B72" s="38" t="inlineStr">
        <is>
          <t>Richards Bay, berth 210</t>
        </is>
      </c>
      <c r="C72" s="38" t="inlineStr"/>
      <c r="D72" s="38" t="inlineStr">
        <is>
          <t>2025, port framework plan 2022-2032</t>
        </is>
      </c>
      <c r="E72" s="38" t="inlineStr">
        <is>
          <t>New liquid bulk berth</t>
        </is>
      </c>
      <c r="K72" s="38" t="n"/>
      <c r="L72" s="38" t="n"/>
      <c r="M72" s="38" t="n"/>
      <c r="N72" s="38" t="n"/>
      <c r="O72" s="38" t="n"/>
      <c r="P72" s="38" t="n"/>
      <c r="Q72" s="38" t="n"/>
      <c r="R72" s="38" t="n"/>
      <c r="S72" s="38" t="inlineStr">
        <is>
          <t>From source</t>
        </is>
      </c>
      <c r="T72" s="38" t="inlineStr">
        <is>
          <t>Port authority tariff application slides, 2 September 2025</t>
        </is>
      </c>
      <c r="U72" s="38" t="inlineStr">
        <is>
          <t>PDF pp.11-12</t>
        </is>
      </c>
      <c r="V72" s="38" t="inlineStr">
        <is>
          <t>Delivery status not readable from the text.</t>
        </is>
      </c>
    </row>
    <row r="73" ht="29" customHeight="1">
      <c r="A73" s="38" t="inlineStr">
        <is>
          <t>Planned liquid bulk berth at Richards Bay</t>
        </is>
      </c>
      <c r="B73" s="38" t="inlineStr">
        <is>
          <t>Richards Bay, South Dunes</t>
        </is>
      </c>
      <c r="C73" s="38" t="inlineStr"/>
      <c r="D73" s="38" t="inlineStr">
        <is>
          <t>2024, port framework plan 2022-2032</t>
        </is>
      </c>
      <c r="E73" s="38" t="inlineStr">
        <is>
          <t>Liquid bulk development</t>
        </is>
      </c>
      <c r="K73" s="38" t="n"/>
      <c r="L73" s="38" t="n"/>
      <c r="M73" s="38" t="n"/>
      <c r="N73" s="38" t="n"/>
      <c r="O73" s="38" t="n"/>
      <c r="P73" s="38" t="n"/>
      <c r="Q73" s="38" t="n"/>
      <c r="R73" s="38" t="n"/>
      <c r="S73" s="38" t="inlineStr">
        <is>
          <t>From source</t>
        </is>
      </c>
      <c r="T73" s="38" t="inlineStr">
        <is>
          <t>Port authority tariff application slides, 2 September 2025</t>
        </is>
      </c>
      <c r="U73" s="38" t="inlineStr">
        <is>
          <t>PDF pp.11-12</t>
        </is>
      </c>
      <c r="V73" s="38" t="inlineStr">
        <is>
          <t>Delivery status not readable from the text.</t>
        </is>
      </c>
    </row>
    <row r="74" ht="29" customHeight="1">
      <c r="A74" s="38" t="inlineStr">
        <is>
          <t>Berths at Island View</t>
        </is>
      </c>
      <c r="B74" s="38" t="inlineStr">
        <is>
          <t>Durban, Island View</t>
        </is>
      </c>
      <c r="C74" s="38" t="inlineStr"/>
      <c r="D74" s="38" t="inlineStr">
        <is>
          <t>2026</t>
        </is>
      </c>
      <c r="E74" s="38" t="inlineStr">
        <is>
          <t>10 berths, working 24 hours</t>
        </is>
      </c>
      <c r="K74" s="38" t="n"/>
      <c r="L74" s="38" t="n"/>
      <c r="M74" s="38" t="n"/>
      <c r="N74" s="38" t="n"/>
      <c r="O74" s="38" t="n"/>
      <c r="P74" s="38" t="n"/>
      <c r="Q74" s="38" t="n"/>
      <c r="R74" s="38" t="n"/>
      <c r="S74" s="38" t="inlineStr">
        <is>
          <t>From source</t>
        </is>
      </c>
      <c r="T74" s="38" t="inlineStr">
        <is>
          <t>Report of five Portfolio Committees on the Island View directive, 11 March 2026 (Parliament)</t>
        </is>
      </c>
      <c r="U74" s="38" t="inlineStr">
        <is>
          <t>section 2.1</t>
        </is>
      </c>
      <c r="V74" s="38" t="inlineStr">
        <is>
          <t>One berth also handles dry bulk. Product leaves the tanks by pipeline, road and rail.</t>
        </is>
      </c>
    </row>
    <row r="75" ht="29" customHeight="1">
      <c r="A75" s="38" t="inlineStr">
        <is>
          <t>Terminal operator at Island View</t>
        </is>
      </c>
      <c r="B75" s="38" t="inlineStr">
        <is>
          <t>Bidvest Tank Terminal</t>
        </is>
      </c>
      <c r="C75" s="38" t="inlineStr"/>
      <c r="D75" s="38" t="inlineStr">
        <is>
          <t>2026</t>
        </is>
      </c>
      <c r="E75" s="38" t="inlineStr">
        <is>
          <t>Lease holder; lease to be renewed for 25 years</t>
        </is>
      </c>
      <c r="K75" s="38" t="n"/>
      <c r="L75" s="38" t="n"/>
      <c r="M75" s="38" t="n"/>
      <c r="N75" s="38" t="n"/>
      <c r="O75" s="38" t="n"/>
      <c r="P75" s="38" t="n"/>
      <c r="Q75" s="38" t="n"/>
      <c r="R75" s="38" t="n"/>
      <c r="S75" s="38" t="inlineStr">
        <is>
          <t>From source</t>
        </is>
      </c>
      <c r="T75" s="38" t="inlineStr">
        <is>
          <t>Report of five Portfolio Committees on the Island View directive, 11 March 2026 (Parliament)</t>
        </is>
      </c>
      <c r="U75" s="38" t="inlineStr">
        <is>
          <t>section 2.2</t>
        </is>
      </c>
      <c r="V75" s="38" t="inlineStr">
        <is>
          <t>Not all store petrol and diesel.</t>
        </is>
      </c>
    </row>
    <row r="76" ht="29" customHeight="1">
      <c r="A76" s="38" t="inlineStr">
        <is>
          <t>Terminal operator at Island View</t>
        </is>
      </c>
      <c r="B76" s="38" t="inlineStr">
        <is>
          <t>H&amp;R</t>
        </is>
      </c>
      <c r="C76" s="38" t="inlineStr"/>
      <c r="D76" s="38" t="inlineStr">
        <is>
          <t>2026</t>
        </is>
      </c>
      <c r="E76" s="38" t="inlineStr">
        <is>
          <t>Lease holder; lease to be renewed for 25 years</t>
        </is>
      </c>
      <c r="K76" s="38" t="n"/>
      <c r="L76" s="38" t="n"/>
      <c r="M76" s="38" t="n"/>
      <c r="N76" s="38" t="n"/>
      <c r="O76" s="38" t="n"/>
      <c r="P76" s="38" t="n"/>
      <c r="Q76" s="38" t="n"/>
      <c r="R76" s="38" t="n"/>
      <c r="S76" s="38" t="inlineStr">
        <is>
          <t>From source</t>
        </is>
      </c>
      <c r="T76" s="38" t="inlineStr">
        <is>
          <t>Report of five Portfolio Committees on the Island View directive, 11 March 2026 (Parliament)</t>
        </is>
      </c>
      <c r="U76" s="38" t="inlineStr">
        <is>
          <t>section 2.2</t>
        </is>
      </c>
      <c r="V76" s="38" t="inlineStr">
        <is>
          <t>Not all store petrol and diesel.</t>
        </is>
      </c>
    </row>
    <row r="77" ht="29" customHeight="1">
      <c r="A77" s="38" t="inlineStr">
        <is>
          <t>Terminal operator at Island View</t>
        </is>
      </c>
      <c r="B77" s="38" t="inlineStr">
        <is>
          <t>Chemoleo</t>
        </is>
      </c>
      <c r="C77" s="38" t="inlineStr"/>
      <c r="D77" s="38" t="inlineStr">
        <is>
          <t>2026</t>
        </is>
      </c>
      <c r="E77" s="38" t="inlineStr">
        <is>
          <t>Lease holder; lease to be renewed for 25 years</t>
        </is>
      </c>
      <c r="K77" s="38" t="n"/>
      <c r="L77" s="38" t="n"/>
      <c r="M77" s="38" t="n"/>
      <c r="N77" s="38" t="n"/>
      <c r="O77" s="38" t="n"/>
      <c r="P77" s="38" t="n"/>
      <c r="Q77" s="38" t="n"/>
      <c r="R77" s="38" t="n"/>
      <c r="S77" s="38" t="inlineStr">
        <is>
          <t>From source</t>
        </is>
      </c>
      <c r="T77" s="38" t="inlineStr">
        <is>
          <t>Report of five Portfolio Committees on the Island View directive, 11 March 2026 (Parliament)</t>
        </is>
      </c>
      <c r="U77" s="38" t="inlineStr">
        <is>
          <t>section 2.2</t>
        </is>
      </c>
      <c r="V77" s="38" t="inlineStr">
        <is>
          <t>Not all store petrol and diesel.</t>
        </is>
      </c>
    </row>
    <row r="78" ht="29" customHeight="1">
      <c r="A78" s="38" t="inlineStr">
        <is>
          <t>Terminal operator at Island View</t>
        </is>
      </c>
      <c r="B78" s="38" t="inlineStr">
        <is>
          <t>Unico Tec</t>
        </is>
      </c>
      <c r="C78" s="38" t="inlineStr"/>
      <c r="D78" s="38" t="inlineStr">
        <is>
          <t>2026</t>
        </is>
      </c>
      <c r="E78" s="38" t="inlineStr">
        <is>
          <t>Lease holder; lease to be renewed for 25 years</t>
        </is>
      </c>
      <c r="K78" s="38" t="n"/>
      <c r="L78" s="38" t="n"/>
      <c r="M78" s="38" t="n"/>
      <c r="N78" s="38" t="n"/>
      <c r="O78" s="38" t="n"/>
      <c r="P78" s="38" t="n"/>
      <c r="Q78" s="38" t="n"/>
      <c r="R78" s="38" t="n"/>
      <c r="S78" s="38" t="inlineStr">
        <is>
          <t>From source</t>
        </is>
      </c>
      <c r="T78" s="38" t="inlineStr">
        <is>
          <t>Report of five Portfolio Committees on the Island View directive, 11 March 2026 (Parliament)</t>
        </is>
      </c>
      <c r="U78" s="38" t="inlineStr">
        <is>
          <t>section 2.2</t>
        </is>
      </c>
      <c r="V78" s="38" t="inlineStr">
        <is>
          <t>Not all store petrol and diesel.</t>
        </is>
      </c>
    </row>
    <row r="79" ht="29" customHeight="1">
      <c r="A79" s="38" t="inlineStr">
        <is>
          <t>Terminal operator at Island View</t>
        </is>
      </c>
      <c r="B79" s="38" t="inlineStr">
        <is>
          <t>Astron Energy</t>
        </is>
      </c>
      <c r="C79" s="38" t="inlineStr"/>
      <c r="D79" s="38" t="inlineStr">
        <is>
          <t>2026</t>
        </is>
      </c>
      <c r="E79" s="38" t="inlineStr">
        <is>
          <t>Lease holder; lease to be renewed for 25 years</t>
        </is>
      </c>
      <c r="K79" s="38" t="n"/>
      <c r="L79" s="38" t="n"/>
      <c r="M79" s="38" t="n"/>
      <c r="N79" s="38" t="n"/>
      <c r="O79" s="38" t="n"/>
      <c r="P79" s="38" t="n"/>
      <c r="Q79" s="38" t="n"/>
      <c r="R79" s="38" t="n"/>
      <c r="S79" s="38" t="inlineStr">
        <is>
          <t>From source</t>
        </is>
      </c>
      <c r="T79" s="38" t="inlineStr">
        <is>
          <t>Report of five Portfolio Committees on the Island View directive, 11 March 2026 (Parliament)</t>
        </is>
      </c>
      <c r="U79" s="38" t="inlineStr">
        <is>
          <t>section 2.2</t>
        </is>
      </c>
      <c r="V79" s="38" t="inlineStr">
        <is>
          <t>Not all store petrol and diesel.</t>
        </is>
      </c>
    </row>
    <row r="80" ht="29" customHeight="1">
      <c r="A80" s="38" t="inlineStr">
        <is>
          <t>Terminal operator at Island View</t>
        </is>
      </c>
      <c r="B80" s="38" t="inlineStr">
        <is>
          <t>Vopak Terminal Durban</t>
        </is>
      </c>
      <c r="C80" s="38" t="inlineStr"/>
      <c r="D80" s="38" t="inlineStr">
        <is>
          <t>2026</t>
        </is>
      </c>
      <c r="E80" s="38" t="inlineStr">
        <is>
          <t>Lease holder; lease to be renewed for 25 years</t>
        </is>
      </c>
      <c r="K80" s="38" t="n"/>
      <c r="L80" s="38" t="n"/>
      <c r="M80" s="38" t="n"/>
      <c r="N80" s="38" t="n"/>
      <c r="O80" s="38" t="n"/>
      <c r="P80" s="38" t="n"/>
      <c r="Q80" s="38" t="n"/>
      <c r="R80" s="38" t="n"/>
      <c r="S80" s="38" t="inlineStr">
        <is>
          <t>From source</t>
        </is>
      </c>
      <c r="T80" s="38" t="inlineStr">
        <is>
          <t>Report of five Portfolio Committees on the Island View directive, 11 March 2026 (Parliament)</t>
        </is>
      </c>
      <c r="U80" s="38" t="inlineStr">
        <is>
          <t>section 2.2</t>
        </is>
      </c>
      <c r="V80" s="38" t="inlineStr">
        <is>
          <t>Not all store petrol and diesel.</t>
        </is>
      </c>
    </row>
    <row r="81" ht="29" customHeight="1">
      <c r="A81" s="38" t="inlineStr">
        <is>
          <t>Terminal operator at Island View</t>
        </is>
      </c>
      <c r="B81" s="38" t="inlineStr">
        <is>
          <t>Engen</t>
        </is>
      </c>
      <c r="C81" s="38" t="inlineStr"/>
      <c r="D81" s="38" t="inlineStr">
        <is>
          <t>2026</t>
        </is>
      </c>
      <c r="E81" s="38" t="inlineStr">
        <is>
          <t>Lease holder; lease to be renewed for 25 years</t>
        </is>
      </c>
      <c r="K81" s="38" t="n"/>
      <c r="L81" s="38" t="n"/>
      <c r="M81" s="38" t="n"/>
      <c r="N81" s="38" t="n"/>
      <c r="O81" s="38" t="n"/>
      <c r="P81" s="38" t="n"/>
      <c r="Q81" s="38" t="n"/>
      <c r="R81" s="38" t="n"/>
      <c r="S81" s="38" t="inlineStr">
        <is>
          <t>From source</t>
        </is>
      </c>
      <c r="T81" s="38" t="inlineStr">
        <is>
          <t>Report of five Portfolio Committees on the Island View directive, 11 March 2026 (Parliament)</t>
        </is>
      </c>
      <c r="U81" s="38" t="inlineStr">
        <is>
          <t>section 2.2</t>
        </is>
      </c>
      <c r="V81" s="38" t="inlineStr">
        <is>
          <t>Not all store petrol and diesel.</t>
        </is>
      </c>
    </row>
    <row r="82" ht="29" customHeight="1">
      <c r="A82" s="38" t="inlineStr">
        <is>
          <t>Terminal operator at Island View</t>
        </is>
      </c>
      <c r="B82" s="38" t="inlineStr">
        <is>
          <t>TotalEnergies</t>
        </is>
      </c>
      <c r="C82" s="38" t="inlineStr"/>
      <c r="D82" s="38" t="inlineStr">
        <is>
          <t>2026</t>
        </is>
      </c>
      <c r="E82" s="38" t="inlineStr">
        <is>
          <t>Lease holder; lease to be renewed for 25 years</t>
        </is>
      </c>
      <c r="K82" s="38" t="n"/>
      <c r="L82" s="38" t="n"/>
      <c r="M82" s="38" t="n"/>
      <c r="N82" s="38" t="n"/>
      <c r="O82" s="38" t="n"/>
      <c r="P82" s="38" t="n"/>
      <c r="Q82" s="38" t="n"/>
      <c r="R82" s="38" t="n"/>
      <c r="S82" s="38" t="inlineStr">
        <is>
          <t>From source</t>
        </is>
      </c>
      <c r="T82" s="38" t="inlineStr">
        <is>
          <t>Report of five Portfolio Committees on the Island View directive, 11 March 2026 (Parliament)</t>
        </is>
      </c>
      <c r="U82" s="38" t="inlineStr">
        <is>
          <t>section 2.2</t>
        </is>
      </c>
      <c r="V82" s="38" t="inlineStr">
        <is>
          <t>Not all store petrol and diesel.</t>
        </is>
      </c>
    </row>
    <row r="83" ht="29" customHeight="1">
      <c r="A83" s="38" t="inlineStr">
        <is>
          <t>Terminal operator at Island View</t>
        </is>
      </c>
      <c r="B83" s="38" t="inlineStr">
        <is>
          <t>Sapref</t>
        </is>
      </c>
      <c r="C83" s="38" t="inlineStr"/>
      <c r="D83" s="38" t="inlineStr">
        <is>
          <t>2026</t>
        </is>
      </c>
      <c r="E83" s="38" t="inlineStr">
        <is>
          <t>Lease holder; lease to be renewed for 25 years</t>
        </is>
      </c>
      <c r="K83" s="38" t="n"/>
      <c r="L83" s="38" t="n"/>
      <c r="M83" s="38" t="n"/>
      <c r="N83" s="38" t="n"/>
      <c r="O83" s="38" t="n"/>
      <c r="P83" s="38" t="n"/>
      <c r="Q83" s="38" t="n"/>
      <c r="R83" s="38" t="n"/>
      <c r="S83" s="38" t="inlineStr">
        <is>
          <t>From source</t>
        </is>
      </c>
      <c r="T83" s="38" t="inlineStr">
        <is>
          <t>Report of five Portfolio Committees on the Island View directive, 11 March 2026 (Parliament)</t>
        </is>
      </c>
      <c r="U83" s="38" t="inlineStr">
        <is>
          <t>section 2.2</t>
        </is>
      </c>
      <c r="V83" s="38" t="inlineStr">
        <is>
          <t>Not all store petrol and diesel.</t>
        </is>
      </c>
    </row>
    <row r="84" ht="29" customHeight="1">
      <c r="A84" s="38" t="inlineStr">
        <is>
          <t>Terminal operator at Island View</t>
        </is>
      </c>
      <c r="B84" s="38" t="inlineStr">
        <is>
          <t>Sasol</t>
        </is>
      </c>
      <c r="C84" s="38" t="inlineStr"/>
      <c r="D84" s="38" t="inlineStr">
        <is>
          <t>2026</t>
        </is>
      </c>
      <c r="E84" s="38" t="inlineStr">
        <is>
          <t>Lease holder; lease to be renewed for 25 years</t>
        </is>
      </c>
      <c r="K84" s="38" t="n"/>
      <c r="L84" s="38" t="n"/>
      <c r="M84" s="38" t="n"/>
      <c r="N84" s="38" t="n"/>
      <c r="O84" s="38" t="n"/>
      <c r="P84" s="38" t="n"/>
      <c r="Q84" s="38" t="n"/>
      <c r="R84" s="38" t="n"/>
      <c r="S84" s="38" t="inlineStr">
        <is>
          <t>From source</t>
        </is>
      </c>
      <c r="T84" s="38" t="inlineStr">
        <is>
          <t>Report of five Portfolio Committees on the Island View directive, 11 March 2026 (Parliament)</t>
        </is>
      </c>
      <c r="U84" s="38" t="inlineStr">
        <is>
          <t>section 2.2</t>
        </is>
      </c>
      <c r="V84" s="38" t="inlineStr">
        <is>
          <t>Not all store petrol and diesel.</t>
        </is>
      </c>
    </row>
    <row r="85" ht="29" customHeight="1">
      <c r="A85" s="38" t="inlineStr">
        <is>
          <t>TotalEnergies' storage constraint</t>
        </is>
      </c>
      <c r="B85" s="38" t="inlineStr">
        <is>
          <t>Durban, Island View</t>
        </is>
      </c>
      <c r="C85" s="38" t="inlineStr"/>
      <c r="D85" s="38" t="inlineStr">
        <is>
          <t>2024</t>
        </is>
      </c>
      <c r="E85" s="38" t="inlineStr">
        <is>
          <t>Could import only 78% of its fuel needs</t>
        </is>
      </c>
      <c r="K85" s="38" t="n"/>
      <c r="L85" s="38" t="n"/>
      <c r="M85" s="38" t="n"/>
      <c r="N85" s="38" t="n"/>
      <c r="O85" s="38" t="n"/>
      <c r="P85" s="38" t="n"/>
      <c r="Q85" s="38" t="n"/>
      <c r="R85" s="38" t="n"/>
      <c r="S85" s="38" t="inlineStr">
        <is>
          <t>From source</t>
        </is>
      </c>
      <c r="T85" s="38" t="inlineStr">
        <is>
          <t>Report of five Portfolio Committees on the Island View directive, 11 March 2026 (Parliament)</t>
        </is>
      </c>
      <c r="U85" s="38" t="inlineStr">
        <is>
          <t>section 5</t>
        </is>
      </c>
      <c r="V85" s="38" t="inlineStr">
        <is>
          <t>The operator's statement to Parliament: its Island View storage is too small and full cargoes cannot be offloaded into its site.</t>
        </is>
      </c>
    </row>
    <row r="86" ht="42.5" customHeight="1">
      <c r="A86" s="45" t="inlineStr">
        <is>
          <t>Liquid bulk capacity and tankage</t>
        </is>
      </c>
      <c r="B86" s="45" t="inlineStr">
        <is>
          <t>Durban, Island View</t>
        </is>
      </c>
      <c r="C86" s="45" t="inlineStr">
        <is>
          <t>kilolitres a year; berths; m3</t>
        </is>
      </c>
      <c r="D86" s="45" t="inlineStr"/>
      <c r="E86" s="45" t="inlineStr">
        <is>
          <t>Not available</t>
        </is>
      </c>
      <c r="K86" s="45" t="n"/>
      <c r="L86" s="45" t="n"/>
      <c r="M86" s="45" t="n"/>
      <c r="N86" s="45" t="n"/>
      <c r="O86" s="45" t="n"/>
      <c r="P86" s="45" t="n"/>
      <c r="Q86" s="45" t="n"/>
      <c r="R86" s="45" t="n"/>
      <c r="S86" s="45" t="inlineStr">
        <is>
          <t>Not available</t>
        </is>
      </c>
      <c r="T86" s="45" t="inlineStr">
        <is>
          <t>None found for petrol and diesel</t>
        </is>
      </c>
      <c r="U86" s="45" t="inlineStr"/>
      <c r="V86" s="45" t="inlineStr">
        <is>
          <t>Parliament's report gives berths and tenants but no capacity. Earlier search summaries quoting 19.5 million kilolitres a year were not traced to a document. Needs the port authority or Vopak.</t>
        </is>
      </c>
    </row>
    <row r="88">
      <c r="A88" s="35" t="inlineStr">
        <is>
          <t>Access</t>
        </is>
      </c>
      <c r="B88" s="35" t="n"/>
      <c r="C88" s="35" t="n"/>
      <c r="D88" s="35" t="n"/>
      <c r="E88" s="35" t="n"/>
      <c r="F88" s="35" t="n"/>
      <c r="G88" s="35" t="n"/>
      <c r="H88" s="35" t="n"/>
      <c r="I88" s="35" t="n"/>
      <c r="J88" s="35" t="n"/>
      <c r="K88" s="35" t="n"/>
      <c r="L88" s="35" t="n"/>
      <c r="M88" s="35" t="n"/>
      <c r="N88" s="35" t="n"/>
      <c r="O88" s="35" t="n"/>
      <c r="P88" s="35" t="n"/>
      <c r="Q88" s="35" t="n"/>
      <c r="R88" s="35" t="n"/>
      <c r="S88" s="35" t="n"/>
      <c r="T88" s="35" t="n"/>
      <c r="U88" s="35" t="n"/>
      <c r="V88" s="35" t="n"/>
      <c r="W88" s="35" t="n"/>
    </row>
    <row r="89">
      <c r="A89" s="36" t="inlineStr">
        <is>
          <t>Item</t>
        </is>
      </c>
      <c r="B89" s="36" t="inlineStr">
        <is>
          <t>Asset or route</t>
        </is>
      </c>
      <c r="C89" s="36" t="inlineStr">
        <is>
          <t>Unit</t>
        </is>
      </c>
      <c r="D89" s="36" t="inlineStr">
        <is>
          <t>Period</t>
        </is>
      </c>
      <c r="E89" s="36" t="inlineStr">
        <is>
          <t>Value</t>
        </is>
      </c>
      <c r="K89" s="36" t="n"/>
      <c r="L89" s="36" t="n"/>
      <c r="M89" s="36" t="n"/>
      <c r="N89" s="36" t="n"/>
      <c r="O89" s="36" t="n"/>
      <c r="P89" s="36" t="n"/>
      <c r="Q89" s="36" t="n"/>
      <c r="R89" s="36" t="n"/>
      <c r="S89" s="36" t="inlineStr">
        <is>
          <t>Status</t>
        </is>
      </c>
      <c r="T89" s="36" t="inlineStr">
        <is>
          <t>Source</t>
        </is>
      </c>
      <c r="U89" s="36" t="inlineStr">
        <is>
          <t>Page</t>
        </is>
      </c>
      <c r="V89" s="36" t="inlineStr">
        <is>
          <t>Note</t>
        </is>
      </c>
    </row>
    <row r="90" ht="29" customHeight="1">
      <c r="A90" s="38" t="inlineStr">
        <is>
          <t>Lesedi connection to the pipeline</t>
        </is>
      </c>
      <c r="B90" s="38" t="inlineStr">
        <is>
          <t>Vopak Lesedi, Jameson Park</t>
        </is>
      </c>
      <c r="C90" s="38" t="inlineStr"/>
      <c r="D90" s="38" t="inlineStr">
        <is>
          <t>licence of 26 August 2020</t>
        </is>
      </c>
      <c r="E90" s="38" t="inlineStr">
        <is>
          <t>Four pipelines to the Transnet system at Jameson Park; intake from the Transnet pipeline</t>
        </is>
      </c>
      <c r="K90" s="38" t="n"/>
      <c r="L90" s="38" t="n"/>
      <c r="M90" s="38" t="n"/>
      <c r="N90" s="38" t="n"/>
      <c r="O90" s="38" t="n"/>
      <c r="P90" s="38" t="n"/>
      <c r="Q90" s="38" t="n"/>
      <c r="R90" s="38" t="n"/>
      <c r="S90" s="38" t="inlineStr">
        <is>
          <t>From source</t>
        </is>
      </c>
      <c r="T90" s="38" t="inlineStr">
        <is>
          <t>NERSA reasons for decision, Vopak licence amendment</t>
        </is>
      </c>
      <c r="U90" s="38" t="inlineStr">
        <is>
          <t>PDF p.6</t>
        </is>
      </c>
      <c r="V90" s="38" t="inlineStr"/>
    </row>
    <row r="91" ht="15.5" customHeight="1">
      <c r="A91" s="38" t="inlineStr">
        <is>
          <t>Lesedi dispatch</t>
        </is>
      </c>
      <c r="B91" s="38" t="inlineStr">
        <is>
          <t>Vopak Lesedi, Jameson Park</t>
        </is>
      </c>
      <c r="C91" s="38" t="inlineStr">
        <is>
          <t>road loading bays</t>
        </is>
      </c>
      <c r="D91" s="38" t="inlineStr">
        <is>
          <t>2025</t>
        </is>
      </c>
      <c r="E91" s="41" t="n">
        <v>8</v>
      </c>
      <c r="K91" s="38" t="n"/>
      <c r="L91" s="38" t="n"/>
      <c r="M91" s="38" t="n"/>
      <c r="N91" s="38" t="n"/>
      <c r="O91" s="38" t="n"/>
      <c r="P91" s="38" t="n"/>
      <c r="Q91" s="38" t="n"/>
      <c r="R91" s="38" t="n"/>
      <c r="S91" s="38" t="inlineStr">
        <is>
          <t>From source</t>
        </is>
      </c>
      <c r="T91" s="38" t="inlineStr">
        <is>
          <t>NERSA reasons for decision, Vopak licence amendment</t>
        </is>
      </c>
      <c r="U91" s="38" t="inlineStr">
        <is>
          <t>PDF p.7</t>
        </is>
      </c>
      <c r="V91" s="38" t="inlineStr">
        <is>
          <t>Dispatch is by road only; no rail or outbound pipeline is mentioned.</t>
        </is>
      </c>
    </row>
    <row r="92" ht="29" customHeight="1">
      <c r="A92" s="38" t="inlineStr">
        <is>
          <t>Lesedi licensed capacity</t>
        </is>
      </c>
      <c r="B92" s="38" t="inlineStr">
        <is>
          <t>Vopak Lesedi, Jameson Park</t>
        </is>
      </c>
      <c r="C92" s="38" t="inlineStr">
        <is>
          <t>m3</t>
        </is>
      </c>
      <c r="D92" s="38" t="inlineStr">
        <is>
          <t>2020</t>
        </is>
      </c>
      <c r="E92" s="41" t="n">
        <v>100000</v>
      </c>
      <c r="K92" s="38" t="n"/>
      <c r="L92" s="38" t="n"/>
      <c r="M92" s="38" t="n"/>
      <c r="N92" s="38" t="n"/>
      <c r="O92" s="38" t="n"/>
      <c r="P92" s="38" t="n"/>
      <c r="Q92" s="38" t="n"/>
      <c r="R92" s="38" t="n"/>
      <c r="S92" s="38" t="inlineStr">
        <is>
          <t>From source</t>
        </is>
      </c>
      <c r="T92" s="38" t="inlineStr">
        <is>
          <t>NERSA reasons for decision, Vopak licence amendment</t>
        </is>
      </c>
      <c r="U92" s="38" t="inlineStr">
        <is>
          <t>PDF p.6</t>
        </is>
      </c>
      <c r="V92" s="38" t="inlineStr">
        <is>
          <t>Design capacity. Six tanks (three diesel, three petrol) plus two diesel tanks.</t>
        </is>
      </c>
    </row>
    <row r="93" ht="29" customHeight="1">
      <c r="A93" s="38" t="inlineStr">
        <is>
          <t>Lesedi licensed capacity</t>
        </is>
      </c>
      <c r="B93" s="38" t="inlineStr">
        <is>
          <t>Vopak Lesedi, Jameson Park</t>
        </is>
      </c>
      <c r="C93" s="38" t="inlineStr">
        <is>
          <t>m3</t>
        </is>
      </c>
      <c r="D93" s="38" t="inlineStr">
        <is>
          <t>after the 2025 expansion</t>
        </is>
      </c>
      <c r="E93" s="41" t="n">
        <v>140000</v>
      </c>
      <c r="K93" s="38" t="n"/>
      <c r="L93" s="38" t="n"/>
      <c r="M93" s="38" t="n"/>
      <c r="N93" s="38" t="n"/>
      <c r="O93" s="38" t="n"/>
      <c r="P93" s="38" t="n"/>
      <c r="Q93" s="38" t="n"/>
      <c r="R93" s="38" t="n"/>
      <c r="S93" s="38" t="inlineStr">
        <is>
          <t>From source</t>
        </is>
      </c>
      <c r="T93" s="38" t="inlineStr">
        <is>
          <t>NERSA reasons for decision, Vopak licence amendment</t>
        </is>
      </c>
      <c r="U93" s="38" t="inlineStr">
        <is>
          <t>PDF p.6</t>
        </is>
      </c>
      <c r="V93" s="38" t="inlineStr">
        <is>
          <t>Design capacity. Six tanks (three diesel, three petrol) plus two diesel tanks.</t>
        </is>
      </c>
    </row>
    <row r="94" ht="29" customHeight="1">
      <c r="A94" s="38" t="inlineStr">
        <is>
          <t>Who ships to Lesedi</t>
        </is>
      </c>
      <c r="B94" s="38" t="inlineStr">
        <is>
          <t>Durban to Jameson Park</t>
        </is>
      </c>
      <c r="C94" s="38" t="inlineStr"/>
      <c r="D94" s="38" t="inlineStr">
        <is>
          <t>2024/25</t>
        </is>
      </c>
      <c r="E94" s="38" t="inlineStr">
        <is>
          <t>Lesedi's contracted customers are shippers on the Transnet pipeline from Durban, with one exception</t>
        </is>
      </c>
      <c r="K94" s="38" t="n"/>
      <c r="L94" s="38" t="n"/>
      <c r="M94" s="38" t="n"/>
      <c r="N94" s="38" t="n"/>
      <c r="O94" s="38" t="n"/>
      <c r="P94" s="38" t="n"/>
      <c r="Q94" s="38" t="n"/>
      <c r="R94" s="38" t="n"/>
      <c r="S94" s="38" t="inlineStr">
        <is>
          <t>From source</t>
        </is>
      </c>
      <c r="T94" s="38" t="inlineStr">
        <is>
          <t>NERSA reasons for decision, Vopak licence amendment</t>
        </is>
      </c>
      <c r="U94" s="38" t="inlineStr">
        <is>
          <t>PDF p.9</t>
        </is>
      </c>
      <c r="V94" s="38" t="inlineStr">
        <is>
          <t>Customer names are redacted.</t>
        </is>
      </c>
    </row>
    <row r="95" ht="29" customHeight="1">
      <c r="A95" s="38" t="inlineStr">
        <is>
          <t>Durban terminal receipt</t>
        </is>
      </c>
      <c r="B95" s="38" t="inlineStr">
        <is>
          <t>Vopak Terminal Durban, Island View</t>
        </is>
      </c>
      <c r="C95" s="38" t="inlineStr"/>
      <c r="D95" s="38" t="inlineStr">
        <is>
          <t>undated allocation mechanism</t>
        </is>
      </c>
      <c r="E95" s="38" t="inlineStr">
        <is>
          <t>By ship (own lines at jetties 1, 2 and 4; industry lines at berths 6, 7 and 8) and by pipeline transfer from neighbouring companies</t>
        </is>
      </c>
      <c r="K95" s="38" t="n"/>
      <c r="L95" s="38" t="n"/>
      <c r="M95" s="38" t="n"/>
      <c r="N95" s="38" t="n"/>
      <c r="O95" s="38" t="n"/>
      <c r="P95" s="38" t="n"/>
      <c r="Q95" s="38" t="n"/>
      <c r="R95" s="38" t="n"/>
      <c r="S95" s="38" t="inlineStr">
        <is>
          <t>From source</t>
        </is>
      </c>
      <c r="T95" s="38" t="inlineStr">
        <is>
          <t>Vopak Terminal Durban allocation mechanism filed with NERSA</t>
        </is>
      </c>
      <c r="U95" s="38" t="inlineStr">
        <is>
          <t>p.5</t>
        </is>
      </c>
      <c r="V95" s="38" t="inlineStr">
        <is>
          <t>The document is old: it gives 18,091 m3 of petroleum storage, far below today's. Berth access needs confirming with Vopak.</t>
        </is>
      </c>
    </row>
    <row r="96" ht="29" customHeight="1">
      <c r="A96" s="38" t="inlineStr">
        <is>
          <t>Durban terminal dispatch</t>
        </is>
      </c>
      <c r="B96" s="38" t="inlineStr">
        <is>
          <t>Vopak Terminal Durban, Island View</t>
        </is>
      </c>
      <c r="C96" s="38" t="inlineStr"/>
      <c r="D96" s="38" t="inlineStr">
        <is>
          <t>undated allocation mechanism</t>
        </is>
      </c>
      <c r="E96" s="38" t="inlineStr">
        <is>
          <t>Mainly road; also ship or barge loading and pipeline transfer</t>
        </is>
      </c>
      <c r="K96" s="38" t="n"/>
      <c r="L96" s="38" t="n"/>
      <c r="M96" s="38" t="n"/>
      <c r="N96" s="38" t="n"/>
      <c r="O96" s="38" t="n"/>
      <c r="P96" s="38" t="n"/>
      <c r="Q96" s="38" t="n"/>
      <c r="R96" s="38" t="n"/>
      <c r="S96" s="38" t="inlineStr">
        <is>
          <t>From source</t>
        </is>
      </c>
      <c r="T96" s="38" t="inlineStr">
        <is>
          <t>Vopak Terminal Durban allocation mechanism filed with NERSA</t>
        </is>
      </c>
      <c r="U96" s="38" t="inlineStr">
        <is>
          <t>pp.4, 6</t>
        </is>
      </c>
      <c r="V96" s="38" t="inlineStr">
        <is>
          <t>Whether Vopak Durban injects directly into the Transnet trunk line is not stated in this document.</t>
        </is>
      </c>
    </row>
    <row r="97" ht="29" customHeight="1">
      <c r="A97" s="38" t="inlineStr">
        <is>
          <t>Notice period at Durban</t>
        </is>
      </c>
      <c r="B97" s="38" t="inlineStr">
        <is>
          <t>Vopak Terminal Durban, a vessel</t>
        </is>
      </c>
      <c r="C97" s="38" t="inlineStr"/>
      <c r="D97" s="38" t="inlineStr">
        <is>
          <t>undated allocation mechanism</t>
        </is>
      </c>
      <c r="E97" s="38" t="inlineStr">
        <is>
          <t>Two weeks</t>
        </is>
      </c>
      <c r="K97" s="38" t="n"/>
      <c r="L97" s="38" t="n"/>
      <c r="M97" s="38" t="n"/>
      <c r="N97" s="38" t="n"/>
      <c r="O97" s="38" t="n"/>
      <c r="P97" s="38" t="n"/>
      <c r="Q97" s="38" t="n"/>
      <c r="R97" s="38" t="n"/>
      <c r="S97" s="38" t="inlineStr">
        <is>
          <t>From source</t>
        </is>
      </c>
      <c r="T97" s="38" t="inlineStr">
        <is>
          <t>Vopak Terminal Durban allocation mechanism filed with NERSA</t>
        </is>
      </c>
      <c r="U97" s="38" t="inlineStr">
        <is>
          <t>p.3</t>
        </is>
      </c>
      <c r="V97" s="38" t="inlineStr">
        <is>
          <t>Old document; confirm with Vopak.</t>
        </is>
      </c>
    </row>
    <row r="98" ht="29" customHeight="1">
      <c r="A98" s="38" t="inlineStr">
        <is>
          <t>Notice period at Durban</t>
        </is>
      </c>
      <c r="B98" s="38" t="inlineStr">
        <is>
          <t>Vopak Terminal Durban, a pipeline transfer</t>
        </is>
      </c>
      <c r="C98" s="38" t="inlineStr"/>
      <c r="D98" s="38" t="inlineStr">
        <is>
          <t>undated allocation mechanism</t>
        </is>
      </c>
      <c r="E98" s="38" t="inlineStr">
        <is>
          <t>One week</t>
        </is>
      </c>
      <c r="K98" s="38" t="n"/>
      <c r="L98" s="38" t="n"/>
      <c r="M98" s="38" t="n"/>
      <c r="N98" s="38" t="n"/>
      <c r="O98" s="38" t="n"/>
      <c r="P98" s="38" t="n"/>
      <c r="Q98" s="38" t="n"/>
      <c r="R98" s="38" t="n"/>
      <c r="S98" s="38" t="inlineStr">
        <is>
          <t>From source</t>
        </is>
      </c>
      <c r="T98" s="38" t="inlineStr">
        <is>
          <t>Vopak Terminal Durban allocation mechanism filed with NERSA</t>
        </is>
      </c>
      <c r="U98" s="38" t="inlineStr">
        <is>
          <t>p.3</t>
        </is>
      </c>
      <c r="V98" s="38" t="inlineStr">
        <is>
          <t>Old document; confirm with Vopak.</t>
        </is>
      </c>
    </row>
    <row r="99" ht="29" customHeight="1">
      <c r="A99" s="38" t="inlineStr">
        <is>
          <t>Notice period at Durban</t>
        </is>
      </c>
      <c r="B99" s="38" t="inlineStr">
        <is>
          <t>Vopak Terminal Durban, road loading</t>
        </is>
      </c>
      <c r="C99" s="38" t="inlineStr"/>
      <c r="D99" s="38" t="inlineStr">
        <is>
          <t>undated allocation mechanism</t>
        </is>
      </c>
      <c r="E99" s="38" t="inlineStr">
        <is>
          <t>Two days</t>
        </is>
      </c>
      <c r="K99" s="38" t="n"/>
      <c r="L99" s="38" t="n"/>
      <c r="M99" s="38" t="n"/>
      <c r="N99" s="38" t="n"/>
      <c r="O99" s="38" t="n"/>
      <c r="P99" s="38" t="n"/>
      <c r="Q99" s="38" t="n"/>
      <c r="R99" s="38" t="n"/>
      <c r="S99" s="38" t="inlineStr">
        <is>
          <t>From source</t>
        </is>
      </c>
      <c r="T99" s="38" t="inlineStr">
        <is>
          <t>Vopak Terminal Durban allocation mechanism filed with NERSA</t>
        </is>
      </c>
      <c r="U99" s="38" t="inlineStr">
        <is>
          <t>p.3</t>
        </is>
      </c>
      <c r="V99" s="38" t="inlineStr">
        <is>
          <t>Old document; confirm with Vopak.</t>
        </is>
      </c>
    </row>
    <row r="100" ht="29" customHeight="1">
      <c r="A100" s="38" t="inlineStr">
        <is>
          <t>Direct injection into the pipeline from a Durban terminal</t>
        </is>
      </c>
      <c r="B100" s="38" t="inlineStr">
        <is>
          <t>Former Sapref site, Bayhead A, diesel</t>
        </is>
      </c>
      <c r="C100" s="38" t="inlineStr"/>
      <c r="D100" s="38" t="inlineStr">
        <is>
          <t>licence amended 30 June 2025</t>
        </is>
      </c>
      <c r="E100" s="38" t="inlineStr">
        <is>
          <t>Two 14-inch lines, 1,200 m, to Transnet's pipeline terminal</t>
        </is>
      </c>
      <c r="K100" s="38" t="n"/>
      <c r="L100" s="38" t="n"/>
      <c r="M100" s="38" t="n"/>
      <c r="N100" s="38" t="n"/>
      <c r="O100" s="38" t="n"/>
      <c r="P100" s="38" t="n"/>
      <c r="Q100" s="38" t="n"/>
      <c r="R100" s="38" t="n"/>
      <c r="S100" s="38" t="inlineStr">
        <is>
          <t>From source</t>
        </is>
      </c>
      <c r="T100" s="38" t="inlineStr">
        <is>
          <t>NERSA decision on the Sapref Island View licence amendment, approved 30 June 2025</t>
        </is>
      </c>
      <c r="U100" s="38" t="inlineStr">
        <is>
          <t>PDF pp.10, 19</t>
        </is>
      </c>
      <c r="V100" s="38" t="inlineStr">
        <is>
          <t>A competing Durban terminal injects directly. Five lines were added to the licence for this.</t>
        </is>
      </c>
    </row>
    <row r="101" ht="29" customHeight="1">
      <c r="A101" s="38" t="inlineStr">
        <is>
          <t>Direct injection into the pipeline from a Durban terminal</t>
        </is>
      </c>
      <c r="B101" s="38" t="inlineStr">
        <is>
          <t>Former Sapref site, Bayhead A, petrol</t>
        </is>
      </c>
      <c r="C101" s="38" t="inlineStr"/>
      <c r="D101" s="38" t="inlineStr">
        <is>
          <t>licence amended 30 June 2025</t>
        </is>
      </c>
      <c r="E101" s="38" t="inlineStr">
        <is>
          <t>Two 14-inch lines, 1,200 m, to Transnet's pipeline terminal</t>
        </is>
      </c>
      <c r="K101" s="38" t="n"/>
      <c r="L101" s="38" t="n"/>
      <c r="M101" s="38" t="n"/>
      <c r="N101" s="38" t="n"/>
      <c r="O101" s="38" t="n"/>
      <c r="P101" s="38" t="n"/>
      <c r="Q101" s="38" t="n"/>
      <c r="R101" s="38" t="n"/>
      <c r="S101" s="38" t="inlineStr">
        <is>
          <t>From source</t>
        </is>
      </c>
      <c r="T101" s="38" t="inlineStr">
        <is>
          <t>NERSA decision on the Sapref Island View licence amendment, approved 30 June 2025</t>
        </is>
      </c>
      <c r="U101" s="38" t="inlineStr">
        <is>
          <t>PDF pp.10, 19</t>
        </is>
      </c>
      <c r="V101" s="38" t="inlineStr">
        <is>
          <t>A competing Durban terminal injects directly. Five lines were added to the licence for this.</t>
        </is>
      </c>
    </row>
    <row r="102" ht="29" customHeight="1">
      <c r="A102" s="38" t="inlineStr">
        <is>
          <t>Direct injection into the pipeline from a Durban terminal</t>
        </is>
      </c>
      <c r="B102" s="38" t="inlineStr">
        <is>
          <t>Sasol, Berth 9</t>
        </is>
      </c>
      <c r="C102" s="38" t="inlineStr"/>
      <c r="D102" s="38" t="inlineStr">
        <is>
          <t>2026</t>
        </is>
      </c>
      <c r="E102" s="38" t="inlineStr">
        <is>
          <t>Imports are received at Berth 9 into throughput tanks and transferred into the pipeline</t>
        </is>
      </c>
      <c r="K102" s="38" t="n"/>
      <c r="L102" s="38" t="n"/>
      <c r="M102" s="38" t="n"/>
      <c r="N102" s="38" t="n"/>
      <c r="O102" s="38" t="n"/>
      <c r="P102" s="38" t="n"/>
      <c r="Q102" s="38" t="n"/>
      <c r="R102" s="38" t="n"/>
      <c r="S102" s="38" t="inlineStr">
        <is>
          <t>From source</t>
        </is>
      </c>
      <c r="T102" s="38" t="inlineStr">
        <is>
          <t>Report of five Portfolio Committees on the Island View directive, 11 March 2026 (Parliament)</t>
        </is>
      </c>
      <c r="U102" s="38" t="inlineStr">
        <is>
          <t>section 5.2</t>
        </is>
      </c>
      <c r="V102" s="38" t="inlineStr">
        <is>
          <t>Sasol's statement to Parliament.</t>
        </is>
      </c>
    </row>
    <row r="103" ht="42.5" customHeight="1">
      <c r="A103" s="38" t="inlineStr">
        <is>
          <t>Vopak Durban and the pipeline</t>
        </is>
      </c>
      <c r="B103" s="38" t="inlineStr">
        <is>
          <t>Vopak Terminal Durban, Island View</t>
        </is>
      </c>
      <c r="C103" s="38" t="inlineStr"/>
      <c r="D103" s="38" t="inlineStr">
        <is>
          <t>2026</t>
        </is>
      </c>
      <c r="E103" s="38" t="inlineStr">
        <is>
          <t>Works with Transnet Pipelines on evacuation by pipeline; describes Durban and Lesedi as functionally integrated</t>
        </is>
      </c>
      <c r="K103" s="38" t="n"/>
      <c r="L103" s="38" t="n"/>
      <c r="M103" s="38" t="n"/>
      <c r="N103" s="38" t="n"/>
      <c r="O103" s="38" t="n"/>
      <c r="P103" s="38" t="n"/>
      <c r="Q103" s="38" t="n"/>
      <c r="R103" s="38" t="n"/>
      <c r="S103" s="38" t="inlineStr">
        <is>
          <t>From source</t>
        </is>
      </c>
      <c r="T103" s="38" t="inlineStr">
        <is>
          <t>Report of five Portfolio Committees on the Island View directive, 11 March 2026 (Parliament)</t>
        </is>
      </c>
      <c r="U103" s="38" t="inlineStr">
        <is>
          <t>section 5.7</t>
        </is>
      </c>
      <c r="V103" s="38" t="inlineStr">
        <is>
          <t>Vopak's statement to Parliament. It does not say whether Vopak's own lines reach Transnet's intake or whether product moves through a neighbour. Needs Vopak.</t>
        </is>
      </c>
    </row>
    <row r="104" ht="42.5" customHeight="1">
      <c r="A104" s="38" t="inlineStr">
        <is>
          <t>Island View leases</t>
        </is>
      </c>
      <c r="B104" s="38" t="inlineStr">
        <is>
          <t>All ten operators, Vopak included</t>
        </is>
      </c>
      <c r="C104" s="38" t="inlineStr"/>
      <c r="D104" s="38" t="inlineStr">
        <is>
          <t>directive announced 18 September 2025</t>
        </is>
      </c>
      <c r="E104" s="38" t="inlineStr">
        <is>
          <t>Minister of Transport directed the port authority to renew every lease for 25 years</t>
        </is>
      </c>
      <c r="K104" s="38" t="n"/>
      <c r="L104" s="38" t="n"/>
      <c r="M104" s="38" t="n"/>
      <c r="N104" s="38" t="n"/>
      <c r="O104" s="38" t="n"/>
      <c r="P104" s="38" t="n"/>
      <c r="Q104" s="38" t="n"/>
      <c r="R104" s="38" t="n"/>
      <c r="S104" s="38" t="inlineStr">
        <is>
          <t>From source</t>
        </is>
      </c>
      <c r="T104" s="38" t="inlineStr">
        <is>
          <t>Report of five Portfolio Committees on the Island View directive, 11 March 2026 (Parliament)</t>
        </is>
      </c>
      <c r="U104" s="38" t="inlineStr">
        <is>
          <t>section 2.2</t>
        </is>
      </c>
      <c r="V104" s="38" t="inlineStr">
        <is>
          <t>Operators must agree a framework for third-party access to storage. New conditions are to require more use of the pipeline.</t>
        </is>
      </c>
    </row>
    <row r="106">
      <c r="A106" s="35" t="inlineStr">
        <is>
          <t>Competing routes</t>
        </is>
      </c>
      <c r="B106" s="35" t="n"/>
      <c r="C106" s="35" t="n"/>
      <c r="D106" s="35" t="n"/>
      <c r="E106" s="35" t="n"/>
      <c r="F106" s="35" t="n"/>
      <c r="G106" s="35" t="n"/>
      <c r="H106" s="35" t="n"/>
      <c r="I106" s="35" t="n"/>
      <c r="J106" s="35" t="n"/>
      <c r="K106" s="35" t="n"/>
      <c r="L106" s="35" t="n"/>
      <c r="M106" s="35" t="n"/>
      <c r="N106" s="35" t="n"/>
      <c r="O106" s="35" t="n"/>
      <c r="P106" s="35" t="n"/>
      <c r="Q106" s="35" t="n"/>
      <c r="R106" s="35" t="n"/>
      <c r="S106" s="35" t="n"/>
      <c r="T106" s="35" t="n"/>
      <c r="U106" s="35" t="n"/>
      <c r="V106" s="35" t="n"/>
      <c r="W106" s="35" t="n"/>
    </row>
    <row r="107">
      <c r="A107" s="36" t="inlineStr">
        <is>
          <t>Item</t>
        </is>
      </c>
      <c r="B107" s="36" t="inlineStr">
        <is>
          <t>Asset or route</t>
        </is>
      </c>
      <c r="C107" s="36" t="inlineStr">
        <is>
          <t>Unit</t>
        </is>
      </c>
      <c r="D107" s="36" t="inlineStr">
        <is>
          <t>Basis</t>
        </is>
      </c>
      <c r="E107" s="37" t="n">
        <v>2019</v>
      </c>
      <c r="F107" s="37" t="n">
        <v>2020</v>
      </c>
      <c r="G107" s="37" t="n">
        <v>2021</v>
      </c>
      <c r="H107" s="37" t="n">
        <v>2022</v>
      </c>
      <c r="I107" s="37" t="n">
        <v>2023</v>
      </c>
      <c r="J107" s="37" t="n">
        <v>2024</v>
      </c>
      <c r="K107" s="37" t="n">
        <v>2025</v>
      </c>
      <c r="L107" s="36" t="n"/>
      <c r="M107" s="36" t="n"/>
      <c r="N107" s="36" t="n"/>
      <c r="O107" s="36" t="n"/>
      <c r="P107" s="36" t="n"/>
      <c r="Q107" s="36" t="n"/>
      <c r="R107" s="36" t="n"/>
      <c r="S107" s="36" t="inlineStr">
        <is>
          <t>Status</t>
        </is>
      </c>
      <c r="T107" s="36" t="inlineStr">
        <is>
          <t>Source</t>
        </is>
      </c>
      <c r="U107" s="36" t="inlineStr">
        <is>
          <t>Page</t>
        </is>
      </c>
      <c r="V107" s="36" t="inlineStr">
        <is>
          <t>Note</t>
        </is>
      </c>
    </row>
    <row r="108" ht="29" customHeight="1">
      <c r="A108" s="38" t="inlineStr">
        <is>
          <t>Diesel imported by road from Mozambique</t>
        </is>
      </c>
      <c r="B108" s="38" t="inlineStr">
        <is>
          <t>Maputo and Matola, through Komatipoort</t>
        </is>
      </c>
      <c r="C108" s="38" t="inlineStr">
        <is>
          <t>billion litres</t>
        </is>
      </c>
      <c r="D108" s="38" t="inlineStr">
        <is>
          <t>calendar years</t>
        </is>
      </c>
      <c r="E108" s="40" t="n">
        <v>0.21</v>
      </c>
      <c r="F108" s="40" t="n">
        <v>0.21</v>
      </c>
      <c r="G108" s="40" t="n">
        <v>0.2</v>
      </c>
      <c r="H108" s="40" t="n">
        <v>0.27</v>
      </c>
      <c r="I108" s="40" t="n">
        <v>0.25</v>
      </c>
      <c r="J108" s="40" t="n">
        <v>0.19</v>
      </c>
      <c r="K108" s="40" t="n">
        <v>0.08</v>
      </c>
      <c r="L108" s="38" t="n"/>
      <c r="M108" s="38" t="n"/>
      <c r="N108" s="38" t="n"/>
      <c r="O108" s="38" t="n"/>
      <c r="P108" s="38" t="n"/>
      <c r="Q108" s="38" t="n"/>
      <c r="R108" s="38" t="n"/>
      <c r="S108" s="38" t="inlineStr">
        <is>
          <t>From source</t>
        </is>
      </c>
      <c r="T108" s="38" t="inlineStr">
        <is>
          <t>SARS customs, by office</t>
        </is>
      </c>
      <c r="U108" s="38" t="inlineStr"/>
      <c r="V108" s="38" t="inlineStr">
        <is>
          <t>Falling since 2022. Diesel and petrol together were 0.5% of petrol and diesel imports in 2025.</t>
        </is>
      </c>
    </row>
    <row r="109" ht="29" customHeight="1">
      <c r="A109" s="38" t="inlineStr">
        <is>
          <t>Petrol imported by road from Mozambique</t>
        </is>
      </c>
      <c r="B109" s="38" t="inlineStr">
        <is>
          <t>Maputo and Matola, through Komatipoort</t>
        </is>
      </c>
      <c r="C109" s="38" t="inlineStr">
        <is>
          <t>billion litres</t>
        </is>
      </c>
      <c r="D109" s="38" t="inlineStr">
        <is>
          <t>calendar years</t>
        </is>
      </c>
      <c r="E109" s="40" t="n">
        <v>0.039</v>
      </c>
      <c r="F109" s="40" t="n">
        <v>0.031</v>
      </c>
      <c r="G109" s="40" t="n">
        <v>0.039</v>
      </c>
      <c r="H109" s="40" t="n">
        <v>0.029</v>
      </c>
      <c r="I109" s="40" t="n">
        <v>0</v>
      </c>
      <c r="J109" s="40" t="n">
        <v>0.001</v>
      </c>
      <c r="K109" s="40" t="n">
        <v>0.004</v>
      </c>
      <c r="L109" s="38" t="n"/>
      <c r="M109" s="38" t="n"/>
      <c r="N109" s="38" t="n"/>
      <c r="O109" s="38" t="n"/>
      <c r="P109" s="38" t="n"/>
      <c r="Q109" s="38" t="n"/>
      <c r="R109" s="38" t="n"/>
      <c r="S109" s="38" t="inlineStr">
        <is>
          <t>From source</t>
        </is>
      </c>
      <c r="T109" s="38" t="inlineStr">
        <is>
          <t>SARS customs, by office</t>
        </is>
      </c>
      <c r="U109" s="38" t="inlineStr"/>
      <c r="V109" s="38" t="inlineStr">
        <is>
          <t>Small and almost nil since 2023.</t>
        </is>
      </c>
    </row>
    <row r="110">
      <c r="A110" s="36" t="inlineStr">
        <is>
          <t>Item</t>
        </is>
      </c>
      <c r="B110" s="36" t="inlineStr">
        <is>
          <t>Asset or route</t>
        </is>
      </c>
      <c r="C110" s="36" t="inlineStr">
        <is>
          <t>Unit</t>
        </is>
      </c>
      <c r="D110" s="36" t="inlineStr">
        <is>
          <t>Period</t>
        </is>
      </c>
      <c r="E110" s="36" t="inlineStr">
        <is>
          <t>Value</t>
        </is>
      </c>
      <c r="K110" s="36" t="n"/>
      <c r="L110" s="36" t="n"/>
      <c r="M110" s="36" t="n"/>
      <c r="N110" s="36" t="n"/>
      <c r="O110" s="36" t="n"/>
      <c r="P110" s="36" t="n"/>
      <c r="Q110" s="36" t="n"/>
      <c r="R110" s="36" t="n"/>
      <c r="S110" s="36" t="inlineStr">
        <is>
          <t>Status</t>
        </is>
      </c>
      <c r="T110" s="36" t="inlineStr">
        <is>
          <t>Source</t>
        </is>
      </c>
      <c r="U110" s="36" t="inlineStr">
        <is>
          <t>Page</t>
        </is>
      </c>
      <c r="V110" s="36" t="inlineStr">
        <is>
          <t>Note</t>
        </is>
      </c>
    </row>
    <row r="111" ht="29" customHeight="1">
      <c r="A111" s="38" t="inlineStr">
        <is>
          <t>Petrol and diesel imported through Namibian and Botswanan border posts</t>
        </is>
      </c>
      <c r="B111" s="38" t="inlineStr">
        <is>
          <t>Walvis Bay and the Trans-Kalahari road</t>
        </is>
      </c>
      <c r="C111" s="38" t="inlineStr">
        <is>
          <t>billion litres</t>
        </is>
      </c>
      <c r="D111" s="38" t="inlineStr">
        <is>
          <t>2019-2025</t>
        </is>
      </c>
      <c r="E111" s="38" t="inlineStr">
        <is>
          <t>0.00 in every year</t>
        </is>
      </c>
      <c r="K111" s="38" t="n"/>
      <c r="L111" s="38" t="n"/>
      <c r="M111" s="38" t="n"/>
      <c r="N111" s="38" t="n"/>
      <c r="O111" s="38" t="n"/>
      <c r="P111" s="38" t="n"/>
      <c r="Q111" s="38" t="n"/>
      <c r="R111" s="38" t="n"/>
      <c r="S111" s="38" t="inlineStr">
        <is>
          <t>From source</t>
        </is>
      </c>
      <c r="T111" s="38" t="inlineStr">
        <is>
          <t>SARS customs, by office</t>
        </is>
      </c>
      <c r="U111" s="38" t="inlineStr"/>
      <c r="V111" s="38" t="inlineStr">
        <is>
          <t>Nakop (Narogas), Kopfontein, Skilpadshek, Groblersbrug and Ramatlabama record none. The route is not used for supply into South Africa.</t>
        </is>
      </c>
    </row>
    <row r="112" ht="29" customHeight="1">
      <c r="A112" s="38" t="inlineStr">
        <is>
          <t>Diesel and petrol storage planned at Walvis Bay</t>
        </is>
      </c>
      <c r="B112" s="38" t="inlineStr">
        <is>
          <t>diesel</t>
        </is>
      </c>
      <c r="C112" s="38" t="inlineStr">
        <is>
          <t>million litres</t>
        </is>
      </c>
      <c r="D112" s="38" t="inlineStr">
        <is>
          <t>as planned; news item undated</t>
        </is>
      </c>
      <c r="E112" s="41" t="n">
        <v>45</v>
      </c>
      <c r="K112" s="38" t="n"/>
      <c r="L112" s="38" t="n"/>
      <c r="M112" s="38" t="n"/>
      <c r="N112" s="38" t="n"/>
      <c r="O112" s="38" t="n"/>
      <c r="P112" s="38" t="n"/>
      <c r="Q112" s="38" t="n"/>
      <c r="R112" s="38" t="n"/>
      <c r="S112" s="38" t="inlineStr">
        <is>
          <t>From source</t>
        </is>
      </c>
      <c r="T112" s="38" t="inlineStr">
        <is>
          <t>Namibian Ports Authority news item</t>
        </is>
      </c>
      <c r="U112" s="38" t="inlineStr"/>
      <c r="V112" s="38" t="inlineStr">
        <is>
          <t>Of 75 million litres in all; the rest is fuel oil and aviation fuel. Built for Namibia's own supply. Current operating capacity not confirmed.</t>
        </is>
      </c>
    </row>
    <row r="113" ht="29" customHeight="1">
      <c r="A113" s="38" t="inlineStr">
        <is>
          <t>Diesel and petrol storage planned at Walvis Bay</t>
        </is>
      </c>
      <c r="B113" s="38" t="inlineStr">
        <is>
          <t>petrol</t>
        </is>
      </c>
      <c r="C113" s="38" t="inlineStr">
        <is>
          <t>million litres</t>
        </is>
      </c>
      <c r="D113" s="38" t="inlineStr">
        <is>
          <t>as planned; news item undated</t>
        </is>
      </c>
      <c r="E113" s="41" t="n">
        <v>20</v>
      </c>
      <c r="K113" s="38" t="n"/>
      <c r="L113" s="38" t="n"/>
      <c r="M113" s="38" t="n"/>
      <c r="N113" s="38" t="n"/>
      <c r="O113" s="38" t="n"/>
      <c r="P113" s="38" t="n"/>
      <c r="Q113" s="38" t="n"/>
      <c r="R113" s="38" t="n"/>
      <c r="S113" s="38" t="inlineStr">
        <is>
          <t>From source</t>
        </is>
      </c>
      <c r="T113" s="38" t="inlineStr">
        <is>
          <t>Namibian Ports Authority news item</t>
        </is>
      </c>
      <c r="U113" s="38" t="inlineStr"/>
      <c r="V113" s="38" t="inlineStr">
        <is>
          <t>Of 75 million litres in all; the rest is fuel oil and aviation fuel. Built for Namibia's own supply. Current operating capacity not confirmed.</t>
        </is>
      </c>
    </row>
    <row r="114" ht="29" customHeight="1">
      <c r="A114" s="38" t="inlineStr">
        <is>
          <t>Petrol and diesel storage at Matola</t>
        </is>
      </c>
      <c r="B114" s="38" t="inlineStr">
        <is>
          <t>diesel</t>
        </is>
      </c>
      <c r="C114" s="38" t="inlineStr">
        <is>
          <t>m3</t>
        </is>
      </c>
      <c r="D114" s="38" t="inlineStr">
        <is>
          <t>as on the page, 2026</t>
        </is>
      </c>
      <c r="E114" s="41" t="n">
        <v>40000</v>
      </c>
      <c r="K114" s="38" t="n"/>
      <c r="L114" s="38" t="n"/>
      <c r="M114" s="38" t="n"/>
      <c r="N114" s="38" t="n"/>
      <c r="O114" s="38" t="n"/>
      <c r="P114" s="38" t="n"/>
      <c r="Q114" s="38" t="n"/>
      <c r="R114" s="38" t="n"/>
      <c r="S114" s="38" t="inlineStr">
        <is>
          <t>From source</t>
        </is>
      </c>
      <c r="T114" s="38" t="inlineStr">
        <is>
          <t>Galp, Mozambique logistics page</t>
        </is>
      </c>
      <c r="U114" s="38" t="inlineStr"/>
      <c r="V114" s="38" t="inlineStr">
        <is>
          <t>One terminal only. It loads road tankers and rail tank wagons. Other Matola terminals are not pursued (Manish, 9 October).</t>
        </is>
      </c>
    </row>
    <row r="115" ht="29" customHeight="1">
      <c r="A115" s="38" t="inlineStr">
        <is>
          <t>Petrol and diesel storage at Matola</t>
        </is>
      </c>
      <c r="B115" s="38" t="inlineStr">
        <is>
          <t>petrol</t>
        </is>
      </c>
      <c r="C115" s="38" t="inlineStr">
        <is>
          <t>m3</t>
        </is>
      </c>
      <c r="D115" s="38" t="inlineStr">
        <is>
          <t>as on the page, 2026</t>
        </is>
      </c>
      <c r="E115" s="41" t="n">
        <v>20000</v>
      </c>
      <c r="K115" s="38" t="n"/>
      <c r="L115" s="38" t="n"/>
      <c r="M115" s="38" t="n"/>
      <c r="N115" s="38" t="n"/>
      <c r="O115" s="38" t="n"/>
      <c r="P115" s="38" t="n"/>
      <c r="Q115" s="38" t="n"/>
      <c r="R115" s="38" t="n"/>
      <c r="S115" s="38" t="inlineStr">
        <is>
          <t>From source</t>
        </is>
      </c>
      <c r="T115" s="38" t="inlineStr">
        <is>
          <t>Galp, Mozambique logistics page</t>
        </is>
      </c>
      <c r="U115" s="38" t="inlineStr"/>
      <c r="V115" s="38" t="inlineStr">
        <is>
          <t>One terminal only. It loads road tankers and rail tank wagons. Other Matola terminals are not pursued (Manish, 9 October).</t>
        </is>
      </c>
    </row>
    <row r="116" ht="29" customHeight="1">
      <c r="A116" s="45" t="inlineStr">
        <is>
          <t>Road rate and border cost, Matola to Gauteng</t>
        </is>
      </c>
      <c r="B116" s="45" t="inlineStr">
        <is>
          <t>Maputo and Matola, through Komatipoort</t>
        </is>
      </c>
      <c r="C116" s="45" t="inlineStr">
        <is>
          <t>cents a litre</t>
        </is>
      </c>
      <c r="D116" s="45" t="inlineStr"/>
      <c r="E116" s="45" t="inlineStr">
        <is>
          <t>Not available</t>
        </is>
      </c>
      <c r="K116" s="45" t="n"/>
      <c r="L116" s="45" t="n"/>
      <c r="M116" s="45" t="n"/>
      <c r="N116" s="45" t="n"/>
      <c r="O116" s="45" t="n"/>
      <c r="P116" s="45" t="n"/>
      <c r="Q116" s="45" t="n"/>
      <c r="R116" s="45" t="n"/>
      <c r="S116" s="45" t="inlineStr">
        <is>
          <t>Not available</t>
        </is>
      </c>
      <c r="T116" s="45" t="inlineStr">
        <is>
          <t>None public</t>
        </is>
      </c>
      <c r="U116" s="45" t="inlineStr"/>
      <c r="V116" s="45" t="inlineStr">
        <is>
          <t>Needed for a matched delivered cost. Needs a haulier or Vopak.</t>
        </is>
      </c>
    </row>
    <row r="117" ht="29" customHeight="1">
      <c r="A117" s="45" t="inlineStr">
        <is>
          <t>Petrol and diesel supplied inland by Natref and Secunda</t>
        </is>
      </c>
      <c r="B117" s="45" t="inlineStr">
        <is>
          <t>Sasolburg and Secunda</t>
        </is>
      </c>
      <c r="C117" s="45" t="inlineStr">
        <is>
          <t>billion litres</t>
        </is>
      </c>
      <c r="D117" s="45" t="inlineStr"/>
      <c r="E117" s="45" t="inlineStr">
        <is>
          <t>Not available</t>
        </is>
      </c>
      <c r="K117" s="45" t="n"/>
      <c r="L117" s="45" t="n"/>
      <c r="M117" s="45" t="n"/>
      <c r="N117" s="45" t="n"/>
      <c r="O117" s="45" t="n"/>
      <c r="P117" s="45" t="n"/>
      <c r="Q117" s="45" t="n"/>
      <c r="R117" s="45" t="n"/>
      <c r="S117" s="45" t="inlineStr">
        <is>
          <t>Not available</t>
        </is>
      </c>
      <c r="T117" s="45" t="inlineStr">
        <is>
          <t>None found</t>
        </is>
      </c>
      <c r="U117" s="45" t="inlineStr"/>
      <c r="V117" s="45" t="inlineStr">
        <is>
          <t>No production by product after 2021. Belongs with DR08.</t>
        </is>
      </c>
    </row>
  </sheetData>
  <mergeCells count="78">
    <mergeCell ref="E9:J9"/>
    <mergeCell ref="E69:J69"/>
    <mergeCell ref="E77:J77"/>
    <mergeCell ref="E11:J11"/>
    <mergeCell ref="E46:J46"/>
    <mergeCell ref="E97:J97"/>
    <mergeCell ref="E112:J112"/>
    <mergeCell ref="E47:J47"/>
    <mergeCell ref="E96:J96"/>
    <mergeCell ref="E71:J71"/>
    <mergeCell ref="E111:J111"/>
    <mergeCell ref="E24:J24"/>
    <mergeCell ref="E98:J98"/>
    <mergeCell ref="E79:J79"/>
    <mergeCell ref="E73:J73"/>
    <mergeCell ref="E51:J51"/>
    <mergeCell ref="E82:J82"/>
    <mergeCell ref="E10:J10"/>
    <mergeCell ref="E74:J74"/>
    <mergeCell ref="E99:J99"/>
    <mergeCell ref="E49:J49"/>
    <mergeCell ref="E45:J45"/>
    <mergeCell ref="E101:J101"/>
    <mergeCell ref="E116:J116"/>
    <mergeCell ref="E113:J113"/>
    <mergeCell ref="E91:J91"/>
    <mergeCell ref="E100:J100"/>
    <mergeCell ref="E115:J115"/>
    <mergeCell ref="E93:J93"/>
    <mergeCell ref="E37:J37"/>
    <mergeCell ref="E102:J102"/>
    <mergeCell ref="E12:J12"/>
    <mergeCell ref="E14:J14"/>
    <mergeCell ref="E48:J48"/>
    <mergeCell ref="E38:J38"/>
    <mergeCell ref="E40:J40"/>
    <mergeCell ref="E90:J90"/>
    <mergeCell ref="E104:J104"/>
    <mergeCell ref="E27:J27"/>
    <mergeCell ref="E110:J110"/>
    <mergeCell ref="E76:J76"/>
    <mergeCell ref="E25:J25"/>
    <mergeCell ref="E85:J85"/>
    <mergeCell ref="E75:J75"/>
    <mergeCell ref="E18:J18"/>
    <mergeCell ref="E53:J53"/>
    <mergeCell ref="E50:J50"/>
    <mergeCell ref="E68:J68"/>
    <mergeCell ref="E117:J117"/>
    <mergeCell ref="E55:J55"/>
    <mergeCell ref="E52:J52"/>
    <mergeCell ref="E67:J67"/>
    <mergeCell ref="E92:J92"/>
    <mergeCell ref="E39:J39"/>
    <mergeCell ref="E94:J94"/>
    <mergeCell ref="E103:J103"/>
    <mergeCell ref="E13:J13"/>
    <mergeCell ref="E84:J84"/>
    <mergeCell ref="E78:J78"/>
    <mergeCell ref="E114:J114"/>
    <mergeCell ref="E15:J15"/>
    <mergeCell ref="E86:J86"/>
    <mergeCell ref="E80:J80"/>
    <mergeCell ref="E95:J95"/>
    <mergeCell ref="E89:J89"/>
    <mergeCell ref="E70:J70"/>
    <mergeCell ref="E26:J26"/>
    <mergeCell ref="E54:J54"/>
    <mergeCell ref="E72:J72"/>
    <mergeCell ref="E41:J41"/>
    <mergeCell ref="E16:J16"/>
    <mergeCell ref="E81:J81"/>
    <mergeCell ref="E56:J56"/>
    <mergeCell ref="E43:J43"/>
    <mergeCell ref="E42:J42"/>
    <mergeCell ref="E17:J17"/>
    <mergeCell ref="E83:J83"/>
    <mergeCell ref="E44:J4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30" customWidth="1" min="1" max="1"/>
    <col width="22" customWidth="1" min="2" max="2"/>
    <col width="8.5" customWidth="1" min="3" max="3"/>
    <col width="8.5" customWidth="1" min="4" max="4"/>
    <col width="8.5" customWidth="1" min="5" max="5"/>
    <col width="8.5" customWidth="1" min="6" max="6"/>
    <col width="8.5" customWidth="1" min="7" max="7"/>
    <col width="8.5" customWidth="1" min="8" max="8"/>
    <col width="8.5" customWidth="1" min="9" max="9"/>
    <col width="8.5" customWidth="1" min="10" max="10"/>
    <col width="8.5" customWidth="1" min="11" max="11"/>
    <col width="8.5" customWidth="1" min="12" max="12"/>
    <col width="8.5" customWidth="1" min="13" max="13"/>
    <col width="8.5" customWidth="1" min="14" max="14"/>
    <col width="50" customWidth="1" min="15" max="15"/>
    <col width="52" customWidth="1" min="16" max="16"/>
  </cols>
  <sheetData>
    <row r="1">
      <c r="A1" s="1" t="inlineStr">
        <is>
          <t>DR04 Where petrol and diesel imports enter</t>
        </is>
      </c>
    </row>
    <row r="2">
      <c r="A2" s="2" t="inlineStr">
        <is>
          <t>Billion litres, calendar years. Petrol and diesel only. The office is where the fuel was cleared through customs: the nearest public record of the entry point, not a berth or terminal record.</t>
        </is>
      </c>
    </row>
    <row r="4">
      <c r="A4" s="14" t="inlineStr">
        <is>
          <t>Entry point</t>
        </is>
      </c>
      <c r="B4" s="14" t="inlineStr">
        <is>
          <t>Route</t>
        </is>
      </c>
      <c r="C4" s="14" t="n">
        <v>2014</v>
      </c>
      <c r="D4" s="14" t="n">
        <v>2015</v>
      </c>
      <c r="E4" s="14" t="n">
        <v>2016</v>
      </c>
      <c r="F4" s="14" t="n">
        <v>2017</v>
      </c>
      <c r="G4" s="14" t="n">
        <v>2018</v>
      </c>
      <c r="H4" s="14" t="n">
        <v>2019</v>
      </c>
      <c r="I4" s="14" t="n">
        <v>2020</v>
      </c>
      <c r="J4" s="14" t="n">
        <v>2021</v>
      </c>
      <c r="K4" s="14" t="n">
        <v>2022</v>
      </c>
      <c r="L4" s="14" t="n">
        <v>2023</v>
      </c>
      <c r="M4" s="14" t="n">
        <v>2024</v>
      </c>
      <c r="N4" s="14" t="n">
        <v>2025</v>
      </c>
      <c r="O4" s="14" t="inlineStr">
        <is>
          <t>Source</t>
        </is>
      </c>
      <c r="P4" s="14" t="inlineStr">
        <is>
          <t>Note</t>
        </is>
      </c>
    </row>
    <row r="5">
      <c r="A5" s="48" t="inlineStr">
        <is>
          <t>Diesel</t>
        </is>
      </c>
      <c r="B5" s="48" t="n"/>
      <c r="C5" s="48" t="n"/>
      <c r="D5" s="48" t="n"/>
      <c r="E5" s="48" t="n"/>
      <c r="F5" s="48" t="n"/>
      <c r="G5" s="48" t="n"/>
      <c r="H5" s="48" t="n"/>
      <c r="I5" s="48" t="n"/>
      <c r="J5" s="48" t="n"/>
      <c r="K5" s="48" t="n"/>
      <c r="L5" s="48" t="n"/>
      <c r="M5" s="48" t="n"/>
      <c r="N5" s="48" t="n"/>
      <c r="O5" s="48" t="n"/>
      <c r="P5" s="48" t="n"/>
    </row>
    <row r="6">
      <c r="A6" s="49" t="inlineStr">
        <is>
          <t>Durban</t>
        </is>
      </c>
      <c r="B6" s="49" t="inlineStr">
        <is>
          <t>Sea</t>
        </is>
      </c>
      <c r="C6" s="50" t="n">
        <v>3.40129340791</v>
      </c>
      <c r="D6" s="50" t="n">
        <v>4.042700255</v>
      </c>
      <c r="E6" s="50" t="n">
        <v>3.44135703988</v>
      </c>
      <c r="F6" s="50" t="n">
        <v>4.876537276</v>
      </c>
      <c r="G6" s="50" t="n">
        <v>3.98590410655</v>
      </c>
      <c r="H6" s="50" t="n">
        <v>3.80914333</v>
      </c>
      <c r="I6" s="50" t="n">
        <v>3.825937678</v>
      </c>
      <c r="J6" s="50" t="n">
        <v>5.83487318</v>
      </c>
      <c r="K6" s="50" t="n">
        <v>7.88124800634</v>
      </c>
      <c r="L6" s="50" t="n">
        <v>9.125036510419999</v>
      </c>
      <c r="M6" s="50" t="n">
        <v>8.03288993764</v>
      </c>
      <c r="N6" s="50" t="n">
        <v>8.931535440639999</v>
      </c>
      <c r="O6" s="38" t="inlineStr">
        <is>
          <t>SARS customs, imports by office of clearance (fuel_trade_sars_by_office.csv)</t>
        </is>
      </c>
      <c r="P6" s="38" t="inlineStr">
        <is>
          <t>Includes fuel for the inland pipeline and for the coast.</t>
        </is>
      </c>
    </row>
    <row r="7">
      <c r="A7" s="49" t="inlineStr">
        <is>
          <t>Cape Town</t>
        </is>
      </c>
      <c r="B7" s="49" t="inlineStr">
        <is>
          <t>Sea</t>
        </is>
      </c>
      <c r="C7" s="50" t="n">
        <v>0.563485067</v>
      </c>
      <c r="D7" s="50" t="n">
        <v>0.996642134</v>
      </c>
      <c r="E7" s="50" t="n">
        <v>0.214951975</v>
      </c>
      <c r="F7" s="50" t="n">
        <v>0.39464311319</v>
      </c>
      <c r="G7" s="50" t="n">
        <v>0.5131333877200001</v>
      </c>
      <c r="H7" s="50" t="n">
        <v>0.6015612915299999</v>
      </c>
      <c r="I7" s="50" t="n">
        <v>1.842722376</v>
      </c>
      <c r="J7" s="50" t="n">
        <v>2.350715322</v>
      </c>
      <c r="K7" s="50" t="n">
        <v>2.485097027</v>
      </c>
      <c r="L7" s="50" t="n">
        <v>1.387584117</v>
      </c>
      <c r="M7" s="50" t="n">
        <v>0.957476429</v>
      </c>
      <c r="N7" s="50" t="n">
        <v>1.335392185</v>
      </c>
      <c r="O7" s="38" t="inlineStr">
        <is>
          <t>SARS customs, imports by office of clearance (fuel_trade_sars_by_office.csv)</t>
        </is>
      </c>
      <c r="P7" s="38" t="inlineStr"/>
    </row>
    <row r="8">
      <c r="A8" s="49" t="inlineStr">
        <is>
          <t>Mossel Bay</t>
        </is>
      </c>
      <c r="B8" s="49" t="inlineStr">
        <is>
          <t>Sea</t>
        </is>
      </c>
      <c r="C8" s="50" t="n">
        <v>0.770853449</v>
      </c>
      <c r="D8" s="50" t="n">
        <v>0.951908118</v>
      </c>
      <c r="E8" s="50" t="n">
        <v>0.39227171302</v>
      </c>
      <c r="F8" s="50" t="n">
        <v>0.290250522</v>
      </c>
      <c r="G8" s="50" t="n">
        <v>0.138237059</v>
      </c>
      <c r="H8" s="50" t="n">
        <v>0.713752548</v>
      </c>
      <c r="I8" s="50" t="n">
        <v>0.400193929</v>
      </c>
      <c r="J8" s="50" t="n">
        <v>0.674675826</v>
      </c>
      <c r="K8" s="50" t="n">
        <v>0.56689834524</v>
      </c>
      <c r="L8" s="50" t="n">
        <v>1.093150604</v>
      </c>
      <c r="M8" s="50" t="n">
        <v>0.573384652</v>
      </c>
      <c r="N8" s="50" t="n">
        <v>0.521797795</v>
      </c>
      <c r="O8" s="38" t="inlineStr">
        <is>
          <t>SARS customs, imports by office of clearance (fuel_trade_sars_by_office.csv)</t>
        </is>
      </c>
      <c r="P8" s="38" t="inlineStr"/>
    </row>
    <row r="9">
      <c r="A9" s="49" t="inlineStr">
        <is>
          <t>East London</t>
        </is>
      </c>
      <c r="B9" s="49" t="inlineStr">
        <is>
          <t>Sea</t>
        </is>
      </c>
      <c r="C9" s="50" t="n">
        <v>0.059488792</v>
      </c>
      <c r="D9" s="50" t="n">
        <v>0.10177180707</v>
      </c>
      <c r="E9" s="50" t="n">
        <v>0.07380239</v>
      </c>
      <c r="F9" s="50" t="n">
        <v>0.0834004894</v>
      </c>
      <c r="G9" s="50" t="n">
        <v>0.06618653100000001</v>
      </c>
      <c r="H9" s="50" t="n">
        <v>0.07354029300000001</v>
      </c>
      <c r="I9" s="50" t="n">
        <v>0.19997504</v>
      </c>
      <c r="J9" s="50" t="n">
        <v>0.206861973</v>
      </c>
      <c r="K9" s="50" t="n">
        <v>0.189680792</v>
      </c>
      <c r="L9" s="50" t="n">
        <v>0.351388819</v>
      </c>
      <c r="M9" s="50" t="n">
        <v>0.51376771</v>
      </c>
      <c r="N9" s="50" t="n">
        <v>0.403307375</v>
      </c>
      <c r="O9" s="38" t="inlineStr">
        <is>
          <t>SARS customs, imports by office of clearance (fuel_trade_sars_by_office.csv)</t>
        </is>
      </c>
      <c r="P9" s="38" t="inlineStr"/>
    </row>
    <row r="10">
      <c r="A10" s="49" t="inlineStr">
        <is>
          <t>Port Elizabeth</t>
        </is>
      </c>
      <c r="B10" s="49" t="inlineStr">
        <is>
          <t>Sea</t>
        </is>
      </c>
      <c r="C10" s="50" t="n">
        <v>0.045097549</v>
      </c>
      <c r="D10" s="50" t="n">
        <v>0.09579346198000001</v>
      </c>
      <c r="E10" s="50" t="n">
        <v>0.06197985031</v>
      </c>
      <c r="F10" s="50" t="n">
        <v>0.05229008</v>
      </c>
      <c r="G10" s="50" t="n">
        <v>0.09921999692</v>
      </c>
      <c r="H10" s="50" t="n">
        <v>0.08568754889000001</v>
      </c>
      <c r="I10" s="50" t="n">
        <v>0.191707363</v>
      </c>
      <c r="J10" s="50" t="n">
        <v>0.2561779</v>
      </c>
      <c r="K10" s="50" t="n">
        <v>0.225130346</v>
      </c>
      <c r="L10" s="50" t="n">
        <v>0.336667375</v>
      </c>
      <c r="M10" s="50" t="n">
        <v>0.137698441</v>
      </c>
      <c r="N10" s="50" t="n">
        <v>0.31335745393</v>
      </c>
      <c r="O10" s="38" t="inlineStr">
        <is>
          <t>SARS customs, imports by office of clearance (fuel_trade_sars_by_office.csv)</t>
        </is>
      </c>
      <c r="P10" s="38" t="inlineStr"/>
    </row>
    <row r="11">
      <c r="A11" s="49" t="inlineStr">
        <is>
          <t>Richards Bay</t>
        </is>
      </c>
      <c r="B11" s="49" t="inlineStr">
        <is>
          <t>Sea</t>
        </is>
      </c>
      <c r="C11" s="50" t="n">
        <v>0</v>
      </c>
      <c r="D11" s="50" t="n">
        <v>0</v>
      </c>
      <c r="E11" s="50" t="n">
        <v>0</v>
      </c>
      <c r="F11" s="50" t="n">
        <v>0.105714823</v>
      </c>
      <c r="G11" s="50" t="n">
        <v>0.091830959</v>
      </c>
      <c r="H11" s="50" t="n">
        <v>0.093812929</v>
      </c>
      <c r="I11" s="50" t="n">
        <v>0.146792846</v>
      </c>
      <c r="J11" s="50" t="n">
        <v>0.234036815</v>
      </c>
      <c r="K11" s="50" t="n">
        <v>0.331319789</v>
      </c>
      <c r="L11" s="50" t="n">
        <v>0.320766702</v>
      </c>
      <c r="M11" s="50" t="n">
        <v>0.390782477</v>
      </c>
      <c r="N11" s="50" t="n">
        <v>0.6579146</v>
      </c>
      <c r="O11" s="38" t="inlineStr">
        <is>
          <t>SARS customs, imports by office of clearance (fuel_trade_sars_by_office.csv)</t>
        </is>
      </c>
      <c r="P11" s="38" t="inlineStr"/>
    </row>
    <row r="12">
      <c r="A12" s="49" t="inlineStr">
        <is>
          <t>Komatipoort</t>
        </is>
      </c>
      <c r="B12" s="49" t="inlineStr">
        <is>
          <t>Road, from Mozambique</t>
        </is>
      </c>
      <c r="C12" s="50" t="n">
        <v>0.151062295</v>
      </c>
      <c r="D12" s="50" t="n">
        <v>0.25728800257</v>
      </c>
      <c r="E12" s="50" t="n">
        <v>0.236796023</v>
      </c>
      <c r="F12" s="50" t="n">
        <v>0.23388003104</v>
      </c>
      <c r="G12" s="50" t="n">
        <v>0.22802977396</v>
      </c>
      <c r="H12" s="50" t="n">
        <v>0.21272690407</v>
      </c>
      <c r="I12" s="50" t="n">
        <v>0.20753876099</v>
      </c>
      <c r="J12" s="50" t="n">
        <v>0.20133574</v>
      </c>
      <c r="K12" s="50" t="n">
        <v>0.27415852432</v>
      </c>
      <c r="L12" s="50" t="n">
        <v>0.254570839</v>
      </c>
      <c r="M12" s="50" t="n">
        <v>0.18582006085</v>
      </c>
      <c r="N12" s="50" t="n">
        <v>0.08202250600000001</v>
      </c>
      <c r="O12" s="38" t="inlineStr">
        <is>
          <t>SARS customs, imports by office of clearance (fuel_trade_sars_by_office.csv)</t>
        </is>
      </c>
      <c r="P12" s="38" t="inlineStr">
        <is>
          <t>The only recorded entry from the Maputo and Matola side.</t>
        </is>
      </c>
    </row>
    <row r="13">
      <c r="A13" s="49" t="inlineStr">
        <is>
          <t>Other offices</t>
        </is>
      </c>
      <c r="B13" s="49" t="inlineStr">
        <is>
          <t>Land borders and inland offices</t>
        </is>
      </c>
      <c r="C13" s="50" t="n">
        <v>0.00043176669</v>
      </c>
      <c r="D13" s="50" t="n">
        <v>0.00467525594</v>
      </c>
      <c r="E13" s="50" t="n">
        <v>0.00313597368</v>
      </c>
      <c r="F13" s="50" t="n">
        <v>0.00074357618</v>
      </c>
      <c r="G13" s="50" t="n">
        <v>0.00041767239</v>
      </c>
      <c r="H13" s="50" t="n">
        <v>4.726407e-05</v>
      </c>
      <c r="I13" s="50" t="n">
        <v>0.00011745485</v>
      </c>
      <c r="J13" s="50" t="n">
        <v>0.00271854974</v>
      </c>
      <c r="K13" s="50" t="n">
        <v>0.000723718</v>
      </c>
      <c r="L13" s="50" t="n">
        <v>0.00086713425</v>
      </c>
      <c r="M13" s="50" t="n">
        <v>0.00072742656</v>
      </c>
      <c r="N13" s="50" t="n">
        <v>0.0033929065</v>
      </c>
      <c r="O13" s="38" t="inlineStr">
        <is>
          <t>SARS customs, imports by office of clearance (fuel_trade_sars_by_office.csv)</t>
        </is>
      </c>
      <c r="P13" s="38" t="inlineStr"/>
    </row>
    <row r="14">
      <c r="A14" s="51" t="inlineStr">
        <is>
          <t>All offices</t>
        </is>
      </c>
      <c r="B14" s="52" t="n"/>
      <c r="C14" s="53">
        <f>SUM(C6:C13)</f>
        <v/>
      </c>
      <c r="D14" s="53">
        <f>SUM(D6:D13)</f>
        <v/>
      </c>
      <c r="E14" s="53">
        <f>SUM(E6:E13)</f>
        <v/>
      </c>
      <c r="F14" s="53">
        <f>SUM(F6:F13)</f>
        <v/>
      </c>
      <c r="G14" s="53">
        <f>SUM(G6:G13)</f>
        <v/>
      </c>
      <c r="H14" s="53">
        <f>SUM(H6:H13)</f>
        <v/>
      </c>
      <c r="I14" s="53">
        <f>SUM(I6:I13)</f>
        <v/>
      </c>
      <c r="J14" s="53">
        <f>SUM(J6:J13)</f>
        <v/>
      </c>
      <c r="K14" s="53">
        <f>SUM(K6:K13)</f>
        <v/>
      </c>
      <c r="L14" s="53">
        <f>SUM(L6:L13)</f>
        <v/>
      </c>
      <c r="M14" s="53">
        <f>SUM(M6:M13)</f>
        <v/>
      </c>
      <c r="N14" s="53">
        <f>SUM(N6:N13)</f>
        <v/>
      </c>
      <c r="O14" s="42" t="inlineStr">
        <is>
          <t>Sum of the rows above; equals SARS national imports on the History sheet</t>
        </is>
      </c>
      <c r="P14" s="42" t="n"/>
    </row>
    <row r="15">
      <c r="A15" s="52" t="inlineStr">
        <is>
          <t>Durban share</t>
        </is>
      </c>
      <c r="B15" s="52" t="n"/>
      <c r="C15" s="54">
        <f>IF(C14=0,"",C6/C14)</f>
        <v/>
      </c>
      <c r="D15" s="54">
        <f>IF(D14=0,"",D6/D14)</f>
        <v/>
      </c>
      <c r="E15" s="54">
        <f>IF(E14=0,"",E6/E14)</f>
        <v/>
      </c>
      <c r="F15" s="54">
        <f>IF(F14=0,"",F6/F14)</f>
        <v/>
      </c>
      <c r="G15" s="54">
        <f>IF(G14=0,"",G6/G14)</f>
        <v/>
      </c>
      <c r="H15" s="54">
        <f>IF(H14=0,"",H6/H14)</f>
        <v/>
      </c>
      <c r="I15" s="54">
        <f>IF(I14=0,"",I6/I14)</f>
        <v/>
      </c>
      <c r="J15" s="54">
        <f>IF(J14=0,"",J6/J14)</f>
        <v/>
      </c>
      <c r="K15" s="54">
        <f>IF(K14=0,"",K6/K14)</f>
        <v/>
      </c>
      <c r="L15" s="54">
        <f>IF(L14=0,"",L6/L14)</f>
        <v/>
      </c>
      <c r="M15" s="54">
        <f>IF(M14=0,"",M6/M14)</f>
        <v/>
      </c>
      <c r="N15" s="54">
        <f>IF(N14=0,"",N6/N14)</f>
        <v/>
      </c>
      <c r="O15" s="42" t="inlineStr">
        <is>
          <t>Calculated: Durban over all offices</t>
        </is>
      </c>
      <c r="P15" s="42" t="n"/>
    </row>
    <row r="17">
      <c r="A17" s="48" t="inlineStr">
        <is>
          <t>Petrol</t>
        </is>
      </c>
      <c r="B17" s="48" t="n"/>
      <c r="C17" s="48" t="n"/>
      <c r="D17" s="48" t="n"/>
      <c r="E17" s="48" t="n"/>
      <c r="F17" s="48" t="n"/>
      <c r="G17" s="48" t="n"/>
      <c r="H17" s="48" t="n"/>
      <c r="I17" s="48" t="n"/>
      <c r="J17" s="48" t="n"/>
      <c r="K17" s="48" t="n"/>
      <c r="L17" s="48" t="n"/>
      <c r="M17" s="48" t="n"/>
      <c r="N17" s="48" t="n"/>
      <c r="O17" s="48" t="n"/>
      <c r="P17" s="48" t="n"/>
    </row>
    <row r="18">
      <c r="A18" s="49" t="inlineStr">
        <is>
          <t>Durban</t>
        </is>
      </c>
      <c r="B18" s="49" t="inlineStr">
        <is>
          <t>Sea</t>
        </is>
      </c>
      <c r="C18" s="50" t="n">
        <v>0.85247094</v>
      </c>
      <c r="D18" s="50" t="n">
        <v>1.44254280764</v>
      </c>
      <c r="E18" s="50" t="n">
        <v>1.13647002436</v>
      </c>
      <c r="F18" s="50" t="n">
        <v>1.72928571202</v>
      </c>
      <c r="G18" s="50" t="n">
        <v>1.53643879</v>
      </c>
      <c r="H18" s="50" t="n">
        <v>1.25634839252</v>
      </c>
      <c r="I18" s="50" t="n">
        <v>0.664092731</v>
      </c>
      <c r="J18" s="50" t="n">
        <v>2.436564685</v>
      </c>
      <c r="K18" s="50" t="n">
        <v>3.882669362</v>
      </c>
      <c r="L18" s="50" t="n">
        <v>4.165599231</v>
      </c>
      <c r="M18" s="50" t="n">
        <v>3.804725224</v>
      </c>
      <c r="N18" s="50" t="n">
        <v>4.228979739</v>
      </c>
      <c r="O18" s="38" t="inlineStr">
        <is>
          <t>SARS customs, imports by office of clearance (fuel_trade_sars_by_office.csv)</t>
        </is>
      </c>
      <c r="P18" s="38" t="inlineStr">
        <is>
          <t>Includes fuel for the inland pipeline and for the coast.</t>
        </is>
      </c>
    </row>
    <row r="19">
      <c r="A19" s="49" t="inlineStr">
        <is>
          <t>Cape Town</t>
        </is>
      </c>
      <c r="B19" s="49" t="inlineStr">
        <is>
          <t>Sea</t>
        </is>
      </c>
      <c r="C19" s="50" t="n">
        <v>0.187501032</v>
      </c>
      <c r="D19" s="50" t="n">
        <v>0.262594189</v>
      </c>
      <c r="E19" s="50" t="n">
        <v>0.058894374</v>
      </c>
      <c r="F19" s="50" t="n">
        <v>0.21050907424</v>
      </c>
      <c r="G19" s="50" t="n">
        <v>0.18265634019</v>
      </c>
      <c r="H19" s="50" t="n">
        <v>0.11619285849</v>
      </c>
      <c r="I19" s="50" t="n">
        <v>1.0027419188</v>
      </c>
      <c r="J19" s="50" t="n">
        <v>1.431945116</v>
      </c>
      <c r="K19" s="50" t="n">
        <v>1.500340893</v>
      </c>
      <c r="L19" s="50" t="n">
        <v>0.233049258</v>
      </c>
      <c r="M19" s="50" t="n">
        <v>0.131091</v>
      </c>
      <c r="N19" s="50" t="n">
        <v>0.185597544</v>
      </c>
      <c r="O19" s="38" t="inlineStr">
        <is>
          <t>SARS customs, imports by office of clearance (fuel_trade_sars_by_office.csv)</t>
        </is>
      </c>
      <c r="P19" s="38" t="inlineStr"/>
    </row>
    <row r="20">
      <c r="A20" s="49" t="inlineStr">
        <is>
          <t>Mossel Bay</t>
        </is>
      </c>
      <c r="B20" s="49" t="inlineStr">
        <is>
          <t>Sea</t>
        </is>
      </c>
      <c r="C20" s="50" t="n">
        <v>0</v>
      </c>
      <c r="D20" s="50" t="n">
        <v>0</v>
      </c>
      <c r="E20" s="50" t="n">
        <v>0.010228015</v>
      </c>
      <c r="F20" s="50" t="n">
        <v>0</v>
      </c>
      <c r="G20" s="50" t="n">
        <v>0</v>
      </c>
      <c r="H20" s="50" t="n">
        <v>0.046954148</v>
      </c>
      <c r="I20" s="50" t="n">
        <v>0</v>
      </c>
      <c r="J20" s="50" t="n">
        <v>0.099757575</v>
      </c>
      <c r="K20" s="50" t="n">
        <v>0.034555764</v>
      </c>
      <c r="L20" s="50" t="n">
        <v>0.068691824</v>
      </c>
      <c r="M20" s="50" t="n">
        <v>0.049694999</v>
      </c>
      <c r="N20" s="50" t="n">
        <v>0</v>
      </c>
      <c r="O20" s="38" t="inlineStr">
        <is>
          <t>SARS customs, imports by office of clearance (fuel_trade_sars_by_office.csv)</t>
        </is>
      </c>
      <c r="P20" s="38" t="inlineStr"/>
    </row>
    <row r="21">
      <c r="A21" s="49" t="inlineStr">
        <is>
          <t>East London</t>
        </is>
      </c>
      <c r="B21" s="49" t="inlineStr">
        <is>
          <t>Sea</t>
        </is>
      </c>
      <c r="C21" s="50" t="n">
        <v>0.069111017</v>
      </c>
      <c r="D21" s="50" t="n">
        <v>0.10173686088</v>
      </c>
      <c r="E21" s="50" t="n">
        <v>0.08370649099999999</v>
      </c>
      <c r="F21" s="50" t="n">
        <v>0.06964011619</v>
      </c>
      <c r="G21" s="50" t="n">
        <v>0.018334526</v>
      </c>
      <c r="H21" s="50" t="n">
        <v>0</v>
      </c>
      <c r="I21" s="50" t="n">
        <v>0.0118587</v>
      </c>
      <c r="J21" s="50" t="n">
        <v>0</v>
      </c>
      <c r="K21" s="50" t="n">
        <v>0.005168638</v>
      </c>
      <c r="L21" s="50" t="n">
        <v>0.008596477</v>
      </c>
      <c r="M21" s="50" t="n">
        <v>0.01313950301</v>
      </c>
      <c r="N21" s="50" t="n">
        <v>0.031405816</v>
      </c>
      <c r="O21" s="38" t="inlineStr">
        <is>
          <t>SARS customs, imports by office of clearance (fuel_trade_sars_by_office.csv)</t>
        </is>
      </c>
      <c r="P21" s="38" t="inlineStr"/>
    </row>
    <row r="22">
      <c r="A22" s="49" t="inlineStr">
        <is>
          <t>Port Elizabeth</t>
        </is>
      </c>
      <c r="B22" s="49" t="inlineStr">
        <is>
          <t>Sea</t>
        </is>
      </c>
      <c r="C22" s="50" t="n">
        <v>0.04104864063</v>
      </c>
      <c r="D22" s="50" t="n">
        <v>0.06273817831</v>
      </c>
      <c r="E22" s="50" t="n">
        <v>0.07059936554</v>
      </c>
      <c r="F22" s="50" t="n">
        <v>0.01998260759</v>
      </c>
      <c r="G22" s="50" t="n">
        <v>0.01489263246</v>
      </c>
      <c r="H22" s="50" t="n">
        <v>0.00108430111</v>
      </c>
      <c r="I22" s="50" t="n">
        <v>0.0007748566800000001</v>
      </c>
      <c r="J22" s="50" t="n">
        <v>0.0007812402099999999</v>
      </c>
      <c r="K22" s="50" t="n">
        <v>0.00371315593</v>
      </c>
      <c r="L22" s="50" t="n">
        <v>0.00670979238</v>
      </c>
      <c r="M22" s="50" t="n">
        <v>0.00119405589</v>
      </c>
      <c r="N22" s="50" t="n">
        <v>0.00306974015</v>
      </c>
      <c r="O22" s="38" t="inlineStr">
        <is>
          <t>SARS customs, imports by office of clearance (fuel_trade_sars_by_office.csv)</t>
        </is>
      </c>
      <c r="P22" s="38" t="inlineStr"/>
    </row>
    <row r="23">
      <c r="A23" s="49" t="inlineStr">
        <is>
          <t>Richards Bay</t>
        </is>
      </c>
      <c r="B23" s="49" t="inlineStr">
        <is>
          <t>Sea</t>
        </is>
      </c>
      <c r="C23" s="50" t="n">
        <v>0</v>
      </c>
      <c r="D23" s="50" t="n">
        <v>0</v>
      </c>
      <c r="E23" s="50" t="n">
        <v>0</v>
      </c>
      <c r="F23" s="50" t="n">
        <v>0.038417234</v>
      </c>
      <c r="G23" s="50" t="n">
        <v>0.03354092</v>
      </c>
      <c r="H23" s="50" t="n">
        <v>0.018129952</v>
      </c>
      <c r="I23" s="50" t="n">
        <v>0.009266228</v>
      </c>
      <c r="J23" s="50" t="n">
        <v>0</v>
      </c>
      <c r="K23" s="50" t="n">
        <v>0</v>
      </c>
      <c r="L23" s="50" t="n">
        <v>0</v>
      </c>
      <c r="M23" s="50" t="n">
        <v>0</v>
      </c>
      <c r="N23" s="50" t="n">
        <v>0</v>
      </c>
      <c r="O23" s="38" t="inlineStr">
        <is>
          <t>SARS customs, imports by office of clearance (fuel_trade_sars_by_office.csv)</t>
        </is>
      </c>
      <c r="P23" s="38" t="inlineStr"/>
    </row>
    <row r="24">
      <c r="A24" s="49" t="inlineStr">
        <is>
          <t>Komatipoort</t>
        </is>
      </c>
      <c r="B24" s="49" t="inlineStr">
        <is>
          <t>Road, from Mozambique</t>
        </is>
      </c>
      <c r="C24" s="50" t="n">
        <v>0</v>
      </c>
      <c r="D24" s="50" t="n">
        <v>0</v>
      </c>
      <c r="E24" s="50" t="n">
        <v>0.0346726134</v>
      </c>
      <c r="F24" s="50" t="n">
        <v>0.046040565</v>
      </c>
      <c r="G24" s="50" t="n">
        <v>0.04390319</v>
      </c>
      <c r="H24" s="50" t="n">
        <v>0.03866750897</v>
      </c>
      <c r="I24" s="50" t="n">
        <v>0.030842959</v>
      </c>
      <c r="J24" s="50" t="n">
        <v>0.039454367</v>
      </c>
      <c r="K24" s="50" t="n">
        <v>0.028805741</v>
      </c>
      <c r="L24" s="50" t="n">
        <v>0.000125422</v>
      </c>
      <c r="M24" s="50" t="n">
        <v>0.001009567</v>
      </c>
      <c r="N24" s="50" t="n">
        <v>0.004416485</v>
      </c>
      <c r="O24" s="38" t="inlineStr">
        <is>
          <t>SARS customs, imports by office of clearance (fuel_trade_sars_by_office.csv)</t>
        </is>
      </c>
      <c r="P24" s="38" t="inlineStr">
        <is>
          <t>The only recorded entry from the Maputo and Matola side.</t>
        </is>
      </c>
    </row>
    <row r="25">
      <c r="A25" s="49" t="inlineStr">
        <is>
          <t>Other offices</t>
        </is>
      </c>
      <c r="B25" s="49" t="inlineStr">
        <is>
          <t>Land borders and inland offices</t>
        </is>
      </c>
      <c r="C25" s="50" t="n">
        <v>6.319224e-05</v>
      </c>
      <c r="D25" s="50" t="n">
        <v>3.317238e-05</v>
      </c>
      <c r="E25" s="50" t="n">
        <v>0.0010675928</v>
      </c>
      <c r="F25" s="50" t="n">
        <v>0.0002811756</v>
      </c>
      <c r="G25" s="50" t="n">
        <v>4.86485e-06</v>
      </c>
      <c r="H25" s="50" t="n">
        <v>8.68e-06</v>
      </c>
      <c r="I25" s="50" t="n">
        <v>9.5671e-05</v>
      </c>
      <c r="J25" s="50" t="n">
        <v>0.00010978057</v>
      </c>
      <c r="K25" s="50" t="n">
        <v>8.26079e-06</v>
      </c>
      <c r="L25" s="50" t="n">
        <v>2.756e-06</v>
      </c>
      <c r="M25" s="50" t="n">
        <v>8.455e-08</v>
      </c>
      <c r="N25" s="50" t="n">
        <v>1.854e-06</v>
      </c>
      <c r="O25" s="38" t="inlineStr">
        <is>
          <t>SARS customs, imports by office of clearance (fuel_trade_sars_by_office.csv)</t>
        </is>
      </c>
      <c r="P25" s="38" t="inlineStr"/>
    </row>
    <row r="26">
      <c r="A26" s="51" t="inlineStr">
        <is>
          <t>All offices</t>
        </is>
      </c>
      <c r="B26" s="52" t="n"/>
      <c r="C26" s="53">
        <f>SUM(C18:C25)</f>
        <v/>
      </c>
      <c r="D26" s="53">
        <f>SUM(D18:D25)</f>
        <v/>
      </c>
      <c r="E26" s="53">
        <f>SUM(E18:E25)</f>
        <v/>
      </c>
      <c r="F26" s="53">
        <f>SUM(F18:F25)</f>
        <v/>
      </c>
      <c r="G26" s="53">
        <f>SUM(G18:G25)</f>
        <v/>
      </c>
      <c r="H26" s="53">
        <f>SUM(H18:H25)</f>
        <v/>
      </c>
      <c r="I26" s="53">
        <f>SUM(I18:I25)</f>
        <v/>
      </c>
      <c r="J26" s="53">
        <f>SUM(J18:J25)</f>
        <v/>
      </c>
      <c r="K26" s="53">
        <f>SUM(K18:K25)</f>
        <v/>
      </c>
      <c r="L26" s="53">
        <f>SUM(L18:L25)</f>
        <v/>
      </c>
      <c r="M26" s="53">
        <f>SUM(M18:M25)</f>
        <v/>
      </c>
      <c r="N26" s="53">
        <f>SUM(N18:N25)</f>
        <v/>
      </c>
      <c r="O26" s="42" t="inlineStr">
        <is>
          <t>Sum of the rows above; equals SARS national imports on the History sheet</t>
        </is>
      </c>
      <c r="P26" s="42" t="n"/>
    </row>
    <row r="27">
      <c r="A27" s="52" t="inlineStr">
        <is>
          <t>Durban share</t>
        </is>
      </c>
      <c r="B27" s="52" t="n"/>
      <c r="C27" s="54">
        <f>IF(C26=0,"",C18/C26)</f>
        <v/>
      </c>
      <c r="D27" s="54">
        <f>IF(D26=0,"",D18/D26)</f>
        <v/>
      </c>
      <c r="E27" s="54">
        <f>IF(E26=0,"",E18/E26)</f>
        <v/>
      </c>
      <c r="F27" s="54">
        <f>IF(F26=0,"",F18/F26)</f>
        <v/>
      </c>
      <c r="G27" s="54">
        <f>IF(G26=0,"",G18/G26)</f>
        <v/>
      </c>
      <c r="H27" s="54">
        <f>IF(H26=0,"",H18/H26)</f>
        <v/>
      </c>
      <c r="I27" s="54">
        <f>IF(I26=0,"",I18/I26)</f>
        <v/>
      </c>
      <c r="J27" s="54">
        <f>IF(J26=0,"",J18/J26)</f>
        <v/>
      </c>
      <c r="K27" s="54">
        <f>IF(K26=0,"",K18/K26)</f>
        <v/>
      </c>
      <c r="L27" s="54">
        <f>IF(L26=0,"",L18/L26)</f>
        <v/>
      </c>
      <c r="M27" s="54">
        <f>IF(M26=0,"",M18/M26)</f>
        <v/>
      </c>
      <c r="N27" s="54">
        <f>IF(N26=0,"",N18/N26)</f>
        <v/>
      </c>
      <c r="O27" s="42" t="inlineStr">
        <is>
          <t>Calculated: Durban over all offices</t>
        </is>
      </c>
      <c r="P27" s="42" t="n"/>
    </row>
    <row r="29">
      <c r="A29" s="48" t="inlineStr">
        <is>
          <t>Diesel and petrol</t>
        </is>
      </c>
      <c r="B29" s="48" t="n"/>
      <c r="C29" s="48" t="n"/>
      <c r="D29" s="48" t="n"/>
      <c r="E29" s="48" t="n"/>
      <c r="F29" s="48" t="n"/>
      <c r="G29" s="48" t="n"/>
      <c r="H29" s="48" t="n"/>
      <c r="I29" s="48" t="n"/>
      <c r="J29" s="48" t="n"/>
      <c r="K29" s="48" t="n"/>
      <c r="L29" s="48" t="n"/>
      <c r="M29" s="48" t="n"/>
      <c r="N29" s="48" t="n"/>
      <c r="O29" s="48" t="n"/>
      <c r="P29" s="48" t="n"/>
    </row>
    <row r="30">
      <c r="A30" s="49" t="inlineStr">
        <is>
          <t>Durban</t>
        </is>
      </c>
      <c r="B30" s="49" t="inlineStr">
        <is>
          <t>Sea</t>
        </is>
      </c>
      <c r="C30" s="50" t="n">
        <v>4.25376434791</v>
      </c>
      <c r="D30" s="50" t="n">
        <v>5.48524306264</v>
      </c>
      <c r="E30" s="50" t="n">
        <v>4.57782706424</v>
      </c>
      <c r="F30" s="50" t="n">
        <v>6.60582298802</v>
      </c>
      <c r="G30" s="50" t="n">
        <v>5.522342896550001</v>
      </c>
      <c r="H30" s="50" t="n">
        <v>5.06549172252</v>
      </c>
      <c r="I30" s="50" t="n">
        <v>4.490030409</v>
      </c>
      <c r="J30" s="50" t="n">
        <v>8.271437864999999</v>
      </c>
      <c r="K30" s="50" t="n">
        <v>11.76391736834</v>
      </c>
      <c r="L30" s="50" t="n">
        <v>13.29063574142</v>
      </c>
      <c r="M30" s="50" t="n">
        <v>11.83761516164</v>
      </c>
      <c r="N30" s="50" t="n">
        <v>13.16051517964</v>
      </c>
      <c r="O30" s="38" t="inlineStr">
        <is>
          <t>SARS customs, imports by office of clearance (fuel_trade_sars_by_office.csv)</t>
        </is>
      </c>
      <c r="P30" s="38" t="inlineStr">
        <is>
          <t>Includes fuel for the inland pipeline and for the coast.</t>
        </is>
      </c>
    </row>
    <row r="31">
      <c r="A31" s="49" t="inlineStr">
        <is>
          <t>Cape Town</t>
        </is>
      </c>
      <c r="B31" s="49" t="inlineStr">
        <is>
          <t>Sea</t>
        </is>
      </c>
      <c r="C31" s="50" t="n">
        <v>0.750986099</v>
      </c>
      <c r="D31" s="50" t="n">
        <v>1.259236323</v>
      </c>
      <c r="E31" s="50" t="n">
        <v>0.273846349</v>
      </c>
      <c r="F31" s="50" t="n">
        <v>0.60515218743</v>
      </c>
      <c r="G31" s="50" t="n">
        <v>0.69578972791</v>
      </c>
      <c r="H31" s="50" t="n">
        <v>0.71775415002</v>
      </c>
      <c r="I31" s="50" t="n">
        <v>2.8454642948</v>
      </c>
      <c r="J31" s="50" t="n">
        <v>3.782660438</v>
      </c>
      <c r="K31" s="50" t="n">
        <v>3.98543792</v>
      </c>
      <c r="L31" s="50" t="n">
        <v>1.620633375</v>
      </c>
      <c r="M31" s="50" t="n">
        <v>1.088567429</v>
      </c>
      <c r="N31" s="50" t="n">
        <v>1.520989729</v>
      </c>
      <c r="O31" s="38" t="inlineStr">
        <is>
          <t>SARS customs, imports by office of clearance (fuel_trade_sars_by_office.csv)</t>
        </is>
      </c>
      <c r="P31" s="38" t="inlineStr"/>
    </row>
    <row r="32">
      <c r="A32" s="49" t="inlineStr">
        <is>
          <t>Mossel Bay</t>
        </is>
      </c>
      <c r="B32" s="49" t="inlineStr">
        <is>
          <t>Sea</t>
        </is>
      </c>
      <c r="C32" s="50" t="n">
        <v>0.770853449</v>
      </c>
      <c r="D32" s="50" t="n">
        <v>0.951908118</v>
      </c>
      <c r="E32" s="50" t="n">
        <v>0.4024997280199999</v>
      </c>
      <c r="F32" s="50" t="n">
        <v>0.290250522</v>
      </c>
      <c r="G32" s="50" t="n">
        <v>0.138237059</v>
      </c>
      <c r="H32" s="50" t="n">
        <v>0.760706696</v>
      </c>
      <c r="I32" s="50" t="n">
        <v>0.400193929</v>
      </c>
      <c r="J32" s="50" t="n">
        <v>0.774433401</v>
      </c>
      <c r="K32" s="50" t="n">
        <v>0.6014541092400001</v>
      </c>
      <c r="L32" s="50" t="n">
        <v>1.161842428</v>
      </c>
      <c r="M32" s="50" t="n">
        <v>0.623079651</v>
      </c>
      <c r="N32" s="50" t="n">
        <v>0.521797795</v>
      </c>
      <c r="O32" s="38" t="inlineStr">
        <is>
          <t>SARS customs, imports by office of clearance (fuel_trade_sars_by_office.csv)</t>
        </is>
      </c>
      <c r="P32" s="38" t="inlineStr"/>
    </row>
    <row r="33">
      <c r="A33" s="49" t="inlineStr">
        <is>
          <t>East London</t>
        </is>
      </c>
      <c r="B33" s="49" t="inlineStr">
        <is>
          <t>Sea</t>
        </is>
      </c>
      <c r="C33" s="50" t="n">
        <v>0.128599809</v>
      </c>
      <c r="D33" s="50" t="n">
        <v>0.20350866795</v>
      </c>
      <c r="E33" s="50" t="n">
        <v>0.157508881</v>
      </c>
      <c r="F33" s="50" t="n">
        <v>0.15304060559</v>
      </c>
      <c r="G33" s="50" t="n">
        <v>0.08452105700000001</v>
      </c>
      <c r="H33" s="50" t="n">
        <v>0.07354029300000001</v>
      </c>
      <c r="I33" s="50" t="n">
        <v>0.21183374</v>
      </c>
      <c r="J33" s="50" t="n">
        <v>0.206861973</v>
      </c>
      <c r="K33" s="50" t="n">
        <v>0.19484943</v>
      </c>
      <c r="L33" s="50" t="n">
        <v>0.359985296</v>
      </c>
      <c r="M33" s="50" t="n">
        <v>0.52690721301</v>
      </c>
      <c r="N33" s="50" t="n">
        <v>0.4347131910000001</v>
      </c>
      <c r="O33" s="38" t="inlineStr">
        <is>
          <t>SARS customs, imports by office of clearance (fuel_trade_sars_by_office.csv)</t>
        </is>
      </c>
      <c r="P33" s="38" t="inlineStr"/>
    </row>
    <row r="34">
      <c r="A34" s="49" t="inlineStr">
        <is>
          <t>Port Elizabeth</t>
        </is>
      </c>
      <c r="B34" s="49" t="inlineStr">
        <is>
          <t>Sea</t>
        </is>
      </c>
      <c r="C34" s="50" t="n">
        <v>0.08614618963000001</v>
      </c>
      <c r="D34" s="50" t="n">
        <v>0.15853164029</v>
      </c>
      <c r="E34" s="50" t="n">
        <v>0.13257921585</v>
      </c>
      <c r="F34" s="50" t="n">
        <v>0.07227268759</v>
      </c>
      <c r="G34" s="50" t="n">
        <v>0.11411262938</v>
      </c>
      <c r="H34" s="50" t="n">
        <v>0.08677185000000001</v>
      </c>
      <c r="I34" s="50" t="n">
        <v>0.19248221968</v>
      </c>
      <c r="J34" s="50" t="n">
        <v>0.25695914021</v>
      </c>
      <c r="K34" s="50" t="n">
        <v>0.22884350193</v>
      </c>
      <c r="L34" s="50" t="n">
        <v>0.34337716738</v>
      </c>
      <c r="M34" s="50" t="n">
        <v>0.13889249689</v>
      </c>
      <c r="N34" s="50" t="n">
        <v>0.31642719408</v>
      </c>
      <c r="O34" s="38" t="inlineStr">
        <is>
          <t>SARS customs, imports by office of clearance (fuel_trade_sars_by_office.csv)</t>
        </is>
      </c>
      <c r="P34" s="38" t="inlineStr"/>
    </row>
    <row r="35">
      <c r="A35" s="49" t="inlineStr">
        <is>
          <t>Richards Bay</t>
        </is>
      </c>
      <c r="B35" s="49" t="inlineStr">
        <is>
          <t>Sea</t>
        </is>
      </c>
      <c r="C35" s="50" t="n">
        <v>0</v>
      </c>
      <c r="D35" s="50" t="n">
        <v>0</v>
      </c>
      <c r="E35" s="50" t="n">
        <v>0</v>
      </c>
      <c r="F35" s="50" t="n">
        <v>0.144132057</v>
      </c>
      <c r="G35" s="50" t="n">
        <v>0.125371879</v>
      </c>
      <c r="H35" s="50" t="n">
        <v>0.111942881</v>
      </c>
      <c r="I35" s="50" t="n">
        <v>0.156059074</v>
      </c>
      <c r="J35" s="50" t="n">
        <v>0.234036815</v>
      </c>
      <c r="K35" s="50" t="n">
        <v>0.331319789</v>
      </c>
      <c r="L35" s="50" t="n">
        <v>0.320766702</v>
      </c>
      <c r="M35" s="50" t="n">
        <v>0.390782477</v>
      </c>
      <c r="N35" s="50" t="n">
        <v>0.6579146</v>
      </c>
      <c r="O35" s="38" t="inlineStr">
        <is>
          <t>SARS customs, imports by office of clearance (fuel_trade_sars_by_office.csv)</t>
        </is>
      </c>
      <c r="P35" s="38" t="inlineStr"/>
    </row>
    <row r="36">
      <c r="A36" s="49" t="inlineStr">
        <is>
          <t>Komatipoort</t>
        </is>
      </c>
      <c r="B36" s="49" t="inlineStr">
        <is>
          <t>Road, from Mozambique</t>
        </is>
      </c>
      <c r="C36" s="50" t="n">
        <v>0.151062295</v>
      </c>
      <c r="D36" s="50" t="n">
        <v>0.25728800257</v>
      </c>
      <c r="E36" s="50" t="n">
        <v>0.2714686364</v>
      </c>
      <c r="F36" s="50" t="n">
        <v>0.27992059604</v>
      </c>
      <c r="G36" s="50" t="n">
        <v>0.27193296396</v>
      </c>
      <c r="H36" s="50" t="n">
        <v>0.25139441304</v>
      </c>
      <c r="I36" s="50" t="n">
        <v>0.23838171999</v>
      </c>
      <c r="J36" s="50" t="n">
        <v>0.240790107</v>
      </c>
      <c r="K36" s="50" t="n">
        <v>0.30296426532</v>
      </c>
      <c r="L36" s="50" t="n">
        <v>0.254696261</v>
      </c>
      <c r="M36" s="50" t="n">
        <v>0.18682962785</v>
      </c>
      <c r="N36" s="50" t="n">
        <v>0.08643899100000001</v>
      </c>
      <c r="O36" s="38" t="inlineStr">
        <is>
          <t>SARS customs, imports by office of clearance (fuel_trade_sars_by_office.csv)</t>
        </is>
      </c>
      <c r="P36" s="38" t="inlineStr">
        <is>
          <t>The only recorded entry from the Maputo and Matola side.</t>
        </is>
      </c>
    </row>
    <row r="37">
      <c r="A37" s="49" t="inlineStr">
        <is>
          <t>Other offices</t>
        </is>
      </c>
      <c r="B37" s="49" t="inlineStr">
        <is>
          <t>Land borders and inland offices</t>
        </is>
      </c>
      <c r="C37" s="50" t="n">
        <v>0.00049495893</v>
      </c>
      <c r="D37" s="50" t="n">
        <v>0.00470842832</v>
      </c>
      <c r="E37" s="50" t="n">
        <v>0.00420356648</v>
      </c>
      <c r="F37" s="50" t="n">
        <v>0.00102475178</v>
      </c>
      <c r="G37" s="50" t="n">
        <v>0.00042253724</v>
      </c>
      <c r="H37" s="50" t="n">
        <v>5.594407e-05</v>
      </c>
      <c r="I37" s="50" t="n">
        <v>0.00021312585</v>
      </c>
      <c r="J37" s="50" t="n">
        <v>0.00282833031</v>
      </c>
      <c r="K37" s="50" t="n">
        <v>0.00073197879</v>
      </c>
      <c r="L37" s="50" t="n">
        <v>0.00086989025</v>
      </c>
      <c r="M37" s="50" t="n">
        <v>0.00072751111</v>
      </c>
      <c r="N37" s="50" t="n">
        <v>0.0033947605</v>
      </c>
      <c r="O37" s="38" t="inlineStr">
        <is>
          <t>SARS customs, imports by office of clearance (fuel_trade_sars_by_office.csv)</t>
        </is>
      </c>
      <c r="P37" s="38" t="inlineStr"/>
    </row>
    <row r="38">
      <c r="A38" s="51" t="inlineStr">
        <is>
          <t>All offices</t>
        </is>
      </c>
      <c r="B38" s="52" t="n"/>
      <c r="C38" s="53">
        <f>SUM(C30:C37)</f>
        <v/>
      </c>
      <c r="D38" s="53">
        <f>SUM(D30:D37)</f>
        <v/>
      </c>
      <c r="E38" s="53">
        <f>SUM(E30:E37)</f>
        <v/>
      </c>
      <c r="F38" s="53">
        <f>SUM(F30:F37)</f>
        <v/>
      </c>
      <c r="G38" s="53">
        <f>SUM(G30:G37)</f>
        <v/>
      </c>
      <c r="H38" s="53">
        <f>SUM(H30:H37)</f>
        <v/>
      </c>
      <c r="I38" s="53">
        <f>SUM(I30:I37)</f>
        <v/>
      </c>
      <c r="J38" s="53">
        <f>SUM(J30:J37)</f>
        <v/>
      </c>
      <c r="K38" s="53">
        <f>SUM(K30:K37)</f>
        <v/>
      </c>
      <c r="L38" s="53">
        <f>SUM(L30:L37)</f>
        <v/>
      </c>
      <c r="M38" s="53">
        <f>SUM(M30:M37)</f>
        <v/>
      </c>
      <c r="N38" s="53">
        <f>SUM(N30:N37)</f>
        <v/>
      </c>
      <c r="O38" s="42" t="inlineStr">
        <is>
          <t>Sum of the rows above; equals SARS national imports on the History sheet</t>
        </is>
      </c>
      <c r="P38" s="42" t="n"/>
    </row>
    <row r="39">
      <c r="A39" s="52" t="inlineStr">
        <is>
          <t>Durban share</t>
        </is>
      </c>
      <c r="B39" s="52" t="n"/>
      <c r="C39" s="54">
        <f>IF(C38=0,"",C30/C38)</f>
        <v/>
      </c>
      <c r="D39" s="54">
        <f>IF(D38=0,"",D30/D38)</f>
        <v/>
      </c>
      <c r="E39" s="54">
        <f>IF(E38=0,"",E30/E38)</f>
        <v/>
      </c>
      <c r="F39" s="54">
        <f>IF(F38=0,"",F30/F38)</f>
        <v/>
      </c>
      <c r="G39" s="54">
        <f>IF(G38=0,"",G30/G38)</f>
        <v/>
      </c>
      <c r="H39" s="54">
        <f>IF(H38=0,"",H30/H38)</f>
        <v/>
      </c>
      <c r="I39" s="54">
        <f>IF(I38=0,"",I30/I38)</f>
        <v/>
      </c>
      <c r="J39" s="54">
        <f>IF(J38=0,"",J30/J38)</f>
        <v/>
      </c>
      <c r="K39" s="54">
        <f>IF(K38=0,"",K30/K38)</f>
        <v/>
      </c>
      <c r="L39" s="54">
        <f>IF(L38=0,"",L30/L38)</f>
        <v/>
      </c>
      <c r="M39" s="54">
        <f>IF(M38=0,"",M30/M38)</f>
        <v/>
      </c>
      <c r="N39" s="54">
        <f>IF(N38=0,"",N30/N38)</f>
        <v/>
      </c>
      <c r="O39" s="42" t="inlineStr">
        <is>
          <t>Calculated: Durban over all offices</t>
        </is>
      </c>
      <c r="P39" s="42"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8"/>
  <sheetViews>
    <sheetView workbookViewId="0">
      <pane xSplit="1" ySplit="14" topLeftCell="B15" activePane="bottomRight" state="frozen"/>
      <selection pane="topRight"/>
      <selection pane="bottomLeft"/>
      <selection pane="bottomRight" activeCell="A1" sqref="A1"/>
    </sheetView>
  </sheetViews>
  <sheetFormatPr baseColWidth="8" defaultRowHeight="15"/>
  <cols>
    <col width="44" customWidth="1" min="1" max="1"/>
    <col width="34" customWidth="1" min="2" max="2"/>
    <col width="10" customWidth="1" min="3" max="3"/>
    <col width="58" customWidth="1" min="4" max="4"/>
    <col width="9" customWidth="1" min="5" max="5"/>
    <col width="9" customWidth="1" min="6" max="6"/>
    <col width="9" customWidth="1" min="7" max="7"/>
    <col width="62" customWidth="1" min="8" max="8"/>
  </cols>
  <sheetData>
    <row r="1">
      <c r="A1" s="1" t="inlineStr">
        <is>
          <t>DR04 Regulated cost of moving petrol and diesel</t>
        </is>
      </c>
    </row>
    <row r="2">
      <c r="A2" s="2" t="inlineStr">
        <is>
          <t>Cents a litre. These are regulated allowances in the fuel price, set by the department and the energy regulator. They are not what a haulier or Transnet charges a shipper: commercial road and rail rates are not published.</t>
        </is>
      </c>
    </row>
    <row r="4">
      <c r="A4" s="48" t="inlineStr">
        <is>
          <t>Durban to Gauteng, by element</t>
        </is>
      </c>
      <c r="B4" s="48" t="n"/>
      <c r="C4" s="48" t="n"/>
      <c r="D4" s="48" t="n"/>
      <c r="E4" s="48" t="n"/>
      <c r="F4" s="48" t="n"/>
      <c r="G4" s="48" t="n"/>
      <c r="H4" s="48" t="n"/>
    </row>
    <row r="5">
      <c r="A5" s="3" t="inlineStr">
        <is>
          <t>Element</t>
        </is>
      </c>
      <c r="B5" s="3" t="inlineStr">
        <is>
          <t>2024/25</t>
        </is>
      </c>
      <c r="C5" s="3" t="inlineStr">
        <is>
          <t>2025/26</t>
        </is>
      </c>
      <c r="D5" s="3" t="inlineStr">
        <is>
          <t>2026/27</t>
        </is>
      </c>
      <c r="E5" s="3" t="inlineStr">
        <is>
          <t>Basis</t>
        </is>
      </c>
      <c r="H5" s="3" t="inlineStr">
        <is>
          <t>Source</t>
        </is>
      </c>
    </row>
    <row r="6">
      <c r="A6" s="49" t="inlineStr">
        <is>
          <t>Pipeline tariff, Durban to Alrode</t>
        </is>
      </c>
      <c r="B6" s="55" t="n">
        <v>67.98999999999999</v>
      </c>
      <c r="C6" s="56" t="n">
        <v>73.22</v>
      </c>
      <c r="D6" s="56" t="n">
        <v>77.02</v>
      </c>
      <c r="E6" s="38" t="inlineStr">
        <is>
          <t>2024/25 as reported; later years calculated by adding NERSA's stated increases</t>
        </is>
      </c>
      <c r="H6" s="38" t="inlineStr">
        <is>
          <t>NERSA statements of 15 March 2024 (as quoted by Engineering News) and 15 April 2025</t>
        </is>
      </c>
    </row>
    <row r="7">
      <c r="A7" s="49" t="inlineStr">
        <is>
          <t>Regulated transport differential, Gauteng (zone 9C)</t>
        </is>
      </c>
      <c r="B7" s="55" t="n">
        <v>82.8</v>
      </c>
      <c r="C7" s="55" t="n"/>
      <c r="D7" s="55" t="n">
        <v>91.09999999999999</v>
      </c>
      <c r="E7" s="38" t="inlineStr">
        <is>
          <t>Regulated allowance in the petrol and diesel price for transport from the coast</t>
        </is>
      </c>
      <c r="H7" s="38" t="inlineStr">
        <is>
          <t>Department zone list, April 2024; Central Energy Fund price composition, 1 April 2026</t>
        </is>
      </c>
    </row>
    <row r="8">
      <c r="A8" s="49" t="inlineStr">
        <is>
          <t>Regulated secondary storage</t>
        </is>
      </c>
      <c r="B8" s="55" t="n">
        <v>36.6</v>
      </c>
      <c r="C8" s="55" t="n"/>
      <c r="D8" s="55" t="n">
        <v>39</v>
      </c>
      <c r="E8" s="38" t="inlineStr">
        <is>
          <t>Regulated allowance for depot storage; one national figure</t>
        </is>
      </c>
      <c r="H8" s="38" t="inlineStr">
        <is>
          <t>Department diesel margins, 2024; Central Energy Fund price composition, 1 April 2026</t>
        </is>
      </c>
    </row>
    <row r="9">
      <c r="A9" s="49" t="inlineStr">
        <is>
          <t>Regulated secondary distribution</t>
        </is>
      </c>
      <c r="B9" s="55" t="n">
        <v>17.2</v>
      </c>
      <c r="C9" s="55" t="n"/>
      <c r="D9" s="55" t="n">
        <v>19.1</v>
      </c>
      <c r="E9" s="38" t="inlineStr">
        <is>
          <t>Regulated allowance for road delivery from depot to service station; one national figure</t>
        </is>
      </c>
      <c r="H9" s="38" t="inlineStr">
        <is>
          <t>Department diesel margins, 2024; Central Energy Fund price composition, 1 April 2026</t>
        </is>
      </c>
    </row>
    <row r="10">
      <c r="A10" s="57" t="inlineStr">
        <is>
          <t>Commercial road tanker rate, Durban to Gauteng</t>
        </is>
      </c>
      <c r="B10" s="58" t="n"/>
      <c r="C10" s="58" t="n"/>
      <c r="D10" s="58" t="n"/>
      <c r="E10" s="45" t="inlineStr">
        <is>
          <t>Not published</t>
        </is>
      </c>
      <c r="H10" s="45" t="inlineStr">
        <is>
          <t>None found; needs Vopak or a haulier</t>
        </is>
      </c>
    </row>
    <row r="11">
      <c r="A11" s="57" t="inlineStr">
        <is>
          <t>Rail rate, Durban to Gauteng</t>
        </is>
      </c>
      <c r="B11" s="58" t="n"/>
      <c r="C11" s="58" t="n"/>
      <c r="D11" s="58" t="n"/>
      <c r="E11" s="45" t="inlineStr">
        <is>
          <t>Not published</t>
        </is>
      </c>
      <c r="H11" s="45" t="inlineStr">
        <is>
          <t>None found; needs Transnet or Vopak</t>
        </is>
      </c>
    </row>
    <row r="13">
      <c r="A13" s="48" t="inlineStr">
        <is>
          <t>Regulated transport differential by pricing zone (the same for petrol and diesel in 2014; diesel list for 2024)</t>
        </is>
      </c>
      <c r="B13" s="48" t="n"/>
      <c r="C13" s="48" t="n"/>
      <c r="D13" s="48" t="n"/>
      <c r="E13" s="48" t="n"/>
      <c r="F13" s="48" t="n"/>
      <c r="G13" s="48" t="n"/>
      <c r="H13" s="48" t="n"/>
    </row>
    <row r="14">
      <c r="A14" s="14" t="inlineStr">
        <is>
          <t>Zone</t>
        </is>
      </c>
      <c r="B14" s="14" t="inlineStr">
        <is>
          <t>Provinces</t>
        </is>
      </c>
      <c r="C14" s="14" t="inlineStr">
        <is>
          <t>Districts</t>
        </is>
      </c>
      <c r="D14" s="14" t="inlineStr">
        <is>
          <t>Examples</t>
        </is>
      </c>
      <c r="E14" s="14" t="inlineStr">
        <is>
          <t>2014</t>
        </is>
      </c>
      <c r="F14" s="14" t="inlineStr">
        <is>
          <t>2024</t>
        </is>
      </c>
      <c r="G14" s="14" t="inlineStr">
        <is>
          <t>Change</t>
        </is>
      </c>
      <c r="H14" s="14" t="inlineStr">
        <is>
          <t>Source</t>
        </is>
      </c>
    </row>
    <row r="15">
      <c r="A15" s="59" t="inlineStr">
        <is>
          <t>9C (Gauteng)</t>
        </is>
      </c>
      <c r="B15" s="38" t="inlineStr">
        <is>
          <t>Gauteng, Mpumalanga, Free State, North West</t>
        </is>
      </c>
      <c r="C15" s="60" t="n">
        <v>51</v>
      </c>
      <c r="D15" s="38" t="inlineStr">
        <is>
          <t>Alberton, Bafokeng, Balfour, Benoni, Bethal, Boksburg</t>
        </is>
      </c>
      <c r="E15" s="61" t="n">
        <v>33.1</v>
      </c>
      <c r="F15" s="61" t="n">
        <v>82.8</v>
      </c>
      <c r="G15" s="62">
        <f>IF(COUNT(E15,F15)&lt;2,"",F15-E15)</f>
        <v/>
      </c>
      <c r="H15" s="38" t="inlineStr">
        <is>
          <t>Department of Mineral and Petroleum Resources, zone lists effective 2 April 2014 and 3 April 2024</t>
        </is>
      </c>
    </row>
    <row r="16">
      <c r="A16" s="49" t="inlineStr">
        <is>
          <t>57C</t>
        </is>
      </c>
      <c r="B16" s="38" t="inlineStr">
        <is>
          <t>Mpumalanga, KwaZulu Natal</t>
        </is>
      </c>
      <c r="C16" s="60" t="n">
        <v>3</v>
      </c>
      <c r="D16" s="38" t="inlineStr">
        <is>
          <t>Paulpietersburg, Utrecht, Volksrust</t>
        </is>
      </c>
      <c r="E16" s="61" t="n">
        <v>30.5</v>
      </c>
      <c r="F16" s="61" t="n">
        <v>75.7</v>
      </c>
      <c r="G16" s="62">
        <f>IF(COUNT(E16,F16)&lt;2,"",F16-E16)</f>
        <v/>
      </c>
      <c r="H16" s="38" t="inlineStr">
        <is>
          <t>Department of Mineral and Petroleum Resources, zone lists effective 2 April 2014 and 3 April 2024</t>
        </is>
      </c>
    </row>
    <row r="17">
      <c r="A17" s="49" t="inlineStr">
        <is>
          <t>58C</t>
        </is>
      </c>
      <c r="B17" s="38" t="inlineStr">
        <is>
          <t>Mpumalanga, KwaZulu Natal</t>
        </is>
      </c>
      <c r="C17" s="60" t="n">
        <v>3</v>
      </c>
      <c r="D17" s="38" t="inlineStr">
        <is>
          <t>Piet Retief, Simdlangentsha, Wakkerstroom</t>
        </is>
      </c>
      <c r="E17" s="61" t="n">
        <v>35.4</v>
      </c>
      <c r="F17" s="61" t="n">
        <v>93.09999999999999</v>
      </c>
      <c r="G17" s="62">
        <f>IF(COUNT(E17,F17)&lt;2,"",F17-E17)</f>
        <v/>
      </c>
      <c r="H17" s="38" t="inlineStr">
        <is>
          <t>Department of Mineral and Petroleum Resources, zone lists effective 2 April 2014 and 3 April 2024</t>
        </is>
      </c>
    </row>
    <row r="18">
      <c r="A18" s="49" t="inlineStr">
        <is>
          <t>8C</t>
        </is>
      </c>
      <c r="B18" s="38" t="inlineStr">
        <is>
          <t>Mpumalanga, Free State</t>
        </is>
      </c>
      <c r="C18" s="60" t="n">
        <v>14</v>
      </c>
      <c r="D18" s="38" t="inlineStr">
        <is>
          <t>Amersfoort, Clocolan, Ermelo, Ficksburg, Frankfort, Heilbron</t>
        </is>
      </c>
      <c r="E18" s="61" t="n">
        <v>35.4</v>
      </c>
      <c r="F18" s="61" t="n">
        <v>93.09999999999999</v>
      </c>
      <c r="G18" s="62">
        <f>IF(COUNT(E18,F18)&lt;2,"",F18-E18)</f>
        <v/>
      </c>
      <c r="H18" s="38" t="inlineStr">
        <is>
          <t>Department of Mineral and Petroleum Resources, zone lists effective 2 April 2014 and 3 April 2024</t>
        </is>
      </c>
    </row>
    <row r="19">
      <c r="A19" s="49" t="inlineStr">
        <is>
          <t>10C</t>
        </is>
      </c>
      <c r="B19" s="38" t="inlineStr">
        <is>
          <t>Mpumalanga, Free State, North West, Limpopo</t>
        </is>
      </c>
      <c r="C19" s="60" t="n">
        <v>28</v>
      </c>
      <c r="D19" s="38" t="inlineStr">
        <is>
          <t>Bela-Bela (Warmbad), Belfast, Bloemhof, Brandfort, Bultfontein, Carolina</t>
        </is>
      </c>
      <c r="E19" s="61" t="n">
        <v>44.3</v>
      </c>
      <c r="F19" s="61" t="n">
        <v>104</v>
      </c>
      <c r="G19" s="62">
        <f>IF(COUNT(E19,F19)&lt;2,"",F19-E19)</f>
        <v/>
      </c>
      <c r="H19" s="38" t="inlineStr">
        <is>
          <t>Department of Mineral and Petroleum Resources, zone lists effective 2 April 2014 and 3 April 2024</t>
        </is>
      </c>
    </row>
    <row r="20">
      <c r="A20" s="49" t="inlineStr">
        <is>
          <t>61C</t>
        </is>
      </c>
      <c r="B20" s="38" t="inlineStr">
        <is>
          <t>Mpumalanga, Limpopo</t>
        </is>
      </c>
      <c r="C20" s="60" t="n">
        <v>8</v>
      </c>
      <c r="D20" s="38" t="inlineStr">
        <is>
          <t>Barberton, Mapulaneng, Mhala, Nelspruit, Nkomazi (Kamhulshwa), Nsikazi (Kangwane)</t>
        </is>
      </c>
      <c r="E20" s="61" t="n">
        <v>59.2</v>
      </c>
      <c r="F20" s="61" t="n">
        <v>128</v>
      </c>
      <c r="G20" s="62">
        <f>IF(COUNT(E20,F20)&lt;2,"",F20-E20)</f>
        <v/>
      </c>
      <c r="H20" s="38" t="inlineStr">
        <is>
          <t>Department of Mineral and Petroleum Resources, zone lists effective 2 April 2014 and 3 April 2024</t>
        </is>
      </c>
    </row>
    <row r="21">
      <c r="A21" s="49" t="inlineStr">
        <is>
          <t>6C</t>
        </is>
      </c>
      <c r="B21" s="38" t="inlineStr">
        <is>
          <t>Free State, KwaZulu Natal</t>
        </is>
      </c>
      <c r="C21" s="60" t="n">
        <v>8</v>
      </c>
      <c r="D21" s="38" t="inlineStr">
        <is>
          <t>Bergville, Dannhauser, Dundee, Glencoe, Harrismith, Newcastle</t>
        </is>
      </c>
      <c r="E21" s="61" t="n">
        <v>24.2</v>
      </c>
      <c r="F21" s="61" t="n">
        <v>59.1</v>
      </c>
      <c r="G21" s="62">
        <f>IF(COUNT(E21,F21)&lt;2,"",F21-E21)</f>
        <v/>
      </c>
      <c r="H21" s="38" t="inlineStr">
        <is>
          <t>Department of Mineral and Petroleum Resources, zone lists effective 2 April 2014 and 3 April 2024</t>
        </is>
      </c>
    </row>
    <row r="22">
      <c r="A22" s="49" t="inlineStr">
        <is>
          <t>7C</t>
        </is>
      </c>
      <c r="B22" s="38" t="inlineStr">
        <is>
          <t>Free State</t>
        </is>
      </c>
      <c r="C22" s="60" t="n">
        <v>3</v>
      </c>
      <c r="D22" s="38" t="inlineStr">
        <is>
          <t>Bethlehem, Fouriesburg, Witsieshoek</t>
        </is>
      </c>
      <c r="E22" s="61" t="n">
        <v>30.5</v>
      </c>
      <c r="F22" s="61" t="n">
        <v>75.7</v>
      </c>
      <c r="G22" s="62">
        <f>IF(COUNT(E22,F22)&lt;2,"",F22-E22)</f>
        <v/>
      </c>
      <c r="H22" s="38" t="inlineStr">
        <is>
          <t>Department of Mineral and Petroleum Resources, zone lists effective 2 April 2014 and 3 April 2024</t>
        </is>
      </c>
    </row>
    <row r="23">
      <c r="A23" s="49" t="inlineStr">
        <is>
          <t>8A</t>
        </is>
      </c>
      <c r="B23" s="38" t="inlineStr">
        <is>
          <t>Free State, Eastern Cape, Northern Cape</t>
        </is>
      </c>
      <c r="C23" s="60" t="n">
        <v>20</v>
      </c>
      <c r="D23" s="38" t="inlineStr">
        <is>
          <t>Barkly East, Bethulie, Colesberg, De Aar, Edenburg, Elliot</t>
        </is>
      </c>
      <c r="E23" s="61" t="n">
        <v>55.2</v>
      </c>
      <c r="F23" s="61" t="n">
        <v>87.59999999999999</v>
      </c>
      <c r="G23" s="62">
        <f>IF(COUNT(E23,F23)&lt;2,"",F23-E23)</f>
        <v/>
      </c>
      <c r="H23" s="38" t="inlineStr">
        <is>
          <t>Department of Mineral and Petroleum Resources, zone lists effective 2 April 2014 and 3 April 2024</t>
        </is>
      </c>
    </row>
    <row r="24">
      <c r="A24" s="49" t="inlineStr">
        <is>
          <t>9A</t>
        </is>
      </c>
      <c r="B24" s="38" t="inlineStr">
        <is>
          <t>Free State, Northern Cape</t>
        </is>
      </c>
      <c r="C24" s="60" t="n">
        <v>6</v>
      </c>
      <c r="D24" s="38" t="inlineStr">
        <is>
          <t>Britstown, Fauresmith, Hopetown, Koffiefontein, Philipstown, Prieska</t>
        </is>
      </c>
      <c r="E24" s="61" t="n">
        <v>72.09999999999999</v>
      </c>
      <c r="F24" s="61" t="n">
        <v>114.4</v>
      </c>
      <c r="G24" s="62">
        <f>IF(COUNT(E24,F24)&lt;2,"",F24-E24)</f>
        <v/>
      </c>
      <c r="H24" s="38" t="inlineStr">
        <is>
          <t>Department of Mineral and Petroleum Resources, zone lists effective 2 April 2014 and 3 April 2024</t>
        </is>
      </c>
    </row>
    <row r="25">
      <c r="A25" s="49" t="inlineStr">
        <is>
          <t>11C</t>
        </is>
      </c>
      <c r="B25" s="38" t="inlineStr">
        <is>
          <t>Free State, North West, Limpopo, Northern Cape</t>
        </is>
      </c>
      <c r="C25" s="60" t="n">
        <v>23</v>
      </c>
      <c r="D25" s="38" t="inlineStr">
        <is>
          <t>Barkly West, Bloemfontein, Boshof, Botshabelo, Delareyville, Dewetsdorp</t>
        </is>
      </c>
      <c r="E25" s="61" t="n">
        <v>59.2</v>
      </c>
      <c r="F25" s="61" t="n">
        <v>128</v>
      </c>
      <c r="G25" s="62">
        <f>IF(COUNT(E25,F25)&lt;2,"",F25-E25)</f>
        <v/>
      </c>
      <c r="H25" s="38" t="inlineStr">
        <is>
          <t>Department of Mineral and Petroleum Resources, zone lists effective 2 April 2014 and 3 April 2024</t>
        </is>
      </c>
    </row>
    <row r="26">
      <c r="A26" s="49" t="inlineStr">
        <is>
          <t>12C</t>
        </is>
      </c>
      <c r="B26" s="38" t="inlineStr">
        <is>
          <t>North West, Limpopo</t>
        </is>
      </c>
      <c r="C26" s="60" t="n">
        <v>6</v>
      </c>
      <c r="D26" s="38" t="inlineStr">
        <is>
          <t>Ditsobotla, Polokwane (Pietersburg) (south of tropic of capricorn), Seshego, Thabamoopo, Thabazimbi (east of 27o longitude), Vryburg (south of 26o30' latitude)</t>
        </is>
      </c>
      <c r="E26" s="61" t="n">
        <v>65</v>
      </c>
      <c r="F26" s="61" t="n">
        <v>132.8</v>
      </c>
      <c r="G26" s="62">
        <f>IF(COUNT(E26,F26)&lt;2,"",F26-E26)</f>
        <v/>
      </c>
      <c r="H26" s="38" t="inlineStr">
        <is>
          <t>Department of Mineral and Petroleum Resources, zone lists effective 2 April 2014 and 3 April 2024</t>
        </is>
      </c>
    </row>
    <row r="27">
      <c r="A27" s="49" t="inlineStr">
        <is>
          <t>13C</t>
        </is>
      </c>
      <c r="B27" s="38" t="inlineStr">
        <is>
          <t>North West, Limpopo, Northern Cape</t>
        </is>
      </c>
      <c r="C27" s="60" t="n">
        <v>14</v>
      </c>
      <c r="D27" s="38" t="inlineStr">
        <is>
          <t>Bochum, Dzanani Central (North of Makhado), Dzanani South (West of Makhado), Hlanganani, Kuruman (south of 27olatitude), Lephalale (Ellisras)</t>
        </is>
      </c>
      <c r="E27" s="61" t="n">
        <v>77.40000000000001</v>
      </c>
      <c r="F27" s="61" t="n">
        <v>152.3</v>
      </c>
      <c r="G27" s="62">
        <f>IF(COUNT(E27,F27)&lt;2,"",F27-E27)</f>
        <v/>
      </c>
      <c r="H27" s="38" t="inlineStr">
        <is>
          <t>Department of Mineral and Petroleum Resources, zone lists effective 2 April 2014 and 3 April 2024</t>
        </is>
      </c>
    </row>
    <row r="28">
      <c r="A28" s="49" t="inlineStr">
        <is>
          <t>15C</t>
        </is>
      </c>
      <c r="B28" s="38" t="inlineStr">
        <is>
          <t>North West</t>
        </is>
      </c>
      <c r="C28" s="60" t="n">
        <v>2</v>
      </c>
      <c r="D28" s="38" t="inlineStr">
        <is>
          <t>Ganyesa, Kudumane</t>
        </is>
      </c>
      <c r="E28" s="61" t="n">
        <v>80.8</v>
      </c>
      <c r="F28" s="61" t="n">
        <v>158.5</v>
      </c>
      <c r="G28" s="62">
        <f>IF(COUNT(E28,F28)&lt;2,"",F28-E28)</f>
        <v/>
      </c>
      <c r="H28" s="38" t="inlineStr">
        <is>
          <t>Department of Mineral and Petroleum Resources, zone lists effective 2 April 2014 and 3 April 2024</t>
        </is>
      </c>
    </row>
    <row r="29">
      <c r="A29" s="49" t="inlineStr">
        <is>
          <t>17C</t>
        </is>
      </c>
      <c r="B29" s="38" t="inlineStr">
        <is>
          <t>North West, Northern Cape</t>
        </is>
      </c>
      <c r="C29" s="60" t="n">
        <v>2</v>
      </c>
      <c r="D29" s="38" t="inlineStr">
        <is>
          <t>Kuruman (north of 27o latitude), Vryburg (west of 24o longitude)</t>
        </is>
      </c>
      <c r="E29" s="61" t="n">
        <v>93</v>
      </c>
      <c r="F29" s="61" t="n">
        <v>177.7</v>
      </c>
      <c r="G29" s="62">
        <f>IF(COUNT(E29,F29)&lt;2,"",F29-E29)</f>
        <v/>
      </c>
      <c r="H29" s="38" t="inlineStr">
        <is>
          <t>Department of Mineral and Petroleum Resources, zone lists effective 2 April 2014 and 3 April 2024</t>
        </is>
      </c>
    </row>
    <row r="30">
      <c r="A30" s="49" t="inlineStr">
        <is>
          <t>62C</t>
        </is>
      </c>
      <c r="B30" s="38" t="inlineStr">
        <is>
          <t>Limpopo</t>
        </is>
      </c>
      <c r="C30" s="60" t="n">
        <v>1</v>
      </c>
      <c r="D30" s="38" t="inlineStr">
        <is>
          <t>Lulekani</t>
        </is>
      </c>
      <c r="E30" s="61" t="n">
        <v>65</v>
      </c>
      <c r="F30" s="61" t="n">
        <v>132.8</v>
      </c>
      <c r="G30" s="62">
        <f>IF(COUNT(E30,F30)&lt;2,"",F30-E30)</f>
        <v/>
      </c>
      <c r="H30" s="38" t="inlineStr">
        <is>
          <t>Department of Mineral and Petroleum Resources, zone lists effective 2 April 2014 and 3 April 2024</t>
        </is>
      </c>
    </row>
    <row r="31">
      <c r="A31" s="49" t="inlineStr">
        <is>
          <t>63C</t>
        </is>
      </c>
      <c r="B31" s="38" t="inlineStr">
        <is>
          <t>Limpopo</t>
        </is>
      </c>
      <c r="C31" s="60" t="n">
        <v>7</v>
      </c>
      <c r="D31" s="38" t="inlineStr">
        <is>
          <t>Bolobedu, Letaba, Namakgale, Naphuno, Phalaborwa, Ritavi</t>
        </is>
      </c>
      <c r="E31" s="61" t="n">
        <v>77.40000000000001</v>
      </c>
      <c r="F31" s="61" t="n">
        <v>152.3</v>
      </c>
      <c r="G31" s="62">
        <f>IF(COUNT(E31,F31)&lt;2,"",F31-E31)</f>
        <v/>
      </c>
      <c r="H31" s="38" t="inlineStr">
        <is>
          <t>Department of Mineral and Petroleum Resources, zone lists effective 2 April 2014 and 3 April 2024</t>
        </is>
      </c>
    </row>
    <row r="32">
      <c r="A32" s="49" t="inlineStr">
        <is>
          <t>16C</t>
        </is>
      </c>
      <c r="B32" s="38" t="inlineStr">
        <is>
          <t>Limpopo</t>
        </is>
      </c>
      <c r="C32" s="60" t="n">
        <v>4</v>
      </c>
      <c r="D32" s="38" t="inlineStr">
        <is>
          <t>Mokerong 1 (East of Lephalale), Mokopane (Potgietersrus) (north of tropic of capricorn), Musina (Messina) (West of 30o longitude), Soutpansberg (west of 29o 30' longitude)</t>
        </is>
      </c>
      <c r="E32" s="61" t="n">
        <v>79.7</v>
      </c>
      <c r="F32" s="61" t="n">
        <v>155.9</v>
      </c>
      <c r="G32" s="62">
        <f>IF(COUNT(E32,F32)&lt;2,"",F32-E32)</f>
        <v/>
      </c>
      <c r="H32" s="38" t="inlineStr">
        <is>
          <t>Department of Mineral and Petroleum Resources, zone lists effective 2 April 2014 and 3 April 2024</t>
        </is>
      </c>
    </row>
    <row r="33">
      <c r="A33" s="49" t="inlineStr">
        <is>
          <t>64C</t>
        </is>
      </c>
      <c r="B33" s="38" t="inlineStr">
        <is>
          <t>Limpopo</t>
        </is>
      </c>
      <c r="C33" s="60" t="n">
        <v>2</v>
      </c>
      <c r="D33" s="38" t="inlineStr">
        <is>
          <t>Giyani, Malamulele</t>
        </is>
      </c>
      <c r="E33" s="61" t="n">
        <v>92.2</v>
      </c>
      <c r="F33" s="61" t="n">
        <v>175.8</v>
      </c>
      <c r="G33" s="62">
        <f>IF(COUNT(E33,F33)&lt;2,"",F33-E33)</f>
        <v/>
      </c>
      <c r="H33" s="38" t="inlineStr">
        <is>
          <t>Department of Mineral and Petroleum Resources, zone lists effective 2 April 2014 and 3 April 2024</t>
        </is>
      </c>
    </row>
    <row r="34">
      <c r="A34" s="49" t="inlineStr">
        <is>
          <t>14C</t>
        </is>
      </c>
      <c r="B34" s="38" t="inlineStr">
        <is>
          <t>Limpopo</t>
        </is>
      </c>
      <c r="C34" s="60" t="n">
        <v>3</v>
      </c>
      <c r="D34" s="38" t="inlineStr">
        <is>
          <t>Dzanani North (East of Musina), Musina (Messina) (East of 30o longitude), Mutale</t>
        </is>
      </c>
      <c r="E34" s="61" t="n">
        <v>92.2</v>
      </c>
      <c r="F34" s="61" t="n">
        <v>175.8</v>
      </c>
      <c r="G34" s="62">
        <f>IF(COUNT(E34,F34)&lt;2,"",F34-E34)</f>
        <v/>
      </c>
      <c r="H34" s="38" t="inlineStr">
        <is>
          <t>Department of Mineral and Petroleum Resources, zone lists effective 2 April 2014 and 3 April 2024</t>
        </is>
      </c>
    </row>
    <row r="35">
      <c r="A35" s="49" t="inlineStr">
        <is>
          <t>67C</t>
        </is>
      </c>
      <c r="B35" s="38" t="inlineStr">
        <is>
          <t>Limpopo</t>
        </is>
      </c>
      <c r="C35" s="60" t="n">
        <v>1</v>
      </c>
      <c r="D35" s="38" t="inlineStr">
        <is>
          <t>Thohoyandou (east of 31o longitude)</t>
        </is>
      </c>
      <c r="E35" s="61" t="n">
        <v>93</v>
      </c>
      <c r="F35" s="61" t="n">
        <v>177.7</v>
      </c>
      <c r="G35" s="62">
        <f>IF(COUNT(E35,F35)&lt;2,"",F35-E35)</f>
        <v/>
      </c>
      <c r="H35" s="38" t="inlineStr">
        <is>
          <t>Department of Mineral and Petroleum Resources, zone lists effective 2 April 2014 and 3 April 2024</t>
        </is>
      </c>
    </row>
    <row r="36">
      <c r="A36" s="59" t="inlineStr">
        <is>
          <t>1A (coast)</t>
        </is>
      </c>
      <c r="B36" s="38" t="inlineStr">
        <is>
          <t>KwaZulu Natal, Eastern Cape, Western Cape</t>
        </is>
      </c>
      <c r="C36" s="60" t="n">
        <v>17</v>
      </c>
      <c r="D36" s="38" t="inlineStr">
        <is>
          <t>Bellville, Cape Town, Chatsworth, Durban, East London, Goodwood</t>
        </is>
      </c>
      <c r="E36" s="61" t="n">
        <v>2.5</v>
      </c>
      <c r="F36" s="61" t="n">
        <v>3.8</v>
      </c>
      <c r="G36" s="62">
        <f>IF(COUNT(E36,F36)&lt;2,"",F36-E36)</f>
        <v/>
      </c>
      <c r="H36" s="38" t="inlineStr">
        <is>
          <t>Department of Mineral and Petroleum Resources, zone lists effective 2 April 2014 and 3 April 2024</t>
        </is>
      </c>
    </row>
    <row r="37">
      <c r="A37" s="49" t="inlineStr">
        <is>
          <t>2A</t>
        </is>
      </c>
      <c r="B37" s="38" t="inlineStr">
        <is>
          <t>KwaZulu Natal, Eastern Cape, Western Cape</t>
        </is>
      </c>
      <c r="C37" s="60" t="n">
        <v>9</v>
      </c>
      <c r="D37" s="38" t="inlineStr">
        <is>
          <t>Camperdown, Ndwedwe, Paarl, Somerset West, Stellenbosch, Strand</t>
        </is>
      </c>
      <c r="E37" s="61" t="n">
        <v>6.4</v>
      </c>
      <c r="F37" s="61" t="n">
        <v>10.1</v>
      </c>
      <c r="G37" s="62">
        <f>IF(COUNT(E37,F37)&lt;2,"",F37-E37)</f>
        <v/>
      </c>
      <c r="H37" s="38" t="inlineStr">
        <is>
          <t>Department of Mineral and Petroleum Resources, zone lists effective 2 April 2014 and 3 April 2024</t>
        </is>
      </c>
    </row>
    <row r="38">
      <c r="A38" s="49" t="inlineStr">
        <is>
          <t>3A</t>
        </is>
      </c>
      <c r="B38" s="38" t="inlineStr">
        <is>
          <t>KwaZulu Natal, Eastern Cape, Western Cape</t>
        </is>
      </c>
      <c r="C38" s="60" t="n">
        <v>11</v>
      </c>
      <c r="D38" s="38" t="inlineStr">
        <is>
          <t>George, Hankey, King Williams Town, Kirkwood, Komga, Lower Tugela</t>
        </is>
      </c>
      <c r="E38" s="61" t="n">
        <v>10</v>
      </c>
      <c r="F38" s="61" t="n">
        <v>15.8</v>
      </c>
      <c r="G38" s="62">
        <f>IF(COUNT(E38,F38)&lt;2,"",F38-E38)</f>
        <v/>
      </c>
      <c r="H38" s="38" t="inlineStr">
        <is>
          <t>Department of Mineral and Petroleum Resources, zone lists effective 2 April 2014 and 3 April 2024</t>
        </is>
      </c>
    </row>
    <row r="39">
      <c r="A39" s="49" t="inlineStr">
        <is>
          <t>4A</t>
        </is>
      </c>
      <c r="B39" s="38" t="inlineStr">
        <is>
          <t>KwaZulu Natal, Eastern Cape, Western Cape</t>
        </is>
      </c>
      <c r="C39" s="60" t="n">
        <v>18</v>
      </c>
      <c r="D39" s="38" t="inlineStr">
        <is>
          <t>Albany, Alexandria, Calitzdorp, Eshowe, Heidelberg (W.Cape), Ixopo</t>
        </is>
      </c>
      <c r="E39" s="61" t="n">
        <v>14.7</v>
      </c>
      <c r="F39" s="61" t="n">
        <v>23.2</v>
      </c>
      <c r="G39" s="62">
        <f>IF(COUNT(E39,F39)&lt;2,"",F39-E39)</f>
        <v/>
      </c>
      <c r="H39" s="38" t="inlineStr">
        <is>
          <t>Department of Mineral and Petroleum Resources, zone lists effective 2 April 2014 and 3 April 2024</t>
        </is>
      </c>
    </row>
    <row r="40">
      <c r="A40" s="49" t="inlineStr">
        <is>
          <t>3B</t>
        </is>
      </c>
      <c r="B40" s="38" t="inlineStr">
        <is>
          <t>KwaZulu Natal, Eastern Cape</t>
        </is>
      </c>
      <c r="C40" s="60" t="n">
        <v>4</v>
      </c>
      <c r="D40" s="38" t="inlineStr">
        <is>
          <t>Humansdorp, Lions River, New Hanover, Pietermaritzburg</t>
        </is>
      </c>
      <c r="E40" s="61" t="n">
        <v>15.3</v>
      </c>
      <c r="F40" s="61" t="n">
        <v>24.1</v>
      </c>
      <c r="G40" s="62">
        <f>IF(COUNT(E40,F40)&lt;2,"",F40-E40)</f>
        <v/>
      </c>
      <c r="H40" s="38" t="inlineStr">
        <is>
          <t>Department of Mineral and Petroleum Resources, zone lists effective 2 April 2014 and 3 April 2024</t>
        </is>
      </c>
    </row>
    <row r="41">
      <c r="A41" s="49" t="inlineStr">
        <is>
          <t>5A</t>
        </is>
      </c>
      <c r="B41" s="38" t="inlineStr">
        <is>
          <t>KwaZulu Natal, Eastern Cape, Western Cape</t>
        </is>
      </c>
      <c r="C41" s="60" t="n">
        <v>33</v>
      </c>
      <c r="D41" s="38" t="inlineStr">
        <is>
          <t>Adelaide, Alfred, Bathurst (Port Alfred), Bedford, Caledon, Cathcart</t>
        </is>
      </c>
      <c r="E41" s="61" t="n">
        <v>21.2</v>
      </c>
      <c r="F41" s="61" t="n">
        <v>33.6</v>
      </c>
      <c r="G41" s="62">
        <f>IF(COUNT(E41,F41)&lt;2,"",F41-E41)</f>
        <v/>
      </c>
      <c r="H41" s="38" t="inlineStr">
        <is>
          <t>Department of Mineral and Petroleum Resources, zone lists effective 2 April 2014 and 3 April 2024</t>
        </is>
      </c>
    </row>
    <row r="42">
      <c r="A42" s="49" t="inlineStr">
        <is>
          <t>5B</t>
        </is>
      </c>
      <c r="B42" s="38" t="inlineStr">
        <is>
          <t>KwaZulu Natal</t>
        </is>
      </c>
      <c r="C42" s="60" t="n">
        <v>8</v>
      </c>
      <c r="D42" s="38" t="inlineStr">
        <is>
          <t>Estcourt, Impendle, Mooirivier, Msinga, Polela, Umvoti</t>
        </is>
      </c>
      <c r="E42" s="61" t="n">
        <v>24.1</v>
      </c>
      <c r="F42" s="61" t="n">
        <v>38.1</v>
      </c>
      <c r="G42" s="62">
        <f>IF(COUNT(E42,F42)&lt;2,"",F42-E42)</f>
        <v/>
      </c>
      <c r="H42" s="38" t="inlineStr">
        <is>
          <t>Department of Mineral and Petroleum Resources, zone lists effective 2 April 2014 and 3 April 2024</t>
        </is>
      </c>
    </row>
    <row r="43">
      <c r="A43" s="49" t="inlineStr">
        <is>
          <t>6A</t>
        </is>
      </c>
      <c r="B43" s="38" t="inlineStr">
        <is>
          <t>KwaZulu Natal, Eastern Cape, Western Cape</t>
        </is>
      </c>
      <c r="C43" s="60" t="n">
        <v>7</v>
      </c>
      <c r="D43" s="38" t="inlineStr">
        <is>
          <t>Babanango, Bredasdorp, Glen Grey/Cacadu/Lady Frere, Mahlabatini, Molteno, Nongoma</t>
        </is>
      </c>
      <c r="E43" s="61" t="n">
        <v>30.7</v>
      </c>
      <c r="F43" s="61" t="n">
        <v>48.6</v>
      </c>
      <c r="G43" s="62">
        <f>IF(COUNT(E43,F43)&lt;2,"",F43-E43)</f>
        <v/>
      </c>
      <c r="H43" s="38" t="inlineStr">
        <is>
          <t>Department of Mineral and Petroleum Resources, zone lists effective 2 April 2014 and 3 April 2024</t>
        </is>
      </c>
    </row>
    <row r="44">
      <c r="A44" s="49" t="inlineStr">
        <is>
          <t>5C</t>
        </is>
      </c>
      <c r="B44" s="38" t="inlineStr">
        <is>
          <t>KwaZulu Natal</t>
        </is>
      </c>
      <c r="C44" s="60" t="n">
        <v>1</v>
      </c>
      <c r="D44" s="38" t="inlineStr">
        <is>
          <t>Kliprivier</t>
        </is>
      </c>
      <c r="E44" s="61" t="n">
        <v>9.6</v>
      </c>
      <c r="F44" s="61" t="n">
        <v>49.1</v>
      </c>
      <c r="G44" s="62">
        <f>IF(COUNT(E44,F44)&lt;2,"",F44-E44)</f>
        <v/>
      </c>
      <c r="H44" s="38" t="inlineStr">
        <is>
          <t>Department of Mineral and Petroleum Resources, zone lists effective 2 April 2014 and 3 April 2024</t>
        </is>
      </c>
    </row>
    <row r="45">
      <c r="A45" s="49" t="inlineStr">
        <is>
          <t>57A</t>
        </is>
      </c>
      <c r="B45" s="38" t="inlineStr">
        <is>
          <t>KwaZulu Natal, Eastern Cape</t>
        </is>
      </c>
      <c r="C45" s="60" t="n">
        <v>15</v>
      </c>
      <c r="D45" s="38" t="inlineStr">
        <is>
          <t>Engcobo, Hofmeyer, Indwe, Ingwavuma, Libode, Maluki (Matatiele)</t>
        </is>
      </c>
      <c r="E45" s="61" t="n">
        <v>39.1</v>
      </c>
      <c r="F45" s="61" t="n">
        <v>62</v>
      </c>
      <c r="G45" s="62">
        <f>IF(COUNT(E45,F45)&lt;2,"",F45-E45)</f>
        <v/>
      </c>
      <c r="H45" s="38" t="inlineStr">
        <is>
          <t>Department of Mineral and Petroleum Resources, zone lists effective 2 April 2014 and 3 April 2024</t>
        </is>
      </c>
    </row>
    <row r="46">
      <c r="A46" s="49" t="inlineStr">
        <is>
          <t>7B</t>
        </is>
      </c>
      <c r="B46" s="38" t="inlineStr">
        <is>
          <t>Eastern Cape, Western Cape</t>
        </is>
      </c>
      <c r="C46" s="60" t="n">
        <v>8</v>
      </c>
      <c r="D46" s="38" t="inlineStr">
        <is>
          <t>Clanwilliam, Jansenville, Joubertina, Laingsburg, Prince Albert, Somerset East</t>
        </is>
      </c>
      <c r="E46" s="61" t="n">
        <v>27</v>
      </c>
      <c r="F46" s="61" t="n">
        <v>42.8</v>
      </c>
      <c r="G46" s="62">
        <f>IF(COUNT(E46,F46)&lt;2,"",F46-E46)</f>
        <v/>
      </c>
      <c r="H46" s="38" t="inlineStr">
        <is>
          <t>Department of Mineral and Petroleum Resources, zone lists effective 2 April 2014 and 3 April 2024</t>
        </is>
      </c>
    </row>
    <row r="47">
      <c r="A47" s="49" t="inlineStr">
        <is>
          <t>9B</t>
        </is>
      </c>
      <c r="B47" s="38" t="inlineStr">
        <is>
          <t>Eastern Cape, Western Cape</t>
        </is>
      </c>
      <c r="C47" s="60" t="n">
        <v>7</v>
      </c>
      <c r="D47" s="38" t="inlineStr">
        <is>
          <t>Aberdeen, Bizana, Graaffreinett, Murraysburg, Sipangeni (Flagstaff), Van Rhynsdorp</t>
        </is>
      </c>
      <c r="E47" s="61" t="n">
        <v>34.9</v>
      </c>
      <c r="F47" s="61" t="n">
        <v>55.4</v>
      </c>
      <c r="G47" s="62">
        <f>IF(COUNT(E47,F47)&lt;2,"",F47-E47)</f>
        <v/>
      </c>
      <c r="H47" s="38" t="inlineStr">
        <is>
          <t>Department of Mineral and Petroleum Resources, zone lists effective 2 April 2014 and 3 April 2024</t>
        </is>
      </c>
    </row>
    <row r="48">
      <c r="A48" s="49" t="inlineStr">
        <is>
          <t>8B</t>
        </is>
      </c>
      <c r="B48" s="38" t="inlineStr">
        <is>
          <t>Eastern Cape, Western Cape, Northern Cape</t>
        </is>
      </c>
      <c r="C48" s="60" t="n">
        <v>4</v>
      </c>
      <c r="D48" s="38" t="inlineStr">
        <is>
          <t>Beaufort West, Cradock, Fraserburg, Pearston</t>
        </is>
      </c>
      <c r="E48" s="61" t="n">
        <v>37</v>
      </c>
      <c r="F48" s="61" t="n">
        <v>58.7</v>
      </c>
      <c r="G48" s="62">
        <f>IF(COUNT(E48,F48)&lt;2,"",F48-E48)</f>
        <v/>
      </c>
      <c r="H48" s="38" t="inlineStr">
        <is>
          <t>Department of Mineral and Petroleum Resources, zone lists effective 2 April 2014 and 3 April 2024</t>
        </is>
      </c>
    </row>
    <row r="49">
      <c r="A49" s="49" t="inlineStr">
        <is>
          <t>7A</t>
        </is>
      </c>
      <c r="B49" s="38" t="inlineStr">
        <is>
          <t>Eastern Cape, Northern Cape</t>
        </is>
      </c>
      <c r="C49" s="60" t="n">
        <v>6</v>
      </c>
      <c r="D49" s="38" t="inlineStr">
        <is>
          <t>Albert, Aliwal North, Noupoort, Steynsburg, Wodehouse, Xalanga</t>
        </is>
      </c>
      <c r="E49" s="61" t="n">
        <v>39.1</v>
      </c>
      <c r="F49" s="61" t="n">
        <v>62</v>
      </c>
      <c r="G49" s="62">
        <f>IF(COUNT(E49,F49)&lt;2,"",F49-E49)</f>
        <v/>
      </c>
      <c r="H49" s="38" t="inlineStr">
        <is>
          <t>Department of Mineral and Petroleum Resources, zone lists effective 2 April 2014 and 3 April 2024</t>
        </is>
      </c>
    </row>
    <row r="50">
      <c r="A50" s="49" t="inlineStr">
        <is>
          <t>10B</t>
        </is>
      </c>
      <c r="B50" s="38" t="inlineStr">
        <is>
          <t>Eastern Cape, Northern Cape</t>
        </is>
      </c>
      <c r="C50" s="60" t="n">
        <v>6</v>
      </c>
      <c r="D50" s="38" t="inlineStr">
        <is>
          <t>Carnavon, Kwabhaca (Mount Frere), Lusikisiki (PortStJohns), Maxesibeni (Mount Ayliff), Tabankulu, Williston</t>
        </is>
      </c>
      <c r="E50" s="61" t="n">
        <v>44.2</v>
      </c>
      <c r="F50" s="61" t="n">
        <v>70.09999999999999</v>
      </c>
      <c r="G50" s="62">
        <f>IF(COUNT(E50,F50)&lt;2,"",F50-E50)</f>
        <v/>
      </c>
      <c r="H50" s="38" t="inlineStr">
        <is>
          <t>Department of Mineral and Petroleum Resources, zone lists effective 2 April 2014 and 3 April 2024</t>
        </is>
      </c>
    </row>
    <row r="51">
      <c r="A51" s="49" t="inlineStr">
        <is>
          <t>12B</t>
        </is>
      </c>
      <c r="B51" s="38" t="inlineStr">
        <is>
          <t>Eastern Cape, Northern Cape</t>
        </is>
      </c>
      <c r="C51" s="60" t="n">
        <v>5</v>
      </c>
      <c r="D51" s="38" t="inlineStr">
        <is>
          <t>Calvinia (west of 20o longitude), Mount Fletcher, Sutherland, Umzimvubu, Victoria West</t>
        </is>
      </c>
      <c r="E51" s="61" t="n">
        <v>47.8</v>
      </c>
      <c r="F51" s="61" t="n">
        <v>75.8</v>
      </c>
      <c r="G51" s="62">
        <f>IF(COUNT(E51,F51)&lt;2,"",F51-E51)</f>
        <v/>
      </c>
      <c r="H51" s="38" t="inlineStr">
        <is>
          <t>Department of Mineral and Petroleum Resources, zone lists effective 2 April 2014 and 3 April 2024</t>
        </is>
      </c>
    </row>
    <row r="52">
      <c r="A52" s="49" t="inlineStr">
        <is>
          <t>6B</t>
        </is>
      </c>
      <c r="B52" s="38" t="inlineStr">
        <is>
          <t>Western Cape</t>
        </is>
      </c>
      <c r="C52" s="60" t="n">
        <v>3</v>
      </c>
      <c r="D52" s="38" t="inlineStr">
        <is>
          <t>Ladismith (Cape), Piketberg, Uniondale</t>
        </is>
      </c>
      <c r="E52" s="61" t="n">
        <v>19</v>
      </c>
      <c r="F52" s="61" t="n">
        <v>30.1</v>
      </c>
      <c r="G52" s="62">
        <f>IF(COUNT(E52,F52)&lt;2,"",F52-E52)</f>
        <v/>
      </c>
      <c r="H52" s="38" t="inlineStr">
        <is>
          <t>Department of Mineral and Petroleum Resources, zone lists effective 2 April 2014 and 3 April 2024</t>
        </is>
      </c>
    </row>
    <row r="53">
      <c r="A53" s="49" t="inlineStr">
        <is>
          <t>14B</t>
        </is>
      </c>
      <c r="B53" s="38" t="inlineStr">
        <is>
          <t>Northern Cape</t>
        </is>
      </c>
      <c r="C53" s="60" t="n">
        <v>1</v>
      </c>
      <c r="D53" s="38" t="inlineStr">
        <is>
          <t>Calvinia (east of 20o longitude)</t>
        </is>
      </c>
      <c r="E53" s="61" t="n">
        <v>55.9</v>
      </c>
      <c r="F53" s="61" t="n">
        <v>88.59999999999999</v>
      </c>
      <c r="G53" s="62">
        <f>IF(COUNT(E53,F53)&lt;2,"",F53-E53)</f>
        <v/>
      </c>
      <c r="H53" s="38" t="inlineStr">
        <is>
          <t>Department of Mineral and Petroleum Resources, zone lists effective 2 April 2014 and 3 April 2024</t>
        </is>
      </c>
    </row>
    <row r="54">
      <c r="A54" s="49" t="inlineStr">
        <is>
          <t>31J</t>
        </is>
      </c>
      <c r="B54" s="38" t="inlineStr">
        <is>
          <t>Northern Cape</t>
        </is>
      </c>
      <c r="C54" s="60" t="n">
        <v>1</v>
      </c>
      <c r="D54" s="38" t="inlineStr">
        <is>
          <t>Namakwaland South (south of 30o latitude)</t>
        </is>
      </c>
      <c r="E54" s="61" t="n">
        <v>56.1</v>
      </c>
      <c r="F54" s="61" t="n">
        <v>89</v>
      </c>
      <c r="G54" s="62">
        <f>IF(COUNT(E54,F54)&lt;2,"",F54-E54)</f>
        <v/>
      </c>
      <c r="H54" s="38" t="inlineStr">
        <is>
          <t>Department of Mineral and Petroleum Resources, zone lists effective 2 April 2014 and 3 April 2024</t>
        </is>
      </c>
    </row>
    <row r="55">
      <c r="A55" s="49" t="inlineStr">
        <is>
          <t>32J</t>
        </is>
      </c>
      <c r="B55" s="38" t="inlineStr">
        <is>
          <t>Northern Cape</t>
        </is>
      </c>
      <c r="C55" s="60" t="n">
        <v>1</v>
      </c>
      <c r="D55" s="38" t="inlineStr">
        <is>
          <t>Namakwaland Central (between 29o and 30o latitude and between 17o30' and 18o30' longitude)</t>
        </is>
      </c>
      <c r="E55" s="61" t="n">
        <v>76.3</v>
      </c>
      <c r="F55" s="61" t="n">
        <v>114.5</v>
      </c>
      <c r="G55" s="62">
        <f>IF(COUNT(E55,F55)&lt;2,"",F55-E55)</f>
        <v/>
      </c>
      <c r="H55" s="38" t="inlineStr">
        <is>
          <t>Department of Mineral and Petroleum Resources, zone lists effective 2 April 2014 and 3 April 2024</t>
        </is>
      </c>
    </row>
    <row r="56">
      <c r="A56" s="49" t="inlineStr">
        <is>
          <t>34J</t>
        </is>
      </c>
      <c r="B56" s="38" t="inlineStr">
        <is>
          <t>Northern Cape</t>
        </is>
      </c>
      <c r="C56" s="60" t="n">
        <v>1</v>
      </c>
      <c r="D56" s="38" t="inlineStr">
        <is>
          <t>Namakwaland Vioolsdrif (north of 29o latitude and east of 17o longitude)</t>
        </is>
      </c>
      <c r="E56" s="61" t="n">
        <v>85.90000000000001</v>
      </c>
      <c r="F56" s="61" t="n">
        <v>130.7</v>
      </c>
      <c r="G56" s="62">
        <f>IF(COUNT(E56,F56)&lt;2,"",F56-E56)</f>
        <v/>
      </c>
      <c r="H56" s="38" t="inlineStr">
        <is>
          <t>Department of Mineral and Petroleum Resources, zone lists effective 2 April 2014 and 3 April 2024</t>
        </is>
      </c>
    </row>
    <row r="57">
      <c r="A57" s="49" t="inlineStr">
        <is>
          <t>33J</t>
        </is>
      </c>
      <c r="B57" s="38" t="inlineStr">
        <is>
          <t>Northern Cape</t>
        </is>
      </c>
      <c r="C57" s="60" t="n">
        <v>1</v>
      </c>
      <c r="D57" s="38" t="inlineStr">
        <is>
          <t>Namakwaland Aggeneys(east of 18o30' longitude and north of 30o latitude)</t>
        </is>
      </c>
      <c r="E57" s="61" t="n">
        <v>87.3</v>
      </c>
      <c r="F57" s="61" t="n">
        <v>133.3</v>
      </c>
      <c r="G57" s="62">
        <f>IF(COUNT(E57,F57)&lt;2,"",F57-E57)</f>
        <v/>
      </c>
      <c r="H57" s="38" t="inlineStr">
        <is>
          <t>Department of Mineral and Petroleum Resources, zone lists effective 2 April 2014 and 3 April 2024</t>
        </is>
      </c>
    </row>
    <row r="58">
      <c r="A58" s="49" t="inlineStr">
        <is>
          <t>15A</t>
        </is>
      </c>
      <c r="B58" s="38" t="inlineStr">
        <is>
          <t>Northern Cape</t>
        </is>
      </c>
      <c r="C58" s="60" t="n">
        <v>1</v>
      </c>
      <c r="D58" s="38" t="inlineStr">
        <is>
          <t>Kenhardt (east of 20o longitude)</t>
        </is>
      </c>
      <c r="E58" s="61" t="n">
        <v>84.7</v>
      </c>
      <c r="F58" s="61" t="n">
        <v>134</v>
      </c>
      <c r="G58" s="62">
        <f>IF(COUNT(E58,F58)&lt;2,"",F58-E58)</f>
        <v/>
      </c>
      <c r="H58" s="38" t="inlineStr">
        <is>
          <t>Department of Mineral and Petroleum Resources, zone lists effective 2 April 2014 and 3 April 2024</t>
        </is>
      </c>
    </row>
    <row r="59">
      <c r="A59" s="49" t="inlineStr">
        <is>
          <t>36J</t>
        </is>
      </c>
      <c r="B59" s="38" t="inlineStr">
        <is>
          <t>Northern Cape</t>
        </is>
      </c>
      <c r="C59" s="60" t="n">
        <v>1</v>
      </c>
      <c r="D59" s="38" t="inlineStr">
        <is>
          <t>Namakwaland Kleinsee (between 29o and 30o latitude and between 17o and 17o30' longitude)</t>
        </is>
      </c>
      <c r="E59" s="61" t="n">
        <v>89.7</v>
      </c>
      <c r="F59" s="61" t="n">
        <v>138.4</v>
      </c>
      <c r="G59" s="62">
        <f>IF(COUNT(E59,F59)&lt;2,"",F59-E59)</f>
        <v/>
      </c>
      <c r="H59" s="38" t="inlineStr">
        <is>
          <t>Department of Mineral and Petroleum Resources, zone lists effective 2 April 2014 and 3 April 2024</t>
        </is>
      </c>
    </row>
    <row r="60">
      <c r="A60" s="49" t="inlineStr">
        <is>
          <t>35J</t>
        </is>
      </c>
      <c r="B60" s="38" t="inlineStr">
        <is>
          <t>Northern Cape</t>
        </is>
      </c>
      <c r="C60" s="60" t="n">
        <v>1</v>
      </c>
      <c r="D60" s="38" t="inlineStr">
        <is>
          <t>Namakwaland Port Nolloth (south of 29o latitude and west of 17o longitude)</t>
        </is>
      </c>
      <c r="E60" s="61" t="n">
        <v>89.7</v>
      </c>
      <c r="F60" s="61" t="n">
        <v>138.8</v>
      </c>
      <c r="G60" s="62">
        <f>IF(COUNT(E60,F60)&lt;2,"",F60-E60)</f>
        <v/>
      </c>
      <c r="H60" s="38" t="inlineStr">
        <is>
          <t>Department of Mineral and Petroleum Resources, zone lists effective 2 April 2014 and 3 April 2024</t>
        </is>
      </c>
    </row>
    <row r="61">
      <c r="A61" s="49" t="inlineStr">
        <is>
          <t>37J</t>
        </is>
      </c>
      <c r="B61" s="38" t="inlineStr">
        <is>
          <t>Northern Cape</t>
        </is>
      </c>
      <c r="C61" s="60" t="n">
        <v>1</v>
      </c>
      <c r="D61" s="38" t="inlineStr">
        <is>
          <t>Namakwaland Alexander Bay (north of 29o latitude and west of 17o longitude)</t>
        </is>
      </c>
      <c r="E61" s="61" t="n">
        <v>99.7</v>
      </c>
      <c r="F61" s="61" t="n">
        <v>155.7</v>
      </c>
      <c r="G61" s="62">
        <f>IF(COUNT(E61,F61)&lt;2,"",F61-E61)</f>
        <v/>
      </c>
      <c r="H61" s="38" t="inlineStr">
        <is>
          <t>Department of Mineral and Petroleum Resources, zone lists effective 2 April 2014 and 3 April 2024</t>
        </is>
      </c>
    </row>
    <row r="62">
      <c r="A62" s="49" t="inlineStr">
        <is>
          <t>19A</t>
        </is>
      </c>
      <c r="B62" s="38" t="inlineStr">
        <is>
          <t>Northern Cape</t>
        </is>
      </c>
      <c r="C62" s="60" t="n">
        <v>1</v>
      </c>
      <c r="D62" s="38" t="inlineStr">
        <is>
          <t>Gordonia (north of 27o30' latitude)</t>
        </is>
      </c>
      <c r="E62" s="61" t="n">
        <v>106.6</v>
      </c>
      <c r="F62" s="61" t="n">
        <v>167.3</v>
      </c>
      <c r="G62" s="62">
        <f>IF(COUNT(E62,F62)&lt;2,"",F62-E62)</f>
        <v/>
      </c>
      <c r="H62" s="38" t="inlineStr">
        <is>
          <t>Department of Mineral and Petroleum Resources, zone lists effective 2 April 2014 and 3 April 2024</t>
        </is>
      </c>
    </row>
    <row r="63">
      <c r="A63" s="49" t="inlineStr">
        <is>
          <t>69A</t>
        </is>
      </c>
      <c r="B63" s="38" t="inlineStr">
        <is>
          <t>Northern Cape</t>
        </is>
      </c>
      <c r="C63" s="60" t="n">
        <v>1</v>
      </c>
      <c r="D63" s="38" t="inlineStr">
        <is>
          <t>Kenhardt (west of 20o longitude)</t>
        </is>
      </c>
      <c r="E63" s="61" t="n">
        <v>106.6</v>
      </c>
      <c r="F63" s="61" t="n">
        <v>167.3</v>
      </c>
      <c r="G63" s="62">
        <f>IF(COUNT(E63,F63)&lt;2,"",F63-E63)</f>
        <v/>
      </c>
      <c r="H63" s="38" t="inlineStr">
        <is>
          <t>Department of Mineral and Petroleum Resources, zone lists effective 2 April 2014 and 3 April 2024</t>
        </is>
      </c>
    </row>
    <row r="64">
      <c r="A64" s="49" t="inlineStr">
        <is>
          <t>11A</t>
        </is>
      </c>
      <c r="B64" s="38" t="inlineStr">
        <is>
          <t>Northern Cape</t>
        </is>
      </c>
      <c r="C64" s="60" t="n">
        <v>1</v>
      </c>
      <c r="D64" s="38" t="inlineStr">
        <is>
          <t>Hay</t>
        </is>
      </c>
      <c r="E64" s="61" t="n">
        <v>87.5</v>
      </c>
      <c r="F64" s="61" t="n">
        <v>169.9</v>
      </c>
      <c r="G64" s="62">
        <f>IF(COUNT(E64,F64)&lt;2,"",F64-E64)</f>
        <v/>
      </c>
      <c r="H64" s="38" t="inlineStr">
        <is>
          <t>Department of Mineral and Petroleum Resources, zone lists effective 2 April 2014 and 3 April 2024</t>
        </is>
      </c>
    </row>
    <row r="65">
      <c r="A65" s="49" t="inlineStr">
        <is>
          <t>13A</t>
        </is>
      </c>
      <c r="B65" s="38" t="inlineStr">
        <is>
          <t>Northern Cape</t>
        </is>
      </c>
      <c r="C65" s="60" t="n">
        <v>1</v>
      </c>
      <c r="D65" s="38" t="inlineStr">
        <is>
          <t>Gordonia (south of 28o latitude)</t>
        </is>
      </c>
      <c r="E65" s="61" t="n">
        <v>88.7</v>
      </c>
      <c r="F65" s="61" t="n">
        <v>178.2</v>
      </c>
      <c r="G65" s="62">
        <f>IF(COUNT(E65,F65)&lt;2,"",F65-E65)</f>
        <v/>
      </c>
      <c r="H65" s="38" t="inlineStr">
        <is>
          <t>Department of Mineral and Petroleum Resources, zone lists effective 2 April 2014 and 3 April 2024</t>
        </is>
      </c>
    </row>
    <row r="66">
      <c r="A66" s="49" t="inlineStr">
        <is>
          <t>17A</t>
        </is>
      </c>
      <c r="B66" s="38" t="inlineStr">
        <is>
          <t>Northern Cape</t>
        </is>
      </c>
      <c r="C66" s="60" t="n">
        <v>1</v>
      </c>
      <c r="D66" s="38" t="inlineStr">
        <is>
          <t>Gordonia Central (between 27o30' and 28o latituded)</t>
        </is>
      </c>
      <c r="E66" s="61" t="n">
        <v>99.8</v>
      </c>
      <c r="F66" s="61" t="n">
        <v>179.6</v>
      </c>
      <c r="G66" s="62">
        <f>IF(COUNT(E66,F66)&lt;2,"",F66-E66)</f>
        <v/>
      </c>
      <c r="H66" s="38" t="inlineStr">
        <is>
          <t>Department of Mineral and Petroleum Resources, zone lists effective 2 April 2014 and 3 April 2024</t>
        </is>
      </c>
    </row>
    <row r="67">
      <c r="A67" s="49" t="inlineStr">
        <is>
          <t>60C</t>
        </is>
      </c>
      <c r="B67" s="38" t="inlineStr">
        <is>
          <t>Not in the 2014 district list</t>
        </is>
      </c>
      <c r="C67" s="60" t="n"/>
      <c r="D67" s="38" t="inlineStr"/>
      <c r="E67" s="61" t="n">
        <v>44.3</v>
      </c>
      <c r="F67" s="61" t="n">
        <v>104</v>
      </c>
      <c r="G67" s="62">
        <f>IF(COUNT(E67,F67)&lt;2,"",F67-E67)</f>
        <v/>
      </c>
      <c r="H67" s="38" t="inlineStr">
        <is>
          <t>Department of Mineral and Petroleum Resources, zone lists effective 2 April 2014 and 3 April 2024</t>
        </is>
      </c>
    </row>
    <row r="68">
      <c r="A68" s="49" t="inlineStr">
        <is>
          <t>10A</t>
        </is>
      </c>
      <c r="B68" s="38" t="inlineStr">
        <is>
          <t>Not in the 2014 district list</t>
        </is>
      </c>
      <c r="C68" s="60" t="n"/>
      <c r="D68" s="38" t="inlineStr"/>
      <c r="E68" s="61" t="n">
        <v>82.59999999999999</v>
      </c>
      <c r="F68" s="61" t="n">
        <v>121.5</v>
      </c>
      <c r="G68" s="62">
        <f>IF(COUNT(E68,F68)&lt;2,"",F68-E68)</f>
        <v/>
      </c>
      <c r="H68" s="38" t="inlineStr">
        <is>
          <t>Department of Mineral and Petroleum Resources, zone lists effective 2 April 2014 and 3 April 2024</t>
        </is>
      </c>
    </row>
  </sheetData>
  <mergeCells count="7">
    <mergeCell ref="E10:G10"/>
    <mergeCell ref="E11:G11"/>
    <mergeCell ref="E5:G5"/>
    <mergeCell ref="E8:G8"/>
    <mergeCell ref="E9:G9"/>
    <mergeCell ref="E7:G7"/>
    <mergeCell ref="E6:G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181"/>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6" customWidth="1" min="1" max="1"/>
    <col width="30" customWidth="1" min="2" max="2"/>
    <col width="20" customWidth="1" min="3" max="3"/>
    <col width="16"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3" customWidth="1" min="16" max="16"/>
    <col width="46" customWidth="1" min="17" max="17"/>
    <col width="16" customWidth="1" min="18" max="18"/>
    <col width="62" customWidth="1" min="19" max="19"/>
  </cols>
  <sheetData>
    <row r="1">
      <c r="A1" s="1" t="inlineStr">
        <is>
          <t>DR07 Demand evidence</t>
        </is>
      </c>
    </row>
    <row r="2">
      <c r="A2" s="2" t="inlineStr">
        <is>
          <t>75 facts from sources (blue), 21 calculated (white), 5 not available (yellow). Petrol and diesel only. Figures reported for several years are set out one column a year; every row names its source.</t>
        </is>
      </c>
    </row>
    <row r="5">
      <c r="A5" s="35" t="inlineStr">
        <is>
          <t>Power generation</t>
        </is>
      </c>
      <c r="B5" s="35" t="n"/>
      <c r="C5" s="35" t="n"/>
      <c r="D5" s="35" t="n"/>
      <c r="E5" s="35" t="n"/>
      <c r="F5" s="35" t="n"/>
      <c r="G5" s="35" t="n"/>
      <c r="H5" s="35" t="n"/>
      <c r="I5" s="35" t="n"/>
      <c r="J5" s="35" t="n"/>
      <c r="K5" s="35" t="n"/>
      <c r="L5" s="35" t="n"/>
      <c r="M5" s="35" t="n"/>
      <c r="N5" s="35" t="n"/>
      <c r="O5" s="35" t="n"/>
      <c r="P5" s="35" t="n"/>
      <c r="Q5" s="35" t="n"/>
      <c r="R5" s="35" t="n"/>
      <c r="S5" s="35" t="n"/>
      <c r="T5" s="35" t="n"/>
    </row>
    <row r="6">
      <c r="A6" s="36" t="inlineStr">
        <is>
          <t>Item</t>
        </is>
      </c>
      <c r="B6" s="36" t="inlineStr">
        <is>
          <t>Covers</t>
        </is>
      </c>
      <c r="C6" s="36" t="inlineStr">
        <is>
          <t>Unit</t>
        </is>
      </c>
      <c r="D6" s="36" t="inlineStr">
        <is>
          <t>Basis</t>
        </is>
      </c>
      <c r="E6" s="37" t="n">
        <v>2016</v>
      </c>
      <c r="F6" s="37" t="n">
        <v>2017</v>
      </c>
      <c r="G6" s="37" t="n">
        <v>2018</v>
      </c>
      <c r="H6" s="37" t="n">
        <v>2019</v>
      </c>
      <c r="I6" s="37" t="n">
        <v>2020</v>
      </c>
      <c r="J6" s="37" t="n">
        <v>2021</v>
      </c>
      <c r="K6" s="37" t="n">
        <v>2022</v>
      </c>
      <c r="L6" s="37" t="n">
        <v>2023</v>
      </c>
      <c r="M6" s="37" t="n">
        <v>2024</v>
      </c>
      <c r="N6" s="37" t="n">
        <v>2025</v>
      </c>
      <c r="O6" s="37" t="n">
        <v>2026</v>
      </c>
      <c r="P6" s="36" t="inlineStr">
        <is>
          <t>Status</t>
        </is>
      </c>
      <c r="Q6" s="36" t="inlineStr">
        <is>
          <t>Source</t>
        </is>
      </c>
      <c r="R6" s="36" t="inlineStr">
        <is>
          <t>Page</t>
        </is>
      </c>
      <c r="S6" s="36" t="inlineStr">
        <is>
          <t>Note</t>
        </is>
      </c>
    </row>
    <row r="7" ht="42.5" customHeight="1">
      <c r="A7" s="38" t="inlineStr">
        <is>
          <t>Fuel burned at Eskom's turbines, as reported</t>
        </is>
      </c>
      <c r="B7" s="38" t="inlineStr">
        <is>
          <t>Eskom: Ankerlig, Gourikwa, Acacia, Port Rex</t>
        </is>
      </c>
      <c r="C7" s="38" t="inlineStr">
        <is>
          <t>million litres</t>
        </is>
      </c>
      <c r="D7" s="38" t="inlineStr">
        <is>
          <t>years to March</t>
        </is>
      </c>
      <c r="E7" s="63" t="n">
        <v>1247.8</v>
      </c>
      <c r="F7" s="40" t="n">
        <v>10</v>
      </c>
      <c r="G7" s="40" t="n">
        <v>37.8</v>
      </c>
      <c r="H7" s="63" t="n">
        <v>385</v>
      </c>
      <c r="I7" s="63" t="n">
        <v>426.2</v>
      </c>
      <c r="J7" s="63" t="n">
        <v>458.7</v>
      </c>
      <c r="K7" s="63" t="n">
        <v>580.4</v>
      </c>
      <c r="L7" s="63" t="n">
        <v>937.5</v>
      </c>
      <c r="M7" s="63" t="n">
        <v>1129.5</v>
      </c>
      <c r="N7" s="63" t="n">
        <v>679.1</v>
      </c>
      <c r="O7" s="38" t="n"/>
      <c r="P7" s="38" t="inlineStr">
        <is>
          <t>From source</t>
        </is>
      </c>
      <c r="Q7" s="38" t="inlineStr">
        <is>
          <t>Eskom Integrated Report 2025, technical statistics</t>
        </is>
      </c>
      <c r="R7" s="38" t="inlineStr">
        <is>
          <t>PDF p.141</t>
        </is>
      </c>
      <c r="S7" s="38" t="inlineStr">
        <is>
          <t>Eskom reports diesel and kerosene together. Acacia and Port Rex burn kerosene and are 342 MW of Eskom's 2,426 MW, so nearly all of it is diesel. 2026 is not yet reported.</t>
        </is>
      </c>
    </row>
    <row r="8" ht="15.5" customHeight="1">
      <c r="A8" s="38" t="inlineStr">
        <is>
          <t>Electricity generated at Eskom's turbines</t>
        </is>
      </c>
      <c r="B8" s="38" t="inlineStr">
        <is>
          <t>Eskom</t>
        </is>
      </c>
      <c r="C8" s="38" t="inlineStr">
        <is>
          <t>GWh</t>
        </is>
      </c>
      <c r="D8" s="38" t="inlineStr">
        <is>
          <t>years to March</t>
        </is>
      </c>
      <c r="E8" s="38" t="n"/>
      <c r="F8" s="38" t="n"/>
      <c r="G8" s="38" t="n"/>
      <c r="H8" s="38" t="n"/>
      <c r="I8" s="38" t="n"/>
      <c r="J8" s="38" t="n"/>
      <c r="K8" s="39" t="n">
        <v>1826</v>
      </c>
      <c r="L8" s="39" t="n">
        <v>3018</v>
      </c>
      <c r="M8" s="39" t="n">
        <v>3634</v>
      </c>
      <c r="N8" s="39" t="n">
        <v>2176</v>
      </c>
      <c r="O8" s="39" t="n">
        <v>811</v>
      </c>
      <c r="P8" s="38" t="inlineStr">
        <is>
          <t>From source</t>
        </is>
      </c>
      <c r="Q8" s="38" t="inlineStr">
        <is>
          <t>Eskom data portal and reports</t>
        </is>
      </c>
      <c r="R8" s="38" t="inlineStr"/>
      <c r="S8" s="38" t="inlineStr"/>
    </row>
    <row r="9" ht="15.5" customHeight="1">
      <c r="A9" s="42" t="inlineStr">
        <is>
          <t>Litres burned per kWh, implied</t>
        </is>
      </c>
      <c r="B9" s="42" t="inlineStr">
        <is>
          <t>Eskom</t>
        </is>
      </c>
      <c r="C9" s="42" t="inlineStr">
        <is>
          <t>litres per kWh</t>
        </is>
      </c>
      <c r="D9" s="42" t="inlineStr">
        <is>
          <t>years to March</t>
        </is>
      </c>
      <c r="E9" s="42" t="n"/>
      <c r="F9" s="42" t="n"/>
      <c r="G9" s="42" t="n"/>
      <c r="H9" s="42" t="n"/>
      <c r="I9" s="42" t="n"/>
      <c r="J9" s="42" t="n"/>
      <c r="K9" s="44" t="n">
        <v>0.318</v>
      </c>
      <c r="L9" s="44" t="n">
        <v>0.311</v>
      </c>
      <c r="M9" s="44" t="n">
        <v>0.311</v>
      </c>
      <c r="N9" s="44" t="n">
        <v>0.312</v>
      </c>
      <c r="O9" s="42" t="n"/>
      <c r="P9" s="42" t="inlineStr">
        <is>
          <t>Calculated</t>
        </is>
      </c>
      <c r="Q9" s="42" t="inlineStr">
        <is>
          <t>Reported fuel divided by reported generation</t>
        </is>
      </c>
      <c r="R9" s="42" t="inlineStr"/>
      <c r="S9" s="42" t="inlineStr">
        <is>
          <t>Confirms the 0.31 litres per kWh used on the Power fleet sheet.</t>
        </is>
      </c>
    </row>
    <row r="10" ht="29" customHeight="1">
      <c r="A10" s="38" t="inlineStr">
        <is>
          <t>Electricity generated at independent diesel plants</t>
        </is>
      </c>
      <c r="B10" s="38" t="inlineStr">
        <is>
          <t>Avon and Dedisa</t>
        </is>
      </c>
      <c r="C10" s="38" t="inlineStr">
        <is>
          <t>GWh</t>
        </is>
      </c>
      <c r="D10" s="38" t="inlineStr">
        <is>
          <t>years to March</t>
        </is>
      </c>
      <c r="E10" s="38" t="n"/>
      <c r="F10" s="38" t="n"/>
      <c r="G10" s="38" t="n"/>
      <c r="H10" s="38" t="n"/>
      <c r="I10" s="38" t="n"/>
      <c r="J10" s="38" t="n"/>
      <c r="K10" s="38" t="n"/>
      <c r="L10" s="39" t="n">
        <v>1098</v>
      </c>
      <c r="M10" s="39" t="n">
        <v>1509</v>
      </c>
      <c r="N10" s="39" t="n">
        <v>662</v>
      </c>
      <c r="O10" s="39" t="n">
        <v>268</v>
      </c>
      <c r="P10" s="38" t="inlineStr">
        <is>
          <t>From source</t>
        </is>
      </c>
      <c r="Q10" s="38" t="inlineStr">
        <is>
          <t>Eskom data portal and reports</t>
        </is>
      </c>
      <c r="R10" s="38" t="inlineStr"/>
      <c r="S10" s="38" t="inlineStr"/>
    </row>
    <row r="11" ht="29" customHeight="1">
      <c r="A11" s="42" t="inlineStr">
        <is>
          <t>Diesel burned at independent plants, estimated</t>
        </is>
      </c>
      <c r="B11" s="42" t="inlineStr">
        <is>
          <t>Avon and Dedisa</t>
        </is>
      </c>
      <c r="C11" s="42" t="inlineStr">
        <is>
          <t>million litres</t>
        </is>
      </c>
      <c r="D11" s="42" t="inlineStr">
        <is>
          <t>years to March</t>
        </is>
      </c>
      <c r="E11" s="42" t="n"/>
      <c r="F11" s="42" t="n"/>
      <c r="G11" s="42" t="n"/>
      <c r="H11" s="42" t="n"/>
      <c r="I11" s="42" t="n"/>
      <c r="J11" s="42" t="n"/>
      <c r="K11" s="42" t="n"/>
      <c r="L11" s="46" t="n">
        <v>340</v>
      </c>
      <c r="M11" s="46" t="n">
        <v>468</v>
      </c>
      <c r="N11" s="46" t="n">
        <v>205</v>
      </c>
      <c r="O11" s="46" t="n">
        <v>83</v>
      </c>
      <c r="P11" s="42" t="inlineStr">
        <is>
          <t>Calculated</t>
        </is>
      </c>
      <c r="Q11" s="42" t="inlineStr">
        <is>
          <t>Generation x 0.31 litres per kWh</t>
        </is>
      </c>
      <c r="R11" s="42" t="inlineStr"/>
      <c r="S11" s="42" t="inlineStr">
        <is>
          <t>The producers do not report litres. Uses Eskom's implied rate.</t>
        </is>
      </c>
    </row>
    <row r="12" ht="29" customHeight="1">
      <c r="A12" s="38" t="inlineStr">
        <is>
          <t>Electricity not supplied through load-shedding</t>
        </is>
      </c>
      <c r="B12" s="38" t="inlineStr">
        <is>
          <t>Electricity not supplied through load-shedding</t>
        </is>
      </c>
      <c r="C12" s="38" t="inlineStr">
        <is>
          <t>TWh</t>
        </is>
      </c>
      <c r="D12" s="38" t="inlineStr">
        <is>
          <t>calendar years</t>
        </is>
      </c>
      <c r="E12" s="38" t="n"/>
      <c r="F12" s="38" t="n"/>
      <c r="G12" s="38" t="n"/>
      <c r="H12" s="38" t="n"/>
      <c r="I12" s="38" t="n"/>
      <c r="J12" s="38" t="n"/>
      <c r="K12" s="38" t="n"/>
      <c r="L12" s="40" t="n">
        <v>10.6</v>
      </c>
      <c r="M12" s="40" t="n">
        <v>2.5</v>
      </c>
      <c r="N12" s="38" t="n"/>
      <c r="O12" s="38" t="n"/>
      <c r="P12" s="38" t="inlineStr">
        <is>
          <t>From source</t>
        </is>
      </c>
      <c r="Q12" s="38" t="inlineStr">
        <is>
          <t>CSIR, Utility-scale power generation statistics in South Africa 2024</t>
        </is>
      </c>
      <c r="R12" s="38" t="inlineStr">
        <is>
          <t>PDF p.4</t>
        </is>
      </c>
      <c r="S12" s="38" t="inlineStr">
        <is>
          <t>An upper limit: each stage is counted as its full megawatts for the full hour.</t>
        </is>
      </c>
    </row>
    <row r="13">
      <c r="A13" s="36" t="inlineStr">
        <is>
          <t>Item</t>
        </is>
      </c>
      <c r="B13" s="36" t="inlineStr">
        <is>
          <t>Covers</t>
        </is>
      </c>
      <c r="C13" s="36" t="inlineStr">
        <is>
          <t>Unit</t>
        </is>
      </c>
      <c r="D13" s="36" t="inlineStr">
        <is>
          <t>Period</t>
        </is>
      </c>
      <c r="E13" s="36" t="inlineStr">
        <is>
          <t>Value</t>
        </is>
      </c>
      <c r="K13" s="36" t="n"/>
      <c r="L13" s="36" t="n"/>
      <c r="M13" s="36" t="n"/>
      <c r="N13" s="36" t="n"/>
      <c r="O13" s="36" t="n"/>
      <c r="P13" s="36" t="inlineStr">
        <is>
          <t>Status</t>
        </is>
      </c>
      <c r="Q13" s="36" t="inlineStr">
        <is>
          <t>Source</t>
        </is>
      </c>
      <c r="R13" s="36" t="inlineStr">
        <is>
          <t>Page</t>
        </is>
      </c>
      <c r="S13" s="36" t="inlineStr">
        <is>
          <t>Note</t>
        </is>
      </c>
    </row>
    <row r="14" ht="42.5" customHeight="1">
      <c r="A14" s="45" t="inlineStr">
        <is>
          <t>Diesel burned in private backup generators</t>
        </is>
      </c>
      <c r="B14" s="45" t="inlineStr">
        <is>
          <t>Businesses and households</t>
        </is>
      </c>
      <c r="C14" s="45" t="inlineStr">
        <is>
          <t>million litres</t>
        </is>
      </c>
      <c r="D14" s="45" t="inlineStr"/>
      <c r="E14" s="45" t="inlineStr">
        <is>
          <t>Not available</t>
        </is>
      </c>
      <c r="K14" s="45" t="n"/>
      <c r="L14" s="45" t="n"/>
      <c r="M14" s="45" t="n"/>
      <c r="N14" s="45" t="n"/>
      <c r="O14" s="45" t="n"/>
      <c r="P14" s="45" t="inlineStr">
        <is>
          <t>Not available</t>
        </is>
      </c>
      <c r="Q14" s="45" t="inlineStr">
        <is>
          <t>None found</t>
        </is>
      </c>
      <c r="R14" s="45" t="inlineStr"/>
      <c r="S14" s="45" t="inlineStr">
        <is>
          <t>No source measures it: checked the Reserve Bank, the CSIR, Eskom and the system operator. It is inside recorded diesel sales and cannot be separated.</t>
        </is>
      </c>
    </row>
    <row r="15" ht="29" customHeight="1">
      <c r="A15" s="38" t="inlineStr">
        <is>
          <t>Diesel stations and capacity</t>
        </is>
      </c>
      <c r="B15" s="38" t="inlineStr">
        <is>
          <t>Ankerlig</t>
        </is>
      </c>
      <c r="C15" s="38" t="inlineStr">
        <is>
          <t>MW</t>
        </is>
      </c>
      <c r="D15" s="38" t="inlineStr">
        <is>
          <t>current</t>
        </is>
      </c>
      <c r="E15" s="41" t="n">
        <v>1338</v>
      </c>
      <c r="K15" s="38" t="n"/>
      <c r="L15" s="38" t="n"/>
      <c r="M15" s="38" t="n"/>
      <c r="N15" s="38" t="n"/>
      <c r="O15" s="38" t="n"/>
      <c r="P15" s="38" t="inlineStr">
        <is>
          <t>From source</t>
        </is>
      </c>
      <c r="Q15" s="38" t="inlineStr">
        <is>
          <t>Eskom fact sheet GX 0001 (July 2024); African Energy (2015)</t>
        </is>
      </c>
      <c r="R15" s="38" t="inlineStr"/>
      <c r="S15" s="38" t="inlineStr">
        <is>
          <t>Avon began in July 2016 and Dedisa in October 2015.</t>
        </is>
      </c>
    </row>
    <row r="16" ht="29" customHeight="1">
      <c r="A16" s="38" t="inlineStr">
        <is>
          <t>Diesel stations and capacity</t>
        </is>
      </c>
      <c r="B16" s="38" t="inlineStr">
        <is>
          <t>Gourikwa</t>
        </is>
      </c>
      <c r="C16" s="38" t="inlineStr">
        <is>
          <t>MW</t>
        </is>
      </c>
      <c r="D16" s="38" t="inlineStr">
        <is>
          <t>current</t>
        </is>
      </c>
      <c r="E16" s="41" t="n">
        <v>746</v>
      </c>
      <c r="K16" s="38" t="n"/>
      <c r="L16" s="38" t="n"/>
      <c r="M16" s="38" t="n"/>
      <c r="N16" s="38" t="n"/>
      <c r="O16" s="38" t="n"/>
      <c r="P16" s="38" t="inlineStr">
        <is>
          <t>From source</t>
        </is>
      </c>
      <c r="Q16" s="38" t="inlineStr">
        <is>
          <t>Eskom fact sheet GX 0001 (July 2024); African Energy (2015)</t>
        </is>
      </c>
      <c r="R16" s="38" t="inlineStr"/>
      <c r="S16" s="38" t="inlineStr">
        <is>
          <t>Avon began in July 2016 and Dedisa in October 2015.</t>
        </is>
      </c>
    </row>
    <row r="17" ht="29" customHeight="1">
      <c r="A17" s="38" t="inlineStr">
        <is>
          <t>Diesel stations and capacity</t>
        </is>
      </c>
      <c r="B17" s="38" t="inlineStr">
        <is>
          <t>Avon</t>
        </is>
      </c>
      <c r="C17" s="38" t="inlineStr">
        <is>
          <t>MW</t>
        </is>
      </c>
      <c r="D17" s="38" t="inlineStr">
        <is>
          <t>current</t>
        </is>
      </c>
      <c r="E17" s="41" t="n">
        <v>670</v>
      </c>
      <c r="K17" s="38" t="n"/>
      <c r="L17" s="38" t="n"/>
      <c r="M17" s="38" t="n"/>
      <c r="N17" s="38" t="n"/>
      <c r="O17" s="38" t="n"/>
      <c r="P17" s="38" t="inlineStr">
        <is>
          <t>From source</t>
        </is>
      </c>
      <c r="Q17" s="38" t="inlineStr">
        <is>
          <t>Eskom fact sheet GX 0001 (July 2024); African Energy (2015)</t>
        </is>
      </c>
      <c r="R17" s="38" t="inlineStr"/>
      <c r="S17" s="38" t="inlineStr">
        <is>
          <t>Avon began in July 2016 and Dedisa in October 2015.</t>
        </is>
      </c>
    </row>
    <row r="18" ht="29" customHeight="1">
      <c r="A18" s="38" t="inlineStr">
        <is>
          <t>Diesel stations and capacity</t>
        </is>
      </c>
      <c r="B18" s="38" t="inlineStr">
        <is>
          <t>Dedisa</t>
        </is>
      </c>
      <c r="C18" s="38" t="inlineStr">
        <is>
          <t>MW</t>
        </is>
      </c>
      <c r="D18" s="38" t="inlineStr">
        <is>
          <t>current</t>
        </is>
      </c>
      <c r="E18" s="41" t="n">
        <v>335</v>
      </c>
      <c r="K18" s="38" t="n"/>
      <c r="L18" s="38" t="n"/>
      <c r="M18" s="38" t="n"/>
      <c r="N18" s="38" t="n"/>
      <c r="O18" s="38" t="n"/>
      <c r="P18" s="38" t="inlineStr">
        <is>
          <t>From source</t>
        </is>
      </c>
      <c r="Q18" s="38" t="inlineStr">
        <is>
          <t>Eskom fact sheet GX 0001 (July 2024); African Energy (2015)</t>
        </is>
      </c>
      <c r="R18" s="38" t="inlineStr"/>
      <c r="S18" s="38" t="inlineStr">
        <is>
          <t>Avon began in July 2016 and Dedisa in October 2015.</t>
        </is>
      </c>
    </row>
    <row r="19" ht="15.5" customHeight="1">
      <c r="A19" s="38" t="inlineStr">
        <is>
          <t>Coal station shutdown</t>
        </is>
      </c>
      <c r="B19" s="38" t="inlineStr">
        <is>
          <t>Komati</t>
        </is>
      </c>
      <c r="C19" s="38" t="inlineStr"/>
      <c r="D19" s="38" t="inlineStr">
        <is>
          <t>October 2022</t>
        </is>
      </c>
      <c r="E19" s="38" t="inlineStr">
        <is>
          <t>Shut down</t>
        </is>
      </c>
      <c r="K19" s="38" t="n"/>
      <c r="L19" s="38" t="n"/>
      <c r="M19" s="38" t="n"/>
      <c r="N19" s="38" t="n"/>
      <c r="O19" s="38" t="n"/>
      <c r="P19" s="38" t="inlineStr">
        <is>
          <t>From source</t>
        </is>
      </c>
      <c r="Q19" s="38" t="inlineStr">
        <is>
          <t>Eskom, coal-fired power stations page</t>
        </is>
      </c>
      <c r="R19" s="38" t="inlineStr"/>
      <c r="S19" s="38" t="inlineStr">
        <is>
          <t>The last unit, unit 9.</t>
        </is>
      </c>
    </row>
    <row r="20" ht="42.5" customHeight="1">
      <c r="A20" s="38" t="inlineStr">
        <is>
          <t>Coal station shutdown</t>
        </is>
      </c>
      <c r="B20" s="38" t="inlineStr">
        <is>
          <t>Camden</t>
        </is>
      </c>
      <c r="C20" s="38" t="inlineStr"/>
      <c r="D20" s="38" t="inlineStr">
        <is>
          <t>by 31 March 2030</t>
        </is>
      </c>
      <c r="E20" s="38" t="inlineStr">
        <is>
          <t>Scheduled to shut down</t>
        </is>
      </c>
      <c r="K20" s="38" t="n"/>
      <c r="L20" s="38" t="n"/>
      <c r="M20" s="38" t="n"/>
      <c r="N20" s="38" t="n"/>
      <c r="O20" s="38" t="n"/>
      <c r="P20" s="38" t="inlineStr">
        <is>
          <t>From source</t>
        </is>
      </c>
      <c r="Q20" s="38" t="inlineStr">
        <is>
          <t>Eskom Integrated Report 2025; system operator outlook</t>
        </is>
      </c>
      <c r="R20" s="38" t="inlineStr">
        <is>
          <t>Eskom PDF pp.32, 44; outlook PDF pp.17, 19</t>
        </is>
      </c>
      <c r="S20" s="38" t="inlineStr">
        <is>
          <t>Eskom: the four older stations 'will now continue operating until FY2030'. System operator: all five run to the end of 2028, then shut in phases from 2029.</t>
        </is>
      </c>
    </row>
    <row r="21" ht="42.5" customHeight="1">
      <c r="A21" s="38" t="inlineStr">
        <is>
          <t>Coal station shutdown</t>
        </is>
      </c>
      <c r="B21" s="38" t="inlineStr">
        <is>
          <t>Hendrina</t>
        </is>
      </c>
      <c r="C21" s="38" t="inlineStr"/>
      <c r="D21" s="38" t="inlineStr">
        <is>
          <t>by 31 March 2030</t>
        </is>
      </c>
      <c r="E21" s="38" t="inlineStr">
        <is>
          <t>Scheduled to shut down</t>
        </is>
      </c>
      <c r="K21" s="38" t="n"/>
      <c r="L21" s="38" t="n"/>
      <c r="M21" s="38" t="n"/>
      <c r="N21" s="38" t="n"/>
      <c r="O21" s="38" t="n"/>
      <c r="P21" s="38" t="inlineStr">
        <is>
          <t>From source</t>
        </is>
      </c>
      <c r="Q21" s="38" t="inlineStr">
        <is>
          <t>Eskom Integrated Report 2025; system operator outlook</t>
        </is>
      </c>
      <c r="R21" s="38" t="inlineStr">
        <is>
          <t>Eskom PDF pp.32, 44; outlook PDF pp.17, 19</t>
        </is>
      </c>
      <c r="S21" s="38" t="inlineStr">
        <is>
          <t>Eskom: the four older stations 'will now continue operating until FY2030'. System operator: all five run to the end of 2028, then shut in phases from 2029.</t>
        </is>
      </c>
    </row>
    <row r="22" ht="42.5" customHeight="1">
      <c r="A22" s="38" t="inlineStr">
        <is>
          <t>Coal station shutdown</t>
        </is>
      </c>
      <c r="B22" s="38" t="inlineStr">
        <is>
          <t>Grootvlei</t>
        </is>
      </c>
      <c r="C22" s="38" t="inlineStr"/>
      <c r="D22" s="38" t="inlineStr">
        <is>
          <t>by 31 March 2030</t>
        </is>
      </c>
      <c r="E22" s="38" t="inlineStr">
        <is>
          <t>Scheduled to shut down</t>
        </is>
      </c>
      <c r="K22" s="38" t="n"/>
      <c r="L22" s="38" t="n"/>
      <c r="M22" s="38" t="n"/>
      <c r="N22" s="38" t="n"/>
      <c r="O22" s="38" t="n"/>
      <c r="P22" s="38" t="inlineStr">
        <is>
          <t>From source</t>
        </is>
      </c>
      <c r="Q22" s="38" t="inlineStr">
        <is>
          <t>Eskom Integrated Report 2025; system operator outlook</t>
        </is>
      </c>
      <c r="R22" s="38" t="inlineStr">
        <is>
          <t>Eskom PDF pp.32, 44; outlook PDF pp.17, 19</t>
        </is>
      </c>
      <c r="S22" s="38" t="inlineStr">
        <is>
          <t>Eskom: the four older stations 'will now continue operating until FY2030'. System operator: all five run to the end of 2028, then shut in phases from 2029.</t>
        </is>
      </c>
    </row>
    <row r="23" ht="42.5" customHeight="1">
      <c r="A23" s="38" t="inlineStr">
        <is>
          <t>Coal station shutdown</t>
        </is>
      </c>
      <c r="B23" s="38" t="inlineStr">
        <is>
          <t>Arnot</t>
        </is>
      </c>
      <c r="C23" s="38" t="inlineStr"/>
      <c r="D23" s="38" t="inlineStr">
        <is>
          <t>by 31 March 2030</t>
        </is>
      </c>
      <c r="E23" s="38" t="inlineStr">
        <is>
          <t>Scheduled to shut down</t>
        </is>
      </c>
      <c r="K23" s="38" t="n"/>
      <c r="L23" s="38" t="n"/>
      <c r="M23" s="38" t="n"/>
      <c r="N23" s="38" t="n"/>
      <c r="O23" s="38" t="n"/>
      <c r="P23" s="38" t="inlineStr">
        <is>
          <t>From source</t>
        </is>
      </c>
      <c r="Q23" s="38" t="inlineStr">
        <is>
          <t>Eskom Integrated Report 2025; system operator outlook</t>
        </is>
      </c>
      <c r="R23" s="38" t="inlineStr">
        <is>
          <t>Eskom PDF pp.32, 44; outlook PDF pp.17, 19</t>
        </is>
      </c>
      <c r="S23" s="38" t="inlineStr">
        <is>
          <t>Eskom: the four older stations 'will now continue operating until FY2030'. System operator: all five run to the end of 2028, then shut in phases from 2029.</t>
        </is>
      </c>
    </row>
    <row r="24" ht="42.5" customHeight="1">
      <c r="A24" s="38" t="inlineStr">
        <is>
          <t>Coal station shutdown</t>
        </is>
      </c>
      <c r="B24" s="38" t="inlineStr">
        <is>
          <t>Kriel</t>
        </is>
      </c>
      <c r="C24" s="38" t="inlineStr"/>
      <c r="D24" s="38" t="inlineStr">
        <is>
          <t>by 31 March 2030</t>
        </is>
      </c>
      <c r="E24" s="38" t="inlineStr">
        <is>
          <t>Scheduled to shut down</t>
        </is>
      </c>
      <c r="K24" s="38" t="n"/>
      <c r="L24" s="38" t="n"/>
      <c r="M24" s="38" t="n"/>
      <c r="N24" s="38" t="n"/>
      <c r="O24" s="38" t="n"/>
      <c r="P24" s="38" t="inlineStr">
        <is>
          <t>From source</t>
        </is>
      </c>
      <c r="Q24" s="38" t="inlineStr">
        <is>
          <t>Eskom Integrated Report 2025; system operator outlook</t>
        </is>
      </c>
      <c r="R24" s="38" t="inlineStr">
        <is>
          <t>Eskom PDF pp.32, 44; outlook PDF pp.17, 19</t>
        </is>
      </c>
      <c r="S24" s="38" t="inlineStr">
        <is>
          <t>Eskom: the four older stations 'will now continue operating until FY2030'. System operator: all five run to the end of 2028, then shut in phases from 2029.</t>
        </is>
      </c>
    </row>
    <row r="25" ht="29" customHeight="1">
      <c r="A25" s="38" t="inlineStr">
        <is>
          <t>Coal station shutdown</t>
        </is>
      </c>
      <c r="B25" s="38" t="inlineStr">
        <is>
          <t>Duvha</t>
        </is>
      </c>
      <c r="C25" s="38" t="inlineStr"/>
      <c r="D25" s="38" t="inlineStr">
        <is>
          <t>February 2034</t>
        </is>
      </c>
      <c r="E25" s="38" t="inlineStr">
        <is>
          <t>Planned shutdown</t>
        </is>
      </c>
      <c r="K25" s="38" t="n"/>
      <c r="L25" s="38" t="n"/>
      <c r="M25" s="38" t="n"/>
      <c r="N25" s="38" t="n"/>
      <c r="O25" s="38" t="n"/>
      <c r="P25" s="38" t="inlineStr">
        <is>
          <t>From source</t>
        </is>
      </c>
      <c r="Q25" s="38" t="inlineStr">
        <is>
          <t>System operator, Medium-Term System Adequacy Outlook 2026-2030 (30 October 2025)</t>
        </is>
      </c>
      <c r="R25" s="38" t="inlineStr">
        <is>
          <t>PDF p.19</t>
        </is>
      </c>
      <c r="S25" s="38" t="inlineStr">
        <is>
          <t>Its emissions exemption runs to this date.</t>
        </is>
      </c>
    </row>
    <row r="26" ht="29" customHeight="1">
      <c r="A26" s="38" t="inlineStr">
        <is>
          <t>Coal station shutdown</t>
        </is>
      </c>
      <c r="B26" s="38" t="inlineStr">
        <is>
          <t>Matla</t>
        </is>
      </c>
      <c r="C26" s="38" t="inlineStr"/>
      <c r="D26" s="38" t="inlineStr">
        <is>
          <t>July 2034</t>
        </is>
      </c>
      <c r="E26" s="38" t="inlineStr">
        <is>
          <t>Planned shutdown</t>
        </is>
      </c>
      <c r="K26" s="38" t="n"/>
      <c r="L26" s="38" t="n"/>
      <c r="M26" s="38" t="n"/>
      <c r="N26" s="38" t="n"/>
      <c r="O26" s="38" t="n"/>
      <c r="P26" s="38" t="inlineStr">
        <is>
          <t>From source</t>
        </is>
      </c>
      <c r="Q26" s="38" t="inlineStr">
        <is>
          <t>System operator, Medium-Term System Adequacy Outlook 2026-2030 (30 October 2025)</t>
        </is>
      </c>
      <c r="R26" s="38" t="inlineStr">
        <is>
          <t>PDF p.19</t>
        </is>
      </c>
      <c r="S26" s="38" t="inlineStr">
        <is>
          <t>Its emissions exemption runs to this date.</t>
        </is>
      </c>
    </row>
    <row r="27" ht="29" customHeight="1">
      <c r="A27" s="38" t="inlineStr">
        <is>
          <t>Coal station shutdown</t>
        </is>
      </c>
      <c r="B27" s="38" t="inlineStr">
        <is>
          <t>Tutuka</t>
        </is>
      </c>
      <c r="C27" s="38" t="inlineStr"/>
      <c r="D27" s="38" t="inlineStr">
        <is>
          <t>by 2030</t>
        </is>
      </c>
      <c r="E27" s="38" t="inlineStr">
        <is>
          <t>Scheduled for closure under Eskom's Generation 2035 plan</t>
        </is>
      </c>
      <c r="K27" s="38" t="n"/>
      <c r="L27" s="38" t="n"/>
      <c r="M27" s="38" t="n"/>
      <c r="N27" s="38" t="n"/>
      <c r="O27" s="38" t="n"/>
      <c r="P27" s="38" t="inlineStr">
        <is>
          <t>From source</t>
        </is>
      </c>
      <c r="Q27" s="38" t="inlineStr">
        <is>
          <t>Eskom, coal-fired power stations page</t>
        </is>
      </c>
      <c r="R27" s="38" t="inlineStr"/>
      <c r="S27" s="38" t="inlineStr">
        <is>
          <t>The system operator's outlook does not count Tutuka among the stations shutting by 2030, so this may be an older plan.</t>
        </is>
      </c>
    </row>
    <row r="28" ht="29" customHeight="1">
      <c r="A28" s="38" t="inlineStr">
        <is>
          <t>Coal station shutdown</t>
        </is>
      </c>
      <c r="B28" s="38" t="inlineStr">
        <is>
          <t>Kendal</t>
        </is>
      </c>
      <c r="C28" s="38" t="inlineStr"/>
      <c r="D28" s="38" t="inlineStr">
        <is>
          <t>no shutdown date given</t>
        </is>
      </c>
      <c r="E28" s="38" t="inlineStr">
        <is>
          <t>Emissions exemption to 31 March 2030</t>
        </is>
      </c>
      <c r="K28" s="38" t="n"/>
      <c r="L28" s="38" t="n"/>
      <c r="M28" s="38" t="n"/>
      <c r="N28" s="38" t="n"/>
      <c r="O28" s="38" t="n"/>
      <c r="P28" s="38" t="inlineStr">
        <is>
          <t>From source</t>
        </is>
      </c>
      <c r="Q28" s="38" t="inlineStr">
        <is>
          <t>System operator, Medium-Term System Adequacy Outlook 2026-2030 (30 October 2025)</t>
        </is>
      </c>
      <c r="R28" s="38" t="inlineStr">
        <is>
          <t>PDF p.19</t>
        </is>
      </c>
      <c r="S28" s="38" t="inlineStr">
        <is>
          <t>An exemption, not a shutdown date. Eskom may apply for more.</t>
        </is>
      </c>
    </row>
    <row r="29" ht="29" customHeight="1">
      <c r="A29" s="38" t="inlineStr">
        <is>
          <t>Coal station shutdown</t>
        </is>
      </c>
      <c r="B29" s="38" t="inlineStr">
        <is>
          <t>Lethabo</t>
        </is>
      </c>
      <c r="C29" s="38" t="inlineStr"/>
      <c r="D29" s="38" t="inlineStr">
        <is>
          <t>no shutdown date given</t>
        </is>
      </c>
      <c r="E29" s="38" t="inlineStr">
        <is>
          <t>Emissions exemption to 31 March 2030</t>
        </is>
      </c>
      <c r="K29" s="38" t="n"/>
      <c r="L29" s="38" t="n"/>
      <c r="M29" s="38" t="n"/>
      <c r="N29" s="38" t="n"/>
      <c r="O29" s="38" t="n"/>
      <c r="P29" s="38" t="inlineStr">
        <is>
          <t>From source</t>
        </is>
      </c>
      <c r="Q29" s="38" t="inlineStr">
        <is>
          <t>System operator, Medium-Term System Adequacy Outlook 2026-2030 (30 October 2025)</t>
        </is>
      </c>
      <c r="R29" s="38" t="inlineStr">
        <is>
          <t>PDF p.19</t>
        </is>
      </c>
      <c r="S29" s="38" t="inlineStr">
        <is>
          <t>An exemption, not a shutdown date. Eskom may apply for more.</t>
        </is>
      </c>
    </row>
    <row r="30" ht="29" customHeight="1">
      <c r="A30" s="38" t="inlineStr">
        <is>
          <t>Coal station shutdown</t>
        </is>
      </c>
      <c r="B30" s="38" t="inlineStr">
        <is>
          <t>Majuba</t>
        </is>
      </c>
      <c r="C30" s="38" t="inlineStr"/>
      <c r="D30" s="38" t="inlineStr">
        <is>
          <t>no shutdown date given</t>
        </is>
      </c>
      <c r="E30" s="38" t="inlineStr">
        <is>
          <t>Emissions exemption to 31 March 2030</t>
        </is>
      </c>
      <c r="K30" s="38" t="n"/>
      <c r="L30" s="38" t="n"/>
      <c r="M30" s="38" t="n"/>
      <c r="N30" s="38" t="n"/>
      <c r="O30" s="38" t="n"/>
      <c r="P30" s="38" t="inlineStr">
        <is>
          <t>From source</t>
        </is>
      </c>
      <c r="Q30" s="38" t="inlineStr">
        <is>
          <t>System operator, Medium-Term System Adequacy Outlook 2026-2030 (30 October 2025)</t>
        </is>
      </c>
      <c r="R30" s="38" t="inlineStr">
        <is>
          <t>PDF p.19</t>
        </is>
      </c>
      <c r="S30" s="38" t="inlineStr">
        <is>
          <t>An exemption, not a shutdown date. Eskom may apply for more.</t>
        </is>
      </c>
    </row>
    <row r="31" ht="29" customHeight="1">
      <c r="A31" s="38" t="inlineStr">
        <is>
          <t>Coal station shutdown</t>
        </is>
      </c>
      <c r="B31" s="38" t="inlineStr">
        <is>
          <t>Matimba</t>
        </is>
      </c>
      <c r="C31" s="38" t="inlineStr"/>
      <c r="D31" s="38" t="inlineStr">
        <is>
          <t>no shutdown date given</t>
        </is>
      </c>
      <c r="E31" s="38" t="inlineStr">
        <is>
          <t>Emissions exemption to 31 March 2030</t>
        </is>
      </c>
      <c r="K31" s="38" t="n"/>
      <c r="L31" s="38" t="n"/>
      <c r="M31" s="38" t="n"/>
      <c r="N31" s="38" t="n"/>
      <c r="O31" s="38" t="n"/>
      <c r="P31" s="38" t="inlineStr">
        <is>
          <t>From source</t>
        </is>
      </c>
      <c r="Q31" s="38" t="inlineStr">
        <is>
          <t>System operator, Medium-Term System Adequacy Outlook 2026-2030 (30 October 2025)</t>
        </is>
      </c>
      <c r="R31" s="38" t="inlineStr">
        <is>
          <t>PDF p.19</t>
        </is>
      </c>
      <c r="S31" s="38" t="inlineStr">
        <is>
          <t>An exemption, not a shutdown date. Eskom may apply for more.</t>
        </is>
      </c>
    </row>
    <row r="32" ht="29" customHeight="1">
      <c r="A32" s="38" t="inlineStr">
        <is>
          <t>Coal station shutdown</t>
        </is>
      </c>
      <c r="B32" s="38" t="inlineStr">
        <is>
          <t>Medupi</t>
        </is>
      </c>
      <c r="C32" s="38" t="inlineStr"/>
      <c r="D32" s="38" t="inlineStr">
        <is>
          <t>no shutdown date given</t>
        </is>
      </c>
      <c r="E32" s="38" t="inlineStr">
        <is>
          <t>Emissions exemption to 31 March 2030</t>
        </is>
      </c>
      <c r="K32" s="38" t="n"/>
      <c r="L32" s="38" t="n"/>
      <c r="M32" s="38" t="n"/>
      <c r="N32" s="38" t="n"/>
      <c r="O32" s="38" t="n"/>
      <c r="P32" s="38" t="inlineStr">
        <is>
          <t>From source</t>
        </is>
      </c>
      <c r="Q32" s="38" t="inlineStr">
        <is>
          <t>System operator, Medium-Term System Adequacy Outlook 2026-2030 (30 October 2025)</t>
        </is>
      </c>
      <c r="R32" s="38" t="inlineStr">
        <is>
          <t>PDF p.19</t>
        </is>
      </c>
      <c r="S32" s="38" t="inlineStr">
        <is>
          <t>An exemption, not a shutdown date. Eskom may apply for more.</t>
        </is>
      </c>
    </row>
    <row r="33" ht="29" customHeight="1">
      <c r="A33" s="38" t="inlineStr">
        <is>
          <t>Coal station shutdown</t>
        </is>
      </c>
      <c r="B33" s="38" t="inlineStr">
        <is>
          <t>Nine coal stations, about 22 GW</t>
        </is>
      </c>
      <c r="C33" s="38" t="inlineStr"/>
      <c r="D33" s="38" t="inlineStr">
        <is>
          <t>by 2035</t>
        </is>
      </c>
      <c r="E33" s="38" t="inlineStr">
        <is>
          <t>To be shut down</t>
        </is>
      </c>
      <c r="K33" s="38" t="n"/>
      <c r="L33" s="38" t="n"/>
      <c r="M33" s="38" t="n"/>
      <c r="N33" s="38" t="n"/>
      <c r="O33" s="38" t="n"/>
      <c r="P33" s="38" t="inlineStr">
        <is>
          <t>From source</t>
        </is>
      </c>
      <c r="Q33" s="38" t="inlineStr">
        <is>
          <t>Eskom, input on emission standards (24 November 2022)</t>
        </is>
      </c>
      <c r="R33" s="38" t="inlineStr">
        <is>
          <t>PDF p.12</t>
        </is>
      </c>
      <c r="S33" s="38" t="inlineStr">
        <is>
          <t>Eskom's 2035 plan as it stood in 2022, before the shutdowns were delayed.</t>
        </is>
      </c>
    </row>
    <row r="34" ht="29" customHeight="1">
      <c r="A34" s="42" t="inlineStr">
        <is>
          <t>Coal stations: last full year used on the Power fleet sheet</t>
        </is>
      </c>
      <c r="B34" s="42" t="inlineStr">
        <is>
          <t>Komati</t>
        </is>
      </c>
      <c r="C34" s="42" t="inlineStr">
        <is>
          <t>last full year</t>
        </is>
      </c>
      <c r="D34" s="42" t="inlineStr"/>
      <c r="E34" s="42" t="n">
        <v>2022</v>
      </c>
      <c r="K34" s="42" t="n"/>
      <c r="L34" s="42" t="n"/>
      <c r="M34" s="42" t="n"/>
      <c r="N34" s="42" t="n"/>
      <c r="O34" s="42" t="n"/>
      <c r="P34" s="42" t="inlineStr">
        <is>
          <t>Calculated</t>
        </is>
      </c>
      <c r="Q34" s="42" t="inlineStr">
        <is>
          <t>Read from the shutdown dates above</t>
        </is>
      </c>
      <c r="R34" s="42" t="inlineStr"/>
      <c r="S34" s="42" t="inlineStr">
        <is>
          <t>Eskom's decision on five of them, due end September 2026, had not been announced by 8 October.</t>
        </is>
      </c>
    </row>
    <row r="35" ht="29" customHeight="1">
      <c r="A35" s="42" t="inlineStr">
        <is>
          <t>Coal stations: last full year used on the Power fleet sheet</t>
        </is>
      </c>
      <c r="B35" s="42" t="inlineStr">
        <is>
          <t>Camden</t>
        </is>
      </c>
      <c r="C35" s="42" t="inlineStr">
        <is>
          <t>last full year</t>
        </is>
      </c>
      <c r="D35" s="42" t="inlineStr"/>
      <c r="E35" s="42" t="n">
        <v>2029</v>
      </c>
      <c r="K35" s="42" t="n"/>
      <c r="L35" s="42" t="n"/>
      <c r="M35" s="42" t="n"/>
      <c r="N35" s="42" t="n"/>
      <c r="O35" s="42" t="n"/>
      <c r="P35" s="42" t="inlineStr">
        <is>
          <t>Calculated</t>
        </is>
      </c>
      <c r="Q35" s="42" t="inlineStr">
        <is>
          <t>Read from the shutdown dates above</t>
        </is>
      </c>
      <c r="R35" s="42" t="inlineStr"/>
      <c r="S35" s="42" t="inlineStr">
        <is>
          <t>Eskom's decision on five of them, due end September 2026, had not been announced by 8 October.</t>
        </is>
      </c>
    </row>
    <row r="36" ht="29" customHeight="1">
      <c r="A36" s="42" t="inlineStr">
        <is>
          <t>Coal stations: last full year used on the Power fleet sheet</t>
        </is>
      </c>
      <c r="B36" s="42" t="inlineStr">
        <is>
          <t>Grootvlei</t>
        </is>
      </c>
      <c r="C36" s="42" t="inlineStr">
        <is>
          <t>last full year</t>
        </is>
      </c>
      <c r="D36" s="42" t="inlineStr"/>
      <c r="E36" s="42" t="n">
        <v>2029</v>
      </c>
      <c r="K36" s="42" t="n"/>
      <c r="L36" s="42" t="n"/>
      <c r="M36" s="42" t="n"/>
      <c r="N36" s="42" t="n"/>
      <c r="O36" s="42" t="n"/>
      <c r="P36" s="42" t="inlineStr">
        <is>
          <t>Calculated</t>
        </is>
      </c>
      <c r="Q36" s="42" t="inlineStr">
        <is>
          <t>Read from the shutdown dates above</t>
        </is>
      </c>
      <c r="R36" s="42" t="inlineStr"/>
      <c r="S36" s="42" t="inlineStr">
        <is>
          <t>Eskom's decision on five of them, due end September 2026, had not been announced by 8 October.</t>
        </is>
      </c>
    </row>
    <row r="37" ht="29" customHeight="1">
      <c r="A37" s="42" t="inlineStr">
        <is>
          <t>Coal stations: last full year used on the Power fleet sheet</t>
        </is>
      </c>
      <c r="B37" s="42" t="inlineStr">
        <is>
          <t>Hendrina</t>
        </is>
      </c>
      <c r="C37" s="42" t="inlineStr">
        <is>
          <t>last full year</t>
        </is>
      </c>
      <c r="D37" s="42" t="inlineStr"/>
      <c r="E37" s="42" t="n">
        <v>2029</v>
      </c>
      <c r="K37" s="42" t="n"/>
      <c r="L37" s="42" t="n"/>
      <c r="M37" s="42" t="n"/>
      <c r="N37" s="42" t="n"/>
      <c r="O37" s="42" t="n"/>
      <c r="P37" s="42" t="inlineStr">
        <is>
          <t>Calculated</t>
        </is>
      </c>
      <c r="Q37" s="42" t="inlineStr">
        <is>
          <t>Read from the shutdown dates above</t>
        </is>
      </c>
      <c r="R37" s="42" t="inlineStr"/>
      <c r="S37" s="42" t="inlineStr">
        <is>
          <t>Eskom's decision on five of them, due end September 2026, had not been announced by 8 October.</t>
        </is>
      </c>
    </row>
    <row r="38" ht="29" customHeight="1">
      <c r="A38" s="42" t="inlineStr">
        <is>
          <t>Coal stations: last full year used on the Power fleet sheet</t>
        </is>
      </c>
      <c r="B38" s="42" t="inlineStr">
        <is>
          <t>Arnot</t>
        </is>
      </c>
      <c r="C38" s="42" t="inlineStr">
        <is>
          <t>last full year</t>
        </is>
      </c>
      <c r="D38" s="42" t="inlineStr"/>
      <c r="E38" s="42" t="n">
        <v>2029</v>
      </c>
      <c r="K38" s="42" t="n"/>
      <c r="L38" s="42" t="n"/>
      <c r="M38" s="42" t="n"/>
      <c r="N38" s="42" t="n"/>
      <c r="O38" s="42" t="n"/>
      <c r="P38" s="42" t="inlineStr">
        <is>
          <t>Calculated</t>
        </is>
      </c>
      <c r="Q38" s="42" t="inlineStr">
        <is>
          <t>Read from the shutdown dates above</t>
        </is>
      </c>
      <c r="R38" s="42" t="inlineStr"/>
      <c r="S38" s="42" t="inlineStr">
        <is>
          <t>Eskom's decision on five of them, due end September 2026, had not been announced by 8 October.</t>
        </is>
      </c>
    </row>
    <row r="39" ht="29" customHeight="1">
      <c r="A39" s="42" t="inlineStr">
        <is>
          <t>Coal stations: last full year used on the Power fleet sheet</t>
        </is>
      </c>
      <c r="B39" s="42" t="inlineStr">
        <is>
          <t>Kriel</t>
        </is>
      </c>
      <c r="C39" s="42" t="inlineStr">
        <is>
          <t>last full year</t>
        </is>
      </c>
      <c r="D39" s="42" t="inlineStr"/>
      <c r="E39" s="42" t="n">
        <v>2029</v>
      </c>
      <c r="K39" s="42" t="n"/>
      <c r="L39" s="42" t="n"/>
      <c r="M39" s="42" t="n"/>
      <c r="N39" s="42" t="n"/>
      <c r="O39" s="42" t="n"/>
      <c r="P39" s="42" t="inlineStr">
        <is>
          <t>Calculated</t>
        </is>
      </c>
      <c r="Q39" s="42" t="inlineStr">
        <is>
          <t>Read from the shutdown dates above</t>
        </is>
      </c>
      <c r="R39" s="42" t="inlineStr"/>
      <c r="S39" s="42" t="inlineStr">
        <is>
          <t>Eskom's decision on five of them, due end September 2026, had not been announced by 8 October.</t>
        </is>
      </c>
    </row>
    <row r="40" ht="29" customHeight="1">
      <c r="A40" s="42" t="inlineStr">
        <is>
          <t>Coal stations: last full year used on the Power fleet sheet</t>
        </is>
      </c>
      <c r="B40" s="42" t="inlineStr">
        <is>
          <t>Duvha</t>
        </is>
      </c>
      <c r="C40" s="42" t="inlineStr">
        <is>
          <t>last full year</t>
        </is>
      </c>
      <c r="D40" s="42" t="inlineStr"/>
      <c r="E40" s="42" t="n">
        <v>2033</v>
      </c>
      <c r="K40" s="42" t="n"/>
      <c r="L40" s="42" t="n"/>
      <c r="M40" s="42" t="n"/>
      <c r="N40" s="42" t="n"/>
      <c r="O40" s="42" t="n"/>
      <c r="P40" s="42" t="inlineStr">
        <is>
          <t>Calculated</t>
        </is>
      </c>
      <c r="Q40" s="42" t="inlineStr">
        <is>
          <t>Read from the shutdown dates above</t>
        </is>
      </c>
      <c r="R40" s="42" t="inlineStr"/>
      <c r="S40" s="42" t="inlineStr">
        <is>
          <t>Eskom's decision on five of them, due end September 2026, had not been announced by 8 October.</t>
        </is>
      </c>
    </row>
    <row r="41" ht="29" customHeight="1">
      <c r="A41" s="42" t="inlineStr">
        <is>
          <t>Coal stations: last full year used on the Power fleet sheet</t>
        </is>
      </c>
      <c r="B41" s="42" t="inlineStr">
        <is>
          <t>Matla</t>
        </is>
      </c>
      <c r="C41" s="42" t="inlineStr">
        <is>
          <t>last full year</t>
        </is>
      </c>
      <c r="D41" s="42" t="inlineStr"/>
      <c r="E41" s="42" t="n">
        <v>2033</v>
      </c>
      <c r="K41" s="42" t="n"/>
      <c r="L41" s="42" t="n"/>
      <c r="M41" s="42" t="n"/>
      <c r="N41" s="42" t="n"/>
      <c r="O41" s="42" t="n"/>
      <c r="P41" s="42" t="inlineStr">
        <is>
          <t>Calculated</t>
        </is>
      </c>
      <c r="Q41" s="42" t="inlineStr">
        <is>
          <t>Read from the shutdown dates above</t>
        </is>
      </c>
      <c r="R41" s="42" t="inlineStr"/>
      <c r="S41" s="42" t="inlineStr">
        <is>
          <t>Eskom's decision on five of them, due end September 2026, had not been announced by 8 October.</t>
        </is>
      </c>
    </row>
    <row r="42" ht="29" customHeight="1">
      <c r="A42" s="38" t="inlineStr">
        <is>
          <t>Independent diesel plants: contract end</t>
        </is>
      </c>
      <c r="B42" s="38" t="inlineStr">
        <is>
          <t>Dedisa</t>
        </is>
      </c>
      <c r="C42" s="38" t="inlineStr"/>
      <c r="D42" s="38" t="inlineStr">
        <is>
          <t>August or September 2030</t>
        </is>
      </c>
      <c r="E42" s="38" t="inlineStr">
        <is>
          <t>Contract expires</t>
        </is>
      </c>
      <c r="K42" s="38" t="n"/>
      <c r="L42" s="38" t="n"/>
      <c r="M42" s="38" t="n"/>
      <c r="N42" s="38" t="n"/>
      <c r="O42" s="38" t="n"/>
      <c r="P42" s="38" t="inlineStr">
        <is>
          <t>From source</t>
        </is>
      </c>
      <c r="Q42" s="38" t="inlineStr">
        <is>
          <t>System operator, Medium-Term System Adequacy Outlook 2026-2030 (30 October 2025)</t>
        </is>
      </c>
      <c r="R42" s="38" t="inlineStr">
        <is>
          <t>PDF p.22</t>
        </is>
      </c>
      <c r="S42" s="38" t="inlineStr">
        <is>
          <t>The department's two diesel peaking plants. The outlook gives August and September 2030 for Dedisa and Avon together.</t>
        </is>
      </c>
    </row>
    <row r="43" ht="29" customHeight="1">
      <c r="A43" s="38" t="inlineStr">
        <is>
          <t>Independent diesel plants: contract end</t>
        </is>
      </c>
      <c r="B43" s="38" t="inlineStr">
        <is>
          <t>Avon</t>
        </is>
      </c>
      <c r="C43" s="38" t="inlineStr"/>
      <c r="D43" s="38" t="inlineStr">
        <is>
          <t>August or September 2030</t>
        </is>
      </c>
      <c r="E43" s="38" t="inlineStr">
        <is>
          <t>Contract expires</t>
        </is>
      </c>
      <c r="K43" s="38" t="n"/>
      <c r="L43" s="38" t="n"/>
      <c r="M43" s="38" t="n"/>
      <c r="N43" s="38" t="n"/>
      <c r="O43" s="38" t="n"/>
      <c r="P43" s="38" t="inlineStr">
        <is>
          <t>From source</t>
        </is>
      </c>
      <c r="Q43" s="38" t="inlineStr">
        <is>
          <t>System operator, Medium-Term System Adequacy Outlook 2026-2030 (30 October 2025)</t>
        </is>
      </c>
      <c r="R43" s="38" t="inlineStr">
        <is>
          <t>PDF p.22</t>
        </is>
      </c>
      <c r="S43" s="38" t="inlineStr">
        <is>
          <t>The department's two diesel peaking plants. The outlook gives August and September 2030 for Dedisa and Avon together.</t>
        </is>
      </c>
    </row>
    <row r="44" ht="29" customHeight="1">
      <c r="A44" s="38" t="inlineStr">
        <is>
          <t>Kerosene stations: shutdown</t>
        </is>
      </c>
      <c r="B44" s="38" t="inlineStr">
        <is>
          <t>Acacia</t>
        </is>
      </c>
      <c r="C44" s="38" t="inlineStr"/>
      <c r="D44" s="38" t="inlineStr">
        <is>
          <t>2030</t>
        </is>
      </c>
      <c r="E44" s="38" t="inlineStr">
        <is>
          <t>Scheduled for shutdown</t>
        </is>
      </c>
      <c r="K44" s="38" t="n"/>
      <c r="L44" s="38" t="n"/>
      <c r="M44" s="38" t="n"/>
      <c r="N44" s="38" t="n"/>
      <c r="O44" s="38" t="n"/>
      <c r="P44" s="38" t="inlineStr">
        <is>
          <t>From source</t>
        </is>
      </c>
      <c r="Q44" s="38" t="inlineStr">
        <is>
          <t>System operator, Medium-Term System Adequacy Outlook 2026-2030 (30 October 2025)</t>
        </is>
      </c>
      <c r="R44" s="38" t="inlineStr">
        <is>
          <t>PDF p.18</t>
        </is>
      </c>
      <c r="S44" s="38" t="inlineStr"/>
    </row>
    <row r="45" ht="29" customHeight="1">
      <c r="A45" s="38" t="inlineStr">
        <is>
          <t>Kerosene stations: shutdown</t>
        </is>
      </c>
      <c r="B45" s="38" t="inlineStr">
        <is>
          <t>Port Rex</t>
        </is>
      </c>
      <c r="C45" s="38" t="inlineStr"/>
      <c r="D45" s="38" t="inlineStr">
        <is>
          <t>2030</t>
        </is>
      </c>
      <c r="E45" s="38" t="inlineStr">
        <is>
          <t>Scheduled for shutdown</t>
        </is>
      </c>
      <c r="K45" s="38" t="n"/>
      <c r="L45" s="38" t="n"/>
      <c r="M45" s="38" t="n"/>
      <c r="N45" s="38" t="n"/>
      <c r="O45" s="38" t="n"/>
      <c r="P45" s="38" t="inlineStr">
        <is>
          <t>From source</t>
        </is>
      </c>
      <c r="Q45" s="38" t="inlineStr">
        <is>
          <t>System operator, Medium-Term System Adequacy Outlook 2026-2030 (30 October 2025)</t>
        </is>
      </c>
      <c r="R45" s="38" t="inlineStr">
        <is>
          <t>PDF p.18</t>
        </is>
      </c>
      <c r="S45" s="38" t="inlineStr"/>
    </row>
    <row r="46" ht="29" customHeight="1">
      <c r="A46" s="38" t="inlineStr">
        <is>
          <t>New gas plant: commissioning</t>
        </is>
      </c>
      <c r="B46" s="38" t="inlineStr">
        <is>
          <t>Eskom combined-cycle gas turbines</t>
        </is>
      </c>
      <c r="C46" s="38" t="inlineStr">
        <is>
          <t>GW</t>
        </is>
      </c>
      <c r="D46" s="38" t="inlineStr">
        <is>
          <t>2030</t>
        </is>
      </c>
      <c r="E46" s="41" t="n">
        <v>3</v>
      </c>
      <c r="K46" s="38" t="n"/>
      <c r="L46" s="38" t="n"/>
      <c r="M46" s="38" t="n"/>
      <c r="N46" s="38" t="n"/>
      <c r="O46" s="38" t="n"/>
      <c r="P46" s="38" t="inlineStr">
        <is>
          <t>From source</t>
        </is>
      </c>
      <c r="Q46" s="38" t="inlineStr">
        <is>
          <t>System operator, Medium-Term System Adequacy Outlook 2026-2030 (30 October 2025)</t>
        </is>
      </c>
      <c r="R46" s="38" t="inlineStr">
        <is>
          <t>PDF p.25</t>
        </is>
      </c>
      <c r="S46" s="38" t="inlineStr">
        <is>
          <t>Assumed, not in construction. The outlook studies a delay beyond 2030 as a risk.</t>
        </is>
      </c>
    </row>
    <row r="47" ht="42.5" customHeight="1">
      <c r="A47" s="38" t="inlineStr">
        <is>
          <t>New gas plant: commissioning</t>
        </is>
      </c>
      <c r="B47" s="38" t="inlineStr">
        <is>
          <t>Independent producers' combined-cycle gas turbines (gas bid windows 1 and 2)</t>
        </is>
      </c>
      <c r="C47" s="38" t="inlineStr">
        <is>
          <t>GW</t>
        </is>
      </c>
      <c r="D47" s="38" t="inlineStr">
        <is>
          <t>2030</t>
        </is>
      </c>
      <c r="E47" s="41" t="n">
        <v>3</v>
      </c>
      <c r="K47" s="38" t="n"/>
      <c r="L47" s="38" t="n"/>
      <c r="M47" s="38" t="n"/>
      <c r="N47" s="38" t="n"/>
      <c r="O47" s="38" t="n"/>
      <c r="P47" s="38" t="inlineStr">
        <is>
          <t>From source</t>
        </is>
      </c>
      <c r="Q47" s="38" t="inlineStr">
        <is>
          <t>System operator, Medium-Term System Adequacy Outlook 2026-2030 (30 October 2025)</t>
        </is>
      </c>
      <c r="R47" s="38" t="inlineStr">
        <is>
          <t>PDF p.25</t>
        </is>
      </c>
      <c r="S47" s="38" t="inlineStr">
        <is>
          <t>Assumed, not in construction. The outlook studies a delay beyond 2030 as a risk.</t>
        </is>
      </c>
    </row>
    <row r="48" ht="29" customHeight="1">
      <c r="A48" s="38" t="inlineStr">
        <is>
          <t>Diesel turbine use expected by the system operator</t>
        </is>
      </c>
      <c r="B48" s="38" t="inlineStr">
        <is>
          <t>Diesel turbines (Ankerlig, Gourikwa, Dedisa, Avon)</t>
        </is>
      </c>
      <c r="C48" s="38" t="inlineStr"/>
      <c r="D48" s="38" t="inlineStr">
        <is>
          <t>2026-2030</t>
        </is>
      </c>
      <c r="E48" s="38" t="inlineStr">
        <is>
          <t>Minimal, below 6% in most cases; higher in 2029, and in 2030 if the gas plant is late</t>
        </is>
      </c>
      <c r="K48" s="38" t="n"/>
      <c r="L48" s="38" t="n"/>
      <c r="M48" s="38" t="n"/>
      <c r="N48" s="38" t="n"/>
      <c r="O48" s="38" t="n"/>
      <c r="P48" s="38" t="inlineStr">
        <is>
          <t>From source</t>
        </is>
      </c>
      <c r="Q48" s="38" t="inlineStr">
        <is>
          <t>System operator, Medium-Term System Adequacy Outlook 2026-2030 (30 October 2025)</t>
        </is>
      </c>
      <c r="R48" s="38" t="inlineStr">
        <is>
          <t>PDF p.35</t>
        </is>
      </c>
      <c r="S48" s="38" t="inlineStr">
        <is>
          <t>The system operator's own modelling.</t>
        </is>
      </c>
    </row>
    <row r="49" ht="42.5" customHeight="1">
      <c r="A49" s="38" t="inlineStr">
        <is>
          <t>Coal capacity shutting down</t>
        </is>
      </c>
      <c r="B49" s="38" t="inlineStr">
        <is>
          <t>Eskom coal fleet</t>
        </is>
      </c>
      <c r="C49" s="38" t="inlineStr">
        <is>
          <t>GW</t>
        </is>
      </c>
      <c r="D49" s="38" t="inlineStr">
        <is>
          <t>2029</t>
        </is>
      </c>
      <c r="E49" s="47" t="n">
        <v>5.26</v>
      </c>
      <c r="K49" s="38" t="n"/>
      <c r="L49" s="38" t="n"/>
      <c r="M49" s="38" t="n"/>
      <c r="N49" s="38" t="n"/>
      <c r="O49" s="38" t="n"/>
      <c r="P49" s="38" t="inlineStr">
        <is>
          <t>From source</t>
        </is>
      </c>
      <c r="Q49" s="38" t="inlineStr">
        <is>
          <t>System operator, Medium-Term System Adequacy Outlook 2026-2030 (30 October 2025)</t>
        </is>
      </c>
      <c r="R49" s="38" t="inlineStr">
        <is>
          <t>PDF p.18</t>
        </is>
      </c>
      <c r="S49" s="38" t="inlineStr">
        <is>
          <t>Camden, Hendrina, Arnot, Grootvlei and Kriel run to the end of 2028; phased shutdown from 2029. Eskom's coal fleet falls from 40.1 GW to 31.7 GW.</t>
        </is>
      </c>
    </row>
    <row r="50" ht="42.5" customHeight="1">
      <c r="A50" s="38" t="inlineStr">
        <is>
          <t>Coal capacity shutting down</t>
        </is>
      </c>
      <c r="B50" s="38" t="inlineStr">
        <is>
          <t>Eskom coal fleet</t>
        </is>
      </c>
      <c r="C50" s="38" t="inlineStr">
        <is>
          <t>GW</t>
        </is>
      </c>
      <c r="D50" s="38" t="inlineStr">
        <is>
          <t>2030, by March</t>
        </is>
      </c>
      <c r="E50" s="47" t="n">
        <v>3.14</v>
      </c>
      <c r="K50" s="38" t="n"/>
      <c r="L50" s="38" t="n"/>
      <c r="M50" s="38" t="n"/>
      <c r="N50" s="38" t="n"/>
      <c r="O50" s="38" t="n"/>
      <c r="P50" s="38" t="inlineStr">
        <is>
          <t>From source</t>
        </is>
      </c>
      <c r="Q50" s="38" t="inlineStr">
        <is>
          <t>System operator, Medium-Term System Adequacy Outlook 2026-2030 (30 October 2025)</t>
        </is>
      </c>
      <c r="R50" s="38" t="inlineStr">
        <is>
          <t>PDF p.18</t>
        </is>
      </c>
      <c r="S50" s="38" t="inlineStr">
        <is>
          <t>Camden, Hendrina, Arnot, Grootvlei and Kriel run to the end of 2028; phased shutdown from 2029. Eskom's coal fleet falls from 40.1 GW to 31.7 GW.</t>
        </is>
      </c>
    </row>
    <row r="51" ht="29" customHeight="1">
      <c r="A51" s="38" t="inlineStr">
        <is>
          <t>New gas plant, by project</t>
        </is>
      </c>
      <c r="B51" s="38" t="inlineStr">
        <is>
          <t>Eskom, Richards Bay combined-cycle plant (3,000 MW)</t>
        </is>
      </c>
      <c r="C51" s="38" t="inlineStr"/>
      <c r="D51" s="38" t="inlineStr">
        <is>
          <t>not beyond 2028</t>
        </is>
      </c>
      <c r="E51" s="38" t="inlineStr">
        <is>
          <t>Minister's determination: connect as soon as possible and not beyond 2028</t>
        </is>
      </c>
      <c r="K51" s="38" t="n"/>
      <c r="L51" s="38" t="n"/>
      <c r="M51" s="38" t="n"/>
      <c r="N51" s="38" t="n"/>
      <c r="O51" s="38" t="n"/>
      <c r="P51" s="38" t="inlineStr">
        <is>
          <t>From source</t>
        </is>
      </c>
      <c r="Q51" s="38" t="inlineStr">
        <is>
          <t>NERSA, reasons for decision on the 3,000 MW gas determination (November 2024)</t>
        </is>
      </c>
      <c r="R51" s="38" t="inlineStr">
        <is>
          <t>PDF pp.1, 11</t>
        </is>
      </c>
      <c r="S51" s="38" t="inlineStr">
        <is>
          <t>Eskom's feasibility study had all four units commissioned by the end of 2028 (p.49). The system operator now assumes 2030.</t>
        </is>
      </c>
    </row>
    <row r="52" ht="42.5" customHeight="1">
      <c r="A52" s="38" t="inlineStr">
        <is>
          <t>New gas plant, by project</t>
        </is>
      </c>
      <c r="B52" s="38" t="inlineStr">
        <is>
          <t>Independent producers, gas bid window 1 (2,000 MW)</t>
        </is>
      </c>
      <c r="C52" s="38" t="inlineStr"/>
      <c r="D52" s="38" t="inlineStr">
        <is>
          <t>request for proposals issued 14 December 2023</t>
        </is>
      </c>
      <c r="E52" s="38" t="inlineStr">
        <is>
          <t>No bidder appointed; no commissioning date</t>
        </is>
      </c>
      <c r="K52" s="38" t="n"/>
      <c r="L52" s="38" t="n"/>
      <c r="M52" s="38" t="n"/>
      <c r="N52" s="38" t="n"/>
      <c r="O52" s="38" t="n"/>
      <c r="P52" s="38" t="inlineStr">
        <is>
          <t>From source</t>
        </is>
      </c>
      <c r="Q52" s="38" t="inlineStr">
        <is>
          <t>Independent Power Producers Office, gas programme site</t>
        </is>
      </c>
      <c r="R52" s="38" t="inlineStr"/>
      <c r="S52" s="38" t="inlineStr">
        <is>
          <t>Sites anywhere in the country except Coega, which has a separate process. Bids closed on 29 May 2026: see the rows below.</t>
        </is>
      </c>
    </row>
    <row r="53" ht="56" customHeight="1">
      <c r="A53" s="38" t="inlineStr">
        <is>
          <t>New gas plant, by project</t>
        </is>
      </c>
      <c r="B53" s="38" t="inlineStr">
        <is>
          <t>Eskom, Richards Bay combined-cycle plant (3,000 MW)</t>
        </is>
      </c>
      <c r="C53" s="38" t="inlineStr"/>
      <c r="D53" s="38" t="inlineStr">
        <is>
          <t>from 2031</t>
        </is>
      </c>
      <c r="E53" s="38" t="inlineStr">
        <is>
          <t>Eskom plans to begin producing electricity from 2031</t>
        </is>
      </c>
      <c r="K53" s="38" t="n"/>
      <c r="L53" s="38" t="n"/>
      <c r="M53" s="38" t="n"/>
      <c r="N53" s="38" t="n"/>
      <c r="O53" s="38" t="n"/>
      <c r="P53" s="38" t="inlineStr">
        <is>
          <t>From source</t>
        </is>
      </c>
      <c r="Q53" s="38" t="inlineStr">
        <is>
          <t>Engineering News, 5 June 2026, reporting Eskom and the Independent Power Producers Office</t>
        </is>
      </c>
      <c r="R53" s="38" t="inlineStr"/>
      <c r="S53" s="38" t="inlineStr">
        <is>
          <t>Three years after the determination's 2028 and a year after the system operator's 2030. The environmental assessment must be redone: the Supreme Court of Appeal set the authorisation aside in 2025. A press report of Eskom's statement.</t>
        </is>
      </c>
    </row>
    <row r="54" ht="29" customHeight="1">
      <c r="A54" s="38" t="inlineStr">
        <is>
          <t>New gas plant, by project</t>
        </is>
      </c>
      <c r="B54" s="38" t="inlineStr">
        <is>
          <t>Eskom, Richards Bay plant: gas supply</t>
        </is>
      </c>
      <c r="C54" s="38" t="inlineStr"/>
      <c r="D54" s="38" t="inlineStr">
        <is>
          <t>5 June 2026</t>
        </is>
      </c>
      <c r="E54" s="38" t="inlineStr">
        <is>
          <t>Heads of agreement signed with Zululand Energy Terminal; Eskom is foundation customer of the proposed import terminal at Richards Bay</t>
        </is>
      </c>
      <c r="K54" s="38" t="n"/>
      <c r="L54" s="38" t="n"/>
      <c r="M54" s="38" t="n"/>
      <c r="N54" s="38" t="n"/>
      <c r="O54" s="38" t="n"/>
      <c r="P54" s="38" t="inlineStr">
        <is>
          <t>From source</t>
        </is>
      </c>
      <c r="Q54" s="38" t="inlineStr">
        <is>
          <t>Eskom and Zululand Energy Terminal, joint media statement, 5 June 2026</t>
        </is>
      </c>
      <c r="R54" s="38" t="inlineStr"/>
      <c r="S54" s="38" t="inlineStr">
        <is>
          <t>The terminal is not built and the statement gives no date for it or for the plant.</t>
        </is>
      </c>
    </row>
    <row r="55" ht="42.5" customHeight="1">
      <c r="A55" s="38" t="inlineStr">
        <is>
          <t>New gas plant, by project</t>
        </is>
      </c>
      <c r="B55" s="38" t="inlineStr">
        <is>
          <t>Independent producers, gas bid window 1: bids</t>
        </is>
      </c>
      <c r="C55" s="38" t="inlineStr"/>
      <c r="D55" s="38" t="inlineStr">
        <is>
          <t>bids closed 29 May 2026</t>
        </is>
      </c>
      <c r="E55" s="38" t="inlineStr">
        <is>
          <t>Four bids, 2,830 MW against 2,000 MW sought</t>
        </is>
      </c>
      <c r="K55" s="38" t="n"/>
      <c r="L55" s="38" t="n"/>
      <c r="M55" s="38" t="n"/>
      <c r="N55" s="38" t="n"/>
      <c r="O55" s="38" t="n"/>
      <c r="P55" s="38" t="inlineStr">
        <is>
          <t>From source</t>
        </is>
      </c>
      <c r="Q55" s="38" t="inlineStr">
        <is>
          <t>Independent Power Producers Office, list of bids received on 29 May 2026 (published by the Development Bank of Southern Africa)</t>
        </is>
      </c>
      <c r="R55" s="38" t="inlineStr">
        <is>
          <t>PDF p.1</t>
        </is>
      </c>
      <c r="S55" s="38" t="inlineStr">
        <is>
          <t>No preferred bidder named. The evaluation was not concluded at 7 October 2026 (Engineering News, reporting the Minister).</t>
        </is>
      </c>
    </row>
    <row r="56" ht="42.5" customHeight="1">
      <c r="A56" s="38" t="inlineStr">
        <is>
          <t>New gas plant, by project</t>
        </is>
      </c>
      <c r="B56" s="38" t="inlineStr">
        <is>
          <t>Khanyazwe Flexpower (FlexED), Mpumalanga</t>
        </is>
      </c>
      <c r="C56" s="38" t="inlineStr"/>
      <c r="D56" s="38" t="inlineStr">
        <is>
          <t>bid of 29 May 2026</t>
        </is>
      </c>
      <c r="E56" s="38" t="inlineStr">
        <is>
          <t>440 MW, liquefied natural gas</t>
        </is>
      </c>
      <c r="K56" s="38" t="n"/>
      <c r="L56" s="38" t="n"/>
      <c r="M56" s="38" t="n"/>
      <c r="N56" s="38" t="n"/>
      <c r="O56" s="38" t="n"/>
      <c r="P56" s="38" t="inlineStr">
        <is>
          <t>From source</t>
        </is>
      </c>
      <c r="Q56" s="38" t="inlineStr">
        <is>
          <t>Independent Power Producers Office, list of bids received on 29 May 2026 (published by the Development Bank of Southern Africa)</t>
        </is>
      </c>
      <c r="R56" s="38" t="inlineStr">
        <is>
          <t>PDF p.1</t>
        </is>
      </c>
      <c r="S56" s="38" t="inlineStr">
        <is>
          <t>A bid, not an award. No commissioning date is published for it.</t>
        </is>
      </c>
    </row>
    <row r="57" ht="42.5" customHeight="1">
      <c r="A57" s="38" t="inlineStr">
        <is>
          <t>New gas plant, by project</t>
        </is>
      </c>
      <c r="B57" s="38" t="inlineStr">
        <is>
          <t>Acwa (listed as the Pictor consortium), KwaZulu-Natal</t>
        </is>
      </c>
      <c r="C57" s="38" t="inlineStr"/>
      <c r="D57" s="38" t="inlineStr">
        <is>
          <t>bid of 29 May 2026</t>
        </is>
      </c>
      <c r="E57" s="38" t="inlineStr">
        <is>
          <t>990 MW, liquefied natural gas</t>
        </is>
      </c>
      <c r="K57" s="38" t="n"/>
      <c r="L57" s="38" t="n"/>
      <c r="M57" s="38" t="n"/>
      <c r="N57" s="38" t="n"/>
      <c r="O57" s="38" t="n"/>
      <c r="P57" s="38" t="inlineStr">
        <is>
          <t>From source</t>
        </is>
      </c>
      <c r="Q57" s="38" t="inlineStr">
        <is>
          <t>Independent Power Producers Office, list of bids received on 29 May 2026 (published by the Development Bank of Southern Africa)</t>
        </is>
      </c>
      <c r="R57" s="38" t="inlineStr">
        <is>
          <t>PDF p.1</t>
        </is>
      </c>
      <c r="S57" s="38" t="inlineStr">
        <is>
          <t>A bid, not an award. No commissioning date is published for it. The bid list names only Pictor; identified as Acwa's project by Manish, 9 October 2026.</t>
        </is>
      </c>
    </row>
    <row r="58" ht="42.5" customHeight="1">
      <c r="A58" s="38" t="inlineStr">
        <is>
          <t>New gas plant, by project</t>
        </is>
      </c>
      <c r="B58" s="38" t="inlineStr">
        <is>
          <t>Kelvin Redevelopment (Kelvin Gas Power), Gauteng</t>
        </is>
      </c>
      <c r="C58" s="38" t="inlineStr"/>
      <c r="D58" s="38" t="inlineStr">
        <is>
          <t>bid of 29 May 2026</t>
        </is>
      </c>
      <c r="E58" s="38" t="inlineStr">
        <is>
          <t>600 MW, natural gas</t>
        </is>
      </c>
      <c r="K58" s="38" t="n"/>
      <c r="L58" s="38" t="n"/>
      <c r="M58" s="38" t="n"/>
      <c r="N58" s="38" t="n"/>
      <c r="O58" s="38" t="n"/>
      <c r="P58" s="38" t="inlineStr">
        <is>
          <t>From source</t>
        </is>
      </c>
      <c r="Q58" s="38" t="inlineStr">
        <is>
          <t>Independent Power Producers Office, list of bids received on 29 May 2026 (published by the Development Bank of Southern Africa)</t>
        </is>
      </c>
      <c r="R58" s="38" t="inlineStr">
        <is>
          <t>PDF p.1</t>
        </is>
      </c>
      <c r="S58" s="38" t="inlineStr">
        <is>
          <t>A bid, not an award. No commissioning date is published for it.</t>
        </is>
      </c>
    </row>
    <row r="59" ht="42.5" customHeight="1">
      <c r="A59" s="38" t="inlineStr">
        <is>
          <t>New gas plant, by project</t>
        </is>
      </c>
      <c r="B59" s="38" t="inlineStr">
        <is>
          <t>Komatipoort Power (Vutomi Energy), Mpumalanga</t>
        </is>
      </c>
      <c r="C59" s="38" t="inlineStr"/>
      <c r="D59" s="38" t="inlineStr">
        <is>
          <t>bid of 29 May 2026</t>
        </is>
      </c>
      <c r="E59" s="38" t="inlineStr">
        <is>
          <t>800 MW, natural gas</t>
        </is>
      </c>
      <c r="K59" s="38" t="n"/>
      <c r="L59" s="38" t="n"/>
      <c r="M59" s="38" t="n"/>
      <c r="N59" s="38" t="n"/>
      <c r="O59" s="38" t="n"/>
      <c r="P59" s="38" t="inlineStr">
        <is>
          <t>From source</t>
        </is>
      </c>
      <c r="Q59" s="38" t="inlineStr">
        <is>
          <t>Independent Power Producers Office, list of bids received on 29 May 2026 (published by the Development Bank of Southern Africa)</t>
        </is>
      </c>
      <c r="R59" s="38" t="inlineStr">
        <is>
          <t>PDF p.1</t>
        </is>
      </c>
      <c r="S59" s="38" t="inlineStr">
        <is>
          <t>A bid, not an award. No commissioning date is published for it.</t>
        </is>
      </c>
    </row>
    <row r="60" ht="42.5" customHeight="1">
      <c r="A60" s="38" t="inlineStr">
        <is>
          <t>New gas plant, by project</t>
        </is>
      </c>
      <c r="B60" s="38" t="inlineStr">
        <is>
          <t>Independent producers, gas bid window 1: timetable</t>
        </is>
      </c>
      <c r="C60" s="38" t="inlineStr"/>
      <c r="D60" s="38" t="inlineStr">
        <is>
          <t>as reported June 2026</t>
        </is>
      </c>
      <c r="E60" s="38" t="inlineStr">
        <is>
          <t>After preferred bidders are named: more than a year to financial close, then 36 months of construction</t>
        </is>
      </c>
      <c r="K60" s="38" t="n"/>
      <c r="L60" s="38" t="n"/>
      <c r="M60" s="38" t="n"/>
      <c r="N60" s="38" t="n"/>
      <c r="O60" s="38" t="n"/>
      <c r="P60" s="38" t="inlineStr">
        <is>
          <t>From source</t>
        </is>
      </c>
      <c r="Q60" s="38" t="inlineStr">
        <is>
          <t>Engineering News, 5 June 2026, reporting Eskom and the Independent Power Producers Office</t>
        </is>
      </c>
      <c r="R60" s="38" t="inlineStr"/>
      <c r="S60" s="38" t="inlineStr">
        <is>
          <t>Preferred bidders were expected in August 2026 and had not been named by 7 October. On this timetable no plant from the round runs before about 2031 (my reading).</t>
        </is>
      </c>
    </row>
    <row r="61" ht="29" customHeight="1">
      <c r="A61" s="38" t="inlineStr">
        <is>
          <t>New gas plant, by project</t>
        </is>
      </c>
      <c r="B61" s="38" t="inlineStr">
        <is>
          <t>New gas determination (5,000 MW)</t>
        </is>
      </c>
      <c r="C61" s="38" t="inlineStr"/>
      <c r="D61" s="38" t="inlineStr">
        <is>
          <t>announced 7 October 2026</t>
        </is>
      </c>
      <c r="E61" s="38" t="inlineStr">
        <is>
          <t>5,000 MW of gas-to-power prioritised for new bidding rounds, open to Eskom as well</t>
        </is>
      </c>
      <c r="K61" s="38" t="n"/>
      <c r="L61" s="38" t="n"/>
      <c r="M61" s="38" t="n"/>
      <c r="N61" s="38" t="n"/>
      <c r="O61" s="38" t="n"/>
      <c r="P61" s="38" t="inlineStr">
        <is>
          <t>From source</t>
        </is>
      </c>
      <c r="Q61" s="38" t="inlineStr">
        <is>
          <t>Engineering News, 7 October 2026, reporting the Minister of Electricity and Energy</t>
        </is>
      </c>
      <c r="R61" s="38" t="inlineStr"/>
      <c r="S61" s="38" t="inlineStr">
        <is>
          <t>No dates, sites or capacity factor given. Whether it adds to or replaces the earlier 3,000 MW and 2,000 MW is not stated.</t>
        </is>
      </c>
    </row>
    <row r="62" ht="29" customHeight="1">
      <c r="A62" s="38" t="inlineStr">
        <is>
          <t>New gas plant, by project</t>
        </is>
      </c>
      <c r="B62" s="38" t="inlineStr">
        <is>
          <t>Integrated Resource Plan 2025: Eskom gas</t>
        </is>
      </c>
      <c r="C62" s="38" t="inlineStr"/>
      <c r="D62" s="38" t="inlineStr">
        <is>
          <t>2029</t>
        </is>
      </c>
      <c r="E62" s="38" t="inlineStr">
        <is>
          <t>3,000 MW added in 2029</t>
        </is>
      </c>
      <c r="K62" s="38" t="n"/>
      <c r="L62" s="38" t="n"/>
      <c r="M62" s="38" t="n"/>
      <c r="N62" s="38" t="n"/>
      <c r="O62" s="38" t="n"/>
      <c r="P62" s="38" t="inlineStr">
        <is>
          <t>From source</t>
        </is>
      </c>
      <c r="Q62" s="38" t="inlineStr">
        <is>
          <t>Department of Electricity and Energy, Integrated Resource Plan 2025 (October 2025)</t>
        </is>
      </c>
      <c r="R62" s="38" t="inlineStr">
        <is>
          <t>PDF p.41, Table 1</t>
        </is>
      </c>
      <c r="S62" s="38" t="inlineStr">
        <is>
          <t>The plan's schedule, not a project date. Eskom itself now says 2031.</t>
        </is>
      </c>
    </row>
    <row r="63" ht="42.5" customHeight="1">
      <c r="A63" s="38" t="inlineStr">
        <is>
          <t>New gas plant, by project</t>
        </is>
      </c>
      <c r="B63" s="38" t="inlineStr">
        <is>
          <t>Integrated Resource Plan 2025: independent producers' gas</t>
        </is>
      </c>
      <c r="C63" s="38" t="inlineStr"/>
      <c r="D63" s="38" t="inlineStr">
        <is>
          <t>2030</t>
        </is>
      </c>
      <c r="E63" s="38" t="inlineStr">
        <is>
          <t>3,000 MW added in 2030</t>
        </is>
      </c>
      <c r="K63" s="38" t="n"/>
      <c r="L63" s="38" t="n"/>
      <c r="M63" s="38" t="n"/>
      <c r="N63" s="38" t="n"/>
      <c r="O63" s="38" t="n"/>
      <c r="P63" s="38" t="inlineStr">
        <is>
          <t>From source</t>
        </is>
      </c>
      <c r="Q63" s="38" t="inlineStr">
        <is>
          <t>Department of Electricity and Energy, Integrated Resource Plan 2025 (October 2025)</t>
        </is>
      </c>
      <c r="R63" s="38" t="inlineStr">
        <is>
          <t>PDF pp.27, 41</t>
        </is>
      </c>
      <c r="S63" s="38" t="inlineStr">
        <is>
          <t>The plan assumes all 3,000 MW is on the grid by 2030 although only 2,000 MW had been offered to the market. It also studies a case where the gas does not arrive.</t>
        </is>
      </c>
    </row>
    <row r="64" ht="42.5" customHeight="1">
      <c r="A64" s="38" t="inlineStr">
        <is>
          <t>New gas plant, by project</t>
        </is>
      </c>
      <c r="B64" s="38" t="inlineStr">
        <is>
          <t>Integrated Resource Plan 2025: independent producers' gas, later years</t>
        </is>
      </c>
      <c r="C64" s="38" t="inlineStr"/>
      <c r="D64" s="38" t="inlineStr">
        <is>
          <t>2031 to 2042</t>
        </is>
      </c>
      <c r="E64" s="38" t="inlineStr">
        <is>
          <t>12,250 MW added</t>
        </is>
      </c>
      <c r="K64" s="38" t="n"/>
      <c r="L64" s="38" t="n"/>
      <c r="M64" s="38" t="n"/>
      <c r="N64" s="38" t="n"/>
      <c r="O64" s="38" t="n"/>
      <c r="P64" s="38" t="inlineStr">
        <is>
          <t>From source</t>
        </is>
      </c>
      <c r="Q64" s="38" t="inlineStr">
        <is>
          <t>Department of Electricity and Energy, Integrated Resource Plan 2025 (October 2025)</t>
        </is>
      </c>
      <c r="R64" s="38" t="inlineStr">
        <is>
          <t>PDF p.41, Table 1</t>
        </is>
      </c>
      <c r="S64" s="38" t="inlineStr">
        <is>
          <t>The plan's schedule.</t>
        </is>
      </c>
    </row>
    <row r="65" ht="29" customHeight="1">
      <c r="A65" s="38" t="inlineStr">
        <is>
          <t>New gas plant, by project</t>
        </is>
      </c>
      <c r="B65" s="38" t="inlineStr">
        <is>
          <t>Integrated Resource Plan 2025: existing diesel peaking plants</t>
        </is>
      </c>
      <c r="C65" s="38" t="inlineStr"/>
      <c r="D65" s="38" t="inlineStr">
        <is>
          <t>no date</t>
        </is>
      </c>
      <c r="E65" s="38" t="inlineStr">
        <is>
          <t>Converting them to natural gas should be considered; plans are being developed at most of them</t>
        </is>
      </c>
      <c r="K65" s="38" t="n"/>
      <c r="L65" s="38" t="n"/>
      <c r="M65" s="38" t="n"/>
      <c r="N65" s="38" t="n"/>
      <c r="O65" s="38" t="n"/>
      <c r="P65" s="38" t="inlineStr">
        <is>
          <t>From source</t>
        </is>
      </c>
      <c r="Q65" s="38" t="inlineStr">
        <is>
          <t>Department of Electricity and Energy, Integrated Resource Plan 2025 (October 2025)</t>
        </is>
      </c>
      <c r="R65" s="38" t="inlineStr">
        <is>
          <t>PDF p.46</t>
        </is>
      </c>
      <c r="S65" s="38" t="inlineStr">
        <is>
          <t>Covers Avon and the other diesel turbines. No plant is named and no date is given.</t>
        </is>
      </c>
    </row>
    <row r="66" ht="42.5" customHeight="1">
      <c r="A66" s="38" t="inlineStr">
        <is>
          <t>New gas plant, by project</t>
        </is>
      </c>
      <c r="B66" s="38" t="inlineStr">
        <is>
          <t>AIA working timeline: Acwa (not a published source)</t>
        </is>
      </c>
      <c r="C66" s="38" t="inlineStr"/>
      <c r="D66" s="38" t="inlineStr">
        <is>
          <t>2030</t>
        </is>
      </c>
      <c r="E66" s="38" t="inlineStr">
        <is>
          <t>990 MW</t>
        </is>
      </c>
      <c r="K66" s="38" t="n"/>
      <c r="L66" s="38" t="n"/>
      <c r="M66" s="38" t="n"/>
      <c r="N66" s="38" t="n"/>
      <c r="O66" s="38" t="n"/>
      <c r="P66" s="38" t="inlineStr">
        <is>
          <t>From source</t>
        </is>
      </c>
      <c r="Q66" s="38" t="inlineStr">
        <is>
          <t>AIA chart, Gas-to-power demand timeline, supplied by Manish on 9 October 2026; its own sources are not stated</t>
        </is>
      </c>
      <c r="R66" s="38" t="inlineStr"/>
      <c r="S66" s="38" t="inlineStr">
        <is>
          <t>For comparison; no published source confirms the date.</t>
        </is>
      </c>
    </row>
    <row r="67" ht="42.5" customHeight="1">
      <c r="A67" s="38" t="inlineStr">
        <is>
          <t>New gas plant, by project</t>
        </is>
      </c>
      <c r="B67" s="38" t="inlineStr">
        <is>
          <t>AIA working timeline: Avon (not a published source)</t>
        </is>
      </c>
      <c r="C67" s="38" t="inlineStr"/>
      <c r="D67" s="38" t="inlineStr">
        <is>
          <t>2030</t>
        </is>
      </c>
      <c r="E67" s="38" t="inlineStr">
        <is>
          <t>670 MW</t>
        </is>
      </c>
      <c r="K67" s="38" t="n"/>
      <c r="L67" s="38" t="n"/>
      <c r="M67" s="38" t="n"/>
      <c r="N67" s="38" t="n"/>
      <c r="O67" s="38" t="n"/>
      <c r="P67" s="38" t="inlineStr">
        <is>
          <t>From source</t>
        </is>
      </c>
      <c r="Q67" s="38" t="inlineStr">
        <is>
          <t>AIA chart, Gas-to-power demand timeline, supplied by Manish on 9 October 2026; its own sources are not stated</t>
        </is>
      </c>
      <c r="R67" s="38" t="inlineStr"/>
      <c r="S67" s="38" t="inlineStr">
        <is>
          <t>For comparison; no published source confirms the date. Avon is not on the bid list.</t>
        </is>
      </c>
    </row>
    <row r="68" ht="42.5" customHeight="1">
      <c r="A68" s="38" t="inlineStr">
        <is>
          <t>New gas plant, by project</t>
        </is>
      </c>
      <c r="B68" s="38" t="inlineStr">
        <is>
          <t>AIA working timeline: FlexED (not a published source)</t>
        </is>
      </c>
      <c r="C68" s="38" t="inlineStr"/>
      <c r="D68" s="38" t="inlineStr">
        <is>
          <t>2030</t>
        </is>
      </c>
      <c r="E68" s="38" t="inlineStr">
        <is>
          <t>440 MW</t>
        </is>
      </c>
      <c r="K68" s="38" t="n"/>
      <c r="L68" s="38" t="n"/>
      <c r="M68" s="38" t="n"/>
      <c r="N68" s="38" t="n"/>
      <c r="O68" s="38" t="n"/>
      <c r="P68" s="38" t="inlineStr">
        <is>
          <t>From source</t>
        </is>
      </c>
      <c r="Q68" s="38" t="inlineStr">
        <is>
          <t>AIA chart, Gas-to-power demand timeline, supplied by Manish on 9 October 2026; its own sources are not stated</t>
        </is>
      </c>
      <c r="R68" s="38" t="inlineStr"/>
      <c r="S68" s="38" t="inlineStr">
        <is>
          <t>For comparison; no published source confirms the date. The chart shows 450 MW; the bid list's 440 MW is used.</t>
        </is>
      </c>
    </row>
    <row r="69" ht="42.5" customHeight="1">
      <c r="A69" s="38" t="inlineStr">
        <is>
          <t>New gas plant, by project</t>
        </is>
      </c>
      <c r="B69" s="38" t="inlineStr">
        <is>
          <t>AIA working timeline: Vutomi (not a published source)</t>
        </is>
      </c>
      <c r="C69" s="38" t="inlineStr"/>
      <c r="D69" s="38" t="inlineStr">
        <is>
          <t>2030</t>
        </is>
      </c>
      <c r="E69" s="38" t="inlineStr">
        <is>
          <t>800 MW</t>
        </is>
      </c>
      <c r="K69" s="38" t="n"/>
      <c r="L69" s="38" t="n"/>
      <c r="M69" s="38" t="n"/>
      <c r="N69" s="38" t="n"/>
      <c r="O69" s="38" t="n"/>
      <c r="P69" s="38" t="inlineStr">
        <is>
          <t>From source</t>
        </is>
      </c>
      <c r="Q69" s="38" t="inlineStr">
        <is>
          <t>AIA chart, Gas-to-power demand timeline, supplied by Manish on 9 October 2026; its own sources are not stated</t>
        </is>
      </c>
      <c r="R69" s="38" t="inlineStr"/>
      <c r="S69" s="38" t="inlineStr">
        <is>
          <t>For comparison; no published source confirms the date. High case only.</t>
        </is>
      </c>
    </row>
    <row r="70" ht="42.5" customHeight="1">
      <c r="A70" s="38" t="inlineStr">
        <is>
          <t>New gas plant, by project</t>
        </is>
      </c>
      <c r="B70" s="38" t="inlineStr">
        <is>
          <t>AIA working timeline: Eskom (not a published source)</t>
        </is>
      </c>
      <c r="C70" s="38" t="inlineStr"/>
      <c r="D70" s="38" t="inlineStr">
        <is>
          <t>2032</t>
        </is>
      </c>
      <c r="E70" s="38" t="inlineStr">
        <is>
          <t>3,000 MW</t>
        </is>
      </c>
      <c r="K70" s="38" t="n"/>
      <c r="L70" s="38" t="n"/>
      <c r="M70" s="38" t="n"/>
      <c r="N70" s="38" t="n"/>
      <c r="O70" s="38" t="n"/>
      <c r="P70" s="38" t="inlineStr">
        <is>
          <t>From source</t>
        </is>
      </c>
      <c r="Q70" s="38" t="inlineStr">
        <is>
          <t>AIA chart, Gas-to-power demand timeline, supplied by Manish on 9 October 2026; its own sources are not stated</t>
        </is>
      </c>
      <c r="R70" s="38" t="inlineStr"/>
      <c r="S70" s="38" t="inlineStr">
        <is>
          <t>For comparison; no published source confirms the date.</t>
        </is>
      </c>
    </row>
    <row r="71" ht="42.5" customHeight="1">
      <c r="A71" s="38" t="inlineStr">
        <is>
          <t>New gas plant: dates in use</t>
        </is>
      </c>
      <c r="B71" s="38" t="inlineStr">
        <is>
          <t>Eskom gas</t>
        </is>
      </c>
      <c r="C71" s="38" t="inlineStr">
        <is>
          <t>year</t>
        </is>
      </c>
      <c r="D71" s="38" t="inlineStr"/>
      <c r="E71" s="38" t="n">
        <v>2029</v>
      </c>
      <c r="K71" s="38" t="n"/>
      <c r="L71" s="38" t="n"/>
      <c r="M71" s="38" t="n"/>
      <c r="N71" s="38" t="n"/>
      <c r="O71" s="38" t="n"/>
      <c r="P71" s="38" t="inlineStr">
        <is>
          <t>From source</t>
        </is>
      </c>
      <c r="Q71" s="38" t="inlineStr">
        <is>
          <t>Department of Electricity and Energy, Integrated Resource Plan 2025 (October 2025)</t>
        </is>
      </c>
      <c r="R71" s="38" t="inlineStr">
        <is>
          <t>PDF p.41, Table 1</t>
        </is>
      </c>
      <c r="S71" s="38" t="inlineStr">
        <is>
          <t>The plan's schedule, used on Manish's instruction of 9 October (decision D24). No project has a preferred bidder, financial close or construction start, and Eskom itself says 2031, so these are the earliest dates.</t>
        </is>
      </c>
    </row>
    <row r="72" ht="42.5" customHeight="1">
      <c r="A72" s="38" t="inlineStr">
        <is>
          <t>New gas plant: dates in use</t>
        </is>
      </c>
      <c r="B72" s="38" t="inlineStr">
        <is>
          <t>independent producers' gas</t>
        </is>
      </c>
      <c r="C72" s="38" t="inlineStr">
        <is>
          <t>year</t>
        </is>
      </c>
      <c r="D72" s="38" t="inlineStr"/>
      <c r="E72" s="38" t="n">
        <v>2030</v>
      </c>
      <c r="K72" s="38" t="n"/>
      <c r="L72" s="38" t="n"/>
      <c r="M72" s="38" t="n"/>
      <c r="N72" s="38" t="n"/>
      <c r="O72" s="38" t="n"/>
      <c r="P72" s="38" t="inlineStr">
        <is>
          <t>From source</t>
        </is>
      </c>
      <c r="Q72" s="38" t="inlineStr">
        <is>
          <t>Department of Electricity and Energy, Integrated Resource Plan 2025 (October 2025)</t>
        </is>
      </c>
      <c r="R72" s="38" t="inlineStr">
        <is>
          <t>PDF p.41, Table 1</t>
        </is>
      </c>
      <c r="S72" s="38" t="inlineStr">
        <is>
          <t>The plan's schedule, used on Manish's instruction of 9 October (decision D24). No project has a preferred bidder, financial close or construction start, and Eskom itself says 2031, so these are the earliest dates.</t>
        </is>
      </c>
    </row>
    <row r="74">
      <c r="A74" s="35" t="inlineStr">
        <is>
          <t>Vehicle fleet</t>
        </is>
      </c>
      <c r="B74" s="35" t="n"/>
      <c r="C74" s="35" t="n"/>
      <c r="D74" s="35" t="n"/>
      <c r="E74" s="35" t="n"/>
      <c r="F74" s="35" t="n"/>
      <c r="G74" s="35" t="n"/>
      <c r="H74" s="35" t="n"/>
      <c r="I74" s="35" t="n"/>
      <c r="J74" s="35" t="n"/>
      <c r="K74" s="35" t="n"/>
      <c r="L74" s="35" t="n"/>
      <c r="M74" s="35" t="n"/>
      <c r="N74" s="35" t="n"/>
      <c r="O74" s="35" t="n"/>
      <c r="P74" s="35" t="n"/>
      <c r="Q74" s="35" t="n"/>
      <c r="R74" s="35" t="n"/>
      <c r="S74" s="35" t="n"/>
      <c r="T74" s="35" t="n"/>
    </row>
    <row r="75">
      <c r="A75" s="36" t="inlineStr">
        <is>
          <t>Item</t>
        </is>
      </c>
      <c r="B75" s="36" t="inlineStr">
        <is>
          <t>Covers</t>
        </is>
      </c>
      <c r="C75" s="36" t="inlineStr">
        <is>
          <t>Unit</t>
        </is>
      </c>
      <c r="D75" s="36" t="inlineStr">
        <is>
          <t>Period</t>
        </is>
      </c>
      <c r="E75" s="36" t="inlineStr">
        <is>
          <t>Value</t>
        </is>
      </c>
      <c r="K75" s="36" t="n"/>
      <c r="L75" s="36" t="n"/>
      <c r="M75" s="36" t="n"/>
      <c r="N75" s="36" t="n"/>
      <c r="O75" s="36" t="n"/>
      <c r="P75" s="36" t="inlineStr">
        <is>
          <t>Status</t>
        </is>
      </c>
      <c r="Q75" s="36" t="inlineStr">
        <is>
          <t>Source</t>
        </is>
      </c>
      <c r="R75" s="36" t="inlineStr">
        <is>
          <t>Page</t>
        </is>
      </c>
      <c r="S75" s="36" t="inlineStr">
        <is>
          <t>Note</t>
        </is>
      </c>
    </row>
    <row r="76" ht="29" customHeight="1">
      <c r="A76" s="38" t="inlineStr">
        <is>
          <t>Registered vehicles by class</t>
        </is>
      </c>
      <c r="B76" s="38" t="inlineStr">
        <is>
          <t>cars</t>
        </is>
      </c>
      <c r="C76" s="38" t="inlineStr">
        <is>
          <t>vehicles</t>
        </is>
      </c>
      <c r="D76" s="38" t="inlineStr">
        <is>
          <t>2026-06</t>
        </is>
      </c>
      <c r="E76" s="41" t="n">
        <v>8340592</v>
      </c>
      <c r="K76" s="38" t="n"/>
      <c r="L76" s="38" t="n"/>
      <c r="M76" s="38" t="n"/>
      <c r="N76" s="38" t="n"/>
      <c r="O76" s="38" t="n"/>
      <c r="P76" s="38" t="inlineStr">
        <is>
          <t>From source</t>
        </is>
      </c>
      <c r="Q76" s="38" t="inlineStr">
        <is>
          <t>eNaTIS live vehicle population by class and province</t>
        </is>
      </c>
      <c r="R76" s="38" t="inlineStr"/>
      <c r="S76" s="38" t="inlineStr">
        <is>
          <t>By province on the DR07 fleet by province sheet. Monthly from February 2021.</t>
        </is>
      </c>
    </row>
    <row r="77" ht="29" customHeight="1">
      <c r="A77" s="38" t="inlineStr">
        <is>
          <t>Registered vehicles by class</t>
        </is>
      </c>
      <c r="B77" s="38" t="inlineStr">
        <is>
          <t>light commercial</t>
        </is>
      </c>
      <c r="C77" s="38" t="inlineStr">
        <is>
          <t>vehicles</t>
        </is>
      </c>
      <c r="D77" s="38" t="inlineStr">
        <is>
          <t>2026-06</t>
        </is>
      </c>
      <c r="E77" s="41" t="n">
        <v>2816547</v>
      </c>
      <c r="K77" s="38" t="n"/>
      <c r="L77" s="38" t="n"/>
      <c r="M77" s="38" t="n"/>
      <c r="N77" s="38" t="n"/>
      <c r="O77" s="38" t="n"/>
      <c r="P77" s="38" t="inlineStr">
        <is>
          <t>From source</t>
        </is>
      </c>
      <c r="Q77" s="38" t="inlineStr">
        <is>
          <t>eNaTIS live vehicle population by class and province</t>
        </is>
      </c>
      <c r="R77" s="38" t="inlineStr"/>
      <c r="S77" s="38" t="inlineStr">
        <is>
          <t>By province on the DR07 fleet by province sheet. Monthly from February 2021.</t>
        </is>
      </c>
    </row>
    <row r="78" ht="29" customHeight="1">
      <c r="A78" s="38" t="inlineStr">
        <is>
          <t>Registered vehicles by class</t>
        </is>
      </c>
      <c r="B78" s="38" t="inlineStr">
        <is>
          <t>trucks</t>
        </is>
      </c>
      <c r="C78" s="38" t="inlineStr">
        <is>
          <t>vehicles</t>
        </is>
      </c>
      <c r="D78" s="38" t="inlineStr">
        <is>
          <t>2026-06</t>
        </is>
      </c>
      <c r="E78" s="41" t="n">
        <v>409049</v>
      </c>
      <c r="K78" s="38" t="n"/>
      <c r="L78" s="38" t="n"/>
      <c r="M78" s="38" t="n"/>
      <c r="N78" s="38" t="n"/>
      <c r="O78" s="38" t="n"/>
      <c r="P78" s="38" t="inlineStr">
        <is>
          <t>From source</t>
        </is>
      </c>
      <c r="Q78" s="38" t="inlineStr">
        <is>
          <t>eNaTIS live vehicle population by class and province</t>
        </is>
      </c>
      <c r="R78" s="38" t="inlineStr"/>
      <c r="S78" s="38" t="inlineStr">
        <is>
          <t>By province on the DR07 fleet by province sheet. Monthly from February 2021.</t>
        </is>
      </c>
    </row>
    <row r="79" ht="29" customHeight="1">
      <c r="A79" s="38" t="inlineStr">
        <is>
          <t>Registered vehicles by class</t>
        </is>
      </c>
      <c r="B79" s="38" t="inlineStr">
        <is>
          <t>buses</t>
        </is>
      </c>
      <c r="C79" s="38" t="inlineStr">
        <is>
          <t>vehicles</t>
        </is>
      </c>
      <c r="D79" s="38" t="inlineStr">
        <is>
          <t>2026-06</t>
        </is>
      </c>
      <c r="E79" s="41" t="n">
        <v>66872</v>
      </c>
      <c r="K79" s="38" t="n"/>
      <c r="L79" s="38" t="n"/>
      <c r="M79" s="38" t="n"/>
      <c r="N79" s="38" t="n"/>
      <c r="O79" s="38" t="n"/>
      <c r="P79" s="38" t="inlineStr">
        <is>
          <t>From source</t>
        </is>
      </c>
      <c r="Q79" s="38" t="inlineStr">
        <is>
          <t>eNaTIS live vehicle population by class and province</t>
        </is>
      </c>
      <c r="R79" s="38" t="inlineStr"/>
      <c r="S79" s="38" t="inlineStr">
        <is>
          <t>By province on the DR07 fleet by province sheet. Monthly from February 2021.</t>
        </is>
      </c>
    </row>
    <row r="80" ht="29" customHeight="1">
      <c r="A80" s="38" t="inlineStr">
        <is>
          <t>Registered vehicles by class</t>
        </is>
      </c>
      <c r="B80" s="38" t="inlineStr">
        <is>
          <t>minibuses</t>
        </is>
      </c>
      <c r="C80" s="38" t="inlineStr">
        <is>
          <t>vehicles</t>
        </is>
      </c>
      <c r="D80" s="38" t="inlineStr">
        <is>
          <t>2026-06</t>
        </is>
      </c>
      <c r="E80" s="41" t="n">
        <v>356997</v>
      </c>
      <c r="K80" s="38" t="n"/>
      <c r="L80" s="38" t="n"/>
      <c r="M80" s="38" t="n"/>
      <c r="N80" s="38" t="n"/>
      <c r="O80" s="38" t="n"/>
      <c r="P80" s="38" t="inlineStr">
        <is>
          <t>From source</t>
        </is>
      </c>
      <c r="Q80" s="38" t="inlineStr">
        <is>
          <t>eNaTIS live vehicle population by class and province</t>
        </is>
      </c>
      <c r="R80" s="38" t="inlineStr"/>
      <c r="S80" s="38" t="inlineStr">
        <is>
          <t>By province on the DR07 fleet by province sheet. Monthly from February 2021.</t>
        </is>
      </c>
    </row>
    <row r="81" ht="29" customHeight="1">
      <c r="A81" s="42" t="inlineStr">
        <is>
          <t>Largest provinces, share of registered vehicles</t>
        </is>
      </c>
      <c r="B81" s="42" t="inlineStr">
        <is>
          <t>Gauteng</t>
        </is>
      </c>
      <c r="C81" s="42" t="inlineStr">
        <is>
          <t>%</t>
        </is>
      </c>
      <c r="D81" s="42" t="inlineStr">
        <is>
          <t>2026-06</t>
        </is>
      </c>
      <c r="E81" s="43" t="n">
        <v>39</v>
      </c>
      <c r="K81" s="42" t="n"/>
      <c r="L81" s="42" t="n"/>
      <c r="M81" s="42" t="n"/>
      <c r="N81" s="42" t="n"/>
      <c r="O81" s="42" t="n"/>
      <c r="P81" s="42" t="inlineStr">
        <is>
          <t>Calculated</t>
        </is>
      </c>
      <c r="Q81" s="42" t="inlineStr">
        <is>
          <t>Calculated from eNaTIS</t>
        </is>
      </c>
      <c r="R81" s="42" t="inlineStr"/>
      <c r="S81" s="42" t="inlineStr"/>
    </row>
    <row r="82" ht="29" customHeight="1">
      <c r="A82" s="42" t="inlineStr">
        <is>
          <t>Largest provinces, share of registered vehicles</t>
        </is>
      </c>
      <c r="B82" s="42" t="inlineStr">
        <is>
          <t>Western Cape</t>
        </is>
      </c>
      <c r="C82" s="42" t="inlineStr">
        <is>
          <t>%</t>
        </is>
      </c>
      <c r="D82" s="42" t="inlineStr">
        <is>
          <t>2026-06</t>
        </is>
      </c>
      <c r="E82" s="43" t="n">
        <v>16.3</v>
      </c>
      <c r="K82" s="42" t="n"/>
      <c r="L82" s="42" t="n"/>
      <c r="M82" s="42" t="n"/>
      <c r="N82" s="42" t="n"/>
      <c r="O82" s="42" t="n"/>
      <c r="P82" s="42" t="inlineStr">
        <is>
          <t>Calculated</t>
        </is>
      </c>
      <c r="Q82" s="42" t="inlineStr">
        <is>
          <t>Calculated from eNaTIS</t>
        </is>
      </c>
      <c r="R82" s="42" t="inlineStr"/>
      <c r="S82" s="42" t="inlineStr"/>
    </row>
    <row r="83" ht="29" customHeight="1">
      <c r="A83" s="42" t="inlineStr">
        <is>
          <t>Largest provinces, share of registered vehicles</t>
        </is>
      </c>
      <c r="B83" s="42" t="inlineStr">
        <is>
          <t>KwaZulu-Natal</t>
        </is>
      </c>
      <c r="C83" s="42" t="inlineStr">
        <is>
          <t>%</t>
        </is>
      </c>
      <c r="D83" s="42" t="inlineStr">
        <is>
          <t>2026-06</t>
        </is>
      </c>
      <c r="E83" s="43" t="n">
        <v>14.1</v>
      </c>
      <c r="K83" s="42" t="n"/>
      <c r="L83" s="42" t="n"/>
      <c r="M83" s="42" t="n"/>
      <c r="N83" s="42" t="n"/>
      <c r="O83" s="42" t="n"/>
      <c r="P83" s="42" t="inlineStr">
        <is>
          <t>Calculated</t>
        </is>
      </c>
      <c r="Q83" s="42" t="inlineStr">
        <is>
          <t>Calculated from eNaTIS</t>
        </is>
      </c>
      <c r="R83" s="42" t="inlineStr"/>
      <c r="S83" s="42" t="inlineStr"/>
    </row>
    <row r="84" ht="29" customHeight="1">
      <c r="A84" s="38" t="inlineStr">
        <is>
          <t>Registered vehicles by fuel</t>
        </is>
      </c>
      <c r="B84" s="38" t="inlineStr">
        <is>
          <t>petrol</t>
        </is>
      </c>
      <c r="C84" s="38" t="inlineStr">
        <is>
          <t>vehicles</t>
        </is>
      </c>
      <c r="D84" s="38" t="inlineStr">
        <is>
          <t>December 2023</t>
        </is>
      </c>
      <c r="E84" s="41" t="n">
        <v>8555772</v>
      </c>
      <c r="K84" s="38" t="n"/>
      <c r="L84" s="38" t="n"/>
      <c r="M84" s="38" t="n"/>
      <c r="N84" s="38" t="n"/>
      <c r="O84" s="38" t="n"/>
      <c r="P84" s="38" t="inlineStr">
        <is>
          <t>From source</t>
        </is>
      </c>
      <c r="Q84" s="38" t="inlineStr">
        <is>
          <t>Department of Transport, Transport Statistics Bulletin 2023</t>
        </is>
      </c>
      <c r="R84" s="38" t="inlineStr"/>
      <c r="S84" s="38" t="inlineStr">
        <is>
          <t>National only, and not split by class. No later edition found.</t>
        </is>
      </c>
    </row>
    <row r="85" ht="29" customHeight="1">
      <c r="A85" s="38" t="inlineStr">
        <is>
          <t>Registered vehicles by fuel</t>
        </is>
      </c>
      <c r="B85" s="38" t="inlineStr">
        <is>
          <t>diesel</t>
        </is>
      </c>
      <c r="C85" s="38" t="inlineStr">
        <is>
          <t>vehicles</t>
        </is>
      </c>
      <c r="D85" s="38" t="inlineStr">
        <is>
          <t>December 2023</t>
        </is>
      </c>
      <c r="E85" s="41" t="n">
        <v>3335546</v>
      </c>
      <c r="K85" s="38" t="n"/>
      <c r="L85" s="38" t="n"/>
      <c r="M85" s="38" t="n"/>
      <c r="N85" s="38" t="n"/>
      <c r="O85" s="38" t="n"/>
      <c r="P85" s="38" t="inlineStr">
        <is>
          <t>From source</t>
        </is>
      </c>
      <c r="Q85" s="38" t="inlineStr">
        <is>
          <t>Department of Transport, Transport Statistics Bulletin 2023</t>
        </is>
      </c>
      <c r="R85" s="38" t="inlineStr"/>
      <c r="S85" s="38" t="inlineStr">
        <is>
          <t>National only, and not split by class. No later edition found.</t>
        </is>
      </c>
    </row>
    <row r="86" ht="29" customHeight="1">
      <c r="A86" s="38" t="inlineStr">
        <is>
          <t>Diesel vehicles by province</t>
        </is>
      </c>
      <c r="B86" s="38" t="inlineStr">
        <is>
          <t>Gauteng</t>
        </is>
      </c>
      <c r="C86" s="38" t="inlineStr">
        <is>
          <t>vehicles</t>
        </is>
      </c>
      <c r="D86" s="38" t="inlineStr">
        <is>
          <t>December 2023</t>
        </is>
      </c>
      <c r="E86" s="41" t="n">
        <v>1142275</v>
      </c>
      <c r="K86" s="38" t="n"/>
      <c r="L86" s="38" t="n"/>
      <c r="M86" s="38" t="n"/>
      <c r="N86" s="38" t="n"/>
      <c r="O86" s="38" t="n"/>
      <c r="P86" s="38" t="inlineStr">
        <is>
          <t>From source</t>
        </is>
      </c>
      <c r="Q86" s="38" t="inlineStr">
        <is>
          <t>Department of Transport, Transport Statistics Bulletin 2023, Table 2.8</t>
        </is>
      </c>
      <c r="R86" s="38" t="inlineStr">
        <is>
          <t>PDF p.40</t>
        </is>
      </c>
      <c r="S86" s="38" t="inlineStr">
        <is>
          <t>All nine provinces, petrol and diesel, are on the DR07 fleet by province sheet.</t>
        </is>
      </c>
    </row>
    <row r="87" ht="29" customHeight="1">
      <c r="A87" s="38" t="inlineStr">
        <is>
          <t>Diesel vehicles by province</t>
        </is>
      </c>
      <c r="B87" s="38" t="inlineStr">
        <is>
          <t>Western Cape</t>
        </is>
      </c>
      <c r="C87" s="38" t="inlineStr">
        <is>
          <t>vehicles</t>
        </is>
      </c>
      <c r="D87" s="38" t="inlineStr">
        <is>
          <t>December 2023</t>
        </is>
      </c>
      <c r="E87" s="41" t="n">
        <v>507006</v>
      </c>
      <c r="K87" s="38" t="n"/>
      <c r="L87" s="38" t="n"/>
      <c r="M87" s="38" t="n"/>
      <c r="N87" s="38" t="n"/>
      <c r="O87" s="38" t="n"/>
      <c r="P87" s="38" t="inlineStr">
        <is>
          <t>From source</t>
        </is>
      </c>
      <c r="Q87" s="38" t="inlineStr">
        <is>
          <t>Department of Transport, Transport Statistics Bulletin 2023, Table 2.8</t>
        </is>
      </c>
      <c r="R87" s="38" t="inlineStr">
        <is>
          <t>PDF p.40</t>
        </is>
      </c>
      <c r="S87" s="38" t="inlineStr">
        <is>
          <t>All nine provinces, petrol and diesel, are on the DR07 fleet by province sheet.</t>
        </is>
      </c>
    </row>
    <row r="88" ht="29" customHeight="1">
      <c r="A88" s="38" t="inlineStr">
        <is>
          <t>Diesel vehicles by province</t>
        </is>
      </c>
      <c r="B88" s="38" t="inlineStr">
        <is>
          <t>KwaZulu-Natal</t>
        </is>
      </c>
      <c r="C88" s="38" t="inlineStr">
        <is>
          <t>vehicles</t>
        </is>
      </c>
      <c r="D88" s="38" t="inlineStr">
        <is>
          <t>December 2023</t>
        </is>
      </c>
      <c r="E88" s="41" t="n">
        <v>459888</v>
      </c>
      <c r="K88" s="38" t="n"/>
      <c r="L88" s="38" t="n"/>
      <c r="M88" s="38" t="n"/>
      <c r="N88" s="38" t="n"/>
      <c r="O88" s="38" t="n"/>
      <c r="P88" s="38" t="inlineStr">
        <is>
          <t>From source</t>
        </is>
      </c>
      <c r="Q88" s="38" t="inlineStr">
        <is>
          <t>Department of Transport, Transport Statistics Bulletin 2023, Table 2.8</t>
        </is>
      </c>
      <c r="R88" s="38" t="inlineStr">
        <is>
          <t>PDF p.40</t>
        </is>
      </c>
      <c r="S88" s="38" t="inlineStr">
        <is>
          <t>All nine provinces, petrol and diesel, are on the DR07 fleet by province sheet.</t>
        </is>
      </c>
    </row>
    <row r="89" ht="29" customHeight="1">
      <c r="A89" s="42" t="inlineStr">
        <is>
          <t>Diesel share of petrol and diesel vehicles, by province</t>
        </is>
      </c>
      <c r="B89" s="42" t="inlineStr">
        <is>
          <t>Northern Cape</t>
        </is>
      </c>
      <c r="C89" s="42" t="inlineStr">
        <is>
          <t>%</t>
        </is>
      </c>
      <c r="D89" s="42" t="inlineStr">
        <is>
          <t>December 2023</t>
        </is>
      </c>
      <c r="E89" s="43" t="n">
        <v>38</v>
      </c>
      <c r="K89" s="42" t="n"/>
      <c r="L89" s="42" t="n"/>
      <c r="M89" s="42" t="n"/>
      <c r="N89" s="42" t="n"/>
      <c r="O89" s="42" t="n"/>
      <c r="P89" s="42" t="inlineStr">
        <is>
          <t>Calculated</t>
        </is>
      </c>
      <c r="Q89" s="42" t="inlineStr">
        <is>
          <t>Calculated from the bulletin</t>
        </is>
      </c>
      <c r="R89" s="42" t="inlineStr"/>
      <c r="S89" s="42" t="inlineStr"/>
    </row>
    <row r="90" ht="29" customHeight="1">
      <c r="A90" s="42" t="inlineStr">
        <is>
          <t>Diesel share of petrol and diesel vehicles, by province</t>
        </is>
      </c>
      <c r="B90" s="42" t="inlineStr">
        <is>
          <t>Gauteng</t>
        </is>
      </c>
      <c r="C90" s="42" t="inlineStr">
        <is>
          <t>%</t>
        </is>
      </c>
      <c r="D90" s="42" t="inlineStr">
        <is>
          <t>December 2023</t>
        </is>
      </c>
      <c r="E90" s="43" t="n">
        <v>24.8</v>
      </c>
      <c r="K90" s="42" t="n"/>
      <c r="L90" s="42" t="n"/>
      <c r="M90" s="42" t="n"/>
      <c r="N90" s="42" t="n"/>
      <c r="O90" s="42" t="n"/>
      <c r="P90" s="42" t="inlineStr">
        <is>
          <t>Calculated</t>
        </is>
      </c>
      <c r="Q90" s="42" t="inlineStr">
        <is>
          <t>Calculated from the bulletin</t>
        </is>
      </c>
      <c r="R90" s="42" t="inlineStr"/>
      <c r="S90" s="42" t="inlineStr"/>
    </row>
    <row r="91" ht="42.5" customHeight="1">
      <c r="A91" s="42" t="inlineStr">
        <is>
          <t>Diesel vehicles by class, estimated</t>
        </is>
      </c>
      <c r="B91" s="42" t="inlineStr">
        <is>
          <t>cars</t>
        </is>
      </c>
      <c r="C91" s="42" t="inlineStr">
        <is>
          <t>vehicles</t>
        </is>
      </c>
      <c r="D91" s="42" t="inlineStr">
        <is>
          <t>December 2023</t>
        </is>
      </c>
      <c r="E91" s="64" t="n">
        <v>1080644</v>
      </c>
      <c r="K91" s="42" t="n"/>
      <c r="L91" s="42" t="n"/>
      <c r="M91" s="42" t="n"/>
      <c r="N91" s="42" t="n"/>
      <c r="O91" s="42" t="n"/>
      <c r="P91" s="42" t="inlineStr">
        <is>
          <t>Calculated</t>
        </is>
      </c>
      <c r="Q91" s="42" t="inlineStr">
        <is>
          <t>Calculated from the register (December 2023), the transport bulletin (December 2023) and Stone et al. (2018)</t>
        </is>
      </c>
      <c r="R91" s="42" t="inlineStr"/>
      <c r="S91" s="42" t="inlineStr">
        <is>
          <t>Estimated, not published: each class's diesel share in the 2010 fleet (Stone et al. 2018) moved by one common factor so the classes add up to the bulletin's diesel total. Nothing published crosses fuel with class.</t>
        </is>
      </c>
    </row>
    <row r="92" ht="42.5" customHeight="1">
      <c r="A92" s="42" t="inlineStr">
        <is>
          <t>Diesel vehicles by class, estimated</t>
        </is>
      </c>
      <c r="B92" s="42" t="inlineStr">
        <is>
          <t>light commercial</t>
        </is>
      </c>
      <c r="C92" s="42" t="inlineStr">
        <is>
          <t>vehicles</t>
        </is>
      </c>
      <c r="D92" s="42" t="inlineStr">
        <is>
          <t>December 2023</t>
        </is>
      </c>
      <c r="E92" s="64" t="n">
        <v>1506107</v>
      </c>
      <c r="K92" s="42" t="n"/>
      <c r="L92" s="42" t="n"/>
      <c r="M92" s="42" t="n"/>
      <c r="N92" s="42" t="n"/>
      <c r="O92" s="42" t="n"/>
      <c r="P92" s="42" t="inlineStr">
        <is>
          <t>Calculated</t>
        </is>
      </c>
      <c r="Q92" s="42" t="inlineStr">
        <is>
          <t>Calculated from the register (December 2023), the transport bulletin (December 2023) and Stone et al. (2018)</t>
        </is>
      </c>
      <c r="R92" s="42" t="inlineStr"/>
      <c r="S92" s="42" t="inlineStr">
        <is>
          <t>Estimated, not published: each class's diesel share in the 2010 fleet (Stone et al. 2018) moved by one common factor so the classes add up to the bulletin's diesel total. Nothing published crosses fuel with class.</t>
        </is>
      </c>
    </row>
    <row r="93" ht="42.5" customHeight="1">
      <c r="A93" s="42" t="inlineStr">
        <is>
          <t>Diesel vehicles by class, estimated</t>
        </is>
      </c>
      <c r="B93" s="42" t="inlineStr">
        <is>
          <t>trucks</t>
        </is>
      </c>
      <c r="C93" s="42" t="inlineStr">
        <is>
          <t>vehicles</t>
        </is>
      </c>
      <c r="D93" s="42" t="inlineStr">
        <is>
          <t>December 2023</t>
        </is>
      </c>
      <c r="E93" s="64" t="n">
        <v>388778</v>
      </c>
      <c r="K93" s="42" t="n"/>
      <c r="L93" s="42" t="n"/>
      <c r="M93" s="42" t="n"/>
      <c r="N93" s="42" t="n"/>
      <c r="O93" s="42" t="n"/>
      <c r="P93" s="42" t="inlineStr">
        <is>
          <t>Calculated</t>
        </is>
      </c>
      <c r="Q93" s="42" t="inlineStr">
        <is>
          <t>Calculated from the register (December 2023), the transport bulletin (December 2023) and Stone et al. (2018)</t>
        </is>
      </c>
      <c r="R93" s="42" t="inlineStr"/>
      <c r="S93" s="42" t="inlineStr">
        <is>
          <t>Estimated, not published: each class's diesel share in the 2010 fleet (Stone et al. 2018) moved by one common factor so the classes add up to the bulletin's diesel total. Nothing published crosses fuel with class.</t>
        </is>
      </c>
    </row>
    <row r="94" ht="42.5" customHeight="1">
      <c r="A94" s="42" t="inlineStr">
        <is>
          <t>Diesel vehicles by class, estimated</t>
        </is>
      </c>
      <c r="B94" s="42" t="inlineStr">
        <is>
          <t>buses</t>
        </is>
      </c>
      <c r="C94" s="42" t="inlineStr">
        <is>
          <t>vehicles</t>
        </is>
      </c>
      <c r="D94" s="42" t="inlineStr">
        <is>
          <t>December 2023</t>
        </is>
      </c>
      <c r="E94" s="64" t="n">
        <v>64982</v>
      </c>
      <c r="K94" s="42" t="n"/>
      <c r="L94" s="42" t="n"/>
      <c r="M94" s="42" t="n"/>
      <c r="N94" s="42" t="n"/>
      <c r="O94" s="42" t="n"/>
      <c r="P94" s="42" t="inlineStr">
        <is>
          <t>Calculated</t>
        </is>
      </c>
      <c r="Q94" s="42" t="inlineStr">
        <is>
          <t>Calculated from the register (December 2023), the transport bulletin (December 2023) and Stone et al. (2018)</t>
        </is>
      </c>
      <c r="R94" s="42" t="inlineStr"/>
      <c r="S94" s="42" t="inlineStr">
        <is>
          <t>Estimated, not published: each class's diesel share in the 2010 fleet (Stone et al. 2018) moved by one common factor so the classes add up to the bulletin's diesel total. Nothing published crosses fuel with class.</t>
        </is>
      </c>
    </row>
    <row r="95" ht="42.5" customHeight="1">
      <c r="A95" s="42" t="inlineStr">
        <is>
          <t>Diesel vehicles by class, estimated</t>
        </is>
      </c>
      <c r="B95" s="42" t="inlineStr">
        <is>
          <t>minibuses</t>
        </is>
      </c>
      <c r="C95" s="42" t="inlineStr">
        <is>
          <t>vehicles</t>
        </is>
      </c>
      <c r="D95" s="42" t="inlineStr">
        <is>
          <t>December 2023</t>
        </is>
      </c>
      <c r="E95" s="64" t="n">
        <v>54087</v>
      </c>
      <c r="K95" s="42" t="n"/>
      <c r="L95" s="42" t="n"/>
      <c r="M95" s="42" t="n"/>
      <c r="N95" s="42" t="n"/>
      <c r="O95" s="42" t="n"/>
      <c r="P95" s="42" t="inlineStr">
        <is>
          <t>Calculated</t>
        </is>
      </c>
      <c r="Q95" s="42" t="inlineStr">
        <is>
          <t>Calculated from the register (December 2023), the transport bulletin (December 2023) and Stone et al. (2018)</t>
        </is>
      </c>
      <c r="R95" s="42" t="inlineStr"/>
      <c r="S95" s="42" t="inlineStr">
        <is>
          <t>Estimated, not published: each class's diesel share in the 2010 fleet (Stone et al. 2018) moved by one common factor so the classes add up to the bulletin's diesel total. Nothing published crosses fuel with class.</t>
        </is>
      </c>
    </row>
    <row r="96" ht="42.5" customHeight="1">
      <c r="A96" s="42" t="inlineStr">
        <is>
          <t>Diesel vehicles by class, estimated</t>
        </is>
      </c>
      <c r="B96" s="42" t="inlineStr">
        <is>
          <t>motorcycles</t>
        </is>
      </c>
      <c r="C96" s="42" t="inlineStr">
        <is>
          <t>vehicles</t>
        </is>
      </c>
      <c r="D96" s="42" t="inlineStr">
        <is>
          <t>December 2023</t>
        </is>
      </c>
      <c r="E96" s="64" t="n">
        <v>0</v>
      </c>
      <c r="K96" s="42" t="n"/>
      <c r="L96" s="42" t="n"/>
      <c r="M96" s="42" t="n"/>
      <c r="N96" s="42" t="n"/>
      <c r="O96" s="42" t="n"/>
      <c r="P96" s="42" t="inlineStr">
        <is>
          <t>Calculated</t>
        </is>
      </c>
      <c r="Q96" s="42" t="inlineStr">
        <is>
          <t>Calculated from the register (December 2023), the transport bulletin (December 2023) and Stone et al. (2018)</t>
        </is>
      </c>
      <c r="R96" s="42" t="inlineStr"/>
      <c r="S96" s="42" t="inlineStr">
        <is>
          <t>Estimated, not published: each class's diesel share in the 2010 fleet (Stone et al. 2018) moved by one common factor so the classes add up to the bulletin's diesel total. Nothing published crosses fuel with class.</t>
        </is>
      </c>
    </row>
    <row r="97" ht="42.5" customHeight="1">
      <c r="A97" s="42" t="inlineStr">
        <is>
          <t>Diesel vehicles by class, estimated</t>
        </is>
      </c>
      <c r="B97" s="42" t="inlineStr">
        <is>
          <t>other self propelled</t>
        </is>
      </c>
      <c r="C97" s="42" t="inlineStr">
        <is>
          <t>vehicles</t>
        </is>
      </c>
      <c r="D97" s="42" t="inlineStr">
        <is>
          <t>December 2023</t>
        </is>
      </c>
      <c r="E97" s="64" t="n">
        <v>238955</v>
      </c>
      <c r="K97" s="42" t="n"/>
      <c r="L97" s="42" t="n"/>
      <c r="M97" s="42" t="n"/>
      <c r="N97" s="42" t="n"/>
      <c r="O97" s="42" t="n"/>
      <c r="P97" s="42" t="inlineStr">
        <is>
          <t>Calculated</t>
        </is>
      </c>
      <c r="Q97" s="42" t="inlineStr">
        <is>
          <t>Calculated from the register (December 2023), the transport bulletin (December 2023) and Stone et al. (2018)</t>
        </is>
      </c>
      <c r="R97" s="42" t="inlineStr"/>
      <c r="S97" s="42" t="inlineStr">
        <is>
          <t>Estimated, not published: each class's diesel share in the 2010 fleet (Stone et al. 2018) moved by one common factor so the classes add up to the bulletin's diesel total. Nothing published crosses fuel with class.</t>
        </is>
      </c>
    </row>
    <row r="98" ht="42.5" customHeight="1">
      <c r="A98" s="42" t="inlineStr">
        <is>
          <t>Petrol vehicles by class, estimated</t>
        </is>
      </c>
      <c r="B98" s="42" t="inlineStr">
        <is>
          <t>cars</t>
        </is>
      </c>
      <c r="C98" s="42" t="inlineStr">
        <is>
          <t>vehicles</t>
        </is>
      </c>
      <c r="D98" s="42" t="inlineStr">
        <is>
          <t>December 2023</t>
        </is>
      </c>
      <c r="E98" s="64" t="n">
        <v>6713520</v>
      </c>
      <c r="K98" s="42" t="n"/>
      <c r="L98" s="42" t="n"/>
      <c r="M98" s="42" t="n"/>
      <c r="N98" s="42" t="n"/>
      <c r="O98" s="42" t="n"/>
      <c r="P98" s="42" t="inlineStr">
        <is>
          <t>Calculated</t>
        </is>
      </c>
      <c r="Q98" s="42" t="inlineStr">
        <is>
          <t>Calculated from the register (December 2023), the transport bulletin (December 2023) and Stone et al. (2018)</t>
        </is>
      </c>
      <c r="R98" s="42" t="inlineStr"/>
      <c r="S98" s="42" t="inlineStr">
        <is>
          <t>Estimated, not published: each class's diesel share in the 2010 fleet (Stone et al. 2018) moved by one common factor so the classes add up to the bulletin's diesel total. Nothing published crosses fuel with class.</t>
        </is>
      </c>
    </row>
    <row r="99" ht="42.5" customHeight="1">
      <c r="A99" s="42" t="inlineStr">
        <is>
          <t>Petrol vehicles by class, estimated</t>
        </is>
      </c>
      <c r="B99" s="42" t="inlineStr">
        <is>
          <t>light commercial</t>
        </is>
      </c>
      <c r="C99" s="42" t="inlineStr">
        <is>
          <t>vehicles</t>
        </is>
      </c>
      <c r="D99" s="42" t="inlineStr">
        <is>
          <t>December 2023</t>
        </is>
      </c>
      <c r="E99" s="64" t="n">
        <v>1183203</v>
      </c>
      <c r="K99" s="42" t="n"/>
      <c r="L99" s="42" t="n"/>
      <c r="M99" s="42" t="n"/>
      <c r="N99" s="42" t="n"/>
      <c r="O99" s="42" t="n"/>
      <c r="P99" s="42" t="inlineStr">
        <is>
          <t>Calculated</t>
        </is>
      </c>
      <c r="Q99" s="42" t="inlineStr">
        <is>
          <t>Calculated from the register (December 2023), the transport bulletin (December 2023) and Stone et al. (2018)</t>
        </is>
      </c>
      <c r="R99" s="42" t="inlineStr"/>
      <c r="S99" s="42" t="inlineStr">
        <is>
          <t>Estimated, not published: each class's diesel share in the 2010 fleet (Stone et al. 2018) moved by one common factor so the classes add up to the bulletin's diesel total. Nothing published crosses fuel with class.</t>
        </is>
      </c>
    </row>
    <row r="100" ht="42.5" customHeight="1">
      <c r="A100" s="42" t="inlineStr">
        <is>
          <t>Petrol vehicles by class, estimated</t>
        </is>
      </c>
      <c r="B100" s="42" t="inlineStr">
        <is>
          <t>trucks</t>
        </is>
      </c>
      <c r="C100" s="42" t="inlineStr">
        <is>
          <t>vehicles</t>
        </is>
      </c>
      <c r="D100" s="42" t="inlineStr">
        <is>
          <t>December 2023</t>
        </is>
      </c>
      <c r="E100" s="64" t="n">
        <v>3571</v>
      </c>
      <c r="K100" s="42" t="n"/>
      <c r="L100" s="42" t="n"/>
      <c r="M100" s="42" t="n"/>
      <c r="N100" s="42" t="n"/>
      <c r="O100" s="42" t="n"/>
      <c r="P100" s="42" t="inlineStr">
        <is>
          <t>Calculated</t>
        </is>
      </c>
      <c r="Q100" s="42" t="inlineStr">
        <is>
          <t>Calculated from the register (December 2023), the transport bulletin (December 2023) and Stone et al. (2018)</t>
        </is>
      </c>
      <c r="R100" s="42" t="inlineStr"/>
      <c r="S100" s="42" t="inlineStr">
        <is>
          <t>Estimated, not published: each class's diesel share in the 2010 fleet (Stone et al. 2018) moved by one common factor so the classes add up to the bulletin's diesel total. Nothing published crosses fuel with class.</t>
        </is>
      </c>
    </row>
    <row r="101" ht="42.5" customHeight="1">
      <c r="A101" s="42" t="inlineStr">
        <is>
          <t>Petrol vehicles by class, estimated</t>
        </is>
      </c>
      <c r="B101" s="42" t="inlineStr">
        <is>
          <t>buses</t>
        </is>
      </c>
      <c r="C101" s="42" t="inlineStr">
        <is>
          <t>vehicles</t>
        </is>
      </c>
      <c r="D101" s="42" t="inlineStr">
        <is>
          <t>December 2023</t>
        </is>
      </c>
      <c r="E101" s="64" t="n">
        <v>0</v>
      </c>
      <c r="K101" s="42" t="n"/>
      <c r="L101" s="42" t="n"/>
      <c r="M101" s="42" t="n"/>
      <c r="N101" s="42" t="n"/>
      <c r="O101" s="42" t="n"/>
      <c r="P101" s="42" t="inlineStr">
        <is>
          <t>Calculated</t>
        </is>
      </c>
      <c r="Q101" s="42" t="inlineStr">
        <is>
          <t>Calculated from the register (December 2023), the transport bulletin (December 2023) and Stone et al. (2018)</t>
        </is>
      </c>
      <c r="R101" s="42" t="inlineStr"/>
      <c r="S101" s="42" t="inlineStr">
        <is>
          <t>Estimated, not published: each class's diesel share in the 2010 fleet (Stone et al. 2018) moved by one common factor so the classes add up to the bulletin's diesel total. Nothing published crosses fuel with class.</t>
        </is>
      </c>
    </row>
    <row r="102" ht="42.5" customHeight="1">
      <c r="A102" s="42" t="inlineStr">
        <is>
          <t>Petrol vehicles by class, estimated</t>
        </is>
      </c>
      <c r="B102" s="42" t="inlineStr">
        <is>
          <t>minibuses</t>
        </is>
      </c>
      <c r="C102" s="42" t="inlineStr">
        <is>
          <t>vehicles</t>
        </is>
      </c>
      <c r="D102" s="42" t="inlineStr">
        <is>
          <t>December 2023</t>
        </is>
      </c>
      <c r="E102" s="64" t="n">
        <v>301148</v>
      </c>
      <c r="K102" s="42" t="n"/>
      <c r="L102" s="42" t="n"/>
      <c r="M102" s="42" t="n"/>
      <c r="N102" s="42" t="n"/>
      <c r="O102" s="42" t="n"/>
      <c r="P102" s="42" t="inlineStr">
        <is>
          <t>Calculated</t>
        </is>
      </c>
      <c r="Q102" s="42" t="inlineStr">
        <is>
          <t>Calculated from the register (December 2023), the transport bulletin (December 2023) and Stone et al. (2018)</t>
        </is>
      </c>
      <c r="R102" s="42" t="inlineStr"/>
      <c r="S102" s="42" t="inlineStr">
        <is>
          <t>Estimated, not published: each class's diesel share in the 2010 fleet (Stone et al. 2018) moved by one common factor so the classes add up to the bulletin's diesel total. Nothing published crosses fuel with class.</t>
        </is>
      </c>
    </row>
    <row r="103" ht="42.5" customHeight="1">
      <c r="A103" s="42" t="inlineStr">
        <is>
          <t>Petrol vehicles by class, estimated</t>
        </is>
      </c>
      <c r="B103" s="42" t="inlineStr">
        <is>
          <t>motorcycles</t>
        </is>
      </c>
      <c r="C103" s="42" t="inlineStr">
        <is>
          <t>vehicles</t>
        </is>
      </c>
      <c r="D103" s="42" t="inlineStr">
        <is>
          <t>December 2023</t>
        </is>
      </c>
      <c r="E103" s="64" t="n">
        <v>349215</v>
      </c>
      <c r="K103" s="42" t="n"/>
      <c r="L103" s="42" t="n"/>
      <c r="M103" s="42" t="n"/>
      <c r="N103" s="42" t="n"/>
      <c r="O103" s="42" t="n"/>
      <c r="P103" s="42" t="inlineStr">
        <is>
          <t>Calculated</t>
        </is>
      </c>
      <c r="Q103" s="42" t="inlineStr">
        <is>
          <t>Calculated from the register (December 2023), the transport bulletin (December 2023) and Stone et al. (2018)</t>
        </is>
      </c>
      <c r="R103" s="42" t="inlineStr"/>
      <c r="S103" s="42" t="inlineStr">
        <is>
          <t>Estimated, not published: each class's diesel share in the 2010 fleet (Stone et al. 2018) moved by one common factor so the classes add up to the bulletin's diesel total. Nothing published crosses fuel with class.</t>
        </is>
      </c>
    </row>
    <row r="104" ht="42.5" customHeight="1">
      <c r="A104" s="42" t="inlineStr">
        <is>
          <t>Petrol vehicles by class, estimated</t>
        </is>
      </c>
      <c r="B104" s="42" t="inlineStr">
        <is>
          <t>other self propelled</t>
        </is>
      </c>
      <c r="C104" s="42" t="inlineStr">
        <is>
          <t>vehicles</t>
        </is>
      </c>
      <c r="D104" s="42" t="inlineStr">
        <is>
          <t>December 2023</t>
        </is>
      </c>
      <c r="E104" s="64" t="n">
        <v>0</v>
      </c>
      <c r="K104" s="42" t="n"/>
      <c r="L104" s="42" t="n"/>
      <c r="M104" s="42" t="n"/>
      <c r="N104" s="42" t="n"/>
      <c r="O104" s="42" t="n"/>
      <c r="P104" s="42" t="inlineStr">
        <is>
          <t>Calculated</t>
        </is>
      </c>
      <c r="Q104" s="42" t="inlineStr">
        <is>
          <t>Calculated from the register (December 2023), the transport bulletin (December 2023) and Stone et al. (2018)</t>
        </is>
      </c>
      <c r="R104" s="42" t="inlineStr"/>
      <c r="S104" s="42" t="inlineStr">
        <is>
          <t>Estimated, not published: each class's diesel share in the 2010 fleet (Stone et al. 2018) moved by one common factor so the classes add up to the bulletin's diesel total. Nothing published crosses fuel with class.</t>
        </is>
      </c>
    </row>
    <row r="105" ht="42.5" customHeight="1">
      <c r="A105" s="42" t="inlineStr">
        <is>
          <t>Diesel share by class, estimated</t>
        </is>
      </c>
      <c r="B105" s="42" t="inlineStr">
        <is>
          <t>cars</t>
        </is>
      </c>
      <c r="C105" s="42" t="inlineStr">
        <is>
          <t>%</t>
        </is>
      </c>
      <c r="D105" s="42" t="inlineStr">
        <is>
          <t>December 2023</t>
        </is>
      </c>
      <c r="E105" s="43" t="n">
        <v>13.9</v>
      </c>
      <c r="K105" s="42" t="n"/>
      <c r="L105" s="42" t="n"/>
      <c r="M105" s="42" t="n"/>
      <c r="N105" s="42" t="n"/>
      <c r="O105" s="42" t="n"/>
      <c r="P105" s="42" t="inlineStr">
        <is>
          <t>Calculated</t>
        </is>
      </c>
      <c r="Q105" s="42" t="inlineStr">
        <is>
          <t>Calculated from the register (December 2023), the transport bulletin (December 2023) and Stone et al. (2018)</t>
        </is>
      </c>
      <c r="R105" s="42" t="inlineStr"/>
      <c r="S105" s="42" t="inlineStr">
        <is>
          <t>The common factor is 2.08: diesel has gained share in every mixed class since 2010. Tractors and plant are taken as all diesel, an assumption.</t>
        </is>
      </c>
    </row>
    <row r="106" ht="42.5" customHeight="1">
      <c r="A106" s="42" t="inlineStr">
        <is>
          <t>Diesel share by class, estimated</t>
        </is>
      </c>
      <c r="B106" s="42" t="inlineStr">
        <is>
          <t>light commercial</t>
        </is>
      </c>
      <c r="C106" s="42" t="inlineStr">
        <is>
          <t>%</t>
        </is>
      </c>
      <c r="D106" s="42" t="inlineStr">
        <is>
          <t>December 2023</t>
        </is>
      </c>
      <c r="E106" s="43" t="n">
        <v>56</v>
      </c>
      <c r="K106" s="42" t="n"/>
      <c r="L106" s="42" t="n"/>
      <c r="M106" s="42" t="n"/>
      <c r="N106" s="42" t="n"/>
      <c r="O106" s="42" t="n"/>
      <c r="P106" s="42" t="inlineStr">
        <is>
          <t>Calculated</t>
        </is>
      </c>
      <c r="Q106" s="42" t="inlineStr">
        <is>
          <t>Calculated from the register (December 2023), the transport bulletin (December 2023) and Stone et al. (2018)</t>
        </is>
      </c>
      <c r="R106" s="42" t="inlineStr"/>
      <c r="S106" s="42" t="inlineStr">
        <is>
          <t>The common factor is 2.08: diesel has gained share in every mixed class since 2010. Tractors and plant are taken as all diesel, an assumption.</t>
        </is>
      </c>
    </row>
    <row r="107" ht="42.5" customHeight="1">
      <c r="A107" s="42" t="inlineStr">
        <is>
          <t>Diesel share by class, estimated</t>
        </is>
      </c>
      <c r="B107" s="42" t="inlineStr">
        <is>
          <t>trucks</t>
        </is>
      </c>
      <c r="C107" s="42" t="inlineStr">
        <is>
          <t>%</t>
        </is>
      </c>
      <c r="D107" s="42" t="inlineStr">
        <is>
          <t>December 2023</t>
        </is>
      </c>
      <c r="E107" s="43" t="n">
        <v>99.09999999999999</v>
      </c>
      <c r="K107" s="42" t="n"/>
      <c r="L107" s="42" t="n"/>
      <c r="M107" s="42" t="n"/>
      <c r="N107" s="42" t="n"/>
      <c r="O107" s="42" t="n"/>
      <c r="P107" s="42" t="inlineStr">
        <is>
          <t>Calculated</t>
        </is>
      </c>
      <c r="Q107" s="42" t="inlineStr">
        <is>
          <t>Calculated from the register (December 2023), the transport bulletin (December 2023) and Stone et al. (2018)</t>
        </is>
      </c>
      <c r="R107" s="42" t="inlineStr"/>
      <c r="S107" s="42" t="inlineStr">
        <is>
          <t>The common factor is 2.08: diesel has gained share in every mixed class since 2010. Tractors and plant are taken as all diesel, an assumption.</t>
        </is>
      </c>
    </row>
    <row r="108" ht="42.5" customHeight="1">
      <c r="A108" s="42" t="inlineStr">
        <is>
          <t>Diesel share by class, estimated</t>
        </is>
      </c>
      <c r="B108" s="42" t="inlineStr">
        <is>
          <t>buses</t>
        </is>
      </c>
      <c r="C108" s="42" t="inlineStr">
        <is>
          <t>%</t>
        </is>
      </c>
      <c r="D108" s="42" t="inlineStr">
        <is>
          <t>December 2023</t>
        </is>
      </c>
      <c r="E108" s="65" t="n">
        <v>100</v>
      </c>
      <c r="K108" s="42" t="n"/>
      <c r="L108" s="42" t="n"/>
      <c r="M108" s="42" t="n"/>
      <c r="N108" s="42" t="n"/>
      <c r="O108" s="42" t="n"/>
      <c r="P108" s="42" t="inlineStr">
        <is>
          <t>Calculated</t>
        </is>
      </c>
      <c r="Q108" s="42" t="inlineStr">
        <is>
          <t>Calculated from the register (December 2023), the transport bulletin (December 2023) and Stone et al. (2018)</t>
        </is>
      </c>
      <c r="R108" s="42" t="inlineStr"/>
      <c r="S108" s="42" t="inlineStr">
        <is>
          <t>The common factor is 2.08: diesel has gained share in every mixed class since 2010. Tractors and plant are taken as all diesel, an assumption.</t>
        </is>
      </c>
    </row>
    <row r="109" ht="42.5" customHeight="1">
      <c r="A109" s="42" t="inlineStr">
        <is>
          <t>Diesel share by class, estimated</t>
        </is>
      </c>
      <c r="B109" s="42" t="inlineStr">
        <is>
          <t>minibuses</t>
        </is>
      </c>
      <c r="C109" s="42" t="inlineStr">
        <is>
          <t>%</t>
        </is>
      </c>
      <c r="D109" s="42" t="inlineStr">
        <is>
          <t>December 2023</t>
        </is>
      </c>
      <c r="E109" s="43" t="n">
        <v>15.2</v>
      </c>
      <c r="K109" s="42" t="n"/>
      <c r="L109" s="42" t="n"/>
      <c r="M109" s="42" t="n"/>
      <c r="N109" s="42" t="n"/>
      <c r="O109" s="42" t="n"/>
      <c r="P109" s="42" t="inlineStr">
        <is>
          <t>Calculated</t>
        </is>
      </c>
      <c r="Q109" s="42" t="inlineStr">
        <is>
          <t>Calculated from the register (December 2023), the transport bulletin (December 2023) and Stone et al. (2018)</t>
        </is>
      </c>
      <c r="R109" s="42" t="inlineStr"/>
      <c r="S109" s="42" t="inlineStr">
        <is>
          <t>The common factor is 2.08: diesel has gained share in every mixed class since 2010. Tractors and plant are taken as all diesel, an assumption.</t>
        </is>
      </c>
    </row>
    <row r="110" ht="42.5" customHeight="1">
      <c r="A110" s="42" t="inlineStr">
        <is>
          <t>Diesel share by class, estimated</t>
        </is>
      </c>
      <c r="B110" s="42" t="inlineStr">
        <is>
          <t>motorcycles</t>
        </is>
      </c>
      <c r="C110" s="42" t="inlineStr">
        <is>
          <t>%</t>
        </is>
      </c>
      <c r="D110" s="42" t="inlineStr">
        <is>
          <t>December 2023</t>
        </is>
      </c>
      <c r="E110" s="43" t="n">
        <v>0</v>
      </c>
      <c r="K110" s="42" t="n"/>
      <c r="L110" s="42" t="n"/>
      <c r="M110" s="42" t="n"/>
      <c r="N110" s="42" t="n"/>
      <c r="O110" s="42" t="n"/>
      <c r="P110" s="42" t="inlineStr">
        <is>
          <t>Calculated</t>
        </is>
      </c>
      <c r="Q110" s="42" t="inlineStr">
        <is>
          <t>Calculated from the register (December 2023), the transport bulletin (December 2023) and Stone et al. (2018)</t>
        </is>
      </c>
      <c r="R110" s="42" t="inlineStr"/>
      <c r="S110" s="42" t="inlineStr">
        <is>
          <t>The common factor is 2.08: diesel has gained share in every mixed class since 2010. Tractors and plant are taken as all diesel, an assumption.</t>
        </is>
      </c>
    </row>
    <row r="111" ht="42.5" customHeight="1">
      <c r="A111" s="42" t="inlineStr">
        <is>
          <t>Diesel share by class, estimated</t>
        </is>
      </c>
      <c r="B111" s="42" t="inlineStr">
        <is>
          <t>other self propelled</t>
        </is>
      </c>
      <c r="C111" s="42" t="inlineStr">
        <is>
          <t>%</t>
        </is>
      </c>
      <c r="D111" s="42" t="inlineStr">
        <is>
          <t>December 2023</t>
        </is>
      </c>
      <c r="E111" s="65" t="n">
        <v>100</v>
      </c>
      <c r="K111" s="42" t="n"/>
      <c r="L111" s="42" t="n"/>
      <c r="M111" s="42" t="n"/>
      <c r="N111" s="42" t="n"/>
      <c r="O111" s="42" t="n"/>
      <c r="P111" s="42" t="inlineStr">
        <is>
          <t>Calculated</t>
        </is>
      </c>
      <c r="Q111" s="42" t="inlineStr">
        <is>
          <t>Calculated from the register (December 2023), the transport bulletin (December 2023) and Stone et al. (2018)</t>
        </is>
      </c>
      <c r="R111" s="42" t="inlineStr"/>
      <c r="S111" s="42" t="inlineStr">
        <is>
          <t>The common factor is 2.08: diesel has gained share in every mixed class since 2010. Tractors and plant are taken as all diesel, an assumption.</t>
        </is>
      </c>
    </row>
    <row r="112" ht="29" customHeight="1">
      <c r="A112" s="38" t="inlineStr">
        <is>
          <t>Average age of vehicles</t>
        </is>
      </c>
      <c r="B112" s="38" t="inlineStr">
        <is>
          <t>All vehicles and passenger vehicles</t>
        </is>
      </c>
      <c r="C112" s="38" t="inlineStr">
        <is>
          <t>years</t>
        </is>
      </c>
      <c r="D112" s="38" t="inlineStr">
        <is>
          <t>2022</t>
        </is>
      </c>
      <c r="E112" s="47" t="n">
        <v>10.5</v>
      </c>
      <c r="K112" s="38" t="n"/>
      <c r="L112" s="38" t="n"/>
      <c r="M112" s="38" t="n"/>
      <c r="N112" s="38" t="n"/>
      <c r="O112" s="38" t="n"/>
      <c r="P112" s="38" t="inlineStr">
        <is>
          <t>From source</t>
        </is>
      </c>
      <c r="Q112" s="38" t="inlineStr">
        <is>
          <t>Lightstone Auto Insights, April 2022</t>
        </is>
      </c>
      <c r="R112" s="38" t="inlineStr"/>
      <c r="S112" s="38" t="inlineStr">
        <is>
          <t>Ten years and six months, up from nine years and four months for passenger vehicles in 2014 and 2015.</t>
        </is>
      </c>
    </row>
    <row r="113" ht="29" customHeight="1">
      <c r="A113" s="45" t="inlineStr">
        <is>
          <t>Vehicles by year of age</t>
        </is>
      </c>
      <c r="B113" s="45" t="inlineStr">
        <is>
          <t>South Africa</t>
        </is>
      </c>
      <c r="C113" s="45" t="inlineStr">
        <is>
          <t>vehicles</t>
        </is>
      </c>
      <c r="D113" s="45" t="inlineStr"/>
      <c r="E113" s="45" t="inlineStr">
        <is>
          <t>Not available</t>
        </is>
      </c>
      <c r="K113" s="45" t="n"/>
      <c r="L113" s="45" t="n"/>
      <c r="M113" s="45" t="n"/>
      <c r="N113" s="45" t="n"/>
      <c r="O113" s="45" t="n"/>
      <c r="P113" s="45" t="inlineStr">
        <is>
          <t>Not available</t>
        </is>
      </c>
      <c r="Q113" s="45" t="inlineStr">
        <is>
          <t>None published</t>
        </is>
      </c>
      <c r="R113" s="45" t="inlineStr"/>
      <c r="S113" s="45" t="inlineStr">
        <is>
          <t>Lightstone holds the age profile and sells it; the register does not publish it. Only apparent retirements can be calculated.</t>
        </is>
      </c>
    </row>
    <row r="115">
      <c r="A115" s="35" t="inlineStr">
        <is>
          <t>New vehicles and electric share</t>
        </is>
      </c>
      <c r="B115" s="35" t="n"/>
      <c r="C115" s="35" t="n"/>
      <c r="D115" s="35" t="n"/>
      <c r="E115" s="35" t="n"/>
      <c r="F115" s="35" t="n"/>
      <c r="G115" s="35" t="n"/>
      <c r="H115" s="35" t="n"/>
      <c r="I115" s="35" t="n"/>
      <c r="J115" s="35" t="n"/>
      <c r="K115" s="35" t="n"/>
      <c r="L115" s="35" t="n"/>
      <c r="M115" s="35" t="n"/>
      <c r="N115" s="35" t="n"/>
      <c r="O115" s="35" t="n"/>
      <c r="P115" s="35" t="n"/>
      <c r="Q115" s="35" t="n"/>
      <c r="R115" s="35" t="n"/>
      <c r="S115" s="35" t="n"/>
      <c r="T115" s="35" t="n"/>
    </row>
    <row r="116">
      <c r="A116" s="36" t="inlineStr">
        <is>
          <t>Item</t>
        </is>
      </c>
      <c r="B116" s="36" t="inlineStr">
        <is>
          <t>Covers</t>
        </is>
      </c>
      <c r="C116" s="36" t="inlineStr">
        <is>
          <t>Unit</t>
        </is>
      </c>
      <c r="D116" s="36" t="inlineStr">
        <is>
          <t>Basis</t>
        </is>
      </c>
      <c r="E116" s="37" t="n">
        <v>2026</v>
      </c>
      <c r="F116" s="37" t="n">
        <v>2027</v>
      </c>
      <c r="G116" s="37" t="n">
        <v>2028</v>
      </c>
      <c r="H116" s="37" t="n">
        <v>2029</v>
      </c>
      <c r="I116" s="37" t="n">
        <v>2030</v>
      </c>
      <c r="J116" s="37" t="n">
        <v>2031</v>
      </c>
      <c r="K116" s="37" t="n">
        <v>2032</v>
      </c>
      <c r="L116" s="37" t="n">
        <v>2033</v>
      </c>
      <c r="M116" s="37" t="n">
        <v>2034</v>
      </c>
      <c r="N116" s="37" t="n">
        <v>2035</v>
      </c>
      <c r="O116" s="36" t="n"/>
      <c r="P116" s="36" t="inlineStr">
        <is>
          <t>Status</t>
        </is>
      </c>
      <c r="Q116" s="36" t="inlineStr">
        <is>
          <t>Source</t>
        </is>
      </c>
      <c r="R116" s="36" t="inlineStr">
        <is>
          <t>Page</t>
        </is>
      </c>
      <c r="S116" s="36" t="inlineStr">
        <is>
          <t>Note</t>
        </is>
      </c>
    </row>
    <row r="117" ht="42.5" customHeight="1">
      <c r="A117" s="42" t="inlineStr">
        <is>
          <t>Electric share of new light commercial sales, forecast</t>
        </is>
      </c>
      <c r="B117" s="42" t="inlineStr">
        <is>
          <t>Low case</t>
        </is>
      </c>
      <c r="C117" s="42" t="inlineStr">
        <is>
          <t>%</t>
        </is>
      </c>
      <c r="D117" s="42" t="inlineStr">
        <is>
          <t>calendar years</t>
        </is>
      </c>
      <c r="E117" s="44" t="n">
        <v>0</v>
      </c>
      <c r="F117" s="44" t="n">
        <v>0</v>
      </c>
      <c r="G117" s="44" t="n">
        <v>0</v>
      </c>
      <c r="H117" s="44" t="n">
        <v>0</v>
      </c>
      <c r="I117" s="44" t="n">
        <v>0</v>
      </c>
      <c r="J117" s="44" t="n">
        <v>0</v>
      </c>
      <c r="K117" s="44" t="n">
        <v>0</v>
      </c>
      <c r="L117" s="44" t="n">
        <v>0</v>
      </c>
      <c r="M117" s="44" t="n">
        <v>0</v>
      </c>
      <c r="N117" s="44" t="n">
        <v>0</v>
      </c>
      <c r="O117" s="42" t="n"/>
      <c r="P117" s="42" t="inlineStr">
        <is>
          <t>Calculated</t>
        </is>
      </c>
      <c r="Q117" s="42" t="inlineStr">
        <is>
          <t>Analyst forecast from the lever cases</t>
        </is>
      </c>
      <c r="R117" s="42" t="inlineStr"/>
      <c r="S117" s="42" t="inlineStr">
        <is>
          <t>A forecast of ours, not a published one. The 2030 and 2035 shares are the three cases on the HML response sheet, set against benchmarks abroad; the path between them is a straight line from nil in 2025.</t>
        </is>
      </c>
    </row>
    <row r="118" ht="42.5" customHeight="1">
      <c r="A118" s="42" t="inlineStr">
        <is>
          <t>Electric share of new light commercial sales, forecast</t>
        </is>
      </c>
      <c r="B118" s="42" t="inlineStr">
        <is>
          <t>Medium case</t>
        </is>
      </c>
      <c r="C118" s="42" t="inlineStr">
        <is>
          <t>%</t>
        </is>
      </c>
      <c r="D118" s="42" t="inlineStr">
        <is>
          <t>calendar years</t>
        </is>
      </c>
      <c r="E118" s="44" t="n">
        <v>0.2</v>
      </c>
      <c r="F118" s="44" t="n">
        <v>0.4</v>
      </c>
      <c r="G118" s="44" t="n">
        <v>0.6</v>
      </c>
      <c r="H118" s="44" t="n">
        <v>0.8</v>
      </c>
      <c r="I118" s="44" t="n">
        <v>1</v>
      </c>
      <c r="J118" s="44" t="n">
        <v>1.8</v>
      </c>
      <c r="K118" s="44" t="n">
        <v>2.6</v>
      </c>
      <c r="L118" s="44" t="n">
        <v>3.4</v>
      </c>
      <c r="M118" s="44" t="n">
        <v>4.2</v>
      </c>
      <c r="N118" s="44" t="n">
        <v>5</v>
      </c>
      <c r="O118" s="42" t="n"/>
      <c r="P118" s="42" t="inlineStr">
        <is>
          <t>Calculated</t>
        </is>
      </c>
      <c r="Q118" s="42" t="inlineStr">
        <is>
          <t>Analyst forecast from the lever cases</t>
        </is>
      </c>
      <c r="R118" s="42" t="inlineStr"/>
      <c r="S118" s="42" t="inlineStr">
        <is>
          <t>A forecast of ours, not a published one. The 2030 and 2035 shares are the three cases on the HML response sheet, set against benchmarks abroad; the path between them is a straight line from nil in 2025.</t>
        </is>
      </c>
    </row>
    <row r="119" ht="42.5" customHeight="1">
      <c r="A119" s="42" t="inlineStr">
        <is>
          <t>Electric share of new light commercial sales, forecast</t>
        </is>
      </c>
      <c r="B119" s="42" t="inlineStr">
        <is>
          <t>High case</t>
        </is>
      </c>
      <c r="C119" s="42" t="inlineStr">
        <is>
          <t>%</t>
        </is>
      </c>
      <c r="D119" s="42" t="inlineStr">
        <is>
          <t>calendar years</t>
        </is>
      </c>
      <c r="E119" s="44" t="n">
        <v>1</v>
      </c>
      <c r="F119" s="44" t="n">
        <v>2</v>
      </c>
      <c r="G119" s="44" t="n">
        <v>3</v>
      </c>
      <c r="H119" s="44" t="n">
        <v>4</v>
      </c>
      <c r="I119" s="44" t="n">
        <v>5</v>
      </c>
      <c r="J119" s="44" t="n">
        <v>6</v>
      </c>
      <c r="K119" s="44" t="n">
        <v>7</v>
      </c>
      <c r="L119" s="44" t="n">
        <v>8</v>
      </c>
      <c r="M119" s="44" t="n">
        <v>9</v>
      </c>
      <c r="N119" s="44" t="n">
        <v>10</v>
      </c>
      <c r="O119" s="42" t="n"/>
      <c r="P119" s="42" t="inlineStr">
        <is>
          <t>Calculated</t>
        </is>
      </c>
      <c r="Q119" s="42" t="inlineStr">
        <is>
          <t>Analyst forecast from the lever cases</t>
        </is>
      </c>
      <c r="R119" s="42" t="inlineStr"/>
      <c r="S119" s="42" t="inlineStr">
        <is>
          <t>A forecast of ours, not a published one. The 2030 and 2035 shares are the three cases on the HML response sheet, set against benchmarks abroad; the path between them is a straight line from nil in 2025.</t>
        </is>
      </c>
    </row>
    <row r="120" ht="29" customHeight="1">
      <c r="A120" s="42" t="inlineStr">
        <is>
          <t>Electric light commercial vehicles on the road, forecast</t>
        </is>
      </c>
      <c r="B120" s="42" t="inlineStr">
        <is>
          <t>Low case</t>
        </is>
      </c>
      <c r="C120" s="42" t="inlineStr">
        <is>
          <t>vehicles</t>
        </is>
      </c>
      <c r="D120" s="42" t="inlineStr">
        <is>
          <t>calendar years</t>
        </is>
      </c>
      <c r="E120" s="46" t="n">
        <v>0</v>
      </c>
      <c r="F120" s="46" t="n">
        <v>0</v>
      </c>
      <c r="G120" s="46" t="n">
        <v>0</v>
      </c>
      <c r="H120" s="46" t="n">
        <v>0</v>
      </c>
      <c r="I120" s="46" t="n">
        <v>0</v>
      </c>
      <c r="J120" s="46" t="n">
        <v>0</v>
      </c>
      <c r="K120" s="46" t="n">
        <v>0</v>
      </c>
      <c r="L120" s="46" t="n">
        <v>0</v>
      </c>
      <c r="M120" s="46" t="n">
        <v>0</v>
      </c>
      <c r="N120" s="46" t="n">
        <v>0</v>
      </c>
      <c r="O120" s="42" t="n"/>
      <c r="P120" s="42" t="inlineStr">
        <is>
          <t>Calculated</t>
        </is>
      </c>
      <c r="Q120" s="42" t="inlineStr">
        <is>
          <t>Forecast share x naamsa's sales outlook, added up</t>
        </is>
      </c>
      <c r="R120" s="42" t="inlineStr"/>
      <c r="S120" s="42" t="inlineStr">
        <is>
          <t>0.0% of today's light commercial fleet by 2035. Sales after 2027 are held at naamsa's 2027 projection; no electric vehicle is scrapped.</t>
        </is>
      </c>
    </row>
    <row r="121" ht="29" customHeight="1">
      <c r="A121" s="42" t="inlineStr">
        <is>
          <t>Electric light commercial vehicles on the road, forecast</t>
        </is>
      </c>
      <c r="B121" s="42" t="inlineStr">
        <is>
          <t>Medium case</t>
        </is>
      </c>
      <c r="C121" s="42" t="inlineStr">
        <is>
          <t>vehicles</t>
        </is>
      </c>
      <c r="D121" s="42" t="inlineStr">
        <is>
          <t>calendar years</t>
        </is>
      </c>
      <c r="E121" s="46" t="n">
        <v>320</v>
      </c>
      <c r="F121" s="46" t="n">
        <v>1040</v>
      </c>
      <c r="G121" s="46" t="n">
        <v>2120</v>
      </c>
      <c r="H121" s="46" t="n">
        <v>3560</v>
      </c>
      <c r="I121" s="46" t="n">
        <v>5360</v>
      </c>
      <c r="J121" s="46" t="n">
        <v>8600</v>
      </c>
      <c r="K121" s="46" t="n">
        <v>13280</v>
      </c>
      <c r="L121" s="46" t="n">
        <v>19400</v>
      </c>
      <c r="M121" s="46" t="n">
        <v>26960</v>
      </c>
      <c r="N121" s="46" t="n">
        <v>35960</v>
      </c>
      <c r="O121" s="42" t="n"/>
      <c r="P121" s="42" t="inlineStr">
        <is>
          <t>Calculated</t>
        </is>
      </c>
      <c r="Q121" s="42" t="inlineStr">
        <is>
          <t>Forecast share x naamsa's sales outlook, added up</t>
        </is>
      </c>
      <c r="R121" s="42" t="inlineStr"/>
      <c r="S121" s="42" t="inlineStr">
        <is>
          <t>1.3% of today's light commercial fleet by 2035. Sales after 2027 are held at naamsa's 2027 projection; no electric vehicle is scrapped.</t>
        </is>
      </c>
    </row>
    <row r="122" ht="29" customHeight="1">
      <c r="A122" s="42" t="inlineStr">
        <is>
          <t>Electric light commercial vehicles on the road, forecast</t>
        </is>
      </c>
      <c r="B122" s="42" t="inlineStr">
        <is>
          <t>High case</t>
        </is>
      </c>
      <c r="C122" s="42" t="inlineStr">
        <is>
          <t>vehicles</t>
        </is>
      </c>
      <c r="D122" s="42" t="inlineStr">
        <is>
          <t>calendar years</t>
        </is>
      </c>
      <c r="E122" s="46" t="n">
        <v>1600</v>
      </c>
      <c r="F122" s="46" t="n">
        <v>5200</v>
      </c>
      <c r="G122" s="46" t="n">
        <v>10600</v>
      </c>
      <c r="H122" s="46" t="n">
        <v>17800</v>
      </c>
      <c r="I122" s="46" t="n">
        <v>26800</v>
      </c>
      <c r="J122" s="46" t="n">
        <v>37600</v>
      </c>
      <c r="K122" s="46" t="n">
        <v>50200</v>
      </c>
      <c r="L122" s="46" t="n">
        <v>64600</v>
      </c>
      <c r="M122" s="46" t="n">
        <v>80800</v>
      </c>
      <c r="N122" s="46" t="n">
        <v>98800</v>
      </c>
      <c r="O122" s="42" t="n"/>
      <c r="P122" s="42" t="inlineStr">
        <is>
          <t>Calculated</t>
        </is>
      </c>
      <c r="Q122" s="42" t="inlineStr">
        <is>
          <t>Forecast share x naamsa's sales outlook, added up</t>
        </is>
      </c>
      <c r="R122" s="42" t="inlineStr"/>
      <c r="S122" s="42" t="inlineStr">
        <is>
          <t>3.5% of today's light commercial fleet by 2035. Sales after 2027 are held at naamsa's 2027 projection; no electric vehicle is scrapped.</t>
        </is>
      </c>
    </row>
    <row r="123" ht="42.5" customHeight="1">
      <c r="A123" s="42" t="inlineStr">
        <is>
          <t>Petrol and diesel displaced by electric light commercial vehicles, forecast</t>
        </is>
      </c>
      <c r="B123" s="42" t="inlineStr">
        <is>
          <t>Low case</t>
        </is>
      </c>
      <c r="C123" s="42" t="inlineStr">
        <is>
          <t>million litres a year</t>
        </is>
      </c>
      <c r="D123" s="42" t="inlineStr">
        <is>
          <t>calendar years</t>
        </is>
      </c>
      <c r="E123" s="46" t="n">
        <v>0</v>
      </c>
      <c r="F123" s="46" t="n">
        <v>0</v>
      </c>
      <c r="G123" s="46" t="n">
        <v>0</v>
      </c>
      <c r="H123" s="46" t="n">
        <v>0</v>
      </c>
      <c r="I123" s="46" t="n">
        <v>0</v>
      </c>
      <c r="J123" s="46" t="n">
        <v>0</v>
      </c>
      <c r="K123" s="46" t="n">
        <v>0</v>
      </c>
      <c r="L123" s="46" t="n">
        <v>0</v>
      </c>
      <c r="M123" s="46" t="n">
        <v>0</v>
      </c>
      <c r="N123" s="46" t="n">
        <v>0</v>
      </c>
      <c r="O123" s="42" t="n"/>
      <c r="P123" s="42" t="inlineStr">
        <is>
          <t>Calculated</t>
        </is>
      </c>
      <c r="Q123" s="42" t="inlineStr">
        <is>
          <t>Electric vehicles on the road x a light commercial vehicle's yearly fuel use (Stone et al. 2018)</t>
        </is>
      </c>
      <c r="R123" s="42" t="inlineStr"/>
      <c r="S123" s="42" t="inlineStr">
        <is>
          <t>Each electric vehicle is taken to replace an average light commercial vehicle. Delivery vans drive more than average, so the true figure is higher.</t>
        </is>
      </c>
    </row>
    <row r="124" ht="42.5" customHeight="1">
      <c r="A124" s="42" t="inlineStr">
        <is>
          <t>Petrol and diesel displaced by electric light commercial vehicles, forecast</t>
        </is>
      </c>
      <c r="B124" s="42" t="inlineStr">
        <is>
          <t>Medium case</t>
        </is>
      </c>
      <c r="C124" s="42" t="inlineStr">
        <is>
          <t>million litres a year</t>
        </is>
      </c>
      <c r="D124" s="42" t="inlineStr">
        <is>
          <t>calendar years</t>
        </is>
      </c>
      <c r="E124" s="46" t="n">
        <v>1</v>
      </c>
      <c r="F124" s="46" t="n">
        <v>3</v>
      </c>
      <c r="G124" s="46" t="n">
        <v>6</v>
      </c>
      <c r="H124" s="46" t="n">
        <v>9</v>
      </c>
      <c r="I124" s="46" t="n">
        <v>14</v>
      </c>
      <c r="J124" s="46" t="n">
        <v>23</v>
      </c>
      <c r="K124" s="46" t="n">
        <v>35</v>
      </c>
      <c r="L124" s="46" t="n">
        <v>51</v>
      </c>
      <c r="M124" s="46" t="n">
        <v>71</v>
      </c>
      <c r="N124" s="46" t="n">
        <v>95</v>
      </c>
      <c r="O124" s="42" t="n"/>
      <c r="P124" s="42" t="inlineStr">
        <is>
          <t>Calculated</t>
        </is>
      </c>
      <c r="Q124" s="42" t="inlineStr">
        <is>
          <t>Electric vehicles on the road x a light commercial vehicle's yearly fuel use (Stone et al. 2018)</t>
        </is>
      </c>
      <c r="R124" s="42" t="inlineStr"/>
      <c r="S124" s="42" t="inlineStr">
        <is>
          <t>Each electric vehicle is taken to replace an average light commercial vehicle. Delivery vans drive more than average, so the true figure is higher.</t>
        </is>
      </c>
    </row>
    <row r="125" ht="42.5" customHeight="1">
      <c r="A125" s="42" t="inlineStr">
        <is>
          <t>Petrol and diesel displaced by electric light commercial vehicles, forecast</t>
        </is>
      </c>
      <c r="B125" s="42" t="inlineStr">
        <is>
          <t>High case</t>
        </is>
      </c>
      <c r="C125" s="42" t="inlineStr">
        <is>
          <t>million litres a year</t>
        </is>
      </c>
      <c r="D125" s="42" t="inlineStr">
        <is>
          <t>calendar years</t>
        </is>
      </c>
      <c r="E125" s="46" t="n">
        <v>4</v>
      </c>
      <c r="F125" s="46" t="n">
        <v>14</v>
      </c>
      <c r="G125" s="46" t="n">
        <v>28</v>
      </c>
      <c r="H125" s="46" t="n">
        <v>47</v>
      </c>
      <c r="I125" s="46" t="n">
        <v>71</v>
      </c>
      <c r="J125" s="46" t="n">
        <v>99</v>
      </c>
      <c r="K125" s="46" t="n">
        <v>132</v>
      </c>
      <c r="L125" s="46" t="n">
        <v>170</v>
      </c>
      <c r="M125" s="46" t="n">
        <v>213</v>
      </c>
      <c r="N125" s="46" t="n">
        <v>260</v>
      </c>
      <c r="O125" s="42" t="n"/>
      <c r="P125" s="42" t="inlineStr">
        <is>
          <t>Calculated</t>
        </is>
      </c>
      <c r="Q125" s="42" t="inlineStr">
        <is>
          <t>Electric vehicles on the road x a light commercial vehicle's yearly fuel use (Stone et al. 2018)</t>
        </is>
      </c>
      <c r="R125" s="42" t="inlineStr"/>
      <c r="S125" s="42" t="inlineStr">
        <is>
          <t>Each electric vehicle is taken to replace an average light commercial vehicle. Delivery vans drive more than average, so the true figure is higher.</t>
        </is>
      </c>
    </row>
    <row r="126">
      <c r="A126" s="36" t="inlineStr">
        <is>
          <t>Item</t>
        </is>
      </c>
      <c r="B126" s="36" t="inlineStr">
        <is>
          <t>Covers</t>
        </is>
      </c>
      <c r="C126" s="36" t="inlineStr">
        <is>
          <t>Unit</t>
        </is>
      </c>
      <c r="D126" s="36" t="inlineStr">
        <is>
          <t>Period</t>
        </is>
      </c>
      <c r="E126" s="36" t="inlineStr">
        <is>
          <t>Value</t>
        </is>
      </c>
      <c r="K126" s="36" t="n"/>
      <c r="L126" s="36" t="n"/>
      <c r="M126" s="36" t="n"/>
      <c r="N126" s="36" t="n"/>
      <c r="O126" s="36" t="n"/>
      <c r="P126" s="36" t="inlineStr">
        <is>
          <t>Status</t>
        </is>
      </c>
      <c r="Q126" s="36" t="inlineStr">
        <is>
          <t>Source</t>
        </is>
      </c>
      <c r="R126" s="36" t="inlineStr">
        <is>
          <t>Page</t>
        </is>
      </c>
      <c r="S126" s="36" t="inlineStr">
        <is>
          <t>Note</t>
        </is>
      </c>
    </row>
    <row r="127" ht="15.5" customHeight="1">
      <c r="A127" s="38" t="inlineStr">
        <is>
          <t>New vehicles sold, by segment</t>
        </is>
      </c>
      <c r="B127" s="38" t="inlineStr">
        <is>
          <t>cars</t>
        </is>
      </c>
      <c r="C127" s="38" t="inlineStr">
        <is>
          <t>vehicles</t>
        </is>
      </c>
      <c r="D127" s="38" t="inlineStr">
        <is>
          <t>2025</t>
        </is>
      </c>
      <c r="E127" s="41" t="n">
        <v>422463</v>
      </c>
      <c r="K127" s="38" t="n"/>
      <c r="L127" s="38" t="n"/>
      <c r="M127" s="38" t="n"/>
      <c r="N127" s="38" t="n"/>
      <c r="O127" s="38" t="n"/>
      <c r="P127" s="38" t="inlineStr">
        <is>
          <t>From source</t>
        </is>
      </c>
      <c r="Q127" s="38" t="inlineStr">
        <is>
          <t>naamsa, industry vehicle sales</t>
        </is>
      </c>
      <c r="R127" s="38" t="inlineStr"/>
      <c r="S127" s="38" t="inlineStr"/>
    </row>
    <row r="128" ht="15.5" customHeight="1">
      <c r="A128" s="38" t="inlineStr">
        <is>
          <t>New vehicles sold, by segment</t>
        </is>
      </c>
      <c r="B128" s="38" t="inlineStr">
        <is>
          <t>light commercial</t>
        </is>
      </c>
      <c r="C128" s="38" t="inlineStr">
        <is>
          <t>vehicles</t>
        </is>
      </c>
      <c r="D128" s="38" t="inlineStr">
        <is>
          <t>2025</t>
        </is>
      </c>
      <c r="E128" s="41" t="n">
        <v>143964</v>
      </c>
      <c r="K128" s="38" t="n"/>
      <c r="L128" s="38" t="n"/>
      <c r="M128" s="38" t="n"/>
      <c r="N128" s="38" t="n"/>
      <c r="O128" s="38" t="n"/>
      <c r="P128" s="38" t="inlineStr">
        <is>
          <t>From source</t>
        </is>
      </c>
      <c r="Q128" s="38" t="inlineStr">
        <is>
          <t>naamsa, industry vehicle sales</t>
        </is>
      </c>
      <c r="R128" s="38" t="inlineStr"/>
      <c r="S128" s="38" t="inlineStr"/>
    </row>
    <row r="129" ht="15.5" customHeight="1">
      <c r="A129" s="38" t="inlineStr">
        <is>
          <t>New vehicles sold, by segment</t>
        </is>
      </c>
      <c r="B129" s="38" t="inlineStr">
        <is>
          <t>medium and heavy commercial</t>
        </is>
      </c>
      <c r="C129" s="38" t="inlineStr">
        <is>
          <t>vehicles</t>
        </is>
      </c>
      <c r="D129" s="38" t="inlineStr">
        <is>
          <t>2025</t>
        </is>
      </c>
      <c r="E129" s="41" t="n">
        <v>30911</v>
      </c>
      <c r="K129" s="38" t="n"/>
      <c r="L129" s="38" t="n"/>
      <c r="M129" s="38" t="n"/>
      <c r="N129" s="38" t="n"/>
      <c r="O129" s="38" t="n"/>
      <c r="P129" s="38" t="inlineStr">
        <is>
          <t>From source</t>
        </is>
      </c>
      <c r="Q129" s="38" t="inlineStr">
        <is>
          <t>naamsa, industry vehicle sales</t>
        </is>
      </c>
      <c r="R129" s="38" t="inlineStr"/>
      <c r="S129" s="38" t="inlineStr"/>
    </row>
    <row r="130" ht="15.5" customHeight="1">
      <c r="A130" s="38" t="inlineStr">
        <is>
          <t>Electric and hybrid vehicles sold</t>
        </is>
      </c>
      <c r="B130" s="38" t="inlineStr">
        <is>
          <t>battery electric</t>
        </is>
      </c>
      <c r="C130" s="38" t="inlineStr">
        <is>
          <t>vehicles</t>
        </is>
      </c>
      <c r="D130" s="38" t="inlineStr">
        <is>
          <t>2025</t>
        </is>
      </c>
      <c r="E130" s="41" t="n">
        <v>1088</v>
      </c>
      <c r="K130" s="38" t="n"/>
      <c r="L130" s="38" t="n"/>
      <c r="M130" s="38" t="n"/>
      <c r="N130" s="38" t="n"/>
      <c r="O130" s="38" t="n"/>
      <c r="P130" s="38" t="inlineStr">
        <is>
          <t>From source</t>
        </is>
      </c>
      <c r="Q130" s="38" t="inlineStr">
        <is>
          <t>naamsa, new energy vehicle sales</t>
        </is>
      </c>
      <c r="R130" s="38" t="inlineStr"/>
      <c r="S130" s="38" t="inlineStr"/>
    </row>
    <row r="131" ht="15.5" customHeight="1">
      <c r="A131" s="38" t="inlineStr">
        <is>
          <t>Electric and hybrid vehicles sold</t>
        </is>
      </c>
      <c r="B131" s="38" t="inlineStr">
        <is>
          <t>plug-in hybrid</t>
        </is>
      </c>
      <c r="C131" s="38" t="inlineStr">
        <is>
          <t>vehicles</t>
        </is>
      </c>
      <c r="D131" s="38" t="inlineStr">
        <is>
          <t>2025</t>
        </is>
      </c>
      <c r="E131" s="41" t="n">
        <v>2810</v>
      </c>
      <c r="K131" s="38" t="n"/>
      <c r="L131" s="38" t="n"/>
      <c r="M131" s="38" t="n"/>
      <c r="N131" s="38" t="n"/>
      <c r="O131" s="38" t="n"/>
      <c r="P131" s="38" t="inlineStr">
        <is>
          <t>From source</t>
        </is>
      </c>
      <c r="Q131" s="38" t="inlineStr">
        <is>
          <t>naamsa, new energy vehicle sales</t>
        </is>
      </c>
      <c r="R131" s="38" t="inlineStr"/>
      <c r="S131" s="38" t="inlineStr"/>
    </row>
    <row r="132" ht="15.5" customHeight="1">
      <c r="A132" s="38" t="inlineStr">
        <is>
          <t>Electric and hybrid vehicles sold</t>
        </is>
      </c>
      <c r="B132" s="38" t="inlineStr">
        <is>
          <t>conventional hybrid</t>
        </is>
      </c>
      <c r="C132" s="38" t="inlineStr">
        <is>
          <t>vehicles</t>
        </is>
      </c>
      <c r="D132" s="38" t="inlineStr">
        <is>
          <t>2025</t>
        </is>
      </c>
      <c r="E132" s="41" t="n">
        <v>12818</v>
      </c>
      <c r="K132" s="38" t="n"/>
      <c r="L132" s="38" t="n"/>
      <c r="M132" s="38" t="n"/>
      <c r="N132" s="38" t="n"/>
      <c r="O132" s="38" t="n"/>
      <c r="P132" s="38" t="inlineStr">
        <is>
          <t>From source</t>
        </is>
      </c>
      <c r="Q132" s="38" t="inlineStr">
        <is>
          <t>naamsa, new energy vehicle sales</t>
        </is>
      </c>
      <c r="R132" s="38" t="inlineStr"/>
      <c r="S132" s="38" t="inlineStr"/>
    </row>
    <row r="133" ht="15.5" customHeight="1">
      <c r="A133" s="42" t="inlineStr">
        <is>
          <t>Share of new vehicles sold</t>
        </is>
      </c>
      <c r="B133" s="42" t="inlineStr">
        <is>
          <t>battery electric</t>
        </is>
      </c>
      <c r="C133" s="42" t="inlineStr">
        <is>
          <t>%</t>
        </is>
      </c>
      <c r="D133" s="42" t="inlineStr">
        <is>
          <t>2025</t>
        </is>
      </c>
      <c r="E133" s="43" t="n">
        <v>0.18</v>
      </c>
      <c r="K133" s="42" t="n"/>
      <c r="L133" s="42" t="n"/>
      <c r="M133" s="42" t="n"/>
      <c r="N133" s="42" t="n"/>
      <c r="O133" s="42" t="n"/>
      <c r="P133" s="42" t="inlineStr">
        <is>
          <t>Calculated</t>
        </is>
      </c>
      <c r="Q133" s="42" t="inlineStr">
        <is>
          <t>Calculated from the two naamsa series</t>
        </is>
      </c>
      <c r="R133" s="42" t="inlineStr"/>
      <c r="S133" s="42" t="inlineStr">
        <is>
          <t>Battery electric sales fell from 2024 to 2025.</t>
        </is>
      </c>
    </row>
    <row r="134" ht="15.5" customHeight="1">
      <c r="A134" s="42" t="inlineStr">
        <is>
          <t>Share of new vehicles sold</t>
        </is>
      </c>
      <c r="B134" s="42" t="inlineStr">
        <is>
          <t>plug-in hybrid</t>
        </is>
      </c>
      <c r="C134" s="42" t="inlineStr">
        <is>
          <t>%</t>
        </is>
      </c>
      <c r="D134" s="42" t="inlineStr">
        <is>
          <t>2025</t>
        </is>
      </c>
      <c r="E134" s="43" t="n">
        <v>0.47</v>
      </c>
      <c r="K134" s="42" t="n"/>
      <c r="L134" s="42" t="n"/>
      <c r="M134" s="42" t="n"/>
      <c r="N134" s="42" t="n"/>
      <c r="O134" s="42" t="n"/>
      <c r="P134" s="42" t="inlineStr">
        <is>
          <t>Calculated</t>
        </is>
      </c>
      <c r="Q134" s="42" t="inlineStr">
        <is>
          <t>Calculated from the two naamsa series</t>
        </is>
      </c>
      <c r="R134" s="42" t="inlineStr"/>
      <c r="S134" s="42" t="inlineStr">
        <is>
          <t>Battery electric sales fell from 2024 to 2025.</t>
        </is>
      </c>
    </row>
    <row r="135" ht="15.5" customHeight="1">
      <c r="A135" s="42" t="inlineStr">
        <is>
          <t>Share of new vehicles sold</t>
        </is>
      </c>
      <c r="B135" s="42" t="inlineStr">
        <is>
          <t>conventional hybrid</t>
        </is>
      </c>
      <c r="C135" s="42" t="inlineStr">
        <is>
          <t>%</t>
        </is>
      </c>
      <c r="D135" s="42" t="inlineStr">
        <is>
          <t>2025</t>
        </is>
      </c>
      <c r="E135" s="43" t="n">
        <v>2.15</v>
      </c>
      <c r="K135" s="42" t="n"/>
      <c r="L135" s="42" t="n"/>
      <c r="M135" s="42" t="n"/>
      <c r="N135" s="42" t="n"/>
      <c r="O135" s="42" t="n"/>
      <c r="P135" s="42" t="inlineStr">
        <is>
          <t>Calculated</t>
        </is>
      </c>
      <c r="Q135" s="42" t="inlineStr">
        <is>
          <t>Calculated from the two naamsa series</t>
        </is>
      </c>
      <c r="R135" s="42" t="inlineStr"/>
      <c r="S135" s="42" t="inlineStr">
        <is>
          <t>Battery electric sales fell from 2024 to 2025.</t>
        </is>
      </c>
    </row>
    <row r="136" ht="29" customHeight="1">
      <c r="A136" s="38" t="inlineStr">
        <is>
          <t>Diesel share of new light vehicles sold</t>
        </is>
      </c>
      <c r="B136" s="38" t="inlineStr">
        <is>
          <t>New light-duty vehicles</t>
        </is>
      </c>
      <c r="C136" s="38" t="inlineStr">
        <is>
          <t>%</t>
        </is>
      </c>
      <c r="D136" s="38" t="inlineStr">
        <is>
          <t>2019</t>
        </is>
      </c>
      <c r="E136" s="41" t="n">
        <v>35</v>
      </c>
      <c r="K136" s="38" t="n"/>
      <c r="L136" s="38" t="n"/>
      <c r="M136" s="38" t="n"/>
      <c r="N136" s="38" t="n"/>
      <c r="O136" s="38" t="n"/>
      <c r="P136" s="38" t="inlineStr">
        <is>
          <t>From source</t>
        </is>
      </c>
      <c r="Q136" s="38" t="inlineStr">
        <is>
          <t>IEA, Fuel economy in South Africa (Global Fuel Economy Initiative 2021)</t>
        </is>
      </c>
      <c r="R136" s="38" t="inlineStr"/>
      <c r="S136" s="38" t="inlineStr">
        <is>
          <t>No later figure found.</t>
        </is>
      </c>
    </row>
    <row r="137" ht="42.5" customHeight="1">
      <c r="A137" s="45" t="inlineStr">
        <is>
          <t>Electric trucks and electric light commercial vehicles sold</t>
        </is>
      </c>
      <c r="B137" s="45" t="inlineStr">
        <is>
          <t>South Africa</t>
        </is>
      </c>
      <c r="C137" s="45" t="inlineStr">
        <is>
          <t>vehicles</t>
        </is>
      </c>
      <c r="D137" s="45" t="inlineStr"/>
      <c r="E137" s="45" t="inlineStr">
        <is>
          <t>Not available</t>
        </is>
      </c>
      <c r="K137" s="45" t="n"/>
      <c r="L137" s="45" t="n"/>
      <c r="M137" s="45" t="n"/>
      <c r="N137" s="45" t="n"/>
      <c r="O137" s="45" t="n"/>
      <c r="P137" s="45" t="inlineStr">
        <is>
          <t>Not available</t>
        </is>
      </c>
      <c r="Q137" s="45" t="inlineStr">
        <is>
          <t>None published</t>
        </is>
      </c>
      <c r="R137" s="45" t="inlineStr"/>
      <c r="S137" s="45" t="inlineStr">
        <is>
          <t>naamsa reports electric sales by drivetrain, not by segment (checked its fourth-quarter 2025 review). Benchmarks from other countries are on the HML response sheet.</t>
        </is>
      </c>
    </row>
    <row r="139">
      <c r="A139" s="35" t="inlineStr">
        <is>
          <t>Vehicle efficiency and distance</t>
        </is>
      </c>
      <c r="B139" s="35" t="n"/>
      <c r="C139" s="35" t="n"/>
      <c r="D139" s="35" t="n"/>
      <c r="E139" s="35" t="n"/>
      <c r="F139" s="35" t="n"/>
      <c r="G139" s="35" t="n"/>
      <c r="H139" s="35" t="n"/>
      <c r="I139" s="35" t="n"/>
      <c r="J139" s="35" t="n"/>
      <c r="K139" s="35" t="n"/>
      <c r="L139" s="35" t="n"/>
      <c r="M139" s="35" t="n"/>
      <c r="N139" s="35" t="n"/>
      <c r="O139" s="35" t="n"/>
      <c r="P139" s="35" t="n"/>
      <c r="Q139" s="35" t="n"/>
      <c r="R139" s="35" t="n"/>
      <c r="S139" s="35" t="n"/>
      <c r="T139" s="35" t="n"/>
    </row>
    <row r="140">
      <c r="A140" s="36" t="inlineStr">
        <is>
          <t>Item</t>
        </is>
      </c>
      <c r="B140" s="36" t="inlineStr">
        <is>
          <t>Covers</t>
        </is>
      </c>
      <c r="C140" s="36" t="inlineStr">
        <is>
          <t>Unit</t>
        </is>
      </c>
      <c r="D140" s="36" t="inlineStr">
        <is>
          <t>Basis</t>
        </is>
      </c>
      <c r="E140" s="37" t="n">
        <v>2005</v>
      </c>
      <c r="F140" s="37" t="n">
        <v>2008</v>
      </c>
      <c r="G140" s="37" t="n">
        <v>2010</v>
      </c>
      <c r="H140" s="37" t="n">
        <v>2011</v>
      </c>
      <c r="I140" s="37" t="n">
        <v>2012</v>
      </c>
      <c r="J140" s="37" t="n">
        <v>2013</v>
      </c>
      <c r="K140" s="37" t="n">
        <v>2014</v>
      </c>
      <c r="L140" s="37" t="n">
        <v>2015</v>
      </c>
      <c r="M140" s="37" t="n">
        <v>2019</v>
      </c>
      <c r="N140" s="36" t="n"/>
      <c r="O140" s="36" t="n"/>
      <c r="P140" s="36" t="inlineStr">
        <is>
          <t>Status</t>
        </is>
      </c>
      <c r="Q140" s="36" t="inlineStr">
        <is>
          <t>Source</t>
        </is>
      </c>
      <c r="R140" s="36" t="inlineStr">
        <is>
          <t>Page</t>
        </is>
      </c>
      <c r="S140" s="36" t="inlineStr">
        <is>
          <t>Note</t>
        </is>
      </c>
    </row>
    <row r="141" ht="29" customHeight="1">
      <c r="A141" s="38" t="inlineStr">
        <is>
          <t>Fuel use of new light vehicles, by year</t>
        </is>
      </c>
      <c r="B141" s="38" t="inlineStr">
        <is>
          <t>New cars and light commercial vehicles</t>
        </is>
      </c>
      <c r="C141" s="38" t="inlineStr">
        <is>
          <t>litres of petrol equivalent per 100 km</t>
        </is>
      </c>
      <c r="D141" s="38" t="inlineStr">
        <is>
          <t>calendar years</t>
        </is>
      </c>
      <c r="E141" s="40" t="n">
        <v>8.800000000000001</v>
      </c>
      <c r="F141" s="40" t="n">
        <v>8.6</v>
      </c>
      <c r="G141" s="40" t="n">
        <v>8.6</v>
      </c>
      <c r="H141" s="40" t="n">
        <v>8.199999999999999</v>
      </c>
      <c r="I141" s="40" t="n">
        <v>7.9</v>
      </c>
      <c r="J141" s="40" t="n">
        <v>7.7</v>
      </c>
      <c r="K141" s="40" t="n">
        <v>7.8</v>
      </c>
      <c r="L141" s="40" t="n">
        <v>7.8</v>
      </c>
      <c r="M141" s="40" t="n">
        <v>7.4</v>
      </c>
      <c r="N141" s="38" t="n"/>
      <c r="O141" s="38" t="n"/>
      <c r="P141" s="38" t="inlineStr">
        <is>
          <t>From source</t>
        </is>
      </c>
      <c r="Q141" s="38" t="inlineStr">
        <is>
          <t>IEA and Global Fuel Economy Initiative (Working Paper 15, 2017; country page, 2021)</t>
        </is>
      </c>
      <c r="R141" s="38" t="inlineStr">
        <is>
          <t>PDF p.119</t>
        </is>
      </c>
      <c r="S141" s="38" t="inlineStr">
        <is>
          <t>Nothing after 2019 was found.</t>
        </is>
      </c>
    </row>
    <row r="142">
      <c r="A142" s="36" t="inlineStr">
        <is>
          <t>Item</t>
        </is>
      </c>
      <c r="B142" s="36" t="inlineStr">
        <is>
          <t>Covers</t>
        </is>
      </c>
      <c r="C142" s="36" t="inlineStr">
        <is>
          <t>Unit</t>
        </is>
      </c>
      <c r="D142" s="36" t="inlineStr">
        <is>
          <t>Period</t>
        </is>
      </c>
      <c r="E142" s="36" t="inlineStr">
        <is>
          <t>Value</t>
        </is>
      </c>
      <c r="K142" s="36" t="n"/>
      <c r="L142" s="36" t="n"/>
      <c r="M142" s="36" t="n"/>
      <c r="N142" s="36" t="n"/>
      <c r="O142" s="36" t="n"/>
      <c r="P142" s="36" t="inlineStr">
        <is>
          <t>Status</t>
        </is>
      </c>
      <c r="Q142" s="36" t="inlineStr">
        <is>
          <t>Source</t>
        </is>
      </c>
      <c r="R142" s="36" t="inlineStr">
        <is>
          <t>Page</t>
        </is>
      </c>
      <c r="S142" s="36" t="inlineStr">
        <is>
          <t>Note</t>
        </is>
      </c>
    </row>
    <row r="143" ht="29" customHeight="1">
      <c r="A143" s="38" t="inlineStr">
        <is>
          <t>Fuel use and distance, petrol cars</t>
        </is>
      </c>
      <c r="B143" s="38" t="inlineStr">
        <is>
          <t>fleet average</t>
        </is>
      </c>
      <c r="C143" s="38" t="inlineStr">
        <is>
          <t>litres per 100 km; km</t>
        </is>
      </c>
      <c r="D143" s="38" t="inlineStr">
        <is>
          <t>2010 fleet</t>
        </is>
      </c>
      <c r="E143" s="47" t="n">
        <v>8.199999999999999</v>
      </c>
      <c r="K143" s="38" t="n"/>
      <c r="L143" s="38" t="n"/>
      <c r="M143" s="38" t="n"/>
      <c r="N143" s="38" t="n"/>
      <c r="O143" s="38" t="n"/>
      <c r="P143" s="38" t="inlineStr">
        <is>
          <t>From source</t>
        </is>
      </c>
      <c r="Q143" s="38" t="inlineStr">
        <is>
          <t>Stone et al. (2018), vehicle parc model</t>
        </is>
      </c>
      <c r="R143" s="38" t="inlineStr"/>
      <c r="S143" s="38" t="inlineStr">
        <is>
          <t>One year only. All 24 vehicle types are in the file and on the Vehicle history sheet.</t>
        </is>
      </c>
    </row>
    <row r="144" ht="29" customHeight="1">
      <c r="A144" s="38" t="inlineStr">
        <is>
          <t>Fuel use and distance, petrol cars</t>
        </is>
      </c>
      <c r="B144" s="38" t="inlineStr">
        <is>
          <t>new</t>
        </is>
      </c>
      <c r="C144" s="38" t="inlineStr">
        <is>
          <t>litres per 100 km; km</t>
        </is>
      </c>
      <c r="D144" s="38" t="inlineStr">
        <is>
          <t>2010 fleet</t>
        </is>
      </c>
      <c r="E144" s="47" t="n">
        <v>7.8</v>
      </c>
      <c r="K144" s="38" t="n"/>
      <c r="L144" s="38" t="n"/>
      <c r="M144" s="38" t="n"/>
      <c r="N144" s="38" t="n"/>
      <c r="O144" s="38" t="n"/>
      <c r="P144" s="38" t="inlineStr">
        <is>
          <t>From source</t>
        </is>
      </c>
      <c r="Q144" s="38" t="inlineStr">
        <is>
          <t>Stone et al. (2018), vehicle parc model</t>
        </is>
      </c>
      <c r="R144" s="38" t="inlineStr"/>
      <c r="S144" s="38" t="inlineStr">
        <is>
          <t>One year only. All 24 vehicle types are in the file and on the Vehicle history sheet.</t>
        </is>
      </c>
    </row>
    <row r="145" ht="29" customHeight="1">
      <c r="A145" s="38" t="inlineStr">
        <is>
          <t>Fuel use and distance, petrol cars</t>
        </is>
      </c>
      <c r="B145" s="38" t="inlineStr">
        <is>
          <t>km a year</t>
        </is>
      </c>
      <c r="C145" s="38" t="inlineStr">
        <is>
          <t>litres per 100 km; km</t>
        </is>
      </c>
      <c r="D145" s="38" t="inlineStr">
        <is>
          <t>2010 fleet</t>
        </is>
      </c>
      <c r="E145" s="41" t="n">
        <v>14457</v>
      </c>
      <c r="K145" s="38" t="n"/>
      <c r="L145" s="38" t="n"/>
      <c r="M145" s="38" t="n"/>
      <c r="N145" s="38" t="n"/>
      <c r="O145" s="38" t="n"/>
      <c r="P145" s="38" t="inlineStr">
        <is>
          <t>From source</t>
        </is>
      </c>
      <c r="Q145" s="38" t="inlineStr">
        <is>
          <t>Stone et al. (2018), vehicle parc model</t>
        </is>
      </c>
      <c r="R145" s="38" t="inlineStr"/>
      <c r="S145" s="38" t="inlineStr">
        <is>
          <t>One year only. All 24 vehicle types are in the file and on the Vehicle history sheet.</t>
        </is>
      </c>
    </row>
    <row r="146" ht="29" customHeight="1">
      <c r="A146" s="38" t="inlineStr">
        <is>
          <t>Fuel use and distance, diesel cars</t>
        </is>
      </c>
      <c r="B146" s="38" t="inlineStr">
        <is>
          <t>fleet average</t>
        </is>
      </c>
      <c r="C146" s="38" t="inlineStr">
        <is>
          <t>litres per 100 km; km</t>
        </is>
      </c>
      <c r="D146" s="38" t="inlineStr">
        <is>
          <t>2010 fleet</t>
        </is>
      </c>
      <c r="E146" s="47" t="n">
        <v>8.1</v>
      </c>
      <c r="K146" s="38" t="n"/>
      <c r="L146" s="38" t="n"/>
      <c r="M146" s="38" t="n"/>
      <c r="N146" s="38" t="n"/>
      <c r="O146" s="38" t="n"/>
      <c r="P146" s="38" t="inlineStr">
        <is>
          <t>From source</t>
        </is>
      </c>
      <c r="Q146" s="38" t="inlineStr">
        <is>
          <t>Stone et al. (2018), vehicle parc model</t>
        </is>
      </c>
      <c r="R146" s="38" t="inlineStr"/>
      <c r="S146" s="38" t="inlineStr">
        <is>
          <t>One year only. All 24 vehicle types are in the file and on the Vehicle history sheet.</t>
        </is>
      </c>
    </row>
    <row r="147" ht="29" customHeight="1">
      <c r="A147" s="38" t="inlineStr">
        <is>
          <t>Fuel use and distance, diesel cars</t>
        </is>
      </c>
      <c r="B147" s="38" t="inlineStr">
        <is>
          <t>new</t>
        </is>
      </c>
      <c r="C147" s="38" t="inlineStr">
        <is>
          <t>litres per 100 km; km</t>
        </is>
      </c>
      <c r="D147" s="38" t="inlineStr">
        <is>
          <t>2010 fleet</t>
        </is>
      </c>
      <c r="E147" s="47" t="n">
        <v>7.4</v>
      </c>
      <c r="K147" s="38" t="n"/>
      <c r="L147" s="38" t="n"/>
      <c r="M147" s="38" t="n"/>
      <c r="N147" s="38" t="n"/>
      <c r="O147" s="38" t="n"/>
      <c r="P147" s="38" t="inlineStr">
        <is>
          <t>From source</t>
        </is>
      </c>
      <c r="Q147" s="38" t="inlineStr">
        <is>
          <t>Stone et al. (2018), vehicle parc model</t>
        </is>
      </c>
      <c r="R147" s="38" t="inlineStr"/>
      <c r="S147" s="38" t="inlineStr">
        <is>
          <t>One year only. All 24 vehicle types are in the file and on the Vehicle history sheet.</t>
        </is>
      </c>
    </row>
    <row r="148" ht="29" customHeight="1">
      <c r="A148" s="38" t="inlineStr">
        <is>
          <t>Fuel use and distance, diesel cars</t>
        </is>
      </c>
      <c r="B148" s="38" t="inlineStr">
        <is>
          <t>km a year</t>
        </is>
      </c>
      <c r="C148" s="38" t="inlineStr">
        <is>
          <t>litres per 100 km; km</t>
        </is>
      </c>
      <c r="D148" s="38" t="inlineStr">
        <is>
          <t>2010 fleet</t>
        </is>
      </c>
      <c r="E148" s="41" t="n">
        <v>16748</v>
      </c>
      <c r="K148" s="38" t="n"/>
      <c r="L148" s="38" t="n"/>
      <c r="M148" s="38" t="n"/>
      <c r="N148" s="38" t="n"/>
      <c r="O148" s="38" t="n"/>
      <c r="P148" s="38" t="inlineStr">
        <is>
          <t>From source</t>
        </is>
      </c>
      <c r="Q148" s="38" t="inlineStr">
        <is>
          <t>Stone et al. (2018), vehicle parc model</t>
        </is>
      </c>
      <c r="R148" s="38" t="inlineStr"/>
      <c r="S148" s="38" t="inlineStr">
        <is>
          <t>One year only. All 24 vehicle types are in the file and on the Vehicle history sheet.</t>
        </is>
      </c>
    </row>
    <row r="149" ht="29" customHeight="1">
      <c r="A149" s="38" t="inlineStr">
        <is>
          <t>Fuel use of new light vehicles: average change</t>
        </is>
      </c>
      <c r="B149" s="38" t="inlineStr">
        <is>
          <t>New light-duty vehicles</t>
        </is>
      </c>
      <c r="C149" s="38" t="inlineStr">
        <is>
          <t>% a year</t>
        </is>
      </c>
      <c r="D149" s="38" t="inlineStr">
        <is>
          <t>2005-2019</t>
        </is>
      </c>
      <c r="E149" s="47" t="n">
        <v>-1.3</v>
      </c>
      <c r="K149" s="38" t="n"/>
      <c r="L149" s="38" t="n"/>
      <c r="M149" s="38" t="n"/>
      <c r="N149" s="38" t="n"/>
      <c r="O149" s="38" t="n"/>
      <c r="P149" s="38" t="inlineStr">
        <is>
          <t>From source</t>
        </is>
      </c>
      <c r="Q149" s="38" t="inlineStr">
        <is>
          <t>IEA, Fuel economy in South Africa (Global Fuel Economy Initiative 2021)</t>
        </is>
      </c>
      <c r="R149" s="38" t="inlineStr"/>
      <c r="S149" s="38" t="inlineStr">
        <is>
          <t>The model assumes 0.5 to 1.5% a year, so the observed rate sits inside the model's range.</t>
        </is>
      </c>
    </row>
    <row r="150" ht="29" customHeight="1">
      <c r="A150" s="38" t="inlineStr">
        <is>
          <t>Fuel use of new passenger cars</t>
        </is>
      </c>
      <c r="B150" s="38" t="inlineStr">
        <is>
          <t>New passenger cars</t>
        </is>
      </c>
      <c r="C150" s="38" t="inlineStr">
        <is>
          <t>litres per 100 km</t>
        </is>
      </c>
      <c r="D150" s="38" t="inlineStr">
        <is>
          <t>2015</t>
        </is>
      </c>
      <c r="E150" s="47" t="n">
        <v>6.3</v>
      </c>
      <c r="K150" s="38" t="n"/>
      <c r="L150" s="38" t="n"/>
      <c r="M150" s="38" t="n"/>
      <c r="N150" s="38" t="n"/>
      <c r="O150" s="38" t="n"/>
      <c r="P150" s="38" t="inlineStr">
        <is>
          <t>From source</t>
        </is>
      </c>
      <c r="Q150" s="38" t="inlineStr">
        <is>
          <t>ICCT white paper, South Africa's new passenger vehicle CO2 emission standards (January 2018)</t>
        </is>
      </c>
      <c r="R150" s="38" t="inlineStr">
        <is>
          <t>PDF p.5</t>
        </is>
      </c>
      <c r="S150" s="38" t="inlineStr">
        <is>
          <t>148 g CO2 per km on the older European test cycle, which reads lower than the worldwide cycle. From naamsa data.</t>
        </is>
      </c>
    </row>
    <row r="151" ht="29" customHeight="1">
      <c r="A151" s="38" t="inlineStr">
        <is>
          <t>Fuel use of trucks, lightest to heaviest class</t>
        </is>
      </c>
      <c r="B151" s="38" t="inlineStr">
        <is>
          <t>Diesel trucks, class 1 of nine</t>
        </is>
      </c>
      <c r="C151" s="38" t="inlineStr">
        <is>
          <t>litres per 100 km, fleet average</t>
        </is>
      </c>
      <c r="D151" s="38" t="inlineStr">
        <is>
          <t>2010 fleet</t>
        </is>
      </c>
      <c r="E151" s="47" t="n">
        <v>17.3</v>
      </c>
      <c r="K151" s="38" t="n"/>
      <c r="L151" s="38" t="n"/>
      <c r="M151" s="38" t="n"/>
      <c r="N151" s="38" t="n"/>
      <c r="O151" s="38" t="n"/>
      <c r="P151" s="38" t="inlineStr">
        <is>
          <t>From source</t>
        </is>
      </c>
      <c r="Q151" s="38" t="inlineStr">
        <is>
          <t>Stone et al. (2018), vehicle parc model</t>
        </is>
      </c>
      <c r="R151" s="38" t="inlineStr"/>
      <c r="S151" s="38" t="inlineStr">
        <is>
          <t>One year only. Light commercial diesel vehicles use 12.4 and buses 32.6.</t>
        </is>
      </c>
    </row>
    <row r="152" ht="29" customHeight="1">
      <c r="A152" s="38" t="inlineStr">
        <is>
          <t>Fuel use of trucks, lightest to heaviest class</t>
        </is>
      </c>
      <c r="B152" s="38" t="inlineStr">
        <is>
          <t>Class 3</t>
        </is>
      </c>
      <c r="C152" s="38" t="inlineStr">
        <is>
          <t>litres per 100 km, fleet average</t>
        </is>
      </c>
      <c r="D152" s="38" t="inlineStr">
        <is>
          <t>2010 fleet</t>
        </is>
      </c>
      <c r="E152" s="47" t="n">
        <v>24.6</v>
      </c>
      <c r="K152" s="38" t="n"/>
      <c r="L152" s="38" t="n"/>
      <c r="M152" s="38" t="n"/>
      <c r="N152" s="38" t="n"/>
      <c r="O152" s="38" t="n"/>
      <c r="P152" s="38" t="inlineStr">
        <is>
          <t>From source</t>
        </is>
      </c>
      <c r="Q152" s="38" t="inlineStr">
        <is>
          <t>Stone et al. (2018), vehicle parc model</t>
        </is>
      </c>
      <c r="R152" s="38" t="inlineStr"/>
      <c r="S152" s="38" t="inlineStr">
        <is>
          <t>One year only. Light commercial diesel vehicles use 12.4 and buses 32.6.</t>
        </is>
      </c>
    </row>
    <row r="153" ht="29" customHeight="1">
      <c r="A153" s="38" t="inlineStr">
        <is>
          <t>Fuel use of trucks, lightest to heaviest class</t>
        </is>
      </c>
      <c r="B153" s="38" t="inlineStr">
        <is>
          <t>Class 6</t>
        </is>
      </c>
      <c r="C153" s="38" t="inlineStr">
        <is>
          <t>litres per 100 km, fleet average</t>
        </is>
      </c>
      <c r="D153" s="38" t="inlineStr">
        <is>
          <t>2010 fleet</t>
        </is>
      </c>
      <c r="E153" s="47" t="n">
        <v>44.9</v>
      </c>
      <c r="K153" s="38" t="n"/>
      <c r="L153" s="38" t="n"/>
      <c r="M153" s="38" t="n"/>
      <c r="N153" s="38" t="n"/>
      <c r="O153" s="38" t="n"/>
      <c r="P153" s="38" t="inlineStr">
        <is>
          <t>From source</t>
        </is>
      </c>
      <c r="Q153" s="38" t="inlineStr">
        <is>
          <t>Stone et al. (2018), vehicle parc model</t>
        </is>
      </c>
      <c r="R153" s="38" t="inlineStr"/>
      <c r="S153" s="38" t="inlineStr">
        <is>
          <t>One year only. Light commercial diesel vehicles use 12.4 and buses 32.6.</t>
        </is>
      </c>
    </row>
    <row r="154" ht="29" customHeight="1">
      <c r="A154" s="38" t="inlineStr">
        <is>
          <t>Fuel use of trucks, lightest to heaviest class</t>
        </is>
      </c>
      <c r="B154" s="38" t="inlineStr">
        <is>
          <t>Class 9</t>
        </is>
      </c>
      <c r="C154" s="38" t="inlineStr">
        <is>
          <t>litres per 100 km, fleet average</t>
        </is>
      </c>
      <c r="D154" s="38" t="inlineStr">
        <is>
          <t>2010 fleet</t>
        </is>
      </c>
      <c r="E154" s="47" t="n">
        <v>51.6</v>
      </c>
      <c r="K154" s="38" t="n"/>
      <c r="L154" s="38" t="n"/>
      <c r="M154" s="38" t="n"/>
      <c r="N154" s="38" t="n"/>
      <c r="O154" s="38" t="n"/>
      <c r="P154" s="38" t="inlineStr">
        <is>
          <t>From source</t>
        </is>
      </c>
      <c r="Q154" s="38" t="inlineStr">
        <is>
          <t>Stone et al. (2018), vehicle parc model</t>
        </is>
      </c>
      <c r="R154" s="38" t="inlineStr"/>
      <c r="S154" s="38" t="inlineStr">
        <is>
          <t>One year only. Light commercial diesel vehicles use 12.4 and buses 32.6.</t>
        </is>
      </c>
    </row>
    <row r="155" ht="29" customHeight="1">
      <c r="A155" s="38" t="inlineStr">
        <is>
          <t>Fuel use of new light vehicles: figure in use</t>
        </is>
      </c>
      <c r="B155" s="38" t="inlineStr">
        <is>
          <t>New cars and light commercial vehicles</t>
        </is>
      </c>
      <c r="C155" s="38" t="inlineStr">
        <is>
          <t>litres of petrol equivalent per 100 km</t>
        </is>
      </c>
      <c r="D155" s="38" t="inlineStr">
        <is>
          <t>2019, used for later years</t>
        </is>
      </c>
      <c r="E155" s="47" t="n">
        <v>7.4</v>
      </c>
      <c r="K155" s="38" t="n"/>
      <c r="L155" s="38" t="n"/>
      <c r="M155" s="38" t="n"/>
      <c r="N155" s="38" t="n"/>
      <c r="O155" s="38" t="n"/>
      <c r="P155" s="38" t="inlineStr">
        <is>
          <t>From source</t>
        </is>
      </c>
      <c r="Q155" s="38" t="inlineStr">
        <is>
          <t>IEA, Fuel economy in South Africa (Global Fuel Economy Initiative 2021)</t>
        </is>
      </c>
      <c r="R155" s="38" t="inlineStr"/>
      <c r="S155" s="38" t="inlineStr">
        <is>
          <t>The latest published figure. Used as it stands for the years after 2019 (Manish, 8 October).</t>
        </is>
      </c>
    </row>
    <row r="156" ht="29" customHeight="1">
      <c r="A156" s="45" t="inlineStr">
        <is>
          <t>Fuel use of trucks, by year</t>
        </is>
      </c>
      <c r="B156" s="45" t="inlineStr">
        <is>
          <t>South Africa</t>
        </is>
      </c>
      <c r="C156" s="45" t="inlineStr">
        <is>
          <t>litres per 100 km</t>
        </is>
      </c>
      <c r="D156" s="45" t="inlineStr"/>
      <c r="E156" s="45" t="inlineStr">
        <is>
          <t>Not available</t>
        </is>
      </c>
      <c r="K156" s="45" t="n"/>
      <c r="L156" s="45" t="n"/>
      <c r="M156" s="45" t="n"/>
      <c r="N156" s="45" t="n"/>
      <c r="O156" s="45" t="n"/>
      <c r="P156" s="45" t="inlineStr">
        <is>
          <t>Not available</t>
        </is>
      </c>
      <c r="Q156" s="45" t="inlineStr">
        <is>
          <t>None found</t>
        </is>
      </c>
      <c r="R156" s="45" t="inlineStr"/>
      <c r="S156" s="45" t="inlineStr">
        <is>
          <t>Only the 2010 fleet figures above exist. No truck series by year was found.</t>
        </is>
      </c>
    </row>
    <row r="157" ht="29" customHeight="1">
      <c r="A157" s="38" t="inlineStr">
        <is>
          <t>Efficiency gain assumed in the model</t>
        </is>
      </c>
      <c r="B157" s="38" t="inlineStr">
        <is>
          <t>New diesel vehicles, high demand case</t>
        </is>
      </c>
      <c r="C157" s="38" t="inlineStr">
        <is>
          <t>% a year</t>
        </is>
      </c>
      <c r="D157" s="38" t="inlineStr">
        <is>
          <t>2030</t>
        </is>
      </c>
      <c r="E157" s="47" t="n">
        <v>0.5</v>
      </c>
      <c r="K157" s="38" t="n"/>
      <c r="L157" s="38" t="n"/>
      <c r="M157" s="38" t="n"/>
      <c r="N157" s="38" t="n"/>
      <c r="O157" s="38" t="n"/>
      <c r="P157" s="38" t="inlineStr">
        <is>
          <t>From source</t>
        </is>
      </c>
      <c r="Q157" s="38" t="inlineStr">
        <is>
          <t>Reatile workbook (model input)</t>
        </is>
      </c>
      <c r="R157" s="38" t="inlineStr"/>
      <c r="S157" s="38" t="inlineStr">
        <is>
          <t>A model setting with no source behind it. Nothing was found to confirm or replace it.</t>
        </is>
      </c>
    </row>
    <row r="158" ht="29" customHeight="1">
      <c r="A158" s="38" t="inlineStr">
        <is>
          <t>Efficiency gain assumed in the model</t>
        </is>
      </c>
      <c r="B158" s="38" t="inlineStr">
        <is>
          <t>New diesel vehicles, low demand case</t>
        </is>
      </c>
      <c r="C158" s="38" t="inlineStr">
        <is>
          <t>% a year</t>
        </is>
      </c>
      <c r="D158" s="38" t="inlineStr">
        <is>
          <t>2030</t>
        </is>
      </c>
      <c r="E158" s="47" t="n">
        <v>1</v>
      </c>
      <c r="K158" s="38" t="n"/>
      <c r="L158" s="38" t="n"/>
      <c r="M158" s="38" t="n"/>
      <c r="N158" s="38" t="n"/>
      <c r="O158" s="38" t="n"/>
      <c r="P158" s="38" t="inlineStr">
        <is>
          <t>From source</t>
        </is>
      </c>
      <c r="Q158" s="38" t="inlineStr">
        <is>
          <t>Reatile workbook (model input)</t>
        </is>
      </c>
      <c r="R158" s="38" t="inlineStr"/>
      <c r="S158" s="38" t="inlineStr">
        <is>
          <t>A model setting with no source behind it. Nothing was found to confirm or replace it.</t>
        </is>
      </c>
    </row>
    <row r="159" ht="29" customHeight="1">
      <c r="A159" s="38" t="inlineStr">
        <is>
          <t>Efficiency gain assumed in the model</t>
        </is>
      </c>
      <c r="B159" s="38" t="inlineStr">
        <is>
          <t>New petrol vehicles, high demand case</t>
        </is>
      </c>
      <c r="C159" s="38" t="inlineStr">
        <is>
          <t>% a year</t>
        </is>
      </c>
      <c r="D159" s="38" t="inlineStr">
        <is>
          <t>2030</t>
        </is>
      </c>
      <c r="E159" s="47" t="n">
        <v>1</v>
      </c>
      <c r="K159" s="38" t="n"/>
      <c r="L159" s="38" t="n"/>
      <c r="M159" s="38" t="n"/>
      <c r="N159" s="38" t="n"/>
      <c r="O159" s="38" t="n"/>
      <c r="P159" s="38" t="inlineStr">
        <is>
          <t>From source</t>
        </is>
      </c>
      <c r="Q159" s="38" t="inlineStr">
        <is>
          <t>Reatile workbook (model input)</t>
        </is>
      </c>
      <c r="R159" s="38" t="inlineStr"/>
      <c r="S159" s="38" t="inlineStr">
        <is>
          <t>A model setting with no source behind it. Nothing was found to confirm or replace it.</t>
        </is>
      </c>
    </row>
    <row r="160" ht="29" customHeight="1">
      <c r="A160" s="38" t="inlineStr">
        <is>
          <t>Efficiency gain assumed in the model</t>
        </is>
      </c>
      <c r="B160" s="38" t="inlineStr">
        <is>
          <t>New petrol vehicles, low demand case</t>
        </is>
      </c>
      <c r="C160" s="38" t="inlineStr">
        <is>
          <t>% a year</t>
        </is>
      </c>
      <c r="D160" s="38" t="inlineStr">
        <is>
          <t>2030</t>
        </is>
      </c>
      <c r="E160" s="47" t="n">
        <v>1.5</v>
      </c>
      <c r="K160" s="38" t="n"/>
      <c r="L160" s="38" t="n"/>
      <c r="M160" s="38" t="n"/>
      <c r="N160" s="38" t="n"/>
      <c r="O160" s="38" t="n"/>
      <c r="P160" s="38" t="inlineStr">
        <is>
          <t>From source</t>
        </is>
      </c>
      <c r="Q160" s="38" t="inlineStr">
        <is>
          <t>Reatile workbook (model input)</t>
        </is>
      </c>
      <c r="R160" s="38" t="inlineStr"/>
      <c r="S160" s="38" t="inlineStr">
        <is>
          <t>A model setting with no source behind it. Nothing was found to confirm or replace it.</t>
        </is>
      </c>
    </row>
    <row r="162">
      <c r="A162" s="35" t="inlineStr">
        <is>
          <t>Freight and rail</t>
        </is>
      </c>
      <c r="B162" s="35" t="n"/>
      <c r="C162" s="35" t="n"/>
      <c r="D162" s="35" t="n"/>
      <c r="E162" s="35" t="n"/>
      <c r="F162" s="35" t="n"/>
      <c r="G162" s="35" t="n"/>
      <c r="H162" s="35" t="n"/>
      <c r="I162" s="35" t="n"/>
      <c r="J162" s="35" t="n"/>
      <c r="K162" s="35" t="n"/>
      <c r="L162" s="35" t="n"/>
      <c r="M162" s="35" t="n"/>
      <c r="N162" s="35" t="n"/>
      <c r="O162" s="35" t="n"/>
      <c r="P162" s="35" t="n"/>
      <c r="Q162" s="35" t="n"/>
      <c r="R162" s="35" t="n"/>
      <c r="S162" s="35" t="n"/>
      <c r="T162" s="35" t="n"/>
    </row>
    <row r="163">
      <c r="A163" s="36" t="inlineStr">
        <is>
          <t>Item</t>
        </is>
      </c>
      <c r="B163" s="36" t="inlineStr">
        <is>
          <t>Covers</t>
        </is>
      </c>
      <c r="C163" s="36" t="inlineStr">
        <is>
          <t>Unit</t>
        </is>
      </c>
      <c r="D163" s="36" t="inlineStr">
        <is>
          <t>Basis</t>
        </is>
      </c>
      <c r="E163" s="37" t="n">
        <v>2018</v>
      </c>
      <c r="F163" s="37" t="n">
        <v>2019</v>
      </c>
      <c r="G163" s="37" t="n">
        <v>2020</v>
      </c>
      <c r="H163" s="37" t="n">
        <v>2021</v>
      </c>
      <c r="I163" s="37" t="n">
        <v>2022</v>
      </c>
      <c r="J163" s="37" t="n">
        <v>2023</v>
      </c>
      <c r="K163" s="37" t="n">
        <v>2024</v>
      </c>
      <c r="L163" s="37" t="n">
        <v>2025</v>
      </c>
      <c r="M163" s="36" t="n"/>
      <c r="N163" s="36" t="n"/>
      <c r="O163" s="36" t="n"/>
      <c r="P163" s="36" t="inlineStr">
        <is>
          <t>Status</t>
        </is>
      </c>
      <c r="Q163" s="36" t="inlineStr">
        <is>
          <t>Source</t>
        </is>
      </c>
      <c r="R163" s="36" t="inlineStr">
        <is>
          <t>Page</t>
        </is>
      </c>
      <c r="S163" s="36" t="inlineStr">
        <is>
          <t>Note</t>
        </is>
      </c>
    </row>
    <row r="164" ht="29" customHeight="1">
      <c r="A164" s="38" t="inlineStr">
        <is>
          <t>Freight carried by road</t>
        </is>
      </c>
      <c r="B164" s="38" t="inlineStr">
        <is>
          <t>South Africa</t>
        </is>
      </c>
      <c r="C164" s="38" t="inlineStr">
        <is>
          <t>million tonnes</t>
        </is>
      </c>
      <c r="D164" s="38" t="inlineStr">
        <is>
          <t>calendar years</t>
        </is>
      </c>
      <c r="E164" s="38" t="n"/>
      <c r="F164" s="38" t="n"/>
      <c r="G164" s="38" t="n"/>
      <c r="H164" s="38" t="n"/>
      <c r="I164" s="38" t="n"/>
      <c r="J164" s="38" t="n"/>
      <c r="K164" s="39" t="n">
        <v>980</v>
      </c>
      <c r="L164" s="39" t="n">
        <v>976</v>
      </c>
      <c r="M164" s="38" t="n"/>
      <c r="N164" s="38" t="n"/>
      <c r="O164" s="38" t="n"/>
      <c r="P164" s="38" t="inlineStr">
        <is>
          <t>From source</t>
        </is>
      </c>
      <c r="Q164" s="38" t="inlineStr">
        <is>
          <t>Statistics South Africa, Land transport survey (P7162), December 2025</t>
        </is>
      </c>
      <c r="R164" s="38" t="inlineStr">
        <is>
          <t>PDF p.7</t>
        </is>
      </c>
      <c r="S164" s="38" t="inlineStr">
        <is>
          <t>Tonnes, not tonne-kilometres.</t>
        </is>
      </c>
    </row>
    <row r="165" ht="29" customHeight="1">
      <c r="A165" s="38" t="inlineStr">
        <is>
          <t>Freight carried by rail</t>
        </is>
      </c>
      <c r="B165" s="38" t="inlineStr">
        <is>
          <t>South Africa</t>
        </is>
      </c>
      <c r="C165" s="38" t="inlineStr">
        <is>
          <t>million tonnes</t>
        </is>
      </c>
      <c r="D165" s="38" t="inlineStr">
        <is>
          <t>calendar years</t>
        </is>
      </c>
      <c r="E165" s="38" t="n"/>
      <c r="F165" s="38" t="n"/>
      <c r="G165" s="38" t="n"/>
      <c r="H165" s="38" t="n"/>
      <c r="I165" s="38" t="n"/>
      <c r="J165" s="38" t="n"/>
      <c r="K165" s="39" t="n">
        <v>161</v>
      </c>
      <c r="L165" s="39" t="n">
        <v>168</v>
      </c>
      <c r="M165" s="38" t="n"/>
      <c r="N165" s="38" t="n"/>
      <c r="O165" s="38" t="n"/>
      <c r="P165" s="38" t="inlineStr">
        <is>
          <t>From source</t>
        </is>
      </c>
      <c r="Q165" s="38" t="inlineStr">
        <is>
          <t>Statistics South Africa, Land transport survey (P7162), December 2025</t>
        </is>
      </c>
      <c r="R165" s="38" t="inlineStr">
        <is>
          <t>PDF p.7</t>
        </is>
      </c>
      <c r="S165" s="38" t="inlineStr">
        <is>
          <t>Tonnes, not tonne-kilometres.</t>
        </is>
      </c>
    </row>
    <row r="166" ht="15.5" customHeight="1">
      <c r="A166" s="42" t="inlineStr">
        <is>
          <t>Rail's share of road and rail tonnes</t>
        </is>
      </c>
      <c r="B166" s="42" t="inlineStr">
        <is>
          <t>South Africa</t>
        </is>
      </c>
      <c r="C166" s="42" t="inlineStr">
        <is>
          <t>%</t>
        </is>
      </c>
      <c r="D166" s="42" t="inlineStr">
        <is>
          <t>calendar years</t>
        </is>
      </c>
      <c r="E166" s="42" t="n"/>
      <c r="F166" s="42" t="n"/>
      <c r="G166" s="42" t="n"/>
      <c r="H166" s="42" t="n"/>
      <c r="I166" s="42" t="n"/>
      <c r="J166" s="42" t="n"/>
      <c r="K166" s="44" t="n">
        <v>14.1</v>
      </c>
      <c r="L166" s="44" t="n">
        <v>14.7</v>
      </c>
      <c r="M166" s="42" t="n"/>
      <c r="N166" s="42" t="n"/>
      <c r="O166" s="42" t="n"/>
      <c r="P166" s="42" t="inlineStr">
        <is>
          <t>Calculated</t>
        </is>
      </c>
      <c r="Q166" s="42" t="inlineStr">
        <is>
          <t>Calculated from the survey</t>
        </is>
      </c>
      <c r="R166" s="42" t="inlineStr"/>
      <c r="S166" s="42" t="inlineStr"/>
    </row>
    <row r="167" ht="29" customHeight="1">
      <c r="A167" s="38" t="inlineStr">
        <is>
          <t>Freight carried by Transnet Freight Rail</t>
        </is>
      </c>
      <c r="B167" s="38" t="inlineStr">
        <is>
          <t>Transnet Freight Rail, all freight</t>
        </is>
      </c>
      <c r="C167" s="38" t="inlineStr">
        <is>
          <t>million tonnes</t>
        </is>
      </c>
      <c r="D167" s="38" t="inlineStr">
        <is>
          <t>years to March</t>
        </is>
      </c>
      <c r="E167" s="63" t="n">
        <v>226.3</v>
      </c>
      <c r="F167" s="63" t="n">
        <v>215.1</v>
      </c>
      <c r="G167" s="63" t="n">
        <v>212.4</v>
      </c>
      <c r="H167" s="63" t="n">
        <v>183.3</v>
      </c>
      <c r="I167" s="63" t="n">
        <v>173.1</v>
      </c>
      <c r="J167" s="63" t="n">
        <v>149.5</v>
      </c>
      <c r="K167" s="63" t="n">
        <v>151.7</v>
      </c>
      <c r="L167" s="63" t="n">
        <v>160.1</v>
      </c>
      <c r="M167" s="38" t="n"/>
      <c r="N167" s="38" t="n"/>
      <c r="O167" s="38" t="n"/>
      <c r="P167" s="38" t="inlineStr">
        <is>
          <t>From source</t>
        </is>
      </c>
      <c r="Q167" s="38" t="inlineStr">
        <is>
          <t>Transnet annual results 2025, presentation</t>
        </is>
      </c>
      <c r="R167" s="38" t="inlineStr">
        <is>
          <t>PDF p.14</t>
        </is>
      </c>
      <c r="S167" s="38" t="inlineStr">
        <is>
          <t>Fell by a third from 2018 to 2023 and has risen since. Export iron ore, export coal and general freight together.</t>
        </is>
      </c>
    </row>
    <row r="168" ht="15.5" customHeight="1">
      <c r="A168" s="38" t="inlineStr">
        <is>
          <t>Fuel used by Transnet, all divisions</t>
        </is>
      </c>
      <c r="B168" s="38" t="inlineStr">
        <is>
          <t>Transnet, all divisions</t>
        </is>
      </c>
      <c r="C168" s="38" t="inlineStr">
        <is>
          <t>million litres</t>
        </is>
      </c>
      <c r="D168" s="38" t="inlineStr">
        <is>
          <t>years to March</t>
        </is>
      </c>
      <c r="E168" s="38" t="n"/>
      <c r="F168" s="38" t="n"/>
      <c r="G168" s="38" t="n"/>
      <c r="H168" s="38" t="n"/>
      <c r="I168" s="38" t="n"/>
      <c r="J168" s="38" t="n"/>
      <c r="K168" s="39" t="n">
        <v>190</v>
      </c>
      <c r="L168" s="39" t="n">
        <v>199</v>
      </c>
      <c r="M168" s="38" t="n"/>
      <c r="N168" s="38" t="n"/>
      <c r="O168" s="38" t="n"/>
      <c r="P168" s="38" t="inlineStr">
        <is>
          <t>From source</t>
        </is>
      </c>
      <c r="Q168" s="38" t="inlineStr">
        <is>
          <t>Transnet Integrated Report 2025</t>
        </is>
      </c>
      <c r="R168" s="38" t="inlineStr">
        <is>
          <t>PDF p.73</t>
        </is>
      </c>
      <c r="S168" s="38" t="inlineStr">
        <is>
          <t>Up 4.37%, mainly an 8.49% rise in fuel for traction.</t>
        </is>
      </c>
    </row>
    <row r="169">
      <c r="A169" s="36" t="inlineStr">
        <is>
          <t>Item</t>
        </is>
      </c>
      <c r="B169" s="36" t="inlineStr">
        <is>
          <t>Covers</t>
        </is>
      </c>
      <c r="C169" s="36" t="inlineStr">
        <is>
          <t>Unit</t>
        </is>
      </c>
      <c r="D169" s="36" t="inlineStr">
        <is>
          <t>Period</t>
        </is>
      </c>
      <c r="E169" s="36" t="inlineStr">
        <is>
          <t>Value</t>
        </is>
      </c>
      <c r="K169" s="36" t="n"/>
      <c r="L169" s="36" t="n"/>
      <c r="M169" s="36" t="n"/>
      <c r="N169" s="36" t="n"/>
      <c r="O169" s="36" t="n"/>
      <c r="P169" s="36" t="inlineStr">
        <is>
          <t>Status</t>
        </is>
      </c>
      <c r="Q169" s="36" t="inlineStr">
        <is>
          <t>Source</t>
        </is>
      </c>
      <c r="R169" s="36" t="inlineStr">
        <is>
          <t>Page</t>
        </is>
      </c>
      <c r="S169" s="36" t="inlineStr">
        <is>
          <t>Note</t>
        </is>
      </c>
    </row>
    <row r="170" ht="29" customHeight="1">
      <c r="A170" s="38" t="inlineStr">
        <is>
          <t>Transnet's rail target</t>
        </is>
      </c>
      <c r="B170" s="38" t="inlineStr">
        <is>
          <t>Transnet</t>
        </is>
      </c>
      <c r="C170" s="38" t="inlineStr">
        <is>
          <t>million tonnes</t>
        </is>
      </c>
      <c r="D170" s="38" t="inlineStr">
        <is>
          <t>target</t>
        </is>
      </c>
      <c r="E170" s="41" t="n">
        <v>250</v>
      </c>
      <c r="K170" s="38" t="n"/>
      <c r="L170" s="38" t="n"/>
      <c r="M170" s="38" t="n"/>
      <c r="N170" s="38" t="n"/>
      <c r="O170" s="38" t="n"/>
      <c r="P170" s="38" t="inlineStr">
        <is>
          <t>From source</t>
        </is>
      </c>
      <c r="Q170" s="38" t="inlineStr">
        <is>
          <t>Transnet annual results 2025, presentation</t>
        </is>
      </c>
      <c r="R170" s="38" t="inlineStr">
        <is>
          <t>PDF p.36</t>
        </is>
      </c>
      <c r="S170" s="38" t="inlineStr">
        <is>
          <t>Transnet 'aims to grow its capacity to handle 250 million tons'. The slide gives no year; Nigel cited 2030.</t>
        </is>
      </c>
    </row>
    <row r="171" ht="29" customHeight="1">
      <c r="A171" s="42" t="inlineStr">
        <is>
          <t>Extra rail freight if the target is met</t>
        </is>
      </c>
      <c r="B171" s="42" t="inlineStr">
        <is>
          <t>Transnet Freight Rail</t>
        </is>
      </c>
      <c r="C171" s="42" t="inlineStr">
        <is>
          <t>million tonnes</t>
        </is>
      </c>
      <c r="D171" s="42" t="inlineStr">
        <is>
          <t>target less the year to March 2025</t>
        </is>
      </c>
      <c r="E171" s="64" t="n">
        <v>90</v>
      </c>
      <c r="K171" s="42" t="n"/>
      <c r="L171" s="42" t="n"/>
      <c r="M171" s="42" t="n"/>
      <c r="N171" s="42" t="n"/>
      <c r="O171" s="42" t="n"/>
      <c r="P171" s="42" t="inlineStr">
        <is>
          <t>Calculated</t>
        </is>
      </c>
      <c r="Q171" s="42" t="inlineStr">
        <is>
          <t>Calculated from the two rows above</t>
        </is>
      </c>
      <c r="R171" s="42" t="inlineStr"/>
      <c r="S171" s="42" t="inlineStr">
        <is>
          <t>About 9% of road freight tonnes. Not all of it would come from road.</t>
        </is>
      </c>
    </row>
    <row r="172" ht="29" customHeight="1">
      <c r="A172" s="38" t="inlineStr">
        <is>
          <t>Freight in tonne-kilometres</t>
        </is>
      </c>
      <c r="B172" s="38" t="inlineStr">
        <is>
          <t>All freight</t>
        </is>
      </c>
      <c r="C172" s="38" t="inlineStr">
        <is>
          <t>billion tonne-km</t>
        </is>
      </c>
      <c r="D172" s="38" t="inlineStr">
        <is>
          <t>2019</t>
        </is>
      </c>
      <c r="E172" s="41" t="n">
        <v>446</v>
      </c>
      <c r="K172" s="38" t="n"/>
      <c r="L172" s="38" t="n"/>
      <c r="M172" s="38" t="n"/>
      <c r="N172" s="38" t="n"/>
      <c r="O172" s="38" t="n"/>
      <c r="P172" s="38" t="inlineStr">
        <is>
          <t>From source</t>
        </is>
      </c>
      <c r="Q172" s="38" t="inlineStr">
        <is>
          <t>Havenga et al., A proposed freight and passenger road-to-rail strategy for South Africa (SA-TIED)</t>
        </is>
      </c>
      <c r="R172" s="38" t="inlineStr">
        <is>
          <t>PDF pp.17, 25</t>
        </is>
      </c>
      <c r="S172" s="38" t="inlineStr">
        <is>
          <t>Line haul 305, last mile 132, pipelines and conveyors 9.</t>
        </is>
      </c>
    </row>
    <row r="173" ht="29" customHeight="1">
      <c r="A173" s="38" t="inlineStr">
        <is>
          <t>Freight in tonne-kilometres</t>
        </is>
      </c>
      <c r="B173" s="38" t="inlineStr">
        <is>
          <t>rail-friendly freight</t>
        </is>
      </c>
      <c r="C173" s="38" t="inlineStr">
        <is>
          <t>billion tonne-km</t>
        </is>
      </c>
      <c r="D173" s="38" t="inlineStr">
        <is>
          <t>2019</t>
        </is>
      </c>
      <c r="E173" s="41" t="n">
        <v>181</v>
      </c>
      <c r="K173" s="38" t="n"/>
      <c r="L173" s="38" t="n"/>
      <c r="M173" s="38" t="n"/>
      <c r="N173" s="38" t="n"/>
      <c r="O173" s="38" t="n"/>
      <c r="P173" s="38" t="inlineStr">
        <is>
          <t>From source</t>
        </is>
      </c>
      <c r="Q173" s="38" t="inlineStr">
        <is>
          <t>Havenga et al., A proposed freight and passenger road-to-rail strategy for South Africa (SA-TIED)</t>
        </is>
      </c>
      <c r="R173" s="38" t="inlineStr">
        <is>
          <t>PDF pp.17, 25</t>
        </is>
      </c>
      <c r="S173" s="38" t="inlineStr">
        <is>
          <t>Line haul 305, last mile 132, pipelines and conveyors 9.</t>
        </is>
      </c>
    </row>
    <row r="174" ht="29" customHeight="1">
      <c r="A174" s="38" t="inlineStr">
        <is>
          <t>Freight in tonne-kilometres</t>
        </is>
      </c>
      <c r="B174" s="38" t="inlineStr">
        <is>
          <t>carried by rail</t>
        </is>
      </c>
      <c r="C174" s="38" t="inlineStr">
        <is>
          <t>billion tonne-km</t>
        </is>
      </c>
      <c r="D174" s="38" t="inlineStr">
        <is>
          <t>2019</t>
        </is>
      </c>
      <c r="E174" s="41" t="n">
        <v>141</v>
      </c>
      <c r="K174" s="38" t="n"/>
      <c r="L174" s="38" t="n"/>
      <c r="M174" s="38" t="n"/>
      <c r="N174" s="38" t="n"/>
      <c r="O174" s="38" t="n"/>
      <c r="P174" s="38" t="inlineStr">
        <is>
          <t>From source</t>
        </is>
      </c>
      <c r="Q174" s="38" t="inlineStr">
        <is>
          <t>Havenga et al., A proposed freight and passenger road-to-rail strategy for South Africa (SA-TIED)</t>
        </is>
      </c>
      <c r="R174" s="38" t="inlineStr">
        <is>
          <t>PDF pp.17, 25</t>
        </is>
      </c>
      <c r="S174" s="38" t="inlineStr">
        <is>
          <t>Line haul 305, last mile 132, pipelines and conveyors 9.</t>
        </is>
      </c>
    </row>
    <row r="175" ht="29" customHeight="1">
      <c r="A175" s="38" t="inlineStr">
        <is>
          <t>General freight that rail should carry but does not</t>
        </is>
      </c>
      <c r="B175" s="38" t="inlineStr">
        <is>
          <t>Rail-friendly general freight on road</t>
        </is>
      </c>
      <c r="C175" s="38" t="inlineStr">
        <is>
          <t>billion tonne-km</t>
        </is>
      </c>
      <c r="D175" s="38" t="inlineStr">
        <is>
          <t>2019</t>
        </is>
      </c>
      <c r="E175" s="41" t="n">
        <v>30</v>
      </c>
      <c r="K175" s="38" t="n"/>
      <c r="L175" s="38" t="n"/>
      <c r="M175" s="38" t="n"/>
      <c r="N175" s="38" t="n"/>
      <c r="O175" s="38" t="n"/>
      <c r="P175" s="38" t="inlineStr">
        <is>
          <t>From source</t>
        </is>
      </c>
      <c r="Q175" s="38" t="inlineStr">
        <is>
          <t>Havenga et al., A proposed freight and passenger road-to-rail strategy for South Africa (SA-TIED)</t>
        </is>
      </c>
      <c r="R175" s="38" t="inlineStr">
        <is>
          <t>PDF p.26</t>
        </is>
      </c>
      <c r="S175" s="38" t="inlineStr">
        <is>
          <t>As the source states it: rail should have carried 47 and carried 18. This is the freight that a road-to-rail shift would move.</t>
        </is>
      </c>
    </row>
    <row r="176" ht="29" customHeight="1">
      <c r="A176" s="45" t="inlineStr">
        <is>
          <t>Road freight in tonne-kilometres, by year</t>
        </is>
      </c>
      <c r="B176" s="45" t="inlineStr">
        <is>
          <t>South Africa</t>
        </is>
      </c>
      <c r="C176" s="45" t="inlineStr">
        <is>
          <t>billion tonne-km</t>
        </is>
      </c>
      <c r="D176" s="45" t="inlineStr"/>
      <c r="E176" s="45" t="inlineStr">
        <is>
          <t>Not available</t>
        </is>
      </c>
      <c r="K176" s="45" t="n"/>
      <c r="L176" s="45" t="n"/>
      <c r="M176" s="45" t="n"/>
      <c r="N176" s="45" t="n"/>
      <c r="O176" s="45" t="n"/>
      <c r="P176" s="45" t="inlineStr">
        <is>
          <t>Not available</t>
        </is>
      </c>
      <c r="Q176" s="45" t="inlineStr">
        <is>
          <t>None published as numbers</t>
        </is>
      </c>
      <c r="R176" s="45" t="inlineStr"/>
      <c r="S176" s="45" t="inlineStr">
        <is>
          <t>The research group that models it (GAIN, Stellenbosch) shows yearly charts but publishes figures for single years only.</t>
        </is>
      </c>
    </row>
    <row r="177" ht="42.5" customHeight="1">
      <c r="A177" s="42" t="inlineStr">
        <is>
          <t>Diesel used by rail locomotives</t>
        </is>
      </c>
      <c r="B177" s="42" t="inlineStr">
        <is>
          <t>Transnet Freight Rail</t>
        </is>
      </c>
      <c r="C177" s="42" t="inlineStr">
        <is>
          <t>million litres</t>
        </is>
      </c>
      <c r="D177" s="42" t="inlineStr">
        <is>
          <t>year to March 2025</t>
        </is>
      </c>
      <c r="E177" s="64" t="n">
        <v>138</v>
      </c>
      <c r="K177" s="42" t="n"/>
      <c r="L177" s="42" t="n"/>
      <c r="M177" s="42" t="n"/>
      <c r="N177" s="42" t="n"/>
      <c r="O177" s="42" t="n"/>
      <c r="P177" s="42" t="inlineStr">
        <is>
          <t>Calculated</t>
        </is>
      </c>
      <c r="Q177" s="42" t="inlineStr">
        <is>
          <t>199 million litres x 69.2% used for diesel traction (both from the Transnet report)</t>
        </is>
      </c>
      <c r="R177" s="42" t="inlineStr">
        <is>
          <t>PDF p.73</t>
        </is>
      </c>
      <c r="S177" s="42" t="inlineStr">
        <is>
          <t>About 1% of diesel sales. So freight moving to rail saves nearly all the road diesel it displaces. The rest is generators 13.8%, vehicle fleets 10.2%, marine diesel 6.7%, jet fuel 0.1%.</t>
        </is>
      </c>
    </row>
    <row r="179">
      <c r="A179" s="35" t="inlineStr">
        <is>
          <t>Sector activity</t>
        </is>
      </c>
      <c r="B179" s="35" t="n"/>
      <c r="C179" s="35" t="n"/>
      <c r="D179" s="35" t="n"/>
      <c r="E179" s="35" t="n"/>
      <c r="F179" s="35" t="n"/>
      <c r="G179" s="35" t="n"/>
      <c r="H179" s="35" t="n"/>
      <c r="I179" s="35" t="n"/>
      <c r="J179" s="35" t="n"/>
      <c r="K179" s="35" t="n"/>
      <c r="L179" s="35" t="n"/>
      <c r="M179" s="35" t="n"/>
      <c r="N179" s="35" t="n"/>
      <c r="O179" s="35" t="n"/>
      <c r="P179" s="35" t="n"/>
      <c r="Q179" s="35" t="n"/>
      <c r="R179" s="35" t="n"/>
      <c r="S179" s="35" t="n"/>
      <c r="T179" s="35" t="n"/>
    </row>
    <row r="180">
      <c r="A180" s="36" t="inlineStr">
        <is>
          <t>Item</t>
        </is>
      </c>
      <c r="B180" s="36" t="inlineStr">
        <is>
          <t>Covers</t>
        </is>
      </c>
      <c r="C180" s="36" t="inlineStr">
        <is>
          <t>Unit</t>
        </is>
      </c>
      <c r="D180" s="36" t="inlineStr">
        <is>
          <t>Period</t>
        </is>
      </c>
      <c r="E180" s="36" t="inlineStr">
        <is>
          <t>Value</t>
        </is>
      </c>
      <c r="K180" s="36" t="n"/>
      <c r="L180" s="36" t="n"/>
      <c r="M180" s="36" t="n"/>
      <c r="N180" s="36" t="n"/>
      <c r="O180" s="36" t="n"/>
      <c r="P180" s="36" t="inlineStr">
        <is>
          <t>Status</t>
        </is>
      </c>
      <c r="Q180" s="36" t="inlineStr">
        <is>
          <t>Source</t>
        </is>
      </c>
      <c r="R180" s="36" t="inlineStr">
        <is>
          <t>Page</t>
        </is>
      </c>
      <c r="S180" s="36" t="inlineStr">
        <is>
          <t>Note</t>
        </is>
      </c>
    </row>
    <row r="181" ht="29" customHeight="1">
      <c r="A181" s="38" t="inlineStr">
        <is>
          <t>Mining, manufacturing and agriculture: activity and diesel per unit</t>
        </is>
      </c>
      <c r="B181" s="38" t="inlineStr">
        <is>
          <t>South Africa</t>
        </is>
      </c>
      <c r="C181" s="38" t="inlineStr"/>
      <c r="D181" s="38" t="inlineStr">
        <is>
          <t>2014-2025</t>
        </is>
      </c>
      <c r="E181" s="38" t="inlineStr">
        <is>
          <t>On the DR01 sector activity sheet</t>
        </is>
      </c>
      <c r="K181" s="38" t="n"/>
      <c r="L181" s="38" t="n"/>
      <c r="M181" s="38" t="n"/>
      <c r="N181" s="38" t="n"/>
      <c r="O181" s="38" t="n"/>
      <c r="P181" s="38" t="inlineStr">
        <is>
          <t>From source</t>
        </is>
      </c>
      <c r="Q181" s="38" t="inlineStr">
        <is>
          <t>Statistics South Africa (P2041, P3041.2, P0441); department energy balances</t>
        </is>
      </c>
      <c r="R181" s="38" t="inlineStr"/>
      <c r="S181" s="38" t="inlineStr">
        <is>
          <t>Diesel by sector is observed to 2021 only, the last energy balance.</t>
        </is>
      </c>
    </row>
  </sheetData>
  <mergeCells count="141">
    <mergeCell ref="E19:J19"/>
    <mergeCell ref="E143:J143"/>
    <mergeCell ref="E28:J28"/>
    <mergeCell ref="E177:J177"/>
    <mergeCell ref="E60:J60"/>
    <mergeCell ref="E69:J69"/>
    <mergeCell ref="E149:J149"/>
    <mergeCell ref="E30:J30"/>
    <mergeCell ref="E59:J59"/>
    <mergeCell ref="E77:J77"/>
    <mergeCell ref="E133:J133"/>
    <mergeCell ref="E46:J46"/>
    <mergeCell ref="E169:J169"/>
    <mergeCell ref="E61:J61"/>
    <mergeCell ref="E32:J32"/>
    <mergeCell ref="E159:J159"/>
    <mergeCell ref="E97:J97"/>
    <mergeCell ref="E112:J112"/>
    <mergeCell ref="E109:J109"/>
    <mergeCell ref="E47:J47"/>
    <mergeCell ref="E96:J96"/>
    <mergeCell ref="E145:J145"/>
    <mergeCell ref="E71:J71"/>
    <mergeCell ref="E129:J129"/>
    <mergeCell ref="E111:J111"/>
    <mergeCell ref="E24:J24"/>
    <mergeCell ref="E142:J142"/>
    <mergeCell ref="E98:J98"/>
    <mergeCell ref="E181:J181"/>
    <mergeCell ref="E79:J79"/>
    <mergeCell ref="E131:J131"/>
    <mergeCell ref="E88:J88"/>
    <mergeCell ref="E51:J51"/>
    <mergeCell ref="E82:J82"/>
    <mergeCell ref="E171:J171"/>
    <mergeCell ref="E153:J153"/>
    <mergeCell ref="E180:J180"/>
    <mergeCell ref="E63:J63"/>
    <mergeCell ref="E155:J155"/>
    <mergeCell ref="E137:J137"/>
    <mergeCell ref="E173:J173"/>
    <mergeCell ref="E65:J65"/>
    <mergeCell ref="E34:J34"/>
    <mergeCell ref="E105:J105"/>
    <mergeCell ref="E99:J99"/>
    <mergeCell ref="E157:J157"/>
    <mergeCell ref="E49:J49"/>
    <mergeCell ref="E36:J36"/>
    <mergeCell ref="E45:J45"/>
    <mergeCell ref="E101:J101"/>
    <mergeCell ref="E113:J113"/>
    <mergeCell ref="E91:J91"/>
    <mergeCell ref="E100:J100"/>
    <mergeCell ref="E136:J136"/>
    <mergeCell ref="E22:J22"/>
    <mergeCell ref="E93:J93"/>
    <mergeCell ref="E37:J37"/>
    <mergeCell ref="E102:J102"/>
    <mergeCell ref="E21:J21"/>
    <mergeCell ref="E62:J62"/>
    <mergeCell ref="E14:J14"/>
    <mergeCell ref="E127:J127"/>
    <mergeCell ref="E48:J48"/>
    <mergeCell ref="E23:J23"/>
    <mergeCell ref="E64:J64"/>
    <mergeCell ref="E38:J38"/>
    <mergeCell ref="E147:J147"/>
    <mergeCell ref="E87:J87"/>
    <mergeCell ref="E156:J156"/>
    <mergeCell ref="E170:J170"/>
    <mergeCell ref="E128:J128"/>
    <mergeCell ref="E40:J40"/>
    <mergeCell ref="E90:J90"/>
    <mergeCell ref="E148:J148"/>
    <mergeCell ref="E104:J104"/>
    <mergeCell ref="E27:J27"/>
    <mergeCell ref="E110:J110"/>
    <mergeCell ref="E154:J154"/>
    <mergeCell ref="E76:J76"/>
    <mergeCell ref="E25:J25"/>
    <mergeCell ref="E85:J85"/>
    <mergeCell ref="E174:J174"/>
    <mergeCell ref="E66:J66"/>
    <mergeCell ref="E75:J75"/>
    <mergeCell ref="E18:J18"/>
    <mergeCell ref="E53:J53"/>
    <mergeCell ref="E146:J146"/>
    <mergeCell ref="E50:J50"/>
    <mergeCell ref="E130:J130"/>
    <mergeCell ref="E68:J68"/>
    <mergeCell ref="E151:J151"/>
    <mergeCell ref="E55:J55"/>
    <mergeCell ref="E160:J160"/>
    <mergeCell ref="E175:J175"/>
    <mergeCell ref="E52:J52"/>
    <mergeCell ref="E67:J67"/>
    <mergeCell ref="E92:J92"/>
    <mergeCell ref="E150:J150"/>
    <mergeCell ref="E39:J39"/>
    <mergeCell ref="E132:J132"/>
    <mergeCell ref="E107:J107"/>
    <mergeCell ref="E20:J20"/>
    <mergeCell ref="E29:J29"/>
    <mergeCell ref="E94:J94"/>
    <mergeCell ref="E103:J103"/>
    <mergeCell ref="E152:J152"/>
    <mergeCell ref="E13:J13"/>
    <mergeCell ref="E84:J84"/>
    <mergeCell ref="E78:J78"/>
    <mergeCell ref="E31:J31"/>
    <mergeCell ref="E176:J176"/>
    <mergeCell ref="E158:J158"/>
    <mergeCell ref="E15:J15"/>
    <mergeCell ref="E108:J108"/>
    <mergeCell ref="E86:J86"/>
    <mergeCell ref="E80:J80"/>
    <mergeCell ref="E95:J95"/>
    <mergeCell ref="E89:J89"/>
    <mergeCell ref="E70:J70"/>
    <mergeCell ref="E144:J144"/>
    <mergeCell ref="E26:J26"/>
    <mergeCell ref="E57:J57"/>
    <mergeCell ref="E54:J54"/>
    <mergeCell ref="E72:J72"/>
    <mergeCell ref="E41:J41"/>
    <mergeCell ref="E16:J16"/>
    <mergeCell ref="E81:J81"/>
    <mergeCell ref="E134:J134"/>
    <mergeCell ref="E172:J172"/>
    <mergeCell ref="E56:J56"/>
    <mergeCell ref="E43:J43"/>
    <mergeCell ref="E58:J58"/>
    <mergeCell ref="E106:J106"/>
    <mergeCell ref="E33:J33"/>
    <mergeCell ref="E42:J42"/>
    <mergeCell ref="E17:J17"/>
    <mergeCell ref="E126:J126"/>
    <mergeCell ref="E83:J83"/>
    <mergeCell ref="E135:J135"/>
    <mergeCell ref="E35:J35"/>
    <mergeCell ref="E44:J4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6" customWidth="1" min="2" max="2"/>
    <col width="16" customWidth="1" min="3" max="3"/>
    <col width="16" customWidth="1" min="4" max="4"/>
    <col width="16" customWidth="1" min="5" max="5"/>
    <col width="16" customWidth="1" min="6" max="6"/>
    <col width="16" customWidth="1" min="7" max="7"/>
    <col width="16" customWidth="1" min="8" max="8"/>
    <col width="14" customWidth="1" min="9" max="9"/>
    <col width="62" customWidth="1" min="10" max="10"/>
  </cols>
  <sheetData>
    <row r="1">
      <c r="A1" s="1" t="inlineStr">
        <is>
          <t>DR07 Registered vehicles by province and class, 2026-06</t>
        </is>
      </c>
    </row>
    <row r="2">
      <c r="A2" s="2" t="inlineStr">
        <is>
          <t>Vehicles on the register at month end, by class; then petrol and diesel vehicles by province at December 2023. Nothing published crosses fuel with class.</t>
        </is>
      </c>
    </row>
    <row r="4">
      <c r="A4" s="14" t="inlineStr">
        <is>
          <t>Province</t>
        </is>
      </c>
      <c r="B4" s="14" t="inlineStr">
        <is>
          <t>Cars</t>
        </is>
      </c>
      <c r="C4" s="14" t="inlineStr">
        <is>
          <t>Light commercial</t>
        </is>
      </c>
      <c r="D4" s="14" t="inlineStr">
        <is>
          <t>Trucks</t>
        </is>
      </c>
      <c r="E4" s="14" t="inlineStr">
        <is>
          <t>Buses</t>
        </is>
      </c>
      <c r="F4" s="14" t="inlineStr">
        <is>
          <t>Minibuses</t>
        </is>
      </c>
      <c r="G4" s="14" t="inlineStr">
        <is>
          <t>Motorcycles</t>
        </is>
      </c>
      <c r="H4" s="14" t="inlineStr">
        <is>
          <t>All self-propelled</t>
        </is>
      </c>
      <c r="I4" s="14" t="inlineStr">
        <is>
          <t>Share of all vehicles</t>
        </is>
      </c>
      <c r="J4" s="14" t="inlineStr">
        <is>
          <t>Source</t>
        </is>
      </c>
    </row>
    <row r="5">
      <c r="A5" s="49" t="inlineStr">
        <is>
          <t>Gauteng</t>
        </is>
      </c>
      <c r="B5" s="66" t="n">
        <v>3485272</v>
      </c>
      <c r="C5" s="66" t="n">
        <v>936521</v>
      </c>
      <c r="D5" s="66" t="n">
        <v>150862</v>
      </c>
      <c r="E5" s="66" t="n">
        <v>20937</v>
      </c>
      <c r="F5" s="66" t="n">
        <v>127451</v>
      </c>
      <c r="G5" s="66" t="n">
        <v>158810</v>
      </c>
      <c r="H5" s="66" t="n">
        <v>4919011</v>
      </c>
      <c r="I5" s="67">
        <f>H5/H$14</f>
        <v/>
      </c>
      <c r="J5" s="38" t="inlineStr">
        <is>
          <t>eNaTIS live vehicle population by class and province (vehicle_population_natis.csv)</t>
        </is>
      </c>
    </row>
    <row r="6">
      <c r="A6" s="49" t="inlineStr">
        <is>
          <t>KwaZulu-Natal</t>
        </is>
      </c>
      <c r="B6" s="66" t="n">
        <v>1171505</v>
      </c>
      <c r="C6" s="66" t="n">
        <v>411049</v>
      </c>
      <c r="D6" s="66" t="n">
        <v>59557</v>
      </c>
      <c r="E6" s="66" t="n">
        <v>8253</v>
      </c>
      <c r="F6" s="66" t="n">
        <v>61665</v>
      </c>
      <c r="G6" s="66" t="n">
        <v>39411</v>
      </c>
      <c r="H6" s="66" t="n">
        <v>1783517</v>
      </c>
      <c r="I6" s="67">
        <f>H6/H$14</f>
        <v/>
      </c>
      <c r="J6" s="38" t="inlineStr">
        <is>
          <t>eNaTIS live vehicle population by class and province (vehicle_population_natis.csv)</t>
        </is>
      </c>
    </row>
    <row r="7">
      <c r="A7" s="49" t="inlineStr">
        <is>
          <t>Western Cape</t>
        </is>
      </c>
      <c r="B7" s="66" t="n">
        <v>1448715</v>
      </c>
      <c r="C7" s="66" t="n">
        <v>371420</v>
      </c>
      <c r="D7" s="66" t="n">
        <v>50960</v>
      </c>
      <c r="E7" s="66" t="n">
        <v>7463</v>
      </c>
      <c r="F7" s="66" t="n">
        <v>41603</v>
      </c>
      <c r="G7" s="66" t="n">
        <v>96388</v>
      </c>
      <c r="H7" s="66" t="n">
        <v>2060254</v>
      </c>
      <c r="I7" s="67">
        <f>H7/H$14</f>
        <v/>
      </c>
      <c r="J7" s="38" t="inlineStr">
        <is>
          <t>eNaTIS live vehicle population by class and province (vehicle_population_natis.csv)</t>
        </is>
      </c>
    </row>
    <row r="8">
      <c r="A8" s="49" t="inlineStr">
        <is>
          <t>Eastern Cape</t>
        </is>
      </c>
      <c r="B8" s="66" t="n">
        <v>506193</v>
      </c>
      <c r="C8" s="66" t="n">
        <v>212296</v>
      </c>
      <c r="D8" s="66" t="n">
        <v>23146</v>
      </c>
      <c r="E8" s="66" t="n">
        <v>4894</v>
      </c>
      <c r="F8" s="66" t="n">
        <v>27406</v>
      </c>
      <c r="G8" s="66" t="n">
        <v>21876</v>
      </c>
      <c r="H8" s="66" t="n">
        <v>813557</v>
      </c>
      <c r="I8" s="67">
        <f>H8/H$14</f>
        <v/>
      </c>
      <c r="J8" s="38" t="inlineStr">
        <is>
          <t>eNaTIS live vehicle population by class and province (vehicle_population_natis.csv)</t>
        </is>
      </c>
    </row>
    <row r="9">
      <c r="A9" s="49" t="inlineStr">
        <is>
          <t>Mpumalanga</t>
        </is>
      </c>
      <c r="B9" s="66" t="n">
        <v>477358</v>
      </c>
      <c r="C9" s="66" t="n">
        <v>231790</v>
      </c>
      <c r="D9" s="66" t="n">
        <v>41125</v>
      </c>
      <c r="E9" s="66" t="n">
        <v>7812</v>
      </c>
      <c r="F9" s="66" t="n">
        <v>28469</v>
      </c>
      <c r="G9" s="66" t="n">
        <v>17205</v>
      </c>
      <c r="H9" s="66" t="n">
        <v>830714</v>
      </c>
      <c r="I9" s="67">
        <f>H9/H$14</f>
        <v/>
      </c>
      <c r="J9" s="38" t="inlineStr">
        <is>
          <t>eNaTIS live vehicle population by class and province (vehicle_population_natis.csv)</t>
        </is>
      </c>
    </row>
    <row r="10">
      <c r="A10" s="49" t="inlineStr">
        <is>
          <t>Limpopo</t>
        </is>
      </c>
      <c r="B10" s="66" t="n">
        <v>419050</v>
      </c>
      <c r="C10" s="66" t="n">
        <v>260224</v>
      </c>
      <c r="D10" s="66" t="n">
        <v>28357</v>
      </c>
      <c r="E10" s="66" t="n">
        <v>7774</v>
      </c>
      <c r="F10" s="66" t="n">
        <v>28651</v>
      </c>
      <c r="G10" s="66" t="n">
        <v>9060</v>
      </c>
      <c r="H10" s="66" t="n">
        <v>771478</v>
      </c>
      <c r="I10" s="67">
        <f>H10/H$14</f>
        <v/>
      </c>
      <c r="J10" s="38" t="inlineStr">
        <is>
          <t>eNaTIS live vehicle population by class and province (vehicle_population_natis.csv)</t>
        </is>
      </c>
    </row>
    <row r="11">
      <c r="A11" s="49" t="inlineStr">
        <is>
          <t>North West</t>
        </is>
      </c>
      <c r="B11" s="66" t="n">
        <v>365628</v>
      </c>
      <c r="C11" s="66" t="n">
        <v>168694</v>
      </c>
      <c r="D11" s="66" t="n">
        <v>18997</v>
      </c>
      <c r="E11" s="66" t="n">
        <v>4326</v>
      </c>
      <c r="F11" s="66" t="n">
        <v>22262</v>
      </c>
      <c r="G11" s="66" t="n">
        <v>13126</v>
      </c>
      <c r="H11" s="66" t="n">
        <v>614380</v>
      </c>
      <c r="I11" s="67">
        <f>H11/H$14</f>
        <v/>
      </c>
      <c r="J11" s="38" t="inlineStr">
        <is>
          <t>eNaTIS live vehicle population by class and province (vehicle_population_natis.csv)</t>
        </is>
      </c>
    </row>
    <row r="12">
      <c r="A12" s="49" t="inlineStr">
        <is>
          <t>Free State</t>
        </is>
      </c>
      <c r="B12" s="66" t="n">
        <v>328418</v>
      </c>
      <c r="C12" s="66" t="n">
        <v>138820</v>
      </c>
      <c r="D12" s="66" t="n">
        <v>26190</v>
      </c>
      <c r="E12" s="66" t="n">
        <v>3425</v>
      </c>
      <c r="F12" s="66" t="n">
        <v>12679</v>
      </c>
      <c r="G12" s="66" t="n">
        <v>16810</v>
      </c>
      <c r="H12" s="66" t="n">
        <v>561774</v>
      </c>
      <c r="I12" s="67">
        <f>H12/H$14</f>
        <v/>
      </c>
      <c r="J12" s="38" t="inlineStr">
        <is>
          <t>eNaTIS live vehicle population by class and province (vehicle_population_natis.csv)</t>
        </is>
      </c>
    </row>
    <row r="13">
      <c r="A13" s="49" t="inlineStr">
        <is>
          <t>Northern Cape</t>
        </is>
      </c>
      <c r="B13" s="66" t="n">
        <v>138453</v>
      </c>
      <c r="C13" s="66" t="n">
        <v>85733</v>
      </c>
      <c r="D13" s="66" t="n">
        <v>9855</v>
      </c>
      <c r="E13" s="66" t="n">
        <v>1988</v>
      </c>
      <c r="F13" s="66" t="n">
        <v>6811</v>
      </c>
      <c r="G13" s="66" t="n">
        <v>7123</v>
      </c>
      <c r="H13" s="66" t="n">
        <v>259795</v>
      </c>
      <c r="I13" s="67">
        <f>H13/H$14</f>
        <v/>
      </c>
      <c r="J13" s="38" t="inlineStr">
        <is>
          <t>eNaTIS live vehicle population by class and province (vehicle_population_natis.csv)</t>
        </is>
      </c>
    </row>
    <row r="14">
      <c r="A14" s="51" t="inlineStr">
        <is>
          <t>South Africa</t>
        </is>
      </c>
      <c r="B14" s="68">
        <f>SUM(B5:B13)</f>
        <v/>
      </c>
      <c r="C14" s="68">
        <f>SUM(C5:C13)</f>
        <v/>
      </c>
      <c r="D14" s="68">
        <f>SUM(D5:D13)</f>
        <v/>
      </c>
      <c r="E14" s="68">
        <f>SUM(E5:E13)</f>
        <v/>
      </c>
      <c r="F14" s="68">
        <f>SUM(F5:F13)</f>
        <v/>
      </c>
      <c r="G14" s="68">
        <f>SUM(G5:G13)</f>
        <v/>
      </c>
      <c r="H14" s="68">
        <f>SUM(H5:H13)</f>
        <v/>
      </c>
      <c r="I14" s="67">
        <f>H14/H$14</f>
        <v/>
      </c>
      <c r="J14" s="42" t="inlineStr">
        <is>
          <t>Sum of the nine provinces</t>
        </is>
      </c>
    </row>
    <row r="16">
      <c r="A16" s="48" t="inlineStr">
        <is>
          <t>Petrol and diesel vehicles by province, December 2023</t>
        </is>
      </c>
      <c r="B16" s="48" t="n"/>
      <c r="C16" s="48" t="n"/>
      <c r="D16" s="48" t="n"/>
      <c r="E16" s="48" t="n"/>
      <c r="F16" s="48" t="n"/>
      <c r="G16" s="48" t="n"/>
      <c r="H16" s="48" t="n"/>
      <c r="I16" s="48" t="n"/>
      <c r="J16" s="48" t="n"/>
    </row>
    <row r="17">
      <c r="A17" s="3" t="inlineStr">
        <is>
          <t>Province</t>
        </is>
      </c>
      <c r="B17" s="3" t="inlineStr">
        <is>
          <t>Petrol</t>
        </is>
      </c>
      <c r="C17" s="3" t="inlineStr">
        <is>
          <t>Diesel</t>
        </is>
      </c>
      <c r="D17" s="3" t="inlineStr">
        <is>
          <t>Petrol and diesel</t>
        </is>
      </c>
      <c r="E17" s="3" t="inlineStr">
        <is>
          <t>Diesel share</t>
        </is>
      </c>
      <c r="J17" s="3" t="inlineStr">
        <is>
          <t>Source</t>
        </is>
      </c>
    </row>
    <row r="18">
      <c r="A18" s="49" t="inlineStr">
        <is>
          <t>Gauteng</t>
        </is>
      </c>
      <c r="B18" s="66" t="n">
        <v>3466725</v>
      </c>
      <c r="C18" s="66" t="n">
        <v>1142275</v>
      </c>
      <c r="D18" s="68">
        <f>B18+C18</f>
        <v/>
      </c>
      <c r="E18" s="67">
        <f>C18/D18</f>
        <v/>
      </c>
      <c r="J18" s="38" t="inlineStr">
        <is>
          <t>Department of Transport, Transport Statistics Bulletin 2023, Table 2.8 (PDF p.40)</t>
        </is>
      </c>
    </row>
    <row r="19">
      <c r="A19" s="49" t="inlineStr">
        <is>
          <t>KwaZulu-Natal</t>
        </is>
      </c>
      <c r="B19" s="66" t="n">
        <v>1181017</v>
      </c>
      <c r="C19" s="66" t="n">
        <v>459888</v>
      </c>
      <c r="D19" s="68">
        <f>B19+C19</f>
        <v/>
      </c>
      <c r="E19" s="67">
        <f>C19/D19</f>
        <v/>
      </c>
      <c r="J19" s="38" t="inlineStr">
        <is>
          <t>Department of Transport, Transport Statistics Bulletin 2023, Table 2.8 (PDF p.40)</t>
        </is>
      </c>
    </row>
    <row r="20">
      <c r="A20" s="49" t="inlineStr">
        <is>
          <t>Western Cape</t>
        </is>
      </c>
      <c r="B20" s="66" t="n">
        <v>1426954</v>
      </c>
      <c r="C20" s="66" t="n">
        <v>507006</v>
      </c>
      <c r="D20" s="68">
        <f>B20+C20</f>
        <v/>
      </c>
      <c r="E20" s="67">
        <f>C20/D20</f>
        <v/>
      </c>
      <c r="J20" s="38" t="inlineStr">
        <is>
          <t>Department of Transport, Transport Statistics Bulletin 2023, Table 2.8 (PDF p.40)</t>
        </is>
      </c>
    </row>
    <row r="21">
      <c r="A21" s="49" t="inlineStr">
        <is>
          <t>Eastern Cape</t>
        </is>
      </c>
      <c r="B21" s="66" t="n">
        <v>550085</v>
      </c>
      <c r="C21" s="66" t="n">
        <v>233959</v>
      </c>
      <c r="D21" s="68">
        <f>B21+C21</f>
        <v/>
      </c>
      <c r="E21" s="67">
        <f>C21/D21</f>
        <v/>
      </c>
      <c r="J21" s="38" t="inlineStr">
        <is>
          <t>Department of Transport, Transport Statistics Bulletin 2023, Table 2.8 (PDF p.40)</t>
        </is>
      </c>
    </row>
    <row r="22">
      <c r="A22" s="49" t="inlineStr">
        <is>
          <t>Mpumalanga</t>
        </is>
      </c>
      <c r="B22" s="66" t="n">
        <v>529640</v>
      </c>
      <c r="C22" s="66" t="n">
        <v>281750</v>
      </c>
      <c r="D22" s="68">
        <f>B22+C22</f>
        <v/>
      </c>
      <c r="E22" s="67">
        <f>C22/D22</f>
        <v/>
      </c>
      <c r="J22" s="38" t="inlineStr">
        <is>
          <t>Department of Transport, Transport Statistics Bulletin 2023, Table 2.8 (PDF p.40)</t>
        </is>
      </c>
    </row>
    <row r="23">
      <c r="A23" s="49" t="inlineStr">
        <is>
          <t>Limpopo</t>
        </is>
      </c>
      <c r="B23" s="66" t="n">
        <v>482248</v>
      </c>
      <c r="C23" s="66" t="n">
        <v>240595</v>
      </c>
      <c r="D23" s="68">
        <f>B23+C23</f>
        <v/>
      </c>
      <c r="E23" s="67">
        <f>C23/D23</f>
        <v/>
      </c>
      <c r="J23" s="38" t="inlineStr">
        <is>
          <t>Department of Transport, Transport Statistics Bulletin 2023, Table 2.8 (PDF p.40)</t>
        </is>
      </c>
    </row>
    <row r="24">
      <c r="A24" s="49" t="inlineStr">
        <is>
          <t>North West</t>
        </is>
      </c>
      <c r="B24" s="66" t="n">
        <v>404398</v>
      </c>
      <c r="C24" s="66" t="n">
        <v>184614</v>
      </c>
      <c r="D24" s="68">
        <f>B24+C24</f>
        <v/>
      </c>
      <c r="E24" s="67">
        <f>C24/D24</f>
        <v/>
      </c>
      <c r="J24" s="38" t="inlineStr">
        <is>
          <t>Department of Transport, Transport Statistics Bulletin 2023, Table 2.8 (PDF p.40)</t>
        </is>
      </c>
    </row>
    <row r="25">
      <c r="A25" s="49" t="inlineStr">
        <is>
          <t>Free State</t>
        </is>
      </c>
      <c r="B25" s="66" t="n">
        <v>358000</v>
      </c>
      <c r="C25" s="66" t="n">
        <v>189266</v>
      </c>
      <c r="D25" s="68">
        <f>B25+C25</f>
        <v/>
      </c>
      <c r="E25" s="67">
        <f>C25/D25</f>
        <v/>
      </c>
      <c r="J25" s="38" t="inlineStr">
        <is>
          <t>Department of Transport, Transport Statistics Bulletin 2023, Table 2.8 (PDF p.40)</t>
        </is>
      </c>
    </row>
    <row r="26">
      <c r="A26" s="49" t="inlineStr">
        <is>
          <t>Northern Cape</t>
        </is>
      </c>
      <c r="B26" s="66" t="n">
        <v>156705</v>
      </c>
      <c r="C26" s="66" t="n">
        <v>96193</v>
      </c>
      <c r="D26" s="68">
        <f>B26+C26</f>
        <v/>
      </c>
      <c r="E26" s="67">
        <f>C26/D26</f>
        <v/>
      </c>
      <c r="J26" s="38" t="inlineStr">
        <is>
          <t>Department of Transport, Transport Statistics Bulletin 2023, Table 2.8 (PDF p.40)</t>
        </is>
      </c>
    </row>
    <row r="27">
      <c r="A27" s="51" t="inlineStr">
        <is>
          <t>South Africa</t>
        </is>
      </c>
      <c r="B27" s="68">
        <f>SUM(B18:B26)</f>
        <v/>
      </c>
      <c r="C27" s="68">
        <f>SUM(C18:C26)</f>
        <v/>
      </c>
      <c r="D27" s="68">
        <f>B27+C27</f>
        <v/>
      </c>
      <c r="E27" s="67">
        <f>C27/D27</f>
        <v/>
      </c>
      <c r="J27" s="42" t="inlineStr">
        <is>
          <t>Sum of the nine provinces; equals the bulletin's national totals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9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6" customWidth="1" min="1" max="1"/>
    <col width="30" customWidth="1" min="2" max="2"/>
    <col width="20" customWidth="1" min="3" max="3"/>
    <col width="16"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3" customWidth="1" min="16" max="16"/>
    <col width="46" customWidth="1" min="17" max="17"/>
    <col width="16" customWidth="1" min="18" max="18"/>
    <col width="62" customWidth="1" min="19" max="19"/>
  </cols>
  <sheetData>
    <row r="1">
      <c r="A1" s="1" t="inlineStr">
        <is>
          <t>DR08 Refinery supply</t>
        </is>
      </c>
    </row>
    <row r="2">
      <c r="A2" s="2" t="inlineStr">
        <is>
          <t>43 facts from sources (blue), 19 calculated (white), 2 not available (yellow). Petrol and diesel only. Figures reported for several years are set out one column a year; every row names its source.</t>
        </is>
      </c>
    </row>
    <row r="5">
      <c r="A5" s="35" t="inlineStr">
        <is>
          <t>Capacity</t>
        </is>
      </c>
      <c r="B5" s="35" t="n"/>
      <c r="C5" s="35" t="n"/>
      <c r="D5" s="35" t="n"/>
      <c r="E5" s="35" t="n"/>
      <c r="F5" s="35" t="n"/>
      <c r="G5" s="35" t="n"/>
      <c r="H5" s="35" t="n"/>
      <c r="I5" s="35" t="n"/>
      <c r="J5" s="35" t="n"/>
      <c r="K5" s="35" t="n"/>
      <c r="L5" s="35" t="n"/>
      <c r="M5" s="35" t="n"/>
      <c r="N5" s="35" t="n"/>
      <c r="O5" s="35" t="n"/>
      <c r="P5" s="35" t="n"/>
      <c r="Q5" s="35" t="n"/>
      <c r="R5" s="35" t="n"/>
      <c r="S5" s="35" t="n"/>
      <c r="T5" s="35" t="n"/>
    </row>
    <row r="6">
      <c r="A6" s="36" t="inlineStr">
        <is>
          <t>Item</t>
        </is>
      </c>
      <c r="B6" s="36" t="inlineStr">
        <is>
          <t>Plant</t>
        </is>
      </c>
      <c r="C6" s="36" t="inlineStr">
        <is>
          <t>Unit</t>
        </is>
      </c>
      <c r="D6" s="36" t="inlineStr">
        <is>
          <t>Period</t>
        </is>
      </c>
      <c r="E6" s="36" t="inlineStr">
        <is>
          <t>Value</t>
        </is>
      </c>
      <c r="K6" s="36" t="n"/>
      <c r="L6" s="36" t="n"/>
      <c r="M6" s="36" t="n"/>
      <c r="N6" s="36" t="n"/>
      <c r="O6" s="36" t="n"/>
      <c r="P6" s="36" t="inlineStr">
        <is>
          <t>Status</t>
        </is>
      </c>
      <c r="Q6" s="36" t="inlineStr">
        <is>
          <t>Source</t>
        </is>
      </c>
      <c r="R6" s="36" t="inlineStr">
        <is>
          <t>Page</t>
        </is>
      </c>
      <c r="S6" s="36" t="inlineStr">
        <is>
          <t>Note</t>
        </is>
      </c>
    </row>
    <row r="7" ht="29" customHeight="1">
      <c r="A7" s="38" t="inlineStr">
        <is>
          <t>Published capacity</t>
        </is>
      </c>
      <c r="B7" s="38" t="inlineStr">
        <is>
          <t>Secunda</t>
        </is>
      </c>
      <c r="C7" s="38" t="inlineStr">
        <is>
          <t>barrels a day</t>
        </is>
      </c>
      <c r="D7" s="38" t="inlineStr">
        <is>
          <t>as published in 2023</t>
        </is>
      </c>
      <c r="E7" s="41" t="n">
        <v>150000</v>
      </c>
      <c r="K7" s="38" t="n"/>
      <c r="L7" s="38" t="n"/>
      <c r="M7" s="38" t="n"/>
      <c r="N7" s="38" t="n"/>
      <c r="O7" s="38" t="n"/>
      <c r="P7" s="38" t="inlineStr">
        <is>
          <t>From source</t>
        </is>
      </c>
      <c r="Q7" s="38" t="inlineStr">
        <is>
          <t>Department of Mineral Resources and Energy, South African Energy Sector Report 2023, Table 1</t>
        </is>
      </c>
      <c r="R7" s="38" t="inlineStr">
        <is>
          <t>PDF p.17</t>
        </is>
      </c>
      <c r="S7" s="38" t="inlineStr">
        <is>
          <t>Coal to liquids. The department's table names the industry association (SAPIA, now FIASA) as its source. Crude equivalent.</t>
        </is>
      </c>
    </row>
    <row r="8" ht="42.5" customHeight="1">
      <c r="A8" s="38" t="inlineStr">
        <is>
          <t>Published capacity</t>
        </is>
      </c>
      <c r="B8" s="38" t="inlineStr">
        <is>
          <t>Natref</t>
        </is>
      </c>
      <c r="C8" s="38" t="inlineStr">
        <is>
          <t>barrels a day</t>
        </is>
      </c>
      <c r="D8" s="38" t="inlineStr">
        <is>
          <t>as published in 2023</t>
        </is>
      </c>
      <c r="E8" s="41" t="n">
        <v>108000</v>
      </c>
      <c r="K8" s="38" t="n"/>
      <c r="L8" s="38" t="n"/>
      <c r="M8" s="38" t="n"/>
      <c r="N8" s="38" t="n"/>
      <c r="O8" s="38" t="n"/>
      <c r="P8" s="38" t="inlineStr">
        <is>
          <t>From source</t>
        </is>
      </c>
      <c r="Q8" s="38" t="inlineStr">
        <is>
          <t>Department of Mineral Resources and Energy, South African Energy Sector Report 2023, Table 1</t>
        </is>
      </c>
      <c r="R8" s="38" t="inlineStr">
        <is>
          <t>PDF p.17</t>
        </is>
      </c>
      <c r="S8" s="38" t="inlineStr">
        <is>
          <t>Crude oil. Sasol 64%, TotalEnergies 36%. The department's table names the industry association (SAPIA, now FIASA) as its source. Crude equivalent.</t>
        </is>
      </c>
    </row>
    <row r="9" ht="29" customHeight="1">
      <c r="A9" s="38" t="inlineStr">
        <is>
          <t>Published capacity</t>
        </is>
      </c>
      <c r="B9" s="38" t="inlineStr">
        <is>
          <t>Astron Energy</t>
        </is>
      </c>
      <c r="C9" s="38" t="inlineStr">
        <is>
          <t>barrels a day</t>
        </is>
      </c>
      <c r="D9" s="38" t="inlineStr">
        <is>
          <t>as published in 2023</t>
        </is>
      </c>
      <c r="E9" s="41" t="n">
        <v>100000</v>
      </c>
      <c r="K9" s="38" t="n"/>
      <c r="L9" s="38" t="n"/>
      <c r="M9" s="38" t="n"/>
      <c r="N9" s="38" t="n"/>
      <c r="O9" s="38" t="n"/>
      <c r="P9" s="38" t="inlineStr">
        <is>
          <t>From source</t>
        </is>
      </c>
      <c r="Q9" s="38" t="inlineStr">
        <is>
          <t>Department of Mineral Resources and Energy, South African Energy Sector Report 2023, Table 1</t>
        </is>
      </c>
      <c r="R9" s="38" t="inlineStr">
        <is>
          <t>PDF p.17</t>
        </is>
      </c>
      <c r="S9" s="38" t="inlineStr">
        <is>
          <t>Crude oil, Cape Town. The department's table names the industry association (SAPIA, now FIASA) as its source. Crude equivalent.</t>
        </is>
      </c>
    </row>
    <row r="10" ht="42.5" customHeight="1">
      <c r="A10" s="38" t="inlineStr">
        <is>
          <t>Published capacity</t>
        </is>
      </c>
      <c r="B10" s="38" t="inlineStr">
        <is>
          <t>Sapref</t>
        </is>
      </c>
      <c r="C10" s="38" t="inlineStr">
        <is>
          <t>barrels a day</t>
        </is>
      </c>
      <c r="D10" s="38" t="inlineStr">
        <is>
          <t>as published in 2023</t>
        </is>
      </c>
      <c r="E10" s="41" t="n">
        <v>180000</v>
      </c>
      <c r="K10" s="38" t="n"/>
      <c r="L10" s="38" t="n"/>
      <c r="M10" s="38" t="n"/>
      <c r="N10" s="38" t="n"/>
      <c r="O10" s="38" t="n"/>
      <c r="P10" s="38" t="inlineStr">
        <is>
          <t>From source</t>
        </is>
      </c>
      <c r="Q10" s="38" t="inlineStr">
        <is>
          <t>Department of Mineral Resources and Energy, South African Energy Sector Report 2023, Table 1</t>
        </is>
      </c>
      <c r="R10" s="38" t="inlineStr">
        <is>
          <t>PDF p.17</t>
        </is>
      </c>
      <c r="S10" s="38" t="inlineStr">
        <is>
          <t>Crude oil, Durban. Listed at full capacity although not refining. The department's table names the industry association (SAPIA, now FIASA) as its source. Crude equivalent.</t>
        </is>
      </c>
    </row>
    <row r="11" ht="29" customHeight="1">
      <c r="A11" s="38" t="inlineStr">
        <is>
          <t>Published capacity</t>
        </is>
      </c>
      <c r="B11" s="38" t="inlineStr">
        <is>
          <t>Enref</t>
        </is>
      </c>
      <c r="C11" s="38" t="inlineStr">
        <is>
          <t>barrels a day</t>
        </is>
      </c>
      <c r="D11" s="38" t="inlineStr">
        <is>
          <t>as published in 2023</t>
        </is>
      </c>
      <c r="E11" s="41" t="n">
        <v>0</v>
      </c>
      <c r="K11" s="38" t="n"/>
      <c r="L11" s="38" t="n"/>
      <c r="M11" s="38" t="n"/>
      <c r="N11" s="38" t="n"/>
      <c r="O11" s="38" t="n"/>
      <c r="P11" s="38" t="inlineStr">
        <is>
          <t>From source</t>
        </is>
      </c>
      <c r="Q11" s="38" t="inlineStr">
        <is>
          <t>Department of Mineral Resources and Energy, South African Energy Sector Report 2023, Table 1</t>
        </is>
      </c>
      <c r="R11" s="38" t="inlineStr">
        <is>
          <t>PDF p.17</t>
        </is>
      </c>
      <c r="S11" s="38" t="inlineStr">
        <is>
          <t>Crude oil, Durban. Shown as nil. The department's table names the industry association (SAPIA, now FIASA) as its source. Crude equivalent.</t>
        </is>
      </c>
    </row>
    <row r="12" ht="42.5" customHeight="1">
      <c r="A12" s="38" t="inlineStr">
        <is>
          <t>Published capacity</t>
        </is>
      </c>
      <c r="B12" s="38" t="inlineStr">
        <is>
          <t>PetroSA</t>
        </is>
      </c>
      <c r="C12" s="38" t="inlineStr">
        <is>
          <t>barrels a day</t>
        </is>
      </c>
      <c r="D12" s="38" t="inlineStr">
        <is>
          <t>as published in 2023</t>
        </is>
      </c>
      <c r="E12" s="41" t="n">
        <v>0</v>
      </c>
      <c r="K12" s="38" t="n"/>
      <c r="L12" s="38" t="n"/>
      <c r="M12" s="38" t="n"/>
      <c r="N12" s="38" t="n"/>
      <c r="O12" s="38" t="n"/>
      <c r="P12" s="38" t="inlineStr">
        <is>
          <t>From source</t>
        </is>
      </c>
      <c r="Q12" s="38" t="inlineStr">
        <is>
          <t>Department of Mineral Resources and Energy, South African Energy Sector Report 2023, Table 1</t>
        </is>
      </c>
      <c r="R12" s="38" t="inlineStr">
        <is>
          <t>PDF p.17</t>
        </is>
      </c>
      <c r="S12" s="38" t="inlineStr">
        <is>
          <t>Gas to liquids, Mossel Bay. Shown as nil. The department's table names the industry association (SAPIA, now FIASA) as its source. Crude equivalent.</t>
        </is>
      </c>
    </row>
    <row r="13" ht="29" customHeight="1">
      <c r="A13" s="38" t="inlineStr">
        <is>
          <t>Published capacity before the closures</t>
        </is>
      </c>
      <c r="B13" s="38" t="inlineStr">
        <is>
          <t>Enref</t>
        </is>
      </c>
      <c r="C13" s="38" t="inlineStr">
        <is>
          <t>barrels a day</t>
        </is>
      </c>
      <c r="D13" s="38" t="inlineStr">
        <is>
          <t>as published in 2021</t>
        </is>
      </c>
      <c r="E13" s="41" t="n">
        <v>135000</v>
      </c>
      <c r="K13" s="38" t="n"/>
      <c r="L13" s="38" t="n"/>
      <c r="M13" s="38" t="n"/>
      <c r="N13" s="38" t="n"/>
      <c r="O13" s="38" t="n"/>
      <c r="P13" s="38" t="inlineStr">
        <is>
          <t>From source</t>
        </is>
      </c>
      <c r="Q13" s="38" t="inlineStr">
        <is>
          <t>Department of Mineral Resources and Energy, South African Energy Sector Report 2021, Table 1-1</t>
        </is>
      </c>
      <c r="R13" s="38" t="inlineStr">
        <is>
          <t>PDF p.15</t>
        </is>
      </c>
      <c r="S13" s="38" t="inlineStr">
        <is>
          <t>The department's table names the industry association (SAPIA, now FIASA) as its source. Crude equivalent.</t>
        </is>
      </c>
    </row>
    <row r="14" ht="29" customHeight="1">
      <c r="A14" s="38" t="inlineStr">
        <is>
          <t>Published capacity before the closures</t>
        </is>
      </c>
      <c r="B14" s="38" t="inlineStr">
        <is>
          <t>PetroSA</t>
        </is>
      </c>
      <c r="C14" s="38" t="inlineStr">
        <is>
          <t>barrels a day</t>
        </is>
      </c>
      <c r="D14" s="38" t="inlineStr">
        <is>
          <t>as published in 2021</t>
        </is>
      </c>
      <c r="E14" s="41" t="n">
        <v>45000</v>
      </c>
      <c r="K14" s="38" t="n"/>
      <c r="L14" s="38" t="n"/>
      <c r="M14" s="38" t="n"/>
      <c r="N14" s="38" t="n"/>
      <c r="O14" s="38" t="n"/>
      <c r="P14" s="38" t="inlineStr">
        <is>
          <t>From source</t>
        </is>
      </c>
      <c r="Q14" s="38" t="inlineStr">
        <is>
          <t>Department of Mineral Resources and Energy, South African Energy Sector Report 2021, Table 1-1</t>
        </is>
      </c>
      <c r="R14" s="38" t="inlineStr">
        <is>
          <t>PDF p.15</t>
        </is>
      </c>
      <c r="S14" s="38" t="inlineStr">
        <is>
          <t>The department's table names the industry association (SAPIA, now FIASA) as its source. Crude equivalent.</t>
        </is>
      </c>
    </row>
    <row r="15" ht="29" customHeight="1">
      <c r="A15" s="38" t="inlineStr">
        <is>
          <t>Published capacity before the closures</t>
        </is>
      </c>
      <c r="B15" s="38" t="inlineStr">
        <is>
          <t>All six plants</t>
        </is>
      </c>
      <c r="C15" s="38" t="inlineStr">
        <is>
          <t>barrels a day</t>
        </is>
      </c>
      <c r="D15" s="38" t="inlineStr">
        <is>
          <t>as published in 2021</t>
        </is>
      </c>
      <c r="E15" s="41" t="n">
        <v>718000</v>
      </c>
      <c r="K15" s="38" t="n"/>
      <c r="L15" s="38" t="n"/>
      <c r="M15" s="38" t="n"/>
      <c r="N15" s="38" t="n"/>
      <c r="O15" s="38" t="n"/>
      <c r="P15" s="38" t="inlineStr">
        <is>
          <t>From source</t>
        </is>
      </c>
      <c r="Q15" s="38" t="inlineStr">
        <is>
          <t>Department of Mineral Resources and Energy, South African Energy Sector Report 2021, Table 1-1</t>
        </is>
      </c>
      <c r="R15" s="38" t="inlineStr">
        <is>
          <t>PDF p.15</t>
        </is>
      </c>
      <c r="S15" s="38" t="inlineStr">
        <is>
          <t>The department's table names the industry association (SAPIA, now FIASA) as its source. Crude equivalent.</t>
        </is>
      </c>
    </row>
    <row r="16" ht="29" customHeight="1">
      <c r="A16" s="38" t="inlineStr">
        <is>
          <t>Capacity stated by the operator</t>
        </is>
      </c>
      <c r="B16" s="38" t="inlineStr">
        <is>
          <t>Astron Energy</t>
        </is>
      </c>
      <c r="C16" s="38" t="inlineStr">
        <is>
          <t>barrels a day, steady state</t>
        </is>
      </c>
      <c r="D16" s="38" t="inlineStr">
        <is>
          <t>2023 and 2025</t>
        </is>
      </c>
      <c r="E16" s="41" t="n">
        <v>100000</v>
      </c>
      <c r="K16" s="38" t="n"/>
      <c r="L16" s="38" t="n"/>
      <c r="M16" s="38" t="n"/>
      <c r="N16" s="38" t="n"/>
      <c r="O16" s="38" t="n"/>
      <c r="P16" s="38" t="inlineStr">
        <is>
          <t>From source</t>
        </is>
      </c>
      <c r="Q16" s="38" t="inlineStr">
        <is>
          <t>Glencore annual reports 2023 and 2025</t>
        </is>
      </c>
      <c r="R16" s="38" t="inlineStr">
        <is>
          <t>2023 PDF p.195; 2025 PDF p.150</t>
        </is>
      </c>
      <c r="S16" s="38" t="inlineStr">
        <is>
          <t>Agrees with the department's table.</t>
        </is>
      </c>
    </row>
    <row r="17" ht="29" customHeight="1">
      <c r="A17" s="38" t="inlineStr">
        <is>
          <t>Capacity stated by the operator</t>
        </is>
      </c>
      <c r="B17" s="38" t="inlineStr">
        <is>
          <t>Secunda</t>
        </is>
      </c>
      <c r="C17" s="38" t="inlineStr">
        <is>
          <t>barrels a day</t>
        </is>
      </c>
      <c r="D17" s="38" t="inlineStr">
        <is>
          <t>as stated April 2021</t>
        </is>
      </c>
      <c r="E17" s="41" t="n">
        <v>150000</v>
      </c>
      <c r="K17" s="38" t="n"/>
      <c r="L17" s="38" t="n"/>
      <c r="M17" s="38" t="n"/>
      <c r="N17" s="38" t="n"/>
      <c r="O17" s="38" t="n"/>
      <c r="P17" s="38" t="inlineStr">
        <is>
          <t>From source</t>
        </is>
      </c>
      <c r="Q17" s="38" t="inlineStr">
        <is>
          <t>Sasol Limited, Business Overview, April 2021</t>
        </is>
      </c>
      <c r="R17" s="38" t="inlineStr">
        <is>
          <t>PDF p.12</t>
        </is>
      </c>
      <c r="S17" s="38" t="inlineStr">
        <is>
          <t>Sasol: about 7.5 to 7.7 million tonnes a year, of which about 60% is energy products and 40% chemicals. Agrees with the department's table.</t>
        </is>
      </c>
    </row>
    <row r="18" ht="29" customHeight="1">
      <c r="A18" s="38" t="inlineStr">
        <is>
          <t>Capacity stated by the operator</t>
        </is>
      </c>
      <c r="B18" s="38" t="inlineStr">
        <is>
          <t>Natref</t>
        </is>
      </c>
      <c r="C18" s="38" t="inlineStr">
        <is>
          <t>barrels a day</t>
        </is>
      </c>
      <c r="D18" s="38" t="inlineStr">
        <is>
          <t>as stated April 2021</t>
        </is>
      </c>
      <c r="E18" s="41" t="n">
        <v>108500</v>
      </c>
      <c r="K18" s="38" t="n"/>
      <c r="L18" s="38" t="n"/>
      <c r="M18" s="38" t="n"/>
      <c r="N18" s="38" t="n"/>
      <c r="O18" s="38" t="n"/>
      <c r="P18" s="38" t="inlineStr">
        <is>
          <t>From source</t>
        </is>
      </c>
      <c r="Q18" s="38" t="inlineStr">
        <is>
          <t>Sasol Limited, Business Overview, April 2021</t>
        </is>
      </c>
      <c r="R18" s="38" t="inlineStr">
        <is>
          <t>PDF p.12</t>
        </is>
      </c>
      <c r="S18" s="38" t="inlineStr">
        <is>
          <t>The department's table shows 108,000.</t>
        </is>
      </c>
    </row>
    <row r="19" ht="42.5" customHeight="1">
      <c r="A19" s="38" t="inlineStr">
        <is>
          <t>Capacity stated by the operator</t>
        </is>
      </c>
      <c r="B19" s="38" t="inlineStr">
        <is>
          <t>Secunda</t>
        </is>
      </c>
      <c r="C19" s="38" t="inlineStr">
        <is>
          <t>barrels of oil equivalent a day, fuels and chemicals</t>
        </is>
      </c>
      <c r="D19" s="38" t="inlineStr">
        <is>
          <t>as stated in a site-visit pack, 2023</t>
        </is>
      </c>
      <c r="E19" s="38" t="inlineStr">
        <is>
          <t>About 160,000</t>
        </is>
      </c>
      <c r="K19" s="38" t="n"/>
      <c r="L19" s="38" t="n"/>
      <c r="M19" s="38" t="n"/>
      <c r="N19" s="38" t="n"/>
      <c r="O19" s="38" t="n"/>
      <c r="P19" s="38" t="inlineStr">
        <is>
          <t>From source</t>
        </is>
      </c>
      <c r="Q19" s="38" t="inlineStr">
        <is>
          <t>Sasol Limited, Secunda Operations investor site visit</t>
        </is>
      </c>
      <c r="R19" s="38" t="inlineStr">
        <is>
          <t>PDF p.3</t>
        </is>
      </c>
      <c r="S19" s="38" t="inlineStr">
        <is>
          <t>About 7.5 million tonnes a year: about 60% fuels (diesel, petrol, jet fuel, LPG) and 40% chemicals. No split between petrol and diesel.</t>
        </is>
      </c>
    </row>
    <row r="20" ht="42.5" customHeight="1">
      <c r="A20" s="38" t="inlineStr">
        <is>
          <t>Capacity stated by the operator</t>
        </is>
      </c>
      <c r="B20" s="38" t="inlineStr">
        <is>
          <t>Astron Energy</t>
        </is>
      </c>
      <c r="C20" s="38" t="inlineStr">
        <is>
          <t>barrels a day, nameplate crude processing</t>
        </is>
      </c>
      <c r="D20" s="38" t="inlineStr">
        <is>
          <t>as on the company's site, October 2026</t>
        </is>
      </c>
      <c r="E20" s="41" t="n">
        <v>100000</v>
      </c>
      <c r="K20" s="38" t="n"/>
      <c r="L20" s="38" t="n"/>
      <c r="M20" s="38" t="n"/>
      <c r="N20" s="38" t="n"/>
      <c r="O20" s="38" t="n"/>
      <c r="P20" s="38" t="inlineStr">
        <is>
          <t>From source</t>
        </is>
      </c>
      <c r="Q20" s="38" t="inlineStr">
        <is>
          <t>Astron Energy, About us page</t>
        </is>
      </c>
      <c r="R20" s="38" t="inlineStr"/>
      <c r="S20" s="38" t="inlineStr">
        <is>
          <t>Agrees with Glencore and with the department's table.</t>
        </is>
      </c>
    </row>
    <row r="21" ht="29" customHeight="1">
      <c r="A21" s="42" t="inlineStr">
        <is>
          <t>Capacity in operation</t>
        </is>
      </c>
      <c r="B21" s="42" t="inlineStr">
        <is>
          <t>Secunda, Natref and Astron Energy</t>
        </is>
      </c>
      <c r="C21" s="42" t="inlineStr">
        <is>
          <t>barrels a day, crude equivalent</t>
        </is>
      </c>
      <c r="D21" s="42" t="inlineStr">
        <is>
          <t>2023 onward</t>
        </is>
      </c>
      <c r="E21" s="64" t="n">
        <v>358000</v>
      </c>
      <c r="K21" s="42" t="n"/>
      <c r="L21" s="42" t="n"/>
      <c r="M21" s="42" t="n"/>
      <c r="N21" s="42" t="n"/>
      <c r="O21" s="42" t="n"/>
      <c r="P21" s="42" t="inlineStr">
        <is>
          <t>Calculated</t>
        </is>
      </c>
      <c r="Q21" s="42" t="inlineStr">
        <is>
          <t>Sum of the three plants operating</t>
        </is>
      </c>
      <c r="R21" s="42" t="inlineStr"/>
      <c r="S21" s="42" t="inlineStr">
        <is>
          <t>Half of the 718,000 published in 2021. Sapref is still listed at 180,000 by the department although it is not refining.</t>
        </is>
      </c>
    </row>
    <row r="23">
      <c r="A23" s="35" t="inlineStr">
        <is>
          <t>Status and dates</t>
        </is>
      </c>
      <c r="B23" s="35" t="n"/>
      <c r="C23" s="35" t="n"/>
      <c r="D23" s="35" t="n"/>
      <c r="E23" s="35" t="n"/>
      <c r="F23" s="35" t="n"/>
      <c r="G23" s="35" t="n"/>
      <c r="H23" s="35" t="n"/>
      <c r="I23" s="35" t="n"/>
      <c r="J23" s="35" t="n"/>
      <c r="K23" s="35" t="n"/>
      <c r="L23" s="35" t="n"/>
      <c r="M23" s="35" t="n"/>
      <c r="N23" s="35" t="n"/>
      <c r="O23" s="35" t="n"/>
      <c r="P23" s="35" t="n"/>
      <c r="Q23" s="35" t="n"/>
      <c r="R23" s="35" t="n"/>
      <c r="S23" s="35" t="n"/>
      <c r="T23" s="35" t="n"/>
    </row>
    <row r="24">
      <c r="A24" s="36" t="inlineStr">
        <is>
          <t>Item</t>
        </is>
      </c>
      <c r="B24" s="36" t="inlineStr">
        <is>
          <t>Plant</t>
        </is>
      </c>
      <c r="C24" s="36" t="inlineStr">
        <is>
          <t>Unit</t>
        </is>
      </c>
      <c r="D24" s="36" t="inlineStr">
        <is>
          <t>Period</t>
        </is>
      </c>
      <c r="E24" s="36" t="inlineStr">
        <is>
          <t>Value</t>
        </is>
      </c>
      <c r="K24" s="36" t="n"/>
      <c r="L24" s="36" t="n"/>
      <c r="M24" s="36" t="n"/>
      <c r="N24" s="36" t="n"/>
      <c r="O24" s="36" t="n"/>
      <c r="P24" s="36" t="inlineStr">
        <is>
          <t>Status</t>
        </is>
      </c>
      <c r="Q24" s="36" t="inlineStr">
        <is>
          <t>Source</t>
        </is>
      </c>
      <c r="R24" s="36" t="inlineStr">
        <is>
          <t>Page</t>
        </is>
      </c>
      <c r="S24" s="36" t="inlineStr">
        <is>
          <t>Note</t>
        </is>
      </c>
    </row>
    <row r="25" ht="15.5" customHeight="1">
      <c r="A25" s="42" t="inlineStr">
        <is>
          <t>Refining in 2026</t>
        </is>
      </c>
      <c r="B25" s="42" t="inlineStr">
        <is>
          <t>Secunda</t>
        </is>
      </c>
      <c r="C25" s="42" t="inlineStr"/>
      <c r="D25" s="42" t="inlineStr">
        <is>
          <t>2026</t>
        </is>
      </c>
      <c r="E25" s="42" t="inlineStr">
        <is>
          <t>Yes</t>
        </is>
      </c>
      <c r="K25" s="42" t="n"/>
      <c r="L25" s="42" t="n"/>
      <c r="M25" s="42" t="n"/>
      <c r="N25" s="42" t="n"/>
      <c r="O25" s="42" t="n"/>
      <c r="P25" s="42" t="inlineStr">
        <is>
          <t>Calculated</t>
        </is>
      </c>
      <c r="Q25" s="42" t="inlineStr">
        <is>
          <t>Sasol business performance metrics, June 2026</t>
        </is>
      </c>
      <c r="R25" s="42" t="inlineStr"/>
      <c r="S25" s="42" t="inlineStr">
        <is>
          <t>Read from the status rows below.</t>
        </is>
      </c>
    </row>
    <row r="26" ht="56" customHeight="1">
      <c r="A26" s="42" t="inlineStr">
        <is>
          <t>Refining in 2026</t>
        </is>
      </c>
      <c r="B26" s="42" t="inlineStr">
        <is>
          <t>Natref</t>
        </is>
      </c>
      <c r="C26" s="42" t="inlineStr"/>
      <c r="D26" s="42" t="inlineStr">
        <is>
          <t>2026; planned shutdown and a unit outage, August to September</t>
        </is>
      </c>
      <c r="E26" s="42" t="inlineStr">
        <is>
          <t>Yes</t>
        </is>
      </c>
      <c r="K26" s="42" t="n"/>
      <c r="L26" s="42" t="n"/>
      <c r="M26" s="42" t="n"/>
      <c r="N26" s="42" t="n"/>
      <c r="O26" s="42" t="n"/>
      <c r="P26" s="42" t="inlineStr">
        <is>
          <t>Calculated</t>
        </is>
      </c>
      <c r="Q26" s="42" t="inlineStr">
        <is>
          <t>Sasol business performance metrics, June 2026; Natref update, 1 September 2026</t>
        </is>
      </c>
      <c r="R26" s="42" t="inlineStr"/>
      <c r="S26" s="42" t="inlineStr">
        <is>
          <t>Read from the status rows below. Natref is its own crude refinery at Sasolburg, part-owned by Sasol; its output is not part of Secunda's.</t>
        </is>
      </c>
    </row>
    <row r="27" ht="29" customHeight="1">
      <c r="A27" s="42" t="inlineStr">
        <is>
          <t>Refining in 2026</t>
        </is>
      </c>
      <c r="B27" s="42" t="inlineStr">
        <is>
          <t>Astron Energy</t>
        </is>
      </c>
      <c r="C27" s="42" t="inlineStr"/>
      <c r="D27" s="42" t="inlineStr">
        <is>
          <t>since the restart in early 2023</t>
        </is>
      </c>
      <c r="E27" s="42" t="inlineStr">
        <is>
          <t>Yes</t>
        </is>
      </c>
      <c r="K27" s="42" t="n"/>
      <c r="L27" s="42" t="n"/>
      <c r="M27" s="42" t="n"/>
      <c r="N27" s="42" t="n"/>
      <c r="O27" s="42" t="n"/>
      <c r="P27" s="42" t="inlineStr">
        <is>
          <t>Calculated</t>
        </is>
      </c>
      <c r="Q27" s="42" t="inlineStr">
        <is>
          <t>Glencore annual reports 2023 to 2025</t>
        </is>
      </c>
      <c r="R27" s="42" t="inlineStr"/>
      <c r="S27" s="42" t="inlineStr">
        <is>
          <t>Read from the status rows below.</t>
        </is>
      </c>
    </row>
    <row r="28" ht="42.5" customHeight="1">
      <c r="A28" s="42" t="inlineStr">
        <is>
          <t>Refining in 2026</t>
        </is>
      </c>
      <c r="B28" s="42" t="inlineStr">
        <is>
          <t>Sapref</t>
        </is>
      </c>
      <c r="C28" s="42" t="inlineStr"/>
      <c r="D28" s="42" t="inlineStr">
        <is>
          <t>since the pause at the end of March 2022</t>
        </is>
      </c>
      <c r="E28" s="42" t="inlineStr">
        <is>
          <t>No</t>
        </is>
      </c>
      <c r="K28" s="42" t="n"/>
      <c r="L28" s="42" t="n"/>
      <c r="M28" s="42" t="n"/>
      <c r="N28" s="42" t="n"/>
      <c r="O28" s="42" t="n"/>
      <c r="P28" s="42" t="inlineStr">
        <is>
          <t>Calculated</t>
        </is>
      </c>
      <c r="Q28" s="42" t="inlineStr">
        <is>
          <t>Shell South Africa release, 10 February 2022; Central Energy Fund, September 2026</t>
        </is>
      </c>
      <c r="R28" s="42" t="inlineStr"/>
      <c r="S28" s="42" t="inlineStr">
        <is>
          <t>Read from the status rows below.</t>
        </is>
      </c>
    </row>
    <row r="29" ht="29" customHeight="1">
      <c r="A29" s="42" t="inlineStr">
        <is>
          <t>Refining in 2026</t>
        </is>
      </c>
      <c r="B29" s="42" t="inlineStr">
        <is>
          <t>Enref</t>
        </is>
      </c>
      <c r="C29" s="42" t="inlineStr"/>
      <c r="D29" s="42" t="inlineStr">
        <is>
          <t>since the fire of 4 December 2020</t>
        </is>
      </c>
      <c r="E29" s="42" t="inlineStr">
        <is>
          <t>No</t>
        </is>
      </c>
      <c r="K29" s="42" t="n"/>
      <c r="L29" s="42" t="n"/>
      <c r="M29" s="42" t="n"/>
      <c r="N29" s="42" t="n"/>
      <c r="O29" s="42" t="n"/>
      <c r="P29" s="42" t="inlineStr">
        <is>
          <t>Calculated</t>
        </is>
      </c>
      <c r="Q29" s="42" t="inlineStr">
        <is>
          <t>Engen's account to Parliament, 8 December 2020; department's 2023 report</t>
        </is>
      </c>
      <c r="R29" s="42" t="inlineStr"/>
      <c r="S29" s="42" t="inlineStr">
        <is>
          <t>Read from the status rows below.</t>
        </is>
      </c>
    </row>
    <row r="30" ht="29" customHeight="1">
      <c r="A30" s="42" t="inlineStr">
        <is>
          <t>Refining in 2026</t>
        </is>
      </c>
      <c r="B30" s="42" t="inlineStr">
        <is>
          <t>PetroSA</t>
        </is>
      </c>
      <c r="C30" s="42" t="inlineStr"/>
      <c r="D30" s="42" t="inlineStr">
        <is>
          <t>since December 2020</t>
        </is>
      </c>
      <c r="E30" s="42" t="inlineStr">
        <is>
          <t>No</t>
        </is>
      </c>
      <c r="K30" s="42" t="n"/>
      <c r="L30" s="42" t="n"/>
      <c r="M30" s="42" t="n"/>
      <c r="N30" s="42" t="n"/>
      <c r="O30" s="42" t="n"/>
      <c r="P30" s="42" t="inlineStr">
        <is>
          <t>Calculated</t>
        </is>
      </c>
      <c r="Q30" s="42" t="inlineStr">
        <is>
          <t>PetroSA tender scope of work; department's 2023 report</t>
        </is>
      </c>
      <c r="R30" s="42" t="inlineStr"/>
      <c r="S30" s="42" t="inlineStr">
        <is>
          <t>Read from the status rows below.</t>
        </is>
      </c>
    </row>
    <row r="31" ht="29" customHeight="1">
      <c r="A31" s="38" t="inlineStr">
        <is>
          <t>Status</t>
        </is>
      </c>
      <c r="B31" s="38" t="inlineStr">
        <is>
          <t>Astron Energy</t>
        </is>
      </c>
      <c r="C31" s="38" t="inlineStr"/>
      <c r="D31" s="38" t="inlineStr">
        <is>
          <t>early 2023</t>
        </is>
      </c>
      <c r="E31" s="38" t="inlineStr">
        <is>
          <t>Restarted after a multi-year rebuild</t>
        </is>
      </c>
      <c r="K31" s="38" t="n"/>
      <c r="L31" s="38" t="n"/>
      <c r="M31" s="38" t="n"/>
      <c r="N31" s="38" t="n"/>
      <c r="O31" s="38" t="n"/>
      <c r="P31" s="38" t="inlineStr">
        <is>
          <t>From source</t>
        </is>
      </c>
      <c r="Q31" s="38" t="inlineStr">
        <is>
          <t>Glencore Annual Report 2023</t>
        </is>
      </c>
      <c r="R31" s="38" t="inlineStr">
        <is>
          <t>PDF pp.101, 106</t>
        </is>
      </c>
      <c r="S31" s="38" t="inlineStr">
        <is>
          <t>It had not operated since a 2020 incident; the department's 2023 report still describes it as not operating.</t>
        </is>
      </c>
    </row>
    <row r="32" ht="29" customHeight="1">
      <c r="A32" s="38" t="inlineStr">
        <is>
          <t>Status</t>
        </is>
      </c>
      <c r="B32" s="38" t="inlineStr">
        <is>
          <t>Enref (Engen)</t>
        </is>
      </c>
      <c r="C32" s="38" t="inlineStr"/>
      <c r="D32" s="38" t="inlineStr">
        <is>
          <t>as at 2023</t>
        </is>
      </c>
      <c r="E32" s="38" t="inlineStr">
        <is>
          <t>Not operating after a major fire; capacity shown as nil</t>
        </is>
      </c>
      <c r="K32" s="38" t="n"/>
      <c r="L32" s="38" t="n"/>
      <c r="M32" s="38" t="n"/>
      <c r="N32" s="38" t="n"/>
      <c r="O32" s="38" t="n"/>
      <c r="P32" s="38" t="inlineStr">
        <is>
          <t>From source</t>
        </is>
      </c>
      <c r="Q32" s="38" t="inlineStr">
        <is>
          <t>Department of Mineral Resources and Energy, South African Energy Sector Report 2023</t>
        </is>
      </c>
      <c r="R32" s="38" t="inlineStr">
        <is>
          <t>PDF p.17</t>
        </is>
      </c>
      <c r="S32" s="38" t="inlineStr">
        <is>
          <t>The fire and the decision to close are dated in the two rows below.</t>
        </is>
      </c>
    </row>
    <row r="33" ht="29" customHeight="1">
      <c r="A33" s="38" t="inlineStr">
        <is>
          <t>Status</t>
        </is>
      </c>
      <c r="B33" s="38" t="inlineStr">
        <is>
          <t>PetroSA (Mossel Bay)</t>
        </is>
      </c>
      <c r="C33" s="38" t="inlineStr"/>
      <c r="D33" s="38" t="inlineStr">
        <is>
          <t>since December 2020</t>
        </is>
      </c>
      <c r="E33" s="38" t="inlineStr">
        <is>
          <t>Not operating: no feedstock</t>
        </is>
      </c>
      <c r="K33" s="38" t="n"/>
      <c r="L33" s="38" t="n"/>
      <c r="M33" s="38" t="n"/>
      <c r="N33" s="38" t="n"/>
      <c r="O33" s="38" t="n"/>
      <c r="P33" s="38" t="inlineStr">
        <is>
          <t>From source</t>
        </is>
      </c>
      <c r="Q33" s="38" t="inlineStr">
        <is>
          <t>PetroSA tender scope of work; department's 2023 report</t>
        </is>
      </c>
      <c r="R33" s="38" t="inlineStr">
        <is>
          <t>department PDF p.17</t>
        </is>
      </c>
      <c r="S33" s="38" t="inlineStr">
        <is>
          <t>PetroSA's tender proposes restarting the liquids refinery without the offshore gas sections.</t>
        </is>
      </c>
    </row>
    <row r="34" ht="29" customHeight="1">
      <c r="A34" s="38" t="inlineStr">
        <is>
          <t>Status</t>
        </is>
      </c>
      <c r="B34" s="38" t="inlineStr">
        <is>
          <t>Sapref</t>
        </is>
      </c>
      <c r="C34" s="38" t="inlineStr"/>
      <c r="D34" s="38" t="inlineStr">
        <is>
          <t>as at September 2026</t>
        </is>
      </c>
      <c r="E34" s="38" t="inlineStr">
        <is>
          <t>Not refining; acquired by the Central Energy Fund</t>
        </is>
      </c>
      <c r="K34" s="38" t="n"/>
      <c r="L34" s="38" t="n"/>
      <c r="M34" s="38" t="n"/>
      <c r="N34" s="38" t="n"/>
      <c r="O34" s="38" t="n"/>
      <c r="P34" s="38" t="inlineStr">
        <is>
          <t>From source</t>
        </is>
      </c>
      <c r="Q34" s="38" t="inlineStr">
        <is>
          <t>Central Energy Fund statements, September 2026</t>
        </is>
      </c>
      <c r="R34" s="38" t="inlineStr"/>
      <c r="S34" s="38" t="inlineStr">
        <is>
          <t>The two statements confirm the acquisition and that the site is not refining. The pause is dated in the Shell release below.</t>
        </is>
      </c>
    </row>
    <row r="35" ht="29" customHeight="1">
      <c r="A35" s="38" t="inlineStr">
        <is>
          <t>Status</t>
        </is>
      </c>
      <c r="B35" s="38" t="inlineStr">
        <is>
          <t>Natref</t>
        </is>
      </c>
      <c r="C35" s="38" t="inlineStr"/>
      <c r="D35" s="38" t="inlineStr">
        <is>
          <t>August to September 2026</t>
        </is>
      </c>
      <c r="E35" s="38" t="inlineStr">
        <is>
          <t>A downstream unit outage alongside a planned shutdown</t>
        </is>
      </c>
      <c r="K35" s="38" t="n"/>
      <c r="L35" s="38" t="n"/>
      <c r="M35" s="38" t="n"/>
      <c r="N35" s="38" t="n"/>
      <c r="O35" s="38" t="n"/>
      <c r="P35" s="38" t="inlineStr">
        <is>
          <t>From source</t>
        </is>
      </c>
      <c r="Q35" s="38" t="inlineStr">
        <is>
          <t>Sasol, Natref operational update, 1 September 2026</t>
        </is>
      </c>
      <c r="R35" s="38" t="inlineStr"/>
      <c r="S35" s="38" t="inlineStr">
        <is>
          <t>An operating risk, not a closure.</t>
        </is>
      </c>
    </row>
    <row r="36" ht="29" customHeight="1">
      <c r="A36" s="38" t="inlineStr">
        <is>
          <t>Status</t>
        </is>
      </c>
      <c r="B36" s="38" t="inlineStr">
        <is>
          <t>Three crude refineries</t>
        </is>
      </c>
      <c r="C36" s="38" t="inlineStr"/>
      <c r="D36" s="38" t="inlineStr">
        <is>
          <t>as at 2023</t>
        </is>
      </c>
      <c r="E36" s="38" t="inlineStr">
        <is>
          <t>Not in operation for the past two years</t>
        </is>
      </c>
      <c r="K36" s="38" t="n"/>
      <c r="L36" s="38" t="n"/>
      <c r="M36" s="38" t="n"/>
      <c r="N36" s="38" t="n"/>
      <c r="O36" s="38" t="n"/>
      <c r="P36" s="38" t="inlineStr">
        <is>
          <t>From source</t>
        </is>
      </c>
      <c r="Q36" s="38" t="inlineStr">
        <is>
          <t>Department of Mineral Resources and Energy, South African Energy Sector Report 2023</t>
        </is>
      </c>
      <c r="R36" s="38" t="inlineStr">
        <is>
          <t>PDF p.17</t>
        </is>
      </c>
      <c r="S36" s="38" t="inlineStr">
        <is>
          <t>The department's wording; it does not name them in that sentence.</t>
        </is>
      </c>
    </row>
    <row r="37" ht="42.5" customHeight="1">
      <c r="A37" s="38" t="inlineStr">
        <is>
          <t>Status</t>
        </is>
      </c>
      <c r="B37" s="38" t="inlineStr">
        <is>
          <t>Enref (Engen)</t>
        </is>
      </c>
      <c r="C37" s="38" t="inlineStr"/>
      <c r="D37" s="38" t="inlineStr">
        <is>
          <t>4 December 2020</t>
        </is>
      </c>
      <c r="E37" s="38" t="inlineStr">
        <is>
          <t>Fire and explosion at 07:08 in Unit 44; the refinery was shut</t>
        </is>
      </c>
      <c r="K37" s="38" t="n"/>
      <c r="L37" s="38" t="n"/>
      <c r="M37" s="38" t="n"/>
      <c r="N37" s="38" t="n"/>
      <c r="O37" s="38" t="n"/>
      <c r="P37" s="38" t="inlineStr">
        <is>
          <t>From source</t>
        </is>
      </c>
      <c r="Q37" s="38" t="inlineStr">
        <is>
          <t>Engen's account to Parliament's Portfolio Committee on Environment, Forestry and Fisheries, 8 December 2020 (Parliamentary Monitoring Group record)</t>
        </is>
      </c>
      <c r="R37" s="38" t="inlineStr"/>
      <c r="S37" s="38" t="inlineStr">
        <is>
          <t>It did not refine again: see the next row.</t>
        </is>
      </c>
    </row>
    <row r="38" ht="42.5" customHeight="1">
      <c r="A38" s="38" t="inlineStr">
        <is>
          <t>Status</t>
        </is>
      </c>
      <c r="B38" s="38" t="inlineStr">
        <is>
          <t>Enref (Engen)</t>
        </is>
      </c>
      <c r="C38" s="38" t="inlineStr"/>
      <c r="D38" s="38" t="inlineStr">
        <is>
          <t>23 April 2021</t>
        </is>
      </c>
      <c r="E38" s="38" t="inlineStr">
        <is>
          <t>Engen announced it would shut the refinery and convert the site to an import terminal by the end of 2023</t>
        </is>
      </c>
      <c r="K38" s="38" t="n"/>
      <c r="L38" s="38" t="n"/>
      <c r="M38" s="38" t="n"/>
      <c r="N38" s="38" t="n"/>
      <c r="O38" s="38" t="n"/>
      <c r="P38" s="38" t="inlineStr">
        <is>
          <t>From source</t>
        </is>
      </c>
      <c r="Q38" s="38" t="inlineStr">
        <is>
          <t>Engineering News, 23 April 2021, reporting Engen's statement</t>
        </is>
      </c>
      <c r="R38" s="38" t="inlineStr"/>
      <c r="S38" s="38" t="inlineStr">
        <is>
          <t>A press report of Engen's statement; the statement itself is not held. Engen gives nameplate capacity as 120,000 barrels a day, against 135,000 in the department's table.</t>
        </is>
      </c>
    </row>
    <row r="39" ht="29" customHeight="1">
      <c r="A39" s="38" t="inlineStr">
        <is>
          <t>Status</t>
        </is>
      </c>
      <c r="B39" s="38" t="inlineStr">
        <is>
          <t>Sapref</t>
        </is>
      </c>
      <c r="C39" s="38" t="inlineStr"/>
      <c r="D39" s="38" t="inlineStr">
        <is>
          <t>10 February 2022</t>
        </is>
      </c>
      <c r="E39" s="38" t="inlineStr">
        <is>
          <t>Shell and bp announced a spend freeze and a pause of refinery operations no later than the end of March 2022, for an indefinite period</t>
        </is>
      </c>
      <c r="K39" s="38" t="n"/>
      <c r="L39" s="38" t="n"/>
      <c r="M39" s="38" t="n"/>
      <c r="N39" s="38" t="n"/>
      <c r="O39" s="38" t="n"/>
      <c r="P39" s="38" t="inlineStr">
        <is>
          <t>From source</t>
        </is>
      </c>
      <c r="Q39" s="38" t="inlineStr">
        <is>
          <t>Shell South Africa media release, SAPREF to pause refinery operations</t>
        </is>
      </c>
      <c r="R39" s="38" t="inlineStr"/>
      <c r="S39" s="38" t="inlineStr">
        <is>
          <t>Gives the latest date for the pause, not the day the last unit stopped.</t>
        </is>
      </c>
    </row>
    <row r="41">
      <c r="A41" s="35" t="inlineStr">
        <is>
          <t>Output by plant</t>
        </is>
      </c>
      <c r="B41" s="35" t="n"/>
      <c r="C41" s="35" t="n"/>
      <c r="D41" s="35" t="n"/>
      <c r="E41" s="35" t="n"/>
      <c r="F41" s="35" t="n"/>
      <c r="G41" s="35" t="n"/>
      <c r="H41" s="35" t="n"/>
      <c r="I41" s="35" t="n"/>
      <c r="J41" s="35" t="n"/>
      <c r="K41" s="35" t="n"/>
      <c r="L41" s="35" t="n"/>
      <c r="M41" s="35" t="n"/>
      <c r="N41" s="35" t="n"/>
      <c r="O41" s="35" t="n"/>
      <c r="P41" s="35" t="n"/>
      <c r="Q41" s="35" t="n"/>
      <c r="R41" s="35" t="n"/>
      <c r="S41" s="35" t="n"/>
      <c r="T41" s="35" t="n"/>
    </row>
    <row r="42">
      <c r="A42" s="36" t="inlineStr">
        <is>
          <t>Item</t>
        </is>
      </c>
      <c r="B42" s="36" t="inlineStr">
        <is>
          <t>Plant</t>
        </is>
      </c>
      <c r="C42" s="36" t="inlineStr">
        <is>
          <t>Unit</t>
        </is>
      </c>
      <c r="D42" s="36" t="inlineStr">
        <is>
          <t>Basis</t>
        </is>
      </c>
      <c r="E42" s="37" t="n">
        <v>2020</v>
      </c>
      <c r="F42" s="37" t="n">
        <v>2021</v>
      </c>
      <c r="G42" s="37" t="n">
        <v>2022</v>
      </c>
      <c r="H42" s="37" t="n">
        <v>2023</v>
      </c>
      <c r="I42" s="37" t="n">
        <v>2024</v>
      </c>
      <c r="J42" s="37" t="n">
        <v>2025</v>
      </c>
      <c r="K42" s="37" t="n">
        <v>2026</v>
      </c>
      <c r="L42" s="36" t="n"/>
      <c r="M42" s="36" t="n"/>
      <c r="N42" s="36" t="n"/>
      <c r="O42" s="36" t="n"/>
      <c r="P42" s="36" t="inlineStr">
        <is>
          <t>Status</t>
        </is>
      </c>
      <c r="Q42" s="36" t="inlineStr">
        <is>
          <t>Source</t>
        </is>
      </c>
      <c r="R42" s="36" t="inlineStr">
        <is>
          <t>Page</t>
        </is>
      </c>
      <c r="S42" s="36" t="inlineStr">
        <is>
          <t>Note</t>
        </is>
      </c>
    </row>
    <row r="43" ht="29" customHeight="1">
      <c r="A43" s="38" t="inlineStr">
        <is>
          <t>Output reported by the operator</t>
        </is>
      </c>
      <c r="B43" s="38" t="inlineStr">
        <is>
          <t>Secunda, all refined products</t>
        </is>
      </c>
      <c r="C43" s="38" t="inlineStr">
        <is>
          <t>million barrels</t>
        </is>
      </c>
      <c r="D43" s="38" t="inlineStr">
        <is>
          <t>years to June</t>
        </is>
      </c>
      <c r="E43" s="40" t="n">
        <v>31.2</v>
      </c>
      <c r="F43" s="40" t="n">
        <v>32.1</v>
      </c>
      <c r="G43" s="40" t="n">
        <v>29.2</v>
      </c>
      <c r="H43" s="40" t="n">
        <v>29.9</v>
      </c>
      <c r="I43" s="40" t="n">
        <v>29.1</v>
      </c>
      <c r="J43" s="40" t="n">
        <v>27.6</v>
      </c>
      <c r="K43" s="40" t="n">
        <v>30.6</v>
      </c>
      <c r="L43" s="38" t="n"/>
      <c r="M43" s="38" t="n"/>
      <c r="N43" s="38" t="n"/>
      <c r="O43" s="38" t="n"/>
      <c r="P43" s="38" t="inlineStr">
        <is>
          <t>From source</t>
        </is>
      </c>
      <c r="Q43" s="38" t="inlineStr">
        <is>
          <t>Sasol production and sales metrics</t>
        </is>
      </c>
      <c r="R43" s="38" t="inlineStr"/>
      <c r="S43" s="38" t="inlineStr">
        <is>
          <t>All products together. No operator reports petrol and diesel separately.</t>
        </is>
      </c>
    </row>
    <row r="44" ht="42.5" customHeight="1">
      <c r="A44" s="38" t="inlineStr">
        <is>
          <t>Output reported by the operator</t>
        </is>
      </c>
      <c r="B44" s="38" t="inlineStr">
        <is>
          <t>Natref, Sasol's share</t>
        </is>
      </c>
      <c r="C44" s="38" t="inlineStr">
        <is>
          <t>million barrels</t>
        </is>
      </c>
      <c r="D44" s="38" t="inlineStr">
        <is>
          <t>years to June</t>
        </is>
      </c>
      <c r="E44" s="40" t="n">
        <v>16.8</v>
      </c>
      <c r="F44" s="40" t="n">
        <v>17.7</v>
      </c>
      <c r="G44" s="40" t="n">
        <v>18.9</v>
      </c>
      <c r="H44" s="40" t="n">
        <v>17.2</v>
      </c>
      <c r="I44" s="40" t="n">
        <v>17.8</v>
      </c>
      <c r="J44" s="40" t="n">
        <v>14.7</v>
      </c>
      <c r="K44" s="40" t="n">
        <v>25.8</v>
      </c>
      <c r="L44" s="38" t="n"/>
      <c r="M44" s="38" t="n"/>
      <c r="N44" s="38" t="n"/>
      <c r="O44" s="38" t="n"/>
      <c r="P44" s="38" t="inlineStr">
        <is>
          <t>From source</t>
        </is>
      </c>
      <c r="Q44" s="38" t="inlineStr">
        <is>
          <t>Sasol production and sales metrics</t>
        </is>
      </c>
      <c r="R44" s="38" t="inlineStr"/>
      <c r="S44" s="38" t="inlineStr">
        <is>
          <t>All products together. No operator reports petrol and diesel separately. Sasol's 63.64% share only; the year to June 2026 includes output above that share.</t>
        </is>
      </c>
    </row>
    <row r="45" ht="29" customHeight="1">
      <c r="A45" s="38" t="inlineStr">
        <is>
          <t>Output reported by the operator</t>
        </is>
      </c>
      <c r="B45" s="38" t="inlineStr">
        <is>
          <t>Astron Energy, all refined products</t>
        </is>
      </c>
      <c r="C45" s="38" t="inlineStr">
        <is>
          <t>billion Btu</t>
        </is>
      </c>
      <c r="D45" s="38" t="inlineStr">
        <is>
          <t>calendar years</t>
        </is>
      </c>
      <c r="E45" s="38" t="n"/>
      <c r="F45" s="38" t="n"/>
      <c r="G45" s="38" t="n"/>
      <c r="H45" s="39" t="n">
        <v>136665</v>
      </c>
      <c r="I45" s="39" t="n">
        <v>166204</v>
      </c>
      <c r="J45" s="39" t="n">
        <v>164365</v>
      </c>
      <c r="K45" s="38" t="n"/>
      <c r="L45" s="38" t="n"/>
      <c r="M45" s="38" t="n"/>
      <c r="N45" s="38" t="n"/>
      <c r="O45" s="38" t="n"/>
      <c r="P45" s="38" t="inlineStr">
        <is>
          <t>From source</t>
        </is>
      </c>
      <c r="Q45" s="38" t="inlineStr">
        <is>
          <t>Glencore annual reports</t>
        </is>
      </c>
      <c r="R45" s="38" t="inlineStr"/>
      <c r="S45" s="38" t="inlineStr">
        <is>
          <t>All products together. No operator reports petrol and diesel separately. Reported as energy content, not volume.</t>
        </is>
      </c>
    </row>
    <row r="46" ht="29" customHeight="1">
      <c r="A46" s="42" t="inlineStr">
        <is>
          <t>Petrol output, estimated</t>
        </is>
      </c>
      <c r="B46" s="42" t="inlineStr">
        <is>
          <t>Natref, whole refinery</t>
        </is>
      </c>
      <c r="C46" s="42" t="inlineStr">
        <is>
          <t>billion litres</t>
        </is>
      </c>
      <c r="D46" s="42" t="inlineStr">
        <is>
          <t>years to June</t>
        </is>
      </c>
      <c r="E46" s="42" t="inlineStr">
        <is>
          <t>1.22 to 1.34</t>
        </is>
      </c>
      <c r="F46" s="42" t="inlineStr">
        <is>
          <t>1.28 to 1.41</t>
        </is>
      </c>
      <c r="G46" s="42" t="inlineStr">
        <is>
          <t>1.37 to 1.51</t>
        </is>
      </c>
      <c r="H46" s="42" t="inlineStr">
        <is>
          <t>1.25 to 1.38</t>
        </is>
      </c>
      <c r="I46" s="42" t="inlineStr">
        <is>
          <t>1.29 to 1.42</t>
        </is>
      </c>
      <c r="J46" s="42" t="inlineStr">
        <is>
          <t>1.06 to 1.18</t>
        </is>
      </c>
      <c r="K46" s="42" t="n"/>
      <c r="L46" s="42" t="n"/>
      <c r="M46" s="42" t="n"/>
      <c r="N46" s="42" t="n"/>
      <c r="O46" s="42" t="n"/>
      <c r="P46" s="42" t="inlineStr">
        <is>
          <t>Calculated</t>
        </is>
      </c>
      <c r="Q46" s="42" t="inlineStr">
        <is>
          <t>Sasol's reported Natref production, scaled to the whole refinery, times Sasol's stated product split</t>
        </is>
      </c>
      <c r="R46" s="42" t="inlineStr"/>
      <c r="S46" s="42" t="inlineStr">
        <is>
          <t>An estimate: the split is a range Sasol stated in April 2021, applied to every year. The year to June 2026 is left out.</t>
        </is>
      </c>
    </row>
    <row r="47" ht="29" customHeight="1">
      <c r="A47" s="42" t="inlineStr">
        <is>
          <t>Diesel output, estimated</t>
        </is>
      </c>
      <c r="B47" s="42" t="inlineStr">
        <is>
          <t>Natref, whole refinery</t>
        </is>
      </c>
      <c r="C47" s="42" t="inlineStr">
        <is>
          <t>billion litres</t>
        </is>
      </c>
      <c r="D47" s="42" t="inlineStr">
        <is>
          <t>years to June</t>
        </is>
      </c>
      <c r="E47" s="42" t="inlineStr">
        <is>
          <t>1.30 to 1.55</t>
        </is>
      </c>
      <c r="F47" s="42" t="inlineStr">
        <is>
          <t>1.37 to 1.64</t>
        </is>
      </c>
      <c r="G47" s="42" t="inlineStr">
        <is>
          <t>1.46 to 1.75</t>
        </is>
      </c>
      <c r="H47" s="42" t="inlineStr">
        <is>
          <t>1.33 to 1.59</t>
        </is>
      </c>
      <c r="I47" s="42" t="inlineStr">
        <is>
          <t>1.38 to 1.65</t>
        </is>
      </c>
      <c r="J47" s="42" t="inlineStr">
        <is>
          <t>1.14 to 1.36</t>
        </is>
      </c>
      <c r="K47" s="42" t="n"/>
      <c r="L47" s="42" t="n"/>
      <c r="M47" s="42" t="n"/>
      <c r="N47" s="42" t="n"/>
      <c r="O47" s="42" t="n"/>
      <c r="P47" s="42" t="inlineStr">
        <is>
          <t>Calculated</t>
        </is>
      </c>
      <c r="Q47" s="42" t="inlineStr">
        <is>
          <t>Sasol's reported Natref production, scaled to the whole refinery, times Sasol's stated product split</t>
        </is>
      </c>
      <c r="R47" s="42" t="inlineStr"/>
      <c r="S47" s="42" t="inlineStr">
        <is>
          <t>An estimate: the split is a range Sasol stated in April 2021, applied to every year. The year to June 2026 is left out.</t>
        </is>
      </c>
    </row>
    <row r="48">
      <c r="A48" s="36" t="inlineStr">
        <is>
          <t>Item</t>
        </is>
      </c>
      <c r="B48" s="36" t="inlineStr">
        <is>
          <t>Plant</t>
        </is>
      </c>
      <c r="C48" s="36" t="inlineStr">
        <is>
          <t>Unit</t>
        </is>
      </c>
      <c r="D48" s="36" t="inlineStr">
        <is>
          <t>Period</t>
        </is>
      </c>
      <c r="E48" s="36" t="inlineStr">
        <is>
          <t>Value</t>
        </is>
      </c>
      <c r="K48" s="36" t="n"/>
      <c r="L48" s="36" t="n"/>
      <c r="M48" s="36" t="n"/>
      <c r="N48" s="36" t="n"/>
      <c r="O48" s="36" t="n"/>
      <c r="P48" s="36" t="inlineStr">
        <is>
          <t>Status</t>
        </is>
      </c>
      <c r="Q48" s="36" t="inlineStr">
        <is>
          <t>Source</t>
        </is>
      </c>
      <c r="R48" s="36" t="inlineStr">
        <is>
          <t>Page</t>
        </is>
      </c>
      <c r="S48" s="36" t="inlineStr">
        <is>
          <t>Note</t>
        </is>
      </c>
    </row>
    <row r="49" ht="29" customHeight="1">
      <c r="A49" s="38" t="inlineStr">
        <is>
          <t>Secunda fuels output</t>
        </is>
      </c>
      <c r="B49" s="38" t="inlineStr">
        <is>
          <t>Secunda, fuels (white and black products)</t>
        </is>
      </c>
      <c r="C49" s="38" t="inlineStr">
        <is>
          <t>thousand tonnes</t>
        </is>
      </c>
      <c r="D49" s="38" t="inlineStr">
        <is>
          <t>year to June 2024</t>
        </is>
      </c>
      <c r="E49" s="41" t="n">
        <v>3472</v>
      </c>
      <c r="K49" s="38" t="n"/>
      <c r="L49" s="38" t="n"/>
      <c r="M49" s="38" t="n"/>
      <c r="N49" s="38" t="n"/>
      <c r="O49" s="38" t="n"/>
      <c r="P49" s="38" t="inlineStr">
        <is>
          <t>From source</t>
        </is>
      </c>
      <c r="Q49" s="38" t="inlineStr">
        <is>
          <t>Sasol business performance metrics, 30 June 2026</t>
        </is>
      </c>
      <c r="R49" s="38" t="inlineStr">
        <is>
          <t>PDF p.4</t>
        </is>
      </c>
      <c r="S49" s="38" t="inlineStr">
        <is>
          <t>Of total Secunda production of 6,990, 6,721 and 7,260 thousand tonnes; the rest is chemicals and other products.</t>
        </is>
      </c>
    </row>
    <row r="50" ht="29" customHeight="1">
      <c r="A50" s="38" t="inlineStr">
        <is>
          <t>Secunda fuels output</t>
        </is>
      </c>
      <c r="B50" s="38" t="inlineStr">
        <is>
          <t>Secunda, fuels (white and black products)</t>
        </is>
      </c>
      <c r="C50" s="38" t="inlineStr">
        <is>
          <t>thousand tonnes</t>
        </is>
      </c>
      <c r="D50" s="38" t="inlineStr">
        <is>
          <t>year to June 2025</t>
        </is>
      </c>
      <c r="E50" s="41" t="n">
        <v>3293</v>
      </c>
      <c r="K50" s="38" t="n"/>
      <c r="L50" s="38" t="n"/>
      <c r="M50" s="38" t="n"/>
      <c r="N50" s="38" t="n"/>
      <c r="O50" s="38" t="n"/>
      <c r="P50" s="38" t="inlineStr">
        <is>
          <t>From source</t>
        </is>
      </c>
      <c r="Q50" s="38" t="inlineStr">
        <is>
          <t>Sasol business performance metrics, 30 June 2026</t>
        </is>
      </c>
      <c r="R50" s="38" t="inlineStr">
        <is>
          <t>PDF p.4</t>
        </is>
      </c>
      <c r="S50" s="38" t="inlineStr">
        <is>
          <t>Of total Secunda production of 6,990, 6,721 and 7,260 thousand tonnes; the rest is chemicals and other products.</t>
        </is>
      </c>
    </row>
    <row r="51" ht="29" customHeight="1">
      <c r="A51" s="38" t="inlineStr">
        <is>
          <t>Secunda fuels output</t>
        </is>
      </c>
      <c r="B51" s="38" t="inlineStr">
        <is>
          <t>Secunda, fuels (white and black products)</t>
        </is>
      </c>
      <c r="C51" s="38" t="inlineStr">
        <is>
          <t>thousand tonnes</t>
        </is>
      </c>
      <c r="D51" s="38" t="inlineStr">
        <is>
          <t>year to June 2026</t>
        </is>
      </c>
      <c r="E51" s="41" t="n">
        <v>3634</v>
      </c>
      <c r="K51" s="38" t="n"/>
      <c r="L51" s="38" t="n"/>
      <c r="M51" s="38" t="n"/>
      <c r="N51" s="38" t="n"/>
      <c r="O51" s="38" t="n"/>
      <c r="P51" s="38" t="inlineStr">
        <is>
          <t>From source</t>
        </is>
      </c>
      <c r="Q51" s="38" t="inlineStr">
        <is>
          <t>Sasol business performance metrics, 30 June 2026</t>
        </is>
      </c>
      <c r="R51" s="38" t="inlineStr">
        <is>
          <t>PDF p.4</t>
        </is>
      </c>
      <c r="S51" s="38" t="inlineStr">
        <is>
          <t>Of total Secunda production of 6,990, 6,721 and 7,260 thousand tonnes; the rest is chemicals and other products.</t>
        </is>
      </c>
    </row>
    <row r="52" ht="56" customHeight="1">
      <c r="A52" s="45" t="inlineStr">
        <is>
          <t>Petrol and diesel output by plant</t>
        </is>
      </c>
      <c r="B52" s="45" t="inlineStr">
        <is>
          <t>Secunda and Astron Energy</t>
        </is>
      </c>
      <c r="C52" s="45" t="inlineStr">
        <is>
          <t>litres</t>
        </is>
      </c>
      <c r="D52" s="45" t="inlineStr"/>
      <c r="E52" s="45" t="inlineStr">
        <is>
          <t>Not available</t>
        </is>
      </c>
      <c r="K52" s="45" t="n"/>
      <c r="L52" s="45" t="n"/>
      <c r="M52" s="45" t="n"/>
      <c r="N52" s="45" t="n"/>
      <c r="O52" s="45" t="n"/>
      <c r="P52" s="45" t="inlineStr">
        <is>
          <t>Not available</t>
        </is>
      </c>
      <c r="Q52" s="45" t="inlineStr">
        <is>
          <t>None published</t>
        </is>
      </c>
      <c r="R52" s="45" t="inlineStr"/>
      <c r="S52" s="45" t="inlineStr">
        <is>
          <t>Sasol states Secunda's split (65% petrol, 35% diesel) but not the total it applies to. Glencore publishes no split for Astron. Sasol's annual filing and both companies' sites were checked on 9 October. Needs the operators.</t>
        </is>
      </c>
    </row>
    <row r="53" ht="42.5" customHeight="1">
      <c r="A53" s="42" t="inlineStr">
        <is>
          <t>Output while not operating</t>
        </is>
      </c>
      <c r="B53" s="42" t="inlineStr">
        <is>
          <t>Sapref</t>
        </is>
      </c>
      <c r="C53" s="42" t="inlineStr">
        <is>
          <t>barrels a day</t>
        </is>
      </c>
      <c r="D53" s="42" t="inlineStr">
        <is>
          <t>since the pause at the end of March 2022</t>
        </is>
      </c>
      <c r="E53" s="64" t="n">
        <v>0</v>
      </c>
      <c r="K53" s="42" t="n"/>
      <c r="L53" s="42" t="n"/>
      <c r="M53" s="42" t="n"/>
      <c r="N53" s="42" t="n"/>
      <c r="O53" s="42" t="n"/>
      <c r="P53" s="42" t="inlineStr">
        <is>
          <t>Calculated</t>
        </is>
      </c>
      <c r="Q53" s="42" t="inlineStr">
        <is>
          <t>From the status rows</t>
        </is>
      </c>
      <c r="R53" s="42" t="inlineStr"/>
      <c r="S53" s="42" t="inlineStr"/>
    </row>
    <row r="54" ht="29" customHeight="1">
      <c r="A54" s="42" t="inlineStr">
        <is>
          <t>Output while not operating</t>
        </is>
      </c>
      <c r="B54" s="42" t="inlineStr">
        <is>
          <t>Enref</t>
        </is>
      </c>
      <c r="C54" s="42" t="inlineStr">
        <is>
          <t>barrels a day</t>
        </is>
      </c>
      <c r="D54" s="42" t="inlineStr">
        <is>
          <t>since the fire of 4 December 2020</t>
        </is>
      </c>
      <c r="E54" s="64" t="n">
        <v>0</v>
      </c>
      <c r="K54" s="42" t="n"/>
      <c r="L54" s="42" t="n"/>
      <c r="M54" s="42" t="n"/>
      <c r="N54" s="42" t="n"/>
      <c r="O54" s="42" t="n"/>
      <c r="P54" s="42" t="inlineStr">
        <is>
          <t>Calculated</t>
        </is>
      </c>
      <c r="Q54" s="42" t="inlineStr">
        <is>
          <t>From the status rows</t>
        </is>
      </c>
      <c r="R54" s="42" t="inlineStr"/>
      <c r="S54" s="42" t="inlineStr"/>
    </row>
    <row r="55" ht="29" customHeight="1">
      <c r="A55" s="42" t="inlineStr">
        <is>
          <t>Output while not operating</t>
        </is>
      </c>
      <c r="B55" s="42" t="inlineStr">
        <is>
          <t>PetroSA</t>
        </is>
      </c>
      <c r="C55" s="42" t="inlineStr">
        <is>
          <t>barrels a day</t>
        </is>
      </c>
      <c r="D55" s="42" t="inlineStr">
        <is>
          <t>since December 2020</t>
        </is>
      </c>
      <c r="E55" s="64" t="n">
        <v>0</v>
      </c>
      <c r="K55" s="42" t="n"/>
      <c r="L55" s="42" t="n"/>
      <c r="M55" s="42" t="n"/>
      <c r="N55" s="42" t="n"/>
      <c r="O55" s="42" t="n"/>
      <c r="P55" s="42" t="inlineStr">
        <is>
          <t>Calculated</t>
        </is>
      </c>
      <c r="Q55" s="42" t="inlineStr">
        <is>
          <t>From the status rows</t>
        </is>
      </c>
      <c r="R55" s="42" t="inlineStr"/>
      <c r="S55" s="42" t="inlineStr"/>
    </row>
    <row r="57">
      <c r="A57" s="35" t="inlineStr">
        <is>
          <t>National output by product</t>
        </is>
      </c>
      <c r="B57" s="35" t="n"/>
      <c r="C57" s="35" t="n"/>
      <c r="D57" s="35" t="n"/>
      <c r="E57" s="35" t="n"/>
      <c r="F57" s="35" t="n"/>
      <c r="G57" s="35" t="n"/>
      <c r="H57" s="35" t="n"/>
      <c r="I57" s="35" t="n"/>
      <c r="J57" s="35" t="n"/>
      <c r="K57" s="35" t="n"/>
      <c r="L57" s="35" t="n"/>
      <c r="M57" s="35" t="n"/>
      <c r="N57" s="35" t="n"/>
      <c r="O57" s="35" t="n"/>
      <c r="P57" s="35" t="n"/>
      <c r="Q57" s="35" t="n"/>
      <c r="R57" s="35" t="n"/>
      <c r="S57" s="35" t="n"/>
      <c r="T57" s="35" t="n"/>
    </row>
    <row r="58">
      <c r="A58" s="36" t="inlineStr">
        <is>
          <t>Item</t>
        </is>
      </c>
      <c r="B58" s="36" t="inlineStr">
        <is>
          <t>Plant</t>
        </is>
      </c>
      <c r="C58" s="36" t="inlineStr">
        <is>
          <t>Unit</t>
        </is>
      </c>
      <c r="D58" s="36" t="inlineStr">
        <is>
          <t>Basis</t>
        </is>
      </c>
      <c r="E58" s="37" t="n">
        <v>2014</v>
      </c>
      <c r="F58" s="37" t="n">
        <v>2015</v>
      </c>
      <c r="G58" s="37" t="n">
        <v>2016</v>
      </c>
      <c r="H58" s="37" t="n">
        <v>2017</v>
      </c>
      <c r="I58" s="37" t="n">
        <v>2018</v>
      </c>
      <c r="J58" s="37" t="n">
        <v>2019</v>
      </c>
      <c r="K58" s="37" t="n">
        <v>2020</v>
      </c>
      <c r="L58" s="37" t="n">
        <v>2021</v>
      </c>
      <c r="M58" s="37" t="n">
        <v>2022</v>
      </c>
      <c r="N58" s="37" t="n">
        <v>2023</v>
      </c>
      <c r="O58" s="36" t="n"/>
      <c r="P58" s="36" t="inlineStr">
        <is>
          <t>Status</t>
        </is>
      </c>
      <c r="Q58" s="36" t="inlineStr">
        <is>
          <t>Source</t>
        </is>
      </c>
      <c r="R58" s="36" t="inlineStr">
        <is>
          <t>Page</t>
        </is>
      </c>
      <c r="S58" s="36" t="inlineStr">
        <is>
          <t>Note</t>
        </is>
      </c>
    </row>
    <row r="59" ht="29" customHeight="1">
      <c r="A59" s="38" t="inlineStr">
        <is>
          <t>Petrol produced, all plants</t>
        </is>
      </c>
      <c r="B59" s="38" t="inlineStr">
        <is>
          <t>South Africa</t>
        </is>
      </c>
      <c r="C59" s="38" t="inlineStr">
        <is>
          <t>billion litres</t>
        </is>
      </c>
      <c r="D59" s="38" t="inlineStr">
        <is>
          <t>calendar years</t>
        </is>
      </c>
      <c r="E59" s="40" t="n">
        <v>10.83</v>
      </c>
      <c r="F59" s="40" t="n">
        <v>10.46</v>
      </c>
      <c r="G59" s="40" t="n">
        <v>10.39</v>
      </c>
      <c r="H59" s="40" t="n">
        <v>9.43</v>
      </c>
      <c r="I59" s="40" t="n">
        <v>9.970000000000001</v>
      </c>
      <c r="J59" s="40" t="n">
        <v>10.42</v>
      </c>
      <c r="K59" s="40" t="n">
        <v>7.89</v>
      </c>
      <c r="L59" s="40" t="n">
        <v>6.35</v>
      </c>
      <c r="M59" s="38" t="n"/>
      <c r="N59" s="38" t="n"/>
      <c r="O59" s="38" t="n"/>
      <c r="P59" s="38" t="inlineStr">
        <is>
          <t>From source</t>
        </is>
      </c>
      <c r="Q59" s="38" t="inlineStr">
        <is>
          <t>Department of Mineral and Petroleum Resources, energy balances</t>
        </is>
      </c>
      <c r="R59" s="38" t="inlineStr"/>
      <c r="S59" s="38" t="inlineStr">
        <is>
          <t>The only output by product. Ends at 2021, the last balance published.</t>
        </is>
      </c>
    </row>
    <row r="60" ht="29" customHeight="1">
      <c r="A60" s="38" t="inlineStr">
        <is>
          <t>Diesel produced, all plants</t>
        </is>
      </c>
      <c r="B60" s="38" t="inlineStr">
        <is>
          <t>South Africa</t>
        </is>
      </c>
      <c r="C60" s="38" t="inlineStr">
        <is>
          <t>billion litres</t>
        </is>
      </c>
      <c r="D60" s="38" t="inlineStr">
        <is>
          <t>calendar years</t>
        </is>
      </c>
      <c r="E60" s="40" t="n">
        <v>9.59</v>
      </c>
      <c r="F60" s="40" t="n">
        <v>9.369999999999999</v>
      </c>
      <c r="G60" s="40" t="n">
        <v>9.01</v>
      </c>
      <c r="H60" s="40" t="n">
        <v>7.92</v>
      </c>
      <c r="I60" s="40" t="n">
        <v>8.43</v>
      </c>
      <c r="J60" s="40" t="n">
        <v>9.08</v>
      </c>
      <c r="K60" s="40" t="n">
        <v>6.45</v>
      </c>
      <c r="L60" s="40" t="n">
        <v>5.31</v>
      </c>
      <c r="M60" s="38" t="n"/>
      <c r="N60" s="38" t="n"/>
      <c r="O60" s="38" t="n"/>
      <c r="P60" s="38" t="inlineStr">
        <is>
          <t>From source</t>
        </is>
      </c>
      <c r="Q60" s="38" t="inlineStr">
        <is>
          <t>Department of Mineral and Petroleum Resources, energy balances</t>
        </is>
      </c>
      <c r="R60" s="38" t="inlineStr"/>
      <c r="S60" s="38" t="inlineStr">
        <is>
          <t>The only output by product. Ends at 2021, the last balance published.</t>
        </is>
      </c>
    </row>
    <row r="61" ht="42.5" customHeight="1">
      <c r="A61" s="38" t="inlineStr">
        <is>
          <t>Petrol produced, United Nations series (not used)</t>
        </is>
      </c>
      <c r="B61" s="38" t="inlineStr">
        <is>
          <t>South Africa</t>
        </is>
      </c>
      <c r="C61" s="38" t="inlineStr">
        <is>
          <t>thousand tonnes</t>
        </is>
      </c>
      <c r="D61" s="38" t="inlineStr">
        <is>
          <t>calendar years</t>
        </is>
      </c>
      <c r="E61" s="38" t="n"/>
      <c r="F61" s="38" t="n"/>
      <c r="G61" s="38" t="n"/>
      <c r="H61" s="38" t="n"/>
      <c r="I61" s="38" t="n"/>
      <c r="J61" s="39" t="n">
        <v>5030</v>
      </c>
      <c r="K61" s="39" t="n">
        <v>3491</v>
      </c>
      <c r="L61" s="39" t="n">
        <v>2488</v>
      </c>
      <c r="M61" s="39" t="n">
        <v>1323</v>
      </c>
      <c r="N61" s="39" t="n">
        <v>1827</v>
      </c>
      <c r="O61" s="38" t="n"/>
      <c r="P61" s="38" t="inlineStr">
        <is>
          <t>From source</t>
        </is>
      </c>
      <c r="Q61" s="38" t="inlineStr">
        <is>
          <t>United Nations Statistics Division, Energy Statistics Database (retrieved 8 October 2026)</t>
        </is>
      </c>
      <c r="R61" s="38" t="inlineStr">
        <is>
          <t>transaction 013, production from refineries</t>
        </is>
      </c>
      <c r="S61" s="38" t="inlineStr">
        <is>
          <t>Comparison only, not used. It does not match the department in the years they share: set against the department's litres it implies 0.39 to 0.48 kg a litre, and petrol weighs about 0.75.</t>
        </is>
      </c>
    </row>
    <row r="62" ht="56" customHeight="1">
      <c r="A62" s="38" t="inlineStr">
        <is>
          <t>Diesel produced, United Nations series (not used)</t>
        </is>
      </c>
      <c r="B62" s="38" t="inlineStr">
        <is>
          <t>South Africa</t>
        </is>
      </c>
      <c r="C62" s="38" t="inlineStr">
        <is>
          <t>thousand tonnes</t>
        </is>
      </c>
      <c r="D62" s="38" t="inlineStr">
        <is>
          <t>calendar years</t>
        </is>
      </c>
      <c r="E62" s="38" t="n"/>
      <c r="F62" s="38" t="n"/>
      <c r="G62" s="38" t="n"/>
      <c r="H62" s="38" t="n"/>
      <c r="I62" s="38" t="n"/>
      <c r="J62" s="39" t="n">
        <v>7535</v>
      </c>
      <c r="K62" s="39" t="n">
        <v>4676</v>
      </c>
      <c r="L62" s="39" t="n">
        <v>4282</v>
      </c>
      <c r="M62" s="39" t="n">
        <v>2383</v>
      </c>
      <c r="N62" s="39" t="n">
        <v>2222</v>
      </c>
      <c r="O62" s="38" t="n"/>
      <c r="P62" s="38" t="inlineStr">
        <is>
          <t>From source</t>
        </is>
      </c>
      <c r="Q62" s="38" t="inlineStr">
        <is>
          <t>United Nations Statistics Division, Energy Statistics Database (retrieved 8 October 2026)</t>
        </is>
      </c>
      <c r="R62" s="38" t="inlineStr">
        <is>
          <t>transaction 013, production from refineries</t>
        </is>
      </c>
      <c r="S62" s="38" t="inlineStr">
        <is>
          <t>Comparison only, not used. Close to the department in 2019 and 2021 (0.83 and 0.81 kg a litre implied, against about 0.84) but low in 2020 (0.73). The petrol series from the same source does not match, so neither is relied on.</t>
        </is>
      </c>
    </row>
    <row r="63">
      <c r="A63" s="36" t="inlineStr">
        <is>
          <t>Item</t>
        </is>
      </c>
      <c r="B63" s="36" t="inlineStr">
        <is>
          <t>Plant</t>
        </is>
      </c>
      <c r="C63" s="36" t="inlineStr">
        <is>
          <t>Unit</t>
        </is>
      </c>
      <c r="D63" s="36" t="inlineStr">
        <is>
          <t>Period</t>
        </is>
      </c>
      <c r="E63" s="36" t="inlineStr">
        <is>
          <t>Value</t>
        </is>
      </c>
      <c r="K63" s="36" t="n"/>
      <c r="L63" s="36" t="n"/>
      <c r="M63" s="36" t="n"/>
      <c r="N63" s="36" t="n"/>
      <c r="O63" s="36" t="n"/>
      <c r="P63" s="36" t="inlineStr">
        <is>
          <t>Status</t>
        </is>
      </c>
      <c r="Q63" s="36" t="inlineStr">
        <is>
          <t>Source</t>
        </is>
      </c>
      <c r="R63" s="36" t="inlineStr">
        <is>
          <t>Page</t>
        </is>
      </c>
      <c r="S63" s="36" t="inlineStr">
        <is>
          <t>Note</t>
        </is>
      </c>
    </row>
    <row r="64" ht="42.5" customHeight="1">
      <c r="A64" s="45" t="inlineStr">
        <is>
          <t>Petrol and diesel produced after 2021, on the department's basis</t>
        </is>
      </c>
      <c r="B64" s="45" t="inlineStr">
        <is>
          <t>South Africa</t>
        </is>
      </c>
      <c r="C64" s="45" t="inlineStr">
        <is>
          <t>billion litres</t>
        </is>
      </c>
      <c r="D64" s="45" t="inlineStr">
        <is>
          <t>2022 onward</t>
        </is>
      </c>
      <c r="E64" s="45" t="inlineStr">
        <is>
          <t>Not available</t>
        </is>
      </c>
      <c r="K64" s="45" t="n"/>
      <c r="L64" s="45" t="n"/>
      <c r="M64" s="45" t="n"/>
      <c r="N64" s="45" t="n"/>
      <c r="O64" s="45" t="n"/>
      <c r="P64" s="45" t="inlineStr">
        <is>
          <t>Not available</t>
        </is>
      </c>
      <c r="Q64" s="45" t="inlineStr">
        <is>
          <t>None published</t>
        </is>
      </c>
      <c r="R64" s="45" t="inlineStr"/>
      <c r="S64" s="45" t="inlineStr">
        <is>
          <t>The department has published no balance after 2021. The United Nations series runs to 2023 but does not match the department in the years they share.</t>
        </is>
      </c>
    </row>
    <row r="66">
      <c r="A66" s="35" t="inlineStr">
        <is>
          <t>Yields</t>
        </is>
      </c>
      <c r="B66" s="35" t="n"/>
      <c r="C66" s="35" t="n"/>
      <c r="D66" s="35" t="n"/>
      <c r="E66" s="35" t="n"/>
      <c r="F66" s="35" t="n"/>
      <c r="G66" s="35" t="n"/>
      <c r="H66" s="35" t="n"/>
      <c r="I66" s="35" t="n"/>
      <c r="J66" s="35" t="n"/>
      <c r="K66" s="35" t="n"/>
      <c r="L66" s="35" t="n"/>
      <c r="M66" s="35" t="n"/>
      <c r="N66" s="35" t="n"/>
      <c r="O66" s="35" t="n"/>
      <c r="P66" s="35" t="n"/>
      <c r="Q66" s="35" t="n"/>
      <c r="R66" s="35" t="n"/>
      <c r="S66" s="35" t="n"/>
      <c r="T66" s="35" t="n"/>
    </row>
    <row r="67">
      <c r="A67" s="36" t="inlineStr">
        <is>
          <t>Item</t>
        </is>
      </c>
      <c r="B67" s="36" t="inlineStr">
        <is>
          <t>Plant</t>
        </is>
      </c>
      <c r="C67" s="36" t="inlineStr">
        <is>
          <t>Unit</t>
        </is>
      </c>
      <c r="D67" s="36" t="inlineStr">
        <is>
          <t>Basis</t>
        </is>
      </c>
      <c r="E67" s="37" t="n">
        <v>2014</v>
      </c>
      <c r="F67" s="37" t="n">
        <v>2015</v>
      </c>
      <c r="G67" s="37" t="n">
        <v>2016</v>
      </c>
      <c r="H67" s="37" t="n">
        <v>2017</v>
      </c>
      <c r="I67" s="37" t="n">
        <v>2018</v>
      </c>
      <c r="J67" s="37" t="n">
        <v>2019</v>
      </c>
      <c r="K67" s="37" t="n">
        <v>2020</v>
      </c>
      <c r="L67" s="37" t="n">
        <v>2021</v>
      </c>
      <c r="M67" s="37" t="n">
        <v>2022</v>
      </c>
      <c r="N67" s="37" t="n">
        <v>2023</v>
      </c>
      <c r="O67" s="37" t="n">
        <v>2024</v>
      </c>
      <c r="P67" s="36" t="inlineStr">
        <is>
          <t>Status</t>
        </is>
      </c>
      <c r="Q67" s="36" t="inlineStr">
        <is>
          <t>Source</t>
        </is>
      </c>
      <c r="R67" s="36" t="inlineStr">
        <is>
          <t>Page</t>
        </is>
      </c>
      <c r="S67" s="36" t="inlineStr">
        <is>
          <t>Note</t>
        </is>
      </c>
    </row>
    <row r="68" ht="29" customHeight="1">
      <c r="A68" s="42" t="inlineStr">
        <is>
          <t>Petrol share of the four main fuels produced</t>
        </is>
      </c>
      <c r="B68" s="42" t="inlineStr">
        <is>
          <t>South Africa, all plants</t>
        </is>
      </c>
      <c r="C68" s="42" t="inlineStr">
        <is>
          <t>% of petrol, diesel, jet and paraffin</t>
        </is>
      </c>
      <c r="D68" s="42" t="inlineStr">
        <is>
          <t>calendar years</t>
        </is>
      </c>
      <c r="E68" s="44" t="n">
        <v>46.1</v>
      </c>
      <c r="F68" s="44" t="n">
        <v>44.8</v>
      </c>
      <c r="G68" s="44" t="n">
        <v>45</v>
      </c>
      <c r="H68" s="44" t="n">
        <v>48.1</v>
      </c>
      <c r="I68" s="44" t="n">
        <v>48.8</v>
      </c>
      <c r="J68" s="44" t="n">
        <v>49.5</v>
      </c>
      <c r="K68" s="44" t="n">
        <v>50.3</v>
      </c>
      <c r="L68" s="44" t="n">
        <v>50.6</v>
      </c>
      <c r="M68" s="42" t="n"/>
      <c r="N68" s="42" t="n"/>
      <c r="O68" s="42" t="n"/>
      <c r="P68" s="42" t="inlineStr">
        <is>
          <t>Calculated</t>
        </is>
      </c>
      <c r="Q68" s="42" t="inlineStr">
        <is>
          <t>Calculated from the energy balances</t>
        </is>
      </c>
      <c r="R68" s="42" t="inlineStr"/>
      <c r="S68" s="42" t="inlineStr">
        <is>
          <t>A national mix, not a plant yield. It will have shifted since the Durban refineries closed.</t>
        </is>
      </c>
    </row>
    <row r="69" ht="29" customHeight="1">
      <c r="A69" s="42" t="inlineStr">
        <is>
          <t>Diesel share of the four main fuels produced</t>
        </is>
      </c>
      <c r="B69" s="42" t="inlineStr">
        <is>
          <t>South Africa, all plants</t>
        </is>
      </c>
      <c r="C69" s="42" t="inlineStr">
        <is>
          <t>% of petrol, diesel, jet and paraffin</t>
        </is>
      </c>
      <c r="D69" s="42" t="inlineStr">
        <is>
          <t>calendar years</t>
        </is>
      </c>
      <c r="E69" s="44" t="n">
        <v>40.8</v>
      </c>
      <c r="F69" s="44" t="n">
        <v>40.1</v>
      </c>
      <c r="G69" s="44" t="n">
        <v>39</v>
      </c>
      <c r="H69" s="44" t="n">
        <v>40.4</v>
      </c>
      <c r="I69" s="44" t="n">
        <v>41.2</v>
      </c>
      <c r="J69" s="44" t="n">
        <v>43.1</v>
      </c>
      <c r="K69" s="44" t="n">
        <v>41.1</v>
      </c>
      <c r="L69" s="44" t="n">
        <v>42.3</v>
      </c>
      <c r="M69" s="42" t="n"/>
      <c r="N69" s="42" t="n"/>
      <c r="O69" s="42" t="n"/>
      <c r="P69" s="42" t="inlineStr">
        <is>
          <t>Calculated</t>
        </is>
      </c>
      <c r="Q69" s="42" t="inlineStr">
        <is>
          <t>Calculated from the energy balances</t>
        </is>
      </c>
      <c r="R69" s="42" t="inlineStr"/>
      <c r="S69" s="42" t="inlineStr">
        <is>
          <t>A national mix, not a plant yield. It will have shifted since the Durban refineries closed.</t>
        </is>
      </c>
    </row>
    <row r="70" ht="42.5" customHeight="1">
      <c r="A70" s="38" t="inlineStr">
        <is>
          <t>Natref white product yield</t>
        </is>
      </c>
      <c r="B70" s="38" t="inlineStr">
        <is>
          <t>Natref</t>
        </is>
      </c>
      <c r="C70" s="38" t="inlineStr">
        <is>
          <t>% of crude processed</t>
        </is>
      </c>
      <c r="D70" s="38" t="inlineStr">
        <is>
          <t>years to June</t>
        </is>
      </c>
      <c r="E70" s="38" t="n"/>
      <c r="F70" s="38" t="n"/>
      <c r="G70" s="38" t="n"/>
      <c r="H70" s="38" t="n"/>
      <c r="I70" s="38" t="n"/>
      <c r="J70" s="38" t="n"/>
      <c r="K70" s="40" t="n">
        <v>89.40000000000001</v>
      </c>
      <c r="L70" s="40" t="n">
        <v>88.5</v>
      </c>
      <c r="M70" s="40" t="n">
        <v>87.3</v>
      </c>
      <c r="N70" s="40" t="n">
        <v>88.09999999999999</v>
      </c>
      <c r="O70" s="40" t="n">
        <v>87.5</v>
      </c>
      <c r="P70" s="38" t="inlineStr">
        <is>
          <t>From source</t>
        </is>
      </c>
      <c r="Q70" s="38" t="inlineStr">
        <is>
          <t>Sasol production and sales metrics, June 2022 and June 2024</t>
        </is>
      </c>
      <c r="R70" s="38" t="inlineStr">
        <is>
          <t>2022 PDF p.4; 2024 PDF p.5</t>
        </is>
      </c>
      <c r="S70" s="38" t="inlineStr">
        <is>
          <t>White products are petrol, diesel, jet and other light products together. Total yield was 97 to 98%. Not reported in the 2025 and 2026 metrics.</t>
        </is>
      </c>
    </row>
    <row r="71">
      <c r="A71" s="36" t="inlineStr">
        <is>
          <t>Item</t>
        </is>
      </c>
      <c r="B71" s="36" t="inlineStr">
        <is>
          <t>Plant</t>
        </is>
      </c>
      <c r="C71" s="36" t="inlineStr">
        <is>
          <t>Unit</t>
        </is>
      </c>
      <c r="D71" s="36" t="inlineStr">
        <is>
          <t>Period</t>
        </is>
      </c>
      <c r="E71" s="36" t="inlineStr">
        <is>
          <t>Value</t>
        </is>
      </c>
      <c r="K71" s="36" t="n"/>
      <c r="L71" s="36" t="n"/>
      <c r="M71" s="36" t="n"/>
      <c r="N71" s="36" t="n"/>
      <c r="O71" s="36" t="n"/>
      <c r="P71" s="36" t="inlineStr">
        <is>
          <t>Status</t>
        </is>
      </c>
      <c r="Q71" s="36" t="inlineStr">
        <is>
          <t>Source</t>
        </is>
      </c>
      <c r="R71" s="36" t="inlineStr">
        <is>
          <t>Page</t>
        </is>
      </c>
      <c r="S71" s="36" t="inlineStr">
        <is>
          <t>Note</t>
        </is>
      </c>
    </row>
    <row r="72" ht="29" customHeight="1">
      <c r="A72" s="38" t="inlineStr">
        <is>
          <t>Petrol share of output</t>
        </is>
      </c>
      <c r="B72" s="38" t="inlineStr">
        <is>
          <t>Natref</t>
        </is>
      </c>
      <c r="C72" s="38" t="inlineStr">
        <is>
          <t>% of production</t>
        </is>
      </c>
      <c r="D72" s="38" t="inlineStr">
        <is>
          <t>as stated April 2021</t>
        </is>
      </c>
      <c r="E72" s="38" t="inlineStr">
        <is>
          <t>29 to 32</t>
        </is>
      </c>
      <c r="K72" s="38" t="n"/>
      <c r="L72" s="38" t="n"/>
      <c r="M72" s="38" t="n"/>
      <c r="N72" s="38" t="n"/>
      <c r="O72" s="38" t="n"/>
      <c r="P72" s="38" t="inlineStr">
        <is>
          <t>From source</t>
        </is>
      </c>
      <c r="Q72" s="38" t="inlineStr">
        <is>
          <t>Sasol Limited, Business Overview, April 2021</t>
        </is>
      </c>
      <c r="R72" s="38" t="inlineStr">
        <is>
          <t>PDF p.12</t>
        </is>
      </c>
      <c r="S72" s="38" t="inlineStr">
        <is>
          <t>A stated range, not a yearly figure. Jet is 9 to 21% and black products 5 to 8%.</t>
        </is>
      </c>
    </row>
    <row r="73" ht="29" customHeight="1">
      <c r="A73" s="38" t="inlineStr">
        <is>
          <t>Diesel share of output</t>
        </is>
      </c>
      <c r="B73" s="38" t="inlineStr">
        <is>
          <t>Natref</t>
        </is>
      </c>
      <c r="C73" s="38" t="inlineStr">
        <is>
          <t>% of production</t>
        </is>
      </c>
      <c r="D73" s="38" t="inlineStr">
        <is>
          <t>as stated April 2021</t>
        </is>
      </c>
      <c r="E73" s="38" t="inlineStr">
        <is>
          <t>31 to 37</t>
        </is>
      </c>
      <c r="K73" s="38" t="n"/>
      <c r="L73" s="38" t="n"/>
      <c r="M73" s="38" t="n"/>
      <c r="N73" s="38" t="n"/>
      <c r="O73" s="38" t="n"/>
      <c r="P73" s="38" t="inlineStr">
        <is>
          <t>From source</t>
        </is>
      </c>
      <c r="Q73" s="38" t="inlineStr">
        <is>
          <t>Sasol Limited, Business Overview, April 2021</t>
        </is>
      </c>
      <c r="R73" s="38" t="inlineStr">
        <is>
          <t>PDF p.12</t>
        </is>
      </c>
      <c r="S73" s="38" t="inlineStr">
        <is>
          <t>A stated range, not a yearly figure. Jet is 9 to 21% and black products 5 to 8%.</t>
        </is>
      </c>
    </row>
    <row r="74" ht="29" customHeight="1">
      <c r="A74" s="38" t="inlineStr">
        <is>
          <t>Petrol share of output</t>
        </is>
      </c>
      <c r="B74" s="38" t="inlineStr">
        <is>
          <t>Secunda</t>
        </is>
      </c>
      <c r="C74" s="38" t="inlineStr">
        <is>
          <t>% of petrol and diesel</t>
        </is>
      </c>
      <c r="D74" s="38" t="inlineStr">
        <is>
          <t>as stated April 2021</t>
        </is>
      </c>
      <c r="E74" s="41" t="n">
        <v>65</v>
      </c>
      <c r="K74" s="38" t="n"/>
      <c r="L74" s="38" t="n"/>
      <c r="M74" s="38" t="n"/>
      <c r="N74" s="38" t="n"/>
      <c r="O74" s="38" t="n"/>
      <c r="P74" s="38" t="inlineStr">
        <is>
          <t>From source</t>
        </is>
      </c>
      <c r="Q74" s="38" t="inlineStr">
        <is>
          <t>Sasol Limited, Business Overview, April 2021</t>
        </is>
      </c>
      <c r="R74" s="38" t="inlineStr">
        <is>
          <t>PDF p.12</t>
        </is>
      </c>
      <c r="S74" s="38" t="inlineStr">
        <is>
          <t>Sasol states the split as approximately 65% petrol, 35% diesel and does not say which total it applies to, so no volume is calculated.</t>
        </is>
      </c>
    </row>
    <row r="75" ht="29" customHeight="1">
      <c r="A75" s="38" t="inlineStr">
        <is>
          <t>Diesel share of output</t>
        </is>
      </c>
      <c r="B75" s="38" t="inlineStr">
        <is>
          <t>Secunda</t>
        </is>
      </c>
      <c r="C75" s="38" t="inlineStr">
        <is>
          <t>% of petrol and diesel</t>
        </is>
      </c>
      <c r="D75" s="38" t="inlineStr">
        <is>
          <t>as stated April 2021</t>
        </is>
      </c>
      <c r="E75" s="41" t="n">
        <v>35</v>
      </c>
      <c r="K75" s="38" t="n"/>
      <c r="L75" s="38" t="n"/>
      <c r="M75" s="38" t="n"/>
      <c r="N75" s="38" t="n"/>
      <c r="O75" s="38" t="n"/>
      <c r="P75" s="38" t="inlineStr">
        <is>
          <t>From source</t>
        </is>
      </c>
      <c r="Q75" s="38" t="inlineStr">
        <is>
          <t>Sasol Limited, Business Overview, April 2021</t>
        </is>
      </c>
      <c r="R75" s="38" t="inlineStr">
        <is>
          <t>PDF p.12</t>
        </is>
      </c>
      <c r="S75" s="38" t="inlineStr">
        <is>
          <t>Sasol states the split as approximately 65% petrol, 35% diesel and does not say which total it applies to, so no volume is calculated.</t>
        </is>
      </c>
    </row>
    <row r="76" ht="29" customHeight="1">
      <c r="A76" s="42" t="inlineStr">
        <is>
          <t>Petrol share of output, assumed</t>
        </is>
      </c>
      <c r="B76" s="42" t="inlineStr">
        <is>
          <t>Astron Energy</t>
        </is>
      </c>
      <c r="C76" s="42" t="inlineStr">
        <is>
          <t>% of petrol and diesel</t>
        </is>
      </c>
      <c r="D76" s="42" t="inlineStr">
        <is>
          <t>assumption</t>
        </is>
      </c>
      <c r="E76" s="64" t="n">
        <v>50</v>
      </c>
      <c r="K76" s="42" t="n"/>
      <c r="L76" s="42" t="n"/>
      <c r="M76" s="42" t="n"/>
      <c r="N76" s="42" t="n"/>
      <c r="O76" s="42" t="n"/>
      <c r="P76" s="42" t="inlineStr">
        <is>
          <t>Calculated</t>
        </is>
      </c>
      <c r="Q76" s="42" t="inlineStr">
        <is>
          <t>Assumption agreed with Nigel on the call of 9 October 2026</t>
        </is>
      </c>
      <c r="R76" s="42" t="inlineStr"/>
      <c r="S76" s="42" t="inlineStr">
        <is>
          <t>Nothing is published for Astron. An even split, so the model responds sensibly when the plant is switched on or off; not a measured figure.</t>
        </is>
      </c>
    </row>
    <row r="77" ht="29" customHeight="1">
      <c r="A77" s="42" t="inlineStr">
        <is>
          <t>Diesel share of output, assumed</t>
        </is>
      </c>
      <c r="B77" s="42" t="inlineStr">
        <is>
          <t>Astron Energy</t>
        </is>
      </c>
      <c r="C77" s="42" t="inlineStr">
        <is>
          <t>% of petrol and diesel</t>
        </is>
      </c>
      <c r="D77" s="42" t="inlineStr">
        <is>
          <t>assumption</t>
        </is>
      </c>
      <c r="E77" s="64" t="n">
        <v>50</v>
      </c>
      <c r="K77" s="42" t="n"/>
      <c r="L77" s="42" t="n"/>
      <c r="M77" s="42" t="n"/>
      <c r="N77" s="42" t="n"/>
      <c r="O77" s="42" t="n"/>
      <c r="P77" s="42" t="inlineStr">
        <is>
          <t>Calculated</t>
        </is>
      </c>
      <c r="Q77" s="42" t="inlineStr">
        <is>
          <t>Assumption agreed with Nigel on the call of 9 October 2026</t>
        </is>
      </c>
      <c r="R77" s="42" t="inlineStr"/>
      <c r="S77" s="42" t="inlineStr">
        <is>
          <t>Nothing is published for Astron. An even split, so the model responds sensibly when the plant is switched on or off; not a measured figure.</t>
        </is>
      </c>
    </row>
    <row r="79">
      <c r="A79" s="35" t="inlineStr">
        <is>
          <t>Utilisation</t>
        </is>
      </c>
      <c r="B79" s="35" t="n"/>
      <c r="C79" s="35" t="n"/>
      <c r="D79" s="35" t="n"/>
      <c r="E79" s="35" t="n"/>
      <c r="F79" s="35" t="n"/>
      <c r="G79" s="35" t="n"/>
      <c r="H79" s="35" t="n"/>
      <c r="I79" s="35" t="n"/>
      <c r="J79" s="35" t="n"/>
      <c r="K79" s="35" t="n"/>
      <c r="L79" s="35" t="n"/>
      <c r="M79" s="35" t="n"/>
      <c r="N79" s="35" t="n"/>
      <c r="O79" s="35" t="n"/>
      <c r="P79" s="35" t="n"/>
      <c r="Q79" s="35" t="n"/>
      <c r="R79" s="35" t="n"/>
      <c r="S79" s="35" t="n"/>
      <c r="T79" s="35" t="n"/>
    </row>
    <row r="80">
      <c r="A80" s="36" t="inlineStr">
        <is>
          <t>Item</t>
        </is>
      </c>
      <c r="B80" s="36" t="inlineStr">
        <is>
          <t>Plant</t>
        </is>
      </c>
      <c r="C80" s="36" t="inlineStr">
        <is>
          <t>Unit</t>
        </is>
      </c>
      <c r="D80" s="36" t="inlineStr">
        <is>
          <t>Basis</t>
        </is>
      </c>
      <c r="E80" s="37" t="n">
        <v>2020</v>
      </c>
      <c r="F80" s="37" t="n">
        <v>2021</v>
      </c>
      <c r="G80" s="37" t="n">
        <v>2022</v>
      </c>
      <c r="H80" s="37" t="n">
        <v>2023</v>
      </c>
      <c r="I80" s="37" t="n">
        <v>2024</v>
      </c>
      <c r="J80" s="37" t="n">
        <v>2025</v>
      </c>
      <c r="K80" s="37" t="n">
        <v>2026</v>
      </c>
      <c r="L80" s="36" t="n"/>
      <c r="M80" s="36" t="n"/>
      <c r="N80" s="36" t="n"/>
      <c r="O80" s="36" t="n"/>
      <c r="P80" s="36" t="inlineStr">
        <is>
          <t>Status</t>
        </is>
      </c>
      <c r="Q80" s="36" t="inlineStr">
        <is>
          <t>Source</t>
        </is>
      </c>
      <c r="R80" s="36" t="inlineStr">
        <is>
          <t>Page</t>
        </is>
      </c>
      <c r="S80" s="36" t="inlineStr">
        <is>
          <t>Note</t>
        </is>
      </c>
    </row>
    <row r="81" ht="29" customHeight="1">
      <c r="A81" s="42" t="inlineStr">
        <is>
          <t>Output as a share of published capacity</t>
        </is>
      </c>
      <c r="B81" s="42" t="inlineStr">
        <is>
          <t>Secunda</t>
        </is>
      </c>
      <c r="C81" s="42" t="inlineStr">
        <is>
          <t>%</t>
        </is>
      </c>
      <c r="D81" s="42" t="inlineStr">
        <is>
          <t>years to June</t>
        </is>
      </c>
      <c r="E81" s="46" t="n">
        <v>57</v>
      </c>
      <c r="F81" s="46" t="n">
        <v>59</v>
      </c>
      <c r="G81" s="46" t="n">
        <v>53</v>
      </c>
      <c r="H81" s="46" t="n">
        <v>55</v>
      </c>
      <c r="I81" s="46" t="n">
        <v>53</v>
      </c>
      <c r="J81" s="46" t="n">
        <v>50</v>
      </c>
      <c r="K81" s="46" t="n">
        <v>56</v>
      </c>
      <c r="L81" s="42" t="n"/>
      <c r="M81" s="42" t="n"/>
      <c r="N81" s="42" t="n"/>
      <c r="O81" s="42" t="n"/>
      <c r="P81" s="42" t="inlineStr">
        <is>
          <t>Calculated</t>
        </is>
      </c>
      <c r="Q81" s="42" t="inlineStr">
        <is>
          <t>Reported output over published capacity</t>
        </is>
      </c>
      <c r="R81" s="42" t="inlineStr"/>
      <c r="S81" s="42" t="inlineStr">
        <is>
          <t>Capacity is crude equivalent and output is refined product, so this understates how hard the plant runs.</t>
        </is>
      </c>
    </row>
    <row r="82" ht="42.5" customHeight="1">
      <c r="A82" s="42" t="inlineStr">
        <is>
          <t>Output as a share of published capacity</t>
        </is>
      </c>
      <c r="B82" s="42" t="inlineStr">
        <is>
          <t>Natref</t>
        </is>
      </c>
      <c r="C82" s="42" t="inlineStr">
        <is>
          <t>%</t>
        </is>
      </c>
      <c r="D82" s="42" t="inlineStr">
        <is>
          <t>years to June</t>
        </is>
      </c>
      <c r="E82" s="46" t="n">
        <v>67</v>
      </c>
      <c r="F82" s="46" t="n">
        <v>71</v>
      </c>
      <c r="G82" s="46" t="n">
        <v>75</v>
      </c>
      <c r="H82" s="46" t="n">
        <v>69</v>
      </c>
      <c r="I82" s="46" t="n">
        <v>71</v>
      </c>
      <c r="J82" s="46" t="n">
        <v>59</v>
      </c>
      <c r="K82" s="42" t="n"/>
      <c r="L82" s="42" t="n"/>
      <c r="M82" s="42" t="n"/>
      <c r="N82" s="42" t="n"/>
      <c r="O82" s="42" t="n"/>
      <c r="P82" s="42" t="inlineStr">
        <is>
          <t>Calculated</t>
        </is>
      </c>
      <c r="Q82" s="42" t="inlineStr">
        <is>
          <t>Reported output over published capacity, Sasol's share scaled to the whole refinery</t>
        </is>
      </c>
      <c r="R82" s="42" t="inlineStr"/>
      <c r="S82" s="42" t="inlineStr">
        <is>
          <t>Capacity is crude equivalent and output is refined product, so this understates how hard the plant runs. The year to June 2026 is left out because Sasol's figure includes output above its share.</t>
        </is>
      </c>
    </row>
    <row r="83" ht="42.5" customHeight="1">
      <c r="A83" s="42" t="inlineStr">
        <is>
          <t>Output as a share of published capacity, estimated</t>
        </is>
      </c>
      <c r="B83" s="42" t="inlineStr">
        <is>
          <t>Astron Energy</t>
        </is>
      </c>
      <c r="C83" s="42" t="inlineStr">
        <is>
          <t>%</t>
        </is>
      </c>
      <c r="D83" s="42" t="inlineStr">
        <is>
          <t>calendar years</t>
        </is>
      </c>
      <c r="E83" s="42" t="n"/>
      <c r="F83" s="42" t="n"/>
      <c r="G83" s="42" t="n"/>
      <c r="H83" s="46" t="n">
        <v>65</v>
      </c>
      <c r="I83" s="46" t="n">
        <v>78</v>
      </c>
      <c r="J83" s="46" t="n">
        <v>78</v>
      </c>
      <c r="K83" s="42" t="n"/>
      <c r="L83" s="42" t="n"/>
      <c r="M83" s="42" t="n"/>
      <c r="N83" s="42" t="n"/>
      <c r="O83" s="42" t="n"/>
      <c r="P83" s="42" t="inlineStr">
        <is>
          <t>Calculated</t>
        </is>
      </c>
      <c r="Q83" s="42" t="inlineStr">
        <is>
          <t>Glencore's energy content at 5.8 million Btu a barrel of oil equivalent, over published capacity</t>
        </is>
      </c>
      <c r="R83" s="42" t="inlineStr"/>
      <c r="S83" s="42" t="inlineStr">
        <is>
          <t>An estimate: no throughput in barrels is published. Refined products hold a little less energy per barrel than the standard, so true utilisation is somewhat higher. 2023 is the restart year.</t>
        </is>
      </c>
    </row>
    <row r="84">
      <c r="A84" s="36" t="inlineStr">
        <is>
          <t>Item</t>
        </is>
      </c>
      <c r="B84" s="36" t="inlineStr">
        <is>
          <t>Plant</t>
        </is>
      </c>
      <c r="C84" s="36" t="inlineStr">
        <is>
          <t>Unit</t>
        </is>
      </c>
      <c r="D84" s="36" t="inlineStr">
        <is>
          <t>Period</t>
        </is>
      </c>
      <c r="E84" s="36" t="inlineStr">
        <is>
          <t>Value</t>
        </is>
      </c>
      <c r="K84" s="36" t="n"/>
      <c r="L84" s="36" t="n"/>
      <c r="M84" s="36" t="n"/>
      <c r="N84" s="36" t="n"/>
      <c r="O84" s="36" t="n"/>
      <c r="P84" s="36" t="inlineStr">
        <is>
          <t>Status</t>
        </is>
      </c>
      <c r="Q84" s="36" t="inlineStr">
        <is>
          <t>Source</t>
        </is>
      </c>
      <c r="R84" s="36" t="inlineStr">
        <is>
          <t>Page</t>
        </is>
      </c>
      <c r="S84" s="36" t="inlineStr">
        <is>
          <t>Note</t>
        </is>
      </c>
    </row>
    <row r="85" ht="29" customHeight="1">
      <c r="A85" s="38" t="inlineStr">
        <is>
          <t>Utilisation as stated by the operator</t>
        </is>
      </c>
      <c r="B85" s="38" t="inlineStr">
        <is>
          <t>Astron Energy</t>
        </is>
      </c>
      <c r="C85" s="38" t="inlineStr"/>
      <c r="D85" s="38" t="inlineStr">
        <is>
          <t>2025</t>
        </is>
      </c>
      <c r="E85" s="38" t="inlineStr">
        <is>
          <t>Operating at full capacity, producing petrol, diesel, jet fuel and low-sulphur marine fuel</t>
        </is>
      </c>
      <c r="K85" s="38" t="n"/>
      <c r="L85" s="38" t="n"/>
      <c r="M85" s="38" t="n"/>
      <c r="N85" s="38" t="n"/>
      <c r="O85" s="38" t="n"/>
      <c r="P85" s="38" t="inlineStr">
        <is>
          <t>From source</t>
        </is>
      </c>
      <c r="Q85" s="38" t="inlineStr">
        <is>
          <t>Astron Energy chief executive, in a company article in Engineering News</t>
        </is>
      </c>
      <c r="R85" s="38" t="inlineStr"/>
      <c r="S85" s="38" t="inlineStr">
        <is>
          <t>The operator's own statement; no volume is given. Glencore's energy figure implies less than full: see the estimate below.</t>
        </is>
      </c>
    </row>
    <row r="87">
      <c r="A87" s="35" t="inlineStr">
        <is>
          <t>Outlook</t>
        </is>
      </c>
      <c r="B87" s="35" t="n"/>
      <c r="C87" s="35" t="n"/>
      <c r="D87" s="35" t="n"/>
      <c r="E87" s="35" t="n"/>
      <c r="F87" s="35" t="n"/>
      <c r="G87" s="35" t="n"/>
      <c r="H87" s="35" t="n"/>
      <c r="I87" s="35" t="n"/>
      <c r="J87" s="35" t="n"/>
      <c r="K87" s="35" t="n"/>
      <c r="L87" s="35" t="n"/>
      <c r="M87" s="35" t="n"/>
      <c r="N87" s="35" t="n"/>
      <c r="O87" s="35" t="n"/>
      <c r="P87" s="35" t="n"/>
      <c r="Q87" s="35" t="n"/>
      <c r="R87" s="35" t="n"/>
      <c r="S87" s="35" t="n"/>
      <c r="T87" s="35" t="n"/>
    </row>
    <row r="88">
      <c r="A88" s="36" t="inlineStr">
        <is>
          <t>Item</t>
        </is>
      </c>
      <c r="B88" s="36" t="inlineStr">
        <is>
          <t>Plant</t>
        </is>
      </c>
      <c r="C88" s="36" t="inlineStr">
        <is>
          <t>Unit</t>
        </is>
      </c>
      <c r="D88" s="36" t="inlineStr">
        <is>
          <t>Period</t>
        </is>
      </c>
      <c r="E88" s="36" t="inlineStr">
        <is>
          <t>Value</t>
        </is>
      </c>
      <c r="K88" s="36" t="n"/>
      <c r="L88" s="36" t="n"/>
      <c r="M88" s="36" t="n"/>
      <c r="N88" s="36" t="n"/>
      <c r="O88" s="36" t="n"/>
      <c r="P88" s="36" t="inlineStr">
        <is>
          <t>Status</t>
        </is>
      </c>
      <c r="Q88" s="36" t="inlineStr">
        <is>
          <t>Source</t>
        </is>
      </c>
      <c r="R88" s="36" t="inlineStr">
        <is>
          <t>Page</t>
        </is>
      </c>
      <c r="S88" s="36" t="inlineStr">
        <is>
          <t>Note</t>
        </is>
      </c>
    </row>
    <row r="89" ht="29" customHeight="1">
      <c r="A89" s="38" t="inlineStr">
        <is>
          <t>Outlook</t>
        </is>
      </c>
      <c r="B89" s="38" t="inlineStr">
        <is>
          <t>Sapref site (Central Energy Fund)</t>
        </is>
      </c>
      <c r="C89" s="38" t="inlineStr"/>
      <c r="D89" s="38" t="inlineStr">
        <is>
          <t>no dates given</t>
        </is>
      </c>
      <c r="E89" s="38" t="inlineStr">
        <is>
          <t>Three phases: imports through existing tanks; a refinery of about 400,000 barrels a day; then 400,000 to 650,000</t>
        </is>
      </c>
      <c r="K89" s="38" t="n"/>
      <c r="L89" s="38" t="n"/>
      <c r="M89" s="38" t="n"/>
      <c r="N89" s="38" t="n"/>
      <c r="O89" s="38" t="n"/>
      <c r="P89" s="38" t="inlineStr">
        <is>
          <t>From source</t>
        </is>
      </c>
      <c r="Q89" s="38" t="inlineStr">
        <is>
          <t>Central Energy Fund, roadmap statement of 10 September 2026</t>
        </is>
      </c>
      <c r="R89" s="38" t="inlineStr"/>
      <c r="S89" s="38" t="inlineStr">
        <is>
          <t>No investment decision, dates or product slate. Phase one is an import terminal in Durban, which competes with existing terminals.</t>
        </is>
      </c>
    </row>
    <row r="90" ht="29" customHeight="1">
      <c r="A90" s="38" t="inlineStr">
        <is>
          <t>Outlook</t>
        </is>
      </c>
      <c r="B90" s="38" t="inlineStr">
        <is>
          <t>Secunda</t>
        </is>
      </c>
      <c r="C90" s="38" t="inlineStr"/>
      <c r="D90" s="38" t="inlineStr">
        <is>
          <t>July 2028 to June 2030</t>
        </is>
      </c>
      <c r="E90" s="38" t="inlineStr">
        <is>
          <t>Sasol finds it technically feasible to supply Secunda's methane-rich gas to outside customers as Mozambican gas declines</t>
        </is>
      </c>
      <c r="K90" s="38" t="n"/>
      <c r="L90" s="38" t="n"/>
      <c r="M90" s="38" t="n"/>
      <c r="N90" s="38" t="n"/>
      <c r="O90" s="38" t="n"/>
      <c r="P90" s="38" t="inlineStr">
        <is>
          <t>From source</t>
        </is>
      </c>
      <c r="Q90" s="38" t="inlineStr">
        <is>
          <t>Sasol media release, 6 November 2025</t>
        </is>
      </c>
      <c r="R90" s="38" t="inlineStr"/>
      <c r="S90" s="38" t="inlineStr">
        <is>
          <t>No liquid fuels penalty is quantified. Depends on approvals and investment.</t>
        </is>
      </c>
    </row>
    <row r="91" ht="29" customHeight="1">
      <c r="A91" s="38" t="inlineStr">
        <is>
          <t>Outlook</t>
        </is>
      </c>
      <c r="B91" s="38" t="inlineStr">
        <is>
          <t>PetroSA (Mossel Bay)</t>
        </is>
      </c>
      <c r="C91" s="38" t="inlineStr"/>
      <c r="D91" s="38" t="inlineStr">
        <is>
          <t>no dates given</t>
        </is>
      </c>
      <c r="E91" s="38" t="inlineStr">
        <is>
          <t>Tender to recommission the liquids refinery and adapt the terminal to import finished products</t>
        </is>
      </c>
      <c r="K91" s="38" t="n"/>
      <c r="L91" s="38" t="n"/>
      <c r="M91" s="38" t="n"/>
      <c r="N91" s="38" t="n"/>
      <c r="O91" s="38" t="n"/>
      <c r="P91" s="38" t="inlineStr">
        <is>
          <t>From source</t>
        </is>
      </c>
      <c r="Q91" s="38" t="inlineStr">
        <is>
          <t>PetroSA tender scope of work</t>
        </is>
      </c>
      <c r="R91" s="38" t="inlineStr"/>
      <c r="S91" s="38" t="inlineStr">
        <is>
          <t>No restart date or output.</t>
        </is>
      </c>
    </row>
    <row r="92" ht="29" customHeight="1">
      <c r="A92" s="38" t="inlineStr">
        <is>
          <t>Outlook</t>
        </is>
      </c>
      <c r="B92" s="38" t="inlineStr">
        <is>
          <t>Secunda</t>
        </is>
      </c>
      <c r="C92" s="38" t="inlineStr"/>
      <c r="D92" s="38" t="inlineStr">
        <is>
          <t>year to June 2026</t>
        </is>
      </c>
      <c r="E92" s="38" t="inlineStr">
        <is>
          <t>Production 8% up and above guidance; Natref 76% up using a co-owner's capacity</t>
        </is>
      </c>
      <c r="K92" s="38" t="n"/>
      <c r="L92" s="38" t="n"/>
      <c r="M92" s="38" t="n"/>
      <c r="N92" s="38" t="n"/>
      <c r="O92" s="38" t="n"/>
      <c r="P92" s="38" t="inlineStr">
        <is>
          <t>From source</t>
        </is>
      </c>
      <c r="Q92" s="38" t="inlineStr">
        <is>
          <t>Sasol business performance metrics, 30 June 2026</t>
        </is>
      </c>
      <c r="R92" s="38" t="inlineStr">
        <is>
          <t>PDF p.4</t>
        </is>
      </c>
      <c r="S92" s="38" t="inlineStr">
        <is>
          <t>Natref's rise includes Sasol using Prax SA's share during that company's business rescue.</t>
        </is>
      </c>
    </row>
  </sheetData>
  <mergeCells count="56">
    <mergeCell ref="E19:J19"/>
    <mergeCell ref="E63:J63"/>
    <mergeCell ref="E10:J10"/>
    <mergeCell ref="E28:J28"/>
    <mergeCell ref="E13:J13"/>
    <mergeCell ref="E84:J84"/>
    <mergeCell ref="E9:J9"/>
    <mergeCell ref="E31:J31"/>
    <mergeCell ref="E34:J34"/>
    <mergeCell ref="E73:J73"/>
    <mergeCell ref="E74:J74"/>
    <mergeCell ref="E6:J6"/>
    <mergeCell ref="E30:J30"/>
    <mergeCell ref="E64:J64"/>
    <mergeCell ref="E15:J15"/>
    <mergeCell ref="E90:J90"/>
    <mergeCell ref="E77:J77"/>
    <mergeCell ref="E11:J11"/>
    <mergeCell ref="E49:J49"/>
    <mergeCell ref="E89:J89"/>
    <mergeCell ref="E36:J36"/>
    <mergeCell ref="E27:J27"/>
    <mergeCell ref="E26:J26"/>
    <mergeCell ref="E91:J91"/>
    <mergeCell ref="E54:J54"/>
    <mergeCell ref="E76:J76"/>
    <mergeCell ref="E7:J7"/>
    <mergeCell ref="E25:J25"/>
    <mergeCell ref="E72:J72"/>
    <mergeCell ref="E85:J85"/>
    <mergeCell ref="E16:J16"/>
    <mergeCell ref="E32:J32"/>
    <mergeCell ref="E37:J37"/>
    <mergeCell ref="E18:J18"/>
    <mergeCell ref="E53:J53"/>
    <mergeCell ref="E75:J75"/>
    <mergeCell ref="E12:J12"/>
    <mergeCell ref="E50:J50"/>
    <mergeCell ref="E21:J21"/>
    <mergeCell ref="E33:J33"/>
    <mergeCell ref="E71:J71"/>
    <mergeCell ref="E55:J55"/>
    <mergeCell ref="E24:J24"/>
    <mergeCell ref="E14:J14"/>
    <mergeCell ref="E52:J52"/>
    <mergeCell ref="E48:J48"/>
    <mergeCell ref="E17:J17"/>
    <mergeCell ref="E92:J92"/>
    <mergeCell ref="E39:J39"/>
    <mergeCell ref="E8:J8"/>
    <mergeCell ref="E35:J35"/>
    <mergeCell ref="E88:J88"/>
    <mergeCell ref="E51:J51"/>
    <mergeCell ref="E20:J20"/>
    <mergeCell ref="E38:J38"/>
    <mergeCell ref="E29:J2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2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8" customWidth="1" min="1" max="1"/>
    <col width="48" customWidth="1" min="2" max="2"/>
    <col width="9" customWidth="1" min="3" max="3"/>
    <col width="9" customWidth="1" min="4" max="4"/>
    <col width="9" customWidth="1" min="5" max="5"/>
    <col width="20" customWidth="1" min="6" max="6"/>
    <col width="30" customWidth="1" min="7" max="7"/>
    <col width="12" customWidth="1" min="8" max="8"/>
    <col width="52" customWidth="1" min="9" max="9"/>
    <col width="70" customWidth="1" min="10" max="10"/>
  </cols>
  <sheetData>
    <row r="1">
      <c r="A1" s="1" t="inlineStr">
        <is>
          <t>Market sizing: what each Vopak site can reach</t>
        </is>
      </c>
    </row>
    <row r="2">
      <c r="A2" s="2" t="inlineStr">
        <is>
          <t>Billion litres a year unless the unit says otherwise. Public data only: no client throughput is assumed. Every litre Lesedi receives by pipeline lands at Durban first, so the two site markets are never added together.</t>
        </is>
      </c>
    </row>
    <row r="4">
      <c r="A4" s="3" t="inlineStr">
        <is>
          <t>Site</t>
        </is>
      </c>
      <c r="B4" s="3" t="inlineStr">
        <is>
          <t>Measure</t>
        </is>
      </c>
      <c r="C4" s="3" t="inlineStr">
        <is>
          <t>Petrol</t>
        </is>
      </c>
      <c r="D4" s="3" t="inlineStr">
        <is>
          <t>Diesel</t>
        </is>
      </c>
      <c r="E4" s="3" t="inlineStr">
        <is>
          <t>Both</t>
        </is>
      </c>
      <c r="F4" s="3" t="inlineStr">
        <is>
          <t>Unit</t>
        </is>
      </c>
      <c r="G4" s="3" t="inlineStr">
        <is>
          <t>Period</t>
        </is>
      </c>
      <c r="H4" s="3" t="inlineStr">
        <is>
          <t>Status</t>
        </is>
      </c>
      <c r="I4" s="3" t="inlineStr">
        <is>
          <t>Source</t>
        </is>
      </c>
      <c r="J4" s="3" t="inlineStr">
        <is>
          <t>Note</t>
        </is>
      </c>
    </row>
    <row r="5" ht="29" customHeight="1">
      <c r="A5" s="17" t="inlineStr">
        <is>
          <t>Durban</t>
        </is>
      </c>
      <c r="B5" s="17" t="inlineStr">
        <is>
          <t>Landed at Durban</t>
        </is>
      </c>
      <c r="C5" s="69" t="n">
        <v>4.229</v>
      </c>
      <c r="D5" s="69" t="n">
        <v>8.932</v>
      </c>
      <c r="E5" s="69" t="n">
        <v>13.161</v>
      </c>
      <c r="F5" s="17" t="inlineStr">
        <is>
          <t>billion litres a year</t>
        </is>
      </c>
      <c r="G5" s="17" t="inlineStr">
        <is>
          <t>2025</t>
        </is>
      </c>
      <c r="H5" s="17" t="inlineStr">
        <is>
          <t>Observed</t>
        </is>
      </c>
      <c r="I5" s="17" t="inlineStr">
        <is>
          <t>SARS customs, imports by office of clearance (fuel_trade_sars_by_office.csv)</t>
        </is>
      </c>
      <c r="J5" s="17" t="inlineStr">
        <is>
          <t>95% of the 4.45 imported through every office. The most any Durban terminal can handle.</t>
        </is>
      </c>
    </row>
    <row r="6" ht="29" customHeight="1">
      <c r="A6" s="17" t="inlineStr">
        <is>
          <t>Durban</t>
        </is>
      </c>
      <c r="B6" s="17" t="inlineStr">
        <is>
          <t>Coastal catchment: KwaZulu-Natal sales</t>
        </is>
      </c>
      <c r="C6" s="69" t="n">
        <v>1.499</v>
      </c>
      <c r="D6" s="69" t="n">
        <v>2.786</v>
      </c>
      <c r="E6" s="69" t="n">
        <v>4.284</v>
      </c>
      <c r="F6" s="17" t="inlineStr">
        <is>
          <t>billion litres a year</t>
        </is>
      </c>
      <c r="G6" s="17" t="inlineStr">
        <is>
          <t>2022</t>
        </is>
      </c>
      <c r="H6" s="17" t="inlineStr">
        <is>
          <t>Observed</t>
        </is>
      </c>
      <c r="I6" s="17" t="inlineStr">
        <is>
          <t>Department of Mineral and Petroleum Resources, sales by magisterial district added up by province</t>
        </is>
      </c>
      <c r="J6" s="17" t="inlineStr">
        <is>
          <t>Assumes KwaZulu-Natal is supplied from Durban, as both Durban refineries have stopped refining (DR08). The lower end of the Durban market.</t>
        </is>
      </c>
    </row>
    <row r="7" ht="42.5" customHeight="1">
      <c r="A7" s="23" t="inlineStr">
        <is>
          <t>Durban</t>
        </is>
      </c>
      <c r="B7" s="23" t="inlineStr">
        <is>
          <t>Inland-bound through Durban</t>
        </is>
      </c>
      <c r="C7" s="70" t="n">
        <v>2.73</v>
      </c>
      <c r="D7" s="70" t="n">
        <v>6.146</v>
      </c>
      <c r="E7" s="70" t="n">
        <v>8.875999999999999</v>
      </c>
      <c r="F7" s="23" t="inlineStr">
        <is>
          <t>billion litres a year</t>
        </is>
      </c>
      <c r="G7" s="23" t="inlineStr">
        <is>
          <t>2025 imports, 2022 sales</t>
        </is>
      </c>
      <c r="H7" s="23" t="inlineStr">
        <is>
          <t>Estimated</t>
        </is>
      </c>
      <c r="I7" s="23" t="inlineStr">
        <is>
          <t>SARS customs, imports by office of clearance (fuel_trade_sars_by_office.csv); Department of Mineral and Petroleum Resources, sales by magisterial district added up by province</t>
        </is>
      </c>
      <c r="J7" s="23" t="inlineStr">
        <is>
          <t>Mixes two years, and ignores coastwise shipments and exports by road from KwaZulu-Natal.</t>
        </is>
      </c>
    </row>
    <row r="8" ht="29" customHeight="1">
      <c r="A8" s="17" t="inlineStr">
        <is>
          <t>Lesedi</t>
        </is>
      </c>
      <c r="B8" s="17" t="inlineStr">
        <is>
          <t>Near catchment: Gauteng sales</t>
        </is>
      </c>
      <c r="C8" s="69" t="n">
        <v>3.53</v>
      </c>
      <c r="D8" s="69" t="n">
        <v>3.279</v>
      </c>
      <c r="E8" s="69" t="n">
        <v>6.809</v>
      </c>
      <c r="F8" s="17" t="inlineStr">
        <is>
          <t>billion litres a year</t>
        </is>
      </c>
      <c r="G8" s="17" t="inlineStr">
        <is>
          <t>2022</t>
        </is>
      </c>
      <c r="H8" s="17" t="inlineStr">
        <is>
          <t>Observed</t>
        </is>
      </c>
      <c r="I8" s="17" t="inlineStr">
        <is>
          <t>Department of Mineral and Petroleum Resources, sales by magisterial district added up by province</t>
        </is>
      </c>
      <c r="J8" s="17" t="inlineStr">
        <is>
          <t>The market on Lesedi's doorstep. Part of it is supplied by Natref and Secunda, whose output by product is not published after 2021.</t>
        </is>
      </c>
    </row>
    <row r="9" ht="29" customHeight="1">
      <c r="A9" s="17" t="inlineStr">
        <is>
          <t>Lesedi</t>
        </is>
      </c>
      <c r="B9" s="17" t="inlineStr">
        <is>
          <t>Inland catchment: six inland provinces</t>
        </is>
      </c>
      <c r="C9" s="69" t="n">
        <v>5.552</v>
      </c>
      <c r="D9" s="69" t="n">
        <v>6.4</v>
      </c>
      <c r="E9" s="69" t="n">
        <v>11.951</v>
      </c>
      <c r="F9" s="17" t="inlineStr">
        <is>
          <t>billion litres a year</t>
        </is>
      </c>
      <c r="G9" s="17" t="inlineStr">
        <is>
          <t>2022</t>
        </is>
      </c>
      <c r="H9" s="17" t="inlineStr">
        <is>
          <t>Observed</t>
        </is>
      </c>
      <c r="I9" s="17" t="inlineStr">
        <is>
          <t>Department of Mineral and Petroleum Resources, sales by magisterial district added up by province</t>
        </is>
      </c>
      <c r="J9" s="17" t="inlineStr">
        <is>
          <t>The upper end: everything sold inland, whoever supplies it.</t>
        </is>
      </c>
    </row>
    <row r="10" ht="42.5" customHeight="1">
      <c r="A10" s="23" t="inlineStr">
        <is>
          <t>Lesedi</t>
        </is>
      </c>
      <c r="B10" s="23" t="inlineStr">
        <is>
          <t>Inland-bound through Durban</t>
        </is>
      </c>
      <c r="C10" s="70" t="n">
        <v>2.73</v>
      </c>
      <c r="D10" s="70" t="n">
        <v>6.146</v>
      </c>
      <c r="E10" s="70" t="n">
        <v>8.875999999999999</v>
      </c>
      <c r="F10" s="23" t="inlineStr">
        <is>
          <t>billion litres a year</t>
        </is>
      </c>
      <c r="G10" s="23" t="inlineStr">
        <is>
          <t>2025 imports, 2022 sales</t>
        </is>
      </c>
      <c r="H10" s="23" t="inlineStr">
        <is>
          <t>Estimated</t>
        </is>
      </c>
      <c r="I10" s="23" t="inlineStr">
        <is>
          <t>SARS customs, imports by office of clearance (fuel_trade_sars_by_office.csv); Department of Mineral and Petroleum Resources, sales by magisterial district added up by province</t>
        </is>
      </c>
      <c r="J10" s="23" t="inlineStr">
        <is>
          <t>The imported fuel that moves inland, by pipeline, road or rail. Lesedi receives by pipeline only.</t>
        </is>
      </c>
    </row>
    <row r="11" ht="29" customHeight="1">
      <c r="A11" s="17" t="inlineStr">
        <is>
          <t>Durban and Lesedi</t>
        </is>
      </c>
      <c r="B11" s="17" t="inlineStr">
        <is>
          <t>Both sites, counted once</t>
        </is>
      </c>
      <c r="C11" s="69" t="n">
        <v>4.229</v>
      </c>
      <c r="D11" s="69" t="n">
        <v>8.932</v>
      </c>
      <c r="E11" s="69" t="n">
        <v>13.161</v>
      </c>
      <c r="F11" s="17" t="inlineStr">
        <is>
          <t>billion litres a year</t>
        </is>
      </c>
      <c r="G11" s="17" t="inlineStr">
        <is>
          <t>2025</t>
        </is>
      </c>
      <c r="H11" s="17" t="inlineStr">
        <is>
          <t>Observed</t>
        </is>
      </c>
      <c r="I11" s="17" t="inlineStr">
        <is>
          <t>SARS customs, imports by office of clearance (fuel_trade_sars_by_office.csv)</t>
        </is>
      </c>
      <c r="J11" s="17" t="inlineStr">
        <is>
          <t>Every litre Lesedi receives by pipeline landed at Durban first, so the two site markets are not added together.</t>
        </is>
      </c>
    </row>
    <row r="12" ht="15.5" customHeight="1">
      <c r="A12" s="17" t="inlineStr">
        <is>
          <t>Durban and Lesedi</t>
        </is>
      </c>
      <c r="B12" s="17" t="inlineStr">
        <is>
          <t>Trunk line capacity, Durban to Jameson Park</t>
        </is>
      </c>
      <c r="C12" s="17" t="n"/>
      <c r="D12" s="17" t="n"/>
      <c r="E12" s="69" t="n">
        <v>7.696</v>
      </c>
      <c r="F12" s="17" t="inlineStr">
        <is>
          <t>billion litres a year</t>
        </is>
      </c>
      <c r="G12" s="17" t="inlineStr">
        <is>
          <t>years to March 2021 to 2024</t>
        </is>
      </c>
      <c r="H12" s="17" t="inlineStr">
        <is>
          <t>Observed</t>
        </is>
      </c>
      <c r="I12" s="17" t="inlineStr">
        <is>
          <t>Transnet Pipelines Report 2024, key performance indicators</t>
        </is>
      </c>
      <c r="J12" s="17" t="inlineStr">
        <is>
          <t>Every shipper and refined product. Unchanged from the 2020 figure.</t>
        </is>
      </c>
    </row>
    <row r="13" ht="15.5" customHeight="1">
      <c r="A13" s="17" t="inlineStr">
        <is>
          <t>Durban and Lesedi</t>
        </is>
      </c>
      <c r="B13" s="17" t="inlineStr">
        <is>
          <t>Trunk line use, Durban to Jameson Park</t>
        </is>
      </c>
      <c r="C13" s="17" t="n"/>
      <c r="D13" s="17" t="n"/>
      <c r="E13" s="69" t="n">
        <v>5.044</v>
      </c>
      <c r="F13" s="17" t="inlineStr">
        <is>
          <t>billion litres a year</t>
        </is>
      </c>
      <c r="G13" s="17" t="inlineStr">
        <is>
          <t>year to March 2024</t>
        </is>
      </c>
      <c r="H13" s="17" t="inlineStr">
        <is>
          <t>Observed</t>
        </is>
      </c>
      <c r="I13" s="17" t="inlineStr">
        <is>
          <t>Transnet Pipelines Report 2024, key performance indicators</t>
        </is>
      </c>
      <c r="J13" s="17" t="inlineStr">
        <is>
          <t>About two thirds of capacity. Not split by product.</t>
        </is>
      </c>
    </row>
    <row r="14" ht="15.5" customHeight="1">
      <c r="A14" s="23" t="inlineStr">
        <is>
          <t>Durban and Lesedi</t>
        </is>
      </c>
      <c r="B14" s="23" t="inlineStr">
        <is>
          <t>Inland-bound fuel beyond the trunk line's capacity</t>
        </is>
      </c>
      <c r="C14" s="23" t="n"/>
      <c r="D14" s="23" t="n"/>
      <c r="E14" s="70" t="n">
        <v>1.18</v>
      </c>
      <c r="F14" s="23" t="inlineStr">
        <is>
          <t>billion litres a year</t>
        </is>
      </c>
      <c r="G14" s="23" t="inlineStr">
        <is>
          <t>2025 imports, 2022 sales</t>
        </is>
      </c>
      <c r="H14" s="23" t="inlineStr">
        <is>
          <t>Estimated</t>
        </is>
      </c>
      <c r="I14" s="23" t="inlineStr">
        <is>
          <t>Calculated from the rows above</t>
        </is>
      </c>
      <c r="J14" s="23" t="inlineStr">
        <is>
          <t>At least this much must leave Durban by road or rail even with the line full.</t>
        </is>
      </c>
    </row>
    <row r="15" ht="29" customHeight="1">
      <c r="A15" s="23" t="inlineStr">
        <is>
          <t>Durban and Lesedi</t>
        </is>
      </c>
      <c r="B15" s="23" t="inlineStr">
        <is>
          <t>Inland-bound fuel beyond what the trunk line carried</t>
        </is>
      </c>
      <c r="C15" s="23" t="n"/>
      <c r="D15" s="23" t="n"/>
      <c r="E15" s="70" t="n">
        <v>3.832</v>
      </c>
      <c r="F15" s="23" t="inlineStr">
        <is>
          <t>billion litres a year</t>
        </is>
      </c>
      <c r="G15" s="23" t="inlineStr">
        <is>
          <t>2025 imports, 2022 sales, pipeline year to March 2024</t>
        </is>
      </c>
      <c r="H15" s="23" t="inlineStr">
        <is>
          <t>Estimated</t>
        </is>
      </c>
      <c r="I15" s="23" t="inlineStr">
        <is>
          <t>Calculated from the rows above</t>
        </is>
      </c>
      <c r="J15" s="23" t="inlineStr">
        <is>
          <t>The fuel that left Durban for the interior by road or rail, on these figures. Mixes three periods, so read as an order of size.</t>
        </is>
      </c>
    </row>
    <row r="16" ht="29" customHeight="1">
      <c r="A16" s="23" t="inlineStr">
        <is>
          <t>Durban</t>
        </is>
      </c>
      <c r="B16" s="23" t="inlineStr">
        <is>
          <t>Operational tank capacity</t>
        </is>
      </c>
      <c r="C16" s="23" t="n"/>
      <c r="D16" s="23" t="n"/>
      <c r="E16" s="70" t="n">
        <v>0.146</v>
      </c>
      <c r="F16" s="23" t="inlineStr">
        <is>
          <t>million m3</t>
        </is>
      </c>
      <c r="G16" s="23" t="inlineStr">
        <is>
          <t>2026</t>
        </is>
      </c>
      <c r="H16" s="23" t="inlineStr">
        <is>
          <t>Estimated</t>
        </is>
      </c>
      <c r="I16" s="23" t="inlineStr">
        <is>
          <t>infrastructure/terminal_site_assumptions.csv (NERSA licence, Vopak statements and analyst estimates, each marked)</t>
        </is>
      </c>
      <c r="J16" s="23" t="inlineStr">
        <is>
          <t>Durban is 90% of the design capacity Vopak announced; Lesedi is from the licence, with two new tanks estimated.</t>
        </is>
      </c>
    </row>
    <row r="17" ht="29" customHeight="1">
      <c r="A17" s="20" t="inlineStr">
        <is>
          <t>Durban</t>
        </is>
      </c>
      <c r="B17" s="20" t="inlineStr">
        <is>
          <t>Throughput the tanks allow at 1 turns a month</t>
        </is>
      </c>
      <c r="C17" s="20" t="n"/>
      <c r="D17" s="20" t="n"/>
      <c r="E17" s="71" t="n">
        <v>1.752</v>
      </c>
      <c r="F17" s="20" t="inlineStr">
        <is>
          <t>billion litres a year</t>
        </is>
      </c>
      <c r="G17" s="20" t="inlineStr">
        <is>
          <t>assumed turns</t>
        </is>
      </c>
      <c r="H17" s="20" t="inlineStr">
        <is>
          <t>Assumed</t>
        </is>
      </c>
      <c r="I17" s="20" t="inlineStr">
        <is>
          <t>infrastructure/terminal_site_assumptions.csv (NERSA licence, Vopak statements and analyst estimates, each marked)</t>
        </is>
      </c>
      <c r="J17" s="20" t="inlineStr">
        <is>
          <t>A ceiling, not a share: 13% of the site's market of 13.2. The turns are analyst estimates; actual throughput needs the client (DR02/05).</t>
        </is>
      </c>
    </row>
    <row r="18" ht="29" customHeight="1">
      <c r="A18" s="20" t="inlineStr">
        <is>
          <t>Durban</t>
        </is>
      </c>
      <c r="B18" s="20" t="inlineStr">
        <is>
          <t>Throughput the tanks allow at 2 turns a month</t>
        </is>
      </c>
      <c r="C18" s="20" t="n"/>
      <c r="D18" s="20" t="n"/>
      <c r="E18" s="71" t="n">
        <v>3.504</v>
      </c>
      <c r="F18" s="20" t="inlineStr">
        <is>
          <t>billion litres a year</t>
        </is>
      </c>
      <c r="G18" s="20" t="inlineStr">
        <is>
          <t>assumed turns</t>
        </is>
      </c>
      <c r="H18" s="20" t="inlineStr">
        <is>
          <t>Assumed</t>
        </is>
      </c>
      <c r="I18" s="20" t="inlineStr">
        <is>
          <t>infrastructure/terminal_site_assumptions.csv (NERSA licence, Vopak statements and analyst estimates, each marked)</t>
        </is>
      </c>
      <c r="J18" s="20" t="inlineStr">
        <is>
          <t>A ceiling, not a share: 27% of the site's market of 13.2. The turns are analyst estimates; actual throughput needs the client (DR02/05).</t>
        </is>
      </c>
    </row>
    <row r="19" ht="29" customHeight="1">
      <c r="A19" s="20" t="inlineStr">
        <is>
          <t>Durban</t>
        </is>
      </c>
      <c r="B19" s="20" t="inlineStr">
        <is>
          <t>Throughput the tanks allow at 3 turns a month</t>
        </is>
      </c>
      <c r="C19" s="20" t="n"/>
      <c r="D19" s="20" t="n"/>
      <c r="E19" s="71" t="n">
        <v>5.256</v>
      </c>
      <c r="F19" s="20" t="inlineStr">
        <is>
          <t>billion litres a year</t>
        </is>
      </c>
      <c r="G19" s="20" t="inlineStr">
        <is>
          <t>assumed turns</t>
        </is>
      </c>
      <c r="H19" s="20" t="inlineStr">
        <is>
          <t>Assumed</t>
        </is>
      </c>
      <c r="I19" s="20" t="inlineStr">
        <is>
          <t>infrastructure/terminal_site_assumptions.csv (NERSA licence, Vopak statements and analyst estimates, each marked)</t>
        </is>
      </c>
      <c r="J19" s="20" t="inlineStr">
        <is>
          <t>A ceiling, not a share: 40% of the site's market of 13.2. The turns are analyst estimates; actual throughput needs the client (DR02/05).</t>
        </is>
      </c>
    </row>
    <row r="20" ht="29" customHeight="1">
      <c r="A20" s="17" t="inlineStr">
        <is>
          <t>Lesedi</t>
        </is>
      </c>
      <c r="B20" s="17" t="inlineStr">
        <is>
          <t>Operational tank capacity</t>
        </is>
      </c>
      <c r="C20" s="17" t="n"/>
      <c r="D20" s="17" t="n"/>
      <c r="E20" s="69" t="n">
        <v>0.124</v>
      </c>
      <c r="F20" s="17" t="inlineStr">
        <is>
          <t>million m3</t>
        </is>
      </c>
      <c r="G20" s="17" t="inlineStr">
        <is>
          <t>2026</t>
        </is>
      </c>
      <c r="H20" s="17" t="inlineStr">
        <is>
          <t>Observed</t>
        </is>
      </c>
      <c r="I20" s="17" t="inlineStr">
        <is>
          <t>infrastructure/terminal_site_assumptions.csv (NERSA licence, Vopak statements and analyst estimates, each marked)</t>
        </is>
      </c>
      <c r="J20" s="17" t="inlineStr">
        <is>
          <t>Durban is 90% of the design capacity Vopak announced; Lesedi is from the licence, with two new tanks estimated.</t>
        </is>
      </c>
    </row>
    <row r="21" ht="29" customHeight="1">
      <c r="A21" s="20" t="inlineStr">
        <is>
          <t>Lesedi</t>
        </is>
      </c>
      <c r="B21" s="20" t="inlineStr">
        <is>
          <t>Throughput the tanks allow at 1 turns a month</t>
        </is>
      </c>
      <c r="C21" s="20" t="n"/>
      <c r="D21" s="20" t="n"/>
      <c r="E21" s="71" t="n">
        <v>1.488</v>
      </c>
      <c r="F21" s="20" t="inlineStr">
        <is>
          <t>billion litres a year</t>
        </is>
      </c>
      <c r="G21" s="20" t="inlineStr">
        <is>
          <t>assumed turns</t>
        </is>
      </c>
      <c r="H21" s="20" t="inlineStr">
        <is>
          <t>Assumed</t>
        </is>
      </c>
      <c r="I21" s="20" t="inlineStr">
        <is>
          <t>infrastructure/terminal_site_assumptions.csv (NERSA licence, Vopak statements and analyst estimates, each marked)</t>
        </is>
      </c>
      <c r="J21" s="20" t="inlineStr">
        <is>
          <t>A ceiling, not a share: 17% of the site's market of 8.9. The turns are analyst estimates; actual throughput needs the client (DR02/05).</t>
        </is>
      </c>
    </row>
    <row r="22" ht="29" customHeight="1">
      <c r="A22" s="20" t="inlineStr">
        <is>
          <t>Lesedi</t>
        </is>
      </c>
      <c r="B22" s="20" t="inlineStr">
        <is>
          <t>Throughput the tanks allow at 2 turns a month</t>
        </is>
      </c>
      <c r="C22" s="20" t="n"/>
      <c r="D22" s="20" t="n"/>
      <c r="E22" s="71" t="n">
        <v>2.976</v>
      </c>
      <c r="F22" s="20" t="inlineStr">
        <is>
          <t>billion litres a year</t>
        </is>
      </c>
      <c r="G22" s="20" t="inlineStr">
        <is>
          <t>assumed turns</t>
        </is>
      </c>
      <c r="H22" s="20" t="inlineStr">
        <is>
          <t>Assumed</t>
        </is>
      </c>
      <c r="I22" s="20" t="inlineStr">
        <is>
          <t>infrastructure/terminal_site_assumptions.csv (NERSA licence, Vopak statements and analyst estimates, each marked)</t>
        </is>
      </c>
      <c r="J22" s="20" t="inlineStr">
        <is>
          <t>A ceiling, not a share: 34% of the site's market of 8.9. The turns are analyst estimates; actual throughput needs the client (DR02/05).</t>
        </is>
      </c>
    </row>
    <row r="23" ht="29" customHeight="1">
      <c r="A23" s="20" t="inlineStr">
        <is>
          <t>Lesedi</t>
        </is>
      </c>
      <c r="B23" s="20" t="inlineStr">
        <is>
          <t>Throughput the tanks allow at 2.4 turns a month</t>
        </is>
      </c>
      <c r="C23" s="20" t="n"/>
      <c r="D23" s="20" t="n"/>
      <c r="E23" s="71" t="n">
        <v>3.571</v>
      </c>
      <c r="F23" s="20" t="inlineStr">
        <is>
          <t>billion litres a year</t>
        </is>
      </c>
      <c r="G23" s="20" t="inlineStr">
        <is>
          <t>assumed turns</t>
        </is>
      </c>
      <c r="H23" s="20" t="inlineStr">
        <is>
          <t>Assumed</t>
        </is>
      </c>
      <c r="I23" s="20" t="inlineStr">
        <is>
          <t>infrastructure/terminal_site_assumptions.csv (NERSA licence, Vopak statements and analyst estimates, each marked)</t>
        </is>
      </c>
      <c r="J23" s="20" t="inlineStr">
        <is>
          <t>A ceiling, not a share: 40% of the site's market of 8.9. The turns are analyst estimates; actual throughput needs the client (DR02/05).</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1"/>
  <sheetViews>
    <sheetView workbookViewId="0">
      <pane ySplit="4" topLeftCell="A5" activePane="bottomLeft" state="frozen"/>
      <selection pane="bottomLeft" activeCell="A1" sqref="A1"/>
    </sheetView>
  </sheetViews>
  <sheetFormatPr baseColWidth="8" defaultRowHeight="15"/>
  <cols>
    <col width="10" customWidth="1" min="1" max="1"/>
    <col width="46" customWidth="1" min="2" max="2"/>
    <col width="36" customWidth="1" min="3" max="3"/>
    <col width="110" customWidth="1" min="4" max="4"/>
  </cols>
  <sheetData>
    <row r="1">
      <c r="A1" s="1" t="inlineStr">
        <is>
          <t>What could not be found</t>
        </is>
      </c>
    </row>
    <row r="2">
      <c r="A2" s="2" t="inlineStr">
        <is>
          <t>17 items across the four requests. Each was searched for in published sources; the reason is given.</t>
        </is>
      </c>
    </row>
    <row r="4">
      <c r="A4" s="3" t="inlineStr">
        <is>
          <t>Request</t>
        </is>
      </c>
      <c r="B4" s="3" t="inlineStr">
        <is>
          <t>What is missing</t>
        </is>
      </c>
      <c r="C4" s="3" t="inlineStr">
        <is>
          <t>Covers</t>
        </is>
      </c>
      <c r="D4" s="3" t="inlineStr">
        <is>
          <t>Why it is not available</t>
        </is>
      </c>
    </row>
    <row r="5" ht="15.5" customHeight="1">
      <c r="A5" s="20" t="inlineStr">
        <is>
          <t>DR01</t>
        </is>
      </c>
      <c r="B5" s="20" t="inlineStr">
        <is>
          <t>Production after 2021</t>
        </is>
      </c>
      <c r="C5" s="20" t="inlineStr">
        <is>
          <t>South Africa</t>
        </is>
      </c>
      <c r="D5" s="20" t="inlineStr">
        <is>
          <t>The department's last energy balance is 2021. Confirmed not available on 9 October.</t>
        </is>
      </c>
    </row>
    <row r="6" ht="15.5" customHeight="1">
      <c r="A6" s="20" t="inlineStr">
        <is>
          <t>DR01</t>
        </is>
      </c>
      <c r="B6" s="20" t="inlineStr">
        <is>
          <t>Sales for 2024 and 2025</t>
        </is>
      </c>
      <c r="C6" s="20" t="inlineStr">
        <is>
          <t>South Africa</t>
        </is>
      </c>
      <c r="D6" s="20" t="inlineStr">
        <is>
          <t>The department's sales data stops at 2023. Confirmed not available on 9 October.</t>
        </is>
      </c>
    </row>
    <row r="7" ht="15.5" customHeight="1">
      <c r="A7" s="20" t="inlineStr">
        <is>
          <t>DR01</t>
        </is>
      </c>
      <c r="B7" s="20" t="inlineStr">
        <is>
          <t>Stocks, for any year</t>
        </is>
      </c>
      <c r="C7" s="20" t="inlineStr">
        <is>
          <t>South Africa</t>
        </is>
      </c>
      <c r="D7" s="20" t="inlineStr">
        <is>
          <t>Not published by any source used.</t>
        </is>
      </c>
    </row>
    <row r="8" ht="29" customHeight="1">
      <c r="A8" s="20" t="inlineStr">
        <is>
          <t>DR04</t>
        </is>
      </c>
      <c r="B8" s="20" t="inlineStr">
        <is>
          <t>Tariff on routes other than Durban to Alrode</t>
        </is>
      </c>
      <c r="C8" s="20" t="inlineStr">
        <is>
          <t>Other inland routes</t>
        </is>
      </c>
      <c r="D8" s="20" t="inlineStr">
        <is>
          <t>Needed to compare destinations other than Gauteng. NERSA's decisions pages were searched again on 9 October; the route table was not found online. Owner: Manish.</t>
        </is>
      </c>
    </row>
    <row r="9" ht="29" customHeight="1">
      <c r="A9" s="20" t="inlineStr">
        <is>
          <t>DR04</t>
        </is>
      </c>
      <c r="B9" s="20" t="inlineStr">
        <is>
          <t>Commercial road tanker rate, Durban to Gauteng</t>
        </is>
      </c>
      <c r="C9" s="20" t="inlineStr">
        <is>
          <t>Road</t>
        </is>
      </c>
      <c r="D9" s="20" t="inlineStr">
        <is>
          <t>No fuel tanker rate is published. The rows above are the nearest published figures: a container rate and an all-goods average. Needs Vopak or a haulier quote.</t>
        </is>
      </c>
    </row>
    <row r="10" ht="29" customHeight="1">
      <c r="A10" s="20" t="inlineStr">
        <is>
          <t>DR04</t>
        </is>
      </c>
      <c r="B10" s="20" t="inlineStr">
        <is>
          <t>Rail rate, Durban to Gauteng</t>
        </is>
      </c>
      <c r="C10" s="20" t="inlineStr">
        <is>
          <t>Rail</t>
        </is>
      </c>
      <c r="D10" s="20" t="inlineStr">
        <is>
          <t>Transnet does not publish a fuel rate. The rows above give its container rate and its track access charge for tankers. Needs Transnet or Vopak.</t>
        </is>
      </c>
    </row>
    <row r="11" ht="29" customHeight="1">
      <c r="A11" s="20" t="inlineStr">
        <is>
          <t>DR04</t>
        </is>
      </c>
      <c r="B11" s="20" t="inlineStr">
        <is>
          <t>Liquid bulk capacity and tankage</t>
        </is>
      </c>
      <c r="C11" s="20" t="inlineStr">
        <is>
          <t>Durban, Island View</t>
        </is>
      </c>
      <c r="D11" s="20" t="inlineStr">
        <is>
          <t>Parliament's report gives berths and tenants but no capacity. Earlier search summaries quoting 19.5 million kilolitres a year were not traced to a document. Needs the port authority or Vopak.</t>
        </is>
      </c>
    </row>
    <row r="12" ht="15.5" customHeight="1">
      <c r="A12" s="20" t="inlineStr">
        <is>
          <t>DR04</t>
        </is>
      </c>
      <c r="B12" s="20" t="inlineStr">
        <is>
          <t>Road rate and border cost, Matola to Gauteng</t>
        </is>
      </c>
      <c r="C12" s="20" t="inlineStr">
        <is>
          <t>Maputo and Matola, through Komatipoort</t>
        </is>
      </c>
      <c r="D12" s="20" t="inlineStr">
        <is>
          <t>Needed for a matched delivered cost. Needs a haulier or Vopak.</t>
        </is>
      </c>
    </row>
    <row r="13" ht="29" customHeight="1">
      <c r="A13" s="20" t="inlineStr">
        <is>
          <t>DR04</t>
        </is>
      </c>
      <c r="B13" s="20" t="inlineStr">
        <is>
          <t>Petrol and diesel supplied inland by Natref and Secunda</t>
        </is>
      </c>
      <c r="C13" s="20" t="inlineStr">
        <is>
          <t>Sasolburg and Secunda</t>
        </is>
      </c>
      <c r="D13" s="20" t="inlineStr">
        <is>
          <t>No production by product after 2021. Belongs with DR08.</t>
        </is>
      </c>
    </row>
    <row r="14" ht="29" customHeight="1">
      <c r="A14" s="20" t="inlineStr">
        <is>
          <t>DR04</t>
        </is>
      </c>
      <c r="B14" s="20" t="inlineStr">
        <is>
          <t>Matched delivered cost, Durban to Gauteng, by mode</t>
        </is>
      </c>
      <c r="C14" s="20" t="inlineStr">
        <is>
          <t>Pipeline against road and rail</t>
        </is>
      </c>
      <c r="D14" s="20" t="inlineStr">
        <is>
          <t>Pipeline: 77.02 (tariff) or 91.1 (regulated allowance) in 2026/27. No fuel tanker or rail rate is published, so the modes cannot be set side by side. Looked in: Transnet's tariff proposal, Stats SA, NERSA, Parliament. Needs Vopak or a haulier.</t>
        </is>
      </c>
    </row>
    <row r="15" ht="29" customHeight="1">
      <c r="A15" s="20" t="inlineStr">
        <is>
          <t>DR07</t>
        </is>
      </c>
      <c r="B15" s="20" t="inlineStr">
        <is>
          <t>Diesel burned in private backup generators</t>
        </is>
      </c>
      <c r="C15" s="20" t="inlineStr">
        <is>
          <t>Businesses and households</t>
        </is>
      </c>
      <c r="D15" s="20" t="inlineStr">
        <is>
          <t>No source measures it: checked the Reserve Bank, the CSIR, Eskom and the system operator. It is inside recorded diesel sales and cannot be separated.</t>
        </is>
      </c>
    </row>
    <row r="16" ht="15.5" customHeight="1">
      <c r="A16" s="20" t="inlineStr">
        <is>
          <t>DR07</t>
        </is>
      </c>
      <c r="B16" s="20" t="inlineStr">
        <is>
          <t>Vehicles by year of age</t>
        </is>
      </c>
      <c r="C16" s="20" t="inlineStr">
        <is>
          <t>South Africa</t>
        </is>
      </c>
      <c r="D16" s="20" t="inlineStr">
        <is>
          <t>Lightstone holds the age profile and sells it; the register does not publish it. Only apparent retirements can be calculated.</t>
        </is>
      </c>
    </row>
    <row r="17" ht="29" customHeight="1">
      <c r="A17" s="20" t="inlineStr">
        <is>
          <t>DR07</t>
        </is>
      </c>
      <c r="B17" s="20" t="inlineStr">
        <is>
          <t>Electric trucks and electric light commercial vehicles sold</t>
        </is>
      </c>
      <c r="C17" s="20" t="inlineStr">
        <is>
          <t>South Africa</t>
        </is>
      </c>
      <c r="D17" s="20" t="inlineStr">
        <is>
          <t>naamsa reports electric sales by drivetrain, not by segment (checked its fourth-quarter 2025 review). Benchmarks from other countries are on the HML response sheet.</t>
        </is>
      </c>
    </row>
    <row r="18" ht="15.5" customHeight="1">
      <c r="A18" s="20" t="inlineStr">
        <is>
          <t>DR07</t>
        </is>
      </c>
      <c r="B18" s="20" t="inlineStr">
        <is>
          <t>Fuel use of trucks, by year</t>
        </is>
      </c>
      <c r="C18" s="20" t="inlineStr">
        <is>
          <t>South Africa</t>
        </is>
      </c>
      <c r="D18" s="20" t="inlineStr">
        <is>
          <t>Only the 2010 fleet figures above exist. No truck series by year was found.</t>
        </is>
      </c>
    </row>
    <row r="19" ht="15.5" customHeight="1">
      <c r="A19" s="20" t="inlineStr">
        <is>
          <t>DR07</t>
        </is>
      </c>
      <c r="B19" s="20" t="inlineStr">
        <is>
          <t>Road freight in tonne-kilometres, by year</t>
        </is>
      </c>
      <c r="C19" s="20" t="inlineStr">
        <is>
          <t>South Africa</t>
        </is>
      </c>
      <c r="D19" s="20" t="inlineStr">
        <is>
          <t>The research group that models it (GAIN, Stellenbosch) shows yearly charts but publishes figures for single years only.</t>
        </is>
      </c>
    </row>
    <row r="20" ht="29" customHeight="1">
      <c r="A20" s="20" t="inlineStr">
        <is>
          <t>DR08</t>
        </is>
      </c>
      <c r="B20" s="20" t="inlineStr">
        <is>
          <t>Petrol and diesel output by plant</t>
        </is>
      </c>
      <c r="C20" s="20" t="inlineStr">
        <is>
          <t>Secunda and Astron Energy</t>
        </is>
      </c>
      <c r="D20" s="20" t="inlineStr">
        <is>
          <t>Sasol states Secunda's split (65% petrol, 35% diesel) but not the total it applies to. Glencore publishes no split for Astron. Sasol's annual filing and both companies' sites were checked on 9 October. Needs the operators.</t>
        </is>
      </c>
    </row>
    <row r="21" ht="29" customHeight="1">
      <c r="A21" s="20" t="inlineStr">
        <is>
          <t>DR08</t>
        </is>
      </c>
      <c r="B21" s="20" t="inlineStr">
        <is>
          <t>Petrol and diesel produced after 2021, on the department's basis</t>
        </is>
      </c>
      <c r="C21" s="20" t="inlineStr">
        <is>
          <t>South Africa</t>
        </is>
      </c>
      <c r="D21" s="20" t="inlineStr">
        <is>
          <t>The department has published no balance after 2021. The United Nations series runs to 2023 but does not match the department in the years they share.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2026-10-09T17:12:07Z</dcterms:created>
  <dcterms:modified xmlns:dcterms="http://purl.org/dc/terms/" xmlns:xsi="http://www.w3.org/2001/XMLSchema-instance" xsi:type="dcterms:W3CDTF">2026-10-09T17:12:08Z</dcterms:modified>
</cp:coreProperties>
</file>