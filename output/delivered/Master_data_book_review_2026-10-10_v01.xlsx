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1.xml" ContentType="application/vnd.openxmlformats-officedocument.spreadsheetml.table+xml"/>
  <Override PartName="/xl/worksheets/sheet16.xml" ContentType="application/vnd.openxmlformats-officedocument.spreadsheetml.worksheet+xml"/>
  <Override PartName="/xl/tables/table2.xml" ContentType="application/vnd.openxmlformats-officedocument.spreadsheetml.table+xml"/>
  <Override PartName="/xl/worksheets/sheet17.xml" ContentType="application/vnd.openxmlformats-officedocument.spreadsheetml.worksheet+xml"/>
  <Override PartName="/xl/tables/table3.xml" ContentType="application/vnd.openxmlformats-officedocument.spreadsheetml.table+xml"/>
  <Override PartName="/xl/worksheets/sheet18.xml" ContentType="application/vnd.openxmlformats-officedocument.spreadsheetml.worksheet+xml"/>
  <Override PartName="/xl/tables/table4.xml" ContentType="application/vnd.openxmlformats-officedocument.spreadsheetml.table+xml"/>
  <Override PartName="/xl/worksheets/sheet19.xml" ContentType="application/vnd.openxmlformats-officedocument.spreadsheetml.worksheet+xml"/>
  <Override PartName="/xl/worksheets/sheet2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cf624619cfb48f7" /></Relationships>
</file>

<file path=xl/workbook.xml><?xml version="1.0" encoding="utf-8"?>
<workbook xmlns="http://schemas.openxmlformats.org/spreadsheetml/2006/main" xmlns:r="http://schemas.openxmlformats.org/officeDocument/2006/relationships">
  <sheets>
    <sheet name="Start here" sheetId="14" r:id="Rb59fbe19c99e438c"/>
    <sheet name="Request coverage" sheetId="15" r:id="Rbcfc1ff126de48ff"/>
    <sheet name="Gap register" sheetId="16" r:id="Rf28937a4d38940f8"/>
    <sheet name="Series coverage" sheetId="17" r:id="R5536f7e81dd94d6b"/>
    <sheet name="Market bridge" sheetId="18" r:id="R20db33948a514bbf"/>
    <sheet name="New evidence" sheetId="19" r:id="Ra48fbe5b356445b6"/>
    <sheet name="Contents" sheetId="1" r:id="Rc7baaa1be87e4255"/>
    <sheet name="DR01 national balance" sheetId="2" r:id="Rf06f9635404c42a9"/>
    <sheet name="DR01 sales by province" sheetId="3" r:id="R8600fdc31d0f4c0e"/>
    <sheet name="DR01 demand by sector" sheetId="4" r:id="Rbd37984f716f464d"/>
    <sheet name="DR01 sector activity" sheetId="5" r:id="R455382d2fbce4c81"/>
    <sheet name="DR04 routes and access" sheetId="6" r:id="R86e70214e192490f"/>
    <sheet name="DR04 entry points" sheetId="7" r:id="R63e40f4adad343c9"/>
    <sheet name="DR04 transport cost" sheetId="8" r:id="R664ac3478f134fc8"/>
    <sheet name="DR07 demand evidence" sheetId="9" r:id="R7d3cb8ceac414dcc"/>
    <sheet name="DR07 fleet by province" sheetId="10" r:id="Rcb108fd7b18b4803"/>
    <sheet name="DR08 refinery supply" sheetId="11" r:id="R855fcfeb9f2b4992"/>
    <sheet name="Market sizing" sheetId="12" r:id="R25557b7f97d14ae6"/>
    <sheet name="Not available" sheetId="13" r:id="R18ee296b26e04984"/>
    <sheet name="Version notes" sheetId="20" r:id="R3d91420ed13a46fb"/>
  </sheets>
</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164" formatCode="[&gt;=0.005]0.00;[&lt;=-0.005]-0.00;0.00"/>
    <x:numFmt numFmtId="165" formatCode="#,##0.0"/>
    <x:numFmt numFmtId="166" formatCode="0.0"/>
    <x:numFmt numFmtId="167" formatCode="0.0%"/>
    <x:numFmt numFmtId="200" formatCode="0.000"/>
    <x:numFmt numFmtId="201" formatCode="0.00"/>
    <x:numFmt numFmtId="202" formatCode="#,##0"/>
    <x:numFmt numFmtId="203" formatCode="0"/>
  </x:numFmts>
  <x:fonts count="14">
    <x:font>
      <x:sz val="11"/>
      <x:color theme="1"/>
      <x:name val="Calibri"/>
    </x:font>
    <x:font>
      <x:b/>
      <x:sz val="15"/>
      <x:color rgb="FF243B53"/>
      <x:name val="Arial"/>
    </x:font>
    <x:font>
      <x:sz val="10"/>
      <x:color rgb="FF243B53"/>
      <x:name val="Arial"/>
    </x:font>
    <x:font>
      <x:b/>
      <x:sz val="10"/>
      <x:color rgb="FF243B53"/>
      <x:name val="Arial"/>
    </x:font>
    <x:font>
      <x:b/>
      <x:sz val="10"/>
      <x:color rgb="FFFFFFFF"/>
      <x:name val="Arial"/>
    </x:font>
    <x:font>
      <x:i/>
      <x:sz val="10"/>
      <x:color rgb="FF243B53"/>
      <x:name val="Arial"/>
    </x:font>
    <x:font>
      <x:sz val="10"/>
      <x:color rgb="FF243B53"/>
      <x:name val="Arial"/>
    </x:font>
    <x:font>
      <x:sz val="10"/>
      <x:color rgb="FF233B50"/>
      <x:name val="Arial"/>
    </x:font>
    <x:font>
      <x:b/>
      <x:sz val="17"/>
      <x:color rgb="FF223B50"/>
      <x:name val="Arial"/>
    </x:font>
    <x:font>
      <x:sz val="10"/>
      <x:color rgb="FF5A6975"/>
      <x:name val="Arial"/>
    </x:font>
    <x:font>
      <x:sz val="10"/>
      <x:color rgb="FF006B8C"/>
      <x:name val="Arial"/>
    </x:font>
    <x:font>
      <x:b/>
      <x:sz val="10"/>
      <x:color rgb="FF233B50"/>
      <x:name val="Arial"/>
    </x:font>
    <x:font>
      <x:sz val="11"/>
      <x:color rgb="FF006B8C"/>
      <x:name val="Calibri"/>
    </x:font>
    <x:font>
      <x:sz val="10"/>
      <x:color rgb="FF7C5000"/>
      <x:name val="Arial"/>
    </x:font>
  </x:fonts>
  <x:fills count="10">
    <x:fill>
      <x:patternFill patternType="none"/>
    </x:fill>
    <x:fill>
      <x:patternFill patternType="gray125"/>
    </x:fill>
    <x:fill>
      <x:patternFill patternType="solid">
        <x:fgColor rgb="FFEAF0F5"/>
      </x:patternFill>
    </x:fill>
    <x:fill>
      <x:patternFill patternType="solid">
        <x:fgColor rgb="FF243B53"/>
      </x:patternFill>
    </x:fill>
    <x:fill>
      <x:patternFill patternType="solid">
        <x:fgColor rgb="FFEDF3FA"/>
      </x:patternFill>
    </x:fill>
    <x:fill>
      <x:patternFill patternType="solid">
        <x:fgColor rgb="FFFFF2CC"/>
      </x:patternFill>
    </x:fill>
    <x:fill>
      <x:patternFill patternType="solid">
        <x:fgColor rgb="FFFFFFFF"/>
      </x:patternFill>
    </x:fill>
    <x:fill>
      <x:patternFill patternType="solid">
        <x:fgColor rgb="FFF4F4F4"/>
      </x:patternFill>
    </x:fill>
    <x:fill>
      <x:patternFill patternType="solid">
        <x:fgColor rgb="FF223B50"/>
      </x:patternFill>
    </x:fill>
    <x:fill>
      <x:patternFill patternType="solid">
        <x:fgColor rgb="FFFFF0CC"/>
      </x:patternFill>
    </x:fill>
  </x:fills>
  <x:borders count="1">
    <x:border/>
  </x:borders>
  <x:cellStyleXfs count="1">
    <x:xf numFmtId="0" fontId="0" fillId="0" borderId="0"/>
  </x:cellStyleXfs>
  <x:cellXfs count="100">
    <x:xf numFmtId="0" fontId="0" fillId="0" borderId="0" xfId="0"/>
    <x:xf numFmtId="0" fontId="1" fillId="0" borderId="0" xfId="0"/>
    <x:xf numFmtId="0" fontId="2" fillId="0" borderId="0" xfId="0"/>
    <x:xf numFmtId="0" fontId="4" fillId="3" borderId="0" xfId="0"/>
    <x:xf numFmtId="0" fontId="6" fillId="0" borderId="0" xfId="0" applyAlignment="1">
      <x:alignment vertical="top" wrapText="1"/>
    </x:xf>
    <x:xf numFmtId="0" fontId="2" fillId="0" borderId="0" xfId="0" applyAlignment="1">
      <x:alignment vertical="top" wrapText="1"/>
    </x:xf>
    <x:xf numFmtId="0" fontId="3" fillId="0" borderId="0" xfId="0"/>
    <x:xf numFmtId="0" fontId="2" fillId="4" borderId="0" xfId="0"/>
    <x:xf numFmtId="0" fontId="2" fillId="6" borderId="0" xfId="0"/>
    <x:xf numFmtId="0" fontId="2" fillId="5" borderId="0" xfId="0"/>
    <x:xf numFmtId="0" fontId="3" fillId="2" borderId="0" xfId="0" applyAlignment="1">
      <x:alignment vertical="top"/>
    </x:xf>
    <x:xf numFmtId="164" fontId="3" fillId="2" borderId="0" xfId="0" applyAlignment="1">
      <x:alignment vertical="top"/>
    </x:xf>
    <x:xf numFmtId="0" fontId="3" fillId="2" borderId="0" xfId="0" applyAlignment="1">
      <x:alignment vertical="top" wrapText="1"/>
    </x:xf>
    <x:xf numFmtId="0" fontId="4" fillId="3" borderId="0" xfId="0" applyAlignment="1">
      <x:alignment vertical="top"/>
    </x:xf>
    <x:xf numFmtId="0" fontId="4" fillId="3" borderId="0" xfId="0" applyAlignment="1">
      <x:alignment vertical="top" wrapText="1"/>
    </x:xf>
    <x:xf numFmtId="0" fontId="2" fillId="4" borderId="0" xfId="0" applyAlignment="1">
      <x:alignment vertical="top"/>
    </x:xf>
    <x:xf numFmtId="164" fontId="2" fillId="4" borderId="0" xfId="0" applyAlignment="1">
      <x:alignment vertical="top"/>
    </x:xf>
    <x:xf numFmtId="0" fontId="2" fillId="4" borderId="0" xfId="0" applyAlignment="1">
      <x:alignment vertical="top" wrapText="1"/>
    </x:xf>
    <x:xf numFmtId="0" fontId="2" fillId="5" borderId="0" xfId="0" applyAlignment="1">
      <x:alignment vertical="top"/>
    </x:xf>
    <x:xf numFmtId="164" fontId="2" fillId="5" borderId="0" xfId="0" applyAlignment="1">
      <x:alignment vertical="top"/>
    </x:xf>
    <x:xf numFmtId="0" fontId="2" fillId="5" borderId="0" xfId="0" applyAlignment="1">
      <x:alignment vertical="top" wrapText="1"/>
    </x:xf>
    <x:xf numFmtId="0" fontId="2" fillId="6" borderId="0" xfId="0" applyAlignment="1">
      <x:alignment vertical="top"/>
    </x:xf>
    <x:xf numFmtId="164" fontId="2" fillId="6" borderId="0" xfId="0" applyAlignment="1">
      <x:alignment vertical="top"/>
    </x:xf>
    <x:xf numFmtId="0" fontId="2" fillId="6" borderId="0" xfId="0" applyAlignment="1">
      <x:alignment vertical="top" wrapText="1"/>
    </x:xf>
    <x:xf numFmtId="0" fontId="3" fillId="6" borderId="0" xfId="0" applyAlignment="1">
      <x:alignment vertical="top"/>
    </x:xf>
    <x:xf numFmtId="164" fontId="3" fillId="6" borderId="0" xfId="0" applyAlignment="1">
      <x:alignment vertical="top"/>
    </x:xf>
    <x:xf numFmtId="0" fontId="3" fillId="6" borderId="0" xfId="0" applyAlignment="1">
      <x:alignment vertical="top" wrapText="1"/>
    </x:xf>
    <x:xf numFmtId="0" fontId="2" fillId="7" borderId="0" xfId="0" applyAlignment="1">
      <x:alignment vertical="top"/>
    </x:xf>
    <x:xf numFmtId="164" fontId="2" fillId="7" borderId="0" xfId="0" applyAlignment="1">
      <x:alignment vertical="top"/>
    </x:xf>
    <x:xf numFmtId="0" fontId="2" fillId="7" borderId="0" xfId="0" applyAlignment="1">
      <x:alignment vertical="top" wrapText="1"/>
    </x:xf>
    <x:xf numFmtId="0" fontId="3" fillId="4" borderId="0" xfId="0" applyAlignment="1">
      <x:alignment vertical="top"/>
    </x:xf>
    <x:xf numFmtId="164" fontId="3" fillId="4" borderId="0" xfId="0" applyAlignment="1">
      <x:alignment vertical="top"/>
    </x:xf>
    <x:xf numFmtId="0" fontId="3" fillId="4" borderId="0" xfId="0" applyAlignment="1">
      <x:alignment vertical="top" wrapText="1"/>
    </x:xf>
    <x:xf numFmtId="165" fontId="2" fillId="4" borderId="0" xfId="0" applyAlignment="1">
      <x:alignment vertical="top"/>
    </x:xf>
    <x:xf numFmtId="4" fontId="2" fillId="6" borderId="0" xfId="0" applyAlignment="1">
      <x:alignment vertical="top"/>
    </x:xf>
    <x:xf numFmtId="0" fontId="3" fillId="2" borderId="0" xfId="0" applyAlignment="1">
      <x:alignment horizontal="left" vertical="top" wrapText="1"/>
    </x:xf>
    <x:xf numFmtId="0" fontId="4" fillId="3" borderId="0" xfId="0" applyAlignment="1">
      <x:alignment horizontal="left" vertical="top" wrapText="1"/>
    </x:xf>
    <x:xf numFmtId="0" fontId="4" fillId="3" borderId="0" xfId="0" applyAlignment="1">
      <x:alignment horizontal="right" vertical="top" wrapText="1"/>
    </x:xf>
    <x:xf numFmtId="0" fontId="2" fillId="4" borderId="0" xfId="0" applyAlignment="1">
      <x:alignment horizontal="left" vertical="top" wrapText="1"/>
    </x:xf>
    <x:xf numFmtId="3" fontId="2" fillId="4" borderId="0" xfId="0" applyAlignment="1">
      <x:alignment horizontal="right" vertical="top" wrapText="1"/>
    </x:xf>
    <x:xf numFmtId="4" fontId="2" fillId="4" borderId="0" xfId="0" applyAlignment="1">
      <x:alignment horizontal="right" vertical="top" wrapText="1"/>
    </x:xf>
    <x:xf numFmtId="3" fontId="2" fillId="4" borderId="0" xfId="0" applyAlignment="1">
      <x:alignment horizontal="left" vertical="top" wrapText="1"/>
    </x:xf>
    <x:xf numFmtId="0" fontId="2" fillId="6" borderId="0" xfId="0" applyAlignment="1">
      <x:alignment horizontal="left" vertical="top" wrapText="1"/>
    </x:xf>
    <x:xf numFmtId="4" fontId="2" fillId="6" borderId="0" xfId="0" applyAlignment="1">
      <x:alignment horizontal="left" vertical="top" wrapText="1"/>
    </x:xf>
    <x:xf numFmtId="4" fontId="2" fillId="6" borderId="0" xfId="0" applyAlignment="1">
      <x:alignment horizontal="right" vertical="top" wrapText="1"/>
    </x:xf>
    <x:xf numFmtId="0" fontId="2" fillId="5" borderId="0" xfId="0" applyAlignment="1">
      <x:alignment horizontal="left" vertical="top" wrapText="1"/>
    </x:xf>
    <x:xf numFmtId="3" fontId="2" fillId="6" borderId="0" xfId="0" applyAlignment="1">
      <x:alignment horizontal="right" vertical="top" wrapText="1"/>
    </x:xf>
    <x:xf numFmtId="4" fontId="2" fillId="4" borderId="0" xfId="0" applyAlignment="1">
      <x:alignment horizontal="left" vertical="top" wrapText="1"/>
    </x:xf>
    <x:xf numFmtId="0" fontId="3" fillId="2" borderId="0" xfId="0"/>
    <x:xf numFmtId="0" fontId="2" fillId="4" borderId="0" xfId="0" applyAlignment="1">
      <x:alignment horizontal="left" vertical="top"/>
    </x:xf>
    <x:xf numFmtId="164" fontId="2" fillId="4" borderId="0" xfId="0" applyAlignment="1">
      <x:alignment horizontal="right" vertical="top"/>
    </x:xf>
    <x:xf numFmtId="0" fontId="3" fillId="6" borderId="0" xfId="0" applyAlignment="1">
      <x:alignment horizontal="left" vertical="top"/>
    </x:xf>
    <x:xf numFmtId="0" fontId="2" fillId="6" borderId="0" xfId="0" applyAlignment="1">
      <x:alignment horizontal="left" vertical="top"/>
    </x:xf>
    <x:xf numFmtId="164" fontId="2" fillId="6" borderId="0" xfId="0" applyAlignment="1">
      <x:alignment horizontal="right" vertical="top"/>
    </x:xf>
    <x:xf numFmtId="9" fontId="2" fillId="6" borderId="0" xfId="0" applyAlignment="1">
      <x:alignment horizontal="right" vertical="top"/>
    </x:xf>
    <x:xf numFmtId="2" fontId="2" fillId="4" borderId="0" xfId="0" applyAlignment="1">
      <x:alignment horizontal="right" vertical="top"/>
    </x:xf>
    <x:xf numFmtId="2" fontId="5" fillId="4" borderId="0" xfId="0" applyAlignment="1">
      <x:alignment horizontal="right" vertical="top"/>
    </x:xf>
    <x:xf numFmtId="0" fontId="2" fillId="5" borderId="0" xfId="0" applyAlignment="1">
      <x:alignment horizontal="left" vertical="top"/>
    </x:xf>
    <x:xf numFmtId="2" fontId="2" fillId="5" borderId="0" xfId="0" applyAlignment="1">
      <x:alignment horizontal="right" vertical="top"/>
    </x:xf>
    <x:xf numFmtId="0" fontId="3" fillId="4" borderId="0" xfId="0" applyAlignment="1">
      <x:alignment horizontal="left" vertical="top"/>
    </x:xf>
    <x:xf numFmtId="0" fontId="2" fillId="4" borderId="0" xfId="0" applyAlignment="1">
      <x:alignment horizontal="right" vertical="top"/>
    </x:xf>
    <x:xf numFmtId="166" fontId="2" fillId="4" borderId="0" xfId="0" applyAlignment="1">
      <x:alignment horizontal="right" vertical="top"/>
    </x:xf>
    <x:xf numFmtId="166" fontId="2" fillId="6" borderId="0" xfId="0" applyAlignment="1">
      <x:alignment horizontal="right" vertical="top"/>
    </x:xf>
    <x:xf numFmtId="165" fontId="2" fillId="4" borderId="0" xfId="0" applyAlignment="1">
      <x:alignment horizontal="right" vertical="top" wrapText="1"/>
    </x:xf>
    <x:xf numFmtId="3" fontId="2" fillId="6" borderId="0" xfId="0" applyAlignment="1">
      <x:alignment horizontal="left" vertical="top" wrapText="1"/>
    </x:xf>
    <x:xf numFmtId="165" fontId="2" fillId="6" borderId="0" xfId="0" applyAlignment="1">
      <x:alignment horizontal="left" vertical="top" wrapText="1"/>
    </x:xf>
    <x:xf numFmtId="3" fontId="2" fillId="4" borderId="0" xfId="0" applyAlignment="1">
      <x:alignment horizontal="right" vertical="top"/>
    </x:xf>
    <x:xf numFmtId="167" fontId="2" fillId="6" borderId="0" xfId="0" applyAlignment="1">
      <x:alignment horizontal="right" vertical="top"/>
    </x:xf>
    <x:xf numFmtId="3" fontId="2" fillId="6" borderId="0" xfId="0" applyAlignment="1">
      <x:alignment horizontal="right" vertical="top"/>
    </x:xf>
    <x:xf numFmtId="2" fontId="2" fillId="4" borderId="0" xfId="0" applyAlignment="1">
      <x:alignment vertical="top" wrapText="1"/>
    </x:xf>
    <x:xf numFmtId="2" fontId="2" fillId="6" borderId="0" xfId="0" applyAlignment="1">
      <x:alignment vertical="top" wrapText="1"/>
    </x:xf>
    <x:xf numFmtId="2" fontId="2" fillId="5" borderId="0" xfId="0" applyAlignment="1">
      <x:alignment vertical="top" wrapText="1"/>
    </x:xf>
    <x:xf numFmtId="0" fontId="7" fillId="0" borderId="0" xfId="0" applyNumberFormat="1" applyFont="1" applyFill="1" applyBorder="1"/>
    <x:xf numFmtId="0" fontId="7" fillId="0" borderId="0" xfId="0" applyNumberFormat="1" applyFont="1" applyFill="1" applyBorder="1" applyAlignment="1">
      <x:alignment vertical="top"/>
    </x:xf>
    <x:xf numFmtId="0" fontId="8" fillId="0" borderId="0" xfId="0" applyNumberFormat="1" applyFont="1" applyFill="1" applyBorder="1" applyAlignment="1">
      <x:alignment vertical="top"/>
    </x:xf>
    <x:xf numFmtId="0" fontId="7" fillId="0" borderId="0" xfId="0" applyNumberFormat="1" applyFont="1" applyFill="1" applyBorder="1" applyAlignment="1">
      <x:alignment vertical="top" wrapText="1"/>
    </x:xf>
    <x:xf numFmtId="0" fontId="9" fillId="0" borderId="0" xfId="0" applyNumberFormat="1" applyFont="1" applyFill="1" applyBorder="1" applyAlignment="1">
      <x:alignment vertical="top" wrapText="1"/>
    </x:xf>
    <x:xf numFmtId="0" fontId="7" fillId="8" borderId="0" xfId="0" applyNumberFormat="1" applyFont="1" applyFill="1" applyBorder="1" applyAlignment="1">
      <x:alignment vertical="top"/>
    </x:xf>
    <x:xf numFmtId="0" fontId="4" fillId="8" borderId="0" xfId="0" applyNumberFormat="1" applyFont="1" applyFill="1" applyBorder="1" applyAlignment="1">
      <x:alignment vertical="top"/>
    </x:xf>
    <x:xf numFmtId="0" fontId="4" fillId="8" borderId="0" xfId="0" applyNumberFormat="1" applyFont="1" applyFill="1" applyBorder="1" applyAlignment="1">
      <x:alignment vertical="top" wrapText="1"/>
    </x:xf>
    <x:xf numFmtId="0" fontId="7" fillId="9" borderId="0"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167" fontId="7" fillId="0" borderId="0" xfId="0" applyNumberFormat="1" applyFont="1" applyFill="1" applyBorder="1" applyAlignment="1">
      <x:alignment vertical="top" wrapText="1"/>
    </x:xf>
    <x:xf numFmtId="0" fontId="10" fillId="0" borderId="0" xfId="0" applyNumberFormat="1" applyFont="1" applyFill="1" applyBorder="1" applyAlignment="1">
      <x:alignment vertical="top"/>
    </x:xf>
    <x:xf numFmtId="201" fontId="7" fillId="0" borderId="0" xfId="0" applyNumberFormat="1" applyFont="1" applyFill="1" applyBorder="1" applyAlignment="1">
      <x:alignment vertical="top" wrapText="1"/>
    </x:xf>
    <x:xf numFmtId="0" fontId="11" fillId="0" borderId="0" xfId="0" applyNumberFormat="1" applyFont="1" applyFill="1" applyBorder="1" applyAlignment="1">
      <x:alignment vertical="top"/>
    </x:xf>
    <x:xf numFmtId="202" fontId="7" fillId="0" borderId="0" xfId="0" applyNumberFormat="1" applyFont="1" applyFill="1" applyBorder="1" applyAlignment="1">
      <x:alignment vertical="top" wrapText="1"/>
    </x:xf>
    <x:xf numFmtId="0" fontId="12" fillId="0" borderId="0" xfId="0" applyNumberFormat="1" applyFont="1" applyFill="1" applyBorder="1"/>
    <x:xf numFmtId="0" fontId="12" fillId="9" borderId="0" xfId="0" applyNumberFormat="1" applyFont="1" applyFill="1" applyBorder="1"/>
    <x:xf numFmtId="0" fontId="0" fillId="9" borderId="0" xfId="0" applyNumberFormat="1" applyFont="1" applyFill="1" applyBorder="1"/>
    <x:xf numFmtId="0" fontId="13" fillId="9" borderId="0" xfId="0" applyNumberFormat="1" applyFont="1" applyFill="1" applyBorder="1"/>
    <x:xf numFmtId="0" fontId="13" fillId="9" borderId="0" xfId="0" applyNumberFormat="1" applyFont="1" applyFill="1" applyBorder="1" applyAlignment="1">
      <x:alignment wrapText="1"/>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xf numFmtId="0" fontId="7" fillId="9" borderId="0" xfId="0" applyNumberFormat="1" applyFont="1" applyFill="1" applyBorder="1"/>
    <x:xf numFmtId="0" fontId="7" fillId="9" borderId="0" xfId="0" applyNumberFormat="1" applyFont="1" applyFill="1" applyBorder="1" applyAlignment="1">
      <x:alignment wrapText="1"/>
    </x:xf>
    <x:xf numFmtId="203" fontId="7" fillId="0" borderId="0" xfId="0" applyNumberFormat="1" applyFont="1" applyFill="1" applyBorder="1" applyAlignment="1">
      <x:alignment vertical="top"/>
    </x:xf>
    <x:xf numFmtId="164" fontId="2" fillId="9" borderId="0" xfId="0" applyNumberFormat="1" applyFont="1" applyFill="1" applyBorder="1" applyAlignment="1">
      <x:alignment vertical="top"/>
    </x:xf>
  </x:cellXfs>
  <x:cellStyles count="1">
    <x:cellStyle name="Normal" xfId="0"/>
  </x:cellStyles>
  <x:dxfs count="2">
    <x:dxf>
      <x:fill>
        <x:patternFill patternType="solid">
          <x:bgColor rgb="FFE2EFDA"/>
        </x:patternFill>
      </x:fill>
    </x:dxf>
    <x:dxf>
      <x:font>
        <x:b/>
      </x:font>
      <x:fill>
        <x:patternFill patternType="solid">
          <x:bgColor rgb="FFFFF0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1efc31657124f7e" /><Relationship Type="http://schemas.openxmlformats.org/officeDocument/2006/relationships/theme" Target="/xl/theme/theme1.xml" Id="Rf84b2e0e4a4f43c6" /><Relationship Type="http://schemas.openxmlformats.org/officeDocument/2006/relationships/sharedStrings" Target="/xl/sharedStrings.xml" Id="R841d62cb908f43d7" /><Relationship Type="http://schemas.openxmlformats.org/officeDocument/2006/relationships/worksheet" Target="/xl/worksheets/sheet1.xml" Id="Rc7baaa1be87e4255" /><Relationship Type="http://schemas.openxmlformats.org/officeDocument/2006/relationships/worksheet" Target="/xl/worksheets/sheet2.xml" Id="Rf06f9635404c42a9" /><Relationship Type="http://schemas.openxmlformats.org/officeDocument/2006/relationships/worksheet" Target="/xl/worksheets/sheet3.xml" Id="R8600fdc31d0f4c0e" /><Relationship Type="http://schemas.openxmlformats.org/officeDocument/2006/relationships/worksheet" Target="/xl/worksheets/sheet4.xml" Id="Rbd37984f716f464d" /><Relationship Type="http://schemas.openxmlformats.org/officeDocument/2006/relationships/worksheet" Target="/xl/worksheets/sheet5.xml" Id="R455382d2fbce4c81" /><Relationship Type="http://schemas.openxmlformats.org/officeDocument/2006/relationships/worksheet" Target="/xl/worksheets/sheet6.xml" Id="R86e70214e192490f" /><Relationship Type="http://schemas.openxmlformats.org/officeDocument/2006/relationships/worksheet" Target="/xl/worksheets/sheet7.xml" Id="R63e40f4adad343c9" /><Relationship Type="http://schemas.openxmlformats.org/officeDocument/2006/relationships/worksheet" Target="/xl/worksheets/sheet8.xml" Id="R664ac3478f134fc8" /><Relationship Type="http://schemas.openxmlformats.org/officeDocument/2006/relationships/worksheet" Target="/xl/worksheets/sheet9.xml" Id="R7d3cb8ceac414dcc" /><Relationship Type="http://schemas.openxmlformats.org/officeDocument/2006/relationships/worksheet" Target="/xl/worksheets/sheet10.xml" Id="Rcb108fd7b18b4803" /><Relationship Type="http://schemas.openxmlformats.org/officeDocument/2006/relationships/worksheet" Target="/xl/worksheets/sheet11.xml" Id="R855fcfeb9f2b4992" /><Relationship Type="http://schemas.openxmlformats.org/officeDocument/2006/relationships/worksheet" Target="/xl/worksheets/sheet12.xml" Id="R25557b7f97d14ae6" /><Relationship Type="http://schemas.openxmlformats.org/officeDocument/2006/relationships/worksheet" Target="/xl/worksheets/sheet13.xml" Id="R18ee296b26e04984" /><Relationship Type="http://schemas.openxmlformats.org/officeDocument/2006/relationships/worksheet" Target="/xl/worksheets/sheet14.xml" Id="Rb59fbe19c99e438c" /><Relationship Type="http://schemas.openxmlformats.org/officeDocument/2006/relationships/worksheet" Target="/xl/worksheets/sheet15.xml" Id="Rbcfc1ff126de48ff" /><Relationship Type="http://schemas.openxmlformats.org/officeDocument/2006/relationships/worksheet" Target="/xl/worksheets/sheet16.xml" Id="Rf28937a4d38940f8" /><Relationship Type="http://schemas.openxmlformats.org/officeDocument/2006/relationships/worksheet" Target="/xl/worksheets/sheet17.xml" Id="R5536f7e81dd94d6b" /><Relationship Type="http://schemas.openxmlformats.org/officeDocument/2006/relationships/worksheet" Target="/xl/worksheets/sheet18.xml" Id="R20db33948a514bbf" /><Relationship Type="http://schemas.openxmlformats.org/officeDocument/2006/relationships/worksheet" Target="/xl/worksheets/sheet19.xml" Id="Ra48fbe5b356445b6" /><Relationship Type="http://schemas.openxmlformats.org/officeDocument/2006/relationships/worksheet" Target="/xl/worksheets/sheet20.xml" Id="R3d91420ed13a46fb" /></Relationships>
</file>

<file path=xl/tables/table1.xml><?xml version="1.0" encoding="utf-8"?>
<x:table xmlns:x="http://schemas.openxmlformats.org/spreadsheetml/2006/main" id="2" name="RequestCoverage" displayName="RequestCoverage" ref="A5:K14" headerRowCount="1" totalsRowCount="0" totalsRowShown="0">
  <x:autoFilter ref="A5:K14"/>
  <x:tableColumns count="11">
    <x:tableColumn id="1" name="Request"/>
    <x:tableColumn id="2" name="Purpose"/>
    <x:tableColumn id="3" name="Current position"/>
    <x:tableColumn id="4" name="Evidence currently held"/>
    <x:tableColumn id="5" name="Required information"/>
    <x:tableColumn id="6" name="Coordinator"/>
    <x:tableColumn id="7" name="Data provider"/>
    <x:tableColumn id="8" name="Needed before"/>
    <x:tableColumn id="9" name="Acceptance test"/>
    <x:tableColumn id="10" name="Open review items"/>
    <x:tableColumn id="11" name="Open evidence"/>
  </x:tableColumns>
  <x:tableStyleInfo name="TableStyleMedium2" showFirstColumn="0" showLastColumn="0" showRowStripes="1" showColumnStripes="0"/>
</x:table>
</file>

<file path=xl/tables/table2.xml><?xml version="1.0" encoding="utf-8"?>
<x:table xmlns:x="http://schemas.openxmlformats.org/spreadsheetml/2006/main" id="1" name="ReviewItems" displayName="ReviewItems" ref="A5:P68" headerRowCount="1" totalsRowCount="0" totalsRowShown="0">
  <x:autoFilter ref="A5:P68"/>
  <x:tableColumns count="16">
    <x:tableColumn id="1" name="ID"/>
    <x:tableColumn id="2" name="Request"/>
    <x:tableColumn id="3" name="Type"/>
    <x:tableColumn id="4" name="Priority"/>
    <x:tableColumn id="5" name="Item"/>
    <x:tableColumn id="6" name="What exists"/>
    <x:tableColumn id="7" name="What is still needed"/>
    <x:tableColumn id="8" name="Why it matters"/>
    <x:tableColumn id="9" name="Next action / acceptance"/>
    <x:tableColumn id="10" name="Proposed owner"/>
    <x:tableColumn id="11" name="Needed before"/>
    <x:tableColumn id="12" name="Workbook evidence"/>
    <x:tableColumn id="13" name="Review state"/>
    <x:tableColumn id="14" name="Nigel comments / decision"/>
    <x:tableColumn id="15" name="Origin of item"/>
    <x:tableColumn id="16" name="Supporting evidence"/>
  </x:tableColumns>
  <x:tableStyleInfo name="TableStyleMedium2" showFirstColumn="0" showLastColumn="0" showRowStripes="1" showColumnStripes="0"/>
</x:table>
</file>

<file path=xl/tables/table3.xml><?xml version="1.0" encoding="utf-8"?>
<x:table xmlns:x="http://schemas.openxmlformats.org/spreadsheetml/2006/main" id="3" name="SeriesCoverage" displayName="SeriesCoverage" ref="A5:H29" headerRowCount="1" totalsRowCount="0" totalsRowShown="0">
  <x:autoFilter ref="A5:H29"/>
  <x:tableColumns count="8">
    <x:tableColumn id="1" name="Data area"/>
    <x:tableColumn id="2" name="History or coverage"/>
    <x:tableColumn id="3" name="Latest evidence held"/>
    <x:tableColumn id="4" name="Remaining requirement"/>
    <x:tableColumn id="5" name="Definition / comparability"/>
    <x:tableColumn id="6" name="Workbook sheet"/>
    <x:tableColumn id="7" name="Cells"/>
    <x:tableColumn id="8" name="Request"/>
  </x:tableColumns>
  <x:tableStyleInfo name="TableStyleMedium2" showFirstColumn="0" showLastColumn="0" showRowStripes="1" showColumnStripes="0"/>
</x:table>
</file>

<file path=xl/tables/table4.xml><?xml version="1.0" encoding="utf-8"?>
<x:table xmlns:x="http://schemas.openxmlformats.org/spreadsheetml/2006/main" id="4" name="MarketBridge" displayName="MarketBridge" ref="A5:F15" headerRowCount="1" totalsRowCount="0" totalsRowShown="0">
  <x:autoFilter ref="A5:F15"/>
  <x:tableColumns count="6">
    <x:tableColumn id="1" name="Measure"/>
    <x:tableColumn id="2" name="bn litres/year"/>
    <x:tableColumn id="3" name="Period / basis"/>
    <x:tableColumn id="4" name="Meaning and current limitation"/>
    <x:tableColumn id="5" name="What closes the gap"/>
    <x:tableColumn id="6" name="Evidence"/>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DR01 national balance'!A1" TargetMode="External" Id="R6fc976f19d6243e5" /><Relationship Type="http://schemas.openxmlformats.org/officeDocument/2006/relationships/hyperlink" Target="#'DR01 sales by province'!A1" TargetMode="External" Id="R40224891fd114715" /><Relationship Type="http://schemas.openxmlformats.org/officeDocument/2006/relationships/hyperlink" Target="#'DR01 demand by sector'!A1" TargetMode="External" Id="R3cd2728343d646ff" /><Relationship Type="http://schemas.openxmlformats.org/officeDocument/2006/relationships/hyperlink" Target="#'DR01 sector activity'!A1" TargetMode="External" Id="Rceb990ad81e64d34" /><Relationship Type="http://schemas.openxmlformats.org/officeDocument/2006/relationships/hyperlink" Target="#'DR04 routes and access'!A1" TargetMode="External" Id="Rfb57a32aba37434e" /><Relationship Type="http://schemas.openxmlformats.org/officeDocument/2006/relationships/hyperlink" Target="#'DR04 entry points'!A1" TargetMode="External" Id="R7a53d5ac27984c2e" /><Relationship Type="http://schemas.openxmlformats.org/officeDocument/2006/relationships/hyperlink" Target="#'DR04 transport cost'!A1" TargetMode="External" Id="R943fe593d156485a" /><Relationship Type="http://schemas.openxmlformats.org/officeDocument/2006/relationships/hyperlink" Target="#'DR07 demand evidence'!A1" TargetMode="External" Id="R8e582a63bb1b4805" /><Relationship Type="http://schemas.openxmlformats.org/officeDocument/2006/relationships/hyperlink" Target="#'DR07 fleet by province'!A1" TargetMode="External" Id="Rb107de6d552e4935" /><Relationship Type="http://schemas.openxmlformats.org/officeDocument/2006/relationships/hyperlink" Target="#'DR08 refinery supply'!A1" TargetMode="External" Id="R72fad8601ac6451c" /><Relationship Type="http://schemas.openxmlformats.org/officeDocument/2006/relationships/hyperlink" Target="#'Market sizing'!A1" TargetMode="External" Id="Rc0205f6928f54977" /><Relationship Type="http://schemas.openxmlformats.org/officeDocument/2006/relationships/hyperlink" Target="#'Not available'!A1" TargetMode="External" Id="R055244eeac944373" /></Relationships>
</file>

<file path=xl/worksheets/_rels/sheet15.xml.rels>&#65279;<?xml version="1.0" encoding="utf-8"?><Relationships xmlns="http://schemas.openxmlformats.org/package/2006/relationships"><Relationship Type="http://schemas.openxmlformats.org/officeDocument/2006/relationships/table" Target="/xl/tables/table1.xml" Id="Rddbeda0cfcc54c42" /></Relationships>
</file>

<file path=xl/worksheets/_rels/sheet16.xml.rels>&#65279;<?xml version="1.0" encoding="utf-8"?><Relationships xmlns="http://schemas.openxmlformats.org/package/2006/relationships"><Relationship Type="http://schemas.openxmlformats.org/officeDocument/2006/relationships/table" Target="/xl/tables/table2.xml" Id="R3e7486805b1341ec" /></Relationships>
</file>

<file path=xl/worksheets/_rels/sheet17.xml.rels>&#65279;<?xml version="1.0" encoding="utf-8"?><Relationships xmlns="http://schemas.openxmlformats.org/package/2006/relationships"><Relationship Type="http://schemas.openxmlformats.org/officeDocument/2006/relationships/table" Target="/xl/tables/table3.xml" Id="Rb57cfa4ebb0d4412" /></Relationships>
</file>

<file path=xl/worksheets/_rels/sheet18.xml.rels>&#65279;<?xml version="1.0" encoding="utf-8"?><Relationships xmlns="http://schemas.openxmlformats.org/package/2006/relationships"><Relationship Type="http://schemas.openxmlformats.org/officeDocument/2006/relationships/table" Target="/xl/tables/table4.xml" Id="R2350782ac06644b8" /></Relationships>
</file>

<file path=xl/worksheets/sheet1.xml><?xml version="1.0" encoding="utf-8"?>
<worksheet xmlns="http://schemas.openxmlformats.org/spreadsheetml/2006/main" xmlns:r="http://schemas.openxmlformats.org/officeDocument/2006/relationships">
  <sheetFormatPr baseColWidth="8" defaultRowHeight="15"/>
  <cols>
    <col min="1" max="1" width="26" customWidth="1"/>
    <col min="2" max="2" width="78" customWidth="1"/>
    <col min="3" max="3" width="13" customWidth="1"/>
    <col min="4" max="4" width="12" customWidth="1"/>
    <col min="5" max="5" width="14" customWidth="1"/>
    <col min="7" max="7" width="19" hidden="0" customWidth="1"/>
    <col min="8" max="8" width="65" hidden="0" customWidth="1"/>
    <col min="9" max="9" width="15" hidden="0" customWidth="1"/>
  </cols>
  <sheetData>
    <row r="1">
      <c r="A1" s="1" t="inlineStr">
        <is>
          <t xml:space="preserve">Master data book: sourced data for the South Africa story</t>
        </is>
      </c>
    </row>
    <row r="2">
      <c r="A2" s="2" t="inlineStr">
        <is>
          <t xml:space="preserve">The one place to look for a sourced figure, set out by data request (DR01, DR04, DR07, DR08). Petrol and diesel only. Every figure names its source. Built by python -m lfm.scripts.build_data_requests_workbook --vintage 2026; do not edit by hand.</t>
        </is>
      </c>
    </row>
    <row r="3" ht="34" customHeight="1">
      <c r="A3" s="92" t="str">
        <v>REVIEW: 6 linked items. Open Gap register; filter Request. Start here explains colours and scope.</v>
      </c>
      <c r="B3" s="92"/>
      <c r="C3" s="92"/>
      <c r="D3" s="92"/>
      <c r="E3" s="92"/>
    </row>
    <row r="4" ht="30" customHeight="1">
      <c r="A4" s="3" t="inlineStr">
        <is>
          <t xml:space="preserve">Sheet</t>
        </is>
      </c>
      <c r="B4" s="3" t="inlineStr">
        <is>
          <t xml:space="preserve">What it holds</t>
        </is>
      </c>
      <c r="C4" s="3" t="inlineStr">
        <is>
          <t xml:space="preserve">From source</t>
        </is>
      </c>
      <c r="D4" s="3" t="inlineStr">
        <is>
          <t xml:space="preserve">Calculated</t>
        </is>
      </c>
      <c r="E4" s="3" t="inlineStr">
        <is>
          <t xml:space="preserve">Not available</t>
        </is>
      </c>
      <c r="G4" s="95" t="str">
        <v>Review IDs</v>
      </c>
      <c r="H4" s="95" t="str">
        <v>Review finding — source figures retained</v>
      </c>
      <c r="I4" s="95" t="str">
        <v>Open detail</v>
      </c>
    </row>
    <row r="5" ht="48" customHeight="1">
      <c r="A5" s="4" t="inlineStr">
        <is>
          <t xml:space="preserve">DR01 national balance</t>
        </is>
      </c>
      <c r="B5" s="5" t="inlineStr">
        <is>
          <t xml:space="preserve">Sales, production, imports and exports by year, with the difference between supply and sales</t>
        </is>
      </c>
      <c r="C5" s="5" t="n">
        <v>8</v>
      </c>
      <c r="D5" s="5" t="n">
        <v>2</v>
      </c>
      <c r="E5" s="5" t="n">
        <v>2</v>
      </c>
      <c r="G5" s="80" t="str">
        <v>G062</v>
      </c>
      <c r="H5" s="80" t="str">
        <v>Publication issue: Request receipt and completed-task status</v>
      </c>
      <c r="I5" s="80" t="str">
        <v>Review detail</v>
      </c>
    </row>
    <row r="6">
      <c r="A6" s="4" t="inlineStr">
        <is>
          <t xml:space="preserve">DR01 sales by province</t>
        </is>
      </c>
      <c r="B6" s="5" t="inlineStr">
        <is>
          <t xml:space="preserve">Petrol and diesel sold in each of the nine provinces by year; 2023 estimated</t>
        </is>
      </c>
      <c r="C6" s="5" t="n"/>
      <c r="D6" s="5" t="n"/>
      <c r="E6" s="5" t="n"/>
    </row>
    <row r="7">
      <c r="A7" s="4" t="inlineStr">
        <is>
          <t xml:space="preserve">DR01 demand by sector</t>
        </is>
      </c>
      <c r="B7" s="5" t="inlineStr">
        <is>
          <t xml:space="preserve">Diesel and petrol used by industry, mining, agriculture, transport and other sectors, 2014 to 2021</t>
        </is>
      </c>
      <c r="C7" s="5" t="n"/>
      <c r="D7" s="5" t="n"/>
      <c r="E7" s="5" t="n"/>
    </row>
    <row r="8">
      <c r="A8" s="4" t="inlineStr">
        <is>
          <t xml:space="preserve">DR01 sector activity</t>
        </is>
      </c>
      <c r="B8" s="5" t="inlineStr">
        <is>
          <t xml:space="preserve">Mining, manufacturing and agriculture: activity to 2025, diesel per unit of activity, and estimated diesel after 2021</t>
        </is>
      </c>
      <c r="C8" s="5" t="n"/>
      <c r="D8" s="5" t="n"/>
      <c r="E8" s="5" t="n"/>
    </row>
    <row r="9">
      <c r="A9" s="4" t="inlineStr">
        <is>
          <t xml:space="preserve">DR04 routes and access</t>
        </is>
      </c>
      <c r="B9" s="5" t="inlineStr">
        <is>
          <t xml:space="preserve">Pipeline limit and cost, regulated and published transport costs, port use, access at Durban and Lesedi, competing routes</t>
        </is>
      </c>
      <c r="C9" s="5" t="n">
        <v>66</v>
      </c>
      <c r="D9" s="5" t="n">
        <v>6</v>
      </c>
      <c r="E9" s="5" t="n">
        <v>7</v>
      </c>
    </row>
    <row r="10">
      <c r="A10" s="4" t="inlineStr">
        <is>
          <t xml:space="preserve">DR04 entry points</t>
        </is>
      </c>
      <c r="B10" s="5" t="inlineStr">
        <is>
          <t xml:space="preserve">Petrol and diesel imports cleared at each customs office, by year</t>
        </is>
      </c>
      <c r="C10" s="5" t="n"/>
      <c r="D10" s="5" t="n"/>
      <c r="E10" s="5" t="n"/>
    </row>
    <row r="11">
      <c r="A11" s="4" t="inlineStr">
        <is>
          <t xml:space="preserve">DR04 transport cost</t>
        </is>
      </c>
      <c r="B11" s="5" t="inlineStr">
        <is>
          <t xml:space="preserve">The Durban to Gauteng route by cost element, and the regulated transport differential for all 54 pricing zones</t>
        </is>
      </c>
      <c r="C11" s="5" t="n"/>
      <c r="D11" s="5" t="n"/>
      <c r="E11" s="5" t="n"/>
    </row>
    <row r="12">
      <c r="A12" s="4" t="inlineStr">
        <is>
          <t xml:space="preserve">DR07 demand evidence</t>
        </is>
      </c>
      <c r="B12" s="5" t="inlineStr">
        <is>
          <t xml:space="preserve">Eskom and independent diesel burn, plant dates, vehicle fleet, new vehicles, efficiency, freight and rail</t>
        </is>
      </c>
      <c r="C12" s="5" t="n">
        <v>75</v>
      </c>
      <c r="D12" s="5" t="n">
        <v>21</v>
      </c>
      <c r="E12" s="5" t="n">
        <v>5</v>
      </c>
    </row>
    <row r="13">
      <c r="A13" s="4" t="inlineStr">
        <is>
          <t xml:space="preserve">DR07 fleet by province</t>
        </is>
      </c>
      <c r="B13" s="5" t="inlineStr">
        <is>
          <t xml:space="preserve">Registered vehicles by class and province, and petrol and diesel vehicles by province</t>
        </is>
      </c>
      <c r="C13" s="5" t="n"/>
      <c r="D13" s="5" t="n"/>
      <c r="E13" s="5" t="n"/>
    </row>
    <row r="14">
      <c r="A14" s="4" t="inlineStr">
        <is>
          <t xml:space="preserve">DR08 refinery supply</t>
        </is>
      </c>
      <c r="B14" s="5" t="inlineStr">
        <is>
          <t xml:space="preserve">Capacity, status and closure dates, output by plant and nationally, yields, utilisation and outlook</t>
        </is>
      </c>
      <c r="C14" s="5" t="n">
        <v>43</v>
      </c>
      <c r="D14" s="5" t="n">
        <v>19</v>
      </c>
      <c r="E14" s="5" t="n">
        <v>2</v>
      </c>
    </row>
    <row r="15">
      <c r="A15" s="4" t="inlineStr">
        <is>
          <t xml:space="preserve">Market sizing</t>
        </is>
      </c>
      <c r="B15" s="5" t="inlineStr">
        <is>
          <t xml:space="preserve">What Vopak Durban and Vopak Lesedi can reach: site markets, the inland-bound flow, the trunk line and what the tanks allow</t>
        </is>
      </c>
      <c r="C15" s="5" t="n"/>
      <c r="D15" s="5" t="n"/>
      <c r="E15" s="5" t="n"/>
    </row>
    <row r="16">
      <c r="A16" s="4" t="inlineStr">
        <is>
          <t xml:space="preserve">Not available</t>
        </is>
      </c>
      <c r="B16" s="5" t="inlineStr">
        <is>
          <t xml:space="preserve">The 17 items that could not be found, with the reason for each</t>
        </is>
      </c>
      <c r="C16" s="5" t="n"/>
      <c r="D16" s="5" t="n"/>
      <c r="E16" s="5" t="n"/>
    </row>
    <row r="18">
      <c r="A18" s="6" t="inlineStr">
        <is>
          <t xml:space="preserve">Colours</t>
        </is>
      </c>
    </row>
    <row r="19">
      <c r="A19" s="7" t="inlineStr">
        <is>
          <t xml:space="preserve">Blue: read from a published source</t>
        </is>
      </c>
    </row>
    <row r="20">
      <c r="A20" s="8" t="inlineStr">
        <is>
          <t xml:space="preserve">White: calculated here from figures on the sheet</t>
        </is>
      </c>
    </row>
    <row r="21">
      <c r="A21" s="9" t="inlineStr">
        <is>
          <t xml:space="preserve">Yellow: not available</t>
        </is>
      </c>
    </row>
  </sheetData>
  <mergeCells>
    <mergeCell ref="A21:B21"/>
    <mergeCell ref="A20:B20"/>
    <mergeCell ref="A19:B19"/>
    <mergeCell ref="A3:E3"/>
  </mergeCells>
  <hyperlinks>
    <hyperlink ref="A5" r:id="R6fc976f19d6243e5"/>
    <hyperlink ref="A6" r:id="R40224891fd114715"/>
    <hyperlink ref="A7" r:id="R3cd2728343d646ff"/>
    <hyperlink ref="A8" r:id="Rceb990ad81e64d34"/>
    <hyperlink ref="A9" r:id="Rfb57a32aba37434e"/>
    <hyperlink ref="A10" r:id="R7a53d5ac27984c2e"/>
    <hyperlink ref="A11" r:id="R943fe593d156485a"/>
    <hyperlink ref="A12" r:id="R8e582a63bb1b4805"/>
    <hyperlink ref="A13" r:id="Rb107de6d552e4935"/>
    <hyperlink ref="A14" r:id="R72fad8601ac6451c"/>
    <hyperlink ref="A15" r:id="Rc0205f6928f54977"/>
    <hyperlink ref="A16" r:id="R055244eeac944373"/>
    <hyperlink ref="A3" location="'Gap register'!A28" display="REVIEW: 6 linked items. Open Gap register; filter Request. Start here explains colours and scope." tooltip="Open the linked workbook evidence or review item"/>
    <hyperlink ref="I5" location="'Gap register'!A67" display="Review detail" tooltip="Open the linked workbook evidence or review item"/>
  </hyperlinks>
  <pageMargins left="0.7" right="0.7" top="0.75" bottom="0.75" header="0.3" footer="0.3"/>
</worksheet>
</file>

<file path=xl/worksheets/sheet2.xml><?xml version="1.0" encoding="utf-8"?>
<worksheet xmlns="http://schemas.openxmlformats.org/spreadsheetml/2006/main">
  <sheetViews>
    <sheetView workbookViewId="0" tabSelected="0">
      <pane xSplit="1" ySplit="2" topLeftCell="B3" activePane="bottomRight" state="frozen"/>
    </sheetView>
  </sheetViews>
  <sheetFormatPr baseColWidth="8" defaultRowHeight="15"/>
  <cols>
    <col min="1" max="1" width="24" customWidth="1"/>
    <col min="2" max="2" width="8.5" customWidth="1"/>
    <col min="3" max="3" width="8.5" customWidth="1"/>
    <col min="4" max="4" width="8.5" customWidth="1"/>
    <col min="5" max="5" width="8.5" customWidth="1"/>
    <col min="6" max="6" width="8.5" customWidth="1"/>
    <col min="7" max="7" width="8.5" customWidth="1"/>
    <col min="8" max="8" width="8.5" customWidth="1"/>
    <col min="9" max="9" width="8.5" customWidth="1"/>
    <col min="10" max="10" width="8.5" customWidth="1"/>
    <col min="11" max="11" width="8.5" customWidth="1"/>
    <col min="12" max="12" width="8.5" customWidth="1"/>
    <col min="13" max="13" width="8.5" customWidth="1"/>
    <col min="14" max="14" width="58" customWidth="1"/>
    <col min="15" max="15" width="62" customWidth="1"/>
    <col min="17" max="17" width="19" hidden="0" customWidth="1"/>
    <col min="18" max="18" width="65" hidden="0" customWidth="1"/>
    <col min="19" max="19" width="15" hidden="0" customWidth="1"/>
  </cols>
  <sheetData>
    <row r="1">
      <c r="A1" s="1" t="inlineStr">
        <is>
          <t xml:space="preserve">DR01 National balance: petrol and diesel</t>
        </is>
      </c>
    </row>
    <row r="2">
      <c r="A2" s="2" t="inlineStr">
        <is>
          <t xml:space="preserve">Billion litres, calendar years. Blank means not published. Sales are the department's figures: provinces added up for 2014 to 2022, the national total for 2023. FIASA and JODI are not used.</t>
        </is>
      </c>
    </row>
    <row r="3" ht="34" customHeight="1">
      <c r="A3" s="92" t="str">
        <v>REVIEW: 6 linked items. Open Gap register; filter Request. Start here explains colours and scope.</v>
      </c>
      <c r="B3" s="92"/>
      <c r="C3" s="92"/>
      <c r="D3" s="92"/>
      <c r="E3" s="92"/>
      <c r="F3" s="92"/>
      <c r="G3" s="92"/>
      <c r="H3" s="92"/>
      <c r="I3" s="92"/>
      <c r="J3" s="92"/>
    </row>
    <row r="4" ht="30" customHeight="1">
      <c r="Q4" s="95" t="str">
        <v>Review IDs</v>
      </c>
      <c r="R4" s="95" t="str">
        <v>Review finding — source figures retained</v>
      </c>
      <c r="S4" s="95" t="str">
        <v>Open detail</v>
      </c>
    </row>
    <row r="5">
      <c r="A5" s="10" t="inlineStr">
        <is>
          <t xml:space="preserve">Petrol</t>
        </is>
      </c>
      <c r="B5" s="11" t="n"/>
      <c r="C5" s="11" t="n"/>
      <c r="D5" s="11" t="n"/>
      <c r="E5" s="11" t="n"/>
      <c r="F5" s="11" t="n"/>
      <c r="G5" s="11" t="n"/>
      <c r="H5" s="11" t="n"/>
      <c r="I5" s="11" t="n"/>
      <c r="J5" s="11" t="n"/>
      <c r="K5" s="11" t="n"/>
      <c r="L5" s="11" t="n"/>
      <c r="M5" s="11" t="n"/>
      <c r="N5" s="12" t="n"/>
      <c r="O5" s="12" t="n"/>
    </row>
    <row r="6">
      <c r="A6" s="13" t="inlineStr">
        <is>
          <t xml:space="preserve">Line</t>
        </is>
      </c>
      <c r="B6" s="13" t="n">
        <v>2014</v>
      </c>
      <c r="C6" s="13" t="n">
        <v>2015</v>
      </c>
      <c r="D6" s="13" t="n">
        <v>2016</v>
      </c>
      <c r="E6" s="13" t="n">
        <v>2017</v>
      </c>
      <c r="F6" s="13" t="n">
        <v>2018</v>
      </c>
      <c r="G6" s="13" t="n">
        <v>2019</v>
      </c>
      <c r="H6" s="13" t="n">
        <v>2020</v>
      </c>
      <c r="I6" s="13" t="n">
        <v>2021</v>
      </c>
      <c r="J6" s="13" t="n">
        <v>2022</v>
      </c>
      <c r="K6" s="13" t="n">
        <v>2023</v>
      </c>
      <c r="L6" s="13" t="n">
        <v>2024</v>
      </c>
      <c r="M6" s="13" t="n">
        <v>2025</v>
      </c>
      <c r="N6" s="14" t="inlineStr">
        <is>
          <t xml:space="preserve">Source</t>
        </is>
      </c>
      <c r="O6" s="14" t="inlineStr">
        <is>
          <t xml:space="preserve">Note</t>
        </is>
      </c>
    </row>
    <row r="7" ht="114" customHeight="1">
      <c r="A7" s="15" t="inlineStr">
        <is>
          <t xml:space="preserve">Sales</t>
        </is>
      </c>
      <c r="B7" s="16" t="n">
        <v>11.030664865</v>
      </c>
      <c r="C7" s="16" t="n">
        <v>11.469654472</v>
      </c>
      <c r="D7" s="16" t="n">
        <v>11.462252467</v>
      </c>
      <c r="E7" s="16" t="n">
        <v>11.173811004</v>
      </c>
      <c r="F7" s="16" t="n">
        <v>10.928999242</v>
      </c>
      <c r="G7" s="16" t="n">
        <v>10.773208065</v>
      </c>
      <c r="H7" s="16" t="n">
        <v>8.761470961000001</v>
      </c>
      <c r="I7" s="16" t="n">
        <v>9.301584227999999</v>
      </c>
      <c r="J7" s="16" t="n">
        <v>9.184869916</v>
      </c>
      <c r="K7" s="16" t="n">
        <v>9.036950113</v>
      </c>
      <c r="L7" s="99" t="n"/>
      <c r="M7" s="99" t="n"/>
      <c r="N7" s="17" t="inlineStr">
        <is>
          <t xml:space="preserve">Department of Mineral and Petroleum Resources, fuel sales volumes</t>
        </is>
      </c>
      <c r="O7" s="17" t="inlineStr">
        <is>
          <t xml:space="preserve">Nothing published after 2023.</t>
        </is>
      </c>
      <c r="Q7" s="80" t="str">
        <v>G002, G018, G021, G022</v>
      </c>
      <c r="R7" s="80" t="str">
        <v>Missing data: Sales for 2024 and 2025
Reconciliation: One baseline year and sales definition
Reconciliation: 2021 customs versus energy-balance imports
Additional evidence: RAF levy cross-check</v>
      </c>
      <c r="S7" s="80" t="str">
        <v>Review detail</v>
      </c>
    </row>
    <row r="8" ht="48" customHeight="1">
      <c r="A8" s="15" t="inlineStr">
        <is>
          <t xml:space="preserve">Production</t>
        </is>
      </c>
      <c r="B8" s="16" t="n">
        <v>10.82816</v>
      </c>
      <c r="C8" s="16" t="n">
        <v>10.457813</v>
      </c>
      <c r="D8" s="16" t="n">
        <v>10.393066</v>
      </c>
      <c r="E8" s="16" t="n">
        <v>9.43444</v>
      </c>
      <c r="F8" s="16" t="n">
        <v>9.97456</v>
      </c>
      <c r="G8" s="16" t="n">
        <v>10.424467</v>
      </c>
      <c r="H8" s="16" t="n">
        <v>7.895</v>
      </c>
      <c r="I8" s="16" t="n">
        <v>6.351306667</v>
      </c>
      <c r="J8" s="99" t="n"/>
      <c r="K8" s="99" t="n"/>
      <c r="L8" s="99" t="n"/>
      <c r="M8" s="99" t="n"/>
      <c r="N8" s="17" t="inlineStr">
        <is>
          <t xml:space="preserve">Department of Mineral and Petroleum Resources, energy balances, one file a year</t>
        </is>
      </c>
      <c r="O8" s="17" t="inlineStr">
        <is>
          <t xml:space="preserve">The last balance published is 2021.</t>
        </is>
      </c>
      <c r="Q8" s="80" t="str">
        <v>G001</v>
      </c>
      <c r="R8" s="80" t="str">
        <v>Missing data: Production after 2021</v>
      </c>
      <c r="S8" s="80" t="str">
        <v>Review detail</v>
      </c>
    </row>
    <row r="9">
      <c r="A9" s="15" t="inlineStr">
        <is>
          <t xml:space="preserve">Imports</t>
        </is>
      </c>
      <c r="B9" s="16" t="n">
        <v>1.150194822</v>
      </c>
      <c r="C9" s="16" t="n">
        <v>1.869645208</v>
      </c>
      <c r="D9" s="16" t="n">
        <v>1.395638476</v>
      </c>
      <c r="E9" s="16" t="n">
        <v>2.114156485</v>
      </c>
      <c r="F9" s="16" t="n">
        <v>1.829771264</v>
      </c>
      <c r="G9" s="16" t="n">
        <v>1.477385841</v>
      </c>
      <c r="H9" s="16" t="n">
        <v>1.719673064</v>
      </c>
      <c r="I9" s="16" t="n">
        <v>4.008612764</v>
      </c>
      <c r="J9" s="16" t="n">
        <v>5.455261815</v>
      </c>
      <c r="K9" s="16" t="n">
        <v>4.48277476</v>
      </c>
      <c r="L9" s="16" t="n">
        <v>4.000854433</v>
      </c>
      <c r="M9" s="16" t="n">
        <v>4.453471178</v>
      </c>
      <c r="N9" s="17" t="inlineStr">
        <is>
          <t xml:space="preserve">SARS customs, trade statistics portal, petrol and diesel tariff lines</t>
        </is>
      </c>
      <c r="O9" s="17" t="inlineStr">
        <is>
          <t xml:space="preserve">Complete calendar years, in litres.</t>
        </is>
      </c>
    </row>
    <row r="10">
      <c r="A10" s="15" t="inlineStr">
        <is>
          <t xml:space="preserve">Exports</t>
        </is>
      </c>
      <c r="B10" s="16" t="n">
        <v>0.989515894</v>
      </c>
      <c r="C10" s="16" t="n">
        <v>1.085670442</v>
      </c>
      <c r="D10" s="16" t="n">
        <v>1.157328794</v>
      </c>
      <c r="E10" s="16" t="n">
        <v>1.07588616</v>
      </c>
      <c r="F10" s="16" t="n">
        <v>1.135050255</v>
      </c>
      <c r="G10" s="16" t="n">
        <v>1.174701778</v>
      </c>
      <c r="H10" s="16" t="n">
        <v>1.154779071</v>
      </c>
      <c r="I10" s="16" t="n">
        <v>1.052495145</v>
      </c>
      <c r="J10" s="16" t="n">
        <v>0.854613714</v>
      </c>
      <c r="K10" s="16" t="n">
        <v>0.9940195590000001</v>
      </c>
      <c r="L10" s="16" t="n">
        <v>0.919745016</v>
      </c>
      <c r="M10" s="16" t="n">
        <v>0.801762466</v>
      </c>
      <c r="N10" s="17" t="inlineStr">
        <is>
          <t xml:space="preserve">SARS customs, trade statistics portal, petrol and diesel tariff lines</t>
        </is>
      </c>
      <c r="O10" s="17" t="inlineStr">
        <is>
          <t xml:space="preserve"/>
        </is>
      </c>
    </row>
    <row r="11" ht="48" customHeight="1">
      <c r="A11" s="18" t="inlineStr">
        <is>
          <t xml:space="preserve">Stock change</t>
        </is>
      </c>
      <c r="B11" s="99" t="inlineStr">
        <is>
          <t xml:space="preserve"/>
        </is>
      </c>
      <c r="C11" s="99" t="inlineStr">
        <is>
          <t xml:space="preserve"/>
        </is>
      </c>
      <c r="D11" s="99" t="inlineStr">
        <is>
          <t xml:space="preserve"/>
        </is>
      </c>
      <c r="E11" s="99" t="inlineStr">
        <is>
          <t xml:space="preserve"/>
        </is>
      </c>
      <c r="F11" s="99" t="inlineStr">
        <is>
          <t xml:space="preserve"/>
        </is>
      </c>
      <c r="G11" s="99" t="inlineStr">
        <is>
          <t xml:space="preserve"/>
        </is>
      </c>
      <c r="H11" s="99" t="inlineStr">
        <is>
          <t xml:space="preserve"/>
        </is>
      </c>
      <c r="I11" s="99" t="inlineStr">
        <is>
          <t xml:space="preserve"/>
        </is>
      </c>
      <c r="J11" s="99" t="inlineStr">
        <is>
          <t xml:space="preserve"/>
        </is>
      </c>
      <c r="K11" s="99" t="inlineStr">
        <is>
          <t xml:space="preserve"/>
        </is>
      </c>
      <c r="L11" s="99" t="inlineStr">
        <is>
          <t xml:space="preserve"/>
        </is>
      </c>
      <c r="M11" s="99" t="inlineStr">
        <is>
          <t xml:space="preserve"/>
        </is>
      </c>
      <c r="N11" s="20" t="inlineStr">
        <is>
          <t xml:space="preserve">None</t>
        </is>
      </c>
      <c r="O11" s="20" t="inlineStr">
        <is>
          <t xml:space="preserve">Not published by any source used.</t>
        </is>
      </c>
      <c r="Q11" s="80" t="str">
        <v>G003</v>
      </c>
      <c r="R11" s="80" t="str">
        <v>Missing data: Stocks, for any year</v>
      </c>
      <c r="S11" s="80" t="str">
        <v>Review detail</v>
      </c>
    </row>
    <row r="12">
      <c r="A12" s="21" t="inlineStr">
        <is>
          <t xml:space="preserve">Supply less sales</t>
        </is>
      </c>
      <c r="B12" s="22" t="n">
        <f>IF(COUNT(B7,B8,B9,B10)&lt;4,"",B8+B9-B10-B7)</f>
        <v>-0.04182593700000048</v>
      </c>
      <c r="C12" s="22" t="n">
        <f>IF(COUNT(C7,C8,C9,C10)&lt;4,"",C8+C9-C10-C7)</f>
        <v>-0.22786670600000036</v>
      </c>
      <c r="D12" s="22" t="n">
        <f>IF(COUNT(D7,D8,D9,D10)&lt;4,"",D8+D9-D10-D7)</f>
        <v>-0.830876785000001</v>
      </c>
      <c r="E12" s="22" t="n">
        <f>IF(COUNT(E7,E8,E9,E10)&lt;4,"",E8+E9-E10-E7)</f>
        <v>-0.7011006789999978</v>
      </c>
      <c r="F12" s="22" t="n">
        <f>IF(COUNT(F7,F8,F9,F10)&lt;4,"",F8+F9-F10-F7)</f>
        <v>-0.2597182329999992</v>
      </c>
      <c r="G12" s="22" t="n">
        <f>IF(COUNT(G7,G8,G9,G10)&lt;4,"",G8+G9-G10-G7)</f>
        <v>-0.046057001999999514</v>
      </c>
      <c r="H12" s="22" t="n">
        <f>IF(COUNT(H7,H8,H9,H10)&lt;4,"",H8+H9-H10-H7)</f>
        <v>-0.3015769680000009</v>
      </c>
      <c r="I12" s="22" t="n">
        <f>IF(COUNT(I7,I8,I9,I10)&lt;4,"",I8+I9-I10-I7)</f>
        <v>0.005840058000002202</v>
      </c>
      <c r="J12" s="22" t="str">
        <f>IF(COUNT(J7,J8,J9,J10)&lt;4,"",J8+J9-J10-J7)</f>
      </c>
      <c r="K12" s="22" t="str">
        <f>IF(COUNT(K7,K8,K9,K10)&lt;4,"",K8+K9-K10-K7)</f>
      </c>
      <c r="L12" s="22" t="str">
        <f>IF(COUNT(L7,L8,L9,L10)&lt;4,"",L8+L9-L10-L7)</f>
      </c>
      <c r="M12" s="22" t="str">
        <f>IF(COUNT(M7,M8,M9,M10)&lt;4,"",M8+M9-M10-M7)</f>
      </c>
      <c r="N12" s="23" t="inlineStr">
        <is>
          <t xml:space="preserve">Calculated: production + imports - exports - sales</t>
        </is>
      </c>
      <c r="O12" s="23" t="inlineStr">
        <is>
          <t xml:space="preserve">Stock change and statistical difference together. Shown only where all four lines exist.</t>
        </is>
      </c>
    </row>
    <row r="14">
      <c r="A14" s="10" t="inlineStr">
        <is>
          <t xml:space="preserve">Diesel</t>
        </is>
      </c>
      <c r="B14" s="11" t="n"/>
      <c r="C14" s="11" t="n"/>
      <c r="D14" s="11" t="n"/>
      <c r="E14" s="11" t="n"/>
      <c r="F14" s="11" t="n"/>
      <c r="G14" s="11" t="n"/>
      <c r="H14" s="11" t="n"/>
      <c r="I14" s="11" t="n"/>
      <c r="J14" s="11" t="n"/>
      <c r="K14" s="11" t="n"/>
      <c r="L14" s="11" t="n"/>
      <c r="M14" s="11" t="n"/>
      <c r="N14" s="12" t="n"/>
      <c r="O14" s="12" t="n"/>
    </row>
    <row r="15">
      <c r="A15" s="13" t="inlineStr">
        <is>
          <t xml:space="preserve">Line</t>
        </is>
      </c>
      <c r="B15" s="13" t="n">
        <v>2014</v>
      </c>
      <c r="C15" s="13" t="n">
        <v>2015</v>
      </c>
      <c r="D15" s="13" t="n">
        <v>2016</v>
      </c>
      <c r="E15" s="13" t="n">
        <v>2017</v>
      </c>
      <c r="F15" s="13" t="n">
        <v>2018</v>
      </c>
      <c r="G15" s="13" t="n">
        <v>2019</v>
      </c>
      <c r="H15" s="13" t="n">
        <v>2020</v>
      </c>
      <c r="I15" s="13" t="n">
        <v>2021</v>
      </c>
      <c r="J15" s="13" t="n">
        <v>2022</v>
      </c>
      <c r="K15" s="13" t="n">
        <v>2023</v>
      </c>
      <c r="L15" s="13" t="n">
        <v>2024</v>
      </c>
      <c r="M15" s="13" t="n">
        <v>2025</v>
      </c>
      <c r="N15" s="14" t="inlineStr">
        <is>
          <t xml:space="preserve">Source</t>
        </is>
      </c>
      <c r="O15" s="14" t="inlineStr">
        <is>
          <t xml:space="preserve">Note</t>
        </is>
      </c>
    </row>
    <row r="16">
      <c r="A16" s="15" t="inlineStr">
        <is>
          <t xml:space="preserve">Sales</t>
        </is>
      </c>
      <c r="B16" s="16" t="n">
        <v>12.743389886</v>
      </c>
      <c r="C16" s="16" t="n">
        <v>13.492151359</v>
      </c>
      <c r="D16" s="16" t="n">
        <v>12.082374038</v>
      </c>
      <c r="E16" s="16" t="n">
        <v>12.145150189</v>
      </c>
      <c r="F16" s="16" t="n">
        <v>12.318620432</v>
      </c>
      <c r="G16" s="16" t="n">
        <v>12.908631232</v>
      </c>
      <c r="H16" s="16" t="n">
        <v>11.689957759</v>
      </c>
      <c r="I16" s="16" t="n">
        <v>12.945018015</v>
      </c>
      <c r="J16" s="16" t="n">
        <v>12.717326319</v>
      </c>
      <c r="K16" s="16" t="n">
        <v>12.907499966</v>
      </c>
      <c r="L16" s="99" t="n"/>
      <c r="M16" s="99" t="n"/>
      <c r="N16" s="17" t="inlineStr">
        <is>
          <t xml:space="preserve">Department of Mineral and Petroleum Resources, fuel sales volumes</t>
        </is>
      </c>
      <c r="O16" s="17" t="inlineStr">
        <is>
          <t xml:space="preserve">Nothing published after 2023.</t>
        </is>
      </c>
    </row>
    <row r="17">
      <c r="A17" s="15" t="inlineStr">
        <is>
          <t xml:space="preserve">Production</t>
        </is>
      </c>
      <c r="B17" s="16" t="n">
        <v>9.58774</v>
      </c>
      <c r="C17" s="16" t="n">
        <v>9.368482</v>
      </c>
      <c r="D17" s="16" t="n">
        <v>9.014189999999999</v>
      </c>
      <c r="E17" s="16" t="n">
        <v>7.921726</v>
      </c>
      <c r="F17" s="16" t="n">
        <v>8.425262</v>
      </c>
      <c r="G17" s="16" t="n">
        <v>9.080356999999999</v>
      </c>
      <c r="H17" s="16" t="n">
        <v>6.4478095</v>
      </c>
      <c r="I17" s="16" t="n">
        <v>5.314964286</v>
      </c>
      <c r="J17" s="99" t="n"/>
      <c r="K17" s="99" t="n"/>
      <c r="L17" s="99" t="n"/>
      <c r="M17" s="99" t="n"/>
      <c r="N17" s="17" t="inlineStr">
        <is>
          <t xml:space="preserve">Department of Mineral and Petroleum Resources, energy balances, one file a year</t>
        </is>
      </c>
      <c r="O17" s="17" t="inlineStr">
        <is>
          <t xml:space="preserve">The last balance published is 2021.</t>
        </is>
      </c>
    </row>
    <row r="18">
      <c r="A18" s="15" t="inlineStr">
        <is>
          <t xml:space="preserve">Imports</t>
        </is>
      </c>
      <c r="B18" s="16" t="n">
        <v>4.991712327</v>
      </c>
      <c r="C18" s="16" t="n">
        <v>6.450779035</v>
      </c>
      <c r="D18" s="16" t="n">
        <v>4.424294965</v>
      </c>
      <c r="E18" s="16" t="n">
        <v>6.037459911</v>
      </c>
      <c r="F18" s="16" t="n">
        <v>5.122959487</v>
      </c>
      <c r="G18" s="16" t="n">
        <v>5.590272109</v>
      </c>
      <c r="H18" s="16" t="n">
        <v>6.814985448</v>
      </c>
      <c r="I18" s="16" t="n">
        <v>9.761395306000001</v>
      </c>
      <c r="J18" s="16" t="n">
        <v>11.954256548</v>
      </c>
      <c r="K18" s="16" t="n">
        <v>12.870032101</v>
      </c>
      <c r="L18" s="16" t="n">
        <v>10.792547134</v>
      </c>
      <c r="M18" s="16" t="n">
        <v>12.248720262</v>
      </c>
      <c r="N18" s="17" t="inlineStr">
        <is>
          <t xml:space="preserve">SARS customs, trade statistics portal, petrol and diesel tariff lines</t>
        </is>
      </c>
      <c r="O18" s="17" t="inlineStr">
        <is>
          <t xml:space="preserve">Complete calendar years, in litres.</t>
        </is>
      </c>
    </row>
    <row r="19">
      <c r="A19" s="15" t="inlineStr">
        <is>
          <t xml:space="preserve">Exports</t>
        </is>
      </c>
      <c r="B19" s="16" t="n">
        <v>1.493762628</v>
      </c>
      <c r="C19" s="16" t="n">
        <v>1.61285504</v>
      </c>
      <c r="D19" s="16" t="n">
        <v>1.88560543</v>
      </c>
      <c r="E19" s="16" t="n">
        <v>1.78267408</v>
      </c>
      <c r="F19" s="16" t="n">
        <v>1.582070108</v>
      </c>
      <c r="G19" s="16" t="n">
        <v>1.741377312</v>
      </c>
      <c r="H19" s="16" t="n">
        <v>0.91381452</v>
      </c>
      <c r="I19" s="16" t="n">
        <v>0.8934881059999999</v>
      </c>
      <c r="J19" s="16" t="n">
        <v>0.889199068</v>
      </c>
      <c r="K19" s="16" t="n">
        <v>0.889445908</v>
      </c>
      <c r="L19" s="16" t="n">
        <v>0.795834679</v>
      </c>
      <c r="M19" s="16" t="n">
        <v>0.74670021</v>
      </c>
      <c r="N19" s="17" t="inlineStr">
        <is>
          <t xml:space="preserve">SARS customs, trade statistics portal, petrol and diesel tariff lines</t>
        </is>
      </c>
      <c r="O19" s="17" t="inlineStr">
        <is>
          <t xml:space="preserve"/>
        </is>
      </c>
    </row>
    <row r="20">
      <c r="A20" s="18" t="inlineStr">
        <is>
          <t xml:space="preserve">Stock change</t>
        </is>
      </c>
      <c r="B20" s="99" t="inlineStr">
        <is>
          <t xml:space="preserve"/>
        </is>
      </c>
      <c r="C20" s="99" t="inlineStr">
        <is>
          <t xml:space="preserve"/>
        </is>
      </c>
      <c r="D20" s="99" t="inlineStr">
        <is>
          <t xml:space="preserve"/>
        </is>
      </c>
      <c r="E20" s="99" t="inlineStr">
        <is>
          <t xml:space="preserve"/>
        </is>
      </c>
      <c r="F20" s="99" t="inlineStr">
        <is>
          <t xml:space="preserve"/>
        </is>
      </c>
      <c r="G20" s="99" t="inlineStr">
        <is>
          <t xml:space="preserve"/>
        </is>
      </c>
      <c r="H20" s="99" t="inlineStr">
        <is>
          <t xml:space="preserve"/>
        </is>
      </c>
      <c r="I20" s="99" t="inlineStr">
        <is>
          <t xml:space="preserve"/>
        </is>
      </c>
      <c r="J20" s="99" t="inlineStr">
        <is>
          <t xml:space="preserve"/>
        </is>
      </c>
      <c r="K20" s="99" t="inlineStr">
        <is>
          <t xml:space="preserve"/>
        </is>
      </c>
      <c r="L20" s="99" t="inlineStr">
        <is>
          <t xml:space="preserve"/>
        </is>
      </c>
      <c r="M20" s="99" t="inlineStr">
        <is>
          <t xml:space="preserve"/>
        </is>
      </c>
      <c r="N20" s="20" t="inlineStr">
        <is>
          <t xml:space="preserve">None</t>
        </is>
      </c>
      <c r="O20" s="20" t="inlineStr">
        <is>
          <t xml:space="preserve">Not published by any source used.</t>
        </is>
      </c>
    </row>
    <row r="21">
      <c r="A21" s="21" t="inlineStr">
        <is>
          <t xml:space="preserve">Supply less sales</t>
        </is>
      </c>
      <c r="B21" s="22" t="n">
        <f>IF(COUNT(B16,B17,B18,B19)&lt;4,"",B17+B18-B19-B16)</f>
        <v>0.34229981300000034</v>
      </c>
      <c r="C21" s="22" t="n">
        <f>IF(COUNT(C16,C17,C18,C19)&lt;4,"",C17+C18-C19-C16)</f>
        <v>0.7142546360000015</v>
      </c>
      <c r="D21" s="22" t="n">
        <f>IF(COUNT(D16,D17,D18,D19)&lt;4,"",D17+D18-D19-D16)</f>
        <v>-0.5294945030000004</v>
      </c>
      <c r="E21" s="22" t="n">
        <f>IF(COUNT(E16,E17,E18,E19)&lt;4,"",E17+E18-E19-E16)</f>
        <v>0.03136164199999847</v>
      </c>
      <c r="F21" s="22" t="n">
        <f>IF(COUNT(F16,F17,F18,F19)&lt;4,"",F17+F18-F19-F16)</f>
        <v>-0.3524690530000001</v>
      </c>
      <c r="G21" s="22" t="n">
        <f>IF(COUNT(G16,G17,G18,G19)&lt;4,"",G17+G18-G19-G16)</f>
        <v>0.020620564999999758</v>
      </c>
      <c r="H21" s="22" t="n">
        <f>IF(COUNT(H16,H17,H18,H19)&lt;4,"",H17+H18-H19-H16)</f>
        <v>0.6590226689999987</v>
      </c>
      <c r="I21" s="22" t="n">
        <f>IF(COUNT(I16,I17,I18,I19)&lt;4,"",I17+I18-I19-I16)</f>
        <v>1.237853471000001</v>
      </c>
      <c r="J21" s="22" t="str">
        <f>IF(COUNT(J16,J17,J18,J19)&lt;4,"",J17+J18-J19-J16)</f>
      </c>
      <c r="K21" s="22" t="str">
        <f>IF(COUNT(K16,K17,K18,K19)&lt;4,"",K17+K18-K19-K16)</f>
      </c>
      <c r="L21" s="22" t="str">
        <f>IF(COUNT(L16,L17,L18,L19)&lt;4,"",L17+L18-L19-L16)</f>
      </c>
      <c r="M21" s="22" t="str">
        <f>IF(COUNT(M16,M17,M18,M19)&lt;4,"",M17+M18-M19-M16)</f>
      </c>
      <c r="N21" s="23" t="inlineStr">
        <is>
          <t xml:space="preserve">Calculated: production + imports - exports - sales</t>
        </is>
      </c>
      <c r="O21" s="23" t="inlineStr">
        <is>
          <t xml:space="preserve">Stock change and statistical difference together. Shown only where all four lines exist.</t>
        </is>
      </c>
    </row>
  </sheetData>
  <mergeCells>
    <mergeCell ref="A3:J3"/>
  </mergeCells>
  <hyperlinks>
    <hyperlink ref="A3" location="'Gap register'!A6" display="REVIEW: 6 linked items. Open Gap register; filter Request. Start here explains colours and scope." tooltip="Open the linked workbook evidence or review item"/>
    <hyperlink ref="S8" location="'Gap register'!A6" display="Review detail" tooltip="Open the linked workbook evidence or review item"/>
    <hyperlink ref="S7" location="'Gap register'!A7" display="Review detail" tooltip="Open the linked workbook evidence or review item"/>
    <hyperlink ref="S11" location="'Gap register'!A8" display="Review detail" tooltip="Open the linked workbook evidence or review item"/>
  </hyperlinks>
  <pageMargins left="0.7" right="0.7" top="0.75" bottom="0.75" header="0.3" footer="0.3"/>
</worksheet>
</file>

<file path=xl/worksheets/sheet3.xml><?xml version="1.0" encoding="utf-8"?>
<worksheet xmlns="http://schemas.openxmlformats.org/spreadsheetml/2006/main">
  <sheetViews>
    <sheetView workbookViewId="0" tabSelected="0">
      <pane xSplit="1" ySplit="2" topLeftCell="B3" activePane="bottomRight" state="frozen"/>
    </sheetView>
  </sheetViews>
  <sheetFormatPr baseColWidth="8" defaultRowHeight="15"/>
  <cols>
    <col min="1" max="1" width="24" customWidth="1"/>
    <col min="2" max="2" width="8.5" customWidth="1"/>
    <col min="3" max="3" width="8.5" customWidth="1"/>
    <col min="4" max="4" width="8.5" customWidth="1"/>
    <col min="5" max="5" width="8.5" customWidth="1"/>
    <col min="6" max="6" width="8.5" customWidth="1"/>
    <col min="7" max="7" width="8.5" customWidth="1"/>
    <col min="8" max="8" width="8.5" customWidth="1"/>
    <col min="9" max="9" width="8.5" customWidth="1"/>
    <col min="10" max="10" width="8.5" customWidth="1"/>
    <col min="11" max="11" width="8.5" customWidth="1"/>
    <col min="12" max="12" width="8.5" customWidth="1"/>
    <col min="13" max="13" width="8.5" customWidth="1"/>
    <col min="14" max="14" width="8.5" customWidth="1"/>
    <col min="15" max="15" width="58" customWidth="1"/>
    <col min="16" max="16" width="62" customWidth="1"/>
    <col min="18" max="18" width="19" hidden="0" customWidth="1"/>
    <col min="19" max="19" width="65" hidden="0" customWidth="1"/>
    <col min="20" max="20" width="15" hidden="0" customWidth="1"/>
  </cols>
  <sheetData>
    <row r="1">
      <c r="A1" s="1" t="inlineStr">
        <is>
          <t xml:space="preserve">DR01 Sales by province: petrol and diesel</t>
        </is>
      </c>
    </row>
    <row r="2">
      <c r="A2" s="2" t="inlineStr">
        <is>
          <t xml:space="preserve">Billion litres, calendar years. 2013 to 2022 are the department's district data added up by province (blue). 2023 is an estimate (yellow): the national total split by each province's share of sales in the first quarter of 2023. 2024 and 2025 are blank.</t>
        </is>
      </c>
    </row>
    <row r="3" ht="34" customHeight="1">
      <c r="A3" s="92" t="str">
        <v>REVIEW: 2 linked items. Open Gap register; filter Request. Start here explains colours and scope.</v>
      </c>
      <c r="B3" s="92"/>
      <c r="C3" s="92"/>
      <c r="D3" s="92"/>
      <c r="E3" s="92"/>
      <c r="F3" s="92"/>
      <c r="G3" s="92"/>
      <c r="H3" s="92"/>
      <c r="I3" s="92"/>
      <c r="J3" s="92"/>
    </row>
    <row r="4" ht="30" customHeight="1">
      <c r="R4" s="95" t="str">
        <v>Review IDs</v>
      </c>
      <c r="S4" s="95" t="str">
        <v>Review finding — source figures retained</v>
      </c>
      <c r="T4" s="95" t="str">
        <v>Open detail</v>
      </c>
    </row>
    <row r="5">
      <c r="A5" s="10" t="inlineStr">
        <is>
          <t xml:space="preserve">Petrol</t>
        </is>
      </c>
      <c r="B5" s="11" t="n"/>
      <c r="C5" s="11" t="n"/>
      <c r="D5" s="11" t="n"/>
      <c r="E5" s="11" t="n"/>
      <c r="F5" s="11" t="n"/>
      <c r="G5" s="11" t="n"/>
      <c r="H5" s="11" t="n"/>
      <c r="I5" s="11" t="n"/>
      <c r="J5" s="11" t="n"/>
      <c r="K5" s="11" t="n"/>
      <c r="L5" s="11" t="n"/>
      <c r="M5" s="11" t="n"/>
      <c r="N5" s="11" t="n"/>
      <c r="O5" s="12" t="n"/>
      <c r="P5" s="12" t="n"/>
    </row>
    <row r="6">
      <c r="A6" s="13" t="inlineStr">
        <is>
          <t xml:space="preserve">Province</t>
        </is>
      </c>
      <c r="B6" s="13" t="n">
        <v>2013</v>
      </c>
      <c r="C6" s="13" t="n">
        <v>2014</v>
      </c>
      <c r="D6" s="13" t="n">
        <v>2015</v>
      </c>
      <c r="E6" s="13" t="n">
        <v>2016</v>
      </c>
      <c r="F6" s="13" t="n">
        <v>2017</v>
      </c>
      <c r="G6" s="13" t="n">
        <v>2018</v>
      </c>
      <c r="H6" s="13" t="n">
        <v>2019</v>
      </c>
      <c r="I6" s="13" t="n">
        <v>2020</v>
      </c>
      <c r="J6" s="13" t="n">
        <v>2021</v>
      </c>
      <c r="K6" s="13" t="n">
        <v>2022</v>
      </c>
      <c r="L6" s="13" t="n">
        <v>2023</v>
      </c>
      <c r="M6" s="13" t="n">
        <v>2024</v>
      </c>
      <c r="N6" s="13" t="n">
        <v>2025</v>
      </c>
      <c r="O6" s="14" t="inlineStr">
        <is>
          <t xml:space="preserve">Source</t>
        </is>
      </c>
      <c r="P6" s="14" t="inlineStr">
        <is>
          <t xml:space="preserve">Note</t>
        </is>
      </c>
    </row>
    <row r="7" ht="48" customHeight="1">
      <c r="A7" s="15" t="inlineStr">
        <is>
          <t xml:space="preserve">Gauteng</t>
        </is>
      </c>
      <c r="B7" s="16" t="n">
        <v>4.171983524</v>
      </c>
      <c r="C7" s="16" t="n">
        <v>3.979997125</v>
      </c>
      <c r="D7" s="16" t="n">
        <v>4.119366712</v>
      </c>
      <c r="E7" s="16" t="n">
        <v>4.176977822376999</v>
      </c>
      <c r="F7" s="16" t="n">
        <v>4.088405053397992</v>
      </c>
      <c r="G7" s="16" t="n">
        <v>3.997042005330989</v>
      </c>
      <c r="H7" s="16" t="n">
        <v>4.076244625884989</v>
      </c>
      <c r="I7" s="16" t="n">
        <v>3.135066820591998</v>
      </c>
      <c r="J7" s="16" t="n">
        <v>3.440817407428995</v>
      </c>
      <c r="K7" s="16" t="n">
        <v>3.530440256933996</v>
      </c>
      <c r="L7" s="19" t="n">
        <v>3.460323031725302</v>
      </c>
      <c r="M7" s="99" t="n"/>
      <c r="N7" s="99" t="n"/>
      <c r="O7" s="17" t="inlineStr">
        <is>
          <t xml:space="preserve">Department of Mineral and Petroleum Resources, fuel sales volumes by magisterial district</t>
        </is>
      </c>
      <c r="P7" s="17" t="inlineStr">
        <is>
          <t xml:space="preserve">2023 is an estimate. Nothing published by province after the first quarter of 2023.</t>
        </is>
      </c>
      <c r="R7" s="80" t="str">
        <v>G019</v>
      </c>
      <c r="S7" s="80" t="str">
        <v>Estimate to review: Provincial demand after 2022</v>
      </c>
      <c r="T7" s="80" t="str">
        <v>Review detail</v>
      </c>
    </row>
    <row r="8">
      <c r="A8" s="15" t="inlineStr">
        <is>
          <t xml:space="preserve">KwaZulu-Natal</t>
        </is>
      </c>
      <c r="B8" s="16" t="n">
        <v>1.812811997</v>
      </c>
      <c r="C8" s="16" t="n">
        <v>1.720802481</v>
      </c>
      <c r="D8" s="16" t="n">
        <v>1.78755299</v>
      </c>
      <c r="E8" s="16" t="n">
        <v>1.765676202214999</v>
      </c>
      <c r="F8" s="16" t="n">
        <v>1.725656013445999</v>
      </c>
      <c r="G8" s="16" t="n">
        <v>1.631980330118998</v>
      </c>
      <c r="H8" s="16" t="n">
        <v>1.678493347827998</v>
      </c>
      <c r="I8" s="16" t="n">
        <v>1.448369960555999</v>
      </c>
      <c r="J8" s="16" t="n">
        <v>1.549922121068</v>
      </c>
      <c r="K8" s="16" t="n">
        <v>1.498937893394999</v>
      </c>
      <c r="L8" s="19" t="n">
        <v>1.4577349644864</v>
      </c>
      <c r="M8" s="99" t="n"/>
      <c r="N8" s="99" t="n"/>
      <c r="O8" s="17" t="inlineStr">
        <is>
          <t xml:space="preserve">Department of Mineral and Petroleum Resources, fuel sales volumes by magisterial district</t>
        </is>
      </c>
      <c r="P8" s="17" t="inlineStr">
        <is>
          <t xml:space="preserve">2023 is an estimate. Nothing published by province after the first quarter of 2023.</t>
        </is>
      </c>
    </row>
    <row r="9">
      <c r="A9" s="15" t="inlineStr">
        <is>
          <t xml:space="preserve">Western Cape</t>
        </is>
      </c>
      <c r="B9" s="16" t="n">
        <v>1.723881868</v>
      </c>
      <c r="C9" s="16" t="n">
        <v>1.721127181</v>
      </c>
      <c r="D9" s="16" t="n">
        <v>1.745448213</v>
      </c>
      <c r="E9" s="16" t="n">
        <v>1.825199833514999</v>
      </c>
      <c r="F9" s="16" t="n">
        <v>1.773042771191996</v>
      </c>
      <c r="G9" s="16" t="n">
        <v>1.693799014629997</v>
      </c>
      <c r="H9" s="16" t="n">
        <v>1.657998099955999</v>
      </c>
      <c r="I9" s="16" t="n">
        <v>1.307477143670998</v>
      </c>
      <c r="J9" s="16" t="n">
        <v>1.401742918922</v>
      </c>
      <c r="K9" s="16" t="n">
        <v>1.431005460082997</v>
      </c>
      <c r="L9" s="19" t="n">
        <v>1.465456655189953</v>
      </c>
      <c r="M9" s="99" t="n"/>
      <c r="N9" s="99" t="n"/>
      <c r="O9" s="17" t="inlineStr">
        <is>
          <t xml:space="preserve">Department of Mineral and Petroleum Resources, fuel sales volumes by magisterial district</t>
        </is>
      </c>
      <c r="P9" s="17" t="inlineStr">
        <is>
          <t xml:space="preserve">2023 is an estimate. Nothing published by province after the first quarter of 2023.</t>
        </is>
      </c>
    </row>
    <row r="10">
      <c r="A10" s="15" t="inlineStr">
        <is>
          <t xml:space="preserve">Eastern Cape</t>
        </is>
      </c>
      <c r="B10" s="16" t="n">
        <v>0.803774683</v>
      </c>
      <c r="C10" s="16" t="n">
        <v>0.819491591</v>
      </c>
      <c r="D10" s="16" t="n">
        <v>0.869872499</v>
      </c>
      <c r="E10" s="16" t="n">
        <v>0.8577412373969998</v>
      </c>
      <c r="F10" s="16" t="n">
        <v>0.8316881186979991</v>
      </c>
      <c r="G10" s="16" t="n">
        <v>0.8097136954959999</v>
      </c>
      <c r="H10" s="16" t="n">
        <v>0.7931127999850002</v>
      </c>
      <c r="I10" s="16" t="n">
        <v>0.6788019054649999</v>
      </c>
      <c r="J10" s="16" t="n">
        <v>0.7347899636659989</v>
      </c>
      <c r="K10" s="16" t="n">
        <v>0.703132444716999</v>
      </c>
      <c r="L10" s="19" t="n">
        <v>0.6787863802367698</v>
      </c>
      <c r="M10" s="99" t="n"/>
      <c r="N10" s="99" t="n"/>
      <c r="O10" s="17" t="inlineStr">
        <is>
          <t xml:space="preserve">Department of Mineral and Petroleum Resources, fuel sales volumes by magisterial district</t>
        </is>
      </c>
      <c r="P10" s="17" t="inlineStr">
        <is>
          <t xml:space="preserve">2023 is an estimate. Nothing published by province after the first quarter of 2023.</t>
        </is>
      </c>
    </row>
    <row r="11">
      <c r="A11" s="15" t="inlineStr">
        <is>
          <t xml:space="preserve">Mpumalanga</t>
        </is>
      </c>
      <c r="B11" s="16" t="n">
        <v>0.831700207</v>
      </c>
      <c r="C11" s="16" t="n">
        <v>0.827866839</v>
      </c>
      <c r="D11" s="16" t="n">
        <v>0.955039003</v>
      </c>
      <c r="E11" s="16" t="n">
        <v>1.029394273387</v>
      </c>
      <c r="F11" s="16" t="n">
        <v>0.962780173855999</v>
      </c>
      <c r="G11" s="16" t="n">
        <v>0.8799551351020001</v>
      </c>
      <c r="H11" s="16" t="n">
        <v>0.8015741130669999</v>
      </c>
      <c r="I11" s="16" t="n">
        <v>0.6905111551299999</v>
      </c>
      <c r="J11" s="16" t="n">
        <v>0.66162120883</v>
      </c>
      <c r="K11" s="16" t="n">
        <v>0.6122656460789989</v>
      </c>
      <c r="L11" s="19" t="n">
        <v>0.6375904461238479</v>
      </c>
      <c r="M11" s="99" t="n"/>
      <c r="N11" s="99" t="n"/>
      <c r="O11" s="17" t="inlineStr">
        <is>
          <t xml:space="preserve">Department of Mineral and Petroleum Resources, fuel sales volumes by magisterial district</t>
        </is>
      </c>
      <c r="P11" s="17" t="inlineStr">
        <is>
          <t xml:space="preserve">2023 is an estimate. Nothing published by province after the first quarter of 2023.</t>
        </is>
      </c>
    </row>
    <row r="12">
      <c r="A12" s="15" t="inlineStr">
        <is>
          <t xml:space="preserve">Free State</t>
        </is>
      </c>
      <c r="B12" s="16" t="n">
        <v>0.9669694759999999</v>
      </c>
      <c r="C12" s="16" t="n">
        <v>0.936721229</v>
      </c>
      <c r="D12" s="16" t="n">
        <v>0.921287592</v>
      </c>
      <c r="E12" s="16" t="n">
        <v>0.814793779638</v>
      </c>
      <c r="F12" s="16" t="n">
        <v>0.813970951595</v>
      </c>
      <c r="G12" s="16" t="n">
        <v>0.9706248663350001</v>
      </c>
      <c r="H12" s="16" t="n">
        <v>0.82469138896</v>
      </c>
      <c r="I12" s="16" t="n">
        <v>0.7240952293349998</v>
      </c>
      <c r="J12" s="16" t="n">
        <v>0.6946956084940001</v>
      </c>
      <c r="K12" s="16" t="n">
        <v>0.5874580081820001</v>
      </c>
      <c r="L12" s="19" t="n">
        <v>0.5360862566639604</v>
      </c>
      <c r="M12" s="99" t="n"/>
      <c r="N12" s="99" t="n"/>
      <c r="O12" s="17" t="inlineStr">
        <is>
          <t xml:space="preserve">Department of Mineral and Petroleum Resources, fuel sales volumes by magisterial district</t>
        </is>
      </c>
      <c r="P12" s="17" t="inlineStr">
        <is>
          <t xml:space="preserve">2023 is an estimate. Nothing published by province after the first quarter of 2023.</t>
        </is>
      </c>
    </row>
    <row r="13">
      <c r="A13" s="15" t="inlineStr">
        <is>
          <t xml:space="preserve">North West</t>
        </is>
      </c>
      <c r="B13" s="16" t="n">
        <v>0.603840792</v>
      </c>
      <c r="C13" s="16" t="n">
        <v>0.52100824</v>
      </c>
      <c r="D13" s="16" t="n">
        <v>0.529806494</v>
      </c>
      <c r="E13" s="16" t="n">
        <v>0.514437385502</v>
      </c>
      <c r="F13" s="16" t="n">
        <v>0.514143216471999</v>
      </c>
      <c r="G13" s="16" t="n">
        <v>0.477701288098997</v>
      </c>
      <c r="H13" s="16" t="n">
        <v>0.4889077239649991</v>
      </c>
      <c r="I13" s="16" t="n">
        <v>0.4117813621149989</v>
      </c>
      <c r="J13" s="16" t="n">
        <v>0.4452178577829989</v>
      </c>
      <c r="K13" s="16" t="n">
        <v>0.4481562321239999</v>
      </c>
      <c r="L13" s="19" t="n">
        <v>0.4307631510530271</v>
      </c>
      <c r="M13" s="99" t="n"/>
      <c r="N13" s="99" t="n"/>
      <c r="O13" s="17" t="inlineStr">
        <is>
          <t xml:space="preserve">Department of Mineral and Petroleum Resources, fuel sales volumes by magisterial district</t>
        </is>
      </c>
      <c r="P13" s="17" t="inlineStr">
        <is>
          <t xml:space="preserve">2023 is an estimate. Nothing published by province after the first quarter of 2023.</t>
        </is>
      </c>
    </row>
    <row r="14">
      <c r="A14" s="15" t="inlineStr">
        <is>
          <t xml:space="preserve">Limpopo</t>
        </is>
      </c>
      <c r="B14" s="16" t="n">
        <v>0.4031878270000001</v>
      </c>
      <c r="C14" s="16" t="n">
        <v>0.382400652</v>
      </c>
      <c r="D14" s="16" t="n">
        <v>0.410456596</v>
      </c>
      <c r="E14" s="16" t="n">
        <v>0.3571924879839999</v>
      </c>
      <c r="F14" s="16" t="n">
        <v>0.3557936672359999</v>
      </c>
      <c r="G14" s="16" t="n">
        <v>0.366571940750999</v>
      </c>
      <c r="H14" s="16" t="n">
        <v>0.3500576575879999</v>
      </c>
      <c r="I14" s="16" t="n">
        <v>0.276512089095</v>
      </c>
      <c r="J14" s="16" t="n">
        <v>0.276417064935999</v>
      </c>
      <c r="K14" s="16" t="n">
        <v>0.273644045045999</v>
      </c>
      <c r="L14" s="19" t="n">
        <v>0.2719084994821917</v>
      </c>
      <c r="M14" s="99" t="n"/>
      <c r="N14" s="99" t="n"/>
      <c r="O14" s="17" t="inlineStr">
        <is>
          <t xml:space="preserve">Department of Mineral and Petroleum Resources, fuel sales volumes by magisterial district</t>
        </is>
      </c>
      <c r="P14" s="17" t="inlineStr">
        <is>
          <t xml:space="preserve">2023 is an estimate. Nothing published by province after the first quarter of 2023.</t>
        </is>
      </c>
    </row>
    <row r="15">
      <c r="A15" s="15" t="inlineStr">
        <is>
          <t xml:space="preserve">Northern Cape</t>
        </is>
      </c>
      <c r="B15" s="16" t="n">
        <v>0.121963655</v>
      </c>
      <c r="C15" s="16" t="n">
        <v>0.121249527</v>
      </c>
      <c r="D15" s="16" t="n">
        <v>0.130824373</v>
      </c>
      <c r="E15" s="16" t="n">
        <v>0.120839444671</v>
      </c>
      <c r="F15" s="16" t="n">
        <v>0.108331038477</v>
      </c>
      <c r="G15" s="16" t="n">
        <v>0.101610966637</v>
      </c>
      <c r="H15" s="16" t="n">
        <v>0.102128307828</v>
      </c>
      <c r="I15" s="16" t="n">
        <v>0.088855295537</v>
      </c>
      <c r="J15" s="16" t="n">
        <v>0.09636007655499999</v>
      </c>
      <c r="K15" s="16" t="n">
        <v>0.099829929013</v>
      </c>
      <c r="L15" s="19" t="n">
        <v>0.0983007285305493</v>
      </c>
      <c r="M15" s="99" t="n"/>
      <c r="N15" s="99" t="n"/>
      <c r="O15" s="17" t="inlineStr">
        <is>
          <t xml:space="preserve">Department of Mineral and Petroleum Resources, fuel sales volumes by magisterial district</t>
        </is>
      </c>
      <c r="P15" s="17" t="inlineStr">
        <is>
          <t xml:space="preserve">2023 is an estimate. Nothing published by province after the first quarter of 2023.</t>
        </is>
      </c>
    </row>
    <row r="16" ht="48" customHeight="1">
      <c r="A16" s="24" t="inlineStr">
        <is>
          <t xml:space="preserve">Nine provinces</t>
        </is>
      </c>
      <c r="B16" s="25" t="n">
        <f>IF(COUNT(B7:B15)=0,"",SUM(B7:B15))</f>
        <v>11.440114029</v>
      </c>
      <c r="C16" s="25" t="n">
        <f>IF(COUNT(C7:C15)=0,"",SUM(C7:C15))</f>
        <v>11.030664865</v>
      </c>
      <c r="D16" s="25" t="n">
        <f>IF(COUNT(D7:D15)=0,"",SUM(D7:D15))</f>
        <v>11.469654471999998</v>
      </c>
      <c r="E16" s="25" t="n">
        <f>IF(COUNT(E7:E15)=0,"",SUM(E7:E15))</f>
        <v>11.462252466685998</v>
      </c>
      <c r="F16" s="25" t="n">
        <f>IF(COUNT(F7:F15)=0,"",SUM(F7:F15))</f>
        <v>11.173811004369982</v>
      </c>
      <c r="G16" s="25" t="n">
        <f>IF(COUNT(G7:G15)=0,"",SUM(G7:G15))</f>
        <v>10.92899924249998</v>
      </c>
      <c r="H16" s="25" t="n">
        <f>IF(COUNT(H7:H15)=0,"",SUM(H7:H15))</f>
        <v>10.773208065061985</v>
      </c>
      <c r="I16" s="25" t="n">
        <f>IF(COUNT(I7:I15)=0,"",SUM(I7:I15))</f>
        <v>8.761470961495995</v>
      </c>
      <c r="J16" s="25" t="n">
        <f>IF(COUNT(J7:J15)=0,"",SUM(J7:J15))</f>
        <v>9.30158422768299</v>
      </c>
      <c r="K16" s="25" t="n">
        <f>IF(COUNT(K7:K15)=0,"",SUM(K7:K15))</f>
        <v>9.184869915572989</v>
      </c>
      <c r="L16" s="25" t="n">
        <f>IF(COUNT(L7:L15)=0,"",SUM(L7:L15))</f>
        <v>9.036950113492003</v>
      </c>
      <c r="M16" s="25" t="str">
        <f>IF(COUNT(M7:M15)=0,"",SUM(M7:M15))</f>
      </c>
      <c r="N16" s="25" t="str">
        <f>IF(COUNT(N7:N15)=0,"",SUM(N7:N15))</f>
      </c>
      <c r="O16" s="26" t="inlineStr">
        <is>
          <t xml:space="preserve">Calculated: sum of the rows above</t>
        </is>
      </c>
      <c r="P16" s="26" t="inlineStr">
        <is>
          <t xml:space="preserve">The sales line on the national balance sheet.</t>
        </is>
      </c>
      <c r="R16" s="80" t="str">
        <v>G020</v>
      </c>
      <c r="S16" s="80" t="str">
        <v>Reconciliation: Provincial versus national historical differences</v>
      </c>
      <c r="T16" s="80" t="str">
        <v>Review detail</v>
      </c>
    </row>
    <row r="17">
      <c r="A17" s="27" t="inlineStr">
        <is>
          <t xml:space="preserve">National file, for comparison</t>
        </is>
      </c>
      <c r="B17" s="28" t="n">
        <v>11.439925235</v>
      </c>
      <c r="C17" s="28" t="n">
        <v>10.890207679</v>
      </c>
      <c r="D17" s="28" t="n">
        <v>11.475709420318</v>
      </c>
      <c r="E17" s="28" t="n">
        <v>11.462252466686</v>
      </c>
      <c r="F17" s="28" t="n">
        <v>11.17408298037</v>
      </c>
      <c r="G17" s="28" t="n">
        <v>11.141630546702</v>
      </c>
      <c r="H17" s="28" t="n">
        <v>10.773208065062</v>
      </c>
      <c r="I17" s="28" t="n">
        <v>8.761470961496</v>
      </c>
      <c r="J17" s="28" t="n">
        <v>9.301584227683001</v>
      </c>
      <c r="K17" s="28" t="n">
        <v>9.184869915573</v>
      </c>
      <c r="L17" s="28" t="n">
        <v>9.036950113492001</v>
      </c>
      <c r="M17" s="28" t="n"/>
      <c r="N17" s="28" t="n"/>
      <c r="O17" s="29" t="inlineStr">
        <is>
          <t xml:space="preserve">Department of Mineral and Petroleum Resources, national fuel sales volumes</t>
        </is>
      </c>
      <c r="P17" s="29" t="inlineStr">
        <is>
          <t xml:space="preserve">The 2023 estimates add up to this by construction. The two files differ in 2014 and 2018.</t>
        </is>
      </c>
    </row>
    <row r="19">
      <c r="A19" s="10" t="inlineStr">
        <is>
          <t xml:space="preserve">Diesel</t>
        </is>
      </c>
      <c r="B19" s="11" t="n"/>
      <c r="C19" s="11" t="n"/>
      <c r="D19" s="11" t="n"/>
      <c r="E19" s="11" t="n"/>
      <c r="F19" s="11" t="n"/>
      <c r="G19" s="11" t="n"/>
      <c r="H19" s="11" t="n"/>
      <c r="I19" s="11" t="n"/>
      <c r="J19" s="11" t="n"/>
      <c r="K19" s="11" t="n"/>
      <c r="L19" s="11" t="n"/>
      <c r="M19" s="11" t="n"/>
      <c r="N19" s="11" t="n"/>
      <c r="O19" s="12" t="n"/>
      <c r="P19" s="12" t="n"/>
    </row>
    <row r="20">
      <c r="A20" s="13" t="inlineStr">
        <is>
          <t xml:space="preserve">Province</t>
        </is>
      </c>
      <c r="B20" s="13" t="n">
        <v>2013</v>
      </c>
      <c r="C20" s="13" t="n">
        <v>2014</v>
      </c>
      <c r="D20" s="13" t="n">
        <v>2015</v>
      </c>
      <c r="E20" s="13" t="n">
        <v>2016</v>
      </c>
      <c r="F20" s="13" t="n">
        <v>2017</v>
      </c>
      <c r="G20" s="13" t="n">
        <v>2018</v>
      </c>
      <c r="H20" s="13" t="n">
        <v>2019</v>
      </c>
      <c r="I20" s="13" t="n">
        <v>2020</v>
      </c>
      <c r="J20" s="13" t="n">
        <v>2021</v>
      </c>
      <c r="K20" s="13" t="n">
        <v>2022</v>
      </c>
      <c r="L20" s="13" t="n">
        <v>2023</v>
      </c>
      <c r="M20" s="13" t="n">
        <v>2024</v>
      </c>
      <c r="N20" s="13" t="n">
        <v>2025</v>
      </c>
      <c r="O20" s="14" t="inlineStr">
        <is>
          <t xml:space="preserve">Source</t>
        </is>
      </c>
      <c r="P20" s="14" t="inlineStr">
        <is>
          <t xml:space="preserve">Note</t>
        </is>
      </c>
    </row>
    <row r="21">
      <c r="A21" s="15" t="inlineStr">
        <is>
          <t xml:space="preserve">Gauteng</t>
        </is>
      </c>
      <c r="B21" s="16" t="n">
        <v>2.785429802</v>
      </c>
      <c r="C21" s="16" t="n">
        <v>3.118078004</v>
      </c>
      <c r="D21" s="16" t="n">
        <v>3.160426878</v>
      </c>
      <c r="E21" s="16" t="n">
        <v>2.953325706855998</v>
      </c>
      <c r="F21" s="16" t="n">
        <v>3.125523429546999</v>
      </c>
      <c r="G21" s="16" t="n">
        <v>3.320043256458995</v>
      </c>
      <c r="H21" s="16" t="n">
        <v>3.565209035882996</v>
      </c>
      <c r="I21" s="16" t="n">
        <v>2.950670842131997</v>
      </c>
      <c r="J21" s="16" t="n">
        <v>3.205191324365998</v>
      </c>
      <c r="K21" s="16" t="n">
        <v>3.278990501961998</v>
      </c>
      <c r="L21" s="19" t="n">
        <v>3.350233605312275</v>
      </c>
      <c r="M21" s="99" t="n"/>
      <c r="N21" s="99" t="n"/>
      <c r="O21" s="17" t="inlineStr">
        <is>
          <t xml:space="preserve">Department of Mineral and Petroleum Resources, fuel sales volumes by magisterial district</t>
        </is>
      </c>
      <c r="P21" s="17" t="inlineStr">
        <is>
          <t xml:space="preserve">2023 is an estimate. Nothing published by province after the first quarter of 2023.</t>
        </is>
      </c>
    </row>
    <row r="22">
      <c r="A22" s="15" t="inlineStr">
        <is>
          <t xml:space="preserve">KwaZulu-Natal</t>
        </is>
      </c>
      <c r="B22" s="16" t="n">
        <v>2.252156455</v>
      </c>
      <c r="C22" s="16" t="n">
        <v>2.131256221</v>
      </c>
      <c r="D22" s="16" t="n">
        <v>2.125006744</v>
      </c>
      <c r="E22" s="16" t="n">
        <v>2.176897259443</v>
      </c>
      <c r="F22" s="16" t="n">
        <v>2.459701383962</v>
      </c>
      <c r="G22" s="16" t="n">
        <v>2.374693964448</v>
      </c>
      <c r="H22" s="16" t="n">
        <v>2.576035405942</v>
      </c>
      <c r="I22" s="16" t="n">
        <v>2.610320287135</v>
      </c>
      <c r="J22" s="16" t="n">
        <v>2.724422486838</v>
      </c>
      <c r="K22" s="16" t="n">
        <v>2.785554802503</v>
      </c>
      <c r="L22" s="19" t="n">
        <v>2.450585160053153</v>
      </c>
      <c r="M22" s="99" t="n"/>
      <c r="N22" s="99" t="n"/>
      <c r="O22" s="17" t="inlineStr">
        <is>
          <t xml:space="preserve">Department of Mineral and Petroleum Resources, fuel sales volumes by magisterial district</t>
        </is>
      </c>
      <c r="P22" s="17" t="inlineStr">
        <is>
          <t xml:space="preserve">2023 is an estimate. Nothing published by province after the first quarter of 2023.</t>
        </is>
      </c>
    </row>
    <row r="23">
      <c r="A23" s="15" t="inlineStr">
        <is>
          <t xml:space="preserve">Western Cape</t>
        </is>
      </c>
      <c r="B23" s="16" t="n">
        <v>1.987532805</v>
      </c>
      <c r="C23" s="16" t="n">
        <v>2.37162726</v>
      </c>
      <c r="D23" s="16" t="n">
        <v>2.951017107</v>
      </c>
      <c r="E23" s="16" t="n">
        <v>1.896010479563</v>
      </c>
      <c r="F23" s="16" t="n">
        <v>1.854222386571999</v>
      </c>
      <c r="G23" s="16" t="n">
        <v>1.849560718467999</v>
      </c>
      <c r="H23" s="16" t="n">
        <v>2.061836736</v>
      </c>
      <c r="I23" s="16" t="n">
        <v>1.849409077413</v>
      </c>
      <c r="J23" s="16" t="n">
        <v>2.608371193924998</v>
      </c>
      <c r="K23" s="16" t="n">
        <v>2.499769547067</v>
      </c>
      <c r="L23" s="19" t="n">
        <v>3.03141400389425</v>
      </c>
      <c r="M23" s="99" t="n"/>
      <c r="N23" s="99" t="n"/>
      <c r="O23" s="17" t="inlineStr">
        <is>
          <t xml:space="preserve">Department of Mineral and Petroleum Resources, fuel sales volumes by magisterial district</t>
        </is>
      </c>
      <c r="P23" s="17" t="inlineStr">
        <is>
          <t xml:space="preserve">2023 is an estimate. Nothing published by province after the first quarter of 2023.</t>
        </is>
      </c>
    </row>
    <row r="24">
      <c r="A24" s="15" t="inlineStr">
        <is>
          <t xml:space="preserve">Eastern Cape</t>
        </is>
      </c>
      <c r="B24" s="16" t="n">
        <v>0.7821488440000001</v>
      </c>
      <c r="C24" s="16" t="n">
        <v>0.807224237</v>
      </c>
      <c r="D24" s="16" t="n">
        <v>0.9292690330000001</v>
      </c>
      <c r="E24" s="16" t="n">
        <v>0.9281418288860002</v>
      </c>
      <c r="F24" s="16" t="n">
        <v>0.937323412165999</v>
      </c>
      <c r="G24" s="16" t="n">
        <v>0.9606054126530001</v>
      </c>
      <c r="H24" s="16" t="n">
        <v>0.9990317762660001</v>
      </c>
      <c r="I24" s="16" t="n">
        <v>0.9368169864540001</v>
      </c>
      <c r="J24" s="16" t="n">
        <v>1.036454764805</v>
      </c>
      <c r="K24" s="16" t="n">
        <v>1.03235218272</v>
      </c>
      <c r="L24" s="19" t="n">
        <v>1.018489160935218</v>
      </c>
      <c r="M24" s="99" t="n"/>
      <c r="N24" s="99" t="n"/>
      <c r="O24" s="17" t="inlineStr">
        <is>
          <t xml:space="preserve">Department of Mineral and Petroleum Resources, fuel sales volumes by magisterial district</t>
        </is>
      </c>
      <c r="P24" s="17" t="inlineStr">
        <is>
          <t xml:space="preserve">2023 is an estimate. Nothing published by province after the first quarter of 2023.</t>
        </is>
      </c>
    </row>
    <row r="25">
      <c r="A25" s="15" t="inlineStr">
        <is>
          <t xml:space="preserve">Mpumalanga</t>
        </is>
      </c>
      <c r="B25" s="16" t="n">
        <v>1.488831128</v>
      </c>
      <c r="C25" s="16" t="n">
        <v>1.513316515</v>
      </c>
      <c r="D25" s="16" t="n">
        <v>1.499329399</v>
      </c>
      <c r="E25" s="16" t="n">
        <v>1.631206634515</v>
      </c>
      <c r="F25" s="16" t="n">
        <v>1.546048578055</v>
      </c>
      <c r="G25" s="16" t="n">
        <v>1.576691392181</v>
      </c>
      <c r="H25" s="16" t="n">
        <v>1.435128292351999</v>
      </c>
      <c r="I25" s="16" t="n">
        <v>1.307424417362</v>
      </c>
      <c r="J25" s="16" t="n">
        <v>1.275609358918997</v>
      </c>
      <c r="K25" s="16" t="n">
        <v>1.144924075864997</v>
      </c>
      <c r="L25" s="19" t="n">
        <v>1.181554616040971</v>
      </c>
      <c r="M25" s="99" t="n"/>
      <c r="N25" s="99" t="n"/>
      <c r="O25" s="17" t="inlineStr">
        <is>
          <t xml:space="preserve">Department of Mineral and Petroleum Resources, fuel sales volumes by magisterial district</t>
        </is>
      </c>
      <c r="P25" s="17" t="inlineStr">
        <is>
          <t xml:space="preserve">2023 is an estimate. Nothing published by province after the first quarter of 2023.</t>
        </is>
      </c>
    </row>
    <row r="26">
      <c r="A26" s="15" t="inlineStr">
        <is>
          <t xml:space="preserve">Free State</t>
        </is>
      </c>
      <c r="B26" s="16" t="n">
        <v>1.292525069</v>
      </c>
      <c r="C26" s="16" t="n">
        <v>1.249179829</v>
      </c>
      <c r="D26" s="16" t="n">
        <v>1.259015189</v>
      </c>
      <c r="E26" s="16" t="n">
        <v>1.124907207231</v>
      </c>
      <c r="F26" s="16" t="n">
        <v>0.930163930832</v>
      </c>
      <c r="G26" s="16" t="n">
        <v>1.007279195237</v>
      </c>
      <c r="H26" s="16" t="n">
        <v>1.059053904877</v>
      </c>
      <c r="I26" s="16" t="n">
        <v>1.030588800552</v>
      </c>
      <c r="J26" s="16" t="n">
        <v>1.025652327622999</v>
      </c>
      <c r="K26" s="16" t="n">
        <v>0.7818611598310002</v>
      </c>
      <c r="L26" s="19" t="n">
        <v>0.7004122852472372</v>
      </c>
      <c r="M26" s="99" t="n"/>
      <c r="N26" s="99" t="n"/>
      <c r="O26" s="17" t="inlineStr">
        <is>
          <t xml:space="preserve">Department of Mineral and Petroleum Resources, fuel sales volumes by magisterial district</t>
        </is>
      </c>
      <c r="P26" s="17" t="inlineStr">
        <is>
          <t xml:space="preserve">2023 is an estimate. Nothing published by province after the first quarter of 2023.</t>
        </is>
      </c>
    </row>
    <row r="27">
      <c r="A27" s="15" t="inlineStr">
        <is>
          <t xml:space="preserve">North West</t>
        </is>
      </c>
      <c r="B27" s="16" t="n">
        <v>0.662591762</v>
      </c>
      <c r="C27" s="16" t="n">
        <v>0.637278121</v>
      </c>
      <c r="D27" s="16" t="n">
        <v>0.659007947</v>
      </c>
      <c r="E27" s="16" t="n">
        <v>0.6504184553739999</v>
      </c>
      <c r="F27" s="16" t="n">
        <v>0.5871623233729999</v>
      </c>
      <c r="G27" s="16" t="n">
        <v>0.514025031385</v>
      </c>
      <c r="H27" s="16" t="n">
        <v>0.518359393999</v>
      </c>
      <c r="I27" s="16" t="n">
        <v>0.436165795866</v>
      </c>
      <c r="J27" s="16" t="n">
        <v>0.5004056482319998</v>
      </c>
      <c r="K27" s="16" t="n">
        <v>0.6199064889129999</v>
      </c>
      <c r="L27" s="19" t="n">
        <v>0.5685802737091206</v>
      </c>
      <c r="M27" s="99" t="n"/>
      <c r="N27" s="99" t="n"/>
      <c r="O27" s="17" t="inlineStr">
        <is>
          <t xml:space="preserve">Department of Mineral and Petroleum Resources, fuel sales volumes by magisterial district</t>
        </is>
      </c>
      <c r="P27" s="17" t="inlineStr">
        <is>
          <t xml:space="preserve">2023 is an estimate. Nothing published by province after the first quarter of 2023.</t>
        </is>
      </c>
    </row>
    <row r="28">
      <c r="A28" s="15" t="inlineStr">
        <is>
          <t xml:space="preserve">Limpopo</t>
        </is>
      </c>
      <c r="B28" s="16" t="n">
        <v>0.424483028</v>
      </c>
      <c r="C28" s="16" t="n">
        <v>0.40841603</v>
      </c>
      <c r="D28" s="16" t="n">
        <v>0.371279601</v>
      </c>
      <c r="E28" s="16" t="n">
        <v>0.309226164304</v>
      </c>
      <c r="F28" s="16" t="n">
        <v>0.274713980268</v>
      </c>
      <c r="G28" s="16" t="n">
        <v>0.29560009792</v>
      </c>
      <c r="H28" s="16" t="n">
        <v>0.269697983735</v>
      </c>
      <c r="I28" s="16" t="n">
        <v>0.2161239956</v>
      </c>
      <c r="J28" s="16" t="n">
        <v>0.210257732307</v>
      </c>
      <c r="K28" s="16" t="n">
        <v>0.221987440248</v>
      </c>
      <c r="L28" s="19" t="n">
        <v>0.2438145704893091</v>
      </c>
      <c r="M28" s="99" t="n"/>
      <c r="N28" s="99" t="n"/>
      <c r="O28" s="17" t="inlineStr">
        <is>
          <t xml:space="preserve">Department of Mineral and Petroleum Resources, fuel sales volumes by magisterial district</t>
        </is>
      </c>
      <c r="P28" s="17" t="inlineStr">
        <is>
          <t xml:space="preserve">2023 is an estimate. Nothing published by province after the first quarter of 2023.</t>
        </is>
      </c>
    </row>
    <row r="29">
      <c r="A29" s="15" t="inlineStr">
        <is>
          <t xml:space="preserve">Northern Cape</t>
        </is>
      </c>
      <c r="B29" s="16" t="n">
        <v>0.465348224</v>
      </c>
      <c r="C29" s="16" t="n">
        <v>0.507013669</v>
      </c>
      <c r="D29" s="16" t="n">
        <v>0.537799461</v>
      </c>
      <c r="E29" s="16" t="n">
        <v>0.41224030225</v>
      </c>
      <c r="F29" s="16" t="n">
        <v>0.430290764414</v>
      </c>
      <c r="G29" s="16" t="n">
        <v>0.420121363622</v>
      </c>
      <c r="H29" s="16" t="n">
        <v>0.424278703163</v>
      </c>
      <c r="I29" s="16" t="n">
        <v>0.3524375567820001</v>
      </c>
      <c r="J29" s="16" t="n">
        <v>0.358653178157</v>
      </c>
      <c r="K29" s="16" t="n">
        <v>0.3519801199100001</v>
      </c>
      <c r="L29" s="19" t="n">
        <v>0.3624162901264679</v>
      </c>
      <c r="M29" s="99" t="n"/>
      <c r="N29" s="99" t="n"/>
      <c r="O29" s="17" t="inlineStr">
        <is>
          <t xml:space="preserve">Department of Mineral and Petroleum Resources, fuel sales volumes by magisterial district</t>
        </is>
      </c>
      <c r="P29" s="17" t="inlineStr">
        <is>
          <t xml:space="preserve">2023 is an estimate. Nothing published by province after the first quarter of 2023.</t>
        </is>
      </c>
    </row>
    <row r="30">
      <c r="A30" s="24" t="inlineStr">
        <is>
          <t xml:space="preserve">Nine provinces</t>
        </is>
      </c>
      <c r="B30" s="25" t="n">
        <f>IF(COUNT(B21:B29)=0,"",SUM(B21:B29))</f>
        <v>12.141047116999998</v>
      </c>
      <c r="C30" s="25" t="n">
        <f>IF(COUNT(C21:C29)=0,"",SUM(C21:C29))</f>
        <v>12.743389886</v>
      </c>
      <c r="D30" s="25" t="n">
        <f>IF(COUNT(D21:D29)=0,"",SUM(D21:D29))</f>
        <v>13.492151359</v>
      </c>
      <c r="E30" s="25" t="n">
        <f>IF(COUNT(E21:E29)=0,"",SUM(E21:E29))</f>
        <v>12.082374038421998</v>
      </c>
      <c r="F30" s="25" t="n">
        <f>IF(COUNT(F21:F29)=0,"",SUM(F21:F29))</f>
        <v>12.145150189188998</v>
      </c>
      <c r="G30" s="25" t="n">
        <f>IF(COUNT(G21:G29)=0,"",SUM(G21:G29))</f>
        <v>12.318620432372995</v>
      </c>
      <c r="H30" s="25" t="n">
        <f>IF(COUNT(H21:H29)=0,"",SUM(H21:H29))</f>
        <v>12.908631232216997</v>
      </c>
      <c r="I30" s="25" t="n">
        <f>IF(COUNT(I21:I29)=0,"",SUM(I21:I29))</f>
        <v>11.689957759295996</v>
      </c>
      <c r="J30" s="25" t="n">
        <f>IF(COUNT(J21:J29)=0,"",SUM(J21:J29))</f>
        <v>12.945018015171991</v>
      </c>
      <c r="K30" s="25" t="n">
        <f>IF(COUNT(K21:K29)=0,"",SUM(K21:K29))</f>
        <v>12.717326319018996</v>
      </c>
      <c r="L30" s="25" t="n">
        <f>IF(COUNT(L21:L29)=0,"",SUM(L21:L29))</f>
        <v>12.907499965808004</v>
      </c>
      <c r="M30" s="25" t="str">
        <f>IF(COUNT(M21:M29)=0,"",SUM(M21:M29))</f>
      </c>
      <c r="N30" s="25" t="str">
        <f>IF(COUNT(N21:N29)=0,"",SUM(N21:N29))</f>
      </c>
      <c r="O30" s="26" t="inlineStr">
        <is>
          <t xml:space="preserve">Calculated: sum of the rows above</t>
        </is>
      </c>
      <c r="P30" s="26" t="inlineStr">
        <is>
          <t xml:space="preserve">The sales line on the national balance sheet.</t>
        </is>
      </c>
    </row>
    <row r="31">
      <c r="A31" s="27" t="inlineStr">
        <is>
          <t xml:space="preserve">National file, for comparison</t>
        </is>
      </c>
      <c r="B31" s="28" t="n">
        <v>12.141281548</v>
      </c>
      <c r="C31" s="28" t="n">
        <v>12.615023359</v>
      </c>
      <c r="D31" s="28" t="n">
        <v>13.52013925195</v>
      </c>
      <c r="E31" s="28" t="n">
        <v>12.082374038422</v>
      </c>
      <c r="F31" s="28" t="n">
        <v>12.147245167189</v>
      </c>
      <c r="G31" s="28" t="n">
        <v>12.538744325998</v>
      </c>
      <c r="H31" s="28" t="n">
        <v>12.908631232217</v>
      </c>
      <c r="I31" s="28" t="n">
        <v>11.689957759296</v>
      </c>
      <c r="J31" s="28" t="n">
        <v>12.945782750435</v>
      </c>
      <c r="K31" s="28" t="n">
        <v>12.717326319019</v>
      </c>
      <c r="L31" s="28" t="n">
        <v>12.907499965808</v>
      </c>
      <c r="M31" s="28" t="n"/>
      <c r="N31" s="28" t="n"/>
      <c r="O31" s="29" t="inlineStr">
        <is>
          <t xml:space="preserve">Department of Mineral and Petroleum Resources, national fuel sales volumes</t>
        </is>
      </c>
      <c r="P31" s="29" t="inlineStr">
        <is>
          <t xml:space="preserve">The 2023 estimates add up to this by construction. The two files differ in 2014 and 2018.</t>
        </is>
      </c>
    </row>
    <row r="33">
      <c r="A33" s="2" t="inlineStr">
        <is>
          <t xml:space="preserve">2024 and 2025 are blank: the department has published no sales after 2023. FIASA and JODI carry figures for those years, but they are not used.</t>
        </is>
      </c>
    </row>
  </sheetData>
  <mergeCells>
    <mergeCell ref="A3:J3"/>
  </mergeCells>
  <hyperlinks>
    <hyperlink ref="A3" location="'Gap register'!A24" display="REVIEW: 2 linked items. Open Gap register; filter Request. Start here explains colours and scope." tooltip="Open the linked workbook evidence or review item"/>
    <hyperlink ref="T7" location="'Gap register'!A24" display="Review detail" tooltip="Open the linked workbook evidence or review item"/>
    <hyperlink ref="T16" location="'Gap register'!A25" display="Review detail" tooltip="Open the linked workbook evidence or review item"/>
  </hyperlinks>
  <pageMargins left="0.7" right="0.7" top="0.75" bottom="0.75" header="0.3" footer="0.3"/>
</worksheet>
</file>

<file path=xl/worksheets/sheet4.xml><?xml version="1.0" encoding="utf-8"?>
<worksheet xmlns="http://schemas.openxmlformats.org/spreadsheetml/2006/main">
  <sheetViews>
    <sheetView workbookViewId="0" tabSelected="0">
      <pane xSplit="1" ySplit="2" topLeftCell="B3" activePane="bottomRight" state="frozen"/>
    </sheetView>
  </sheetViews>
  <sheetFormatPr baseColWidth="8" defaultRowHeight="15"/>
  <cols>
    <col min="1" max="1" width="34" customWidth="1"/>
    <col min="2" max="2" width="8.5" customWidth="1"/>
    <col min="3" max="3" width="8.5" customWidth="1"/>
    <col min="4" max="4" width="8.5" customWidth="1"/>
    <col min="5" max="5" width="8.5" customWidth="1"/>
    <col min="6" max="6" width="8.5" customWidth="1"/>
    <col min="7" max="7" width="8.5" customWidth="1"/>
    <col min="8" max="8" width="8.5" customWidth="1"/>
    <col min="9" max="9" width="8.5" customWidth="1"/>
    <col min="10" max="10" width="58" customWidth="1"/>
    <col min="11" max="11" width="70" customWidth="1"/>
    <col min="13" max="13" width="19" hidden="0" customWidth="1"/>
    <col min="14" max="14" width="65" hidden="0" customWidth="1"/>
    <col min="15" max="15" width="15" hidden="0" customWidth="1"/>
  </cols>
  <sheetData>
    <row r="1">
      <c r="A1" s="1" t="inlineStr">
        <is>
          <t xml:space="preserve">DR01 Demand by sector: diesel and petrol</t>
        </is>
      </c>
    </row>
    <row r="2">
      <c r="A2" s="2" t="inlineStr">
        <is>
          <t xml:space="preserve">Billion litres, calendar years, as reported in the department's energy balances. The last balance is 2021, so nothing later is published by sector. Blank means the balance gives no figure.</t>
        </is>
      </c>
    </row>
    <row r="3" ht="34" customHeight="1">
      <c r="A3" s="92" t="str">
        <v>REVIEW: 1 linked items. Open Gap register; filter Request. Start here explains colours and scope.</v>
      </c>
      <c r="B3" s="92"/>
      <c r="C3" s="92"/>
      <c r="D3" s="92"/>
      <c r="E3" s="92"/>
      <c r="F3" s="92"/>
      <c r="G3" s="92"/>
      <c r="H3" s="92"/>
      <c r="I3" s="92"/>
      <c r="J3" s="92"/>
    </row>
    <row r="4" ht="30" customHeight="1">
      <c r="M4" s="95" t="str">
        <v>Review IDs</v>
      </c>
      <c r="N4" s="95" t="str">
        <v>Review finding — source figures retained</v>
      </c>
      <c r="O4" s="95" t="str">
        <v>Open detail</v>
      </c>
    </row>
    <row r="5" ht="48" customHeight="1">
      <c r="A5" s="10" t="inlineStr">
        <is>
          <t xml:space="preserve">Diesel</t>
        </is>
      </c>
      <c r="B5" s="11" t="n"/>
      <c r="C5" s="11" t="n"/>
      <c r="D5" s="11" t="n"/>
      <c r="E5" s="11" t="n"/>
      <c r="F5" s="11" t="n"/>
      <c r="G5" s="11" t="n"/>
      <c r="H5" s="11" t="n"/>
      <c r="I5" s="11" t="n"/>
      <c r="J5" s="12" t="n"/>
      <c r="K5" s="12" t="n"/>
      <c r="M5" s="80" t="str">
        <v>G025</v>
      </c>
      <c r="N5" s="80" t="str">
        <v>Reconciliation: Road, industry and commercial/services overlap</v>
      </c>
      <c r="O5" s="80" t="str">
        <v>Review detail</v>
      </c>
    </row>
    <row r="6">
      <c r="A6" s="13" t="inlineStr">
        <is>
          <t xml:space="preserve">Sector</t>
        </is>
      </c>
      <c r="B6" s="13" t="n">
        <v>2014</v>
      </c>
      <c r="C6" s="13" t="n">
        <v>2015</v>
      </c>
      <c r="D6" s="13" t="n">
        <v>2016</v>
      </c>
      <c r="E6" s="13" t="n">
        <v>2017</v>
      </c>
      <c r="F6" s="13" t="n">
        <v>2018</v>
      </c>
      <c r="G6" s="13" t="n">
        <v>2019</v>
      </c>
      <c r="H6" s="13" t="n">
        <v>2020</v>
      </c>
      <c r="I6" s="13" t="n">
        <v>2021</v>
      </c>
      <c r="J6" s="14" t="inlineStr">
        <is>
          <t xml:space="preserve">Source</t>
        </is>
      </c>
      <c r="K6" s="14" t="inlineStr">
        <is>
          <t xml:space="preserve">Note</t>
        </is>
      </c>
    </row>
    <row r="7">
      <c r="A7" s="30" t="inlineStr">
        <is>
          <t xml:space="preserve">All sectors</t>
        </is>
      </c>
      <c r="B7" s="31" t="n">
        <v>12.59787647412109</v>
      </c>
      <c r="C7" s="31" t="n">
        <v>13.49108998730469</v>
      </c>
      <c r="D7" s="31" t="n">
        <v>12.7943489753437</v>
      </c>
      <c r="E7" s="31" t="n">
        <v>13.25845856243897</v>
      </c>
      <c r="F7" s="31" t="n">
        <v>13.20475053698731</v>
      </c>
      <c r="G7" s="31" t="n">
        <v>13.5358227109375</v>
      </c>
      <c r="H7" s="31" t="n">
        <v>12.17967734509277</v>
      </c>
      <c r="I7" s="31" t="n">
        <v>13.40726619</v>
      </c>
      <c r="J7" s="32" t="inlineStr">
        <is>
          <t xml:space="preserve">Department of Mineral and Petroleum Resources, energy balances, one file a year</t>
        </is>
      </c>
      <c r="K7" s="32" t="inlineStr">
        <is>
          <t xml:space="preserve">The department's total for all sectors. It is not the sales figure on the national balance sheet.</t>
        </is>
      </c>
    </row>
    <row r="8">
      <c r="A8" s="15" t="inlineStr">
        <is>
          <t xml:space="preserve">Road transport</t>
        </is>
      </c>
      <c r="B8" s="16" t="n">
        <v>8.903131</v>
      </c>
      <c r="C8" s="16" t="n">
        <v>9.428381</v>
      </c>
      <c r="D8" s="16" t="n">
        <v>4.3963865</v>
      </c>
      <c r="E8" s="16" t="n">
        <v>9.359175</v>
      </c>
      <c r="F8" s="16" t="n">
        <v>6.3919425</v>
      </c>
      <c r="G8" s="16" t="n">
        <v>6.725982</v>
      </c>
      <c r="H8" s="16" t="n">
        <v>5.8481915</v>
      </c>
      <c r="I8" s="16" t="n">
        <v>6.32795728</v>
      </c>
      <c r="J8" s="17" t="inlineStr">
        <is>
          <t xml:space="preserve">Department of Mineral and Petroleum Resources, energy balances, one file a year</t>
        </is>
      </c>
      <c r="K8" s="17" t="inlineStr">
        <is>
          <t xml:space="preserve"/>
        </is>
      </c>
    </row>
    <row r="9">
      <c r="A9" s="15" t="inlineStr">
        <is>
          <t xml:space="preserve">Rail</t>
        </is>
      </c>
      <c r="B9" s="16" t="n">
        <v>0.09044075</v>
      </c>
      <c r="C9" s="16" t="n">
        <v>0.1239532578125</v>
      </c>
      <c r="D9" s="16" t="n">
        <v>0.186905984375</v>
      </c>
      <c r="E9" s="16" t="n">
        <v>0.136104515625</v>
      </c>
      <c r="F9" s="16" t="n">
        <v>0.16974334375</v>
      </c>
      <c r="G9" s="16" t="n">
        <v>0.1281826640625</v>
      </c>
      <c r="H9" s="16" t="n">
        <v>0.0994271875</v>
      </c>
      <c r="I9" s="16" t="n">
        <v>0.01312792</v>
      </c>
      <c r="J9" s="17" t="inlineStr">
        <is>
          <t xml:space="preserve">Department of Mineral and Petroleum Resources, energy balances, one file a year</t>
        </is>
      </c>
      <c r="K9" s="17" t="inlineStr">
        <is>
          <t xml:space="preserve"/>
        </is>
      </c>
    </row>
    <row r="10">
      <c r="A10" s="15" t="inlineStr">
        <is>
          <t xml:space="preserve">Industry, all</t>
        </is>
      </c>
      <c r="B10" s="16" t="n">
        <v>1.639750640625</v>
      </c>
      <c r="C10" s="16" t="n">
        <v>1.9331291796875</v>
      </c>
      <c r="D10" s="16" t="n">
        <v>1.319798182863235</v>
      </c>
      <c r="E10" s="16" t="n">
        <v>1.54383980682373</v>
      </c>
      <c r="F10" s="16" t="n">
        <v>1.884421682861328</v>
      </c>
      <c r="G10" s="16" t="n">
        <v>1.897990848388672</v>
      </c>
      <c r="H10" s="16" t="n">
        <v>1.44622069909668</v>
      </c>
      <c r="I10" s="16" t="n">
        <v>1.49913926</v>
      </c>
      <c r="J10" s="17" t="inlineStr">
        <is>
          <t xml:space="preserve">Department of Mineral and Petroleum Resources, energy balances, one file a year</t>
        </is>
      </c>
      <c r="K10" s="17" t="inlineStr">
        <is>
          <t xml:space="preserve">Mining, construction, manufacturing and industry not specified, together. Manufacturing and other industry is this line less the two below.</t>
        </is>
      </c>
    </row>
    <row r="11">
      <c r="A11" s="15" t="inlineStr">
        <is>
          <t xml:space="preserve">Mining (part of industry)</t>
        </is>
      </c>
      <c r="B11" s="16" t="n">
        <v>1.50503225</v>
      </c>
      <c r="C11" s="16" t="n">
        <v>1.8183965</v>
      </c>
      <c r="D11" s="16" t="n">
        <v>1.0442530625</v>
      </c>
      <c r="E11" s="16" t="n">
        <v>1.300426</v>
      </c>
      <c r="F11" s="16" t="n">
        <v>1.650123</v>
      </c>
      <c r="G11" s="16" t="n">
        <v>1.66724925</v>
      </c>
      <c r="H11" s="16" t="n">
        <v>1.26340575</v>
      </c>
      <c r="I11" s="16" t="n">
        <v>1.29381342</v>
      </c>
      <c r="J11" s="17" t="inlineStr">
        <is>
          <t xml:space="preserve">Department of Mineral and Petroleum Resources, energy balances, one file a year</t>
        </is>
      </c>
      <c r="K11" s="17" t="inlineStr">
        <is>
          <t xml:space="preserve"/>
        </is>
      </c>
    </row>
    <row r="12">
      <c r="A12" s="15" t="inlineStr">
        <is>
          <t xml:space="preserve">Construction (part of industry)</t>
        </is>
      </c>
      <c r="B12" s="16" t="n">
        <v>0.134718390625</v>
      </c>
      <c r="C12" s="16" t="n">
        <v>0.1147326796875</v>
      </c>
      <c r="D12" s="16" t="n">
        <v>0.138693625</v>
      </c>
      <c r="E12" s="16" t="n">
        <v>0.1244697890625</v>
      </c>
      <c r="F12" s="16" t="n">
        <v>0.074592859375</v>
      </c>
      <c r="G12" s="16" t="n"/>
      <c r="H12" s="16" t="n">
        <v>0.04284740625</v>
      </c>
      <c r="I12" s="16" t="n">
        <v>0.04869243</v>
      </c>
      <c r="J12" s="17" t="inlineStr">
        <is>
          <t xml:space="preserve">Department of Mineral and Petroleum Resources, energy balances, one file a year</t>
        </is>
      </c>
      <c r="K12" s="17" t="inlineStr">
        <is>
          <t xml:space="preserve"/>
        </is>
      </c>
    </row>
    <row r="13">
      <c r="A13" s="15" t="inlineStr">
        <is>
          <t xml:space="preserve">Agriculture</t>
        </is>
      </c>
      <c r="B13" s="16" t="n">
        <v>1.09249875</v>
      </c>
      <c r="C13" s="16" t="n">
        <v>1.07349425</v>
      </c>
      <c r="D13" s="16" t="n">
        <v>1.887278875</v>
      </c>
      <c r="E13" s="16" t="n">
        <v>1.876914</v>
      </c>
      <c r="F13" s="16" t="n">
        <v>0.8998834375</v>
      </c>
      <c r="G13" s="16" t="n">
        <v>0.9218486875</v>
      </c>
      <c r="H13" s="16" t="n">
        <v>1.0489635</v>
      </c>
      <c r="I13" s="16" t="n">
        <v>1.05839895</v>
      </c>
      <c r="J13" s="17" t="inlineStr">
        <is>
          <t xml:space="preserve">Department of Mineral and Petroleum Resources, energy balances, one file a year</t>
        </is>
      </c>
      <c r="K13" s="17" t="inlineStr">
        <is>
          <t xml:space="preserve"/>
        </is>
      </c>
    </row>
    <row r="14">
      <c r="A14" s="15" t="inlineStr">
        <is>
          <t xml:space="preserve">Commercial and public services</t>
        </is>
      </c>
      <c r="B14" s="16" t="n">
        <v>0.023462720703125</v>
      </c>
      <c r="C14" s="16" t="n">
        <v>0.0147306484375</v>
      </c>
      <c r="D14" s="16" t="n">
        <v>4.9728395</v>
      </c>
      <c r="E14" s="16" t="n"/>
      <c r="F14" s="16" t="n">
        <v>3.8237085</v>
      </c>
      <c r="G14" s="16" t="n">
        <v>3.8215455</v>
      </c>
      <c r="H14" s="16" t="n">
        <v>3.63912175</v>
      </c>
      <c r="I14" s="16" t="n">
        <v>4.29997573</v>
      </c>
      <c r="J14" s="17" t="inlineStr">
        <is>
          <t xml:space="preserve">Department of Mineral and Petroleum Resources, energy balances, one file a year</t>
        </is>
      </c>
      <c r="K14" s="17" t="inlineStr">
        <is>
          <t xml:space="preserve">Jumps from almost nothing to several billion litres from 2016: the department moved volumes between sectors, so read with care.</t>
        </is>
      </c>
    </row>
    <row r="15">
      <c r="A15" s="15" t="inlineStr">
        <is>
          <t xml:space="preserve">Households</t>
        </is>
      </c>
      <c r="B15" s="16" t="n">
        <v>0.00761448779296875</v>
      </c>
      <c r="C15" s="16" t="n">
        <v>0.0055073388671875</v>
      </c>
      <c r="D15" s="16" t="n"/>
      <c r="E15" s="16" t="n">
        <v>0.000305239990234375</v>
      </c>
      <c r="F15" s="16" t="n">
        <v>0.00132148095703125</v>
      </c>
      <c r="G15" s="16" t="n">
        <v>0.0007139210205078125</v>
      </c>
      <c r="H15" s="16" t="n">
        <v>0.00609755810546875</v>
      </c>
      <c r="I15" s="16" t="n">
        <v>0.00201032</v>
      </c>
      <c r="J15" s="17" t="inlineStr">
        <is>
          <t xml:space="preserve">Department of Mineral and Petroleum Resources, energy balances, one file a year</t>
        </is>
      </c>
      <c r="K15" s="17" t="inlineStr">
        <is>
          <t xml:space="preserve"/>
        </is>
      </c>
    </row>
    <row r="16">
      <c r="A16" s="15" t="inlineStr">
        <is>
          <t xml:space="preserve">Power stations</t>
        </is>
      </c>
      <c r="B16" s="16" t="n">
        <v>1.178599875</v>
      </c>
      <c r="C16" s="16" t="n">
        <v>1.2478</v>
      </c>
      <c r="D16" s="16" t="n">
        <v>1.247800125</v>
      </c>
      <c r="E16" s="16" t="n">
        <v>0.01</v>
      </c>
      <c r="F16" s="16" t="n">
        <v>0.01</v>
      </c>
      <c r="G16" s="16" t="n">
        <v>0.02872419140625</v>
      </c>
      <c r="H16" s="16" t="n"/>
      <c r="I16" s="16" t="n"/>
      <c r="J16" s="17" t="inlineStr">
        <is>
          <t xml:space="preserve">Department of Mineral and Petroleum Resources, energy balances, one file a year</t>
        </is>
      </c>
      <c r="K16" s="17" t="inlineStr">
        <is>
          <t xml:space="preserve">The balances record little or none after 2016; Eskom's own reported fuel is on the DR07 sheet.</t>
        </is>
      </c>
    </row>
    <row r="18">
      <c r="A18" s="10" t="inlineStr">
        <is>
          <t xml:space="preserve">Petrol</t>
        </is>
      </c>
      <c r="B18" s="11" t="n"/>
      <c r="C18" s="11" t="n"/>
      <c r="D18" s="11" t="n"/>
      <c r="E18" s="11" t="n"/>
      <c r="F18" s="11" t="n"/>
      <c r="G18" s="11" t="n"/>
      <c r="H18" s="11" t="n"/>
      <c r="I18" s="11" t="n"/>
      <c r="J18" s="12" t="n"/>
      <c r="K18" s="12" t="n"/>
    </row>
    <row r="19">
      <c r="A19" s="13" t="inlineStr">
        <is>
          <t xml:space="preserve">Sector</t>
        </is>
      </c>
      <c r="B19" s="13" t="n">
        <v>2014</v>
      </c>
      <c r="C19" s="13" t="n">
        <v>2015</v>
      </c>
      <c r="D19" s="13" t="n">
        <v>2016</v>
      </c>
      <c r="E19" s="13" t="n">
        <v>2017</v>
      </c>
      <c r="F19" s="13" t="n">
        <v>2018</v>
      </c>
      <c r="G19" s="13" t="n">
        <v>2019</v>
      </c>
      <c r="H19" s="13" t="n">
        <v>2020</v>
      </c>
      <c r="I19" s="13" t="n">
        <v>2021</v>
      </c>
      <c r="J19" s="14" t="inlineStr">
        <is>
          <t xml:space="preserve">Source</t>
        </is>
      </c>
      <c r="K19" s="14" t="inlineStr">
        <is>
          <t xml:space="preserve">Note</t>
        </is>
      </c>
    </row>
    <row r="20">
      <c r="A20" s="30" t="inlineStr">
        <is>
          <t xml:space="preserve">All sectors</t>
        </is>
      </c>
      <c r="B20" s="31" t="n">
        <v>10.85563314111328</v>
      </c>
      <c r="C20" s="31" t="n">
        <v>11.46766662414551</v>
      </c>
      <c r="D20" s="31" t="n">
        <v>12.10512484949922</v>
      </c>
      <c r="E20" s="31" t="n">
        <v>11.81206795934439</v>
      </c>
      <c r="F20" s="31" t="n">
        <v>11.71542098850632</v>
      </c>
      <c r="G20" s="31" t="n">
        <v>11.38288891483688</v>
      </c>
      <c r="H20" s="31" t="n">
        <v>9.274792034894944</v>
      </c>
      <c r="I20" s="31" t="n">
        <v>9.83617596</v>
      </c>
      <c r="J20" s="32" t="inlineStr">
        <is>
          <t xml:space="preserve">Department of Mineral and Petroleum Resources, energy balances, one file a year</t>
        </is>
      </c>
      <c r="K20" s="32" t="inlineStr">
        <is>
          <t xml:space="preserve">The department's total for all sectors. It is not the sales figure on the national balance sheet.</t>
        </is>
      </c>
    </row>
    <row r="21">
      <c r="A21" s="15" t="inlineStr">
        <is>
          <t xml:space="preserve">Road transport</t>
        </is>
      </c>
      <c r="B21" s="16" t="n">
        <v>10.599969</v>
      </c>
      <c r="C21" s="16" t="n">
        <v>11.20332</v>
      </c>
      <c r="D21" s="16" t="n">
        <v>7.8504055</v>
      </c>
      <c r="E21" s="16" t="n">
        <v>7.799955</v>
      </c>
      <c r="F21" s="16" t="n">
        <v>9.421383000000001</v>
      </c>
      <c r="G21" s="16" t="n">
        <v>10.179225</v>
      </c>
      <c r="H21" s="16" t="n">
        <v>8.15771</v>
      </c>
      <c r="I21" s="16" t="n">
        <v>8.73466503</v>
      </c>
      <c r="J21" s="17" t="inlineStr">
        <is>
          <t xml:space="preserve">Department of Mineral and Petroleum Resources, energy balances, one file a year</t>
        </is>
      </c>
      <c r="K21" s="17" t="inlineStr">
        <is>
          <t xml:space="preserve"/>
        </is>
      </c>
    </row>
    <row r="22">
      <c r="A22" s="15" t="inlineStr">
        <is>
          <t xml:space="preserve">Rail</t>
        </is>
      </c>
      <c r="B22" s="16" t="n">
        <v>0.018827935546875</v>
      </c>
      <c r="C22" s="16" t="n">
        <v>0.04779277734375</v>
      </c>
      <c r="D22" s="16" t="n">
        <v>0.04603073046875</v>
      </c>
      <c r="E22" s="16" t="n">
        <v>0.05994</v>
      </c>
      <c r="F22" s="16" t="n">
        <v>0.0354285234375</v>
      </c>
      <c r="G22" s="16" t="n">
        <v>0.0007918057861328125</v>
      </c>
      <c r="H22" s="16" t="n">
        <v>0.0007387239990234375</v>
      </c>
      <c r="I22" s="16" t="n">
        <v>0.00011681</v>
      </c>
      <c r="J22" s="17" t="inlineStr">
        <is>
          <t xml:space="preserve">Department of Mineral and Petroleum Resources, energy balances, one file a year</t>
        </is>
      </c>
      <c r="K22" s="17" t="inlineStr">
        <is>
          <t xml:space="preserve"/>
        </is>
      </c>
    </row>
    <row r="23">
      <c r="A23" s="15" t="inlineStr">
        <is>
          <t xml:space="preserve">Industry, all</t>
        </is>
      </c>
      <c r="B23" s="16" t="n">
        <v>0.0236017978515625</v>
      </c>
      <c r="C23" s="16" t="n">
        <v>0.006052782104492187</v>
      </c>
      <c r="D23" s="16" t="n">
        <v>0.03118286829805374</v>
      </c>
      <c r="E23" s="16" t="n">
        <v>0.1008564789366722</v>
      </c>
      <c r="F23" s="16" t="n">
        <v>0.1848299668388367</v>
      </c>
      <c r="G23" s="16" t="n">
        <v>0.1829707760734558</v>
      </c>
      <c r="H23" s="16" t="n">
        <v>0.08609156905555725</v>
      </c>
      <c r="I23" s="16" t="n">
        <v>0.06503531000000001</v>
      </c>
      <c r="J23" s="17" t="inlineStr">
        <is>
          <t xml:space="preserve">Department of Mineral and Petroleum Resources, energy balances, one file a year</t>
        </is>
      </c>
      <c r="K23" s="17" t="inlineStr">
        <is>
          <t xml:space="preserve">Mining, construction, manufacturing and industry not specified, together. Manufacturing and other industry is this line less the two below.</t>
        </is>
      </c>
    </row>
    <row r="24">
      <c r="A24" s="15" t="inlineStr">
        <is>
          <t xml:space="preserve">Mining (part of industry)</t>
        </is>
      </c>
      <c r="B24" s="16" t="n">
        <v>0.0166193828125</v>
      </c>
      <c r="C24" s="16" t="n">
        <v>0.005637662109375</v>
      </c>
      <c r="D24" s="16" t="n">
        <v>0.0048052275390625</v>
      </c>
      <c r="E24" s="16" t="n">
        <v>0.07230403906250001</v>
      </c>
      <c r="F24" s="16" t="n">
        <v>0.159424375</v>
      </c>
      <c r="G24" s="16" t="n">
        <v>0.1585386875</v>
      </c>
      <c r="H24" s="16" t="n">
        <v>0.0722790703125</v>
      </c>
      <c r="I24" s="16" t="n">
        <v>0.05449402</v>
      </c>
      <c r="J24" s="17" t="inlineStr">
        <is>
          <t xml:space="preserve">Department of Mineral and Petroleum Resources, energy balances, one file a year</t>
        </is>
      </c>
      <c r="K24" s="17" t="inlineStr">
        <is>
          <t xml:space="preserve"/>
        </is>
      </c>
    </row>
    <row r="25">
      <c r="A25" s="15" t="inlineStr">
        <is>
          <t xml:space="preserve">Construction (part of industry)</t>
        </is>
      </c>
      <c r="B25" s="16" t="n">
        <v>0.0069824150390625</v>
      </c>
      <c r="C25" s="16" t="n">
        <v>0.0004151199951171875</v>
      </c>
      <c r="D25" s="16" t="n">
        <v>0.0033661767578125</v>
      </c>
      <c r="E25" s="16" t="n">
        <v>0.006626169921875</v>
      </c>
      <c r="F25" s="16" t="n">
        <v>0.00136849658203125</v>
      </c>
      <c r="G25" s="16" t="n">
        <v>0.0005697340698242188</v>
      </c>
      <c r="H25" s="16" t="n">
        <v>0.000611820068359375</v>
      </c>
      <c r="I25" s="16" t="n">
        <v>0.00105943</v>
      </c>
      <c r="J25" s="17" t="inlineStr">
        <is>
          <t xml:space="preserve">Department of Mineral and Petroleum Resources, energy balances, one file a year</t>
        </is>
      </c>
      <c r="K25" s="17" t="inlineStr">
        <is>
          <t xml:space="preserve"/>
        </is>
      </c>
    </row>
    <row r="26">
      <c r="A26" s="15" t="inlineStr">
        <is>
          <t xml:space="preserve">Agriculture</t>
        </is>
      </c>
      <c r="B26" s="16" t="n">
        <v>0.157224265625</v>
      </c>
      <c r="C26" s="16" t="n">
        <v>0.1724905</v>
      </c>
      <c r="D26" s="16" t="n">
        <v>1.928879125</v>
      </c>
      <c r="E26" s="16" t="n">
        <v>1.95126</v>
      </c>
      <c r="F26" s="16" t="n">
        <v>0.1204940234375</v>
      </c>
      <c r="G26" s="16" t="n">
        <v>0.1068119453125</v>
      </c>
      <c r="H26" s="16" t="n">
        <v>0.1140243828125</v>
      </c>
      <c r="I26" s="16" t="n">
        <v>0.12018356</v>
      </c>
      <c r="J26" s="17" t="inlineStr">
        <is>
          <t xml:space="preserve">Department of Mineral and Petroleum Resources, energy balances, one file a year</t>
        </is>
      </c>
      <c r="K26" s="17" t="inlineStr">
        <is>
          <t xml:space="preserve"/>
        </is>
      </c>
    </row>
    <row r="27">
      <c r="A27" s="15" t="inlineStr">
        <is>
          <t xml:space="preserve">Commercial and public services</t>
        </is>
      </c>
      <c r="B27" s="16" t="n">
        <v>0.00377131591796875</v>
      </c>
      <c r="C27" s="16" t="n">
        <v>0.003779844970703125</v>
      </c>
      <c r="D27" s="16" t="n">
        <v>2.24386625</v>
      </c>
      <c r="E27" s="16" t="n">
        <v>1.88338425</v>
      </c>
      <c r="F27" s="16" t="n">
        <v>1.947136625</v>
      </c>
      <c r="G27" s="16" t="n">
        <v>0.90765475</v>
      </c>
      <c r="H27" s="16" t="n">
        <v>0.904899875</v>
      </c>
      <c r="I27" s="16" t="n">
        <v>0.90667726</v>
      </c>
      <c r="J27" s="17" t="inlineStr">
        <is>
          <t xml:space="preserve">Department of Mineral and Petroleum Resources, energy balances, one file a year</t>
        </is>
      </c>
      <c r="K27" s="17" t="inlineStr">
        <is>
          <t xml:space="preserve">Jumps from almost nothing to several billion litres from 2016: the department moved volumes between sectors, so read with care.</t>
        </is>
      </c>
    </row>
    <row r="28">
      <c r="A28" s="15" t="inlineStr">
        <is>
          <t xml:space="preserve">Households</t>
        </is>
      </c>
      <c r="B28" s="16" t="n">
        <v>0.003343123046875</v>
      </c>
      <c r="C28" s="16" t="n">
        <v>0.0021842490234375</v>
      </c>
      <c r="D28" s="16" t="n"/>
      <c r="E28" s="16" t="n"/>
      <c r="F28" s="16" t="n">
        <v>0.0001797019958496094</v>
      </c>
      <c r="G28" s="16" t="n">
        <v>0.0001673529968261719</v>
      </c>
      <c r="H28" s="16" t="n">
        <v>1.579899978637695e-05</v>
      </c>
      <c r="I28" s="16" t="n">
        <v>1.481e-05</v>
      </c>
      <c r="J28" s="17" t="inlineStr">
        <is>
          <t xml:space="preserve">Department of Mineral and Petroleum Resources, energy balances, one file a year</t>
        </is>
      </c>
      <c r="K28" s="17" t="inlineStr">
        <is>
          <t xml:space="preserve"/>
        </is>
      </c>
    </row>
  </sheetData>
  <mergeCells>
    <mergeCell ref="A3:J3"/>
  </mergeCells>
  <hyperlinks>
    <hyperlink ref="A3" location="'Gap register'!A30" display="REVIEW: 1 linked items. Open Gap register; filter Request. Start here explains colours and scope." tooltip="Open the linked workbook evidence or review item"/>
    <hyperlink ref="O5" location="'Gap register'!A30" display="Review detail" tooltip="Open the linked workbook evidence or review item"/>
  </hyperlinks>
  <pageMargins left="0.7" right="0.7" top="0.75" bottom="0.75" header="0.3" footer="0.3"/>
</worksheet>
</file>

<file path=xl/worksheets/sheet5.xml><?xml version="1.0" encoding="utf-8"?>
<worksheet xmlns="http://schemas.openxmlformats.org/spreadsheetml/2006/main">
  <sheetViews>
    <sheetView workbookViewId="0" tabSelected="0">
      <pane xSplit="2" ySplit="2" topLeftCell="C3" activePane="bottomRight" state="frozen"/>
    </sheetView>
  </sheetViews>
  <sheetFormatPr baseColWidth="8" defaultRowHeight="15"/>
  <cols>
    <col min="1" max="1" width="44" customWidth="1"/>
    <col min="2" max="2" width="30" customWidth="1"/>
    <col min="3" max="3" width="8.5" customWidth="1"/>
    <col min="4" max="4" width="8.5" customWidth="1"/>
    <col min="5" max="5" width="8.5" customWidth="1"/>
    <col min="6" max="6" width="8.5" customWidth="1"/>
    <col min="7" max="7" width="8.5" customWidth="1"/>
    <col min="8" max="8" width="8.5" customWidth="1"/>
    <col min="9" max="9" width="8.5" customWidth="1"/>
    <col min="10" max="10" width="8.5" customWidth="1"/>
    <col min="11" max="11" width="8.5" customWidth="1"/>
    <col min="12" max="12" width="8.5" customWidth="1"/>
    <col min="13" max="13" width="8.5" customWidth="1"/>
    <col min="14" max="14" width="8.5" customWidth="1"/>
    <col min="15" max="15" width="50" customWidth="1"/>
    <col min="16" max="16" width="66" customWidth="1"/>
    <col min="18" max="18" width="19" hidden="0" customWidth="1"/>
    <col min="19" max="19" width="65" hidden="0" customWidth="1"/>
    <col min="20" max="20" width="15" hidden="0" customWidth="1"/>
  </cols>
  <sheetData>
    <row r="1">
      <c r="A1" s="1" t="inlineStr">
        <is>
          <t xml:space="preserve">DR01 Sector activity: mining, manufacturing and agriculture</t>
        </is>
      </c>
    </row>
    <row r="2">
      <c r="A2" s="2" t="inlineStr">
        <is>
          <t xml:space="preserve">Activity is published to 2025; diesel by sector stops at 2021. The estimate for later years is the average diesel per unit of activity in 2018 to 2021 times the activity of that year. Diesel is read from the demand by sector sheet, not repeated here.</t>
        </is>
      </c>
    </row>
    <row r="3" ht="34" customHeight="1">
      <c r="A3" s="92" t="str">
        <v>REVIEW: 1 linked items. Open Gap register; filter Request. Start here explains colours and scope.</v>
      </c>
      <c r="B3" s="92"/>
      <c r="C3" s="92"/>
      <c r="D3" s="92"/>
      <c r="E3" s="92"/>
      <c r="F3" s="92"/>
      <c r="G3" s="92"/>
      <c r="H3" s="92"/>
      <c r="I3" s="92"/>
      <c r="J3" s="92"/>
    </row>
    <row r="4" ht="30" customHeight="1">
      <c r="R4" s="95" t="str">
        <v>Review IDs</v>
      </c>
      <c r="S4" s="95" t="str">
        <v>Review finding — source figures retained</v>
      </c>
      <c r="T4" s="95" t="str">
        <v>Open detail</v>
      </c>
    </row>
    <row r="5">
      <c r="A5" s="12" t="inlineStr">
        <is>
          <t xml:space="preserve">Mining</t>
        </is>
      </c>
      <c r="B5" s="10" t="n"/>
      <c r="C5" s="10" t="n"/>
      <c r="D5" s="10" t="n"/>
      <c r="E5" s="10" t="n"/>
      <c r="F5" s="10" t="n"/>
      <c r="G5" s="10" t="n"/>
      <c r="H5" s="10" t="n"/>
      <c r="I5" s="10" t="n"/>
      <c r="J5" s="10" t="n"/>
      <c r="K5" s="10" t="n"/>
      <c r="L5" s="10" t="n"/>
      <c r="M5" s="10" t="n"/>
      <c r="N5" s="10" t="n"/>
      <c r="O5" s="12" t="n"/>
      <c r="P5" s="12" t="n"/>
    </row>
    <row r="6">
      <c r="A6" s="14" t="inlineStr">
        <is>
          <t xml:space="preserve">Line</t>
        </is>
      </c>
      <c r="B6" s="13" t="inlineStr">
        <is>
          <t xml:space="preserve">Unit</t>
        </is>
      </c>
      <c r="C6" s="13" t="n">
        <v>2014</v>
      </c>
      <c r="D6" s="13" t="n">
        <v>2015</v>
      </c>
      <c r="E6" s="13" t="n">
        <v>2016</v>
      </c>
      <c r="F6" s="13" t="n">
        <v>2017</v>
      </c>
      <c r="G6" s="13" t="n">
        <v>2018</v>
      </c>
      <c r="H6" s="13" t="n">
        <v>2019</v>
      </c>
      <c r="I6" s="13" t="n">
        <v>2020</v>
      </c>
      <c r="J6" s="13" t="n">
        <v>2021</v>
      </c>
      <c r="K6" s="13" t="n">
        <v>2022</v>
      </c>
      <c r="L6" s="13" t="n">
        <v>2023</v>
      </c>
      <c r="M6" s="13" t="n">
        <v>2024</v>
      </c>
      <c r="N6" s="13" t="n">
        <v>2025</v>
      </c>
      <c r="O6" s="14" t="inlineStr">
        <is>
          <t xml:space="preserve">Source</t>
        </is>
      </c>
      <c r="P6" s="14" t="inlineStr">
        <is>
          <t xml:space="preserve">Note</t>
        </is>
      </c>
    </row>
    <row r="7">
      <c r="A7" s="17" t="inlineStr">
        <is>
          <t xml:space="preserve">Mining production volume</t>
        </is>
      </c>
      <c r="B7" s="15" t="inlineStr">
        <is>
          <t xml:space="preserve">index, 2019 = 100</t>
        </is>
      </c>
      <c r="C7" s="33" t="n">
        <v>99.03333333333335</v>
      </c>
      <c r="D7" s="33" t="n">
        <v>102.2416666666667</v>
      </c>
      <c r="E7" s="33" t="n">
        <v>98.91666666666667</v>
      </c>
      <c r="F7" s="33" t="n">
        <v>102.5333333333333</v>
      </c>
      <c r="G7" s="33" t="n">
        <v>100.925</v>
      </c>
      <c r="H7" s="33" t="n">
        <v>99.98333333333333</v>
      </c>
      <c r="I7" s="33" t="n">
        <v>89.10000000000001</v>
      </c>
      <c r="J7" s="33" t="n">
        <v>100.875</v>
      </c>
      <c r="K7" s="33" t="n">
        <v>93.00833333333333</v>
      </c>
      <c r="L7" s="33" t="n">
        <v>93.01666666666667</v>
      </c>
      <c r="M7" s="33" t="n">
        <v>93.53333333333335</v>
      </c>
      <c r="N7" s="33" t="n">
        <v>93.70833333333333</v>
      </c>
      <c r="O7" s="17" t="inlineStr">
        <is>
          <t xml:space="preserve">Statistics South Africa, Mining production and sales (P2041)</t>
        </is>
      </c>
      <c r="P7" s="17" t="inlineStr">
        <is>
          <t xml:space="preserve">Published to 2025.</t>
        </is>
      </c>
    </row>
    <row r="8">
      <c r="A8" s="23" t="inlineStr">
        <is>
          <t xml:space="preserve">Diesel per unit of activity</t>
        </is>
      </c>
      <c r="B8" s="21" t="inlineStr">
        <is>
          <t xml:space="preserve">million litres per index point</t>
        </is>
      </c>
      <c r="C8" s="34" t="n">
        <f>'DR01 demand by sector'!B11*1000/C7</f>
        <v>15.197229047458766</v>
      </c>
      <c r="D8" s="34" t="n">
        <f>'DR01 demand by sector'!C11*1000/D7</f>
        <v>17.785278343793294</v>
      </c>
      <c r="E8" s="34" t="n">
        <f>'DR01 demand by sector'!D11*1000/E7</f>
        <v>10.55689700926706</v>
      </c>
      <c r="F8" s="34" t="n">
        <f>'DR01 demand by sector'!E11*1000/F7</f>
        <v>12.68295838751626</v>
      </c>
      <c r="G8" s="34" t="n">
        <f>'DR01 demand by sector'!F11*1000/G7</f>
        <v>16.349992568739165</v>
      </c>
      <c r="H8" s="34" t="n">
        <f>'DR01 demand by sector'!G11*1000/H7</f>
        <v>16.675271711951993</v>
      </c>
      <c r="I8" s="34" t="n">
        <f>'DR01 demand by sector'!H11*1000/I7</f>
        <v>14.179638047138045</v>
      </c>
      <c r="J8" s="34" t="n">
        <f>'DR01 demand by sector'!I11*1000/J7</f>
        <v>12.82590750929368</v>
      </c>
      <c r="K8" s="34" t="n"/>
      <c r="L8" s="34" t="n"/>
      <c r="M8" s="34" t="n"/>
      <c r="N8" s="34" t="n"/>
      <c r="O8" s="23" t="inlineStr">
        <is>
          <t xml:space="preserve">Calculated: diesel on the demand by sector sheet over the activity above</t>
        </is>
      </c>
      <c r="P8" s="23" t="inlineStr">
        <is>
          <t xml:space="preserve">The energy balance's mining line includes mines' haul trucks and road vehicles.</t>
        </is>
      </c>
    </row>
    <row r="9" ht="48" customHeight="1">
      <c r="A9" s="23" t="inlineStr">
        <is>
          <t xml:space="preserve">Estimated diesel after 2021</t>
        </is>
      </c>
      <c r="B9" s="21" t="inlineStr">
        <is>
          <t xml:space="preserve">billion litres</t>
        </is>
      </c>
      <c r="C9" s="22" t="n"/>
      <c r="D9" s="22" t="n"/>
      <c r="E9" s="22" t="n"/>
      <c r="F9" s="22" t="n"/>
      <c r="G9" s="22" t="n"/>
      <c r="H9" s="22" t="n"/>
      <c r="I9" s="22" t="n"/>
      <c r="J9" s="22" t="n"/>
      <c r="K9" s="22" t="n">
        <f>AVERAGE(G8:J8)*K7/1000</f>
        <v>1.3958413929002675</v>
      </c>
      <c r="L9" s="22" t="n">
        <f>AVERAGE(G8:J8)*L7/1000</f>
        <v>1.3959664570874284</v>
      </c>
      <c r="M9" s="22" t="n">
        <f>AVERAGE(G8:J8)*M7/1000</f>
        <v>1.4037204366913902</v>
      </c>
      <c r="N9" s="22" t="n">
        <f>AVERAGE(G8:J8)*N7/1000</f>
        <v>1.406346784621764</v>
      </c>
      <c r="O9" s="23" t="inlineStr">
        <is>
          <t xml:space="preserve">Calculated: average diesel per unit of activity, 2018 to 2021, times that year's activity</t>
        </is>
      </c>
      <c r="P9" s="23" t="inlineStr">
        <is>
          <t xml:space="preserve">An estimate, not an observation and not an accepted model input. Holds diesel per unit of activity constant. For Nigel to agree.</t>
        </is>
      </c>
      <c r="R9" s="80" t="str">
        <v>G024</v>
      </c>
      <c r="S9" s="80" t="str">
        <v>Estimate to review: Sector estimates after 2021</v>
      </c>
      <c r="T9" s="80" t="str">
        <v>Review detail</v>
      </c>
    </row>
    <row r="11">
      <c r="A11" s="12" t="inlineStr">
        <is>
          <t xml:space="preserve">Manufacturing and other industry</t>
        </is>
      </c>
      <c r="B11" s="10" t="n"/>
      <c r="C11" s="10" t="n"/>
      <c r="D11" s="10" t="n"/>
      <c r="E11" s="10" t="n"/>
      <c r="F11" s="10" t="n"/>
      <c r="G11" s="10" t="n"/>
      <c r="H11" s="10" t="n"/>
      <c r="I11" s="10" t="n"/>
      <c r="J11" s="10" t="n"/>
      <c r="K11" s="10" t="n"/>
      <c r="L11" s="10" t="n"/>
      <c r="M11" s="10" t="n"/>
      <c r="N11" s="10" t="n"/>
      <c r="O11" s="12" t="n"/>
      <c r="P11" s="12" t="n"/>
    </row>
    <row r="12">
      <c r="A12" s="14" t="inlineStr">
        <is>
          <t xml:space="preserve">Line</t>
        </is>
      </c>
      <c r="B12" s="13" t="inlineStr">
        <is>
          <t xml:space="preserve">Unit</t>
        </is>
      </c>
      <c r="C12" s="13" t="n">
        <v>2014</v>
      </c>
      <c r="D12" s="13" t="n">
        <v>2015</v>
      </c>
      <c r="E12" s="13" t="n">
        <v>2016</v>
      </c>
      <c r="F12" s="13" t="n">
        <v>2017</v>
      </c>
      <c r="G12" s="13" t="n">
        <v>2018</v>
      </c>
      <c r="H12" s="13" t="n">
        <v>2019</v>
      </c>
      <c r="I12" s="13" t="n">
        <v>2020</v>
      </c>
      <c r="J12" s="13" t="n">
        <v>2021</v>
      </c>
      <c r="K12" s="13" t="n">
        <v>2022</v>
      </c>
      <c r="L12" s="13" t="n">
        <v>2023</v>
      </c>
      <c r="M12" s="13" t="n">
        <v>2024</v>
      </c>
      <c r="N12" s="13" t="n">
        <v>2025</v>
      </c>
      <c r="O12" s="14" t="inlineStr">
        <is>
          <t xml:space="preserve">Source</t>
        </is>
      </c>
      <c r="P12" s="14" t="inlineStr">
        <is>
          <t xml:space="preserve">Note</t>
        </is>
      </c>
    </row>
    <row r="13">
      <c r="A13" s="17" t="inlineStr">
        <is>
          <t xml:space="preserve">Manufacturing production volume</t>
        </is>
      </c>
      <c r="B13" s="15" t="inlineStr">
        <is>
          <t xml:space="preserve">index, 2019 = 100</t>
        </is>
      </c>
      <c r="C13" s="33" t="n">
        <v>100.1166666666667</v>
      </c>
      <c r="D13" s="33" t="n">
        <v>100.1</v>
      </c>
      <c r="E13" s="33" t="n">
        <v>100.8083333333333</v>
      </c>
      <c r="F13" s="33" t="n">
        <v>100.1333333333333</v>
      </c>
      <c r="G13" s="33" t="n">
        <v>101.1</v>
      </c>
      <c r="H13" s="33" t="n">
        <v>99.98333333333333</v>
      </c>
      <c r="I13" s="33" t="n">
        <v>87.66666666666667</v>
      </c>
      <c r="J13" s="33" t="n">
        <v>93.11666666666667</v>
      </c>
      <c r="K13" s="33" t="n">
        <v>93.14166666666667</v>
      </c>
      <c r="L13" s="33" t="n">
        <v>93.71666666666665</v>
      </c>
      <c r="M13" s="33" t="n">
        <v>93.33333333333333</v>
      </c>
      <c r="N13" s="33" t="n">
        <v>92.14166666666667</v>
      </c>
      <c r="O13" s="17" t="inlineStr">
        <is>
          <t xml:space="preserve">Statistics South Africa, Manufacturing production and sales (P3041.2)</t>
        </is>
      </c>
      <c r="P13" s="17" t="inlineStr">
        <is>
          <t xml:space="preserve">Published to 2025.</t>
        </is>
      </c>
    </row>
    <row r="14">
      <c r="A14" s="23" t="inlineStr">
        <is>
          <t xml:space="preserve">Diesel per unit of activity</t>
        </is>
      </c>
      <c r="B14" s="21" t="inlineStr">
        <is>
          <t xml:space="preserve">million litres per index point</t>
        </is>
      </c>
      <c r="C14" s="34" t="n">
        <f>('DR01 demand by sector'!B10-'DR01 demand by sector'!B11-N('DR01 demand by sector'!B12))*1000/C13</f>
        <v>2.77232318451429e-16</v>
      </c>
      <c r="D14" s="34" t="n">
        <f>('DR01 demand by sector'!C10-'DR01 demand by sector'!C11-N('DR01 demand by sector'!C12))*1000/D13</f>
        <v>1.1091139107144422e-15</v>
      </c>
      <c r="E14" s="34" t="n">
        <f>('DR01 demand by sector'!D10-'DR01 demand by sector'!D11-N('DR01 demand by sector'!D12))*1000/E13</f>
        <v>1.3575414932287524</v>
      </c>
      <c r="F14" s="34" t="n">
        <f>('DR01 demand by sector'!E10-'DR01 demand by sector'!E11-N('DR01 demand by sector'!E12))*1000/F13</f>
        <v>1.1878563691201396</v>
      </c>
      <c r="G14" s="34" t="n">
        <f>('DR01 demand by sector'!F10-'DR01 demand by sector'!F11-N('DR01 demand by sector'!F12))*1000/G13</f>
        <v>1.5796817357698127</v>
      </c>
      <c r="H14" s="34" t="n">
        <f>('DR01 demand by sector'!G10-'DR01 demand by sector'!G11-N('DR01 demand by sector'!G12))*1000/H13</f>
        <v>2.3078006173229406</v>
      </c>
      <c r="I14" s="34" t="n">
        <f>('DR01 demand by sector'!H10-'DR01 demand by sector'!H11-N('DR01 demand by sector'!H12))*1000/I13</f>
        <v>1.5965879412168815</v>
      </c>
      <c r="J14" s="34" t="n">
        <f>('DR01 demand by sector'!I10-'DR01 demand by sector'!I11-N('DR01 demand by sector'!I12))*1000/J13</f>
        <v>1.682120028637909</v>
      </c>
      <c r="K14" s="34" t="n"/>
      <c r="L14" s="34" t="n"/>
      <c r="M14" s="34" t="n"/>
      <c r="N14" s="34" t="n"/>
      <c r="O14" s="23" t="inlineStr">
        <is>
          <t xml:space="preserve">Calculated: diesel on the demand by sector sheet over the activity above</t>
        </is>
      </c>
      <c r="P14" s="23" t="inlineStr">
        <is>
          <t xml:space="preserve">Diesel is industry less mining less construction. It is small (0.1 to 0.3 billion litres), so it moves with reclassification more than with output.</t>
        </is>
      </c>
    </row>
    <row r="15">
      <c r="A15" s="23" t="inlineStr">
        <is>
          <t xml:space="preserve">Estimated diesel after 2021</t>
        </is>
      </c>
      <c r="B15" s="21" t="inlineStr">
        <is>
          <t xml:space="preserve">billion litres</t>
        </is>
      </c>
      <c r="C15" s="22" t="n"/>
      <c r="D15" s="22" t="n"/>
      <c r="E15" s="22" t="n"/>
      <c r="F15" s="22" t="n"/>
      <c r="G15" s="22" t="n"/>
      <c r="H15" s="22" t="n"/>
      <c r="I15" s="22" t="n"/>
      <c r="J15" s="22" t="n"/>
      <c r="K15" s="22" t="n">
        <f>AVERAGE(G14:J14)*K13/1000</f>
        <v>0.16686772758246812</v>
      </c>
      <c r="L15" s="22" t="n">
        <f>AVERAGE(G14:J14)*L13/1000</f>
        <v>0.16789786744139182</v>
      </c>
      <c r="M15" s="22" t="n">
        <f>AVERAGE(G14:J14)*M13/1000</f>
        <v>0.1672111075354427</v>
      </c>
      <c r="N15" s="22" t="n">
        <f>AVERAGE(G14:J14)*N13/1000</f>
        <v>0.16507618000173124</v>
      </c>
      <c r="O15" s="23" t="inlineStr">
        <is>
          <t xml:space="preserve">Calculated: average diesel per unit of activity, 2018 to 2021, times that year's activity</t>
        </is>
      </c>
      <c r="P15" s="23" t="inlineStr">
        <is>
          <t xml:space="preserve">An estimate, not an observation and not an accepted model input. Holds diesel per unit of activity constant. For Nigel to agree.</t>
        </is>
      </c>
    </row>
    <row r="17">
      <c r="A17" s="12" t="inlineStr">
        <is>
          <t xml:space="preserve">Agriculture</t>
        </is>
      </c>
      <c r="B17" s="10" t="n"/>
      <c r="C17" s="10" t="n"/>
      <c r="D17" s="10" t="n"/>
      <c r="E17" s="10" t="n"/>
      <c r="F17" s="10" t="n"/>
      <c r="G17" s="10" t="n"/>
      <c r="H17" s="10" t="n"/>
      <c r="I17" s="10" t="n"/>
      <c r="J17" s="10" t="n"/>
      <c r="K17" s="10" t="n"/>
      <c r="L17" s="10" t="n"/>
      <c r="M17" s="10" t="n"/>
      <c r="N17" s="10" t="n"/>
      <c r="O17" s="12" t="n"/>
      <c r="P17" s="12" t="n"/>
    </row>
    <row r="18">
      <c r="A18" s="14" t="inlineStr">
        <is>
          <t xml:space="preserve">Line</t>
        </is>
      </c>
      <c r="B18" s="13" t="inlineStr">
        <is>
          <t xml:space="preserve">Unit</t>
        </is>
      </c>
      <c r="C18" s="13" t="n">
        <v>2014</v>
      </c>
      <c r="D18" s="13" t="n">
        <v>2015</v>
      </c>
      <c r="E18" s="13" t="n">
        <v>2016</v>
      </c>
      <c r="F18" s="13" t="n">
        <v>2017</v>
      </c>
      <c r="G18" s="13" t="n">
        <v>2018</v>
      </c>
      <c r="H18" s="13" t="n">
        <v>2019</v>
      </c>
      <c r="I18" s="13" t="n">
        <v>2020</v>
      </c>
      <c r="J18" s="13" t="n">
        <v>2021</v>
      </c>
      <c r="K18" s="13" t="n">
        <v>2022</v>
      </c>
      <c r="L18" s="13" t="n">
        <v>2023</v>
      </c>
      <c r="M18" s="13" t="n">
        <v>2024</v>
      </c>
      <c r="N18" s="13" t="n">
        <v>2025</v>
      </c>
      <c r="O18" s="14" t="inlineStr">
        <is>
          <t xml:space="preserve">Source</t>
        </is>
      </c>
      <c r="P18" s="14" t="inlineStr">
        <is>
          <t xml:space="preserve">Note</t>
        </is>
      </c>
    </row>
    <row r="19">
      <c r="A19" s="17" t="inlineStr">
        <is>
          <t xml:space="preserve">Agriculture, forestry and fishing real value added</t>
        </is>
      </c>
      <c r="B19" s="15" t="inlineStr">
        <is>
          <t xml:space="preserve">billion rand, 2015 prices</t>
        </is>
      </c>
      <c r="C19" s="33" t="n">
        <v>102.4876916980824</v>
      </c>
      <c r="D19" s="33" t="n">
        <v>98.75956925138433</v>
      </c>
      <c r="E19" s="33" t="n">
        <v>93.67210531089499</v>
      </c>
      <c r="F19" s="33" t="n">
        <v>111.5450795375386</v>
      </c>
      <c r="G19" s="33" t="n">
        <v>112.0949257517988</v>
      </c>
      <c r="H19" s="33" t="n">
        <v>104.7847576991143</v>
      </c>
      <c r="I19" s="33" t="n">
        <v>122.8700990753462</v>
      </c>
      <c r="J19" s="33" t="n">
        <v>128.9830895613611</v>
      </c>
      <c r="K19" s="33" t="n">
        <v>131.7706421450265</v>
      </c>
      <c r="L19" s="33" t="n">
        <v>125.7466421450265</v>
      </c>
      <c r="M19" s="33" t="n">
        <v>114.7916421450265</v>
      </c>
      <c r="N19" s="33" t="n">
        <v>134.7967469817132</v>
      </c>
      <c r="O19" s="17" t="inlineStr">
        <is>
          <t xml:space="preserve">Statistics South Africa, Gross domestic product (P0441)</t>
        </is>
      </c>
      <c r="P19" s="17" t="inlineStr">
        <is>
          <t xml:space="preserve">Published to 2025.</t>
        </is>
      </c>
    </row>
    <row r="20">
      <c r="A20" s="23" t="inlineStr">
        <is>
          <t xml:space="preserve">Diesel per unit of activity</t>
        </is>
      </c>
      <c r="B20" s="21" t="inlineStr">
        <is>
          <t xml:space="preserve">million litres per billion rand</t>
        </is>
      </c>
      <c r="C20" s="34" t="n">
        <f>'DR01 demand by sector'!B13*1000/C19</f>
        <v>10.659804430159111</v>
      </c>
      <c r="D20" s="34" t="n">
        <f>'DR01 demand by sector'!C13*1000/D19</f>
        <v>10.86977452551974</v>
      </c>
      <c r="E20" s="34" t="n">
        <f>'DR01 demand by sector'!D13*1000/E19</f>
        <v>20.147714933236273</v>
      </c>
      <c r="F20" s="34" t="n">
        <f>'DR01 demand by sector'!E13*1000/F19</f>
        <v>16.826506447273243</v>
      </c>
      <c r="G20" s="34" t="n">
        <f>'DR01 demand by sector'!F13*1000/G19</f>
        <v>8.027869517417113</v>
      </c>
      <c r="H20" s="34" t="n">
        <f>'DR01 demand by sector'!G13*1000/H19</f>
        <v>8.797545632992309</v>
      </c>
      <c r="I20" s="34" t="n">
        <f>'DR01 demand by sector'!H13*1000/I19</f>
        <v>8.537174690131536</v>
      </c>
      <c r="J20" s="34" t="n">
        <f>'DR01 demand by sector'!I13*1000/J19</f>
        <v>8.205718700019881</v>
      </c>
      <c r="K20" s="34" t="n"/>
      <c r="L20" s="34" t="n"/>
      <c r="M20" s="34" t="n"/>
      <c r="N20" s="34" t="n"/>
      <c r="O20" s="23" t="inlineStr">
        <is>
          <t xml:space="preserve">Calculated: diesel on the demand by sector sheet over the activity above</t>
        </is>
      </c>
      <c r="P20" s="23" t="inlineStr">
        <is>
          <t xml:space="preserve">The balance's 2016 and 2017 figures are about double the other years and look like reclassification.</t>
        </is>
      </c>
    </row>
    <row r="21">
      <c r="A21" s="23" t="inlineStr">
        <is>
          <t xml:space="preserve">Estimated diesel after 2021</t>
        </is>
      </c>
      <c r="B21" s="21" t="inlineStr">
        <is>
          <t xml:space="preserve">billion litres</t>
        </is>
      </c>
      <c r="C21" s="22" t="n"/>
      <c r="D21" s="22" t="n"/>
      <c r="E21" s="22" t="n"/>
      <c r="F21" s="22" t="n"/>
      <c r="G21" s="22" t="n"/>
      <c r="H21" s="22" t="n"/>
      <c r="I21" s="22" t="n"/>
      <c r="J21" s="22" t="n"/>
      <c r="K21" s="22" t="n">
        <f>AVERAGE(G20:J20)*K19/1000</f>
        <v>1.1058293930280196</v>
      </c>
      <c r="L21" s="22" t="n">
        <f>AVERAGE(G20:J20)*L19/1000</f>
        <v>1.0552755203659352</v>
      </c>
      <c r="M21" s="22" t="n">
        <f>AVERAGE(G20:J20)*M19/1000</f>
        <v>0.963340315350474</v>
      </c>
      <c r="N21" s="22" t="n">
        <f>AVERAGE(G20:J20)*N19/1000</f>
        <v>1.1312246982365153</v>
      </c>
      <c r="O21" s="23" t="inlineStr">
        <is>
          <t xml:space="preserve">Calculated: average diesel per unit of activity, 2018 to 2021, times that year's activity</t>
        </is>
      </c>
      <c r="P21" s="23" t="inlineStr">
        <is>
          <t xml:space="preserve">An estimate, not an observation and not an accepted model input. Holds diesel per unit of activity constant. For Nigel to agree.</t>
        </is>
      </c>
    </row>
  </sheetData>
  <mergeCells>
    <mergeCell ref="A3:J3"/>
  </mergeCells>
  <hyperlinks>
    <hyperlink ref="A3" location="'Gap register'!A29" display="REVIEW: 1 linked items. Open Gap register; filter Request. Start here explains colours and scope." tooltip="Open the linked workbook evidence or review item"/>
    <hyperlink ref="T9" location="'Gap register'!A29" display="Review detail" tooltip="Open the linked workbook evidence or review item"/>
  </hyperlinks>
  <pageMargins left="0.7" right="0.7" top="0.75" bottom="0.75" header="0.3" footer="0.3"/>
</worksheet>
</file>

<file path=xl/worksheets/sheet6.xml><?xml version="1.0" encoding="utf-8"?>
<worksheet xmlns="http://schemas.openxmlformats.org/spreadsheetml/2006/main">
  <sheetViews>
    <sheetView workbookViewId="0" tabSelected="0">
      <pane xSplit="1" ySplit="2" topLeftCell="B3" activePane="bottomRight" state="frozen"/>
    </sheetView>
  </sheetViews>
  <sheetFormatPr baseColWidth="8" defaultRowHeight="15"/>
  <cols>
    <col min="1" max="1" width="36" customWidth="1"/>
    <col min="2" max="2" width="30" customWidth="1"/>
    <col min="3" max="3" width="20" customWidth="1"/>
    <col min="4" max="4" width="16" customWidth="1"/>
    <col min="5" max="5" width="10.5" customWidth="1"/>
    <col min="6" max="6" width="10.5" customWidth="1"/>
    <col min="7" max="7" width="10.5" customWidth="1"/>
    <col min="8" max="8" width="10.5" customWidth="1"/>
    <col min="9" max="9" width="10.5" customWidth="1"/>
    <col min="10" max="10" width="10.5" customWidth="1"/>
    <col min="11" max="11" width="10.5" customWidth="1"/>
    <col min="12" max="12" width="10.5" customWidth="1"/>
    <col min="13" max="13" width="10.5" customWidth="1"/>
    <col min="14" max="14" width="10.5" customWidth="1"/>
    <col min="15" max="15" width="10.5" customWidth="1"/>
    <col min="16" max="16" width="10.5" customWidth="1"/>
    <col min="17" max="17" width="10.5" customWidth="1"/>
    <col min="18" max="18" width="10.5" customWidth="1"/>
    <col min="19" max="19" width="13" customWidth="1"/>
    <col min="20" max="20" width="46" customWidth="1"/>
    <col min="21" max="21" width="16" customWidth="1"/>
    <col min="22" max="22" width="62" customWidth="1"/>
    <col min="25" max="25" width="19" hidden="0" customWidth="1"/>
    <col min="26" max="26" width="65" hidden="0" customWidth="1"/>
    <col min="27" max="27" width="15" hidden="0" customWidth="1"/>
  </cols>
  <sheetData>
    <row r="1">
      <c r="A1" s="1" t="inlineStr">
        <is>
          <t xml:space="preserve">DR04 Routes and access</t>
        </is>
      </c>
    </row>
    <row r="2">
      <c r="A2" s="2" t="inlineStr">
        <is>
          <t xml:space="preserve">66 facts from sources (blue), 6 calculated (white), 7 not available (yellow). Petrol and diesel only. Figures reported for several years are set out one column a year; every row names its source.</t>
        </is>
      </c>
    </row>
    <row r="3" ht="34" customHeight="1">
      <c r="A3" s="92" t="str">
        <v>REVIEW: 13 linked items. Open Gap register; filter Request. Start here explains colours and scope.</v>
      </c>
      <c r="B3" s="92"/>
      <c r="C3" s="92"/>
      <c r="D3" s="92"/>
      <c r="E3" s="92"/>
      <c r="F3" s="92"/>
      <c r="G3" s="92"/>
      <c r="H3" s="92"/>
      <c r="I3" s="92"/>
      <c r="J3" s="92"/>
    </row>
    <row r="4" ht="30" customHeight="1">
      <c r="Y4" s="95" t="str">
        <v>Review IDs</v>
      </c>
      <c r="Z4" s="95" t="str">
        <v>Review finding — source figures retained</v>
      </c>
      <c r="AA4" s="95" t="str">
        <v>Open detail</v>
      </c>
    </row>
    <row r="5">
      <c r="A5" s="35" t="inlineStr">
        <is>
          <t xml:space="preserve">Pipeline limit</t>
        </is>
      </c>
      <c r="B5" s="35" t="n"/>
      <c r="C5" s="35" t="n"/>
      <c r="D5" s="35" t="n"/>
      <c r="E5" s="35" t="n"/>
      <c r="F5" s="35" t="n"/>
      <c r="G5" s="35" t="n"/>
      <c r="H5" s="35" t="n"/>
      <c r="I5" s="35" t="n"/>
      <c r="J5" s="35" t="n"/>
      <c r="K5" s="35" t="n"/>
      <c r="L5" s="35" t="n"/>
      <c r="M5" s="35" t="n"/>
      <c r="N5" s="35" t="n"/>
      <c r="O5" s="35" t="n"/>
      <c r="P5" s="35" t="n"/>
      <c r="Q5" s="35" t="n"/>
      <c r="R5" s="35" t="n"/>
      <c r="S5" s="35" t="n"/>
      <c r="T5" s="35" t="n"/>
      <c r="U5" s="35" t="n"/>
      <c r="V5" s="35" t="n"/>
      <c r="W5" s="35" t="n"/>
    </row>
    <row r="6">
      <c r="A6" s="36" t="inlineStr">
        <is>
          <t xml:space="preserve">Item</t>
        </is>
      </c>
      <c r="B6" s="36" t="inlineStr">
        <is>
          <t xml:space="preserve">Asset or route</t>
        </is>
      </c>
      <c r="C6" s="36" t="inlineStr">
        <is>
          <t xml:space="preserve">Unit</t>
        </is>
      </c>
      <c r="D6" s="36" t="inlineStr">
        <is>
          <t xml:space="preserve">Basis</t>
        </is>
      </c>
      <c r="E6" s="37" t="n">
        <v>2021</v>
      </c>
      <c r="F6" s="37" t="n">
        <v>2022</v>
      </c>
      <c r="G6" s="37" t="n">
        <v>2023</v>
      </c>
      <c r="H6" s="37" t="n">
        <v>2024</v>
      </c>
      <c r="I6" s="36" t="n"/>
      <c r="J6" s="36" t="n"/>
      <c r="K6" s="36" t="n"/>
      <c r="L6" s="36" t="n"/>
      <c r="M6" s="36" t="n"/>
      <c r="N6" s="36" t="n"/>
      <c r="O6" s="36" t="n"/>
      <c r="P6" s="36" t="n"/>
      <c r="Q6" s="36" t="n"/>
      <c r="R6" s="36" t="n"/>
      <c r="S6" s="36" t="inlineStr">
        <is>
          <t xml:space="preserve">Status</t>
        </is>
      </c>
      <c r="T6" s="36" t="inlineStr">
        <is>
          <t xml:space="preserve">Source</t>
        </is>
      </c>
      <c r="U6" s="36" t="inlineStr">
        <is>
          <t xml:space="preserve">Page</t>
        </is>
      </c>
      <c r="V6" s="36" t="inlineStr">
        <is>
          <t xml:space="preserve">Note</t>
        </is>
      </c>
    </row>
    <row r="7" ht="70" customHeight="1">
      <c r="A7" s="38" t="inlineStr">
        <is>
          <t xml:space="preserve">Trunk line use</t>
        </is>
      </c>
      <c r="B7" s="38" t="inlineStr">
        <is>
          <t xml:space="preserve">Multi-product pipeline, Durban to Jameson Park</t>
        </is>
      </c>
      <c r="C7" s="38" t="inlineStr">
        <is>
          <t xml:space="preserve">million litres a week</t>
        </is>
      </c>
      <c r="D7" s="38" t="inlineStr">
        <is>
          <t xml:space="preserve">years to March</t>
        </is>
      </c>
      <c r="E7" s="39" t="n">
        <v>81</v>
      </c>
      <c r="F7" s="39" t="n">
        <v>91</v>
      </c>
      <c r="G7" s="39" t="n">
        <v>87</v>
      </c>
      <c r="H7" s="39" t="n">
        <v>97</v>
      </c>
      <c r="I7" s="38" t="n"/>
      <c r="J7" s="38" t="n"/>
      <c r="K7" s="38" t="n"/>
      <c r="L7" s="38" t="n"/>
      <c r="M7" s="38" t="n"/>
      <c r="N7" s="38" t="n"/>
      <c r="O7" s="38" t="n"/>
      <c r="P7" s="38" t="n"/>
      <c r="Q7" s="38" t="n"/>
      <c r="R7" s="38" t="n"/>
      <c r="S7" s="38" t="inlineStr">
        <is>
          <t xml:space="preserve">From source</t>
        </is>
      </c>
      <c r="T7" s="38" t="inlineStr">
        <is>
          <t xml:space="preserve">Transnet Pipelines Report 2024, key performance indicators</t>
        </is>
      </c>
      <c r="U7" s="38" t="inlineStr">
        <is>
          <t xml:space="preserve">PDF p.5</t>
        </is>
      </c>
      <c r="V7" s="38" t="inlineStr">
        <is>
          <t xml:space="preserve">About two thirds full in the year to March 2024: 97 a week is 5.0 billion litres a year. Not split by product. The target for the year to March 2025 was 104.</t>
        </is>
      </c>
      <c r="Y7" s="80" t="str">
        <v>G026, G027</v>
      </c>
      <c r="Z7" s="80" t="str">
        <v>Newer source found: Pipeline use and capacity vintage
Missing data: Pipeline flows by product and route</v>
      </c>
      <c r="AA7" s="80" t="str">
        <v>Review detail</v>
      </c>
    </row>
    <row r="8" ht="42.5" customHeight="1">
      <c r="A8" s="38" t="inlineStr">
        <is>
          <t xml:space="preserve">Refined products moved, whole network</t>
        </is>
      </c>
      <c r="B8" s="38" t="inlineStr">
        <is>
          <t xml:space="preserve">All Transnet refined-product pipelines</t>
        </is>
      </c>
      <c r="C8" s="38" t="inlineStr">
        <is>
          <t xml:space="preserve">billion litres</t>
        </is>
      </c>
      <c r="D8" s="38" t="inlineStr">
        <is>
          <t xml:space="preserve">years to March</t>
        </is>
      </c>
      <c r="E8" s="40" t="n">
        <v>9</v>
      </c>
      <c r="F8" s="40" t="n">
        <v>9.789999999999999</v>
      </c>
      <c r="G8" s="40" t="n">
        <v>9.68</v>
      </c>
      <c r="H8" s="40" t="n">
        <v>9.51</v>
      </c>
      <c r="I8" s="38" t="n"/>
      <c r="J8" s="38" t="n"/>
      <c r="K8" s="38" t="n"/>
      <c r="L8" s="38" t="n"/>
      <c r="M8" s="38" t="n"/>
      <c r="N8" s="38" t="n"/>
      <c r="O8" s="38" t="n"/>
      <c r="P8" s="38" t="n"/>
      <c r="Q8" s="38" t="n"/>
      <c r="R8" s="38" t="n"/>
      <c r="S8" s="38" t="inlineStr">
        <is>
          <t xml:space="preserve">From source</t>
        </is>
      </c>
      <c r="T8" s="38" t="inlineStr">
        <is>
          <t xml:space="preserve">Transnet Pipelines Report 2024, key performance indicators</t>
        </is>
      </c>
      <c r="U8" s="38" t="inlineStr">
        <is>
          <t xml:space="preserve">PDF p.5</t>
        </is>
      </c>
      <c r="V8" s="38" t="inlineStr">
        <is>
          <t xml:space="preserve">Petrol and diesel grades on every Transnet line, including those fed by Natref and Secunda; jet fuel and crude are reported separately. Not the trunk line alone.</t>
        </is>
      </c>
    </row>
    <row r="9">
      <c r="A9" s="36" t="inlineStr">
        <is>
          <t xml:space="preserve">Item</t>
        </is>
      </c>
      <c r="B9" s="36" t="inlineStr">
        <is>
          <t xml:space="preserve">Asset or route</t>
        </is>
      </c>
      <c r="C9" s="36" t="inlineStr">
        <is>
          <t xml:space="preserve">Unit</t>
        </is>
      </c>
      <c r="D9" s="36" t="inlineStr">
        <is>
          <t xml:space="preserve">Period</t>
        </is>
      </c>
      <c r="E9" s="36" t="inlineStr">
        <is>
          <t xml:space="preserve">Value</t>
        </is>
      </c>
      <c r="K9" s="36" t="n"/>
      <c r="L9" s="36" t="n"/>
      <c r="M9" s="36" t="n"/>
      <c r="N9" s="36" t="n"/>
      <c r="O9" s="36" t="n"/>
      <c r="P9" s="36" t="n"/>
      <c r="Q9" s="36" t="n"/>
      <c r="R9" s="36" t="n"/>
      <c r="S9" s="36" t="inlineStr">
        <is>
          <t xml:space="preserve">Status</t>
        </is>
      </c>
      <c r="T9" s="36" t="inlineStr">
        <is>
          <t xml:space="preserve">Source</t>
        </is>
      </c>
      <c r="U9" s="36" t="inlineStr">
        <is>
          <t xml:space="preserve">Page</t>
        </is>
      </c>
      <c r="V9" s="36" t="inlineStr">
        <is>
          <t xml:space="preserve">Note</t>
        </is>
      </c>
    </row>
    <row r="10" ht="29" customHeight="1">
      <c r="A10" s="38" t="inlineStr">
        <is>
          <t xml:space="preserve">Trunk line capacity</t>
        </is>
      </c>
      <c r="B10" s="38" t="inlineStr">
        <is>
          <t xml:space="preserve">Durban to Jameson Park, 24-inch multi-product line</t>
        </is>
      </c>
      <c r="C10" s="38" t="inlineStr">
        <is>
          <t xml:space="preserve">million litres a week</t>
        </is>
      </c>
      <c r="D10" s="38" t="inlineStr">
        <is>
          <t xml:space="preserve">as stated in 2020</t>
        </is>
      </c>
      <c r="E10" s="41" t="n">
        <v>148</v>
      </c>
      <c r="K10" s="38" t="n"/>
      <c r="L10" s="38" t="n"/>
      <c r="M10" s="38" t="n"/>
      <c r="N10" s="38" t="n"/>
      <c r="O10" s="38" t="n"/>
      <c r="P10" s="38" t="n"/>
      <c r="Q10" s="38" t="n"/>
      <c r="R10" s="38" t="n"/>
      <c r="S10" s="38" t="inlineStr">
        <is>
          <t xml:space="preserve">From source</t>
        </is>
      </c>
      <c r="T10" s="38" t="inlineStr">
        <is>
          <t xml:space="preserve">Transnet Pipelines 2020 report</t>
        </is>
      </c>
      <c r="U10" s="38" t="inlineStr">
        <is>
          <t xml:space="preserve">PDF p.3</t>
        </is>
      </c>
      <c r="V10" s="38" t="inlineStr">
        <is>
          <t xml:space="preserve">Not confirmed as today's capacity; later phases and pump stations may have changed it.</t>
        </is>
      </c>
    </row>
    <row r="11" ht="29" customHeight="1">
      <c r="A11" s="42" t="inlineStr">
        <is>
          <t xml:space="preserve">Trunk line capacity, annualised</t>
        </is>
      </c>
      <c r="B11" s="42" t="inlineStr">
        <is>
          <t xml:space="preserve">Durban to Jameson Park, 24-inch multi-product line</t>
        </is>
      </c>
      <c r="C11" s="42" t="inlineStr">
        <is>
          <t xml:space="preserve">billion litres a year</t>
        </is>
      </c>
      <c r="D11" s="42" t="inlineStr">
        <is>
          <t xml:space="preserve">as stated in 2020</t>
        </is>
      </c>
      <c r="E11" s="43" t="n">
        <v>7.7</v>
      </c>
      <c r="K11" s="42" t="n"/>
      <c r="L11" s="42" t="n"/>
      <c r="M11" s="42" t="n"/>
      <c r="N11" s="42" t="n"/>
      <c r="O11" s="42" t="n"/>
      <c r="P11" s="42" t="n"/>
      <c r="Q11" s="42" t="n"/>
      <c r="R11" s="42" t="n"/>
      <c r="S11" s="42" t="inlineStr">
        <is>
          <t xml:space="preserve">Calculated</t>
        </is>
      </c>
      <c r="T11" s="42" t="inlineStr">
        <is>
          <t xml:space="preserve">148 million litres a week x 52</t>
        </is>
      </c>
      <c r="U11" s="42" t="inlineStr">
        <is>
          <t xml:space="preserve">PDF p.3</t>
        </is>
      </c>
      <c r="V11" s="42" t="inlineStr">
        <is>
          <t xml:space="preserve">Assumes every week at full rate; real annual capacity is lower.</t>
        </is>
      </c>
    </row>
    <row r="12" ht="42.5" customHeight="1">
      <c r="A12" s="38" t="inlineStr">
        <is>
          <t xml:space="preserve">Trunk line capacity, latest statement</t>
        </is>
      </c>
      <c r="B12" s="38" t="inlineStr">
        <is>
          <t xml:space="preserve">Multi-product pipeline, Durban to Jameson Park</t>
        </is>
      </c>
      <c r="C12" s="38" t="inlineStr">
        <is>
          <t xml:space="preserve">million litres a week</t>
        </is>
      </c>
      <c r="D12" s="38" t="inlineStr">
        <is>
          <t xml:space="preserve">years to March 2021 to 2024, and the 2025 target</t>
        </is>
      </c>
      <c r="E12" s="41" t="n">
        <v>148</v>
      </c>
      <c r="K12" s="38" t="n"/>
      <c r="L12" s="38" t="n"/>
      <c r="M12" s="38" t="n"/>
      <c r="N12" s="38" t="n"/>
      <c r="O12" s="38" t="n"/>
      <c r="P12" s="38" t="n"/>
      <c r="Q12" s="38" t="n"/>
      <c r="R12" s="38" t="n"/>
      <c r="S12" s="38" t="inlineStr">
        <is>
          <t xml:space="preserve">From source</t>
        </is>
      </c>
      <c r="T12" s="38" t="inlineStr">
        <is>
          <t xml:space="preserve">Transnet Pipelines Report 2024, key performance indicators</t>
        </is>
      </c>
      <c r="U12" s="38" t="inlineStr">
        <is>
          <t xml:space="preserve">PDF p.5</t>
        </is>
      </c>
      <c r="V12" s="38" t="inlineStr">
        <is>
          <t xml:space="preserve">Unchanged from the 2020 figure: Transnet reports use against a capacity of 148 in every year. The latest report found is for the year to March 2024.</t>
        </is>
      </c>
    </row>
    <row r="13" ht="29" customHeight="1">
      <c r="A13" s="42" t="inlineStr">
        <is>
          <t xml:space="preserve">Trunk line use, annualised</t>
        </is>
      </c>
      <c r="B13" s="42" t="inlineStr">
        <is>
          <t xml:space="preserve">Multi-product pipeline, Durban to Jameson Park</t>
        </is>
      </c>
      <c r="C13" s="42" t="inlineStr">
        <is>
          <t xml:space="preserve">billion litres a year</t>
        </is>
      </c>
      <c r="D13" s="42" t="inlineStr">
        <is>
          <t xml:space="preserve">year to March 2024</t>
        </is>
      </c>
      <c r="E13" s="43" t="n">
        <v>5.04</v>
      </c>
      <c r="K13" s="42" t="n"/>
      <c r="L13" s="42" t="n"/>
      <c r="M13" s="42" t="n"/>
      <c r="N13" s="42" t="n"/>
      <c r="O13" s="42" t="n"/>
      <c r="P13" s="42" t="n"/>
      <c r="Q13" s="42" t="n"/>
      <c r="R13" s="42" t="n"/>
      <c r="S13" s="42" t="inlineStr">
        <is>
          <t xml:space="preserve">Calculated</t>
        </is>
      </c>
      <c r="T13" s="42" t="inlineStr">
        <is>
          <t xml:space="preserve">97 million litres a week x 52</t>
        </is>
      </c>
      <c r="U13" s="42" t="inlineStr">
        <is>
          <t xml:space="preserve">PDF p.5</t>
        </is>
      </c>
      <c r="V13" s="42" t="inlineStr">
        <is>
          <t xml:space="preserve">All refined products the line carried. Petrol and diesel are not reported separately.</t>
        </is>
      </c>
    </row>
    <row r="14" ht="29" customHeight="1">
      <c r="A14" s="38" t="inlineStr">
        <is>
          <t xml:space="preserve">Inland accumulation facility</t>
        </is>
      </c>
      <c r="B14" s="38" t="inlineStr">
        <is>
          <t xml:space="preserve">Jameson Park, Gauteng (Transnet's TM2)</t>
        </is>
      </c>
      <c r="C14" s="38" t="inlineStr">
        <is>
          <t xml:space="preserve">million litres</t>
        </is>
      </c>
      <c r="D14" s="38" t="inlineStr">
        <is>
          <t xml:space="preserve">operational since December 2017</t>
        </is>
      </c>
      <c r="E14" s="41" t="n">
        <v>180</v>
      </c>
      <c r="K14" s="38" t="n"/>
      <c r="L14" s="38" t="n"/>
      <c r="M14" s="38" t="n"/>
      <c r="N14" s="38" t="n"/>
      <c r="O14" s="38" t="n"/>
      <c r="P14" s="38" t="n"/>
      <c r="Q14" s="38" t="n"/>
      <c r="R14" s="38" t="n"/>
      <c r="S14" s="38" t="inlineStr">
        <is>
          <t xml:space="preserve">From source</t>
        </is>
      </c>
      <c r="T14" s="38" t="inlineStr">
        <is>
          <t xml:space="preserve">Transnet Pipelines 2020 report</t>
        </is>
      </c>
      <c r="U14" s="38" t="inlineStr">
        <is>
          <t xml:space="preserve">PDF p.3</t>
        </is>
      </c>
      <c r="V14" s="38" t="inlineStr">
        <is>
          <t xml:space="preserve">Working capacity by product not stated.</t>
        </is>
      </c>
    </row>
    <row r="15" ht="42.5" customHeight="1">
      <c r="A15" s="38" t="inlineStr">
        <is>
          <t xml:space="preserve">Jameson Park and Transnet's storage sites out for proposal</t>
        </is>
      </c>
      <c r="B15" s="38" t="inlineStr">
        <is>
          <t xml:space="preserve">Jameson Park, Gauteng (Transnet's TM2)</t>
        </is>
      </c>
      <c r="C15" s="38" t="inlineStr">
        <is>
          <t xml:space="preserve"/>
        </is>
      </c>
      <c r="D15" s="38" t="inlineStr">
        <is>
          <t xml:space="preserve">request for proposals, closes 4 December 2026</t>
        </is>
      </c>
      <c r="E15" s="38" t="inlineStr">
        <is>
          <t xml:space="preserve">Not one of the five sites</t>
        </is>
      </c>
      <c r="K15" s="38" t="n"/>
      <c r="L15" s="38" t="n"/>
      <c r="M15" s="38" t="n"/>
      <c r="N15" s="38" t="n"/>
      <c r="O15" s="38" t="n"/>
      <c r="P15" s="38" t="n"/>
      <c r="Q15" s="38" t="n"/>
      <c r="R15" s="38" t="n"/>
      <c r="S15" s="38" t="inlineStr">
        <is>
          <t xml:space="preserve">From source</t>
        </is>
      </c>
      <c r="T15" s="38" t="inlineStr">
        <is>
          <t xml:space="preserve">Transnet Pipelines, leasing opportunities: Kroonstad, Standerton, Magdala, Ladysmith and Bethlehem</t>
        </is>
      </c>
      <c r="U15" s="38" t="inlineStr">
        <is>
          <t xml:space="preserve"/>
        </is>
      </c>
      <c r="V15" s="38" t="inlineStr">
        <is>
          <t xml:space="preserve">Transnet's own storage at Jameson Park is existing capacity beside Vopak Lesedi, which is connected to the same pipeline. Raised by Nigel on 9 October.</t>
        </is>
      </c>
    </row>
    <row r="16" ht="15.5" customHeight="1">
      <c r="A16" s="38" t="inlineStr">
        <is>
          <t xml:space="preserve">Products carried on the trunk line</t>
        </is>
      </c>
      <c r="B16" s="38" t="inlineStr">
        <is>
          <t xml:space="preserve">Durban to Jameson Park</t>
        </is>
      </c>
      <c r="C16" s="38" t="inlineStr">
        <is>
          <t xml:space="preserve"/>
        </is>
      </c>
      <c r="D16" s="38" t="inlineStr">
        <is>
          <t xml:space="preserve">as stated in 2020</t>
        </is>
      </c>
      <c r="E16" s="38" t="inlineStr">
        <is>
          <t xml:space="preserve">Two diesel grades, two petrol grades, jet fuel</t>
        </is>
      </c>
      <c r="K16" s="38" t="n"/>
      <c r="L16" s="38" t="n"/>
      <c r="M16" s="38" t="n"/>
      <c r="N16" s="38" t="n"/>
      <c r="O16" s="38" t="n"/>
      <c r="P16" s="38" t="n"/>
      <c r="Q16" s="38" t="n"/>
      <c r="R16" s="38" t="n"/>
      <c r="S16" s="38" t="inlineStr">
        <is>
          <t xml:space="preserve">From source</t>
        </is>
      </c>
      <c r="T16" s="38" t="inlineStr">
        <is>
          <t xml:space="preserve">Transnet Pipelines 2020 report</t>
        </is>
      </c>
      <c r="U16" s="38" t="inlineStr">
        <is>
          <t xml:space="preserve">PDF p.3</t>
        </is>
      </c>
      <c r="V16" s="38" t="inlineStr">
        <is>
          <t xml:space="preserve"/>
        </is>
      </c>
    </row>
    <row r="17" ht="29" customHeight="1">
      <c r="A17" s="38" t="inlineStr">
        <is>
          <t xml:space="preserve">Old Durban to Johannesburg pipeline</t>
        </is>
      </c>
      <c r="B17" s="38" t="inlineStr">
        <is>
          <t xml:space="preserve">Durban to Johannesburg (DJP)</t>
        </is>
      </c>
      <c r="C17" s="38" t="inlineStr">
        <is>
          <t xml:space="preserve"/>
        </is>
      </c>
      <c r="D17" s="38" t="inlineStr">
        <is>
          <t xml:space="preserve">as stated in 2020</t>
        </is>
      </c>
      <c r="E17" s="38" t="inlineStr">
        <is>
          <t xml:space="preserve">Being decommissioned; completion expected 2021</t>
        </is>
      </c>
      <c r="K17" s="38" t="n"/>
      <c r="L17" s="38" t="n"/>
      <c r="M17" s="38" t="n"/>
      <c r="N17" s="38" t="n"/>
      <c r="O17" s="38" t="n"/>
      <c r="P17" s="38" t="n"/>
      <c r="Q17" s="38" t="n"/>
      <c r="R17" s="38" t="n"/>
      <c r="S17" s="38" t="inlineStr">
        <is>
          <t xml:space="preserve">From source</t>
        </is>
      </c>
      <c r="T17" s="38" t="inlineStr">
        <is>
          <t xml:space="preserve">Transnet Pipelines 2020 report</t>
        </is>
      </c>
      <c r="U17" s="38" t="inlineStr">
        <is>
          <t xml:space="preserve">PDF p.3</t>
        </is>
      </c>
      <c r="V17" s="38" t="inlineStr">
        <is>
          <t xml:space="preserve">Whether decommissioning is complete is not confirmed from a later source.</t>
        </is>
      </c>
    </row>
    <row r="18" ht="29" customHeight="1">
      <c r="A18" s="38" t="inlineStr">
        <is>
          <t xml:space="preserve">Pipeline use as a share of capacity</t>
        </is>
      </c>
      <c r="B18" s="38" t="inlineStr">
        <is>
          <t xml:space="preserve">Transnet pipelines from Durban</t>
        </is>
      </c>
      <c r="C18" s="38" t="inlineStr">
        <is>
          <t xml:space="preserve">%</t>
        </is>
      </c>
      <c r="D18" s="38" t="inlineStr">
        <is>
          <t xml:space="preserve">as told to Parliament, 2026</t>
        </is>
      </c>
      <c r="E18" s="38" t="inlineStr">
        <is>
          <t xml:space="preserve">About 70</t>
        </is>
      </c>
      <c r="K18" s="38" t="n"/>
      <c r="L18" s="38" t="n"/>
      <c r="M18" s="38" t="n"/>
      <c r="N18" s="38" t="n"/>
      <c r="O18" s="38" t="n"/>
      <c r="P18" s="38" t="n"/>
      <c r="Q18" s="38" t="n"/>
      <c r="R18" s="38" t="n"/>
      <c r="S18" s="38" t="inlineStr">
        <is>
          <t xml:space="preserve">From source</t>
        </is>
      </c>
      <c r="T18" s="38" t="inlineStr">
        <is>
          <t xml:space="preserve">Report of five Portfolio Committees on the Island View directive, 11 March 2026 (Parliament)</t>
        </is>
      </c>
      <c r="U18" s="38" t="inlineStr">
        <is>
          <t xml:space="preserve">section 3.1</t>
        </is>
      </c>
      <c r="V18" s="38" t="inlineStr">
        <is>
          <t xml:space="preserve">The Minister of Transport's estimate, all products. New Island View leases are to require more use of the pipeline.</t>
        </is>
      </c>
    </row>
    <row r="20">
      <c r="A20" s="35" t="inlineStr">
        <is>
          <t xml:space="preserve">Pipeline cost</t>
        </is>
      </c>
      <c r="B20" s="35" t="n"/>
      <c r="C20" s="35" t="n"/>
      <c r="D20" s="35" t="n"/>
      <c r="E20" s="35" t="n"/>
      <c r="F20" s="35" t="n"/>
      <c r="G20" s="35" t="n"/>
      <c r="H20" s="35" t="n"/>
      <c r="I20" s="35" t="n"/>
      <c r="J20" s="35" t="n"/>
      <c r="K20" s="35" t="n"/>
      <c r="L20" s="35" t="n"/>
      <c r="M20" s="35" t="n"/>
      <c r="N20" s="35" t="n"/>
      <c r="O20" s="35" t="n"/>
      <c r="P20" s="35" t="n"/>
      <c r="Q20" s="35" t="n"/>
      <c r="R20" s="35" t="n"/>
      <c r="S20" s="35" t="n"/>
      <c r="T20" s="35" t="n"/>
      <c r="U20" s="35" t="n"/>
      <c r="V20" s="35" t="n"/>
      <c r="W20" s="35" t="n"/>
    </row>
    <row r="21">
      <c r="A21" s="36" t="inlineStr">
        <is>
          <t xml:space="preserve">Item</t>
        </is>
      </c>
      <c r="B21" s="36" t="inlineStr">
        <is>
          <t xml:space="preserve">Asset or route</t>
        </is>
      </c>
      <c r="C21" s="36" t="inlineStr">
        <is>
          <t xml:space="preserve">Unit</t>
        </is>
      </c>
      <c r="D21" s="36" t="inlineStr">
        <is>
          <t xml:space="preserve">Basis</t>
        </is>
      </c>
      <c r="E21" s="36" t="inlineStr">
        <is>
          <t xml:space="preserve">2023/24</t>
        </is>
      </c>
      <c r="F21" s="36" t="inlineStr">
        <is>
          <t xml:space="preserve">2024/25</t>
        </is>
      </c>
      <c r="G21" s="36" t="inlineStr">
        <is>
          <t xml:space="preserve">2025/26</t>
        </is>
      </c>
      <c r="H21" s="36" t="inlineStr">
        <is>
          <t xml:space="preserve">2026/27</t>
        </is>
      </c>
      <c r="I21" s="36" t="n"/>
      <c r="J21" s="36" t="n"/>
      <c r="K21" s="36" t="n"/>
      <c r="L21" s="36" t="n"/>
      <c r="M21" s="36" t="n"/>
      <c r="N21" s="36" t="n"/>
      <c r="O21" s="36" t="n"/>
      <c r="P21" s="36" t="n"/>
      <c r="Q21" s="36" t="n"/>
      <c r="R21" s="36" t="n"/>
      <c r="S21" s="36" t="inlineStr">
        <is>
          <t xml:space="preserve">Status</t>
        </is>
      </c>
      <c r="T21" s="36" t="inlineStr">
        <is>
          <t xml:space="preserve">Source</t>
        </is>
      </c>
      <c r="U21" s="36" t="inlineStr">
        <is>
          <t xml:space="preserve">Page</t>
        </is>
      </c>
      <c r="V21" s="36" t="inlineStr">
        <is>
          <t xml:space="preserve">Note</t>
        </is>
      </c>
    </row>
    <row r="22" ht="29" customHeight="1">
      <c r="A22" s="38" t="inlineStr">
        <is>
          <t xml:space="preserve">Pipeline tariff, Durban to Alrode</t>
        </is>
      </c>
      <c r="B22" s="38" t="inlineStr">
        <is>
          <t xml:space="preserve">Durban to Alrode (Johannesburg)</t>
        </is>
      </c>
      <c r="C22" s="38" t="inlineStr">
        <is>
          <t xml:space="preserve">cents a litre</t>
        </is>
      </c>
      <c r="D22" s="38" t="inlineStr">
        <is>
          <t xml:space="preserve">financial years</t>
        </is>
      </c>
      <c r="E22" s="40" t="n">
        <v>61.74</v>
      </c>
      <c r="F22" s="40" t="n">
        <v>67.98999999999999</v>
      </c>
      <c r="G22" s="38" t="n"/>
      <c r="H22" s="38" t="n"/>
      <c r="I22" s="38" t="n"/>
      <c r="J22" s="38" t="n"/>
      <c r="K22" s="38" t="n"/>
      <c r="L22" s="38" t="n"/>
      <c r="M22" s="38" t="n"/>
      <c r="N22" s="38" t="n"/>
      <c r="O22" s="38" t="n"/>
      <c r="P22" s="38" t="n"/>
      <c r="Q22" s="38" t="n"/>
      <c r="R22" s="38" t="n"/>
      <c r="S22" s="38" t="inlineStr">
        <is>
          <t xml:space="preserve">From source</t>
        </is>
      </c>
      <c r="T22" s="38" t="inlineStr">
        <is>
          <t xml:space="preserve">NERSA statement of 15 March 2024, as quoted by Engineering News</t>
        </is>
      </c>
      <c r="U22" s="38" t="inlineStr">
        <is>
          <t xml:space="preserve"/>
        </is>
      </c>
      <c r="V22" s="38" t="inlineStr">
        <is>
          <t xml:space="preserve">Read from a news report quoting the regulator word for word; NERSA's own statement was not located. A 10.13% increase.</t>
        </is>
      </c>
    </row>
    <row r="23" ht="29" customHeight="1">
      <c r="A23" s="42" t="inlineStr">
        <is>
          <t xml:space="preserve">Pipeline tariff, Durban to Alrode</t>
        </is>
      </c>
      <c r="B23" s="42" t="inlineStr">
        <is>
          <t xml:space="preserve">Durban to Alrode (Johannesburg)</t>
        </is>
      </c>
      <c r="C23" s="42" t="inlineStr">
        <is>
          <t xml:space="preserve">cents a litre</t>
        </is>
      </c>
      <c r="D23" s="42" t="inlineStr">
        <is>
          <t xml:space="preserve">financial years</t>
        </is>
      </c>
      <c r="E23" s="42" t="n"/>
      <c r="F23" s="42" t="n"/>
      <c r="G23" s="44" t="n">
        <v>73.22</v>
      </c>
      <c r="H23" s="44" t="n">
        <v>77.02</v>
      </c>
      <c r="I23" s="42" t="n"/>
      <c r="J23" s="42" t="n"/>
      <c r="K23" s="42" t="n"/>
      <c r="L23" s="42" t="n"/>
      <c r="M23" s="42" t="n"/>
      <c r="N23" s="42" t="n"/>
      <c r="O23" s="42" t="n"/>
      <c r="P23" s="42" t="n"/>
      <c r="Q23" s="42" t="n"/>
      <c r="R23" s="42" t="n"/>
      <c r="S23" s="42" t="inlineStr">
        <is>
          <t xml:space="preserve">Calculated</t>
        </is>
      </c>
      <c r="T23" s="42" t="inlineStr">
        <is>
          <t xml:space="preserve">67.99 plus the increases of 5.23 and 3.80 in NERSA's statement of 15 April 2025</t>
        </is>
      </c>
      <c r="U23" s="42" t="inlineStr">
        <is>
          <t xml:space="preserve">p.1</t>
        </is>
      </c>
      <c r="V23" s="42" t="inlineStr">
        <is>
          <t xml:space="preserve">Assumes the stated effect on the fuel price is the change in this tariff, as it was in 2024/25. To confirm in the reasons for decision.</t>
        </is>
      </c>
    </row>
    <row r="24">
      <c r="A24" s="36" t="inlineStr">
        <is>
          <t xml:space="preserve">Item</t>
        </is>
      </c>
      <c r="B24" s="36" t="inlineStr">
        <is>
          <t xml:space="preserve">Asset or route</t>
        </is>
      </c>
      <c r="C24" s="36" t="inlineStr">
        <is>
          <t xml:space="preserve">Unit</t>
        </is>
      </c>
      <c r="D24" s="36" t="inlineStr">
        <is>
          <t xml:space="preserve">Period</t>
        </is>
      </c>
      <c r="E24" s="36" t="inlineStr">
        <is>
          <t xml:space="preserve">Value</t>
        </is>
      </c>
      <c r="K24" s="36" t="n"/>
      <c r="L24" s="36" t="n"/>
      <c r="M24" s="36" t="n"/>
      <c r="N24" s="36" t="n"/>
      <c r="O24" s="36" t="n"/>
      <c r="P24" s="36" t="n"/>
      <c r="Q24" s="36" t="n"/>
      <c r="R24" s="36" t="n"/>
      <c r="S24" s="36" t="inlineStr">
        <is>
          <t xml:space="preserve">Status</t>
        </is>
      </c>
      <c r="T24" s="36" t="inlineStr">
        <is>
          <t xml:space="preserve">Source</t>
        </is>
      </c>
      <c r="U24" s="36" t="inlineStr">
        <is>
          <t xml:space="preserve">Page</t>
        </is>
      </c>
      <c r="V24" s="36" t="inlineStr">
        <is>
          <t xml:space="preserve">Note</t>
        </is>
      </c>
    </row>
    <row r="25" ht="29" customHeight="1">
      <c r="A25" s="38" t="inlineStr">
        <is>
          <t xml:space="preserve">Effect of the tariff decision on the fuel price</t>
        </is>
      </c>
      <c r="B25" s="38" t="inlineStr">
        <is>
          <t xml:space="preserve">Durban to Johannesburg proxy</t>
        </is>
      </c>
      <c r="C25" s="38" t="inlineStr">
        <is>
          <t xml:space="preserve">cents a litre</t>
        </is>
      </c>
      <c r="D25" s="38" t="inlineStr">
        <is>
          <t xml:space="preserve">2025/26; 2026/27</t>
        </is>
      </c>
      <c r="E25" s="38" t="inlineStr">
        <is>
          <t xml:space="preserve">+5.23; +3.80</t>
        </is>
      </c>
      <c r="K25" s="38" t="n"/>
      <c r="L25" s="38" t="n"/>
      <c r="M25" s="38" t="n"/>
      <c r="N25" s="38" t="n"/>
      <c r="O25" s="38" t="n"/>
      <c r="P25" s="38" t="n"/>
      <c r="Q25" s="38" t="n"/>
      <c r="R25" s="38" t="n"/>
      <c r="S25" s="38" t="inlineStr">
        <is>
          <t xml:space="preserve">From source</t>
        </is>
      </c>
      <c r="T25" s="38" t="inlineStr">
        <is>
          <t xml:space="preserve">NERSA media statement, 15 April 2025</t>
        </is>
      </c>
      <c r="U25" s="38" t="inlineStr">
        <is>
          <t xml:space="preserve">p.1</t>
        </is>
      </c>
      <c r="V25" s="38" t="inlineStr">
        <is>
          <t xml:space="preserve">This is the change, not the tariff. The tariff by route is in the reasons for decision, not yet obtained.</t>
        </is>
      </c>
    </row>
    <row r="26" ht="42.5" customHeight="1">
      <c r="A26" s="38" t="inlineStr">
        <is>
          <t xml:space="preserve">What the tariff covers</t>
        </is>
      </c>
      <c r="B26" s="38" t="inlineStr">
        <is>
          <t xml:space="preserve">Transnet's petroleum pipelines system</t>
        </is>
      </c>
      <c r="C26" s="38" t="inlineStr">
        <is>
          <t xml:space="preserve"/>
        </is>
      </c>
      <c r="D26" s="38" t="inlineStr">
        <is>
          <t xml:space="preserve">decision of 27 February 2025</t>
        </is>
      </c>
      <c r="E26" s="38" t="inlineStr">
        <is>
          <t xml:space="preserve">One set of tariffs for the whole licensed system; the department uses Durban to Alrode as its proxy for moving fuel from Durban to Johannesburg</t>
        </is>
      </c>
      <c r="K26" s="38" t="n"/>
      <c r="L26" s="38" t="n"/>
      <c r="M26" s="38" t="n"/>
      <c r="N26" s="38" t="n"/>
      <c r="O26" s="38" t="n"/>
      <c r="P26" s="38" t="n"/>
      <c r="Q26" s="38" t="n"/>
      <c r="R26" s="38" t="n"/>
      <c r="S26" s="38" t="inlineStr">
        <is>
          <t xml:space="preserve">From source</t>
        </is>
      </c>
      <c r="T26" s="38" t="inlineStr">
        <is>
          <t xml:space="preserve">NERSA media statement, 15 April 2025</t>
        </is>
      </c>
      <c r="U26" s="38" t="inlineStr">
        <is>
          <t xml:space="preserve">p.1</t>
        </is>
      </c>
      <c r="V26" s="38" t="inlineStr">
        <is>
          <t xml:space="preserve">The statement does not say which products or which line each route tariff applies to; that is in the reasons for decision, not found online. Nigel to validate (call of 9 October).</t>
        </is>
      </c>
    </row>
    <row r="27" ht="48" customHeight="1">
      <c r="A27" s="45" t="inlineStr">
        <is>
          <t xml:space="preserve">Tariff on routes other than Durban to Alrode</t>
        </is>
      </c>
      <c r="B27" s="45" t="inlineStr">
        <is>
          <t xml:space="preserve">Other inland routes</t>
        </is>
      </c>
      <c r="C27" s="45" t="inlineStr">
        <is>
          <t xml:space="preserve">cents a litre</t>
        </is>
      </c>
      <c r="D27" s="45" t="inlineStr">
        <is>
          <t xml:space="preserve">2026/27</t>
        </is>
      </c>
      <c r="E27" s="45" t="inlineStr">
        <is>
          <t xml:space="preserve">Not available</t>
        </is>
      </c>
      <c r="K27" s="45" t="n"/>
      <c r="L27" s="45" t="n"/>
      <c r="M27" s="45" t="n"/>
      <c r="N27" s="45" t="n"/>
      <c r="O27" s="45" t="n"/>
      <c r="P27" s="45" t="n"/>
      <c r="Q27" s="45" t="n"/>
      <c r="R27" s="45" t="n"/>
      <c r="S27" s="45" t="inlineStr">
        <is>
          <t xml:space="preserve">Not available</t>
        </is>
      </c>
      <c r="T27" s="45" t="inlineStr">
        <is>
          <t xml:space="preserve">NERSA reasons for decision (not obtained)</t>
        </is>
      </c>
      <c r="U27" s="45" t="inlineStr">
        <is>
          <t xml:space="preserve"/>
        </is>
      </c>
      <c r="V27" s="45" t="inlineStr">
        <is>
          <t xml:space="preserve">Needed to compare destinations other than Gauteng. NERSA's decisions pages were searched again on 9 October; the route table was not found online. Owner: Manish.</t>
        </is>
      </c>
      <c r="Y27" s="80" t="str">
        <v>G004</v>
      </c>
      <c r="Z27" s="80" t="str">
        <v>Missing data: Tariff on routes other than Durban to Alrode</v>
      </c>
      <c r="AA27" s="80" t="str">
        <v>Review detail</v>
      </c>
    </row>
    <row r="29">
      <c r="A29" s="35" t="inlineStr">
        <is>
          <t xml:space="preserve">Delivered cost</t>
        </is>
      </c>
      <c r="B29" s="35" t="n"/>
      <c r="C29" s="35" t="n"/>
      <c r="D29" s="35" t="n"/>
      <c r="E29" s="35" t="n"/>
      <c r="F29" s="35" t="n"/>
      <c r="G29" s="35" t="n"/>
      <c r="H29" s="35" t="n"/>
      <c r="I29" s="35" t="n"/>
      <c r="J29" s="35" t="n"/>
      <c r="K29" s="35" t="n"/>
      <c r="L29" s="35" t="n"/>
      <c r="M29" s="35" t="n"/>
      <c r="N29" s="35" t="n"/>
      <c r="O29" s="35" t="n"/>
      <c r="P29" s="35" t="n"/>
      <c r="Q29" s="35" t="n"/>
      <c r="R29" s="35" t="n"/>
      <c r="S29" s="35" t="n"/>
      <c r="T29" s="35" t="n"/>
      <c r="U29" s="35" t="n"/>
      <c r="V29" s="35" t="n"/>
      <c r="W29" s="35" t="n"/>
    </row>
    <row r="30">
      <c r="A30" s="36" t="inlineStr">
        <is>
          <t xml:space="preserve">Item</t>
        </is>
      </c>
      <c r="B30" s="36" t="inlineStr">
        <is>
          <t xml:space="preserve">Asset or route</t>
        </is>
      </c>
      <c r="C30" s="36" t="inlineStr">
        <is>
          <t xml:space="preserve">Unit</t>
        </is>
      </c>
      <c r="D30" s="36" t="inlineStr">
        <is>
          <t xml:space="preserve">Basis</t>
        </is>
      </c>
      <c r="E30" s="37" t="n">
        <v>2012</v>
      </c>
      <c r="F30" s="37" t="n">
        <v>2013</v>
      </c>
      <c r="G30" s="37" t="n">
        <v>2014</v>
      </c>
      <c r="H30" s="37" t="n">
        <v>2015</v>
      </c>
      <c r="I30" s="37" t="n">
        <v>2016</v>
      </c>
      <c r="J30" s="37" t="n">
        <v>2017</v>
      </c>
      <c r="K30" s="37" t="n">
        <v>2018</v>
      </c>
      <c r="L30" s="37" t="n">
        <v>2019</v>
      </c>
      <c r="M30" s="37" t="n">
        <v>2020</v>
      </c>
      <c r="N30" s="37" t="n">
        <v>2021</v>
      </c>
      <c r="O30" s="37" t="n">
        <v>2022</v>
      </c>
      <c r="P30" s="37" t="n">
        <v>2023</v>
      </c>
      <c r="Q30" s="37" t="n">
        <v>2024</v>
      </c>
      <c r="R30" s="37" t="n">
        <v>2025</v>
      </c>
      <c r="S30" s="36" t="inlineStr">
        <is>
          <t xml:space="preserve">Status</t>
        </is>
      </c>
      <c r="T30" s="36" t="inlineStr">
        <is>
          <t xml:space="preserve">Source</t>
        </is>
      </c>
      <c r="U30" s="36" t="inlineStr">
        <is>
          <t xml:space="preserve">Page</t>
        </is>
      </c>
      <c r="V30" s="36" t="inlineStr">
        <is>
          <t xml:space="preserve">Note</t>
        </is>
      </c>
    </row>
    <row r="31" ht="56" customHeight="1">
      <c r="A31" s="38" t="inlineStr">
        <is>
          <t xml:space="preserve">Regulated transport cost to Gauteng in the diesel price</t>
        </is>
      </c>
      <c r="B31" s="38" t="inlineStr">
        <is>
          <t xml:space="preserve">Coast to Gauteng</t>
        </is>
      </c>
      <c r="C31" s="38" t="inlineStr">
        <is>
          <t xml:space="preserve">cents a litre</t>
        </is>
      </c>
      <c r="D31" s="38" t="inlineStr">
        <is>
          <t xml:space="preserve">year end</t>
        </is>
      </c>
      <c r="E31" s="40" t="n">
        <v>26.8</v>
      </c>
      <c r="F31" s="40" t="n">
        <v>28.9</v>
      </c>
      <c r="G31" s="40" t="n">
        <v>33.1</v>
      </c>
      <c r="H31" s="40" t="n">
        <v>35.3</v>
      </c>
      <c r="I31" s="40" t="n">
        <v>41</v>
      </c>
      <c r="J31" s="40" t="n">
        <v>41.5</v>
      </c>
      <c r="K31" s="40" t="n">
        <v>51.7</v>
      </c>
      <c r="L31" s="40" t="n">
        <v>57.4</v>
      </c>
      <c r="M31" s="40" t="n">
        <v>63.7</v>
      </c>
      <c r="N31" s="40" t="n">
        <v>64.90000000000001</v>
      </c>
      <c r="O31" s="40" t="n">
        <v>64.90000000000001</v>
      </c>
      <c r="P31" s="40" t="n">
        <v>75.7</v>
      </c>
      <c r="Q31" s="40" t="n">
        <v>75.7</v>
      </c>
      <c r="R31" s="38" t="n"/>
      <c r="S31" s="38" t="inlineStr">
        <is>
          <t xml:space="preserve">From source</t>
        </is>
      </c>
      <c r="T31" s="38" t="inlineStr">
        <is>
          <t xml:space="preserve">Department of Mineral and Petroleum Resources, yearly price tables (levies, taxes and margins)</t>
        </is>
      </c>
      <c r="U31" s="38" t="inlineStr">
        <is>
          <t xml:space="preserve">Transport cost column</t>
        </is>
      </c>
      <c r="V31" s="38" t="inlineStr">
        <is>
          <t xml:space="preserve">The figure in the last month the department published for each year (April for 2024). It is reset each April. A regulated allowance, not a commercial rate. The April 2024 table shows 75.7 while the zone list of the same month shows 82.8.</t>
        </is>
      </c>
    </row>
    <row r="32" ht="69.5" customHeight="1">
      <c r="A32" s="38" t="inlineStr">
        <is>
          <t xml:space="preserve">Regulated transport cost to Gauteng in the petrol price</t>
        </is>
      </c>
      <c r="B32" s="38" t="inlineStr">
        <is>
          <t xml:space="preserve">Coast to Gauteng</t>
        </is>
      </c>
      <c r="C32" s="38" t="inlineStr">
        <is>
          <t xml:space="preserve">cents a litre</t>
        </is>
      </c>
      <c r="D32" s="38" t="inlineStr">
        <is>
          <t xml:space="preserve">year end</t>
        </is>
      </c>
      <c r="E32" s="40" t="n">
        <v>26.8</v>
      </c>
      <c r="F32" s="40" t="n">
        <v>28.9</v>
      </c>
      <c r="G32" s="40" t="n">
        <v>28.9</v>
      </c>
      <c r="H32" s="40" t="n">
        <v>35.3</v>
      </c>
      <c r="I32" s="40" t="n">
        <v>41</v>
      </c>
      <c r="J32" s="40" t="n">
        <v>41.5</v>
      </c>
      <c r="K32" s="40" t="n">
        <v>51.7</v>
      </c>
      <c r="L32" s="40" t="n">
        <v>57.4</v>
      </c>
      <c r="M32" s="40" t="n">
        <v>63.7</v>
      </c>
      <c r="N32" s="40" t="n">
        <v>64.90000000000001</v>
      </c>
      <c r="O32" s="40" t="n">
        <v>67.90000000000001</v>
      </c>
      <c r="P32" s="40" t="n">
        <v>75.7</v>
      </c>
      <c r="Q32" s="40" t="n">
        <v>75.7</v>
      </c>
      <c r="R32" s="38" t="n"/>
      <c r="S32" s="38" t="inlineStr">
        <is>
          <t xml:space="preserve">From source</t>
        </is>
      </c>
      <c r="T32" s="38" t="inlineStr">
        <is>
          <t xml:space="preserve">Department of Mineral and Petroleum Resources, yearly price tables (levies, taxes and margins)</t>
        </is>
      </c>
      <c r="U32" s="38" t="inlineStr">
        <is>
          <t xml:space="preserve">Transport cost column</t>
        </is>
      </c>
      <c r="V32" s="38" t="inlineStr">
        <is>
          <t xml:space="preserve">The figure in the last month the department published for each year (April for 2024). It is reset each April. A regulated allowance, not a commercial rate. The April 2024 table shows 75.7 while the zone list of the same month shows 82.8. The department's petrol table shows 28.9 throughout 2014, where its diesel table and zone list show 33.1 from April.</t>
        </is>
      </c>
    </row>
    <row r="33" ht="29" customHeight="1">
      <c r="A33" s="42" t="inlineStr">
        <is>
          <t xml:space="preserve">Road freight income per tonne carried, all goods</t>
        </is>
      </c>
      <c r="B33" s="42" t="inlineStr">
        <is>
          <t xml:space="preserve">Road, South Africa</t>
        </is>
      </c>
      <c r="C33" s="42" t="inlineStr">
        <is>
          <t xml:space="preserve">rand a tonne</t>
        </is>
      </c>
      <c r="D33" s="42" t="inlineStr">
        <is>
          <t xml:space="preserve">calendar years</t>
        </is>
      </c>
      <c r="E33" s="42" t="n"/>
      <c r="F33" s="42" t="n"/>
      <c r="G33" s="42" t="n"/>
      <c r="H33" s="42" t="n"/>
      <c r="I33" s="42" t="n"/>
      <c r="J33" s="42" t="n"/>
      <c r="K33" s="42" t="n"/>
      <c r="L33" s="46" t="n">
        <v>182</v>
      </c>
      <c r="M33" s="42" t="n"/>
      <c r="N33" s="42" t="n"/>
      <c r="O33" s="42" t="n"/>
      <c r="P33" s="42" t="n"/>
      <c r="Q33" s="46" t="n">
        <v>204</v>
      </c>
      <c r="R33" s="46" t="n">
        <v>205</v>
      </c>
      <c r="S33" s="42" t="inlineStr">
        <is>
          <t xml:space="preserve">Calculated</t>
        </is>
      </c>
      <c r="T33" s="42" t="inlineStr">
        <is>
          <t xml:space="preserve">Statistics South Africa, Land transport survey (P7162), July 2026 release</t>
        </is>
      </c>
      <c r="U33" s="42" t="inlineStr">
        <is>
          <t xml:space="preserve">series roadincf over roadpayl</t>
        </is>
      </c>
      <c r="V33" s="42" t="inlineStr">
        <is>
          <t xml:space="preserve">Income divided by payload. All goods and all distances together, so not a fuel rate or a route rate.</t>
        </is>
      </c>
    </row>
    <row r="34" ht="29" customHeight="1">
      <c r="A34" s="42" t="inlineStr">
        <is>
          <t xml:space="preserve">Rail freight income per tonne carried, all goods</t>
        </is>
      </c>
      <c r="B34" s="42" t="inlineStr">
        <is>
          <t xml:space="preserve">Rail, South Africa</t>
        </is>
      </c>
      <c r="C34" s="42" t="inlineStr">
        <is>
          <t xml:space="preserve">rand a tonne</t>
        </is>
      </c>
      <c r="D34" s="42" t="inlineStr">
        <is>
          <t xml:space="preserve">calendar years</t>
        </is>
      </c>
      <c r="E34" s="42" t="n"/>
      <c r="F34" s="42" t="n"/>
      <c r="G34" s="42" t="n"/>
      <c r="H34" s="42" t="n"/>
      <c r="I34" s="42" t="n"/>
      <c r="J34" s="42" t="n"/>
      <c r="K34" s="42" t="n"/>
      <c r="L34" s="46" t="n">
        <v>205</v>
      </c>
      <c r="M34" s="42" t="n"/>
      <c r="N34" s="42" t="n"/>
      <c r="O34" s="42" t="n"/>
      <c r="P34" s="42" t="n"/>
      <c r="Q34" s="46" t="n">
        <v>269</v>
      </c>
      <c r="R34" s="46" t="n">
        <v>272</v>
      </c>
      <c r="S34" s="42" t="inlineStr">
        <is>
          <t xml:space="preserve">Calculated</t>
        </is>
      </c>
      <c r="T34" s="42" t="inlineStr">
        <is>
          <t xml:space="preserve">Statistics South Africa, Land transport survey (P7162), July 2026 release</t>
        </is>
      </c>
      <c r="U34" s="42" t="inlineStr">
        <is>
          <t xml:space="preserve">series railincf over railpayl</t>
        </is>
      </c>
      <c r="V34" s="42" t="inlineStr">
        <is>
          <t xml:space="preserve">Income divided by payload. Mostly bulk minerals over long distances, so not a fuel rate.</t>
        </is>
      </c>
    </row>
    <row r="35">
      <c r="A35" s="36" t="inlineStr">
        <is>
          <t xml:space="preserve">Item</t>
        </is>
      </c>
      <c r="B35" s="36" t="inlineStr">
        <is>
          <t xml:space="preserve">Asset or route</t>
        </is>
      </c>
      <c r="C35" s="36" t="inlineStr">
        <is>
          <t xml:space="preserve">Unit</t>
        </is>
      </c>
      <c r="D35" s="36" t="inlineStr">
        <is>
          <t xml:space="preserve">Basis</t>
        </is>
      </c>
      <c r="E35" s="36" t="inlineStr">
        <is>
          <t xml:space="preserve">2024/25</t>
        </is>
      </c>
      <c r="F35" s="36" t="inlineStr">
        <is>
          <t xml:space="preserve">2025/26</t>
        </is>
      </c>
      <c r="G35" s="36" t="inlineStr">
        <is>
          <t xml:space="preserve">2026/27</t>
        </is>
      </c>
      <c r="H35" s="36" t="n"/>
      <c r="I35" s="36" t="n"/>
      <c r="J35" s="36" t="n"/>
      <c r="K35" s="36" t="n"/>
      <c r="L35" s="36" t="n"/>
      <c r="M35" s="36" t="n"/>
      <c r="N35" s="36" t="n"/>
      <c r="O35" s="36" t="n"/>
      <c r="P35" s="36" t="n"/>
      <c r="Q35" s="36" t="n"/>
      <c r="R35" s="36" t="n"/>
      <c r="S35" s="36" t="inlineStr">
        <is>
          <t xml:space="preserve">Status</t>
        </is>
      </c>
      <c r="T35" s="36" t="inlineStr">
        <is>
          <t xml:space="preserve">Source</t>
        </is>
      </c>
      <c r="U35" s="36" t="inlineStr">
        <is>
          <t xml:space="preserve">Page</t>
        </is>
      </c>
      <c r="V35" s="36" t="inlineStr">
        <is>
          <t xml:space="preserve">Note</t>
        </is>
      </c>
    </row>
    <row r="36" ht="69.5" customHeight="1">
      <c r="A36" s="42" t="inlineStr">
        <is>
          <t xml:space="preserve">Regulated transport differential less the pipeline tariff, Gauteng</t>
        </is>
      </c>
      <c r="B36" s="42" t="inlineStr">
        <is>
          <t xml:space="preserve">Coast to Gauteng</t>
        </is>
      </c>
      <c r="C36" s="42" t="inlineStr">
        <is>
          <t xml:space="preserve">cents a litre</t>
        </is>
      </c>
      <c r="D36" s="42" t="inlineStr">
        <is>
          <t xml:space="preserve">financial years</t>
        </is>
      </c>
      <c r="E36" s="44" t="n">
        <v>14.8</v>
      </c>
      <c r="F36" s="44" t="n">
        <v>13.9</v>
      </c>
      <c r="G36" s="44" t="n">
        <v>14.1</v>
      </c>
      <c r="H36" s="42" t="n"/>
      <c r="I36" s="42" t="n"/>
      <c r="J36" s="42" t="n"/>
      <c r="K36" s="42" t="n"/>
      <c r="L36" s="42" t="n"/>
      <c r="M36" s="42" t="n"/>
      <c r="N36" s="42" t="n"/>
      <c r="O36" s="42" t="n"/>
      <c r="P36" s="42" t="n"/>
      <c r="Q36" s="42" t="n"/>
      <c r="R36" s="42" t="n"/>
      <c r="S36" s="42" t="inlineStr">
        <is>
          <t xml:space="preserve">Calculated</t>
        </is>
      </c>
      <c r="T36" s="42" t="inlineStr">
        <is>
          <t xml:space="preserve">Gauteng differential (82.8, 87.1, 91.1) less the Durban to Alrode tariff (67.99, 73.22, 77.02)</t>
        </is>
      </c>
      <c r="U36" s="42" t="inlineStr">
        <is>
          <t xml:space="preserve"/>
        </is>
      </c>
      <c r="V36" s="42" t="inlineStr">
        <is>
          <t xml:space="preserve">About 14 cents a litre in each year. What it pays for is not itemised in any document found: the department's working rules for the zone differentials were looked for on its site and in the price releases. The 2025 release shows the differentials are rebuilt from the pipeline tariff to each zone's supply point.</t>
        </is>
      </c>
    </row>
    <row r="37">
      <c r="A37" s="36" t="inlineStr">
        <is>
          <t xml:space="preserve">Item</t>
        </is>
      </c>
      <c r="B37" s="36" t="inlineStr">
        <is>
          <t xml:space="preserve">Asset or route</t>
        </is>
      </c>
      <c r="C37" s="36" t="inlineStr">
        <is>
          <t xml:space="preserve">Unit</t>
        </is>
      </c>
      <c r="D37" s="36" t="inlineStr">
        <is>
          <t xml:space="preserve">Period</t>
        </is>
      </c>
      <c r="E37" s="36" t="inlineStr">
        <is>
          <t xml:space="preserve">Value</t>
        </is>
      </c>
      <c r="K37" s="36" t="n"/>
      <c r="L37" s="36" t="n"/>
      <c r="M37" s="36" t="n"/>
      <c r="N37" s="36" t="n"/>
      <c r="O37" s="36" t="n"/>
      <c r="P37" s="36" t="n"/>
      <c r="Q37" s="36" t="n"/>
      <c r="R37" s="36" t="n"/>
      <c r="S37" s="36" t="inlineStr">
        <is>
          <t xml:space="preserve">Status</t>
        </is>
      </c>
      <c r="T37" s="36" t="inlineStr">
        <is>
          <t xml:space="preserve">Source</t>
        </is>
      </c>
      <c r="U37" s="36" t="inlineStr">
        <is>
          <t xml:space="preserve">Page</t>
        </is>
      </c>
      <c r="V37" s="36" t="inlineStr">
        <is>
          <t xml:space="preserve">Note</t>
        </is>
      </c>
    </row>
    <row r="38" ht="29" customHeight="1">
      <c r="A38" s="38" t="inlineStr">
        <is>
          <t xml:space="preserve">Regulated price difference, inland less coast, diesel wholesale</t>
        </is>
      </c>
      <c r="B38" s="38" t="inlineStr">
        <is>
          <t xml:space="preserve">Gauteng less coast</t>
        </is>
      </c>
      <c r="C38" s="38" t="inlineStr">
        <is>
          <t xml:space="preserve">cents a litre</t>
        </is>
      </c>
      <c r="D38" s="38" t="inlineStr">
        <is>
          <t xml:space="preserve">July 2024</t>
        </is>
      </c>
      <c r="E38" s="47" t="n">
        <v>79</v>
      </c>
      <c r="K38" s="38" t="n"/>
      <c r="L38" s="38" t="n"/>
      <c r="M38" s="38" t="n"/>
      <c r="N38" s="38" t="n"/>
      <c r="O38" s="38" t="n"/>
      <c r="P38" s="38" t="n"/>
      <c r="Q38" s="38" t="n"/>
      <c r="R38" s="38" t="n"/>
      <c r="S38" s="38" t="inlineStr">
        <is>
          <t xml:space="preserve">From source</t>
        </is>
      </c>
      <c r="T38" s="38" t="inlineStr">
        <is>
          <t xml:space="preserve">Department of Mineral and Petroleum Resources, regulated fuel prices</t>
        </is>
      </c>
      <c r="U38" s="38" t="inlineStr">
        <is>
          <t xml:space="preserve"/>
        </is>
      </c>
      <c r="V38" s="38" t="inlineStr">
        <is>
          <t xml:space="preserve">The regulated allowance for moving fuel inland, not an operator's actual cost. Coast series held ends November 2025.</t>
        </is>
      </c>
    </row>
    <row r="39" ht="29" customHeight="1">
      <c r="A39" s="38" t="inlineStr">
        <is>
          <t xml:space="preserve">Regulated price difference, inland less coast, diesel wholesale</t>
        </is>
      </c>
      <c r="B39" s="38" t="inlineStr">
        <is>
          <t xml:space="preserve">Gauteng less coast</t>
        </is>
      </c>
      <c r="C39" s="38" t="inlineStr">
        <is>
          <t xml:space="preserve">cents a litre</t>
        </is>
      </c>
      <c r="D39" s="38" t="inlineStr">
        <is>
          <t xml:space="preserve">July 2025</t>
        </is>
      </c>
      <c r="E39" s="47" t="n">
        <v>83.3</v>
      </c>
      <c r="K39" s="38" t="n"/>
      <c r="L39" s="38" t="n"/>
      <c r="M39" s="38" t="n"/>
      <c r="N39" s="38" t="n"/>
      <c r="O39" s="38" t="n"/>
      <c r="P39" s="38" t="n"/>
      <c r="Q39" s="38" t="n"/>
      <c r="R39" s="38" t="n"/>
      <c r="S39" s="38" t="inlineStr">
        <is>
          <t xml:space="preserve">From source</t>
        </is>
      </c>
      <c r="T39" s="38" t="inlineStr">
        <is>
          <t xml:space="preserve">Department of Mineral and Petroleum Resources, regulated fuel prices</t>
        </is>
      </c>
      <c r="U39" s="38" t="inlineStr">
        <is>
          <t xml:space="preserve"/>
        </is>
      </c>
      <c r="V39" s="38" t="inlineStr">
        <is>
          <t xml:space="preserve">The regulated allowance for moving fuel inland, not an operator's actual cost. Coast series held ends November 2025.</t>
        </is>
      </c>
    </row>
    <row r="40" ht="29" customHeight="1">
      <c r="A40" s="38" t="inlineStr">
        <is>
          <t xml:space="preserve">Regulated price difference, inland less coast, diesel wholesale</t>
        </is>
      </c>
      <c r="B40" s="38" t="inlineStr">
        <is>
          <t xml:space="preserve">Gauteng less coast</t>
        </is>
      </c>
      <c r="C40" s="38" t="inlineStr">
        <is>
          <t xml:space="preserve">cents a litre</t>
        </is>
      </c>
      <c r="D40" s="38" t="inlineStr">
        <is>
          <t xml:space="preserve">November 2025</t>
        </is>
      </c>
      <c r="E40" s="47" t="n">
        <v>83.3</v>
      </c>
      <c r="K40" s="38" t="n"/>
      <c r="L40" s="38" t="n"/>
      <c r="M40" s="38" t="n"/>
      <c r="N40" s="38" t="n"/>
      <c r="O40" s="38" t="n"/>
      <c r="P40" s="38" t="n"/>
      <c r="Q40" s="38" t="n"/>
      <c r="R40" s="38" t="n"/>
      <c r="S40" s="38" t="inlineStr">
        <is>
          <t xml:space="preserve">From source</t>
        </is>
      </c>
      <c r="T40" s="38" t="inlineStr">
        <is>
          <t xml:space="preserve">Department of Mineral and Petroleum Resources, regulated fuel prices</t>
        </is>
      </c>
      <c r="U40" s="38" t="inlineStr">
        <is>
          <t xml:space="preserve"/>
        </is>
      </c>
      <c r="V40" s="38" t="inlineStr">
        <is>
          <t xml:space="preserve">The regulated allowance for moving fuel inland, not an operator's actual cost. Coast series held ends November 2025.</t>
        </is>
      </c>
    </row>
    <row r="41" ht="29" customHeight="1">
      <c r="A41" s="38" t="inlineStr">
        <is>
          <t xml:space="preserve">Regulated transport differential, Gauteng (zone 9C)</t>
        </is>
      </c>
      <c r="B41" s="38" t="inlineStr">
        <is>
          <t xml:space="preserve">Coast to Gauteng</t>
        </is>
      </c>
      <c r="C41" s="38" t="inlineStr">
        <is>
          <t xml:space="preserve">cents a litre</t>
        </is>
      </c>
      <c r="D41" s="38" t="inlineStr">
        <is>
          <t xml:space="preserve">April 2014</t>
        </is>
      </c>
      <c r="E41" s="47" t="n">
        <v>33.1</v>
      </c>
      <c r="K41" s="38" t="n"/>
      <c r="L41" s="38" t="n"/>
      <c r="M41" s="38" t="n"/>
      <c r="N41" s="38" t="n"/>
      <c r="O41" s="38" t="n"/>
      <c r="P41" s="38" t="n"/>
      <c r="Q41" s="38" t="n"/>
      <c r="R41" s="38" t="n"/>
      <c r="S41" s="38" t="inlineStr">
        <is>
          <t xml:space="preserve">From source</t>
        </is>
      </c>
      <c r="T41" s="38" t="inlineStr">
        <is>
          <t xml:space="preserve">Department zone lists (2014, 2024); Central Energy Fund price composition (2025, 2026)</t>
        </is>
      </c>
      <c r="U41" s="38" t="inlineStr">
        <is>
          <t xml:space="preserve">CEF p.3</t>
        </is>
      </c>
      <c r="V41" s="38" t="inlineStr">
        <is>
          <t xml:space="preserve">The regulated allowance for getting petrol and diesel to Gauteng, which the regulator ties to the pipeline tariff. Not a commercial rate.</t>
        </is>
      </c>
    </row>
    <row r="42" ht="29" customHeight="1">
      <c r="A42" s="38" t="inlineStr">
        <is>
          <t xml:space="preserve">Regulated transport differential, Gauteng (zone 9C)</t>
        </is>
      </c>
      <c r="B42" s="38" t="inlineStr">
        <is>
          <t xml:space="preserve">Coast to Gauteng</t>
        </is>
      </c>
      <c r="C42" s="38" t="inlineStr">
        <is>
          <t xml:space="preserve">cents a litre</t>
        </is>
      </c>
      <c r="D42" s="38" t="inlineStr">
        <is>
          <t xml:space="preserve">April 2024</t>
        </is>
      </c>
      <c r="E42" s="47" t="n">
        <v>82.8</v>
      </c>
      <c r="K42" s="38" t="n"/>
      <c r="L42" s="38" t="n"/>
      <c r="M42" s="38" t="n"/>
      <c r="N42" s="38" t="n"/>
      <c r="O42" s="38" t="n"/>
      <c r="P42" s="38" t="n"/>
      <c r="Q42" s="38" t="n"/>
      <c r="R42" s="38" t="n"/>
      <c r="S42" s="38" t="inlineStr">
        <is>
          <t xml:space="preserve">From source</t>
        </is>
      </c>
      <c r="T42" s="38" t="inlineStr">
        <is>
          <t xml:space="preserve">Department zone lists (2014, 2024); Central Energy Fund price composition (2025, 2026)</t>
        </is>
      </c>
      <c r="U42" s="38" t="inlineStr">
        <is>
          <t xml:space="preserve">CEF p.3</t>
        </is>
      </c>
      <c r="V42" s="38" t="inlineStr">
        <is>
          <t xml:space="preserve">The regulated allowance for getting petrol and diesel to Gauteng, which the regulator ties to the pipeline tariff. Not a commercial rate.</t>
        </is>
      </c>
    </row>
    <row r="43" ht="29" customHeight="1">
      <c r="A43" s="38" t="inlineStr">
        <is>
          <t xml:space="preserve">Regulated transport differential, Gauteng (zone 9C)</t>
        </is>
      </c>
      <c r="B43" s="38" t="inlineStr">
        <is>
          <t xml:space="preserve">Coast to Gauteng</t>
        </is>
      </c>
      <c r="C43" s="38" t="inlineStr">
        <is>
          <t xml:space="preserve">cents a litre</t>
        </is>
      </c>
      <c r="D43" s="38" t="inlineStr">
        <is>
          <t xml:space="preserve">June 2025</t>
        </is>
      </c>
      <c r="E43" s="47" t="n">
        <v>87.09999999999999</v>
      </c>
      <c r="K43" s="38" t="n"/>
      <c r="L43" s="38" t="n"/>
      <c r="M43" s="38" t="n"/>
      <c r="N43" s="38" t="n"/>
      <c r="O43" s="38" t="n"/>
      <c r="P43" s="38" t="n"/>
      <c r="Q43" s="38" t="n"/>
      <c r="R43" s="38" t="n"/>
      <c r="S43" s="38" t="inlineStr">
        <is>
          <t xml:space="preserve">From source</t>
        </is>
      </c>
      <c r="T43" s="38" t="inlineStr">
        <is>
          <t xml:space="preserve">Department zone lists (2014, 2024); Central Energy Fund price composition (2025, 2026)</t>
        </is>
      </c>
      <c r="U43" s="38" t="inlineStr">
        <is>
          <t xml:space="preserve">CEF p.3</t>
        </is>
      </c>
      <c r="V43" s="38" t="inlineStr">
        <is>
          <t xml:space="preserve">The regulated allowance for getting petrol and diesel to Gauteng, which the regulator ties to the pipeline tariff. Not a commercial rate.</t>
        </is>
      </c>
    </row>
    <row r="44" ht="29" customHeight="1">
      <c r="A44" s="38" t="inlineStr">
        <is>
          <t xml:space="preserve">Regulated transport differential, Gauteng (zone 9C)</t>
        </is>
      </c>
      <c r="B44" s="38" t="inlineStr">
        <is>
          <t xml:space="preserve">Coast to Gauteng</t>
        </is>
      </c>
      <c r="C44" s="38" t="inlineStr">
        <is>
          <t xml:space="preserve">cents a litre</t>
        </is>
      </c>
      <c r="D44" s="38" t="inlineStr">
        <is>
          <t xml:space="preserve">April 2026</t>
        </is>
      </c>
      <c r="E44" s="47" t="n">
        <v>91.09999999999999</v>
      </c>
      <c r="K44" s="38" t="n"/>
      <c r="L44" s="38" t="n"/>
      <c r="M44" s="38" t="n"/>
      <c r="N44" s="38" t="n"/>
      <c r="O44" s="38" t="n"/>
      <c r="P44" s="38" t="n"/>
      <c r="Q44" s="38" t="n"/>
      <c r="R44" s="38" t="n"/>
      <c r="S44" s="38" t="inlineStr">
        <is>
          <t xml:space="preserve">From source</t>
        </is>
      </c>
      <c r="T44" s="38" t="inlineStr">
        <is>
          <t xml:space="preserve">Department zone lists (2014, 2024); Central Energy Fund price composition (2025, 2026)</t>
        </is>
      </c>
      <c r="U44" s="38" t="inlineStr">
        <is>
          <t xml:space="preserve">CEF p.3</t>
        </is>
      </c>
      <c r="V44" s="38" t="inlineStr">
        <is>
          <t xml:space="preserve">The regulated allowance for getting petrol and diesel to Gauteng, which the regulator ties to the pipeline tariff. Not a commercial rate.</t>
        </is>
      </c>
    </row>
    <row r="45" ht="42.5" customHeight="1">
      <c r="A45" s="38" t="inlineStr">
        <is>
          <t xml:space="preserve">Regulated transport differential, all zones</t>
        </is>
      </c>
      <c r="B45" s="38" t="inlineStr">
        <is>
          <t xml:space="preserve">Coast to each of 54 pricing zones</t>
        </is>
      </c>
      <c r="C45" s="38" t="inlineStr">
        <is>
          <t xml:space="preserve">cents a litre</t>
        </is>
      </c>
      <c r="D45" s="38" t="inlineStr">
        <is>
          <t xml:space="preserve">April 2024</t>
        </is>
      </c>
      <c r="E45" s="38" t="inlineStr">
        <is>
          <t xml:space="preserve">3.8 to 179.6</t>
        </is>
      </c>
      <c r="K45" s="38" t="n"/>
      <c r="L45" s="38" t="n"/>
      <c r="M45" s="38" t="n"/>
      <c r="N45" s="38" t="n"/>
      <c r="O45" s="38" t="n"/>
      <c r="P45" s="38" t="n"/>
      <c r="Q45" s="38" t="n"/>
      <c r="R45" s="38" t="n"/>
      <c r="S45" s="38" t="inlineStr">
        <is>
          <t xml:space="preserve">From source</t>
        </is>
      </c>
      <c r="T45" s="38" t="inlineStr">
        <is>
          <t xml:space="preserve">Department diesel wholesale price list, effective 3 April 2024</t>
        </is>
      </c>
      <c r="U45" s="38" t="inlineStr">
        <is>
          <t xml:space="preserve">pp.1-2</t>
        </is>
      </c>
      <c r="V45" s="38" t="inlineStr">
        <is>
          <t xml:space="preserve">Lowest at the coast (zone 1A), highest in zone 17A. By zone on the DR04 transport cost sheet. The files do not say which mode serves each zone.</t>
        </is>
      </c>
    </row>
    <row r="46" ht="29" customHeight="1">
      <c r="A46" s="38" t="inlineStr">
        <is>
          <t xml:space="preserve">Regulated secondary distribution (depot to service station by road)</t>
        </is>
      </c>
      <c r="B46" s="38" t="inlineStr">
        <is>
          <t xml:space="preserve">All zones</t>
        </is>
      </c>
      <c r="C46" s="38" t="inlineStr">
        <is>
          <t xml:space="preserve">cents a litre</t>
        </is>
      </c>
      <c r="D46" s="38" t="inlineStr">
        <is>
          <t xml:space="preserve">April 2024</t>
        </is>
      </c>
      <c r="E46" s="47" t="n">
        <v>17.2</v>
      </c>
      <c r="K46" s="38" t="n"/>
      <c r="L46" s="38" t="n"/>
      <c r="M46" s="38" t="n"/>
      <c r="N46" s="38" t="n"/>
      <c r="O46" s="38" t="n"/>
      <c r="P46" s="38" t="n"/>
      <c r="Q46" s="38" t="n"/>
      <c r="R46" s="38" t="n"/>
      <c r="S46" s="38" t="inlineStr">
        <is>
          <t xml:space="preserve">From source</t>
        </is>
      </c>
      <c r="T46" s="38" t="inlineStr">
        <is>
          <t xml:space="preserve">Department diesel margins (2024); Central Energy Fund price composition (2026)</t>
        </is>
      </c>
      <c r="U46" s="38" t="inlineStr">
        <is>
          <t xml:space="preserve">CEF p.3</t>
        </is>
      </c>
      <c r="V46" s="38" t="inlineStr">
        <is>
          <t xml:space="preserve">The only regulated road delivery element. One national figure; it does not vary by distance.</t>
        </is>
      </c>
    </row>
    <row r="47" ht="29" customHeight="1">
      <c r="A47" s="38" t="inlineStr">
        <is>
          <t xml:space="preserve">Regulated secondary distribution (depot to service station by road)</t>
        </is>
      </c>
      <c r="B47" s="38" t="inlineStr">
        <is>
          <t xml:space="preserve">All zones</t>
        </is>
      </c>
      <c r="C47" s="38" t="inlineStr">
        <is>
          <t xml:space="preserve">cents a litre</t>
        </is>
      </c>
      <c r="D47" s="38" t="inlineStr">
        <is>
          <t xml:space="preserve">April 2026</t>
        </is>
      </c>
      <c r="E47" s="47" t="n">
        <v>19.1</v>
      </c>
      <c r="K47" s="38" t="n"/>
      <c r="L47" s="38" t="n"/>
      <c r="M47" s="38" t="n"/>
      <c r="N47" s="38" t="n"/>
      <c r="O47" s="38" t="n"/>
      <c r="P47" s="38" t="n"/>
      <c r="Q47" s="38" t="n"/>
      <c r="R47" s="38" t="n"/>
      <c r="S47" s="38" t="inlineStr">
        <is>
          <t xml:space="preserve">From source</t>
        </is>
      </c>
      <c r="T47" s="38" t="inlineStr">
        <is>
          <t xml:space="preserve">Department diesel margins (2024); Central Energy Fund price composition (2026)</t>
        </is>
      </c>
      <c r="U47" s="38" t="inlineStr">
        <is>
          <t xml:space="preserve">CEF p.3</t>
        </is>
      </c>
      <c r="V47" s="38" t="inlineStr">
        <is>
          <t xml:space="preserve">The only regulated road delivery element. One national figure; it does not vary by distance.</t>
        </is>
      </c>
    </row>
    <row r="48" ht="29" customHeight="1">
      <c r="A48" s="38" t="inlineStr">
        <is>
          <t xml:space="preserve">Regulated secondary storage</t>
        </is>
      </c>
      <c r="B48" s="38" t="inlineStr">
        <is>
          <t xml:space="preserve">All zones</t>
        </is>
      </c>
      <c r="C48" s="38" t="inlineStr">
        <is>
          <t xml:space="preserve">cents a litre</t>
        </is>
      </c>
      <c r="D48" s="38" t="inlineStr">
        <is>
          <t xml:space="preserve">April 2024</t>
        </is>
      </c>
      <c r="E48" s="47" t="n">
        <v>36.6</v>
      </c>
      <c r="K48" s="38" t="n"/>
      <c r="L48" s="38" t="n"/>
      <c r="M48" s="38" t="n"/>
      <c r="N48" s="38" t="n"/>
      <c r="O48" s="38" t="n"/>
      <c r="P48" s="38" t="n"/>
      <c r="Q48" s="38" t="n"/>
      <c r="R48" s="38" t="n"/>
      <c r="S48" s="38" t="inlineStr">
        <is>
          <t xml:space="preserve">From source</t>
        </is>
      </c>
      <c r="T48" s="38" t="inlineStr">
        <is>
          <t xml:space="preserve">Department diesel margins (2024); Central Energy Fund price composition (2026)</t>
        </is>
      </c>
      <c r="U48" s="38" t="inlineStr">
        <is>
          <t xml:space="preserve">CEF p.3</t>
        </is>
      </c>
      <c r="V48" s="38" t="inlineStr">
        <is>
          <t xml:space="preserve">The regulated allowance for depot storage, which is the service a terminal such as Lesedi sells. One national figure.</t>
        </is>
      </c>
    </row>
    <row r="49" ht="29" customHeight="1">
      <c r="A49" s="38" t="inlineStr">
        <is>
          <t xml:space="preserve">Regulated secondary storage</t>
        </is>
      </c>
      <c r="B49" s="38" t="inlineStr">
        <is>
          <t xml:space="preserve">All zones</t>
        </is>
      </c>
      <c r="C49" s="38" t="inlineStr">
        <is>
          <t xml:space="preserve">cents a litre</t>
        </is>
      </c>
      <c r="D49" s="38" t="inlineStr">
        <is>
          <t xml:space="preserve">April 2026</t>
        </is>
      </c>
      <c r="E49" s="47" t="n">
        <v>39</v>
      </c>
      <c r="K49" s="38" t="n"/>
      <c r="L49" s="38" t="n"/>
      <c r="M49" s="38" t="n"/>
      <c r="N49" s="38" t="n"/>
      <c r="O49" s="38" t="n"/>
      <c r="P49" s="38" t="n"/>
      <c r="Q49" s="38" t="n"/>
      <c r="R49" s="38" t="n"/>
      <c r="S49" s="38" t="inlineStr">
        <is>
          <t xml:space="preserve">From source</t>
        </is>
      </c>
      <c r="T49" s="38" t="inlineStr">
        <is>
          <t xml:space="preserve">Department diesel margins (2024); Central Energy Fund price composition (2026)</t>
        </is>
      </c>
      <c r="U49" s="38" t="inlineStr">
        <is>
          <t xml:space="preserve">CEF p.3</t>
        </is>
      </c>
      <c r="V49" s="38" t="inlineStr">
        <is>
          <t xml:space="preserve">The regulated allowance for depot storage, which is the service a terminal such as Lesedi sells. One national figure.</t>
        </is>
      </c>
    </row>
    <row r="50" ht="29" customHeight="1">
      <c r="A50" s="38" t="inlineStr">
        <is>
          <t xml:space="preserve">Road against pipeline, as stated by a haulier</t>
        </is>
      </c>
      <c r="B50" s="38" t="inlineStr">
        <is>
          <t xml:space="preserve">Durban to Gauteng</t>
        </is>
      </c>
      <c r="C50" s="38" t="inlineStr">
        <is>
          <t xml:space="preserve"/>
        </is>
      </c>
      <c r="D50" s="38" t="inlineStr">
        <is>
          <t xml:space="preserve">May 2025</t>
        </is>
      </c>
      <c r="E50" s="38" t="inlineStr">
        <is>
          <t xml:space="preserve">Pipeline plus the last stretch by truck costs about a third more than trucking all the way</t>
        </is>
      </c>
      <c r="K50" s="38" t="n"/>
      <c r="L50" s="38" t="n"/>
      <c r="M50" s="38" t="n"/>
      <c r="N50" s="38" t="n"/>
      <c r="O50" s="38" t="n"/>
      <c r="P50" s="38" t="n"/>
      <c r="Q50" s="38" t="n"/>
      <c r="R50" s="38" t="n"/>
      <c r="S50" s="38" t="inlineStr">
        <is>
          <t xml:space="preserve">From source</t>
        </is>
      </c>
      <c r="T50" s="38" t="inlineStr">
        <is>
          <t xml:space="preserve">Bloomberg, 12 May 2025, quoting the managing director of a fuel haulier</t>
        </is>
      </c>
      <c r="U50" s="38" t="inlineStr">
        <is>
          <t xml:space="preserve"/>
        </is>
      </c>
      <c r="V50" s="38" t="inlineStr">
        <is>
          <t xml:space="preserve">One operator's statement, with no rate given. It implies road is competitive with the pipeline; it is not a measured cost.</t>
        </is>
      </c>
    </row>
    <row r="51" ht="29" customHeight="1">
      <c r="A51" s="38" t="inlineStr">
        <is>
          <t xml:space="preserve">Road freight rate, as Transnet compares it</t>
        </is>
      </c>
      <c r="B51" s="38" t="inlineStr">
        <is>
          <t xml:space="preserve">Road, containers, average haul 507 km</t>
        </is>
      </c>
      <c r="C51" s="38" t="inlineStr">
        <is>
          <t xml:space="preserve">rand per net tonne-kilometre</t>
        </is>
      </c>
      <c r="D51" s="38" t="inlineStr">
        <is>
          <t xml:space="preserve">2025</t>
        </is>
      </c>
      <c r="E51" s="47" t="n">
        <v>1.23</v>
      </c>
      <c r="K51" s="38" t="n"/>
      <c r="L51" s="38" t="n"/>
      <c r="M51" s="38" t="n"/>
      <c r="N51" s="38" t="n"/>
      <c r="O51" s="38" t="n"/>
      <c r="P51" s="38" t="n"/>
      <c r="Q51" s="38" t="n"/>
      <c r="R51" s="38" t="n"/>
      <c r="S51" s="38" t="inlineStr">
        <is>
          <t xml:space="preserve">From source</t>
        </is>
      </c>
      <c r="T51" s="38" t="inlineStr">
        <is>
          <t xml:space="preserve">Transnet Rail Infrastructure Manager, Tariff Proposal 2025/26</t>
        </is>
      </c>
      <c r="U51" s="38" t="inlineStr">
        <is>
          <t xml:space="preserve">PDF p.18, Table 8</t>
        </is>
      </c>
      <c r="V51" s="38" t="inlineStr">
        <is>
          <t xml:space="preserve">Containers, not fuel tankers. From a 2022 freight study Transnet commissioned, raised by inflation.</t>
        </is>
      </c>
    </row>
    <row r="52" ht="29" customHeight="1">
      <c r="A52" s="38" t="inlineStr">
        <is>
          <t xml:space="preserve">Rail freight rate, as Transnet compares it</t>
        </is>
      </c>
      <c r="B52" s="38" t="inlineStr">
        <is>
          <t xml:space="preserve">Rail, containers, average haul 507 km</t>
        </is>
      </c>
      <c r="C52" s="38" t="inlineStr">
        <is>
          <t xml:space="preserve">rand per net tonne-kilometre</t>
        </is>
      </c>
      <c r="D52" s="38" t="inlineStr">
        <is>
          <t xml:space="preserve">2025</t>
        </is>
      </c>
      <c r="E52" s="47" t="n">
        <v>0.43</v>
      </c>
      <c r="K52" s="38" t="n"/>
      <c r="L52" s="38" t="n"/>
      <c r="M52" s="38" t="n"/>
      <c r="N52" s="38" t="n"/>
      <c r="O52" s="38" t="n"/>
      <c r="P52" s="38" t="n"/>
      <c r="Q52" s="38" t="n"/>
      <c r="R52" s="38" t="n"/>
      <c r="S52" s="38" t="inlineStr">
        <is>
          <t xml:space="preserve">From source</t>
        </is>
      </c>
      <c r="T52" s="38" t="inlineStr">
        <is>
          <t xml:space="preserve">Transnet Rail Infrastructure Manager, Tariff Proposal 2025/26</t>
        </is>
      </c>
      <c r="U52" s="38" t="inlineStr">
        <is>
          <t xml:space="preserve">PDF p.18, Table 8</t>
        </is>
      </c>
      <c r="V52" s="38" t="inlineStr">
        <is>
          <t xml:space="preserve">Containers, not fuel. Road is 2.9 times rail on this comparison.</t>
        </is>
      </c>
    </row>
    <row r="53" ht="29" customHeight="1">
      <c r="A53" s="38" t="inlineStr">
        <is>
          <t xml:space="preserve">Rail track access charge, grain and tankers</t>
        </is>
      </c>
      <c r="B53" s="38" t="inlineStr">
        <is>
          <t xml:space="preserve">Rail, any route</t>
        </is>
      </c>
      <c r="C53" s="38" t="inlineStr">
        <is>
          <t xml:space="preserve"/>
        </is>
      </c>
      <c r="D53" s="38" t="inlineStr">
        <is>
          <t xml:space="preserve">2024/25, approved</t>
        </is>
      </c>
      <c r="E53" s="38" t="inlineStr">
        <is>
          <t xml:space="preserve">30 rand per train-kilometre plus 6.96 cents per gross tonne-kilometre</t>
        </is>
      </c>
      <c r="K53" s="38" t="n"/>
      <c r="L53" s="38" t="n"/>
      <c r="M53" s="38" t="n"/>
      <c r="N53" s="38" t="n"/>
      <c r="O53" s="38" t="n"/>
      <c r="P53" s="38" t="n"/>
      <c r="Q53" s="38" t="n"/>
      <c r="R53" s="38" t="n"/>
      <c r="S53" s="38" t="inlineStr">
        <is>
          <t xml:space="preserve">From source</t>
        </is>
      </c>
      <c r="T53" s="38" t="inlineStr">
        <is>
          <t xml:space="preserve">Transnet Rail Infrastructure Manager, Tariff Proposal 2025/26</t>
        </is>
      </c>
      <c r="U53" s="38" t="inlineStr">
        <is>
          <t xml:space="preserve">PDF p.12, Table 1</t>
        </is>
      </c>
      <c r="V53" s="38" t="inlineStr">
        <is>
          <t xml:space="preserve">What a train operator pays Transnet for the track. Not the rate a shipper pays.</t>
        </is>
      </c>
    </row>
    <row r="54" ht="48" customHeight="1">
      <c r="A54" s="45" t="inlineStr">
        <is>
          <t xml:space="preserve">Commercial road tanker rate, Durban to Gauteng</t>
        </is>
      </c>
      <c r="B54" s="45" t="inlineStr">
        <is>
          <t xml:space="preserve">Road</t>
        </is>
      </c>
      <c r="C54" s="45" t="inlineStr">
        <is>
          <t xml:space="preserve">cents a litre</t>
        </is>
      </c>
      <c r="D54" s="45" t="inlineStr">
        <is>
          <t xml:space="preserve"/>
        </is>
      </c>
      <c r="E54" s="45" t="inlineStr">
        <is>
          <t xml:space="preserve">Not available</t>
        </is>
      </c>
      <c r="K54" s="45" t="n"/>
      <c r="L54" s="45" t="n"/>
      <c r="M54" s="45" t="n"/>
      <c r="N54" s="45" t="n"/>
      <c r="O54" s="45" t="n"/>
      <c r="P54" s="45" t="n"/>
      <c r="Q54" s="45" t="n"/>
      <c r="R54" s="45" t="n"/>
      <c r="S54" s="45" t="inlineStr">
        <is>
          <t xml:space="preserve">Not available</t>
        </is>
      </c>
      <c r="T54" s="45" t="inlineStr">
        <is>
          <t xml:space="preserve">None public</t>
        </is>
      </c>
      <c r="U54" s="45" t="inlineStr">
        <is>
          <t xml:space="preserve"/>
        </is>
      </c>
      <c r="V54" s="45" t="inlineStr">
        <is>
          <t xml:space="preserve">No fuel tanker rate is published. The rows above are the nearest published figures: a container rate and an all-goods average. Needs Vopak or a haulier quote.</t>
        </is>
      </c>
      <c r="Y54" s="80" t="str">
        <v>G005</v>
      </c>
      <c r="Z54" s="80" t="str">
        <v>Missing data: Commercial road tanker rate, Durban to Gauteng</v>
      </c>
      <c r="AA54" s="80" t="str">
        <v>Review detail</v>
      </c>
    </row>
    <row r="55" ht="48" customHeight="1">
      <c r="A55" s="45" t="inlineStr">
        <is>
          <t xml:space="preserve">Rail rate, Durban to Gauteng</t>
        </is>
      </c>
      <c r="B55" s="45" t="inlineStr">
        <is>
          <t xml:space="preserve">Rail</t>
        </is>
      </c>
      <c r="C55" s="45" t="inlineStr">
        <is>
          <t xml:space="preserve">cents a litre</t>
        </is>
      </c>
      <c r="D55" s="45" t="inlineStr">
        <is>
          <t xml:space="preserve"/>
        </is>
      </c>
      <c r="E55" s="45" t="inlineStr">
        <is>
          <t xml:space="preserve">Not available</t>
        </is>
      </c>
      <c r="K55" s="45" t="n"/>
      <c r="L55" s="45" t="n"/>
      <c r="M55" s="45" t="n"/>
      <c r="N55" s="45" t="n"/>
      <c r="O55" s="45" t="n"/>
      <c r="P55" s="45" t="n"/>
      <c r="Q55" s="45" t="n"/>
      <c r="R55" s="45" t="n"/>
      <c r="S55" s="45" t="inlineStr">
        <is>
          <t xml:space="preserve">Not available</t>
        </is>
      </c>
      <c r="T55" s="45" t="inlineStr">
        <is>
          <t xml:space="preserve">None public</t>
        </is>
      </c>
      <c r="U55" s="45" t="inlineStr">
        <is>
          <t xml:space="preserve"/>
        </is>
      </c>
      <c r="V55" s="45" t="inlineStr">
        <is>
          <t xml:space="preserve">Transnet does not publish a fuel rate. The rows above give its container rate and its track access charge for tankers. Needs Transnet or Vopak.</t>
        </is>
      </c>
      <c r="Y55" s="80" t="str">
        <v>G006</v>
      </c>
      <c r="Z55" s="80" t="str">
        <v>Missing data: Rail rate, Durban to Gauteng</v>
      </c>
      <c r="AA55" s="80" t="str">
        <v>Review detail</v>
      </c>
    </row>
    <row r="56" ht="56" customHeight="1">
      <c r="A56" s="45" t="inlineStr">
        <is>
          <t xml:space="preserve">Matched delivered cost, Durban to Gauteng, by mode</t>
        </is>
      </c>
      <c r="B56" s="45" t="inlineStr">
        <is>
          <t xml:space="preserve">Pipeline against road and rail</t>
        </is>
      </c>
      <c r="C56" s="45" t="inlineStr">
        <is>
          <t xml:space="preserve">cents a litre</t>
        </is>
      </c>
      <c r="D56" s="45" t="inlineStr">
        <is>
          <t xml:space="preserve"/>
        </is>
      </c>
      <c r="E56" s="45" t="inlineStr">
        <is>
          <t xml:space="preserve">Not available</t>
        </is>
      </c>
      <c r="K56" s="45" t="n"/>
      <c r="L56" s="45" t="n"/>
      <c r="M56" s="45" t="n"/>
      <c r="N56" s="45" t="n"/>
      <c r="O56" s="45" t="n"/>
      <c r="P56" s="45" t="n"/>
      <c r="Q56" s="45" t="n"/>
      <c r="R56" s="45" t="n"/>
      <c r="S56" s="45" t="inlineStr">
        <is>
          <t xml:space="preserve">Not available</t>
        </is>
      </c>
      <c r="T56" s="45" t="inlineStr">
        <is>
          <t xml:space="preserve">None published for road or rail</t>
        </is>
      </c>
      <c r="U56" s="45" t="inlineStr">
        <is>
          <t xml:space="preserve"/>
        </is>
      </c>
      <c r="V56" s="45" t="inlineStr">
        <is>
          <t xml:space="preserve">Pipeline: 77.02 (tariff) or 91.1 (regulated allowance) in 2026/27. No fuel tanker or rail rate is published, so the modes cannot be set side by side. Looked in: Transnet's tariff proposal, Stats SA, NERSA, Parliament. Needs Vopak or a haulier.</t>
        </is>
      </c>
      <c r="Y56" s="80" t="str">
        <v>G010</v>
      </c>
      <c r="Z56" s="80" t="str">
        <v>Missing data: Matched delivered cost, Durban to Gauteng, by mode</v>
      </c>
      <c r="AA56" s="80" t="str">
        <v>Review detail</v>
      </c>
    </row>
    <row r="58">
      <c r="A58" s="35" t="inlineStr">
        <is>
          <t xml:space="preserve">Port use</t>
        </is>
      </c>
      <c r="B58" s="35" t="n"/>
      <c r="C58" s="35" t="n"/>
      <c r="D58" s="35" t="n"/>
      <c r="E58" s="35" t="n"/>
      <c r="F58" s="35" t="n"/>
      <c r="G58" s="35" t="n"/>
      <c r="H58" s="35" t="n"/>
      <c r="I58" s="35" t="n"/>
      <c r="J58" s="35" t="n"/>
      <c r="K58" s="35" t="n"/>
      <c r="L58" s="35" t="n"/>
      <c r="M58" s="35" t="n"/>
      <c r="N58" s="35" t="n"/>
      <c r="O58" s="35" t="n"/>
      <c r="P58" s="35" t="n"/>
      <c r="Q58" s="35" t="n"/>
      <c r="R58" s="35" t="n"/>
      <c r="S58" s="35" t="n"/>
      <c r="T58" s="35" t="n"/>
      <c r="U58" s="35" t="n"/>
      <c r="V58" s="35" t="n"/>
      <c r="W58" s="35" t="n"/>
    </row>
    <row r="59">
      <c r="A59" s="36" t="inlineStr">
        <is>
          <t xml:space="preserve">Item</t>
        </is>
      </c>
      <c r="B59" s="36" t="inlineStr">
        <is>
          <t xml:space="preserve">Asset or route</t>
        </is>
      </c>
      <c r="C59" s="36" t="inlineStr">
        <is>
          <t xml:space="preserve">Unit</t>
        </is>
      </c>
      <c r="D59" s="36" t="inlineStr">
        <is>
          <t xml:space="preserve">Basis</t>
        </is>
      </c>
      <c r="E59" s="37" t="n">
        <v>2024</v>
      </c>
      <c r="F59" s="37" t="n">
        <v>2025</v>
      </c>
      <c r="G59" s="36" t="n"/>
      <c r="H59" s="36" t="n"/>
      <c r="I59" s="36" t="n"/>
      <c r="J59" s="36" t="n"/>
      <c r="K59" s="36" t="n"/>
      <c r="L59" s="36" t="n"/>
      <c r="M59" s="36" t="n"/>
      <c r="N59" s="36" t="n"/>
      <c r="O59" s="36" t="n"/>
      <c r="P59" s="36" t="n"/>
      <c r="Q59" s="36" t="n"/>
      <c r="R59" s="36" t="n"/>
      <c r="S59" s="36" t="inlineStr">
        <is>
          <t xml:space="preserve">Status</t>
        </is>
      </c>
      <c r="T59" s="36" t="inlineStr">
        <is>
          <t xml:space="preserve">Source</t>
        </is>
      </c>
      <c r="U59" s="36" t="inlineStr">
        <is>
          <t xml:space="preserve">Page</t>
        </is>
      </c>
      <c r="V59" s="36" t="inlineStr">
        <is>
          <t xml:space="preserve">Note</t>
        </is>
      </c>
    </row>
    <row r="60" ht="29" customHeight="1">
      <c r="A60" s="38" t="inlineStr">
        <is>
          <t xml:space="preserve">Petrol and diesel imports cleared</t>
        </is>
      </c>
      <c r="B60" s="38" t="inlineStr">
        <is>
          <t xml:space="preserve">Durban customs office</t>
        </is>
      </c>
      <c r="C60" s="38" t="inlineStr">
        <is>
          <t xml:space="preserve">billion litres</t>
        </is>
      </c>
      <c r="D60" s="38" t="inlineStr">
        <is>
          <t xml:space="preserve">calendar years</t>
        </is>
      </c>
      <c r="E60" s="40" t="n">
        <v>11.84</v>
      </c>
      <c r="F60" s="40" t="n">
        <v>13.16</v>
      </c>
      <c r="G60" s="38" t="n"/>
      <c r="H60" s="38" t="n"/>
      <c r="I60" s="38" t="n"/>
      <c r="J60" s="38" t="n"/>
      <c r="K60" s="38" t="n"/>
      <c r="L60" s="38" t="n"/>
      <c r="M60" s="38" t="n"/>
      <c r="N60" s="38" t="n"/>
      <c r="O60" s="38" t="n"/>
      <c r="P60" s="38" t="n"/>
      <c r="Q60" s="38" t="n"/>
      <c r="R60" s="38" t="n"/>
      <c r="S60" s="38" t="inlineStr">
        <is>
          <t xml:space="preserve">From source</t>
        </is>
      </c>
      <c r="T60" s="38" t="inlineStr">
        <is>
          <t xml:space="preserve">SARS customs, by office</t>
        </is>
      </c>
      <c r="U60" s="38" t="inlineStr">
        <is>
          <t xml:space="preserve"/>
        </is>
      </c>
      <c r="V60" s="38" t="inlineStr">
        <is>
          <t xml:space="preserve">Customs office of clearance: the nearest public record of entry port, not a berth or terminal record.</t>
        </is>
      </c>
    </row>
    <row r="61" ht="15.5" customHeight="1">
      <c r="A61" s="38" t="inlineStr">
        <is>
          <t xml:space="preserve">Durban share of petrol and diesel imports</t>
        </is>
      </c>
      <c r="B61" s="38" t="inlineStr">
        <is>
          <t xml:space="preserve">Durban customs office</t>
        </is>
      </c>
      <c r="C61" s="38" t="inlineStr">
        <is>
          <t xml:space="preserve">%</t>
        </is>
      </c>
      <c r="D61" s="38" t="inlineStr">
        <is>
          <t xml:space="preserve">calendar years</t>
        </is>
      </c>
      <c r="E61" s="40" t="n">
        <v>80</v>
      </c>
      <c r="F61" s="40" t="n">
        <v>78.8</v>
      </c>
      <c r="G61" s="38" t="n"/>
      <c r="H61" s="38" t="n"/>
      <c r="I61" s="38" t="n"/>
      <c r="J61" s="38" t="n"/>
      <c r="K61" s="38" t="n"/>
      <c r="L61" s="38" t="n"/>
      <c r="M61" s="38" t="n"/>
      <c r="N61" s="38" t="n"/>
      <c r="O61" s="38" t="n"/>
      <c r="P61" s="38" t="n"/>
      <c r="Q61" s="38" t="n"/>
      <c r="R61" s="38" t="n"/>
      <c r="S61" s="38" t="inlineStr">
        <is>
          <t xml:space="preserve">From source</t>
        </is>
      </c>
      <c r="T61" s="38" t="inlineStr">
        <is>
          <t xml:space="preserve">SARS customs, by office</t>
        </is>
      </c>
      <c r="U61" s="38" t="inlineStr">
        <is>
          <t xml:space="preserve"/>
        </is>
      </c>
      <c r="V61" s="38" t="inlineStr">
        <is>
          <t xml:space="preserve"/>
        </is>
      </c>
    </row>
    <row r="62" ht="15.5" customHeight="1">
      <c r="A62" s="38" t="inlineStr">
        <is>
          <t xml:space="preserve">Petrol and diesel imports cleared</t>
        </is>
      </c>
      <c r="B62" s="38" t="inlineStr">
        <is>
          <t xml:space="preserve">Richards Bay customs office</t>
        </is>
      </c>
      <c r="C62" s="38" t="inlineStr">
        <is>
          <t xml:space="preserve">billion litres</t>
        </is>
      </c>
      <c r="D62" s="38" t="inlineStr">
        <is>
          <t xml:space="preserve">calendar years</t>
        </is>
      </c>
      <c r="E62" s="40" t="n">
        <v>0.39</v>
      </c>
      <c r="F62" s="40" t="n">
        <v>0.66</v>
      </c>
      <c r="G62" s="38" t="n"/>
      <c r="H62" s="38" t="n"/>
      <c r="I62" s="38" t="n"/>
      <c r="J62" s="38" t="n"/>
      <c r="K62" s="38" t="n"/>
      <c r="L62" s="38" t="n"/>
      <c r="M62" s="38" t="n"/>
      <c r="N62" s="38" t="n"/>
      <c r="O62" s="38" t="n"/>
      <c r="P62" s="38" t="n"/>
      <c r="Q62" s="38" t="n"/>
      <c r="R62" s="38" t="n"/>
      <c r="S62" s="38" t="inlineStr">
        <is>
          <t xml:space="preserve">From source</t>
        </is>
      </c>
      <c r="T62" s="38" t="inlineStr">
        <is>
          <t xml:space="preserve">SARS customs, by office</t>
        </is>
      </c>
      <c r="U62" s="38" t="inlineStr">
        <is>
          <t xml:space="preserve"/>
        </is>
      </c>
      <c r="V62" s="38" t="inlineStr">
        <is>
          <t xml:space="preserve"/>
        </is>
      </c>
    </row>
    <row r="63" ht="15.5" customHeight="1">
      <c r="A63" s="38" t="inlineStr">
        <is>
          <t xml:space="preserve">Petrol and diesel imports cleared</t>
        </is>
      </c>
      <c r="B63" s="38" t="inlineStr">
        <is>
          <t xml:space="preserve">Cape Town customs office</t>
        </is>
      </c>
      <c r="C63" s="38" t="inlineStr">
        <is>
          <t xml:space="preserve">billion litres</t>
        </is>
      </c>
      <c r="D63" s="38" t="inlineStr">
        <is>
          <t xml:space="preserve">calendar years</t>
        </is>
      </c>
      <c r="E63" s="40" t="n">
        <v>1.09</v>
      </c>
      <c r="F63" s="40" t="n">
        <v>1.52</v>
      </c>
      <c r="G63" s="38" t="n"/>
      <c r="H63" s="38" t="n"/>
      <c r="I63" s="38" t="n"/>
      <c r="J63" s="38" t="n"/>
      <c r="K63" s="38" t="n"/>
      <c r="L63" s="38" t="n"/>
      <c r="M63" s="38" t="n"/>
      <c r="N63" s="38" t="n"/>
      <c r="O63" s="38" t="n"/>
      <c r="P63" s="38" t="n"/>
      <c r="Q63" s="38" t="n"/>
      <c r="R63" s="38" t="n"/>
      <c r="S63" s="38" t="inlineStr">
        <is>
          <t xml:space="preserve">From source</t>
        </is>
      </c>
      <c r="T63" s="38" t="inlineStr">
        <is>
          <t xml:space="preserve">SARS customs, by office</t>
        </is>
      </c>
      <c r="U63" s="38" t="inlineStr">
        <is>
          <t xml:space="preserve"/>
        </is>
      </c>
      <c r="V63" s="38" t="inlineStr">
        <is>
          <t xml:space="preserve"/>
        </is>
      </c>
    </row>
    <row r="64" ht="29" customHeight="1">
      <c r="A64" s="38" t="inlineStr">
        <is>
          <t xml:space="preserve">Petrol and diesel imports by road from Mozambique</t>
        </is>
      </c>
      <c r="B64" s="38" t="inlineStr">
        <is>
          <t xml:space="preserve">Komatipoort customs office</t>
        </is>
      </c>
      <c r="C64" s="38" t="inlineStr">
        <is>
          <t xml:space="preserve">billion litres</t>
        </is>
      </c>
      <c r="D64" s="38" t="inlineStr">
        <is>
          <t xml:space="preserve">calendar years</t>
        </is>
      </c>
      <c r="E64" s="40" t="n">
        <v>0.19</v>
      </c>
      <c r="F64" s="40" t="n">
        <v>0.09</v>
      </c>
      <c r="G64" s="38" t="n"/>
      <c r="H64" s="38" t="n"/>
      <c r="I64" s="38" t="n"/>
      <c r="J64" s="38" t="n"/>
      <c r="K64" s="38" t="n"/>
      <c r="L64" s="38" t="n"/>
      <c r="M64" s="38" t="n"/>
      <c r="N64" s="38" t="n"/>
      <c r="O64" s="38" t="n"/>
      <c r="P64" s="38" t="n"/>
      <c r="Q64" s="38" t="n"/>
      <c r="R64" s="38" t="n"/>
      <c r="S64" s="38" t="inlineStr">
        <is>
          <t xml:space="preserve">From source</t>
        </is>
      </c>
      <c r="T64" s="38" t="inlineStr">
        <is>
          <t xml:space="preserve">SARS customs, by office</t>
        </is>
      </c>
      <c r="U64" s="38" t="inlineStr">
        <is>
          <t xml:space="preserve"/>
        </is>
      </c>
      <c r="V64" s="38" t="inlineStr">
        <is>
          <t xml:space="preserve">The only recorded entry from the Maputo and Matola side.</t>
        </is>
      </c>
    </row>
    <row r="66">
      <c r="A66" s="35" t="inlineStr">
        <is>
          <t xml:space="preserve">Port limit</t>
        </is>
      </c>
      <c r="B66" s="35" t="n"/>
      <c r="C66" s="35" t="n"/>
      <c r="D66" s="35" t="n"/>
      <c r="E66" s="35" t="n"/>
      <c r="F66" s="35" t="n"/>
      <c r="G66" s="35" t="n"/>
      <c r="H66" s="35" t="n"/>
      <c r="I66" s="35" t="n"/>
      <c r="J66" s="35" t="n"/>
      <c r="K66" s="35" t="n"/>
      <c r="L66" s="35" t="n"/>
      <c r="M66" s="35" t="n"/>
      <c r="N66" s="35" t="n"/>
      <c r="O66" s="35" t="n"/>
      <c r="P66" s="35" t="n"/>
      <c r="Q66" s="35" t="n"/>
      <c r="R66" s="35" t="n"/>
      <c r="S66" s="35" t="n"/>
      <c r="T66" s="35" t="n"/>
      <c r="U66" s="35" t="n"/>
      <c r="V66" s="35" t="n"/>
      <c r="W66" s="35" t="n"/>
    </row>
    <row r="67">
      <c r="A67" s="36" t="inlineStr">
        <is>
          <t xml:space="preserve">Item</t>
        </is>
      </c>
      <c r="B67" s="36" t="inlineStr">
        <is>
          <t xml:space="preserve">Asset or route</t>
        </is>
      </c>
      <c r="C67" s="36" t="inlineStr">
        <is>
          <t xml:space="preserve">Unit</t>
        </is>
      </c>
      <c r="D67" s="36" t="inlineStr">
        <is>
          <t xml:space="preserve">Period</t>
        </is>
      </c>
      <c r="E67" s="36" t="inlineStr">
        <is>
          <t xml:space="preserve">Value</t>
        </is>
      </c>
      <c r="K67" s="36" t="n"/>
      <c r="L67" s="36" t="n"/>
      <c r="M67" s="36" t="n"/>
      <c r="N67" s="36" t="n"/>
      <c r="O67" s="36" t="n"/>
      <c r="P67" s="36" t="n"/>
      <c r="Q67" s="36" t="n"/>
      <c r="R67" s="36" t="n"/>
      <c r="S67" s="36" t="inlineStr">
        <is>
          <t xml:space="preserve">Status</t>
        </is>
      </c>
      <c r="T67" s="36" t="inlineStr">
        <is>
          <t xml:space="preserve">Source</t>
        </is>
      </c>
      <c r="U67" s="36" t="inlineStr">
        <is>
          <t xml:space="preserve">Page</t>
        </is>
      </c>
      <c r="V67" s="36" t="inlineStr">
        <is>
          <t xml:space="preserve">Note</t>
        </is>
      </c>
    </row>
    <row r="68" ht="29" customHeight="1">
      <c r="A68" s="38" t="inlineStr">
        <is>
          <t xml:space="preserve">Berths</t>
        </is>
      </c>
      <c r="B68" s="38" t="inlineStr">
        <is>
          <t xml:space="preserve">Durban</t>
        </is>
      </c>
      <c r="C68" s="38" t="inlineStr">
        <is>
          <t xml:space="preserve"/>
        </is>
      </c>
      <c r="D68" s="38" t="inlineStr">
        <is>
          <t xml:space="preserve">as on the page, read 8 October 2026</t>
        </is>
      </c>
      <c r="E68" s="38" t="inlineStr">
        <is>
          <t xml:space="preserve">58 berths, 41 in operation, of which 8 liquid bulk</t>
        </is>
      </c>
      <c r="K68" s="38" t="n"/>
      <c r="L68" s="38" t="n"/>
      <c r="M68" s="38" t="n"/>
      <c r="N68" s="38" t="n"/>
      <c r="O68" s="38" t="n"/>
      <c r="P68" s="38" t="n"/>
      <c r="Q68" s="38" t="n"/>
      <c r="R68" s="38" t="n"/>
      <c r="S68" s="38" t="inlineStr">
        <is>
          <t xml:space="preserve">From source</t>
        </is>
      </c>
      <c r="T68" s="38" t="inlineStr">
        <is>
          <t xml:space="preserve">Transnet National Ports Authority, Our Ports page</t>
        </is>
      </c>
      <c r="U68" s="38" t="inlineStr">
        <is>
          <t xml:space="preserve">Port of Durban, Fast Fact</t>
        </is>
      </c>
      <c r="V68" s="38" t="inlineStr">
        <is>
          <t xml:space="preserve">No capacity in kilolitres is given on the page.</t>
        </is>
      </c>
    </row>
    <row r="69" ht="29" customHeight="1">
      <c r="A69" s="38" t="inlineStr">
        <is>
          <t xml:space="preserve">Berths</t>
        </is>
      </c>
      <c r="B69" s="38" t="inlineStr">
        <is>
          <t xml:space="preserve">Richards Bay</t>
        </is>
      </c>
      <c r="C69" s="38" t="inlineStr">
        <is>
          <t xml:space="preserve"/>
        </is>
      </c>
      <c r="D69" s="38" t="inlineStr">
        <is>
          <t xml:space="preserve">as on the page, read 8 October 2026</t>
        </is>
      </c>
      <c r="E69" s="38" t="inlineStr">
        <is>
          <t xml:space="preserve">22 berths, of which 2 liquid bulk</t>
        </is>
      </c>
      <c r="K69" s="38" t="n"/>
      <c r="L69" s="38" t="n"/>
      <c r="M69" s="38" t="n"/>
      <c r="N69" s="38" t="n"/>
      <c r="O69" s="38" t="n"/>
      <c r="P69" s="38" t="n"/>
      <c r="Q69" s="38" t="n"/>
      <c r="R69" s="38" t="n"/>
      <c r="S69" s="38" t="inlineStr">
        <is>
          <t xml:space="preserve">From source</t>
        </is>
      </c>
      <c r="T69" s="38" t="inlineStr">
        <is>
          <t xml:space="preserve">Transnet National Ports Authority, Our Ports page</t>
        </is>
      </c>
      <c r="U69" s="38" t="inlineStr">
        <is>
          <t xml:space="preserve">Port of Richards Bay, Fast Fact</t>
        </is>
      </c>
      <c r="V69" s="38" t="inlineStr">
        <is>
          <t xml:space="preserve">No capacity in kilolitres is given on the page.</t>
        </is>
      </c>
    </row>
    <row r="70" ht="29" customHeight="1">
      <c r="A70" s="38" t="inlineStr">
        <is>
          <t xml:space="preserve">Planned berth change at Island View</t>
        </is>
      </c>
      <c r="B70" s="38" t="inlineStr">
        <is>
          <t xml:space="preserve">Durban, Island View, Berth 1</t>
        </is>
      </c>
      <c r="C70" s="38" t="inlineStr">
        <is>
          <t xml:space="preserve"/>
        </is>
      </c>
      <c r="D70" s="38" t="inlineStr">
        <is>
          <t xml:space="preserve">2026, port framework plan 2022-2032</t>
        </is>
      </c>
      <c r="E70" s="38" t="inlineStr">
        <is>
          <t xml:space="preserve">To be rebuilt</t>
        </is>
      </c>
      <c r="K70" s="38" t="n"/>
      <c r="L70" s="38" t="n"/>
      <c r="M70" s="38" t="n"/>
      <c r="N70" s="38" t="n"/>
      <c r="O70" s="38" t="n"/>
      <c r="P70" s="38" t="n"/>
      <c r="Q70" s="38" t="n"/>
      <c r="R70" s="38" t="n"/>
      <c r="S70" s="38" t="inlineStr">
        <is>
          <t xml:space="preserve">From source</t>
        </is>
      </c>
      <c r="T70" s="38" t="inlineStr">
        <is>
          <t xml:space="preserve">Port authority tariff application slides, 2 September 2025</t>
        </is>
      </c>
      <c r="U70" s="38" t="inlineStr">
        <is>
          <t xml:space="preserve">PDF p.14</t>
        </is>
      </c>
      <c r="V70" s="38" t="inlineStr">
        <is>
          <t xml:space="preserve">Whether either is delivered is shown only by colour on the slide, which the text does not carry.</t>
        </is>
      </c>
    </row>
    <row r="71" ht="29" customHeight="1">
      <c r="A71" s="38" t="inlineStr">
        <is>
          <t xml:space="preserve">Planned berth change at Island View</t>
        </is>
      </c>
      <c r="B71" s="38" t="inlineStr">
        <is>
          <t xml:space="preserve">Durban, Island View, Berth 3</t>
        </is>
      </c>
      <c r="C71" s="38" t="inlineStr">
        <is>
          <t xml:space="preserve"/>
        </is>
      </c>
      <c r="D71" s="38" t="inlineStr">
        <is>
          <t xml:space="preserve">2026, port framework plan 2022-2032</t>
        </is>
      </c>
      <c r="E71" s="38" t="inlineStr">
        <is>
          <t xml:space="preserve">To convert from dry bulk to liquid bulk</t>
        </is>
      </c>
      <c r="K71" s="38" t="n"/>
      <c r="L71" s="38" t="n"/>
      <c r="M71" s="38" t="n"/>
      <c r="N71" s="38" t="n"/>
      <c r="O71" s="38" t="n"/>
      <c r="P71" s="38" t="n"/>
      <c r="Q71" s="38" t="n"/>
      <c r="R71" s="38" t="n"/>
      <c r="S71" s="38" t="inlineStr">
        <is>
          <t xml:space="preserve">From source</t>
        </is>
      </c>
      <c r="T71" s="38" t="inlineStr">
        <is>
          <t xml:space="preserve">Port authority tariff application slides, 2 September 2025</t>
        </is>
      </c>
      <c r="U71" s="38" t="inlineStr">
        <is>
          <t xml:space="preserve">PDF p.14</t>
        </is>
      </c>
      <c r="V71" s="38" t="inlineStr">
        <is>
          <t xml:space="preserve">Whether either is delivered is shown only by colour on the slide, which the text does not carry.</t>
        </is>
      </c>
    </row>
    <row r="72" ht="29" customHeight="1">
      <c r="A72" s="38" t="inlineStr">
        <is>
          <t xml:space="preserve">Planned liquid bulk berth at Richards Bay</t>
        </is>
      </c>
      <c r="B72" s="38" t="inlineStr">
        <is>
          <t xml:space="preserve">Richards Bay, berth 210</t>
        </is>
      </c>
      <c r="C72" s="38" t="inlineStr">
        <is>
          <t xml:space="preserve"/>
        </is>
      </c>
      <c r="D72" s="38" t="inlineStr">
        <is>
          <t xml:space="preserve">2025, port framework plan 2022-2032</t>
        </is>
      </c>
      <c r="E72" s="38" t="inlineStr">
        <is>
          <t xml:space="preserve">New liquid bulk berth</t>
        </is>
      </c>
      <c r="K72" s="38" t="n"/>
      <c r="L72" s="38" t="n"/>
      <c r="M72" s="38" t="n"/>
      <c r="N72" s="38" t="n"/>
      <c r="O72" s="38" t="n"/>
      <c r="P72" s="38" t="n"/>
      <c r="Q72" s="38" t="n"/>
      <c r="R72" s="38" t="n"/>
      <c r="S72" s="38" t="inlineStr">
        <is>
          <t xml:space="preserve">From source</t>
        </is>
      </c>
      <c r="T72" s="38" t="inlineStr">
        <is>
          <t xml:space="preserve">Port authority tariff application slides, 2 September 2025</t>
        </is>
      </c>
      <c r="U72" s="38" t="inlineStr">
        <is>
          <t xml:space="preserve">PDF pp.11-12</t>
        </is>
      </c>
      <c r="V72" s="38" t="inlineStr">
        <is>
          <t xml:space="preserve">Delivery status not readable from the text.</t>
        </is>
      </c>
    </row>
    <row r="73" ht="29" customHeight="1">
      <c r="A73" s="38" t="inlineStr">
        <is>
          <t xml:space="preserve">Planned liquid bulk berth at Richards Bay</t>
        </is>
      </c>
      <c r="B73" s="38" t="inlineStr">
        <is>
          <t xml:space="preserve">Richards Bay, South Dunes</t>
        </is>
      </c>
      <c r="C73" s="38" t="inlineStr">
        <is>
          <t xml:space="preserve"/>
        </is>
      </c>
      <c r="D73" s="38" t="inlineStr">
        <is>
          <t xml:space="preserve">2024, port framework plan 2022-2032</t>
        </is>
      </c>
      <c r="E73" s="38" t="inlineStr">
        <is>
          <t xml:space="preserve">Liquid bulk development</t>
        </is>
      </c>
      <c r="K73" s="38" t="n"/>
      <c r="L73" s="38" t="n"/>
      <c r="M73" s="38" t="n"/>
      <c r="N73" s="38" t="n"/>
      <c r="O73" s="38" t="n"/>
      <c r="P73" s="38" t="n"/>
      <c r="Q73" s="38" t="n"/>
      <c r="R73" s="38" t="n"/>
      <c r="S73" s="38" t="inlineStr">
        <is>
          <t xml:space="preserve">From source</t>
        </is>
      </c>
      <c r="T73" s="38" t="inlineStr">
        <is>
          <t xml:space="preserve">Port authority tariff application slides, 2 September 2025</t>
        </is>
      </c>
      <c r="U73" s="38" t="inlineStr">
        <is>
          <t xml:space="preserve">PDF pp.11-12</t>
        </is>
      </c>
      <c r="V73" s="38" t="inlineStr">
        <is>
          <t xml:space="preserve">Delivery status not readable from the text.</t>
        </is>
      </c>
    </row>
    <row r="74" ht="48" customHeight="1">
      <c r="A74" s="38" t="inlineStr">
        <is>
          <t xml:space="preserve">Berths at Island View</t>
        </is>
      </c>
      <c r="B74" s="38" t="inlineStr">
        <is>
          <t xml:space="preserve">Durban, Island View</t>
        </is>
      </c>
      <c r="C74" s="38" t="inlineStr">
        <is>
          <t xml:space="preserve"/>
        </is>
      </c>
      <c r="D74" s="38" t="inlineStr">
        <is>
          <t xml:space="preserve">2026</t>
        </is>
      </c>
      <c r="E74" s="38" t="inlineStr">
        <is>
          <t xml:space="preserve">10 berths, working 24 hours</t>
        </is>
      </c>
      <c r="K74" s="38" t="n"/>
      <c r="L74" s="38" t="n"/>
      <c r="M74" s="38" t="n"/>
      <c r="N74" s="38" t="n"/>
      <c r="O74" s="38" t="n"/>
      <c r="P74" s="38" t="n"/>
      <c r="Q74" s="38" t="n"/>
      <c r="R74" s="38" t="n"/>
      <c r="S74" s="38" t="inlineStr">
        <is>
          <t xml:space="preserve">From source</t>
        </is>
      </c>
      <c r="T74" s="38" t="inlineStr">
        <is>
          <t xml:space="preserve">Report of five Portfolio Committees on the Island View directive, 11 March 2026 (Parliament)</t>
        </is>
      </c>
      <c r="U74" s="38" t="inlineStr">
        <is>
          <t xml:space="preserve">section 2.1</t>
        </is>
      </c>
      <c r="V74" s="38" t="inlineStr">
        <is>
          <t xml:space="preserve">One berth also handles dry bulk. Product leaves the tanks by pipeline, road and rail.</t>
        </is>
      </c>
      <c r="Y74" s="80" t="str">
        <v>G031</v>
      </c>
      <c r="Z74" s="80" t="str">
        <v>Missing data: Competing terminals and captive volumes</v>
      </c>
      <c r="AA74" s="80" t="str">
        <v>Review detail</v>
      </c>
    </row>
    <row r="75" ht="29" customHeight="1">
      <c r="A75" s="38" t="inlineStr">
        <is>
          <t xml:space="preserve">Terminal operator at Island View</t>
        </is>
      </c>
      <c r="B75" s="38" t="inlineStr">
        <is>
          <t xml:space="preserve">Bidvest Tank Terminal</t>
        </is>
      </c>
      <c r="C75" s="38" t="inlineStr">
        <is>
          <t xml:space="preserve"/>
        </is>
      </c>
      <c r="D75" s="38" t="inlineStr">
        <is>
          <t xml:space="preserve">2026</t>
        </is>
      </c>
      <c r="E75" s="38" t="inlineStr">
        <is>
          <t xml:space="preserve">Lease holder; lease to be renewed for 25 years</t>
        </is>
      </c>
      <c r="K75" s="38" t="n"/>
      <c r="L75" s="38" t="n"/>
      <c r="M75" s="38" t="n"/>
      <c r="N75" s="38" t="n"/>
      <c r="O75" s="38" t="n"/>
      <c r="P75" s="38" t="n"/>
      <c r="Q75" s="38" t="n"/>
      <c r="R75" s="38" t="n"/>
      <c r="S75" s="38" t="inlineStr">
        <is>
          <t xml:space="preserve">From source</t>
        </is>
      </c>
      <c r="T75" s="38" t="inlineStr">
        <is>
          <t xml:space="preserve">Report of five Portfolio Committees on the Island View directive, 11 March 2026 (Parliament)</t>
        </is>
      </c>
      <c r="U75" s="38" t="inlineStr">
        <is>
          <t xml:space="preserve">section 2.2</t>
        </is>
      </c>
      <c r="V75" s="38" t="inlineStr">
        <is>
          <t xml:space="preserve">Not all store petrol and diesel.</t>
        </is>
      </c>
    </row>
    <row r="76" ht="29" customHeight="1">
      <c r="A76" s="38" t="inlineStr">
        <is>
          <t xml:space="preserve">Terminal operator at Island View</t>
        </is>
      </c>
      <c r="B76" s="38" t="inlineStr">
        <is>
          <t xml:space="preserve">H&amp;R</t>
        </is>
      </c>
      <c r="C76" s="38" t="inlineStr">
        <is>
          <t xml:space="preserve"/>
        </is>
      </c>
      <c r="D76" s="38" t="inlineStr">
        <is>
          <t xml:space="preserve">2026</t>
        </is>
      </c>
      <c r="E76" s="38" t="inlineStr">
        <is>
          <t xml:space="preserve">Lease holder; lease to be renewed for 25 years</t>
        </is>
      </c>
      <c r="K76" s="38" t="n"/>
      <c r="L76" s="38" t="n"/>
      <c r="M76" s="38" t="n"/>
      <c r="N76" s="38" t="n"/>
      <c r="O76" s="38" t="n"/>
      <c r="P76" s="38" t="n"/>
      <c r="Q76" s="38" t="n"/>
      <c r="R76" s="38" t="n"/>
      <c r="S76" s="38" t="inlineStr">
        <is>
          <t xml:space="preserve">From source</t>
        </is>
      </c>
      <c r="T76" s="38" t="inlineStr">
        <is>
          <t xml:space="preserve">Report of five Portfolio Committees on the Island View directive, 11 March 2026 (Parliament)</t>
        </is>
      </c>
      <c r="U76" s="38" t="inlineStr">
        <is>
          <t xml:space="preserve">section 2.2</t>
        </is>
      </c>
      <c r="V76" s="38" t="inlineStr">
        <is>
          <t xml:space="preserve">Not all store petrol and diesel.</t>
        </is>
      </c>
    </row>
    <row r="77" ht="29" customHeight="1">
      <c r="A77" s="38" t="inlineStr">
        <is>
          <t xml:space="preserve">Terminal operator at Island View</t>
        </is>
      </c>
      <c r="B77" s="38" t="inlineStr">
        <is>
          <t xml:space="preserve">Chemoleo</t>
        </is>
      </c>
      <c r="C77" s="38" t="inlineStr">
        <is>
          <t xml:space="preserve"/>
        </is>
      </c>
      <c r="D77" s="38" t="inlineStr">
        <is>
          <t xml:space="preserve">2026</t>
        </is>
      </c>
      <c r="E77" s="38" t="inlineStr">
        <is>
          <t xml:space="preserve">Lease holder; lease to be renewed for 25 years</t>
        </is>
      </c>
      <c r="K77" s="38" t="n"/>
      <c r="L77" s="38" t="n"/>
      <c r="M77" s="38" t="n"/>
      <c r="N77" s="38" t="n"/>
      <c r="O77" s="38" t="n"/>
      <c r="P77" s="38" t="n"/>
      <c r="Q77" s="38" t="n"/>
      <c r="R77" s="38" t="n"/>
      <c r="S77" s="38" t="inlineStr">
        <is>
          <t xml:space="preserve">From source</t>
        </is>
      </c>
      <c r="T77" s="38" t="inlineStr">
        <is>
          <t xml:space="preserve">Report of five Portfolio Committees on the Island View directive, 11 March 2026 (Parliament)</t>
        </is>
      </c>
      <c r="U77" s="38" t="inlineStr">
        <is>
          <t xml:space="preserve">section 2.2</t>
        </is>
      </c>
      <c r="V77" s="38" t="inlineStr">
        <is>
          <t xml:space="preserve">Not all store petrol and diesel.</t>
        </is>
      </c>
    </row>
    <row r="78" ht="29" customHeight="1">
      <c r="A78" s="38" t="inlineStr">
        <is>
          <t xml:space="preserve">Terminal operator at Island View</t>
        </is>
      </c>
      <c r="B78" s="38" t="inlineStr">
        <is>
          <t xml:space="preserve">Unico Tec</t>
        </is>
      </c>
      <c r="C78" s="38" t="inlineStr">
        <is>
          <t xml:space="preserve"/>
        </is>
      </c>
      <c r="D78" s="38" t="inlineStr">
        <is>
          <t xml:space="preserve">2026</t>
        </is>
      </c>
      <c r="E78" s="38" t="inlineStr">
        <is>
          <t xml:space="preserve">Lease holder; lease to be renewed for 25 years</t>
        </is>
      </c>
      <c r="K78" s="38" t="n"/>
      <c r="L78" s="38" t="n"/>
      <c r="M78" s="38" t="n"/>
      <c r="N78" s="38" t="n"/>
      <c r="O78" s="38" t="n"/>
      <c r="P78" s="38" t="n"/>
      <c r="Q78" s="38" t="n"/>
      <c r="R78" s="38" t="n"/>
      <c r="S78" s="38" t="inlineStr">
        <is>
          <t xml:space="preserve">From source</t>
        </is>
      </c>
      <c r="T78" s="38" t="inlineStr">
        <is>
          <t xml:space="preserve">Report of five Portfolio Committees on the Island View directive, 11 March 2026 (Parliament)</t>
        </is>
      </c>
      <c r="U78" s="38" t="inlineStr">
        <is>
          <t xml:space="preserve">section 2.2</t>
        </is>
      </c>
      <c r="V78" s="38" t="inlineStr">
        <is>
          <t xml:space="preserve">Not all store petrol and diesel.</t>
        </is>
      </c>
    </row>
    <row r="79" ht="29" customHeight="1">
      <c r="A79" s="38" t="inlineStr">
        <is>
          <t xml:space="preserve">Terminal operator at Island View</t>
        </is>
      </c>
      <c r="B79" s="38" t="inlineStr">
        <is>
          <t xml:space="preserve">Astron Energy</t>
        </is>
      </c>
      <c r="C79" s="38" t="inlineStr">
        <is>
          <t xml:space="preserve"/>
        </is>
      </c>
      <c r="D79" s="38" t="inlineStr">
        <is>
          <t xml:space="preserve">2026</t>
        </is>
      </c>
      <c r="E79" s="38" t="inlineStr">
        <is>
          <t xml:space="preserve">Lease holder; lease to be renewed for 25 years</t>
        </is>
      </c>
      <c r="K79" s="38" t="n"/>
      <c r="L79" s="38" t="n"/>
      <c r="M79" s="38" t="n"/>
      <c r="N79" s="38" t="n"/>
      <c r="O79" s="38" t="n"/>
      <c r="P79" s="38" t="n"/>
      <c r="Q79" s="38" t="n"/>
      <c r="R79" s="38" t="n"/>
      <c r="S79" s="38" t="inlineStr">
        <is>
          <t xml:space="preserve">From source</t>
        </is>
      </c>
      <c r="T79" s="38" t="inlineStr">
        <is>
          <t xml:space="preserve">Report of five Portfolio Committees on the Island View directive, 11 March 2026 (Parliament)</t>
        </is>
      </c>
      <c r="U79" s="38" t="inlineStr">
        <is>
          <t xml:space="preserve">section 2.2</t>
        </is>
      </c>
      <c r="V79" s="38" t="inlineStr">
        <is>
          <t xml:space="preserve">Not all store petrol and diesel.</t>
        </is>
      </c>
    </row>
    <row r="80" ht="29" customHeight="1">
      <c r="A80" s="38" t="inlineStr">
        <is>
          <t xml:space="preserve">Terminal operator at Island View</t>
        </is>
      </c>
      <c r="B80" s="38" t="inlineStr">
        <is>
          <t xml:space="preserve">Vopak Terminal Durban</t>
        </is>
      </c>
      <c r="C80" s="38" t="inlineStr">
        <is>
          <t xml:space="preserve"/>
        </is>
      </c>
      <c r="D80" s="38" t="inlineStr">
        <is>
          <t xml:space="preserve">2026</t>
        </is>
      </c>
      <c r="E80" s="38" t="inlineStr">
        <is>
          <t xml:space="preserve">Lease holder; lease to be renewed for 25 years</t>
        </is>
      </c>
      <c r="K80" s="38" t="n"/>
      <c r="L80" s="38" t="n"/>
      <c r="M80" s="38" t="n"/>
      <c r="N80" s="38" t="n"/>
      <c r="O80" s="38" t="n"/>
      <c r="P80" s="38" t="n"/>
      <c r="Q80" s="38" t="n"/>
      <c r="R80" s="38" t="n"/>
      <c r="S80" s="38" t="inlineStr">
        <is>
          <t xml:space="preserve">From source</t>
        </is>
      </c>
      <c r="T80" s="38" t="inlineStr">
        <is>
          <t xml:space="preserve">Report of five Portfolio Committees on the Island View directive, 11 March 2026 (Parliament)</t>
        </is>
      </c>
      <c r="U80" s="38" t="inlineStr">
        <is>
          <t xml:space="preserve">section 2.2</t>
        </is>
      </c>
      <c r="V80" s="38" t="inlineStr">
        <is>
          <t xml:space="preserve">Not all store petrol and diesel.</t>
        </is>
      </c>
    </row>
    <row r="81" ht="29" customHeight="1">
      <c r="A81" s="38" t="inlineStr">
        <is>
          <t xml:space="preserve">Terminal operator at Island View</t>
        </is>
      </c>
      <c r="B81" s="38" t="inlineStr">
        <is>
          <t xml:space="preserve">Engen</t>
        </is>
      </c>
      <c r="C81" s="38" t="inlineStr">
        <is>
          <t xml:space="preserve"/>
        </is>
      </c>
      <c r="D81" s="38" t="inlineStr">
        <is>
          <t xml:space="preserve">2026</t>
        </is>
      </c>
      <c r="E81" s="38" t="inlineStr">
        <is>
          <t xml:space="preserve">Lease holder; lease to be renewed for 25 years</t>
        </is>
      </c>
      <c r="K81" s="38" t="n"/>
      <c r="L81" s="38" t="n"/>
      <c r="M81" s="38" t="n"/>
      <c r="N81" s="38" t="n"/>
      <c r="O81" s="38" t="n"/>
      <c r="P81" s="38" t="n"/>
      <c r="Q81" s="38" t="n"/>
      <c r="R81" s="38" t="n"/>
      <c r="S81" s="38" t="inlineStr">
        <is>
          <t xml:space="preserve">From source</t>
        </is>
      </c>
      <c r="T81" s="38" t="inlineStr">
        <is>
          <t xml:space="preserve">Report of five Portfolio Committees on the Island View directive, 11 March 2026 (Parliament)</t>
        </is>
      </c>
      <c r="U81" s="38" t="inlineStr">
        <is>
          <t xml:space="preserve">section 2.2</t>
        </is>
      </c>
      <c r="V81" s="38" t="inlineStr">
        <is>
          <t xml:space="preserve">Not all store petrol and diesel.</t>
        </is>
      </c>
    </row>
    <row r="82" ht="29" customHeight="1">
      <c r="A82" s="38" t="inlineStr">
        <is>
          <t xml:space="preserve">Terminal operator at Island View</t>
        </is>
      </c>
      <c r="B82" s="38" t="inlineStr">
        <is>
          <t xml:space="preserve">TotalEnergies</t>
        </is>
      </c>
      <c r="C82" s="38" t="inlineStr">
        <is>
          <t xml:space="preserve"/>
        </is>
      </c>
      <c r="D82" s="38" t="inlineStr">
        <is>
          <t xml:space="preserve">2026</t>
        </is>
      </c>
      <c r="E82" s="38" t="inlineStr">
        <is>
          <t xml:space="preserve">Lease holder; lease to be renewed for 25 years</t>
        </is>
      </c>
      <c r="K82" s="38" t="n"/>
      <c r="L82" s="38" t="n"/>
      <c r="M82" s="38" t="n"/>
      <c r="N82" s="38" t="n"/>
      <c r="O82" s="38" t="n"/>
      <c r="P82" s="38" t="n"/>
      <c r="Q82" s="38" t="n"/>
      <c r="R82" s="38" t="n"/>
      <c r="S82" s="38" t="inlineStr">
        <is>
          <t xml:space="preserve">From source</t>
        </is>
      </c>
      <c r="T82" s="38" t="inlineStr">
        <is>
          <t xml:space="preserve">Report of five Portfolio Committees on the Island View directive, 11 March 2026 (Parliament)</t>
        </is>
      </c>
      <c r="U82" s="38" t="inlineStr">
        <is>
          <t xml:space="preserve">section 2.2</t>
        </is>
      </c>
      <c r="V82" s="38" t="inlineStr">
        <is>
          <t xml:space="preserve">Not all store petrol and diesel.</t>
        </is>
      </c>
    </row>
    <row r="83" ht="29" customHeight="1">
      <c r="A83" s="38" t="inlineStr">
        <is>
          <t xml:space="preserve">Terminal operator at Island View</t>
        </is>
      </c>
      <c r="B83" s="38" t="inlineStr">
        <is>
          <t xml:space="preserve">Sapref</t>
        </is>
      </c>
      <c r="C83" s="38" t="inlineStr">
        <is>
          <t xml:space="preserve"/>
        </is>
      </c>
      <c r="D83" s="38" t="inlineStr">
        <is>
          <t xml:space="preserve">2026</t>
        </is>
      </c>
      <c r="E83" s="38" t="inlineStr">
        <is>
          <t xml:space="preserve">Lease holder; lease to be renewed for 25 years</t>
        </is>
      </c>
      <c r="K83" s="38" t="n"/>
      <c r="L83" s="38" t="n"/>
      <c r="M83" s="38" t="n"/>
      <c r="N83" s="38" t="n"/>
      <c r="O83" s="38" t="n"/>
      <c r="P83" s="38" t="n"/>
      <c r="Q83" s="38" t="n"/>
      <c r="R83" s="38" t="n"/>
      <c r="S83" s="38" t="inlineStr">
        <is>
          <t xml:space="preserve">From source</t>
        </is>
      </c>
      <c r="T83" s="38" t="inlineStr">
        <is>
          <t xml:space="preserve">Report of five Portfolio Committees on the Island View directive, 11 March 2026 (Parliament)</t>
        </is>
      </c>
      <c r="U83" s="38" t="inlineStr">
        <is>
          <t xml:space="preserve">section 2.2</t>
        </is>
      </c>
      <c r="V83" s="38" t="inlineStr">
        <is>
          <t xml:space="preserve">Not all store petrol and diesel.</t>
        </is>
      </c>
    </row>
    <row r="84" ht="29" customHeight="1">
      <c r="A84" s="38" t="inlineStr">
        <is>
          <t xml:space="preserve">Terminal operator at Island View</t>
        </is>
      </c>
      <c r="B84" s="38" t="inlineStr">
        <is>
          <t xml:space="preserve">Sasol</t>
        </is>
      </c>
      <c r="C84" s="38" t="inlineStr">
        <is>
          <t xml:space="preserve"/>
        </is>
      </c>
      <c r="D84" s="38" t="inlineStr">
        <is>
          <t xml:space="preserve">2026</t>
        </is>
      </c>
      <c r="E84" s="38" t="inlineStr">
        <is>
          <t xml:space="preserve">Lease holder; lease to be renewed for 25 years</t>
        </is>
      </c>
      <c r="K84" s="38" t="n"/>
      <c r="L84" s="38" t="n"/>
      <c r="M84" s="38" t="n"/>
      <c r="N84" s="38" t="n"/>
      <c r="O84" s="38" t="n"/>
      <c r="P84" s="38" t="n"/>
      <c r="Q84" s="38" t="n"/>
      <c r="R84" s="38" t="n"/>
      <c r="S84" s="38" t="inlineStr">
        <is>
          <t xml:space="preserve">From source</t>
        </is>
      </c>
      <c r="T84" s="38" t="inlineStr">
        <is>
          <t xml:space="preserve">Report of five Portfolio Committees on the Island View directive, 11 March 2026 (Parliament)</t>
        </is>
      </c>
      <c r="U84" s="38" t="inlineStr">
        <is>
          <t xml:space="preserve">section 2.2</t>
        </is>
      </c>
      <c r="V84" s="38" t="inlineStr">
        <is>
          <t xml:space="preserve">Not all store petrol and diesel.</t>
        </is>
      </c>
    </row>
    <row r="85" ht="29" customHeight="1">
      <c r="A85" s="38" t="inlineStr">
        <is>
          <t xml:space="preserve">TotalEnergies' storage constraint</t>
        </is>
      </c>
      <c r="B85" s="38" t="inlineStr">
        <is>
          <t xml:space="preserve">Durban, Island View</t>
        </is>
      </c>
      <c r="C85" s="38" t="inlineStr">
        <is>
          <t xml:space="preserve"/>
        </is>
      </c>
      <c r="D85" s="38" t="inlineStr">
        <is>
          <t xml:space="preserve">2024</t>
        </is>
      </c>
      <c r="E85" s="38" t="inlineStr">
        <is>
          <t xml:space="preserve">Could import only 78% of its fuel needs</t>
        </is>
      </c>
      <c r="K85" s="38" t="n"/>
      <c r="L85" s="38" t="n"/>
      <c r="M85" s="38" t="n"/>
      <c r="N85" s="38" t="n"/>
      <c r="O85" s="38" t="n"/>
      <c r="P85" s="38" t="n"/>
      <c r="Q85" s="38" t="n"/>
      <c r="R85" s="38" t="n"/>
      <c r="S85" s="38" t="inlineStr">
        <is>
          <t xml:space="preserve">From source</t>
        </is>
      </c>
      <c r="T85" s="38" t="inlineStr">
        <is>
          <t xml:space="preserve">Report of five Portfolio Committees on the Island View directive, 11 March 2026 (Parliament)</t>
        </is>
      </c>
      <c r="U85" s="38" t="inlineStr">
        <is>
          <t xml:space="preserve">section 5</t>
        </is>
      </c>
      <c r="V85" s="38" t="inlineStr">
        <is>
          <t xml:space="preserve">The operator's statement to Parliament: its Island View storage is too small and full cargoes cannot be offloaded into its site.</t>
        </is>
      </c>
    </row>
    <row r="86" ht="48" customHeight="1">
      <c r="A86" s="45" t="inlineStr">
        <is>
          <t xml:space="preserve">Liquid bulk capacity and tankage</t>
        </is>
      </c>
      <c r="B86" s="45" t="inlineStr">
        <is>
          <t xml:space="preserve">Durban, Island View</t>
        </is>
      </c>
      <c r="C86" s="45" t="inlineStr">
        <is>
          <t xml:space="preserve">kilolitres a year; berths; m3</t>
        </is>
      </c>
      <c r="D86" s="45" t="inlineStr">
        <is>
          <t xml:space="preserve"/>
        </is>
      </c>
      <c r="E86" s="45" t="inlineStr">
        <is>
          <t xml:space="preserve">Not available</t>
        </is>
      </c>
      <c r="K86" s="45" t="n"/>
      <c r="L86" s="45" t="n"/>
      <c r="M86" s="45" t="n"/>
      <c r="N86" s="45" t="n"/>
      <c r="O86" s="45" t="n"/>
      <c r="P86" s="45" t="n"/>
      <c r="Q86" s="45" t="n"/>
      <c r="R86" s="45" t="n"/>
      <c r="S86" s="45" t="inlineStr">
        <is>
          <t xml:space="preserve">Not available</t>
        </is>
      </c>
      <c r="T86" s="45" t="inlineStr">
        <is>
          <t xml:space="preserve">None found for petrol and diesel</t>
        </is>
      </c>
      <c r="U86" s="45" t="inlineStr">
        <is>
          <t xml:space="preserve"/>
        </is>
      </c>
      <c r="V86" s="45" t="inlineStr">
        <is>
          <t xml:space="preserve">Parliament's report gives berths and tenants but no capacity. Earlier search summaries quoting 19.5 million kilolitres a year were not traced to a document. Needs the port authority or Vopak.</t>
        </is>
      </c>
      <c r="Y86" s="80" t="str">
        <v>G007</v>
      </c>
      <c r="Z86" s="80" t="str">
        <v>Missing data: Liquid bulk capacity and tankage</v>
      </c>
      <c r="AA86" s="80" t="str">
        <v>Review detail</v>
      </c>
    </row>
    <row r="88">
      <c r="A88" s="35" t="inlineStr">
        <is>
          <t xml:space="preserve">Access</t>
        </is>
      </c>
      <c r="B88" s="35" t="n"/>
      <c r="C88" s="35" t="n"/>
      <c r="D88" s="35" t="n"/>
      <c r="E88" s="35" t="n"/>
      <c r="F88" s="35" t="n"/>
      <c r="G88" s="35" t="n"/>
      <c r="H88" s="35" t="n"/>
      <c r="I88" s="35" t="n"/>
      <c r="J88" s="35" t="n"/>
      <c r="K88" s="35" t="n"/>
      <c r="L88" s="35" t="n"/>
      <c r="M88" s="35" t="n"/>
      <c r="N88" s="35" t="n"/>
      <c r="O88" s="35" t="n"/>
      <c r="P88" s="35" t="n"/>
      <c r="Q88" s="35" t="n"/>
      <c r="R88" s="35" t="n"/>
      <c r="S88" s="35" t="n"/>
      <c r="T88" s="35" t="n"/>
      <c r="U88" s="35" t="n"/>
      <c r="V88" s="35" t="n"/>
      <c r="W88" s="35" t="n"/>
    </row>
    <row r="89">
      <c r="A89" s="36" t="inlineStr">
        <is>
          <t xml:space="preserve">Item</t>
        </is>
      </c>
      <c r="B89" s="36" t="inlineStr">
        <is>
          <t xml:space="preserve">Asset or route</t>
        </is>
      </c>
      <c r="C89" s="36" t="inlineStr">
        <is>
          <t xml:space="preserve">Unit</t>
        </is>
      </c>
      <c r="D89" s="36" t="inlineStr">
        <is>
          <t xml:space="preserve">Period</t>
        </is>
      </c>
      <c r="E89" s="36" t="inlineStr">
        <is>
          <t xml:space="preserve">Value</t>
        </is>
      </c>
      <c r="K89" s="36" t="n"/>
      <c r="L89" s="36" t="n"/>
      <c r="M89" s="36" t="n"/>
      <c r="N89" s="36" t="n"/>
      <c r="O89" s="36" t="n"/>
      <c r="P89" s="36" t="n"/>
      <c r="Q89" s="36" t="n"/>
      <c r="R89" s="36" t="n"/>
      <c r="S89" s="36" t="inlineStr">
        <is>
          <t xml:space="preserve">Status</t>
        </is>
      </c>
      <c r="T89" s="36" t="inlineStr">
        <is>
          <t xml:space="preserve">Source</t>
        </is>
      </c>
      <c r="U89" s="36" t="inlineStr">
        <is>
          <t xml:space="preserve">Page</t>
        </is>
      </c>
      <c r="V89" s="36" t="inlineStr">
        <is>
          <t xml:space="preserve">Note</t>
        </is>
      </c>
    </row>
    <row r="90" ht="48" customHeight="1">
      <c r="A90" s="38" t="inlineStr">
        <is>
          <t xml:space="preserve">Lesedi connection to the pipeline</t>
        </is>
      </c>
      <c r="B90" s="38" t="inlineStr">
        <is>
          <t xml:space="preserve">Vopak Lesedi, Jameson Park</t>
        </is>
      </c>
      <c r="C90" s="38" t="inlineStr">
        <is>
          <t xml:space="preserve"/>
        </is>
      </c>
      <c r="D90" s="38" t="inlineStr">
        <is>
          <t xml:space="preserve">licence of 26 August 2020</t>
        </is>
      </c>
      <c r="E90" s="38" t="inlineStr">
        <is>
          <t xml:space="preserve">Four pipelines to the Transnet system at Jameson Park; intake from the Transnet pipeline</t>
        </is>
      </c>
      <c r="K90" s="38" t="n"/>
      <c r="L90" s="38" t="n"/>
      <c r="M90" s="38" t="n"/>
      <c r="N90" s="38" t="n"/>
      <c r="O90" s="38" t="n"/>
      <c r="P90" s="38" t="n"/>
      <c r="Q90" s="38" t="n"/>
      <c r="R90" s="38" t="n"/>
      <c r="S90" s="38" t="inlineStr">
        <is>
          <t xml:space="preserve">From source</t>
        </is>
      </c>
      <c r="T90" s="38" t="inlineStr">
        <is>
          <t xml:space="preserve">NERSA reasons for decision, Vopak licence amendment</t>
        </is>
      </c>
      <c r="U90" s="38" t="inlineStr">
        <is>
          <t xml:space="preserve">PDF p.6</t>
        </is>
      </c>
      <c r="V90" s="38" t="inlineStr">
        <is>
          <t xml:space="preserve"/>
        </is>
      </c>
      <c r="Y90" s="80" t="str">
        <v>G033</v>
      </c>
      <c r="Z90" s="80" t="str">
        <v>Missing data: Peak logistics reliability and limits</v>
      </c>
      <c r="AA90" s="80" t="str">
        <v>Review detail</v>
      </c>
    </row>
    <row r="91" ht="15.5" customHeight="1">
      <c r="A91" s="38" t="inlineStr">
        <is>
          <t xml:space="preserve">Lesedi dispatch</t>
        </is>
      </c>
      <c r="B91" s="38" t="inlineStr">
        <is>
          <t xml:space="preserve">Vopak Lesedi, Jameson Park</t>
        </is>
      </c>
      <c r="C91" s="38" t="inlineStr">
        <is>
          <t xml:space="preserve">road loading bays</t>
        </is>
      </c>
      <c r="D91" s="38" t="inlineStr">
        <is>
          <t xml:space="preserve">2025</t>
        </is>
      </c>
      <c r="E91" s="41" t="n">
        <v>8</v>
      </c>
      <c r="K91" s="38" t="n"/>
      <c r="L91" s="38" t="n"/>
      <c r="M91" s="38" t="n"/>
      <c r="N91" s="38" t="n"/>
      <c r="O91" s="38" t="n"/>
      <c r="P91" s="38" t="n"/>
      <c r="Q91" s="38" t="n"/>
      <c r="R91" s="38" t="n"/>
      <c r="S91" s="38" t="inlineStr">
        <is>
          <t xml:space="preserve">From source</t>
        </is>
      </c>
      <c r="T91" s="38" t="inlineStr">
        <is>
          <t xml:space="preserve">NERSA reasons for decision, Vopak licence amendment</t>
        </is>
      </c>
      <c r="U91" s="38" t="inlineStr">
        <is>
          <t xml:space="preserve">PDF p.7</t>
        </is>
      </c>
      <c r="V91" s="38" t="inlineStr">
        <is>
          <t xml:space="preserve">Dispatch is by road only; no rail or outbound pipeline is mentioned.</t>
        </is>
      </c>
    </row>
    <row r="92" ht="29" customHeight="1">
      <c r="A92" s="38" t="inlineStr">
        <is>
          <t xml:space="preserve">Lesedi licensed capacity</t>
        </is>
      </c>
      <c r="B92" s="38" t="inlineStr">
        <is>
          <t xml:space="preserve">Vopak Lesedi, Jameson Park</t>
        </is>
      </c>
      <c r="C92" s="38" t="inlineStr">
        <is>
          <t xml:space="preserve">m3</t>
        </is>
      </c>
      <c r="D92" s="38" t="inlineStr">
        <is>
          <t xml:space="preserve">2020</t>
        </is>
      </c>
      <c r="E92" s="41" t="n">
        <v>100000</v>
      </c>
      <c r="K92" s="38" t="n"/>
      <c r="L92" s="38" t="n"/>
      <c r="M92" s="38" t="n"/>
      <c r="N92" s="38" t="n"/>
      <c r="O92" s="38" t="n"/>
      <c r="P92" s="38" t="n"/>
      <c r="Q92" s="38" t="n"/>
      <c r="R92" s="38" t="n"/>
      <c r="S92" s="38" t="inlineStr">
        <is>
          <t xml:space="preserve">From source</t>
        </is>
      </c>
      <c r="T92" s="38" t="inlineStr">
        <is>
          <t xml:space="preserve">NERSA reasons for decision, Vopak licence amendment</t>
        </is>
      </c>
      <c r="U92" s="38" t="inlineStr">
        <is>
          <t xml:space="preserve">PDF p.6</t>
        </is>
      </c>
      <c r="V92" s="38" t="inlineStr">
        <is>
          <t xml:space="preserve">Design capacity. Six tanks (three diesel, three petrol) plus two diesel tanks.</t>
        </is>
      </c>
    </row>
    <row r="93" ht="29" customHeight="1">
      <c r="A93" s="38" t="inlineStr">
        <is>
          <t xml:space="preserve">Lesedi licensed capacity</t>
        </is>
      </c>
      <c r="B93" s="38" t="inlineStr">
        <is>
          <t xml:space="preserve">Vopak Lesedi, Jameson Park</t>
        </is>
      </c>
      <c r="C93" s="38" t="inlineStr">
        <is>
          <t xml:space="preserve">m3</t>
        </is>
      </c>
      <c r="D93" s="38" t="inlineStr">
        <is>
          <t xml:space="preserve">after the 2025 expansion</t>
        </is>
      </c>
      <c r="E93" s="41" t="n">
        <v>140000</v>
      </c>
      <c r="K93" s="38" t="n"/>
      <c r="L93" s="38" t="n"/>
      <c r="M93" s="38" t="n"/>
      <c r="N93" s="38" t="n"/>
      <c r="O93" s="38" t="n"/>
      <c r="P93" s="38" t="n"/>
      <c r="Q93" s="38" t="n"/>
      <c r="R93" s="38" t="n"/>
      <c r="S93" s="38" t="inlineStr">
        <is>
          <t xml:space="preserve">From source</t>
        </is>
      </c>
      <c r="T93" s="38" t="inlineStr">
        <is>
          <t xml:space="preserve">NERSA reasons for decision, Vopak licence amendment</t>
        </is>
      </c>
      <c r="U93" s="38" t="inlineStr">
        <is>
          <t xml:space="preserve">PDF p.6</t>
        </is>
      </c>
      <c r="V93" s="38" t="inlineStr">
        <is>
          <t xml:space="preserve">Design capacity. Six tanks (three diesel, three petrol) plus two diesel tanks.</t>
        </is>
      </c>
    </row>
    <row r="94" ht="48" customHeight="1">
      <c r="A94" s="38" t="inlineStr">
        <is>
          <t xml:space="preserve">Who ships to Lesedi</t>
        </is>
      </c>
      <c r="B94" s="38" t="inlineStr">
        <is>
          <t xml:space="preserve">Durban to Jameson Park</t>
        </is>
      </c>
      <c r="C94" s="38" t="inlineStr">
        <is>
          <t xml:space="preserve"/>
        </is>
      </c>
      <c r="D94" s="38" t="inlineStr">
        <is>
          <t xml:space="preserve">2024/25</t>
        </is>
      </c>
      <c r="E94" s="38" t="inlineStr">
        <is>
          <t xml:space="preserve">Lesedi's contracted customers are shippers on the Transnet pipeline from Durban, with one exception</t>
        </is>
      </c>
      <c r="K94" s="38" t="n"/>
      <c r="L94" s="38" t="n"/>
      <c r="M94" s="38" t="n"/>
      <c r="N94" s="38" t="n"/>
      <c r="O94" s="38" t="n"/>
      <c r="P94" s="38" t="n"/>
      <c r="Q94" s="38" t="n"/>
      <c r="R94" s="38" t="n"/>
      <c r="S94" s="38" t="inlineStr">
        <is>
          <t xml:space="preserve">From source</t>
        </is>
      </c>
      <c r="T94" s="38" t="inlineStr">
        <is>
          <t xml:space="preserve">NERSA reasons for decision, Vopak licence amendment</t>
        </is>
      </c>
      <c r="U94" s="38" t="inlineStr">
        <is>
          <t xml:space="preserve">PDF p.9</t>
        </is>
      </c>
      <c r="V94" s="38" t="inlineStr">
        <is>
          <t xml:space="preserve">Customer names are redacted.</t>
        </is>
      </c>
      <c r="Y94" s="80" t="str">
        <v>G029</v>
      </c>
      <c r="Z94" s="80" t="str">
        <v>Missing data: Vopak Durban injection and transfer access</v>
      </c>
      <c r="AA94" s="80" t="str">
        <v>Review detail</v>
      </c>
    </row>
    <row r="95" ht="29" customHeight="1">
      <c r="A95" s="38" t="inlineStr">
        <is>
          <t xml:space="preserve">Durban terminal receipt</t>
        </is>
      </c>
      <c r="B95" s="38" t="inlineStr">
        <is>
          <t xml:space="preserve">Vopak Terminal Durban, Island View</t>
        </is>
      </c>
      <c r="C95" s="38" t="inlineStr">
        <is>
          <t xml:space="preserve"/>
        </is>
      </c>
      <c r="D95" s="38" t="inlineStr">
        <is>
          <t xml:space="preserve">undated allocation mechanism</t>
        </is>
      </c>
      <c r="E95" s="38" t="inlineStr">
        <is>
          <t xml:space="preserve">By ship (own lines at jetties 1, 2 and 4; industry lines at berths 6, 7 and 8) and by pipeline transfer from neighbouring companies</t>
        </is>
      </c>
      <c r="K95" s="38" t="n"/>
      <c r="L95" s="38" t="n"/>
      <c r="M95" s="38" t="n"/>
      <c r="N95" s="38" t="n"/>
      <c r="O95" s="38" t="n"/>
      <c r="P95" s="38" t="n"/>
      <c r="Q95" s="38" t="n"/>
      <c r="R95" s="38" t="n"/>
      <c r="S95" s="38" t="inlineStr">
        <is>
          <t xml:space="preserve">From source</t>
        </is>
      </c>
      <c r="T95" s="38" t="inlineStr">
        <is>
          <t xml:space="preserve">Vopak Terminal Durban allocation mechanism filed with NERSA</t>
        </is>
      </c>
      <c r="U95" s="38" t="inlineStr">
        <is>
          <t xml:space="preserve">p.5</t>
        </is>
      </c>
      <c r="V95" s="38" t="inlineStr">
        <is>
          <t xml:space="preserve">The document is old: it gives 18,091 m3 of petroleum storage, far below today's. Berth access needs confirming with Vopak.</t>
        </is>
      </c>
    </row>
    <row r="96" ht="29" customHeight="1">
      <c r="A96" s="38" t="inlineStr">
        <is>
          <t xml:space="preserve">Durban terminal dispatch</t>
        </is>
      </c>
      <c r="B96" s="38" t="inlineStr">
        <is>
          <t xml:space="preserve">Vopak Terminal Durban, Island View</t>
        </is>
      </c>
      <c r="C96" s="38" t="inlineStr">
        <is>
          <t xml:space="preserve"/>
        </is>
      </c>
      <c r="D96" s="38" t="inlineStr">
        <is>
          <t xml:space="preserve">undated allocation mechanism</t>
        </is>
      </c>
      <c r="E96" s="38" t="inlineStr">
        <is>
          <t xml:space="preserve">Mainly road; also ship or barge loading and pipeline transfer</t>
        </is>
      </c>
      <c r="K96" s="38" t="n"/>
      <c r="L96" s="38" t="n"/>
      <c r="M96" s="38" t="n"/>
      <c r="N96" s="38" t="n"/>
      <c r="O96" s="38" t="n"/>
      <c r="P96" s="38" t="n"/>
      <c r="Q96" s="38" t="n"/>
      <c r="R96" s="38" t="n"/>
      <c r="S96" s="38" t="inlineStr">
        <is>
          <t xml:space="preserve">From source</t>
        </is>
      </c>
      <c r="T96" s="38" t="inlineStr">
        <is>
          <t xml:space="preserve">Vopak Terminal Durban allocation mechanism filed with NERSA</t>
        </is>
      </c>
      <c r="U96" s="38" t="inlineStr">
        <is>
          <t xml:space="preserve">pp.4, 6</t>
        </is>
      </c>
      <c r="V96" s="38" t="inlineStr">
        <is>
          <t xml:space="preserve">Whether Vopak Durban injects directly into the Transnet trunk line is not stated in this document.</t>
        </is>
      </c>
    </row>
    <row r="97" ht="29" customHeight="1">
      <c r="A97" s="38" t="inlineStr">
        <is>
          <t xml:space="preserve">Notice period at Durban</t>
        </is>
      </c>
      <c r="B97" s="38" t="inlineStr">
        <is>
          <t xml:space="preserve">Vopak Terminal Durban, a vessel</t>
        </is>
      </c>
      <c r="C97" s="38" t="inlineStr">
        <is>
          <t xml:space="preserve"/>
        </is>
      </c>
      <c r="D97" s="38" t="inlineStr">
        <is>
          <t xml:space="preserve">undated allocation mechanism</t>
        </is>
      </c>
      <c r="E97" s="38" t="inlineStr">
        <is>
          <t xml:space="preserve">Two weeks</t>
        </is>
      </c>
      <c r="K97" s="38" t="n"/>
      <c r="L97" s="38" t="n"/>
      <c r="M97" s="38" t="n"/>
      <c r="N97" s="38" t="n"/>
      <c r="O97" s="38" t="n"/>
      <c r="P97" s="38" t="n"/>
      <c r="Q97" s="38" t="n"/>
      <c r="R97" s="38" t="n"/>
      <c r="S97" s="38" t="inlineStr">
        <is>
          <t xml:space="preserve">From source</t>
        </is>
      </c>
      <c r="T97" s="38" t="inlineStr">
        <is>
          <t xml:space="preserve">Vopak Terminal Durban allocation mechanism filed with NERSA</t>
        </is>
      </c>
      <c r="U97" s="38" t="inlineStr">
        <is>
          <t xml:space="preserve">p.3</t>
        </is>
      </c>
      <c r="V97" s="38" t="inlineStr">
        <is>
          <t xml:space="preserve">Old document; confirm with Vopak.</t>
        </is>
      </c>
    </row>
    <row r="98" ht="29" customHeight="1">
      <c r="A98" s="38" t="inlineStr">
        <is>
          <t xml:space="preserve">Notice period at Durban</t>
        </is>
      </c>
      <c r="B98" s="38" t="inlineStr">
        <is>
          <t xml:space="preserve">Vopak Terminal Durban, a pipeline transfer</t>
        </is>
      </c>
      <c r="C98" s="38" t="inlineStr">
        <is>
          <t xml:space="preserve"/>
        </is>
      </c>
      <c r="D98" s="38" t="inlineStr">
        <is>
          <t xml:space="preserve">undated allocation mechanism</t>
        </is>
      </c>
      <c r="E98" s="38" t="inlineStr">
        <is>
          <t xml:space="preserve">One week</t>
        </is>
      </c>
      <c r="K98" s="38" t="n"/>
      <c r="L98" s="38" t="n"/>
      <c r="M98" s="38" t="n"/>
      <c r="N98" s="38" t="n"/>
      <c r="O98" s="38" t="n"/>
      <c r="P98" s="38" t="n"/>
      <c r="Q98" s="38" t="n"/>
      <c r="R98" s="38" t="n"/>
      <c r="S98" s="38" t="inlineStr">
        <is>
          <t xml:space="preserve">From source</t>
        </is>
      </c>
      <c r="T98" s="38" t="inlineStr">
        <is>
          <t xml:space="preserve">Vopak Terminal Durban allocation mechanism filed with NERSA</t>
        </is>
      </c>
      <c r="U98" s="38" t="inlineStr">
        <is>
          <t xml:space="preserve">p.3</t>
        </is>
      </c>
      <c r="V98" s="38" t="inlineStr">
        <is>
          <t xml:space="preserve">Old document; confirm with Vopak.</t>
        </is>
      </c>
    </row>
    <row r="99" ht="29" customHeight="1">
      <c r="A99" s="38" t="inlineStr">
        <is>
          <t xml:space="preserve">Notice period at Durban</t>
        </is>
      </c>
      <c r="B99" s="38" t="inlineStr">
        <is>
          <t xml:space="preserve">Vopak Terminal Durban, road loading</t>
        </is>
      </c>
      <c r="C99" s="38" t="inlineStr">
        <is>
          <t xml:space="preserve"/>
        </is>
      </c>
      <c r="D99" s="38" t="inlineStr">
        <is>
          <t xml:space="preserve">undated allocation mechanism</t>
        </is>
      </c>
      <c r="E99" s="38" t="inlineStr">
        <is>
          <t xml:space="preserve">Two days</t>
        </is>
      </c>
      <c r="K99" s="38" t="n"/>
      <c r="L99" s="38" t="n"/>
      <c r="M99" s="38" t="n"/>
      <c r="N99" s="38" t="n"/>
      <c r="O99" s="38" t="n"/>
      <c r="P99" s="38" t="n"/>
      <c r="Q99" s="38" t="n"/>
      <c r="R99" s="38" t="n"/>
      <c r="S99" s="38" t="inlineStr">
        <is>
          <t xml:space="preserve">From source</t>
        </is>
      </c>
      <c r="T99" s="38" t="inlineStr">
        <is>
          <t xml:space="preserve">Vopak Terminal Durban allocation mechanism filed with NERSA</t>
        </is>
      </c>
      <c r="U99" s="38" t="inlineStr">
        <is>
          <t xml:space="preserve">p.3</t>
        </is>
      </c>
      <c r="V99" s="38" t="inlineStr">
        <is>
          <t xml:space="preserve">Old document; confirm with Vopak.</t>
        </is>
      </c>
    </row>
    <row r="100" ht="29" customHeight="1">
      <c r="A100" s="38" t="inlineStr">
        <is>
          <t xml:space="preserve">Direct injection into the pipeline from a Durban terminal</t>
        </is>
      </c>
      <c r="B100" s="38" t="inlineStr">
        <is>
          <t xml:space="preserve">Former Sapref site, Bayhead A, diesel</t>
        </is>
      </c>
      <c r="C100" s="38" t="inlineStr">
        <is>
          <t xml:space="preserve"/>
        </is>
      </c>
      <c r="D100" s="38" t="inlineStr">
        <is>
          <t xml:space="preserve">licence amended 30 June 2025</t>
        </is>
      </c>
      <c r="E100" s="38" t="inlineStr">
        <is>
          <t xml:space="preserve">Two 14-inch lines, 1,200 m, to Transnet's pipeline terminal</t>
        </is>
      </c>
      <c r="K100" s="38" t="n"/>
      <c r="L100" s="38" t="n"/>
      <c r="M100" s="38" t="n"/>
      <c r="N100" s="38" t="n"/>
      <c r="O100" s="38" t="n"/>
      <c r="P100" s="38" t="n"/>
      <c r="Q100" s="38" t="n"/>
      <c r="R100" s="38" t="n"/>
      <c r="S100" s="38" t="inlineStr">
        <is>
          <t xml:space="preserve">From source</t>
        </is>
      </c>
      <c r="T100" s="38" t="inlineStr">
        <is>
          <t xml:space="preserve">NERSA decision on the Sapref Island View licence amendment, approved 30 June 2025</t>
        </is>
      </c>
      <c r="U100" s="38" t="inlineStr">
        <is>
          <t xml:space="preserve">PDF pp.10, 19</t>
        </is>
      </c>
      <c r="V100" s="38" t="inlineStr">
        <is>
          <t xml:space="preserve">A competing Durban terminal injects directly. Five lines were added to the licence for this.</t>
        </is>
      </c>
    </row>
    <row r="101" ht="29" customHeight="1">
      <c r="A101" s="38" t="inlineStr">
        <is>
          <t xml:space="preserve">Direct injection into the pipeline from a Durban terminal</t>
        </is>
      </c>
      <c r="B101" s="38" t="inlineStr">
        <is>
          <t xml:space="preserve">Former Sapref site, Bayhead A, petrol</t>
        </is>
      </c>
      <c r="C101" s="38" t="inlineStr">
        <is>
          <t xml:space="preserve"/>
        </is>
      </c>
      <c r="D101" s="38" t="inlineStr">
        <is>
          <t xml:space="preserve">licence amended 30 June 2025</t>
        </is>
      </c>
      <c r="E101" s="38" t="inlineStr">
        <is>
          <t xml:space="preserve">Two 14-inch lines, 1,200 m, to Transnet's pipeline terminal</t>
        </is>
      </c>
      <c r="K101" s="38" t="n"/>
      <c r="L101" s="38" t="n"/>
      <c r="M101" s="38" t="n"/>
      <c r="N101" s="38" t="n"/>
      <c r="O101" s="38" t="n"/>
      <c r="P101" s="38" t="n"/>
      <c r="Q101" s="38" t="n"/>
      <c r="R101" s="38" t="n"/>
      <c r="S101" s="38" t="inlineStr">
        <is>
          <t xml:space="preserve">From source</t>
        </is>
      </c>
      <c r="T101" s="38" t="inlineStr">
        <is>
          <t xml:space="preserve">NERSA decision on the Sapref Island View licence amendment, approved 30 June 2025</t>
        </is>
      </c>
      <c r="U101" s="38" t="inlineStr">
        <is>
          <t xml:space="preserve">PDF pp.10, 19</t>
        </is>
      </c>
      <c r="V101" s="38" t="inlineStr">
        <is>
          <t xml:space="preserve">A competing Durban terminal injects directly. Five lines were added to the licence for this.</t>
        </is>
      </c>
    </row>
    <row r="102" ht="29" customHeight="1">
      <c r="A102" s="38" t="inlineStr">
        <is>
          <t xml:space="preserve">Direct injection into the pipeline from a Durban terminal</t>
        </is>
      </c>
      <c r="B102" s="38" t="inlineStr">
        <is>
          <t xml:space="preserve">Sasol, Berth 9</t>
        </is>
      </c>
      <c r="C102" s="38" t="inlineStr">
        <is>
          <t xml:space="preserve"/>
        </is>
      </c>
      <c r="D102" s="38" t="inlineStr">
        <is>
          <t xml:space="preserve">2026</t>
        </is>
      </c>
      <c r="E102" s="38" t="inlineStr">
        <is>
          <t xml:space="preserve">Imports are received at Berth 9 into throughput tanks and transferred into the pipeline</t>
        </is>
      </c>
      <c r="K102" s="38" t="n"/>
      <c r="L102" s="38" t="n"/>
      <c r="M102" s="38" t="n"/>
      <c r="N102" s="38" t="n"/>
      <c r="O102" s="38" t="n"/>
      <c r="P102" s="38" t="n"/>
      <c r="Q102" s="38" t="n"/>
      <c r="R102" s="38" t="n"/>
      <c r="S102" s="38" t="inlineStr">
        <is>
          <t xml:space="preserve">From source</t>
        </is>
      </c>
      <c r="T102" s="38" t="inlineStr">
        <is>
          <t xml:space="preserve">Report of five Portfolio Committees on the Island View directive, 11 March 2026 (Parliament)</t>
        </is>
      </c>
      <c r="U102" s="38" t="inlineStr">
        <is>
          <t xml:space="preserve">section 5.2</t>
        </is>
      </c>
      <c r="V102" s="38" t="inlineStr">
        <is>
          <t xml:space="preserve">Sasol's statement to Parliament.</t>
        </is>
      </c>
    </row>
    <row r="103" ht="42.5" customHeight="1">
      <c r="A103" s="38" t="inlineStr">
        <is>
          <t xml:space="preserve">Vopak Durban and the pipeline</t>
        </is>
      </c>
      <c r="B103" s="38" t="inlineStr">
        <is>
          <t xml:space="preserve">Vopak Terminal Durban, Island View</t>
        </is>
      </c>
      <c r="C103" s="38" t="inlineStr">
        <is>
          <t xml:space="preserve"/>
        </is>
      </c>
      <c r="D103" s="38" t="inlineStr">
        <is>
          <t xml:space="preserve">2026</t>
        </is>
      </c>
      <c r="E103" s="38" t="inlineStr">
        <is>
          <t xml:space="preserve">Works with Transnet Pipelines on evacuation by pipeline; describes Durban and Lesedi as functionally integrated</t>
        </is>
      </c>
      <c r="K103" s="38" t="n"/>
      <c r="L103" s="38" t="n"/>
      <c r="M103" s="38" t="n"/>
      <c r="N103" s="38" t="n"/>
      <c r="O103" s="38" t="n"/>
      <c r="P103" s="38" t="n"/>
      <c r="Q103" s="38" t="n"/>
      <c r="R103" s="38" t="n"/>
      <c r="S103" s="38" t="inlineStr">
        <is>
          <t xml:space="preserve">From source</t>
        </is>
      </c>
      <c r="T103" s="38" t="inlineStr">
        <is>
          <t xml:space="preserve">Report of five Portfolio Committees on the Island View directive, 11 March 2026 (Parliament)</t>
        </is>
      </c>
      <c r="U103" s="38" t="inlineStr">
        <is>
          <t xml:space="preserve">section 5.7</t>
        </is>
      </c>
      <c r="V103" s="38" t="inlineStr">
        <is>
          <t xml:space="preserve">Vopak's statement to Parliament. It does not say whether Vopak's own lines reach Transnet's intake or whether product moves through a neighbour. Needs Vopak.</t>
        </is>
      </c>
    </row>
    <row r="104" ht="42.5" customHeight="1">
      <c r="A104" s="38" t="inlineStr">
        <is>
          <t xml:space="preserve">Island View leases</t>
        </is>
      </c>
      <c r="B104" s="38" t="inlineStr">
        <is>
          <t xml:space="preserve">All ten operators, Vopak included</t>
        </is>
      </c>
      <c r="C104" s="38" t="inlineStr">
        <is>
          <t xml:space="preserve"/>
        </is>
      </c>
      <c r="D104" s="38" t="inlineStr">
        <is>
          <t xml:space="preserve">directive announced 18 September 2025</t>
        </is>
      </c>
      <c r="E104" s="38" t="inlineStr">
        <is>
          <t xml:space="preserve">Minister of Transport directed the port authority to renew every lease for 25 years</t>
        </is>
      </c>
      <c r="K104" s="38" t="n"/>
      <c r="L104" s="38" t="n"/>
      <c r="M104" s="38" t="n"/>
      <c r="N104" s="38" t="n"/>
      <c r="O104" s="38" t="n"/>
      <c r="P104" s="38" t="n"/>
      <c r="Q104" s="38" t="n"/>
      <c r="R104" s="38" t="n"/>
      <c r="S104" s="38" t="inlineStr">
        <is>
          <t xml:space="preserve">From source</t>
        </is>
      </c>
      <c r="T104" s="38" t="inlineStr">
        <is>
          <t xml:space="preserve">Report of five Portfolio Committees on the Island View directive, 11 March 2026 (Parliament)</t>
        </is>
      </c>
      <c r="U104" s="38" t="inlineStr">
        <is>
          <t xml:space="preserve">section 2.2</t>
        </is>
      </c>
      <c r="V104" s="38" t="inlineStr">
        <is>
          <t xml:space="preserve">Operators must agree a framework for third-party access to storage. New conditions are to require more use of the pipeline.</t>
        </is>
      </c>
    </row>
    <row r="106">
      <c r="A106" s="35" t="inlineStr">
        <is>
          <t xml:space="preserve">Competing routes</t>
        </is>
      </c>
      <c r="B106" s="35" t="n"/>
      <c r="C106" s="35" t="n"/>
      <c r="D106" s="35" t="n"/>
      <c r="E106" s="35" t="n"/>
      <c r="F106" s="35" t="n"/>
      <c r="G106" s="35" t="n"/>
      <c r="H106" s="35" t="n"/>
      <c r="I106" s="35" t="n"/>
      <c r="J106" s="35" t="n"/>
      <c r="K106" s="35" t="n"/>
      <c r="L106" s="35" t="n"/>
      <c r="M106" s="35" t="n"/>
      <c r="N106" s="35" t="n"/>
      <c r="O106" s="35" t="n"/>
      <c r="P106" s="35" t="n"/>
      <c r="Q106" s="35" t="n"/>
      <c r="R106" s="35" t="n"/>
      <c r="S106" s="35" t="n"/>
      <c r="T106" s="35" t="n"/>
      <c r="U106" s="35" t="n"/>
      <c r="V106" s="35" t="n"/>
      <c r="W106" s="35" t="n"/>
    </row>
    <row r="107">
      <c r="A107" s="36" t="inlineStr">
        <is>
          <t xml:space="preserve">Item</t>
        </is>
      </c>
      <c r="B107" s="36" t="inlineStr">
        <is>
          <t xml:space="preserve">Asset or route</t>
        </is>
      </c>
      <c r="C107" s="36" t="inlineStr">
        <is>
          <t xml:space="preserve">Unit</t>
        </is>
      </c>
      <c r="D107" s="36" t="inlineStr">
        <is>
          <t xml:space="preserve">Basis</t>
        </is>
      </c>
      <c r="E107" s="37" t="n">
        <v>2019</v>
      </c>
      <c r="F107" s="37" t="n">
        <v>2020</v>
      </c>
      <c r="G107" s="37" t="n">
        <v>2021</v>
      </c>
      <c r="H107" s="37" t="n">
        <v>2022</v>
      </c>
      <c r="I107" s="37" t="n">
        <v>2023</v>
      </c>
      <c r="J107" s="37" t="n">
        <v>2024</v>
      </c>
      <c r="K107" s="37" t="n">
        <v>2025</v>
      </c>
      <c r="L107" s="36" t="n"/>
      <c r="M107" s="36" t="n"/>
      <c r="N107" s="36" t="n"/>
      <c r="O107" s="36" t="n"/>
      <c r="P107" s="36" t="n"/>
      <c r="Q107" s="36" t="n"/>
      <c r="R107" s="36" t="n"/>
      <c r="S107" s="36" t="inlineStr">
        <is>
          <t xml:space="preserve">Status</t>
        </is>
      </c>
      <c r="T107" s="36" t="inlineStr">
        <is>
          <t xml:space="preserve">Source</t>
        </is>
      </c>
      <c r="U107" s="36" t="inlineStr">
        <is>
          <t xml:space="preserve">Page</t>
        </is>
      </c>
      <c r="V107" s="36" t="inlineStr">
        <is>
          <t xml:space="preserve">Note</t>
        </is>
      </c>
    </row>
    <row r="108" ht="48" customHeight="1">
      <c r="A108" s="38" t="inlineStr">
        <is>
          <t xml:space="preserve">Diesel imported by road from Mozambique</t>
        </is>
      </c>
      <c r="B108" s="38" t="inlineStr">
        <is>
          <t xml:space="preserve">Maputo and Matola, through Komatipoort</t>
        </is>
      </c>
      <c r="C108" s="38" t="inlineStr">
        <is>
          <t xml:space="preserve">billion litres</t>
        </is>
      </c>
      <c r="D108" s="38" t="inlineStr">
        <is>
          <t xml:space="preserve">calendar years</t>
        </is>
      </c>
      <c r="E108" s="40" t="n">
        <v>0.21</v>
      </c>
      <c r="F108" s="40" t="n">
        <v>0.21</v>
      </c>
      <c r="G108" s="40" t="n">
        <v>0.2</v>
      </c>
      <c r="H108" s="40" t="n">
        <v>0.27</v>
      </c>
      <c r="I108" s="40" t="n">
        <v>0.25</v>
      </c>
      <c r="J108" s="40" t="n">
        <v>0.19</v>
      </c>
      <c r="K108" s="40" t="n">
        <v>0.08</v>
      </c>
      <c r="L108" s="38" t="n"/>
      <c r="M108" s="38" t="n"/>
      <c r="N108" s="38" t="n"/>
      <c r="O108" s="38" t="n"/>
      <c r="P108" s="38" t="n"/>
      <c r="Q108" s="38" t="n"/>
      <c r="R108" s="38" t="n"/>
      <c r="S108" s="38" t="inlineStr">
        <is>
          <t xml:space="preserve">From source</t>
        </is>
      </c>
      <c r="T108" s="38" t="inlineStr">
        <is>
          <t xml:space="preserve">SARS customs, by office</t>
        </is>
      </c>
      <c r="U108" s="38" t="inlineStr">
        <is>
          <t xml:space="preserve"/>
        </is>
      </c>
      <c r="V108" s="38" t="inlineStr">
        <is>
          <t xml:space="preserve">Falling since 2022. Diesel and petrol together were 0.5% of petrol and diesel imports in 2025.</t>
        </is>
      </c>
      <c r="Y108" s="80" t="str">
        <v>G032</v>
      </c>
      <c r="Z108" s="80" t="str">
        <v>Missing data: Other gateways by destination</v>
      </c>
      <c r="AA108" s="80" t="str">
        <v>Review detail</v>
      </c>
    </row>
    <row r="109" ht="29" customHeight="1">
      <c r="A109" s="38" t="inlineStr">
        <is>
          <t xml:space="preserve">Petrol imported by road from Mozambique</t>
        </is>
      </c>
      <c r="B109" s="38" t="inlineStr">
        <is>
          <t xml:space="preserve">Maputo and Matola, through Komatipoort</t>
        </is>
      </c>
      <c r="C109" s="38" t="inlineStr">
        <is>
          <t xml:space="preserve">billion litres</t>
        </is>
      </c>
      <c r="D109" s="38" t="inlineStr">
        <is>
          <t xml:space="preserve">calendar years</t>
        </is>
      </c>
      <c r="E109" s="40" t="n">
        <v>0.039</v>
      </c>
      <c r="F109" s="40" t="n">
        <v>0.031</v>
      </c>
      <c r="G109" s="40" t="n">
        <v>0.039</v>
      </c>
      <c r="H109" s="40" t="n">
        <v>0.029</v>
      </c>
      <c r="I109" s="40" t="n">
        <v>0</v>
      </c>
      <c r="J109" s="40" t="n">
        <v>0.001</v>
      </c>
      <c r="K109" s="40" t="n">
        <v>0.004</v>
      </c>
      <c r="L109" s="38" t="n"/>
      <c r="M109" s="38" t="n"/>
      <c r="N109" s="38" t="n"/>
      <c r="O109" s="38" t="n"/>
      <c r="P109" s="38" t="n"/>
      <c r="Q109" s="38" t="n"/>
      <c r="R109" s="38" t="n"/>
      <c r="S109" s="38" t="inlineStr">
        <is>
          <t xml:space="preserve">From source</t>
        </is>
      </c>
      <c r="T109" s="38" t="inlineStr">
        <is>
          <t xml:space="preserve">SARS customs, by office</t>
        </is>
      </c>
      <c r="U109" s="38" t="inlineStr">
        <is>
          <t xml:space="preserve"/>
        </is>
      </c>
      <c r="V109" s="38" t="inlineStr">
        <is>
          <t xml:space="preserve">Small and almost nil since 2023.</t>
        </is>
      </c>
    </row>
    <row r="110">
      <c r="A110" s="36" t="inlineStr">
        <is>
          <t xml:space="preserve">Item</t>
        </is>
      </c>
      <c r="B110" s="36" t="inlineStr">
        <is>
          <t xml:space="preserve">Asset or route</t>
        </is>
      </c>
      <c r="C110" s="36" t="inlineStr">
        <is>
          <t xml:space="preserve">Unit</t>
        </is>
      </c>
      <c r="D110" s="36" t="inlineStr">
        <is>
          <t xml:space="preserve">Period</t>
        </is>
      </c>
      <c r="E110" s="36" t="inlineStr">
        <is>
          <t xml:space="preserve">Value</t>
        </is>
      </c>
      <c r="K110" s="36" t="n"/>
      <c r="L110" s="36" t="n"/>
      <c r="M110" s="36" t="n"/>
      <c r="N110" s="36" t="n"/>
      <c r="O110" s="36" t="n"/>
      <c r="P110" s="36" t="n"/>
      <c r="Q110" s="36" t="n"/>
      <c r="R110" s="36" t="n"/>
      <c r="S110" s="36" t="inlineStr">
        <is>
          <t xml:space="preserve">Status</t>
        </is>
      </c>
      <c r="T110" s="36" t="inlineStr">
        <is>
          <t xml:space="preserve">Source</t>
        </is>
      </c>
      <c r="U110" s="36" t="inlineStr">
        <is>
          <t xml:space="preserve">Page</t>
        </is>
      </c>
      <c r="V110" s="36" t="inlineStr">
        <is>
          <t xml:space="preserve">Note</t>
        </is>
      </c>
    </row>
    <row r="111" ht="29" customHeight="1">
      <c r="A111" s="38" t="inlineStr">
        <is>
          <t xml:space="preserve">Petrol and diesel imported through Namibian and Botswanan border posts</t>
        </is>
      </c>
      <c r="B111" s="38" t="inlineStr">
        <is>
          <t xml:space="preserve">Walvis Bay and the Trans-Kalahari road</t>
        </is>
      </c>
      <c r="C111" s="38" t="inlineStr">
        <is>
          <t xml:space="preserve">billion litres</t>
        </is>
      </c>
      <c r="D111" s="38" t="inlineStr">
        <is>
          <t xml:space="preserve">2019-2025</t>
        </is>
      </c>
      <c r="E111" s="38" t="inlineStr">
        <is>
          <t xml:space="preserve">0.00 in every year</t>
        </is>
      </c>
      <c r="K111" s="38" t="n"/>
      <c r="L111" s="38" t="n"/>
      <c r="M111" s="38" t="n"/>
      <c r="N111" s="38" t="n"/>
      <c r="O111" s="38" t="n"/>
      <c r="P111" s="38" t="n"/>
      <c r="Q111" s="38" t="n"/>
      <c r="R111" s="38" t="n"/>
      <c r="S111" s="38" t="inlineStr">
        <is>
          <t xml:space="preserve">From source</t>
        </is>
      </c>
      <c r="T111" s="38" t="inlineStr">
        <is>
          <t xml:space="preserve">SARS customs, by office</t>
        </is>
      </c>
      <c r="U111" s="38" t="inlineStr">
        <is>
          <t xml:space="preserve"/>
        </is>
      </c>
      <c r="V111" s="38" t="inlineStr">
        <is>
          <t xml:space="preserve">Nakop (Narogas), Kopfontein, Skilpadshek, Groblersbrug and Ramatlabama record none. The route is not used for supply into South Africa.</t>
        </is>
      </c>
    </row>
    <row r="112" ht="29" customHeight="1">
      <c r="A112" s="38" t="inlineStr">
        <is>
          <t xml:space="preserve">Diesel and petrol storage planned at Walvis Bay</t>
        </is>
      </c>
      <c r="B112" s="38" t="inlineStr">
        <is>
          <t xml:space="preserve">diesel</t>
        </is>
      </c>
      <c r="C112" s="38" t="inlineStr">
        <is>
          <t xml:space="preserve">million litres</t>
        </is>
      </c>
      <c r="D112" s="38" t="inlineStr">
        <is>
          <t xml:space="preserve">as planned; news item undated</t>
        </is>
      </c>
      <c r="E112" s="41" t="n">
        <v>45</v>
      </c>
      <c r="K112" s="38" t="n"/>
      <c r="L112" s="38" t="n"/>
      <c r="M112" s="38" t="n"/>
      <c r="N112" s="38" t="n"/>
      <c r="O112" s="38" t="n"/>
      <c r="P112" s="38" t="n"/>
      <c r="Q112" s="38" t="n"/>
      <c r="R112" s="38" t="n"/>
      <c r="S112" s="38" t="inlineStr">
        <is>
          <t xml:space="preserve">From source</t>
        </is>
      </c>
      <c r="T112" s="38" t="inlineStr">
        <is>
          <t xml:space="preserve">Namibian Ports Authority news item</t>
        </is>
      </c>
      <c r="U112" s="38" t="inlineStr">
        <is>
          <t xml:space="preserve"/>
        </is>
      </c>
      <c r="V112" s="38" t="inlineStr">
        <is>
          <t xml:space="preserve">Of 75 million litres in all; the rest is fuel oil and aviation fuel. Built for Namibia's own supply. Current operating capacity not confirmed.</t>
        </is>
      </c>
    </row>
    <row r="113" ht="29" customHeight="1">
      <c r="A113" s="38" t="inlineStr">
        <is>
          <t xml:space="preserve">Diesel and petrol storage planned at Walvis Bay</t>
        </is>
      </c>
      <c r="B113" s="38" t="inlineStr">
        <is>
          <t xml:space="preserve">petrol</t>
        </is>
      </c>
      <c r="C113" s="38" t="inlineStr">
        <is>
          <t xml:space="preserve">million litres</t>
        </is>
      </c>
      <c r="D113" s="38" t="inlineStr">
        <is>
          <t xml:space="preserve">as planned; news item undated</t>
        </is>
      </c>
      <c r="E113" s="41" t="n">
        <v>20</v>
      </c>
      <c r="K113" s="38" t="n"/>
      <c r="L113" s="38" t="n"/>
      <c r="M113" s="38" t="n"/>
      <c r="N113" s="38" t="n"/>
      <c r="O113" s="38" t="n"/>
      <c r="P113" s="38" t="n"/>
      <c r="Q113" s="38" t="n"/>
      <c r="R113" s="38" t="n"/>
      <c r="S113" s="38" t="inlineStr">
        <is>
          <t xml:space="preserve">From source</t>
        </is>
      </c>
      <c r="T113" s="38" t="inlineStr">
        <is>
          <t xml:space="preserve">Namibian Ports Authority news item</t>
        </is>
      </c>
      <c r="U113" s="38" t="inlineStr">
        <is>
          <t xml:space="preserve"/>
        </is>
      </c>
      <c r="V113" s="38" t="inlineStr">
        <is>
          <t xml:space="preserve">Of 75 million litres in all; the rest is fuel oil and aviation fuel. Built for Namibia's own supply. Current operating capacity not confirmed.</t>
        </is>
      </c>
    </row>
    <row r="114" ht="29" customHeight="1">
      <c r="A114" s="38" t="inlineStr">
        <is>
          <t xml:space="preserve">Petrol and diesel storage at Matola</t>
        </is>
      </c>
      <c r="B114" s="38" t="inlineStr">
        <is>
          <t xml:space="preserve">diesel</t>
        </is>
      </c>
      <c r="C114" s="38" t="inlineStr">
        <is>
          <t xml:space="preserve">m3</t>
        </is>
      </c>
      <c r="D114" s="38" t="inlineStr">
        <is>
          <t xml:space="preserve">as on the page, 2026</t>
        </is>
      </c>
      <c r="E114" s="41" t="n">
        <v>40000</v>
      </c>
      <c r="K114" s="38" t="n"/>
      <c r="L114" s="38" t="n"/>
      <c r="M114" s="38" t="n"/>
      <c r="N114" s="38" t="n"/>
      <c r="O114" s="38" t="n"/>
      <c r="P114" s="38" t="n"/>
      <c r="Q114" s="38" t="n"/>
      <c r="R114" s="38" t="n"/>
      <c r="S114" s="38" t="inlineStr">
        <is>
          <t xml:space="preserve">From source</t>
        </is>
      </c>
      <c r="T114" s="38" t="inlineStr">
        <is>
          <t xml:space="preserve">Galp, Mozambique logistics page</t>
        </is>
      </c>
      <c r="U114" s="38" t="inlineStr">
        <is>
          <t xml:space="preserve"/>
        </is>
      </c>
      <c r="V114" s="38" t="inlineStr">
        <is>
          <t xml:space="preserve">One terminal only. It loads road tankers and rail tank wagons. Other Matola terminals are not pursued (Manish, 9 October).</t>
        </is>
      </c>
    </row>
    <row r="115" ht="29" customHeight="1">
      <c r="A115" s="38" t="inlineStr">
        <is>
          <t xml:space="preserve">Petrol and diesel storage at Matola</t>
        </is>
      </c>
      <c r="B115" s="38" t="inlineStr">
        <is>
          <t xml:space="preserve">petrol</t>
        </is>
      </c>
      <c r="C115" s="38" t="inlineStr">
        <is>
          <t xml:space="preserve">m3</t>
        </is>
      </c>
      <c r="D115" s="38" t="inlineStr">
        <is>
          <t xml:space="preserve">as on the page, 2026</t>
        </is>
      </c>
      <c r="E115" s="41" t="n">
        <v>20000</v>
      </c>
      <c r="K115" s="38" t="n"/>
      <c r="L115" s="38" t="n"/>
      <c r="M115" s="38" t="n"/>
      <c r="N115" s="38" t="n"/>
      <c r="O115" s="38" t="n"/>
      <c r="P115" s="38" t="n"/>
      <c r="Q115" s="38" t="n"/>
      <c r="R115" s="38" t="n"/>
      <c r="S115" s="38" t="inlineStr">
        <is>
          <t xml:space="preserve">From source</t>
        </is>
      </c>
      <c r="T115" s="38" t="inlineStr">
        <is>
          <t xml:space="preserve">Galp, Mozambique logistics page</t>
        </is>
      </c>
      <c r="U115" s="38" t="inlineStr">
        <is>
          <t xml:space="preserve"/>
        </is>
      </c>
      <c r="V115" s="38" t="inlineStr">
        <is>
          <t xml:space="preserve">One terminal only. It loads road tankers and rail tank wagons. Other Matola terminals are not pursued (Manish, 9 October).</t>
        </is>
      </c>
    </row>
    <row r="116" ht="48" customHeight="1">
      <c r="A116" s="45" t="inlineStr">
        <is>
          <t xml:space="preserve">Road rate and border cost, Matola to Gauteng</t>
        </is>
      </c>
      <c r="B116" s="45" t="inlineStr">
        <is>
          <t xml:space="preserve">Maputo and Matola, through Komatipoort</t>
        </is>
      </c>
      <c r="C116" s="45" t="inlineStr">
        <is>
          <t xml:space="preserve">cents a litre</t>
        </is>
      </c>
      <c r="D116" s="45" t="inlineStr">
        <is>
          <t xml:space="preserve"/>
        </is>
      </c>
      <c r="E116" s="45" t="inlineStr">
        <is>
          <t xml:space="preserve">Not available</t>
        </is>
      </c>
      <c r="K116" s="45" t="n"/>
      <c r="L116" s="45" t="n"/>
      <c r="M116" s="45" t="n"/>
      <c r="N116" s="45" t="n"/>
      <c r="O116" s="45" t="n"/>
      <c r="P116" s="45" t="n"/>
      <c r="Q116" s="45" t="n"/>
      <c r="R116" s="45" t="n"/>
      <c r="S116" s="45" t="inlineStr">
        <is>
          <t xml:space="preserve">Not available</t>
        </is>
      </c>
      <c r="T116" s="45" t="inlineStr">
        <is>
          <t xml:space="preserve">None public</t>
        </is>
      </c>
      <c r="U116" s="45" t="inlineStr">
        <is>
          <t xml:space="preserve"/>
        </is>
      </c>
      <c r="V116" s="45" t="inlineStr">
        <is>
          <t xml:space="preserve">Needed for a matched delivered cost. Needs a haulier or Vopak.</t>
        </is>
      </c>
      <c r="Y116" s="80" t="str">
        <v>G008</v>
      </c>
      <c r="Z116" s="80" t="str">
        <v>Missing data: Road rate and border cost, Matola to Gauteng</v>
      </c>
      <c r="AA116" s="80" t="str">
        <v>Review detail</v>
      </c>
    </row>
    <row r="117" ht="48" customHeight="1">
      <c r="A117" s="45" t="inlineStr">
        <is>
          <t xml:space="preserve">Petrol and diesel supplied inland by Natref and Secunda</t>
        </is>
      </c>
      <c r="B117" s="45" t="inlineStr">
        <is>
          <t xml:space="preserve">Sasolburg and Secunda</t>
        </is>
      </c>
      <c r="C117" s="45" t="inlineStr">
        <is>
          <t xml:space="preserve">billion litres</t>
        </is>
      </c>
      <c r="D117" s="45" t="inlineStr">
        <is>
          <t xml:space="preserve"/>
        </is>
      </c>
      <c r="E117" s="45" t="inlineStr">
        <is>
          <t xml:space="preserve">Not available</t>
        </is>
      </c>
      <c r="K117" s="45" t="n"/>
      <c r="L117" s="45" t="n"/>
      <c r="M117" s="45" t="n"/>
      <c r="N117" s="45" t="n"/>
      <c r="O117" s="45" t="n"/>
      <c r="P117" s="45" t="n"/>
      <c r="Q117" s="45" t="n"/>
      <c r="R117" s="45" t="n"/>
      <c r="S117" s="45" t="inlineStr">
        <is>
          <t xml:space="preserve">Not available</t>
        </is>
      </c>
      <c r="T117" s="45" t="inlineStr">
        <is>
          <t xml:space="preserve">None found</t>
        </is>
      </c>
      <c r="U117" s="45" t="inlineStr">
        <is>
          <t xml:space="preserve"/>
        </is>
      </c>
      <c r="V117" s="45" t="inlineStr">
        <is>
          <t xml:space="preserve">No production by product after 2021. Belongs with DR08.</t>
        </is>
      </c>
      <c r="Y117" s="80" t="str">
        <v>G009</v>
      </c>
      <c r="Z117" s="80" t="str">
        <v>Missing data: Petrol and diesel supplied inland by Natref and Secunda</v>
      </c>
      <c r="AA117" s="80" t="str">
        <v>Review detail</v>
      </c>
    </row>
  </sheetData>
  <mergeCells>
    <mergeCell ref="E9:J9"/>
    <mergeCell ref="E69:J69"/>
    <mergeCell ref="E77:J77"/>
    <mergeCell ref="E11:J11"/>
    <mergeCell ref="E46:J46"/>
    <mergeCell ref="E97:J97"/>
    <mergeCell ref="E112:J112"/>
    <mergeCell ref="E47:J47"/>
    <mergeCell ref="E96:J96"/>
    <mergeCell ref="E71:J71"/>
    <mergeCell ref="E111:J111"/>
    <mergeCell ref="E24:J24"/>
    <mergeCell ref="E98:J98"/>
    <mergeCell ref="E79:J79"/>
    <mergeCell ref="E73:J73"/>
    <mergeCell ref="E51:J51"/>
    <mergeCell ref="E82:J82"/>
    <mergeCell ref="E10:J10"/>
    <mergeCell ref="E74:J74"/>
    <mergeCell ref="E99:J99"/>
    <mergeCell ref="E49:J49"/>
    <mergeCell ref="E45:J45"/>
    <mergeCell ref="E101:J101"/>
    <mergeCell ref="E116:J116"/>
    <mergeCell ref="E113:J113"/>
    <mergeCell ref="E91:J91"/>
    <mergeCell ref="E100:J100"/>
    <mergeCell ref="E115:J115"/>
    <mergeCell ref="E93:J93"/>
    <mergeCell ref="E37:J37"/>
    <mergeCell ref="E102:J102"/>
    <mergeCell ref="E12:J12"/>
    <mergeCell ref="E14:J14"/>
    <mergeCell ref="E48:J48"/>
    <mergeCell ref="E38:J38"/>
    <mergeCell ref="E40:J40"/>
    <mergeCell ref="E90:J90"/>
    <mergeCell ref="E104:J104"/>
    <mergeCell ref="E27:J27"/>
    <mergeCell ref="E110:J110"/>
    <mergeCell ref="E76:J76"/>
    <mergeCell ref="E25:J25"/>
    <mergeCell ref="E85:J85"/>
    <mergeCell ref="E75:J75"/>
    <mergeCell ref="E18:J18"/>
    <mergeCell ref="E53:J53"/>
    <mergeCell ref="E50:J50"/>
    <mergeCell ref="E68:J68"/>
    <mergeCell ref="E117:J117"/>
    <mergeCell ref="E55:J55"/>
    <mergeCell ref="E52:J52"/>
    <mergeCell ref="E67:J67"/>
    <mergeCell ref="E92:J92"/>
    <mergeCell ref="E39:J39"/>
    <mergeCell ref="E94:J94"/>
    <mergeCell ref="E103:J103"/>
    <mergeCell ref="E13:J13"/>
    <mergeCell ref="E84:J84"/>
    <mergeCell ref="E78:J78"/>
    <mergeCell ref="E114:J114"/>
    <mergeCell ref="E15:J15"/>
    <mergeCell ref="E86:J86"/>
    <mergeCell ref="E80:J80"/>
    <mergeCell ref="E95:J95"/>
    <mergeCell ref="E89:J89"/>
    <mergeCell ref="E70:J70"/>
    <mergeCell ref="E26:J26"/>
    <mergeCell ref="E54:J54"/>
    <mergeCell ref="E72:J72"/>
    <mergeCell ref="E41:J41"/>
    <mergeCell ref="E16:J16"/>
    <mergeCell ref="E81:J81"/>
    <mergeCell ref="E56:J56"/>
    <mergeCell ref="E43:J43"/>
    <mergeCell ref="E42:J42"/>
    <mergeCell ref="E17:J17"/>
    <mergeCell ref="E83:J83"/>
    <mergeCell ref="E44:J44"/>
    <mergeCell ref="A3:J3"/>
  </mergeCells>
  <hyperlinks>
    <hyperlink ref="A3" location="'Gap register'!A9" display="REVIEW: 13 linked items. Open Gap register; filter Request. Start here explains colours and scope." tooltip="Open the linked workbook evidence or review item"/>
    <hyperlink ref="AA27" location="'Gap register'!A9" display="Review detail" tooltip="Open the linked workbook evidence or review item"/>
    <hyperlink ref="AA54" location="'Gap register'!A10" display="Review detail" tooltip="Open the linked workbook evidence or review item"/>
    <hyperlink ref="AA55" location="'Gap register'!A11" display="Review detail" tooltip="Open the linked workbook evidence or review item"/>
    <hyperlink ref="AA86" location="'Gap register'!A12" display="Review detail" tooltip="Open the linked workbook evidence or review item"/>
    <hyperlink ref="AA116" location="'Gap register'!A13" display="Review detail" tooltip="Open the linked workbook evidence or review item"/>
    <hyperlink ref="AA117" location="'Gap register'!A14" display="Review detail" tooltip="Open the linked workbook evidence or review item"/>
    <hyperlink ref="AA56" location="'Gap register'!A15" display="Review detail" tooltip="Open the linked workbook evidence or review item"/>
    <hyperlink ref="AA7" location="'Gap register'!A31" display="Review detail" tooltip="Open the linked workbook evidence or review item"/>
    <hyperlink ref="AA94" location="'Gap register'!A34" display="Review detail" tooltip="Open the linked workbook evidence or review item"/>
    <hyperlink ref="AA74" location="'Gap register'!A36" display="Review detail" tooltip="Open the linked workbook evidence or review item"/>
    <hyperlink ref="AA108" location="'Gap register'!A37" display="Review detail" tooltip="Open the linked workbook evidence or review item"/>
    <hyperlink ref="AA90" location="'Gap register'!A38" display="Review detail" tooltip="Open the linked workbook evidence or review item"/>
  </hyperlinks>
  <pageMargins left="0.7" right="0.7" top="0.75" bottom="0.75" header="0.3" footer="0.3"/>
</worksheet>
</file>

<file path=xl/worksheets/sheet7.xml><?xml version="1.0" encoding="utf-8"?>
<worksheet xmlns="http://schemas.openxmlformats.org/spreadsheetml/2006/main">
  <sheetViews>
    <sheetView workbookViewId="0" tabSelected="0">
      <pane xSplit="2" ySplit="4" topLeftCell="C5" activePane="bottomRight" state="frozen"/>
    </sheetView>
  </sheetViews>
  <sheetFormatPr baseColWidth="8" defaultRowHeight="15"/>
  <cols>
    <col min="1" max="1" width="30" customWidth="1"/>
    <col min="2" max="2" width="22" customWidth="1"/>
    <col min="3" max="3" width="8.5" customWidth="1"/>
    <col min="4" max="4" width="8.5" customWidth="1"/>
    <col min="5" max="5" width="8.5" customWidth="1"/>
    <col min="6" max="6" width="8.5" customWidth="1"/>
    <col min="7" max="7" width="8.5" customWidth="1"/>
    <col min="8" max="8" width="8.5" customWidth="1"/>
    <col min="9" max="9" width="8.5" customWidth="1"/>
    <col min="10" max="10" width="8.5" customWidth="1"/>
    <col min="11" max="11" width="8.5" customWidth="1"/>
    <col min="12" max="12" width="8.5" customWidth="1"/>
    <col min="13" max="13" width="8.5" customWidth="1"/>
    <col min="14" max="14" width="8.5" customWidth="1"/>
    <col min="15" max="15" width="50" customWidth="1"/>
    <col min="16" max="16" width="52" customWidth="1"/>
    <col min="18" max="18" width="19" hidden="0" customWidth="1"/>
    <col min="19" max="19" width="65" hidden="0" customWidth="1"/>
    <col min="20" max="20" width="15" hidden="0" customWidth="1"/>
  </cols>
  <sheetData>
    <row r="1">
      <c r="A1" s="1" t="inlineStr">
        <is>
          <t xml:space="preserve">DR04 Where petrol and diesel imports enter</t>
        </is>
      </c>
    </row>
    <row r="2">
      <c r="A2" s="2" t="inlineStr">
        <is>
          <t xml:space="preserve">Billion litres, calendar years. Petrol and diesel only. The office is where the fuel was cleared through customs: the nearest public record of the entry point, not a berth or terminal record.</t>
        </is>
      </c>
    </row>
    <row r="3" ht="34" customHeight="1">
      <c r="A3" s="92" t="str">
        <v>REVIEW: 1 linked items. Open Gap register; filter Request. Start here explains colours and scope.</v>
      </c>
      <c r="B3" s="92"/>
      <c r="C3" s="92"/>
      <c r="D3" s="92"/>
      <c r="E3" s="92"/>
      <c r="F3" s="92"/>
      <c r="G3" s="92"/>
      <c r="H3" s="92"/>
      <c r="I3" s="92"/>
      <c r="J3" s="92"/>
    </row>
    <row r="4" ht="30" customHeight="1">
      <c r="A4" s="14" t="inlineStr">
        <is>
          <t xml:space="preserve">Entry point</t>
        </is>
      </c>
      <c r="B4" s="14" t="inlineStr">
        <is>
          <t xml:space="preserve">Route</t>
        </is>
      </c>
      <c r="C4" s="14" t="n">
        <v>2014</v>
      </c>
      <c r="D4" s="14" t="n">
        <v>2015</v>
      </c>
      <c r="E4" s="14" t="n">
        <v>2016</v>
      </c>
      <c r="F4" s="14" t="n">
        <v>2017</v>
      </c>
      <c r="G4" s="14" t="n">
        <v>2018</v>
      </c>
      <c r="H4" s="14" t="n">
        <v>2019</v>
      </c>
      <c r="I4" s="14" t="n">
        <v>2020</v>
      </c>
      <c r="J4" s="14" t="n">
        <v>2021</v>
      </c>
      <c r="K4" s="14" t="n">
        <v>2022</v>
      </c>
      <c r="L4" s="14" t="n">
        <v>2023</v>
      </c>
      <c r="M4" s="14" t="n">
        <v>2024</v>
      </c>
      <c r="N4" s="14" t="n">
        <v>2025</v>
      </c>
      <c r="O4" s="14" t="inlineStr">
        <is>
          <t xml:space="preserve">Source</t>
        </is>
      </c>
      <c r="P4" s="14" t="inlineStr">
        <is>
          <t xml:space="preserve">Note</t>
        </is>
      </c>
      <c r="R4" s="95" t="str">
        <v>Review IDs</v>
      </c>
      <c r="S4" s="95" t="str">
        <v>Review finding — source figures retained</v>
      </c>
      <c r="T4" s="95" t="str">
        <v>Open detail</v>
      </c>
    </row>
    <row r="5">
      <c r="A5" s="48" t="inlineStr">
        <is>
          <t xml:space="preserve">Diesel</t>
        </is>
      </c>
      <c r="B5" s="48" t="n"/>
      <c r="C5" s="48" t="n"/>
      <c r="D5" s="48" t="n"/>
      <c r="E5" s="48" t="n"/>
      <c r="F5" s="48" t="n"/>
      <c r="G5" s="48" t="n"/>
      <c r="H5" s="48" t="n"/>
      <c r="I5" s="48" t="n"/>
      <c r="J5" s="48" t="n"/>
      <c r="K5" s="48" t="n"/>
      <c r="L5" s="48" t="n"/>
      <c r="M5" s="48" t="n"/>
      <c r="N5" s="48" t="n"/>
      <c r="O5" s="48" t="n"/>
      <c r="P5" s="48" t="n"/>
    </row>
    <row r="6">
      <c r="A6" s="49" t="inlineStr">
        <is>
          <t xml:space="preserve">Durban</t>
        </is>
      </c>
      <c r="B6" s="49" t="inlineStr">
        <is>
          <t xml:space="preserve">Sea</t>
        </is>
      </c>
      <c r="C6" s="50" t="n">
        <v>3.40129340791</v>
      </c>
      <c r="D6" s="50" t="n">
        <v>4.042700255</v>
      </c>
      <c r="E6" s="50" t="n">
        <v>3.44135703988</v>
      </c>
      <c r="F6" s="50" t="n">
        <v>4.876537276</v>
      </c>
      <c r="G6" s="50" t="n">
        <v>3.98590410655</v>
      </c>
      <c r="H6" s="50" t="n">
        <v>3.80914333</v>
      </c>
      <c r="I6" s="50" t="n">
        <v>3.825937678</v>
      </c>
      <c r="J6" s="50" t="n">
        <v>5.83487318</v>
      </c>
      <c r="K6" s="50" t="n">
        <v>7.88124800634</v>
      </c>
      <c r="L6" s="50" t="n">
        <v>9.125036510419999</v>
      </c>
      <c r="M6" s="50" t="n">
        <v>8.03288993764</v>
      </c>
      <c r="N6" s="50" t="n">
        <v>8.931535440639999</v>
      </c>
      <c r="O6" s="38" t="inlineStr">
        <is>
          <t xml:space="preserve">SARS customs, imports by office of clearance (fuel_trade_sars_by_office.csv)</t>
        </is>
      </c>
      <c r="P6" s="38" t="inlineStr">
        <is>
          <t xml:space="preserve">Includes fuel for the inland pipeline and for the coast.</t>
        </is>
      </c>
    </row>
    <row r="7">
      <c r="A7" s="49" t="inlineStr">
        <is>
          <t xml:space="preserve">Cape Town</t>
        </is>
      </c>
      <c r="B7" s="49" t="inlineStr">
        <is>
          <t xml:space="preserve">Sea</t>
        </is>
      </c>
      <c r="C7" s="50" t="n">
        <v>0.563485067</v>
      </c>
      <c r="D7" s="50" t="n">
        <v>0.996642134</v>
      </c>
      <c r="E7" s="50" t="n">
        <v>0.214951975</v>
      </c>
      <c r="F7" s="50" t="n">
        <v>0.39464311319</v>
      </c>
      <c r="G7" s="50" t="n">
        <v>0.5131333877200001</v>
      </c>
      <c r="H7" s="50" t="n">
        <v>0.6015612915299999</v>
      </c>
      <c r="I7" s="50" t="n">
        <v>1.842722376</v>
      </c>
      <c r="J7" s="50" t="n">
        <v>2.350715322</v>
      </c>
      <c r="K7" s="50" t="n">
        <v>2.485097027</v>
      </c>
      <c r="L7" s="50" t="n">
        <v>1.387584117</v>
      </c>
      <c r="M7" s="50" t="n">
        <v>0.957476429</v>
      </c>
      <c r="N7" s="50" t="n">
        <v>1.335392185</v>
      </c>
      <c r="O7" s="38" t="inlineStr">
        <is>
          <t xml:space="preserve">SARS customs, imports by office of clearance (fuel_trade_sars_by_office.csv)</t>
        </is>
      </c>
      <c r="P7" s="38" t="inlineStr">
        <is>
          <t xml:space="preserve"/>
        </is>
      </c>
    </row>
    <row r="8">
      <c r="A8" s="49" t="inlineStr">
        <is>
          <t xml:space="preserve">Mossel Bay</t>
        </is>
      </c>
      <c r="B8" s="49" t="inlineStr">
        <is>
          <t xml:space="preserve">Sea</t>
        </is>
      </c>
      <c r="C8" s="50" t="n">
        <v>0.770853449</v>
      </c>
      <c r="D8" s="50" t="n">
        <v>0.951908118</v>
      </c>
      <c r="E8" s="50" t="n">
        <v>0.39227171302</v>
      </c>
      <c r="F8" s="50" t="n">
        <v>0.290250522</v>
      </c>
      <c r="G8" s="50" t="n">
        <v>0.138237059</v>
      </c>
      <c r="H8" s="50" t="n">
        <v>0.713752548</v>
      </c>
      <c r="I8" s="50" t="n">
        <v>0.400193929</v>
      </c>
      <c r="J8" s="50" t="n">
        <v>0.674675826</v>
      </c>
      <c r="K8" s="50" t="n">
        <v>0.56689834524</v>
      </c>
      <c r="L8" s="50" t="n">
        <v>1.093150604</v>
      </c>
      <c r="M8" s="50" t="n">
        <v>0.573384652</v>
      </c>
      <c r="N8" s="50" t="n">
        <v>0.521797795</v>
      </c>
      <c r="O8" s="38" t="inlineStr">
        <is>
          <t xml:space="preserve">SARS customs, imports by office of clearance (fuel_trade_sars_by_office.csv)</t>
        </is>
      </c>
      <c r="P8" s="38" t="inlineStr">
        <is>
          <t xml:space="preserve"/>
        </is>
      </c>
    </row>
    <row r="9">
      <c r="A9" s="49" t="inlineStr">
        <is>
          <t xml:space="preserve">East London</t>
        </is>
      </c>
      <c r="B9" s="49" t="inlineStr">
        <is>
          <t xml:space="preserve">Sea</t>
        </is>
      </c>
      <c r="C9" s="50" t="n">
        <v>0.059488792</v>
      </c>
      <c r="D9" s="50" t="n">
        <v>0.10177180707</v>
      </c>
      <c r="E9" s="50" t="n">
        <v>0.07380239</v>
      </c>
      <c r="F9" s="50" t="n">
        <v>0.0834004894</v>
      </c>
      <c r="G9" s="50" t="n">
        <v>0.06618653100000001</v>
      </c>
      <c r="H9" s="50" t="n">
        <v>0.07354029300000001</v>
      </c>
      <c r="I9" s="50" t="n">
        <v>0.19997504</v>
      </c>
      <c r="J9" s="50" t="n">
        <v>0.206861973</v>
      </c>
      <c r="K9" s="50" t="n">
        <v>0.189680792</v>
      </c>
      <c r="L9" s="50" t="n">
        <v>0.351388819</v>
      </c>
      <c r="M9" s="50" t="n">
        <v>0.51376771</v>
      </c>
      <c r="N9" s="50" t="n">
        <v>0.403307375</v>
      </c>
      <c r="O9" s="38" t="inlineStr">
        <is>
          <t xml:space="preserve">SARS customs, imports by office of clearance (fuel_trade_sars_by_office.csv)</t>
        </is>
      </c>
      <c r="P9" s="38" t="inlineStr">
        <is>
          <t xml:space="preserve"/>
        </is>
      </c>
    </row>
    <row r="10">
      <c r="A10" s="49" t="inlineStr">
        <is>
          <t xml:space="preserve">Port Elizabeth</t>
        </is>
      </c>
      <c r="B10" s="49" t="inlineStr">
        <is>
          <t xml:space="preserve">Sea</t>
        </is>
      </c>
      <c r="C10" s="50" t="n">
        <v>0.045097549</v>
      </c>
      <c r="D10" s="50" t="n">
        <v>0.09579346198000001</v>
      </c>
      <c r="E10" s="50" t="n">
        <v>0.06197985031</v>
      </c>
      <c r="F10" s="50" t="n">
        <v>0.05229008</v>
      </c>
      <c r="G10" s="50" t="n">
        <v>0.09921999692</v>
      </c>
      <c r="H10" s="50" t="n">
        <v>0.08568754889000001</v>
      </c>
      <c r="I10" s="50" t="n">
        <v>0.191707363</v>
      </c>
      <c r="J10" s="50" t="n">
        <v>0.2561779</v>
      </c>
      <c r="K10" s="50" t="n">
        <v>0.225130346</v>
      </c>
      <c r="L10" s="50" t="n">
        <v>0.336667375</v>
      </c>
      <c r="M10" s="50" t="n">
        <v>0.137698441</v>
      </c>
      <c r="N10" s="50" t="n">
        <v>0.31335745393</v>
      </c>
      <c r="O10" s="38" t="inlineStr">
        <is>
          <t xml:space="preserve">SARS customs, imports by office of clearance (fuel_trade_sars_by_office.csv)</t>
        </is>
      </c>
      <c r="P10" s="38" t="inlineStr">
        <is>
          <t xml:space="preserve"/>
        </is>
      </c>
    </row>
    <row r="11">
      <c r="A11" s="49" t="inlineStr">
        <is>
          <t xml:space="preserve">Richards Bay</t>
        </is>
      </c>
      <c r="B11" s="49" t="inlineStr">
        <is>
          <t xml:space="preserve">Sea</t>
        </is>
      </c>
      <c r="C11" s="50" t="n">
        <v>0</v>
      </c>
      <c r="D11" s="50" t="n">
        <v>0</v>
      </c>
      <c r="E11" s="50" t="n">
        <v>0</v>
      </c>
      <c r="F11" s="50" t="n">
        <v>0.105714823</v>
      </c>
      <c r="G11" s="50" t="n">
        <v>0.091830959</v>
      </c>
      <c r="H11" s="50" t="n">
        <v>0.093812929</v>
      </c>
      <c r="I11" s="50" t="n">
        <v>0.146792846</v>
      </c>
      <c r="J11" s="50" t="n">
        <v>0.234036815</v>
      </c>
      <c r="K11" s="50" t="n">
        <v>0.331319789</v>
      </c>
      <c r="L11" s="50" t="n">
        <v>0.320766702</v>
      </c>
      <c r="M11" s="50" t="n">
        <v>0.390782477</v>
      </c>
      <c r="N11" s="50" t="n">
        <v>0.6579146</v>
      </c>
      <c r="O11" s="38" t="inlineStr">
        <is>
          <t xml:space="preserve">SARS customs, imports by office of clearance (fuel_trade_sars_by_office.csv)</t>
        </is>
      </c>
      <c r="P11" s="38" t="inlineStr">
        <is>
          <t xml:space="preserve"/>
        </is>
      </c>
    </row>
    <row r="12">
      <c r="A12" s="49" t="inlineStr">
        <is>
          <t xml:space="preserve">Komatipoort</t>
        </is>
      </c>
      <c r="B12" s="49" t="inlineStr">
        <is>
          <t xml:space="preserve">Road, from Mozambique</t>
        </is>
      </c>
      <c r="C12" s="50" t="n">
        <v>0.151062295</v>
      </c>
      <c r="D12" s="50" t="n">
        <v>0.25728800257</v>
      </c>
      <c r="E12" s="50" t="n">
        <v>0.236796023</v>
      </c>
      <c r="F12" s="50" t="n">
        <v>0.23388003104</v>
      </c>
      <c r="G12" s="50" t="n">
        <v>0.22802977396</v>
      </c>
      <c r="H12" s="50" t="n">
        <v>0.21272690407</v>
      </c>
      <c r="I12" s="50" t="n">
        <v>0.20753876099</v>
      </c>
      <c r="J12" s="50" t="n">
        <v>0.20133574</v>
      </c>
      <c r="K12" s="50" t="n">
        <v>0.27415852432</v>
      </c>
      <c r="L12" s="50" t="n">
        <v>0.254570839</v>
      </c>
      <c r="M12" s="50" t="n">
        <v>0.18582006085</v>
      </c>
      <c r="N12" s="50" t="n">
        <v>0.08202250600000001</v>
      </c>
      <c r="O12" s="38" t="inlineStr">
        <is>
          <t xml:space="preserve">SARS customs, imports by office of clearance (fuel_trade_sars_by_office.csv)</t>
        </is>
      </c>
      <c r="P12" s="38" t="inlineStr">
        <is>
          <t xml:space="preserve">The only recorded entry from the Maputo and Matola side.</t>
        </is>
      </c>
    </row>
    <row r="13">
      <c r="A13" s="49" t="inlineStr">
        <is>
          <t xml:space="preserve">Other offices</t>
        </is>
      </c>
      <c r="B13" s="49" t="inlineStr">
        <is>
          <t xml:space="preserve">Land borders and inland offices</t>
        </is>
      </c>
      <c r="C13" s="50" t="n">
        <v>0.00043176669</v>
      </c>
      <c r="D13" s="50" t="n">
        <v>0.00467525594</v>
      </c>
      <c r="E13" s="50" t="n">
        <v>0.00313597368</v>
      </c>
      <c r="F13" s="50" t="n">
        <v>0.00074357618</v>
      </c>
      <c r="G13" s="50" t="n">
        <v>0.00041767239</v>
      </c>
      <c r="H13" s="50" t="n">
        <v>4.726407e-05</v>
      </c>
      <c r="I13" s="50" t="n">
        <v>0.00011745485</v>
      </c>
      <c r="J13" s="50" t="n">
        <v>0.00271854974</v>
      </c>
      <c r="K13" s="50" t="n">
        <v>0.000723718</v>
      </c>
      <c r="L13" s="50" t="n">
        <v>0.00086713425</v>
      </c>
      <c r="M13" s="50" t="n">
        <v>0.00072742656</v>
      </c>
      <c r="N13" s="50" t="n">
        <v>0.0033929065</v>
      </c>
      <c r="O13" s="38" t="inlineStr">
        <is>
          <t xml:space="preserve">SARS customs, imports by office of clearance (fuel_trade_sars_by_office.csv)</t>
        </is>
      </c>
      <c r="P13" s="38" t="inlineStr">
        <is>
          <t xml:space="preserve"/>
        </is>
      </c>
    </row>
    <row r="14">
      <c r="A14" s="51" t="inlineStr">
        <is>
          <t xml:space="preserve">All offices</t>
        </is>
      </c>
      <c r="B14" s="52" t="n"/>
      <c r="C14" s="53" t="n">
        <f>SUM(C6:C13)</f>
        <v>4.9917123266</v>
      </c>
      <c r="D14" s="53" t="n">
        <f>SUM(D6:D13)</f>
        <v>6.450779034559999</v>
      </c>
      <c r="E14" s="53" t="n">
        <f>SUM(E6:E13)</f>
        <v>4.4242949648900005</v>
      </c>
      <c r="F14" s="53" t="n">
        <f>SUM(F6:F13)</f>
        <v>6.037459910809998</v>
      </c>
      <c r="G14" s="53" t="n">
        <f>SUM(G6:G13)</f>
        <v>5.12295948654</v>
      </c>
      <c r="H14" s="53" t="n">
        <f>SUM(H6:H13)</f>
        <v>5.590272108560001</v>
      </c>
      <c r="I14" s="53" t="n">
        <f>SUM(I6:I13)</f>
        <v>6.814985447840001</v>
      </c>
      <c r="J14" s="53" t="n">
        <f>SUM(J6:J13)</f>
        <v>9.76139530574</v>
      </c>
      <c r="K14" s="53" t="n">
        <f>SUM(K6:K13)</f>
        <v>11.954256547900002</v>
      </c>
      <c r="L14" s="53" t="n">
        <f>SUM(L6:L13)</f>
        <v>12.870032100669999</v>
      </c>
      <c r="M14" s="53" t="n">
        <f>SUM(M6:M13)</f>
        <v>10.792547134049999</v>
      </c>
      <c r="N14" s="53" t="n">
        <f>SUM(N6:N13)</f>
        <v>12.248720262069998</v>
      </c>
      <c r="O14" s="42" t="inlineStr">
        <is>
          <t xml:space="preserve">Sum of the rows above; equals SARS national imports on the History sheet</t>
        </is>
      </c>
      <c r="P14" s="42" t="n"/>
    </row>
    <row r="15">
      <c r="A15" s="52" t="inlineStr">
        <is>
          <t xml:space="preserve">Durban share</t>
        </is>
      </c>
      <c r="B15" s="52" t="n"/>
      <c r="C15" s="54" t="n">
        <f>IF(C14=0,"",C6/C14)</f>
        <v>0.6813881059982315</v>
      </c>
      <c r="D15" s="54" t="n">
        <f>IF(D14=0,"",D6/D14)</f>
        <v>0.6266995402169667</v>
      </c>
      <c r="E15" s="54" t="n">
        <f>IF(E14=0,"",E6/E14)</f>
        <v>0.7778317375287299</v>
      </c>
      <c r="F15" s="54" t="n">
        <f>IF(F14=0,"",F6/F14)</f>
        <v>0.8077134006751115</v>
      </c>
      <c r="G15" s="54" t="n">
        <f>IF(G14=0,"",G6/G14)</f>
        <v>0.778047165319678</v>
      </c>
      <c r="H15" s="54" t="n">
        <f>IF(H14=0,"",H6/H14)</f>
        <v>0.6813878208481694</v>
      </c>
      <c r="I15" s="54" t="n">
        <f>IF(I14=0,"",I6/I14)</f>
        <v>0.5614007113122487</v>
      </c>
      <c r="J15" s="54" t="n">
        <f>IF(J14=0,"",J6/J14)</f>
        <v>0.5977499114874402</v>
      </c>
      <c r="K15" s="54" t="n">
        <f>IF(K14=0,"",K6/K14)</f>
        <v>0.6592838270418828</v>
      </c>
      <c r="L15" s="54" t="n">
        <f>IF(L14=0,"",L6/L14)</f>
        <v>0.7090142774348606</v>
      </c>
      <c r="M15" s="54" t="n">
        <f>IF(M14=0,"",M6/M14)</f>
        <v>0.7442997318303661</v>
      </c>
      <c r="N15" s="54" t="n">
        <f>IF(N14=0,"",N6/N14)</f>
        <v>0.7291811103154866</v>
      </c>
      <c r="O15" s="42" t="inlineStr">
        <is>
          <t xml:space="preserve">Calculated: Durban over all offices</t>
        </is>
      </c>
      <c r="P15" s="42" t="n"/>
    </row>
    <row r="17">
      <c r="A17" s="48" t="inlineStr">
        <is>
          <t xml:space="preserve">Petrol</t>
        </is>
      </c>
      <c r="B17" s="48" t="n"/>
      <c r="C17" s="48" t="n"/>
      <c r="D17" s="48" t="n"/>
      <c r="E17" s="48" t="n"/>
      <c r="F17" s="48" t="n"/>
      <c r="G17" s="48" t="n"/>
      <c r="H17" s="48" t="n"/>
      <c r="I17" s="48" t="n"/>
      <c r="J17" s="48" t="n"/>
      <c r="K17" s="48" t="n"/>
      <c r="L17" s="48" t="n"/>
      <c r="M17" s="48" t="n"/>
      <c r="N17" s="48" t="n"/>
      <c r="O17" s="48" t="n"/>
      <c r="P17" s="48" t="n"/>
    </row>
    <row r="18">
      <c r="A18" s="49" t="inlineStr">
        <is>
          <t xml:space="preserve">Durban</t>
        </is>
      </c>
      <c r="B18" s="49" t="inlineStr">
        <is>
          <t xml:space="preserve">Sea</t>
        </is>
      </c>
      <c r="C18" s="50" t="n">
        <v>0.85247094</v>
      </c>
      <c r="D18" s="50" t="n">
        <v>1.44254280764</v>
      </c>
      <c r="E18" s="50" t="n">
        <v>1.13647002436</v>
      </c>
      <c r="F18" s="50" t="n">
        <v>1.72928571202</v>
      </c>
      <c r="G18" s="50" t="n">
        <v>1.53643879</v>
      </c>
      <c r="H18" s="50" t="n">
        <v>1.25634839252</v>
      </c>
      <c r="I18" s="50" t="n">
        <v>0.664092731</v>
      </c>
      <c r="J18" s="50" t="n">
        <v>2.436564685</v>
      </c>
      <c r="K18" s="50" t="n">
        <v>3.882669362</v>
      </c>
      <c r="L18" s="50" t="n">
        <v>4.165599231</v>
      </c>
      <c r="M18" s="50" t="n">
        <v>3.804725224</v>
      </c>
      <c r="N18" s="50" t="n">
        <v>4.228979739</v>
      </c>
      <c r="O18" s="38" t="inlineStr">
        <is>
          <t xml:space="preserve">SARS customs, imports by office of clearance (fuel_trade_sars_by_office.csv)</t>
        </is>
      </c>
      <c r="P18" s="38" t="inlineStr">
        <is>
          <t xml:space="preserve">Includes fuel for the inland pipeline and for the coast.</t>
        </is>
      </c>
    </row>
    <row r="19">
      <c r="A19" s="49" t="inlineStr">
        <is>
          <t xml:space="preserve">Cape Town</t>
        </is>
      </c>
      <c r="B19" s="49" t="inlineStr">
        <is>
          <t xml:space="preserve">Sea</t>
        </is>
      </c>
      <c r="C19" s="50" t="n">
        <v>0.187501032</v>
      </c>
      <c r="D19" s="50" t="n">
        <v>0.262594189</v>
      </c>
      <c r="E19" s="50" t="n">
        <v>0.058894374</v>
      </c>
      <c r="F19" s="50" t="n">
        <v>0.21050907424</v>
      </c>
      <c r="G19" s="50" t="n">
        <v>0.18265634019</v>
      </c>
      <c r="H19" s="50" t="n">
        <v>0.11619285849</v>
      </c>
      <c r="I19" s="50" t="n">
        <v>1.0027419188</v>
      </c>
      <c r="J19" s="50" t="n">
        <v>1.431945116</v>
      </c>
      <c r="K19" s="50" t="n">
        <v>1.500340893</v>
      </c>
      <c r="L19" s="50" t="n">
        <v>0.233049258</v>
      </c>
      <c r="M19" s="50" t="n">
        <v>0.131091</v>
      </c>
      <c r="N19" s="50" t="n">
        <v>0.185597544</v>
      </c>
      <c r="O19" s="38" t="inlineStr">
        <is>
          <t xml:space="preserve">SARS customs, imports by office of clearance (fuel_trade_sars_by_office.csv)</t>
        </is>
      </c>
      <c r="P19" s="38" t="inlineStr">
        <is>
          <t xml:space="preserve"/>
        </is>
      </c>
    </row>
    <row r="20">
      <c r="A20" s="49" t="inlineStr">
        <is>
          <t xml:space="preserve">Mossel Bay</t>
        </is>
      </c>
      <c r="B20" s="49" t="inlineStr">
        <is>
          <t xml:space="preserve">Sea</t>
        </is>
      </c>
      <c r="C20" s="50" t="n">
        <v>0</v>
      </c>
      <c r="D20" s="50" t="n">
        <v>0</v>
      </c>
      <c r="E20" s="50" t="n">
        <v>0.010228015</v>
      </c>
      <c r="F20" s="50" t="n">
        <v>0</v>
      </c>
      <c r="G20" s="50" t="n">
        <v>0</v>
      </c>
      <c r="H20" s="50" t="n">
        <v>0.046954148</v>
      </c>
      <c r="I20" s="50" t="n">
        <v>0</v>
      </c>
      <c r="J20" s="50" t="n">
        <v>0.099757575</v>
      </c>
      <c r="K20" s="50" t="n">
        <v>0.034555764</v>
      </c>
      <c r="L20" s="50" t="n">
        <v>0.068691824</v>
      </c>
      <c r="M20" s="50" t="n">
        <v>0.049694999</v>
      </c>
      <c r="N20" s="50" t="n">
        <v>0</v>
      </c>
      <c r="O20" s="38" t="inlineStr">
        <is>
          <t xml:space="preserve">SARS customs, imports by office of clearance (fuel_trade_sars_by_office.csv)</t>
        </is>
      </c>
      <c r="P20" s="38" t="inlineStr">
        <is>
          <t xml:space="preserve"/>
        </is>
      </c>
    </row>
    <row r="21">
      <c r="A21" s="49" t="inlineStr">
        <is>
          <t xml:space="preserve">East London</t>
        </is>
      </c>
      <c r="B21" s="49" t="inlineStr">
        <is>
          <t xml:space="preserve">Sea</t>
        </is>
      </c>
      <c r="C21" s="50" t="n">
        <v>0.069111017</v>
      </c>
      <c r="D21" s="50" t="n">
        <v>0.10173686088</v>
      </c>
      <c r="E21" s="50" t="n">
        <v>0.08370649099999999</v>
      </c>
      <c r="F21" s="50" t="n">
        <v>0.06964011619</v>
      </c>
      <c r="G21" s="50" t="n">
        <v>0.018334526</v>
      </c>
      <c r="H21" s="50" t="n">
        <v>0</v>
      </c>
      <c r="I21" s="50" t="n">
        <v>0.0118587</v>
      </c>
      <c r="J21" s="50" t="n">
        <v>0</v>
      </c>
      <c r="K21" s="50" t="n">
        <v>0.005168638</v>
      </c>
      <c r="L21" s="50" t="n">
        <v>0.008596477</v>
      </c>
      <c r="M21" s="50" t="n">
        <v>0.01313950301</v>
      </c>
      <c r="N21" s="50" t="n">
        <v>0.031405816</v>
      </c>
      <c r="O21" s="38" t="inlineStr">
        <is>
          <t xml:space="preserve">SARS customs, imports by office of clearance (fuel_trade_sars_by_office.csv)</t>
        </is>
      </c>
      <c r="P21" s="38" t="inlineStr">
        <is>
          <t xml:space="preserve"/>
        </is>
      </c>
    </row>
    <row r="22">
      <c r="A22" s="49" t="inlineStr">
        <is>
          <t xml:space="preserve">Port Elizabeth</t>
        </is>
      </c>
      <c r="B22" s="49" t="inlineStr">
        <is>
          <t xml:space="preserve">Sea</t>
        </is>
      </c>
      <c r="C22" s="50" t="n">
        <v>0.04104864063</v>
      </c>
      <c r="D22" s="50" t="n">
        <v>0.06273817831</v>
      </c>
      <c r="E22" s="50" t="n">
        <v>0.07059936554</v>
      </c>
      <c r="F22" s="50" t="n">
        <v>0.01998260759</v>
      </c>
      <c r="G22" s="50" t="n">
        <v>0.01489263246</v>
      </c>
      <c r="H22" s="50" t="n">
        <v>0.00108430111</v>
      </c>
      <c r="I22" s="50" t="n">
        <v>0.0007748566800000001</v>
      </c>
      <c r="J22" s="50" t="n">
        <v>0.0007812402099999999</v>
      </c>
      <c r="K22" s="50" t="n">
        <v>0.00371315593</v>
      </c>
      <c r="L22" s="50" t="n">
        <v>0.00670979238</v>
      </c>
      <c r="M22" s="50" t="n">
        <v>0.00119405589</v>
      </c>
      <c r="N22" s="50" t="n">
        <v>0.00306974015</v>
      </c>
      <c r="O22" s="38" t="inlineStr">
        <is>
          <t xml:space="preserve">SARS customs, imports by office of clearance (fuel_trade_sars_by_office.csv)</t>
        </is>
      </c>
      <c r="P22" s="38" t="inlineStr">
        <is>
          <t xml:space="preserve"/>
        </is>
      </c>
    </row>
    <row r="23">
      <c r="A23" s="49" t="inlineStr">
        <is>
          <t xml:space="preserve">Richards Bay</t>
        </is>
      </c>
      <c r="B23" s="49" t="inlineStr">
        <is>
          <t xml:space="preserve">Sea</t>
        </is>
      </c>
      <c r="C23" s="50" t="n">
        <v>0</v>
      </c>
      <c r="D23" s="50" t="n">
        <v>0</v>
      </c>
      <c r="E23" s="50" t="n">
        <v>0</v>
      </c>
      <c r="F23" s="50" t="n">
        <v>0.038417234</v>
      </c>
      <c r="G23" s="50" t="n">
        <v>0.03354092</v>
      </c>
      <c r="H23" s="50" t="n">
        <v>0.018129952</v>
      </c>
      <c r="I23" s="50" t="n">
        <v>0.009266228</v>
      </c>
      <c r="J23" s="50" t="n">
        <v>0</v>
      </c>
      <c r="K23" s="50" t="n">
        <v>0</v>
      </c>
      <c r="L23" s="50" t="n">
        <v>0</v>
      </c>
      <c r="M23" s="50" t="n">
        <v>0</v>
      </c>
      <c r="N23" s="50" t="n">
        <v>0</v>
      </c>
      <c r="O23" s="38" t="inlineStr">
        <is>
          <t xml:space="preserve">SARS customs, imports by office of clearance (fuel_trade_sars_by_office.csv)</t>
        </is>
      </c>
      <c r="P23" s="38" t="inlineStr">
        <is>
          <t xml:space="preserve"/>
        </is>
      </c>
    </row>
    <row r="24">
      <c r="A24" s="49" t="inlineStr">
        <is>
          <t xml:space="preserve">Komatipoort</t>
        </is>
      </c>
      <c r="B24" s="49" t="inlineStr">
        <is>
          <t xml:space="preserve">Road, from Mozambique</t>
        </is>
      </c>
      <c r="C24" s="50" t="n">
        <v>0</v>
      </c>
      <c r="D24" s="50" t="n">
        <v>0</v>
      </c>
      <c r="E24" s="50" t="n">
        <v>0.0346726134</v>
      </c>
      <c r="F24" s="50" t="n">
        <v>0.046040565</v>
      </c>
      <c r="G24" s="50" t="n">
        <v>0.04390319</v>
      </c>
      <c r="H24" s="50" t="n">
        <v>0.03866750897</v>
      </c>
      <c r="I24" s="50" t="n">
        <v>0.030842959</v>
      </c>
      <c r="J24" s="50" t="n">
        <v>0.039454367</v>
      </c>
      <c r="K24" s="50" t="n">
        <v>0.028805741</v>
      </c>
      <c r="L24" s="50" t="n">
        <v>0.000125422</v>
      </c>
      <c r="M24" s="50" t="n">
        <v>0.001009567</v>
      </c>
      <c r="N24" s="50" t="n">
        <v>0.004416485</v>
      </c>
      <c r="O24" s="38" t="inlineStr">
        <is>
          <t xml:space="preserve">SARS customs, imports by office of clearance (fuel_trade_sars_by_office.csv)</t>
        </is>
      </c>
      <c r="P24" s="38" t="inlineStr">
        <is>
          <t xml:space="preserve">The only recorded entry from the Maputo and Matola side.</t>
        </is>
      </c>
    </row>
    <row r="25">
      <c r="A25" s="49" t="inlineStr">
        <is>
          <t xml:space="preserve">Other offices</t>
        </is>
      </c>
      <c r="B25" s="49" t="inlineStr">
        <is>
          <t xml:space="preserve">Land borders and inland offices</t>
        </is>
      </c>
      <c r="C25" s="50" t="n">
        <v>6.319224e-05</v>
      </c>
      <c r="D25" s="50" t="n">
        <v>3.317238e-05</v>
      </c>
      <c r="E25" s="50" t="n">
        <v>0.0010675928</v>
      </c>
      <c r="F25" s="50" t="n">
        <v>0.0002811756</v>
      </c>
      <c r="G25" s="50" t="n">
        <v>4.86485e-06</v>
      </c>
      <c r="H25" s="50" t="n">
        <v>8.68e-06</v>
      </c>
      <c r="I25" s="50" t="n">
        <v>9.5671e-05</v>
      </c>
      <c r="J25" s="50" t="n">
        <v>0.00010978057</v>
      </c>
      <c r="K25" s="50" t="n">
        <v>8.26079e-06</v>
      </c>
      <c r="L25" s="50" t="n">
        <v>2.756e-06</v>
      </c>
      <c r="M25" s="50" t="n">
        <v>8.455e-08</v>
      </c>
      <c r="N25" s="50" t="n">
        <v>1.854e-06</v>
      </c>
      <c r="O25" s="38" t="inlineStr">
        <is>
          <t xml:space="preserve">SARS customs, imports by office of clearance (fuel_trade_sars_by_office.csv)</t>
        </is>
      </c>
      <c r="P25" s="38" t="inlineStr">
        <is>
          <t xml:space="preserve"/>
        </is>
      </c>
    </row>
    <row r="26">
      <c r="A26" s="51" t="inlineStr">
        <is>
          <t xml:space="preserve">All offices</t>
        </is>
      </c>
      <c r="B26" s="52" t="n"/>
      <c r="C26" s="53" t="n">
        <f>SUM(C18:C25)</f>
        <v>1.15019482187</v>
      </c>
      <c r="D26" s="53" t="n">
        <f>SUM(D18:D25)</f>
        <v>1.86964520821</v>
      </c>
      <c r="E26" s="53" t="n">
        <f>SUM(E18:E25)</f>
        <v>1.3956384761</v>
      </c>
      <c r="F26" s="53" t="n">
        <f>SUM(F18:F25)</f>
        <v>2.1141564846400005</v>
      </c>
      <c r="G26" s="53" t="n">
        <f>SUM(G18:G25)</f>
        <v>1.8297712635</v>
      </c>
      <c r="H26" s="53" t="n">
        <f>SUM(H18:H25)</f>
        <v>1.47738584109</v>
      </c>
      <c r="I26" s="53" t="n">
        <f>SUM(I18:I25)</f>
        <v>1.71967306448</v>
      </c>
      <c r="J26" s="53" t="n">
        <f>SUM(J18:J25)</f>
        <v>4.0086127637799995</v>
      </c>
      <c r="K26" s="53" t="n">
        <f>SUM(K18:K25)</f>
        <v>5.45526181472</v>
      </c>
      <c r="L26" s="53" t="n">
        <f>SUM(L18:L25)</f>
        <v>4.48277476038</v>
      </c>
      <c r="M26" s="53" t="n">
        <f>SUM(M18:M25)</f>
        <v>4.00085443345</v>
      </c>
      <c r="N26" s="53" t="n">
        <f>SUM(N18:N25)</f>
        <v>4.45347117815</v>
      </c>
      <c r="O26" s="42" t="inlineStr">
        <is>
          <t xml:space="preserve">Sum of the rows above; equals SARS national imports on the History sheet</t>
        </is>
      </c>
      <c r="P26" s="42" t="n"/>
    </row>
    <row r="27">
      <c r="A27" s="52" t="inlineStr">
        <is>
          <t xml:space="preserve">Durban share</t>
        </is>
      </c>
      <c r="B27" s="52" t="n"/>
      <c r="C27" s="54" t="n">
        <f>IF(C26=0,"",C18/C26)</f>
        <v>0.741153519204723</v>
      </c>
      <c r="D27" s="54" t="n">
        <f>IF(D26=0,"",D18/D26)</f>
        <v>0.7715596527648643</v>
      </c>
      <c r="E27" s="54" t="n">
        <f>IF(E26=0,"",E18/E26)</f>
        <v>0.8143011559381585</v>
      </c>
      <c r="F27" s="54" t="n">
        <f>IF(F26=0,"",F18/F26)</f>
        <v>0.8179553995098255</v>
      </c>
      <c r="G27" s="54" t="n">
        <f>IF(G26=0,"",G18/G26)</f>
        <v>0.8396889931810867</v>
      </c>
      <c r="H27" s="54" t="n">
        <f>IF(H26=0,"",H18/H26)</f>
        <v>0.8503861060378642</v>
      </c>
      <c r="I27" s="54" t="n">
        <f>IF(I26=0,"",I18/I26)</f>
        <v>0.3861738284543117</v>
      </c>
      <c r="J27" s="54" t="n">
        <f>IF(J26=0,"",J18/J26)</f>
        <v>0.6078323920473659</v>
      </c>
      <c r="K27" s="54" t="n">
        <f>IF(K26=0,"",K18/K26)</f>
        <v>0.7117292430444576</v>
      </c>
      <c r="L27" s="54" t="n">
        <f>IF(L26=0,"",L18/L26)</f>
        <v>0.9292457135738148</v>
      </c>
      <c r="M27" s="54" t="n">
        <f>IF(M26=0,"",M18/M26)</f>
        <v>0.950978169110523</v>
      </c>
      <c r="N27" s="54" t="n">
        <f>IF(N26=0,"",N18/N26)</f>
        <v>0.9495918059936215</v>
      </c>
      <c r="O27" s="42" t="inlineStr">
        <is>
          <t xml:space="preserve">Calculated: Durban over all offices</t>
        </is>
      </c>
      <c r="P27" s="42" t="n"/>
    </row>
    <row r="29">
      <c r="A29" s="48" t="inlineStr">
        <is>
          <t xml:space="preserve">Diesel and petrol</t>
        </is>
      </c>
      <c r="B29" s="48" t="n"/>
      <c r="C29" s="48" t="n"/>
      <c r="D29" s="48" t="n"/>
      <c r="E29" s="48" t="n"/>
      <c r="F29" s="48" t="n"/>
      <c r="G29" s="48" t="n"/>
      <c r="H29" s="48" t="n"/>
      <c r="I29" s="48" t="n"/>
      <c r="J29" s="48" t="n"/>
      <c r="K29" s="48" t="n"/>
      <c r="L29" s="48" t="n"/>
      <c r="M29" s="48" t="n"/>
      <c r="N29" s="48" t="n"/>
      <c r="O29" s="48" t="n"/>
      <c r="P29" s="48" t="n"/>
    </row>
    <row r="30">
      <c r="A30" s="49" t="inlineStr">
        <is>
          <t xml:space="preserve">Durban</t>
        </is>
      </c>
      <c r="B30" s="49" t="inlineStr">
        <is>
          <t xml:space="preserve">Sea</t>
        </is>
      </c>
      <c r="C30" s="50" t="n">
        <v>4.25376434791</v>
      </c>
      <c r="D30" s="50" t="n">
        <v>5.48524306264</v>
      </c>
      <c r="E30" s="50" t="n">
        <v>4.57782706424</v>
      </c>
      <c r="F30" s="50" t="n">
        <v>6.60582298802</v>
      </c>
      <c r="G30" s="50" t="n">
        <v>5.522342896550001</v>
      </c>
      <c r="H30" s="50" t="n">
        <v>5.06549172252</v>
      </c>
      <c r="I30" s="50" t="n">
        <v>4.490030409</v>
      </c>
      <c r="J30" s="50" t="n">
        <v>8.271437864999999</v>
      </c>
      <c r="K30" s="50" t="n">
        <v>11.76391736834</v>
      </c>
      <c r="L30" s="50" t="n">
        <v>13.29063574142</v>
      </c>
      <c r="M30" s="50" t="n">
        <v>11.83761516164</v>
      </c>
      <c r="N30" s="50" t="n">
        <v>13.16051517964</v>
      </c>
      <c r="O30" s="38" t="inlineStr">
        <is>
          <t xml:space="preserve">SARS customs, imports by office of clearance (fuel_trade_sars_by_office.csv)</t>
        </is>
      </c>
      <c r="P30" s="38" t="inlineStr">
        <is>
          <t xml:space="preserve">Includes fuel for the inland pipeline and for the coast.</t>
        </is>
      </c>
    </row>
    <row r="31">
      <c r="A31" s="49" t="inlineStr">
        <is>
          <t xml:space="preserve">Cape Town</t>
        </is>
      </c>
      <c r="B31" s="49" t="inlineStr">
        <is>
          <t xml:space="preserve">Sea</t>
        </is>
      </c>
      <c r="C31" s="50" t="n">
        <v>0.750986099</v>
      </c>
      <c r="D31" s="50" t="n">
        <v>1.259236323</v>
      </c>
      <c r="E31" s="50" t="n">
        <v>0.273846349</v>
      </c>
      <c r="F31" s="50" t="n">
        <v>0.60515218743</v>
      </c>
      <c r="G31" s="50" t="n">
        <v>0.69578972791</v>
      </c>
      <c r="H31" s="50" t="n">
        <v>0.71775415002</v>
      </c>
      <c r="I31" s="50" t="n">
        <v>2.8454642948</v>
      </c>
      <c r="J31" s="50" t="n">
        <v>3.782660438</v>
      </c>
      <c r="K31" s="50" t="n">
        <v>3.98543792</v>
      </c>
      <c r="L31" s="50" t="n">
        <v>1.620633375</v>
      </c>
      <c r="M31" s="50" t="n">
        <v>1.088567429</v>
      </c>
      <c r="N31" s="50" t="n">
        <v>1.520989729</v>
      </c>
      <c r="O31" s="38" t="inlineStr">
        <is>
          <t xml:space="preserve">SARS customs, imports by office of clearance (fuel_trade_sars_by_office.csv)</t>
        </is>
      </c>
      <c r="P31" s="38" t="inlineStr">
        <is>
          <t xml:space="preserve"/>
        </is>
      </c>
    </row>
    <row r="32">
      <c r="A32" s="49" t="inlineStr">
        <is>
          <t xml:space="preserve">Mossel Bay</t>
        </is>
      </c>
      <c r="B32" s="49" t="inlineStr">
        <is>
          <t xml:space="preserve">Sea</t>
        </is>
      </c>
      <c r="C32" s="50" t="n">
        <v>0.770853449</v>
      </c>
      <c r="D32" s="50" t="n">
        <v>0.951908118</v>
      </c>
      <c r="E32" s="50" t="n">
        <v>0.4024997280199999</v>
      </c>
      <c r="F32" s="50" t="n">
        <v>0.290250522</v>
      </c>
      <c r="G32" s="50" t="n">
        <v>0.138237059</v>
      </c>
      <c r="H32" s="50" t="n">
        <v>0.760706696</v>
      </c>
      <c r="I32" s="50" t="n">
        <v>0.400193929</v>
      </c>
      <c r="J32" s="50" t="n">
        <v>0.774433401</v>
      </c>
      <c r="K32" s="50" t="n">
        <v>0.6014541092400001</v>
      </c>
      <c r="L32" s="50" t="n">
        <v>1.161842428</v>
      </c>
      <c r="M32" s="50" t="n">
        <v>0.623079651</v>
      </c>
      <c r="N32" s="50" t="n">
        <v>0.521797795</v>
      </c>
      <c r="O32" s="38" t="inlineStr">
        <is>
          <t xml:space="preserve">SARS customs, imports by office of clearance (fuel_trade_sars_by_office.csv)</t>
        </is>
      </c>
      <c r="P32" s="38" t="inlineStr">
        <is>
          <t xml:space="preserve"/>
        </is>
      </c>
    </row>
    <row r="33">
      <c r="A33" s="49" t="inlineStr">
        <is>
          <t xml:space="preserve">East London</t>
        </is>
      </c>
      <c r="B33" s="49" t="inlineStr">
        <is>
          <t xml:space="preserve">Sea</t>
        </is>
      </c>
      <c r="C33" s="50" t="n">
        <v>0.128599809</v>
      </c>
      <c r="D33" s="50" t="n">
        <v>0.20350866795</v>
      </c>
      <c r="E33" s="50" t="n">
        <v>0.157508881</v>
      </c>
      <c r="F33" s="50" t="n">
        <v>0.15304060559</v>
      </c>
      <c r="G33" s="50" t="n">
        <v>0.08452105700000001</v>
      </c>
      <c r="H33" s="50" t="n">
        <v>0.07354029300000001</v>
      </c>
      <c r="I33" s="50" t="n">
        <v>0.21183374</v>
      </c>
      <c r="J33" s="50" t="n">
        <v>0.206861973</v>
      </c>
      <c r="K33" s="50" t="n">
        <v>0.19484943</v>
      </c>
      <c r="L33" s="50" t="n">
        <v>0.359985296</v>
      </c>
      <c r="M33" s="50" t="n">
        <v>0.52690721301</v>
      </c>
      <c r="N33" s="50" t="n">
        <v>0.4347131910000001</v>
      </c>
      <c r="O33" s="38" t="inlineStr">
        <is>
          <t xml:space="preserve">SARS customs, imports by office of clearance (fuel_trade_sars_by_office.csv)</t>
        </is>
      </c>
      <c r="P33" s="38" t="inlineStr">
        <is>
          <t xml:space="preserve"/>
        </is>
      </c>
    </row>
    <row r="34">
      <c r="A34" s="49" t="inlineStr">
        <is>
          <t xml:space="preserve">Port Elizabeth</t>
        </is>
      </c>
      <c r="B34" s="49" t="inlineStr">
        <is>
          <t xml:space="preserve">Sea</t>
        </is>
      </c>
      <c r="C34" s="50" t="n">
        <v>0.08614618963000001</v>
      </c>
      <c r="D34" s="50" t="n">
        <v>0.15853164029</v>
      </c>
      <c r="E34" s="50" t="n">
        <v>0.13257921585</v>
      </c>
      <c r="F34" s="50" t="n">
        <v>0.07227268759</v>
      </c>
      <c r="G34" s="50" t="n">
        <v>0.11411262938</v>
      </c>
      <c r="H34" s="50" t="n">
        <v>0.08677185000000001</v>
      </c>
      <c r="I34" s="50" t="n">
        <v>0.19248221968</v>
      </c>
      <c r="J34" s="50" t="n">
        <v>0.25695914021</v>
      </c>
      <c r="K34" s="50" t="n">
        <v>0.22884350193</v>
      </c>
      <c r="L34" s="50" t="n">
        <v>0.34337716738</v>
      </c>
      <c r="M34" s="50" t="n">
        <v>0.13889249689</v>
      </c>
      <c r="N34" s="50" t="n">
        <v>0.31642719408</v>
      </c>
      <c r="O34" s="38" t="inlineStr">
        <is>
          <t xml:space="preserve">SARS customs, imports by office of clearance (fuel_trade_sars_by_office.csv)</t>
        </is>
      </c>
      <c r="P34" s="38" t="inlineStr">
        <is>
          <t xml:space="preserve"/>
        </is>
      </c>
    </row>
    <row r="35">
      <c r="A35" s="49" t="inlineStr">
        <is>
          <t xml:space="preserve">Richards Bay</t>
        </is>
      </c>
      <c r="B35" s="49" t="inlineStr">
        <is>
          <t xml:space="preserve">Sea</t>
        </is>
      </c>
      <c r="C35" s="50" t="n">
        <v>0</v>
      </c>
      <c r="D35" s="50" t="n">
        <v>0</v>
      </c>
      <c r="E35" s="50" t="n">
        <v>0</v>
      </c>
      <c r="F35" s="50" t="n">
        <v>0.144132057</v>
      </c>
      <c r="G35" s="50" t="n">
        <v>0.125371879</v>
      </c>
      <c r="H35" s="50" t="n">
        <v>0.111942881</v>
      </c>
      <c r="I35" s="50" t="n">
        <v>0.156059074</v>
      </c>
      <c r="J35" s="50" t="n">
        <v>0.234036815</v>
      </c>
      <c r="K35" s="50" t="n">
        <v>0.331319789</v>
      </c>
      <c r="L35" s="50" t="n">
        <v>0.320766702</v>
      </c>
      <c r="M35" s="50" t="n">
        <v>0.390782477</v>
      </c>
      <c r="N35" s="50" t="n">
        <v>0.6579146</v>
      </c>
      <c r="O35" s="38" t="inlineStr">
        <is>
          <t xml:space="preserve">SARS customs, imports by office of clearance (fuel_trade_sars_by_office.csv)</t>
        </is>
      </c>
      <c r="P35" s="38" t="inlineStr">
        <is>
          <t xml:space="preserve"/>
        </is>
      </c>
    </row>
    <row r="36">
      <c r="A36" s="49" t="inlineStr">
        <is>
          <t xml:space="preserve">Komatipoort</t>
        </is>
      </c>
      <c r="B36" s="49" t="inlineStr">
        <is>
          <t xml:space="preserve">Road, from Mozambique</t>
        </is>
      </c>
      <c r="C36" s="50" t="n">
        <v>0.151062295</v>
      </c>
      <c r="D36" s="50" t="n">
        <v>0.25728800257</v>
      </c>
      <c r="E36" s="50" t="n">
        <v>0.2714686364</v>
      </c>
      <c r="F36" s="50" t="n">
        <v>0.27992059604</v>
      </c>
      <c r="G36" s="50" t="n">
        <v>0.27193296396</v>
      </c>
      <c r="H36" s="50" t="n">
        <v>0.25139441304</v>
      </c>
      <c r="I36" s="50" t="n">
        <v>0.23838171999</v>
      </c>
      <c r="J36" s="50" t="n">
        <v>0.240790107</v>
      </c>
      <c r="K36" s="50" t="n">
        <v>0.30296426532</v>
      </c>
      <c r="L36" s="50" t="n">
        <v>0.254696261</v>
      </c>
      <c r="M36" s="50" t="n">
        <v>0.18682962785</v>
      </c>
      <c r="N36" s="50" t="n">
        <v>0.08643899100000001</v>
      </c>
      <c r="O36" s="38" t="inlineStr">
        <is>
          <t xml:space="preserve">SARS customs, imports by office of clearance (fuel_trade_sars_by_office.csv)</t>
        </is>
      </c>
      <c r="P36" s="38" t="inlineStr">
        <is>
          <t xml:space="preserve">The only recorded entry from the Maputo and Matola side.</t>
        </is>
      </c>
    </row>
    <row r="37">
      <c r="A37" s="49" t="inlineStr">
        <is>
          <t xml:space="preserve">Other offices</t>
        </is>
      </c>
      <c r="B37" s="49" t="inlineStr">
        <is>
          <t xml:space="preserve">Land borders and inland offices</t>
        </is>
      </c>
      <c r="C37" s="50" t="n">
        <v>0.00049495893</v>
      </c>
      <c r="D37" s="50" t="n">
        <v>0.00470842832</v>
      </c>
      <c r="E37" s="50" t="n">
        <v>0.00420356648</v>
      </c>
      <c r="F37" s="50" t="n">
        <v>0.00102475178</v>
      </c>
      <c r="G37" s="50" t="n">
        <v>0.00042253724</v>
      </c>
      <c r="H37" s="50" t="n">
        <v>5.594407e-05</v>
      </c>
      <c r="I37" s="50" t="n">
        <v>0.00021312585</v>
      </c>
      <c r="J37" s="50" t="n">
        <v>0.00282833031</v>
      </c>
      <c r="K37" s="50" t="n">
        <v>0.00073197879</v>
      </c>
      <c r="L37" s="50" t="n">
        <v>0.00086989025</v>
      </c>
      <c r="M37" s="50" t="n">
        <v>0.00072751111</v>
      </c>
      <c r="N37" s="50" t="n">
        <v>0.0033947605</v>
      </c>
      <c r="O37" s="38" t="inlineStr">
        <is>
          <t xml:space="preserve">SARS customs, imports by office of clearance (fuel_trade_sars_by_office.csv)</t>
        </is>
      </c>
      <c r="P37" s="38" t="inlineStr">
        <is>
          <t xml:space="preserve"/>
        </is>
      </c>
    </row>
    <row r="38">
      <c r="A38" s="51" t="inlineStr">
        <is>
          <t xml:space="preserve">All offices</t>
        </is>
      </c>
      <c r="B38" s="52" t="n"/>
      <c r="C38" s="53" t="n">
        <f>SUM(C30:C37)</f>
        <v>6.14190714847</v>
      </c>
      <c r="D38" s="53" t="n">
        <f>SUM(D30:D37)</f>
        <v>8.320424242770002</v>
      </c>
      <c r="E38" s="53" t="n">
        <f>SUM(E30:E37)</f>
        <v>5.81993344099</v>
      </c>
      <c r="F38" s="53" t="n">
        <f>SUM(F30:F37)</f>
        <v>8.151616395449999</v>
      </c>
      <c r="G38" s="53" t="n">
        <f>SUM(G30:G37)</f>
        <v>6.952730750040002</v>
      </c>
      <c r="H38" s="53" t="n">
        <f>SUM(H30:H37)</f>
        <v>7.067657949649999</v>
      </c>
      <c r="I38" s="53" t="n">
        <f>SUM(I30:I37)</f>
        <v>8.53465851232</v>
      </c>
      <c r="J38" s="53" t="n">
        <f>SUM(J30:J37)</f>
        <v>13.770008069520001</v>
      </c>
      <c r="K38" s="53" t="n">
        <f>SUM(K30:K37)</f>
        <v>17.40951836262</v>
      </c>
      <c r="L38" s="53" t="n">
        <f>SUM(L30:L37)</f>
        <v>17.352806861050006</v>
      </c>
      <c r="M38" s="53" t="n">
        <f>SUM(M30:M37)</f>
        <v>14.7934015675</v>
      </c>
      <c r="N38" s="53" t="n">
        <f>SUM(N30:N37)</f>
        <v>16.702191440220002</v>
      </c>
      <c r="O38" s="42" t="inlineStr">
        <is>
          <t xml:space="preserve">Sum of the rows above; equals SARS national imports on the History sheet</t>
        </is>
      </c>
      <c r="P38" s="42" t="n"/>
    </row>
    <row r="39">
      <c r="A39" s="52" t="inlineStr">
        <is>
          <t xml:space="preserve">Durban share</t>
        </is>
      </c>
      <c r="B39" s="52" t="n"/>
      <c r="C39" s="54" t="n">
        <f>IF(C38=0,"",C30/C38)</f>
        <v>0.6925803736661256</v>
      </c>
      <c r="D39" s="54" t="n">
        <f>IF(D38=0,"",D30/D38)</f>
        <v>0.6592504063006618</v>
      </c>
      <c r="E39" s="54" t="n">
        <f>IF(E38=0,"",E30/E38)</f>
        <v>0.7865772195946779</v>
      </c>
      <c r="F39" s="54" t="n">
        <f>IF(F38=0,"",F30/F38)</f>
        <v>0.8103697067623524</v>
      </c>
      <c r="G39" s="54" t="n">
        <f>IF(G38=0,"",G30/G38)</f>
        <v>0.7942696323337746</v>
      </c>
      <c r="H39" s="54" t="n">
        <f>IF(H38=0,"",H30/H38)</f>
        <v>0.7167143286512402</v>
      </c>
      <c r="I39" s="54" t="n">
        <f>IF(I38=0,"",I30/I38)</f>
        <v>0.5260937391365483</v>
      </c>
      <c r="J39" s="54" t="n">
        <f>IF(J38=0,"",J30/J38)</f>
        <v>0.6006850412316663</v>
      </c>
      <c r="K39" s="54" t="n">
        <f>IF(K38=0,"",K30/K38)</f>
        <v>0.675717565719585</v>
      </c>
      <c r="L39" s="54" t="n">
        <f>IF(L38=0,"",L30/L38)</f>
        <v>0.7659069710072133</v>
      </c>
      <c r="M39" s="54" t="n">
        <f>IF(M38=0,"",M30/M38)</f>
        <v>0.8001956215159033</v>
      </c>
      <c r="N39" s="54" t="n">
        <f>IF(N38=0,"",N30/N38)</f>
        <v>0.7879514030684975</v>
      </c>
      <c r="O39" s="42" t="inlineStr">
        <is>
          <t xml:space="preserve">Calculated: Durban over all offices</t>
        </is>
      </c>
      <c r="P39" s="42" t="n"/>
    </row>
  </sheetData>
  <mergeCells>
    <mergeCell ref="A3:J3"/>
  </mergeCells>
  <hyperlinks>
    <hyperlink ref="A3" location="'Gap register'!A33" display="REVIEW: 1 linked items. Open Gap register; filter Request. Start here explains colours and scope." tooltip="Open the linked workbook evidence or review item"/>
  </hyperlinks>
  <pageMargins left="0.7" right="0.7" top="0.75" bottom="0.75" header="0.3" footer="0.3"/>
</worksheet>
</file>

<file path=xl/worksheets/sheet8.xml><?xml version="1.0" encoding="utf-8"?>
<worksheet xmlns="http://schemas.openxmlformats.org/spreadsheetml/2006/main">
  <sheetViews>
    <sheetView workbookViewId="0" tabSelected="0">
      <pane xSplit="1" ySplit="14" topLeftCell="B15" activePane="bottomRight" state="frozen"/>
    </sheetView>
  </sheetViews>
  <sheetFormatPr baseColWidth="8" defaultRowHeight="15"/>
  <cols>
    <col min="1" max="1" width="44" customWidth="1"/>
    <col min="2" max="2" width="34" customWidth="1"/>
    <col min="3" max="3" width="10" customWidth="1"/>
    <col min="4" max="4" width="58" customWidth="1"/>
    <col min="5" max="5" width="9" customWidth="1"/>
    <col min="6" max="6" width="9" customWidth="1"/>
    <col min="7" max="7" width="9" customWidth="1"/>
    <col min="8" max="8" width="62" customWidth="1"/>
    <col min="10" max="10" width="19" hidden="0" customWidth="1"/>
    <col min="11" max="11" width="65" hidden="0" customWidth="1"/>
    <col min="12" max="12" width="15" hidden="0" customWidth="1"/>
  </cols>
  <sheetData>
    <row r="1">
      <c r="A1" s="1" t="inlineStr">
        <is>
          <t xml:space="preserve">DR04 Regulated cost of moving petrol and diesel</t>
        </is>
      </c>
    </row>
    <row r="2">
      <c r="A2" s="2" t="inlineStr">
        <is>
          <t xml:space="preserve">Cents a litre. These are regulated allowances in the fuel price, set by the department and the energy regulator. They are not what a haulier or Transnet charges a shipper: commercial road and rail rates are not published.</t>
        </is>
      </c>
    </row>
    <row r="3" ht="34" customHeight="1">
      <c r="A3" s="92" t="str">
        <v>REVIEW: 1 linked items. Open Gap register; filter Request. Start here explains colours and scope.</v>
      </c>
      <c r="B3" s="92"/>
      <c r="C3" s="92"/>
      <c r="D3" s="92"/>
      <c r="E3" s="92"/>
      <c r="F3" s="92"/>
      <c r="G3" s="92"/>
      <c r="H3" s="92"/>
    </row>
    <row r="4" ht="30" customHeight="1">
      <c r="A4" s="48" t="inlineStr">
        <is>
          <t xml:space="preserve">Durban to Gauteng, by element</t>
        </is>
      </c>
      <c r="B4" s="48" t="n"/>
      <c r="C4" s="48" t="n"/>
      <c r="D4" s="48" t="n"/>
      <c r="E4" s="48" t="n"/>
      <c r="F4" s="48" t="n"/>
      <c r="G4" s="48" t="n"/>
      <c r="H4" s="48" t="n"/>
      <c r="J4" s="95" t="str">
        <v>Review IDs</v>
      </c>
      <c r="K4" s="95" t="str">
        <v>Review finding — source figures retained</v>
      </c>
      <c r="L4" s="95" t="str">
        <v>Open detail</v>
      </c>
    </row>
    <row r="5" ht="48" customHeight="1">
      <c r="A5" s="3" t="inlineStr">
        <is>
          <t xml:space="preserve">Element</t>
        </is>
      </c>
      <c r="B5" s="3" t="inlineStr">
        <is>
          <t xml:space="preserve">2024/25</t>
        </is>
      </c>
      <c r="C5" s="3" t="inlineStr">
        <is>
          <t xml:space="preserve">2025/26</t>
        </is>
      </c>
      <c r="D5" s="3" t="inlineStr">
        <is>
          <t xml:space="preserve">2026/27</t>
        </is>
      </c>
      <c r="E5" s="3" t="inlineStr">
        <is>
          <t xml:space="preserve">Basis</t>
        </is>
      </c>
      <c r="H5" s="3" t="inlineStr">
        <is>
          <t xml:space="preserve">Source</t>
        </is>
      </c>
      <c r="J5" s="80" t="str">
        <v>G030</v>
      </c>
      <c r="K5" s="80" t="str">
        <v>Reconciliation: Tariff versus regulated transport allowance</v>
      </c>
      <c r="L5" s="80" t="str">
        <v>Review detail</v>
      </c>
    </row>
    <row r="6">
      <c r="A6" s="49" t="inlineStr">
        <is>
          <t xml:space="preserve">Pipeline tariff, Durban to Alrode</t>
        </is>
      </c>
      <c r="B6" s="55" t="n">
        <v>67.98999999999999</v>
      </c>
      <c r="C6" s="56" t="n">
        <v>73.22</v>
      </c>
      <c r="D6" s="56" t="n">
        <v>77.02</v>
      </c>
      <c r="E6" s="38" t="inlineStr">
        <is>
          <t xml:space="preserve">2024/25 as reported; later years calculated by adding NERSA's stated increases</t>
        </is>
      </c>
      <c r="H6" s="38" t="inlineStr">
        <is>
          <t xml:space="preserve">NERSA statements of 15 March 2024 (as quoted by Engineering News) and 15 April 2025</t>
        </is>
      </c>
    </row>
    <row r="7">
      <c r="A7" s="49" t="inlineStr">
        <is>
          <t xml:space="preserve">Regulated transport differential, Gauteng (zone 9C)</t>
        </is>
      </c>
      <c r="B7" s="55" t="n">
        <v>82.8</v>
      </c>
      <c r="C7" s="55" t="n"/>
      <c r="D7" s="55" t="n">
        <v>91.09999999999999</v>
      </c>
      <c r="E7" s="38" t="inlineStr">
        <is>
          <t xml:space="preserve">Regulated allowance in the petrol and diesel price for transport from the coast</t>
        </is>
      </c>
      <c r="H7" s="38" t="inlineStr">
        <is>
          <t xml:space="preserve">Department zone list, April 2024; Central Energy Fund price composition, 1 April 2026</t>
        </is>
      </c>
    </row>
    <row r="8">
      <c r="A8" s="49" t="inlineStr">
        <is>
          <t xml:space="preserve">Regulated secondary storage</t>
        </is>
      </c>
      <c r="B8" s="55" t="n">
        <v>36.6</v>
      </c>
      <c r="C8" s="55" t="n"/>
      <c r="D8" s="55" t="n">
        <v>39</v>
      </c>
      <c r="E8" s="38" t="inlineStr">
        <is>
          <t xml:space="preserve">Regulated allowance for depot storage; one national figure</t>
        </is>
      </c>
      <c r="H8" s="38" t="inlineStr">
        <is>
          <t xml:space="preserve">Department diesel margins, 2024; Central Energy Fund price composition, 1 April 2026</t>
        </is>
      </c>
    </row>
    <row r="9">
      <c r="A9" s="49" t="inlineStr">
        <is>
          <t xml:space="preserve">Regulated secondary distribution</t>
        </is>
      </c>
      <c r="B9" s="55" t="n">
        <v>17.2</v>
      </c>
      <c r="C9" s="55" t="n"/>
      <c r="D9" s="55" t="n">
        <v>19.1</v>
      </c>
      <c r="E9" s="38" t="inlineStr">
        <is>
          <t xml:space="preserve">Regulated allowance for road delivery from depot to service station; one national figure</t>
        </is>
      </c>
      <c r="H9" s="38" t="inlineStr">
        <is>
          <t xml:space="preserve">Department diesel margins, 2024; Central Energy Fund price composition, 1 April 2026</t>
        </is>
      </c>
    </row>
    <row r="10">
      <c r="A10" s="57" t="inlineStr">
        <is>
          <t xml:space="preserve">Commercial road tanker rate, Durban to Gauteng</t>
        </is>
      </c>
      <c r="B10" s="58" t="n"/>
      <c r="C10" s="58" t="n"/>
      <c r="D10" s="58" t="n"/>
      <c r="E10" s="45" t="inlineStr">
        <is>
          <t xml:space="preserve">Not published</t>
        </is>
      </c>
      <c r="H10" s="45" t="inlineStr">
        <is>
          <t xml:space="preserve">None found; needs Vopak or a haulier</t>
        </is>
      </c>
    </row>
    <row r="11">
      <c r="A11" s="57" t="inlineStr">
        <is>
          <t xml:space="preserve">Rail rate, Durban to Gauteng</t>
        </is>
      </c>
      <c r="B11" s="58" t="n"/>
      <c r="C11" s="58" t="n"/>
      <c r="D11" s="58" t="n"/>
      <c r="E11" s="45" t="inlineStr">
        <is>
          <t xml:space="preserve">Not published</t>
        </is>
      </c>
      <c r="H11" s="45" t="inlineStr">
        <is>
          <t xml:space="preserve">None found; needs Transnet or Vopak</t>
        </is>
      </c>
    </row>
    <row r="13">
      <c r="A13" s="48" t="inlineStr">
        <is>
          <t xml:space="preserve">Regulated transport differential by pricing zone (the same for petrol and diesel in 2014; diesel list for 2024)</t>
        </is>
      </c>
      <c r="B13" s="48" t="n"/>
      <c r="C13" s="48" t="n"/>
      <c r="D13" s="48" t="n"/>
      <c r="E13" s="48" t="n"/>
      <c r="F13" s="48" t="n"/>
      <c r="G13" s="48" t="n"/>
      <c r="H13" s="48" t="n"/>
    </row>
    <row r="14">
      <c r="A14" s="14" t="inlineStr">
        <is>
          <t xml:space="preserve">Zone</t>
        </is>
      </c>
      <c r="B14" s="14" t="inlineStr">
        <is>
          <t xml:space="preserve">Provinces</t>
        </is>
      </c>
      <c r="C14" s="14" t="inlineStr">
        <is>
          <t xml:space="preserve">Districts</t>
        </is>
      </c>
      <c r="D14" s="14" t="inlineStr">
        <is>
          <t xml:space="preserve">Examples</t>
        </is>
      </c>
      <c r="E14" s="14" t="inlineStr">
        <is>
          <t xml:space="preserve">2014</t>
        </is>
      </c>
      <c r="F14" s="14" t="inlineStr">
        <is>
          <t xml:space="preserve">2024</t>
        </is>
      </c>
      <c r="G14" s="14" t="inlineStr">
        <is>
          <t xml:space="preserve">Change</t>
        </is>
      </c>
      <c r="H14" s="14" t="inlineStr">
        <is>
          <t xml:space="preserve">Source</t>
        </is>
      </c>
    </row>
    <row r="15">
      <c r="A15" s="59" t="inlineStr">
        <is>
          <t xml:space="preserve">9C (Gauteng)</t>
        </is>
      </c>
      <c r="B15" s="38" t="inlineStr">
        <is>
          <t xml:space="preserve">Gauteng, Mpumalanga, Free State, North West</t>
        </is>
      </c>
      <c r="C15" s="60" t="n">
        <v>51</v>
      </c>
      <c r="D15" s="38" t="inlineStr">
        <is>
          <t xml:space="preserve">Alberton, Bafokeng, Balfour, Benoni, Bethal, Boksburg</t>
        </is>
      </c>
      <c r="E15" s="61" t="n">
        <v>33.1</v>
      </c>
      <c r="F15" s="61" t="n">
        <v>82.8</v>
      </c>
      <c r="G15" s="62" t="n">
        <f>IF(COUNT(E15,F15)&lt;2,"",F15-E15)</f>
        <v>49.699999999999996</v>
      </c>
      <c r="H15" s="38" t="inlineStr">
        <is>
          <t xml:space="preserve">Department of Mineral and Petroleum Resources, zone lists effective 2 April 2014 and 3 April 2024</t>
        </is>
      </c>
    </row>
    <row r="16">
      <c r="A16" s="49" t="inlineStr">
        <is>
          <t xml:space="preserve">57C</t>
        </is>
      </c>
      <c r="B16" s="38" t="inlineStr">
        <is>
          <t xml:space="preserve">Mpumalanga, KwaZulu Natal</t>
        </is>
      </c>
      <c r="C16" s="60" t="n">
        <v>3</v>
      </c>
      <c r="D16" s="38" t="inlineStr">
        <is>
          <t xml:space="preserve">Paulpietersburg, Utrecht, Volksrust</t>
        </is>
      </c>
      <c r="E16" s="61" t="n">
        <v>30.5</v>
      </c>
      <c r="F16" s="61" t="n">
        <v>75.7</v>
      </c>
      <c r="G16" s="62" t="n">
        <f>IF(COUNT(E16,F16)&lt;2,"",F16-E16)</f>
        <v>45.2</v>
      </c>
      <c r="H16" s="38" t="inlineStr">
        <is>
          <t xml:space="preserve">Department of Mineral and Petroleum Resources, zone lists effective 2 April 2014 and 3 April 2024</t>
        </is>
      </c>
    </row>
    <row r="17">
      <c r="A17" s="49" t="inlineStr">
        <is>
          <t xml:space="preserve">58C</t>
        </is>
      </c>
      <c r="B17" s="38" t="inlineStr">
        <is>
          <t xml:space="preserve">Mpumalanga, KwaZulu Natal</t>
        </is>
      </c>
      <c r="C17" s="60" t="n">
        <v>3</v>
      </c>
      <c r="D17" s="38" t="inlineStr">
        <is>
          <t xml:space="preserve">Piet Retief, Simdlangentsha, Wakkerstroom</t>
        </is>
      </c>
      <c r="E17" s="61" t="n">
        <v>35.4</v>
      </c>
      <c r="F17" s="61" t="n">
        <v>93.09999999999999</v>
      </c>
      <c r="G17" s="62" t="n">
        <f>IF(COUNT(E17,F17)&lt;2,"",F17-E17)</f>
        <v>57.699999999999996</v>
      </c>
      <c r="H17" s="38" t="inlineStr">
        <is>
          <t xml:space="preserve">Department of Mineral and Petroleum Resources, zone lists effective 2 April 2014 and 3 April 2024</t>
        </is>
      </c>
    </row>
    <row r="18">
      <c r="A18" s="49" t="inlineStr">
        <is>
          <t xml:space="preserve">8C</t>
        </is>
      </c>
      <c r="B18" s="38" t="inlineStr">
        <is>
          <t xml:space="preserve">Mpumalanga, Free State</t>
        </is>
      </c>
      <c r="C18" s="60" t="n">
        <v>14</v>
      </c>
      <c r="D18" s="38" t="inlineStr">
        <is>
          <t xml:space="preserve">Amersfoort, Clocolan, Ermelo, Ficksburg, Frankfort, Heilbron</t>
        </is>
      </c>
      <c r="E18" s="61" t="n">
        <v>35.4</v>
      </c>
      <c r="F18" s="61" t="n">
        <v>93.09999999999999</v>
      </c>
      <c r="G18" s="62" t="n">
        <f>IF(COUNT(E18,F18)&lt;2,"",F18-E18)</f>
        <v>57.699999999999996</v>
      </c>
      <c r="H18" s="38" t="inlineStr">
        <is>
          <t xml:space="preserve">Department of Mineral and Petroleum Resources, zone lists effective 2 April 2014 and 3 April 2024</t>
        </is>
      </c>
    </row>
    <row r="19">
      <c r="A19" s="49" t="inlineStr">
        <is>
          <t xml:space="preserve">10C</t>
        </is>
      </c>
      <c r="B19" s="38" t="inlineStr">
        <is>
          <t xml:space="preserve">Mpumalanga, Free State, North West, Limpopo</t>
        </is>
      </c>
      <c r="C19" s="60" t="n">
        <v>28</v>
      </c>
      <c r="D19" s="38" t="inlineStr">
        <is>
          <t xml:space="preserve">Bela-Bela (Warmbad), Belfast, Bloemhof, Brandfort, Bultfontein, Carolina</t>
        </is>
      </c>
      <c r="E19" s="61" t="n">
        <v>44.3</v>
      </c>
      <c r="F19" s="61" t="n">
        <v>104</v>
      </c>
      <c r="G19" s="62" t="n">
        <f>IF(COUNT(E19,F19)&lt;2,"",F19-E19)</f>
        <v>59.7</v>
      </c>
      <c r="H19" s="38" t="inlineStr">
        <is>
          <t xml:space="preserve">Department of Mineral and Petroleum Resources, zone lists effective 2 April 2014 and 3 April 2024</t>
        </is>
      </c>
    </row>
    <row r="20">
      <c r="A20" s="49" t="inlineStr">
        <is>
          <t xml:space="preserve">61C</t>
        </is>
      </c>
      <c r="B20" s="38" t="inlineStr">
        <is>
          <t xml:space="preserve">Mpumalanga, Limpopo</t>
        </is>
      </c>
      <c r="C20" s="60" t="n">
        <v>8</v>
      </c>
      <c r="D20" s="38" t="inlineStr">
        <is>
          <t xml:space="preserve">Barberton, Mapulaneng, Mhala, Nelspruit, Nkomazi (Kamhulshwa), Nsikazi (Kangwane)</t>
        </is>
      </c>
      <c r="E20" s="61" t="n">
        <v>59.2</v>
      </c>
      <c r="F20" s="61" t="n">
        <v>128</v>
      </c>
      <c r="G20" s="62" t="n">
        <f>IF(COUNT(E20,F20)&lt;2,"",F20-E20)</f>
        <v>68.8</v>
      </c>
      <c r="H20" s="38" t="inlineStr">
        <is>
          <t xml:space="preserve">Department of Mineral and Petroleum Resources, zone lists effective 2 April 2014 and 3 April 2024</t>
        </is>
      </c>
    </row>
    <row r="21">
      <c r="A21" s="49" t="inlineStr">
        <is>
          <t xml:space="preserve">6C</t>
        </is>
      </c>
      <c r="B21" s="38" t="inlineStr">
        <is>
          <t xml:space="preserve">Free State, KwaZulu Natal</t>
        </is>
      </c>
      <c r="C21" s="60" t="n">
        <v>8</v>
      </c>
      <c r="D21" s="38" t="inlineStr">
        <is>
          <t xml:space="preserve">Bergville, Dannhauser, Dundee, Glencoe, Harrismith, Newcastle</t>
        </is>
      </c>
      <c r="E21" s="61" t="n">
        <v>24.2</v>
      </c>
      <c r="F21" s="61" t="n">
        <v>59.1</v>
      </c>
      <c r="G21" s="62" t="n">
        <f>IF(COUNT(E21,F21)&lt;2,"",F21-E21)</f>
        <v>34.900000000000006</v>
      </c>
      <c r="H21" s="38" t="inlineStr">
        <is>
          <t xml:space="preserve">Department of Mineral and Petroleum Resources, zone lists effective 2 April 2014 and 3 April 2024</t>
        </is>
      </c>
    </row>
    <row r="22">
      <c r="A22" s="49" t="inlineStr">
        <is>
          <t xml:space="preserve">7C</t>
        </is>
      </c>
      <c r="B22" s="38" t="inlineStr">
        <is>
          <t xml:space="preserve">Free State</t>
        </is>
      </c>
      <c r="C22" s="60" t="n">
        <v>3</v>
      </c>
      <c r="D22" s="38" t="inlineStr">
        <is>
          <t xml:space="preserve">Bethlehem, Fouriesburg, Witsieshoek</t>
        </is>
      </c>
      <c r="E22" s="61" t="n">
        <v>30.5</v>
      </c>
      <c r="F22" s="61" t="n">
        <v>75.7</v>
      </c>
      <c r="G22" s="62" t="n">
        <f>IF(COUNT(E22,F22)&lt;2,"",F22-E22)</f>
        <v>45.2</v>
      </c>
      <c r="H22" s="38" t="inlineStr">
        <is>
          <t xml:space="preserve">Department of Mineral and Petroleum Resources, zone lists effective 2 April 2014 and 3 April 2024</t>
        </is>
      </c>
    </row>
    <row r="23">
      <c r="A23" s="49" t="inlineStr">
        <is>
          <t xml:space="preserve">8A</t>
        </is>
      </c>
      <c r="B23" s="38" t="inlineStr">
        <is>
          <t xml:space="preserve">Free State, Eastern Cape, Northern Cape</t>
        </is>
      </c>
      <c r="C23" s="60" t="n">
        <v>20</v>
      </c>
      <c r="D23" s="38" t="inlineStr">
        <is>
          <t xml:space="preserve">Barkly East, Bethulie, Colesberg, De Aar, Edenburg, Elliot</t>
        </is>
      </c>
      <c r="E23" s="61" t="n">
        <v>55.2</v>
      </c>
      <c r="F23" s="61" t="n">
        <v>87.59999999999999</v>
      </c>
      <c r="G23" s="62" t="n">
        <f>IF(COUNT(E23,F23)&lt;2,"",F23-E23)</f>
        <v>32.39999999999999</v>
      </c>
      <c r="H23" s="38" t="inlineStr">
        <is>
          <t xml:space="preserve">Department of Mineral and Petroleum Resources, zone lists effective 2 April 2014 and 3 April 2024</t>
        </is>
      </c>
    </row>
    <row r="24">
      <c r="A24" s="49" t="inlineStr">
        <is>
          <t xml:space="preserve">9A</t>
        </is>
      </c>
      <c r="B24" s="38" t="inlineStr">
        <is>
          <t xml:space="preserve">Free State, Northern Cape</t>
        </is>
      </c>
      <c r="C24" s="60" t="n">
        <v>6</v>
      </c>
      <c r="D24" s="38" t="inlineStr">
        <is>
          <t xml:space="preserve">Britstown, Fauresmith, Hopetown, Koffiefontein, Philipstown, Prieska</t>
        </is>
      </c>
      <c r="E24" s="61" t="n">
        <v>72.09999999999999</v>
      </c>
      <c r="F24" s="61" t="n">
        <v>114.4</v>
      </c>
      <c r="G24" s="62" t="n">
        <f>IF(COUNT(E24,F24)&lt;2,"",F24-E24)</f>
        <v>42.30000000000001</v>
      </c>
      <c r="H24" s="38" t="inlineStr">
        <is>
          <t xml:space="preserve">Department of Mineral and Petroleum Resources, zone lists effective 2 April 2014 and 3 April 2024</t>
        </is>
      </c>
    </row>
    <row r="25">
      <c r="A25" s="49" t="inlineStr">
        <is>
          <t xml:space="preserve">11C</t>
        </is>
      </c>
      <c r="B25" s="38" t="inlineStr">
        <is>
          <t xml:space="preserve">Free State, North West, Limpopo, Northern Cape</t>
        </is>
      </c>
      <c r="C25" s="60" t="n">
        <v>23</v>
      </c>
      <c r="D25" s="38" t="inlineStr">
        <is>
          <t xml:space="preserve">Barkly West, Bloemfontein, Boshof, Botshabelo, Delareyville, Dewetsdorp</t>
        </is>
      </c>
      <c r="E25" s="61" t="n">
        <v>59.2</v>
      </c>
      <c r="F25" s="61" t="n">
        <v>128</v>
      </c>
      <c r="G25" s="62" t="n">
        <f>IF(COUNT(E25,F25)&lt;2,"",F25-E25)</f>
        <v>68.8</v>
      </c>
      <c r="H25" s="38" t="inlineStr">
        <is>
          <t xml:space="preserve">Department of Mineral and Petroleum Resources, zone lists effective 2 April 2014 and 3 April 2024</t>
        </is>
      </c>
    </row>
    <row r="26">
      <c r="A26" s="49" t="inlineStr">
        <is>
          <t xml:space="preserve">12C</t>
        </is>
      </c>
      <c r="B26" s="38" t="inlineStr">
        <is>
          <t xml:space="preserve">North West, Limpopo</t>
        </is>
      </c>
      <c r="C26" s="60" t="n">
        <v>6</v>
      </c>
      <c r="D26" s="38" t="inlineStr">
        <is>
          <t xml:space="preserve">Ditsobotla, Polokwane (Pietersburg) (south of tropic of capricorn), Seshego, Thabamoopo, Thabazimbi (east of 27o longitude), Vryburg (south of 26o30' latitude)</t>
        </is>
      </c>
      <c r="E26" s="61" t="n">
        <v>65</v>
      </c>
      <c r="F26" s="61" t="n">
        <v>132.8</v>
      </c>
      <c r="G26" s="62" t="n">
        <f>IF(COUNT(E26,F26)&lt;2,"",F26-E26)</f>
        <v>67.80000000000001</v>
      </c>
      <c r="H26" s="38" t="inlineStr">
        <is>
          <t xml:space="preserve">Department of Mineral and Petroleum Resources, zone lists effective 2 April 2014 and 3 April 2024</t>
        </is>
      </c>
    </row>
    <row r="27">
      <c r="A27" s="49" t="inlineStr">
        <is>
          <t xml:space="preserve">13C</t>
        </is>
      </c>
      <c r="B27" s="38" t="inlineStr">
        <is>
          <t xml:space="preserve">North West, Limpopo, Northern Cape</t>
        </is>
      </c>
      <c r="C27" s="60" t="n">
        <v>14</v>
      </c>
      <c r="D27" s="38" t="inlineStr">
        <is>
          <t xml:space="preserve">Bochum, Dzanani Central (North of Makhado), Dzanani South (West of Makhado), Hlanganani, Kuruman (south of 27olatitude), Lephalale (Ellisras)</t>
        </is>
      </c>
      <c r="E27" s="61" t="n">
        <v>77.40000000000001</v>
      </c>
      <c r="F27" s="61" t="n">
        <v>152.3</v>
      </c>
      <c r="G27" s="62" t="n">
        <f>IF(COUNT(E27,F27)&lt;2,"",F27-E27)</f>
        <v>74.9</v>
      </c>
      <c r="H27" s="38" t="inlineStr">
        <is>
          <t xml:space="preserve">Department of Mineral and Petroleum Resources, zone lists effective 2 April 2014 and 3 April 2024</t>
        </is>
      </c>
    </row>
    <row r="28">
      <c r="A28" s="49" t="inlineStr">
        <is>
          <t xml:space="preserve">15C</t>
        </is>
      </c>
      <c r="B28" s="38" t="inlineStr">
        <is>
          <t xml:space="preserve">North West</t>
        </is>
      </c>
      <c r="C28" s="60" t="n">
        <v>2</v>
      </c>
      <c r="D28" s="38" t="inlineStr">
        <is>
          <t xml:space="preserve">Ganyesa, Kudumane</t>
        </is>
      </c>
      <c r="E28" s="61" t="n">
        <v>80.8</v>
      </c>
      <c r="F28" s="61" t="n">
        <v>158.5</v>
      </c>
      <c r="G28" s="62" t="n">
        <f>IF(COUNT(E28,F28)&lt;2,"",F28-E28)</f>
        <v>77.7</v>
      </c>
      <c r="H28" s="38" t="inlineStr">
        <is>
          <t xml:space="preserve">Department of Mineral and Petroleum Resources, zone lists effective 2 April 2014 and 3 April 2024</t>
        </is>
      </c>
    </row>
    <row r="29">
      <c r="A29" s="49" t="inlineStr">
        <is>
          <t xml:space="preserve">17C</t>
        </is>
      </c>
      <c r="B29" s="38" t="inlineStr">
        <is>
          <t xml:space="preserve">North West, Northern Cape</t>
        </is>
      </c>
      <c r="C29" s="60" t="n">
        <v>2</v>
      </c>
      <c r="D29" s="38" t="inlineStr">
        <is>
          <t xml:space="preserve">Kuruman (north of 27o latitude), Vryburg (west of 24o longitude)</t>
        </is>
      </c>
      <c r="E29" s="61" t="n">
        <v>93</v>
      </c>
      <c r="F29" s="61" t="n">
        <v>177.7</v>
      </c>
      <c r="G29" s="62" t="n">
        <f>IF(COUNT(E29,F29)&lt;2,"",F29-E29)</f>
        <v>84.69999999999999</v>
      </c>
      <c r="H29" s="38" t="inlineStr">
        <is>
          <t xml:space="preserve">Department of Mineral and Petroleum Resources, zone lists effective 2 April 2014 and 3 April 2024</t>
        </is>
      </c>
    </row>
    <row r="30">
      <c r="A30" s="49" t="inlineStr">
        <is>
          <t xml:space="preserve">62C</t>
        </is>
      </c>
      <c r="B30" s="38" t="inlineStr">
        <is>
          <t xml:space="preserve">Limpopo</t>
        </is>
      </c>
      <c r="C30" s="60" t="n">
        <v>1</v>
      </c>
      <c r="D30" s="38" t="inlineStr">
        <is>
          <t xml:space="preserve">Lulekani</t>
        </is>
      </c>
      <c r="E30" s="61" t="n">
        <v>65</v>
      </c>
      <c r="F30" s="61" t="n">
        <v>132.8</v>
      </c>
      <c r="G30" s="62" t="n">
        <f>IF(COUNT(E30,F30)&lt;2,"",F30-E30)</f>
        <v>67.80000000000001</v>
      </c>
      <c r="H30" s="38" t="inlineStr">
        <is>
          <t xml:space="preserve">Department of Mineral and Petroleum Resources, zone lists effective 2 April 2014 and 3 April 2024</t>
        </is>
      </c>
    </row>
    <row r="31">
      <c r="A31" s="49" t="inlineStr">
        <is>
          <t xml:space="preserve">63C</t>
        </is>
      </c>
      <c r="B31" s="38" t="inlineStr">
        <is>
          <t xml:space="preserve">Limpopo</t>
        </is>
      </c>
      <c r="C31" s="60" t="n">
        <v>7</v>
      </c>
      <c r="D31" s="38" t="inlineStr">
        <is>
          <t xml:space="preserve">Bolobedu, Letaba, Namakgale, Naphuno, Phalaborwa, Ritavi</t>
        </is>
      </c>
      <c r="E31" s="61" t="n">
        <v>77.40000000000001</v>
      </c>
      <c r="F31" s="61" t="n">
        <v>152.3</v>
      </c>
      <c r="G31" s="62" t="n">
        <f>IF(COUNT(E31,F31)&lt;2,"",F31-E31)</f>
        <v>74.9</v>
      </c>
      <c r="H31" s="38" t="inlineStr">
        <is>
          <t xml:space="preserve">Department of Mineral and Petroleum Resources, zone lists effective 2 April 2014 and 3 April 2024</t>
        </is>
      </c>
    </row>
    <row r="32">
      <c r="A32" s="49" t="inlineStr">
        <is>
          <t xml:space="preserve">16C</t>
        </is>
      </c>
      <c r="B32" s="38" t="inlineStr">
        <is>
          <t xml:space="preserve">Limpopo</t>
        </is>
      </c>
      <c r="C32" s="60" t="n">
        <v>4</v>
      </c>
      <c r="D32" s="38" t="inlineStr">
        <is>
          <t xml:space="preserve">Mokerong 1 (East of Lephalale), Mokopane (Potgietersrus) (north of tropic of capricorn), Musina (Messina) (West of 30o longitude), Soutpansberg (west of 29o 30' longitude)</t>
        </is>
      </c>
      <c r="E32" s="61" t="n">
        <v>79.7</v>
      </c>
      <c r="F32" s="61" t="n">
        <v>155.9</v>
      </c>
      <c r="G32" s="62" t="n">
        <f>IF(COUNT(E32,F32)&lt;2,"",F32-E32)</f>
        <v>76.2</v>
      </c>
      <c r="H32" s="38" t="inlineStr">
        <is>
          <t xml:space="preserve">Department of Mineral and Petroleum Resources, zone lists effective 2 April 2014 and 3 April 2024</t>
        </is>
      </c>
    </row>
    <row r="33">
      <c r="A33" s="49" t="inlineStr">
        <is>
          <t xml:space="preserve">64C</t>
        </is>
      </c>
      <c r="B33" s="38" t="inlineStr">
        <is>
          <t xml:space="preserve">Limpopo</t>
        </is>
      </c>
      <c r="C33" s="60" t="n">
        <v>2</v>
      </c>
      <c r="D33" s="38" t="inlineStr">
        <is>
          <t xml:space="preserve">Giyani, Malamulele</t>
        </is>
      </c>
      <c r="E33" s="61" t="n">
        <v>92.2</v>
      </c>
      <c r="F33" s="61" t="n">
        <v>175.8</v>
      </c>
      <c r="G33" s="62" t="n">
        <f>IF(COUNT(E33,F33)&lt;2,"",F33-E33)</f>
        <v>83.60000000000001</v>
      </c>
      <c r="H33" s="38" t="inlineStr">
        <is>
          <t xml:space="preserve">Department of Mineral and Petroleum Resources, zone lists effective 2 April 2014 and 3 April 2024</t>
        </is>
      </c>
    </row>
    <row r="34">
      <c r="A34" s="49" t="inlineStr">
        <is>
          <t xml:space="preserve">14C</t>
        </is>
      </c>
      <c r="B34" s="38" t="inlineStr">
        <is>
          <t xml:space="preserve">Limpopo</t>
        </is>
      </c>
      <c r="C34" s="60" t="n">
        <v>3</v>
      </c>
      <c r="D34" s="38" t="inlineStr">
        <is>
          <t xml:space="preserve">Dzanani North (East of Musina), Musina (Messina) (East of 30o longitude), Mutale</t>
        </is>
      </c>
      <c r="E34" s="61" t="n">
        <v>92.2</v>
      </c>
      <c r="F34" s="61" t="n">
        <v>175.8</v>
      </c>
      <c r="G34" s="62" t="n">
        <f>IF(COUNT(E34,F34)&lt;2,"",F34-E34)</f>
        <v>83.60000000000001</v>
      </c>
      <c r="H34" s="38" t="inlineStr">
        <is>
          <t xml:space="preserve">Department of Mineral and Petroleum Resources, zone lists effective 2 April 2014 and 3 April 2024</t>
        </is>
      </c>
    </row>
    <row r="35">
      <c r="A35" s="49" t="inlineStr">
        <is>
          <t xml:space="preserve">67C</t>
        </is>
      </c>
      <c r="B35" s="38" t="inlineStr">
        <is>
          <t xml:space="preserve">Limpopo</t>
        </is>
      </c>
      <c r="C35" s="60" t="n">
        <v>1</v>
      </c>
      <c r="D35" s="38" t="inlineStr">
        <is>
          <t xml:space="preserve">Thohoyandou (east of 31o longitude)</t>
        </is>
      </c>
      <c r="E35" s="61" t="n">
        <v>93</v>
      </c>
      <c r="F35" s="61" t="n">
        <v>177.7</v>
      </c>
      <c r="G35" s="62" t="n">
        <f>IF(COUNT(E35,F35)&lt;2,"",F35-E35)</f>
        <v>84.69999999999999</v>
      </c>
      <c r="H35" s="38" t="inlineStr">
        <is>
          <t xml:space="preserve">Department of Mineral and Petroleum Resources, zone lists effective 2 April 2014 and 3 April 2024</t>
        </is>
      </c>
    </row>
    <row r="36">
      <c r="A36" s="59" t="inlineStr">
        <is>
          <t xml:space="preserve">1A (coast)</t>
        </is>
      </c>
      <c r="B36" s="38" t="inlineStr">
        <is>
          <t xml:space="preserve">KwaZulu Natal, Eastern Cape, Western Cape</t>
        </is>
      </c>
      <c r="C36" s="60" t="n">
        <v>17</v>
      </c>
      <c r="D36" s="38" t="inlineStr">
        <is>
          <t xml:space="preserve">Bellville, Cape Town, Chatsworth, Durban, East London, Goodwood</t>
        </is>
      </c>
      <c r="E36" s="61" t="n">
        <v>2.5</v>
      </c>
      <c r="F36" s="61" t="n">
        <v>3.8</v>
      </c>
      <c r="G36" s="62" t="n">
        <f>IF(COUNT(E36,F36)&lt;2,"",F36-E36)</f>
        <v>1.2999999999999998</v>
      </c>
      <c r="H36" s="38" t="inlineStr">
        <is>
          <t xml:space="preserve">Department of Mineral and Petroleum Resources, zone lists effective 2 April 2014 and 3 April 2024</t>
        </is>
      </c>
    </row>
    <row r="37">
      <c r="A37" s="49" t="inlineStr">
        <is>
          <t xml:space="preserve">2A</t>
        </is>
      </c>
      <c r="B37" s="38" t="inlineStr">
        <is>
          <t xml:space="preserve">KwaZulu Natal, Eastern Cape, Western Cape</t>
        </is>
      </c>
      <c r="C37" s="60" t="n">
        <v>9</v>
      </c>
      <c r="D37" s="38" t="inlineStr">
        <is>
          <t xml:space="preserve">Camperdown, Ndwedwe, Paarl, Somerset West, Stellenbosch, Strand</t>
        </is>
      </c>
      <c r="E37" s="61" t="n">
        <v>6.4</v>
      </c>
      <c r="F37" s="61" t="n">
        <v>10.1</v>
      </c>
      <c r="G37" s="62" t="n">
        <f>IF(COUNT(E37,F37)&lt;2,"",F37-E37)</f>
        <v>3.6999999999999993</v>
      </c>
      <c r="H37" s="38" t="inlineStr">
        <is>
          <t xml:space="preserve">Department of Mineral and Petroleum Resources, zone lists effective 2 April 2014 and 3 April 2024</t>
        </is>
      </c>
    </row>
    <row r="38">
      <c r="A38" s="49" t="inlineStr">
        <is>
          <t xml:space="preserve">3A</t>
        </is>
      </c>
      <c r="B38" s="38" t="inlineStr">
        <is>
          <t xml:space="preserve">KwaZulu Natal, Eastern Cape, Western Cape</t>
        </is>
      </c>
      <c r="C38" s="60" t="n">
        <v>11</v>
      </c>
      <c r="D38" s="38" t="inlineStr">
        <is>
          <t xml:space="preserve">George, Hankey, King Williams Town, Kirkwood, Komga, Lower Tugela</t>
        </is>
      </c>
      <c r="E38" s="61" t="n">
        <v>10</v>
      </c>
      <c r="F38" s="61" t="n">
        <v>15.8</v>
      </c>
      <c r="G38" s="62" t="n">
        <f>IF(COUNT(E38,F38)&lt;2,"",F38-E38)</f>
        <v>5.800000000000001</v>
      </c>
      <c r="H38" s="38" t="inlineStr">
        <is>
          <t xml:space="preserve">Department of Mineral and Petroleum Resources, zone lists effective 2 April 2014 and 3 April 2024</t>
        </is>
      </c>
    </row>
    <row r="39">
      <c r="A39" s="49" t="inlineStr">
        <is>
          <t xml:space="preserve">4A</t>
        </is>
      </c>
      <c r="B39" s="38" t="inlineStr">
        <is>
          <t xml:space="preserve">KwaZulu Natal, Eastern Cape, Western Cape</t>
        </is>
      </c>
      <c r="C39" s="60" t="n">
        <v>18</v>
      </c>
      <c r="D39" s="38" t="inlineStr">
        <is>
          <t xml:space="preserve">Albany, Alexandria, Calitzdorp, Eshowe, Heidelberg (W.Cape), Ixopo</t>
        </is>
      </c>
      <c r="E39" s="61" t="n">
        <v>14.7</v>
      </c>
      <c r="F39" s="61" t="n">
        <v>23.2</v>
      </c>
      <c r="G39" s="62" t="n">
        <f>IF(COUNT(E39,F39)&lt;2,"",F39-E39)</f>
        <v>8.5</v>
      </c>
      <c r="H39" s="38" t="inlineStr">
        <is>
          <t xml:space="preserve">Department of Mineral and Petroleum Resources, zone lists effective 2 April 2014 and 3 April 2024</t>
        </is>
      </c>
    </row>
    <row r="40">
      <c r="A40" s="49" t="inlineStr">
        <is>
          <t xml:space="preserve">3B</t>
        </is>
      </c>
      <c r="B40" s="38" t="inlineStr">
        <is>
          <t xml:space="preserve">KwaZulu Natal, Eastern Cape</t>
        </is>
      </c>
      <c r="C40" s="60" t="n">
        <v>4</v>
      </c>
      <c r="D40" s="38" t="inlineStr">
        <is>
          <t xml:space="preserve">Humansdorp, Lions River, New Hanover, Pietermaritzburg</t>
        </is>
      </c>
      <c r="E40" s="61" t="n">
        <v>15.3</v>
      </c>
      <c r="F40" s="61" t="n">
        <v>24.1</v>
      </c>
      <c r="G40" s="62" t="n">
        <f>IF(COUNT(E40,F40)&lt;2,"",F40-E40)</f>
        <v>8.8</v>
      </c>
      <c r="H40" s="38" t="inlineStr">
        <is>
          <t xml:space="preserve">Department of Mineral and Petroleum Resources, zone lists effective 2 April 2014 and 3 April 2024</t>
        </is>
      </c>
    </row>
    <row r="41">
      <c r="A41" s="49" t="inlineStr">
        <is>
          <t xml:space="preserve">5A</t>
        </is>
      </c>
      <c r="B41" s="38" t="inlineStr">
        <is>
          <t xml:space="preserve">KwaZulu Natal, Eastern Cape, Western Cape</t>
        </is>
      </c>
      <c r="C41" s="60" t="n">
        <v>33</v>
      </c>
      <c r="D41" s="38" t="inlineStr">
        <is>
          <t xml:space="preserve">Adelaide, Alfred, Bathurst (Port Alfred), Bedford, Caledon, Cathcart</t>
        </is>
      </c>
      <c r="E41" s="61" t="n">
        <v>21.2</v>
      </c>
      <c r="F41" s="61" t="n">
        <v>33.6</v>
      </c>
      <c r="G41" s="62" t="n">
        <f>IF(COUNT(E41,F41)&lt;2,"",F41-E41)</f>
        <v>12.400000000000002</v>
      </c>
      <c r="H41" s="38" t="inlineStr">
        <is>
          <t xml:space="preserve">Department of Mineral and Petroleum Resources, zone lists effective 2 April 2014 and 3 April 2024</t>
        </is>
      </c>
    </row>
    <row r="42">
      <c r="A42" s="49" t="inlineStr">
        <is>
          <t xml:space="preserve">5B</t>
        </is>
      </c>
      <c r="B42" s="38" t="inlineStr">
        <is>
          <t xml:space="preserve">KwaZulu Natal</t>
        </is>
      </c>
      <c r="C42" s="60" t="n">
        <v>8</v>
      </c>
      <c r="D42" s="38" t="inlineStr">
        <is>
          <t xml:space="preserve">Estcourt, Impendle, Mooirivier, Msinga, Polela, Umvoti</t>
        </is>
      </c>
      <c r="E42" s="61" t="n">
        <v>24.1</v>
      </c>
      <c r="F42" s="61" t="n">
        <v>38.1</v>
      </c>
      <c r="G42" s="62" t="n">
        <f>IF(COUNT(E42,F42)&lt;2,"",F42-E42)</f>
        <v>14</v>
      </c>
      <c r="H42" s="38" t="inlineStr">
        <is>
          <t xml:space="preserve">Department of Mineral and Petroleum Resources, zone lists effective 2 April 2014 and 3 April 2024</t>
        </is>
      </c>
    </row>
    <row r="43">
      <c r="A43" s="49" t="inlineStr">
        <is>
          <t xml:space="preserve">6A</t>
        </is>
      </c>
      <c r="B43" s="38" t="inlineStr">
        <is>
          <t xml:space="preserve">KwaZulu Natal, Eastern Cape, Western Cape</t>
        </is>
      </c>
      <c r="C43" s="60" t="n">
        <v>7</v>
      </c>
      <c r="D43" s="38" t="inlineStr">
        <is>
          <t xml:space="preserve">Babanango, Bredasdorp, Glen Grey/Cacadu/Lady Frere, Mahlabatini, Molteno, Nongoma</t>
        </is>
      </c>
      <c r="E43" s="61" t="n">
        <v>30.7</v>
      </c>
      <c r="F43" s="61" t="n">
        <v>48.6</v>
      </c>
      <c r="G43" s="62" t="n">
        <f>IF(COUNT(E43,F43)&lt;2,"",F43-E43)</f>
        <v>17.900000000000002</v>
      </c>
      <c r="H43" s="38" t="inlineStr">
        <is>
          <t xml:space="preserve">Department of Mineral and Petroleum Resources, zone lists effective 2 April 2014 and 3 April 2024</t>
        </is>
      </c>
    </row>
    <row r="44">
      <c r="A44" s="49" t="inlineStr">
        <is>
          <t xml:space="preserve">5C</t>
        </is>
      </c>
      <c r="B44" s="38" t="inlineStr">
        <is>
          <t xml:space="preserve">KwaZulu Natal</t>
        </is>
      </c>
      <c r="C44" s="60" t="n">
        <v>1</v>
      </c>
      <c r="D44" s="38" t="inlineStr">
        <is>
          <t xml:space="preserve">Kliprivier</t>
        </is>
      </c>
      <c r="E44" s="61" t="n">
        <v>9.6</v>
      </c>
      <c r="F44" s="61" t="n">
        <v>49.1</v>
      </c>
      <c r="G44" s="62" t="n">
        <f>IF(COUNT(E44,F44)&lt;2,"",F44-E44)</f>
        <v>39.5</v>
      </c>
      <c r="H44" s="38" t="inlineStr">
        <is>
          <t xml:space="preserve">Department of Mineral and Petroleum Resources, zone lists effective 2 April 2014 and 3 April 2024</t>
        </is>
      </c>
    </row>
    <row r="45">
      <c r="A45" s="49" t="inlineStr">
        <is>
          <t xml:space="preserve">57A</t>
        </is>
      </c>
      <c r="B45" s="38" t="inlineStr">
        <is>
          <t xml:space="preserve">KwaZulu Natal, Eastern Cape</t>
        </is>
      </c>
      <c r="C45" s="60" t="n">
        <v>15</v>
      </c>
      <c r="D45" s="38" t="inlineStr">
        <is>
          <t xml:space="preserve">Engcobo, Hofmeyer, Indwe, Ingwavuma, Libode, Maluki (Matatiele)</t>
        </is>
      </c>
      <c r="E45" s="61" t="n">
        <v>39.1</v>
      </c>
      <c r="F45" s="61" t="n">
        <v>62</v>
      </c>
      <c r="G45" s="62" t="n">
        <f>IF(COUNT(E45,F45)&lt;2,"",F45-E45)</f>
        <v>22.9</v>
      </c>
      <c r="H45" s="38" t="inlineStr">
        <is>
          <t xml:space="preserve">Department of Mineral and Petroleum Resources, zone lists effective 2 April 2014 and 3 April 2024</t>
        </is>
      </c>
    </row>
    <row r="46">
      <c r="A46" s="49" t="inlineStr">
        <is>
          <t xml:space="preserve">7B</t>
        </is>
      </c>
      <c r="B46" s="38" t="inlineStr">
        <is>
          <t xml:space="preserve">Eastern Cape, Western Cape</t>
        </is>
      </c>
      <c r="C46" s="60" t="n">
        <v>8</v>
      </c>
      <c r="D46" s="38" t="inlineStr">
        <is>
          <t xml:space="preserve">Clanwilliam, Jansenville, Joubertina, Laingsburg, Prince Albert, Somerset East</t>
        </is>
      </c>
      <c r="E46" s="61" t="n">
        <v>27</v>
      </c>
      <c r="F46" s="61" t="n">
        <v>42.8</v>
      </c>
      <c r="G46" s="62" t="n">
        <f>IF(COUNT(E46,F46)&lt;2,"",F46-E46)</f>
        <v>15.799999999999997</v>
      </c>
      <c r="H46" s="38" t="inlineStr">
        <is>
          <t xml:space="preserve">Department of Mineral and Petroleum Resources, zone lists effective 2 April 2014 and 3 April 2024</t>
        </is>
      </c>
    </row>
    <row r="47">
      <c r="A47" s="49" t="inlineStr">
        <is>
          <t xml:space="preserve">9B</t>
        </is>
      </c>
      <c r="B47" s="38" t="inlineStr">
        <is>
          <t xml:space="preserve">Eastern Cape, Western Cape</t>
        </is>
      </c>
      <c r="C47" s="60" t="n">
        <v>7</v>
      </c>
      <c r="D47" s="38" t="inlineStr">
        <is>
          <t xml:space="preserve">Aberdeen, Bizana, Graaffreinett, Murraysburg, Sipangeni (Flagstaff), Van Rhynsdorp</t>
        </is>
      </c>
      <c r="E47" s="61" t="n">
        <v>34.9</v>
      </c>
      <c r="F47" s="61" t="n">
        <v>55.4</v>
      </c>
      <c r="G47" s="62" t="n">
        <f>IF(COUNT(E47,F47)&lt;2,"",F47-E47)</f>
        <v>20.5</v>
      </c>
      <c r="H47" s="38" t="inlineStr">
        <is>
          <t xml:space="preserve">Department of Mineral and Petroleum Resources, zone lists effective 2 April 2014 and 3 April 2024</t>
        </is>
      </c>
    </row>
    <row r="48">
      <c r="A48" s="49" t="inlineStr">
        <is>
          <t xml:space="preserve">8B</t>
        </is>
      </c>
      <c r="B48" s="38" t="inlineStr">
        <is>
          <t xml:space="preserve">Eastern Cape, Western Cape, Northern Cape</t>
        </is>
      </c>
      <c r="C48" s="60" t="n">
        <v>4</v>
      </c>
      <c r="D48" s="38" t="inlineStr">
        <is>
          <t xml:space="preserve">Beaufort West, Cradock, Fraserburg, Pearston</t>
        </is>
      </c>
      <c r="E48" s="61" t="n">
        <v>37</v>
      </c>
      <c r="F48" s="61" t="n">
        <v>58.7</v>
      </c>
      <c r="G48" s="62" t="n">
        <f>IF(COUNT(E48,F48)&lt;2,"",F48-E48)</f>
        <v>21.700000000000003</v>
      </c>
      <c r="H48" s="38" t="inlineStr">
        <is>
          <t xml:space="preserve">Department of Mineral and Petroleum Resources, zone lists effective 2 April 2014 and 3 April 2024</t>
        </is>
      </c>
    </row>
    <row r="49">
      <c r="A49" s="49" t="inlineStr">
        <is>
          <t xml:space="preserve">7A</t>
        </is>
      </c>
      <c r="B49" s="38" t="inlineStr">
        <is>
          <t xml:space="preserve">Eastern Cape, Northern Cape</t>
        </is>
      </c>
      <c r="C49" s="60" t="n">
        <v>6</v>
      </c>
      <c r="D49" s="38" t="inlineStr">
        <is>
          <t xml:space="preserve">Albert, Aliwal North, Noupoort, Steynsburg, Wodehouse, Xalanga</t>
        </is>
      </c>
      <c r="E49" s="61" t="n">
        <v>39.1</v>
      </c>
      <c r="F49" s="61" t="n">
        <v>62</v>
      </c>
      <c r="G49" s="62" t="n">
        <f>IF(COUNT(E49,F49)&lt;2,"",F49-E49)</f>
        <v>22.9</v>
      </c>
      <c r="H49" s="38" t="inlineStr">
        <is>
          <t xml:space="preserve">Department of Mineral and Petroleum Resources, zone lists effective 2 April 2014 and 3 April 2024</t>
        </is>
      </c>
    </row>
    <row r="50">
      <c r="A50" s="49" t="inlineStr">
        <is>
          <t xml:space="preserve">10B</t>
        </is>
      </c>
      <c r="B50" s="38" t="inlineStr">
        <is>
          <t xml:space="preserve">Eastern Cape, Northern Cape</t>
        </is>
      </c>
      <c r="C50" s="60" t="n">
        <v>6</v>
      </c>
      <c r="D50" s="38" t="inlineStr">
        <is>
          <t xml:space="preserve">Carnavon, Kwabhaca (Mount Frere), Lusikisiki (PortStJohns), Maxesibeni (Mount Ayliff), Tabankulu, Williston</t>
        </is>
      </c>
      <c r="E50" s="61" t="n">
        <v>44.2</v>
      </c>
      <c r="F50" s="61" t="n">
        <v>70.09999999999999</v>
      </c>
      <c r="G50" s="62" t="n">
        <f>IF(COUNT(E50,F50)&lt;2,"",F50-E50)</f>
        <v>25.89999999999999</v>
      </c>
      <c r="H50" s="38" t="inlineStr">
        <is>
          <t xml:space="preserve">Department of Mineral and Petroleum Resources, zone lists effective 2 April 2014 and 3 April 2024</t>
        </is>
      </c>
    </row>
    <row r="51">
      <c r="A51" s="49" t="inlineStr">
        <is>
          <t xml:space="preserve">12B</t>
        </is>
      </c>
      <c r="B51" s="38" t="inlineStr">
        <is>
          <t xml:space="preserve">Eastern Cape, Northern Cape</t>
        </is>
      </c>
      <c r="C51" s="60" t="n">
        <v>5</v>
      </c>
      <c r="D51" s="38" t="inlineStr">
        <is>
          <t xml:space="preserve">Calvinia (west of 20o longitude), Mount Fletcher, Sutherland, Umzimvubu, Victoria West</t>
        </is>
      </c>
      <c r="E51" s="61" t="n">
        <v>47.8</v>
      </c>
      <c r="F51" s="61" t="n">
        <v>75.8</v>
      </c>
      <c r="G51" s="62" t="n">
        <f>IF(COUNT(E51,F51)&lt;2,"",F51-E51)</f>
        <v>28</v>
      </c>
      <c r="H51" s="38" t="inlineStr">
        <is>
          <t xml:space="preserve">Department of Mineral and Petroleum Resources, zone lists effective 2 April 2014 and 3 April 2024</t>
        </is>
      </c>
    </row>
    <row r="52">
      <c r="A52" s="49" t="inlineStr">
        <is>
          <t xml:space="preserve">6B</t>
        </is>
      </c>
      <c r="B52" s="38" t="inlineStr">
        <is>
          <t xml:space="preserve">Western Cape</t>
        </is>
      </c>
      <c r="C52" s="60" t="n">
        <v>3</v>
      </c>
      <c r="D52" s="38" t="inlineStr">
        <is>
          <t xml:space="preserve">Ladismith (Cape), Piketberg, Uniondale</t>
        </is>
      </c>
      <c r="E52" s="61" t="n">
        <v>19</v>
      </c>
      <c r="F52" s="61" t="n">
        <v>30.1</v>
      </c>
      <c r="G52" s="62" t="n">
        <f>IF(COUNT(E52,F52)&lt;2,"",F52-E52)</f>
        <v>11.100000000000001</v>
      </c>
      <c r="H52" s="38" t="inlineStr">
        <is>
          <t xml:space="preserve">Department of Mineral and Petroleum Resources, zone lists effective 2 April 2014 and 3 April 2024</t>
        </is>
      </c>
    </row>
    <row r="53">
      <c r="A53" s="49" t="inlineStr">
        <is>
          <t xml:space="preserve">14B</t>
        </is>
      </c>
      <c r="B53" s="38" t="inlineStr">
        <is>
          <t xml:space="preserve">Northern Cape</t>
        </is>
      </c>
      <c r="C53" s="60" t="n">
        <v>1</v>
      </c>
      <c r="D53" s="38" t="inlineStr">
        <is>
          <t xml:space="preserve">Calvinia (east of 20o longitude)</t>
        </is>
      </c>
      <c r="E53" s="61" t="n">
        <v>55.9</v>
      </c>
      <c r="F53" s="61" t="n">
        <v>88.59999999999999</v>
      </c>
      <c r="G53" s="62" t="n">
        <f>IF(COUNT(E53,F53)&lt;2,"",F53-E53)</f>
        <v>32.699999999999996</v>
      </c>
      <c r="H53" s="38" t="inlineStr">
        <is>
          <t xml:space="preserve">Department of Mineral and Petroleum Resources, zone lists effective 2 April 2014 and 3 April 2024</t>
        </is>
      </c>
    </row>
    <row r="54">
      <c r="A54" s="49" t="inlineStr">
        <is>
          <t xml:space="preserve">31J</t>
        </is>
      </c>
      <c r="B54" s="38" t="inlineStr">
        <is>
          <t xml:space="preserve">Northern Cape</t>
        </is>
      </c>
      <c r="C54" s="60" t="n">
        <v>1</v>
      </c>
      <c r="D54" s="38" t="inlineStr">
        <is>
          <t xml:space="preserve">Namakwaland South (south of 30o latitude)</t>
        </is>
      </c>
      <c r="E54" s="61" t="n">
        <v>56.1</v>
      </c>
      <c r="F54" s="61" t="n">
        <v>89</v>
      </c>
      <c r="G54" s="62" t="n">
        <f>IF(COUNT(E54,F54)&lt;2,"",F54-E54)</f>
        <v>32.9</v>
      </c>
      <c r="H54" s="38" t="inlineStr">
        <is>
          <t xml:space="preserve">Department of Mineral and Petroleum Resources, zone lists effective 2 April 2014 and 3 April 2024</t>
        </is>
      </c>
    </row>
    <row r="55">
      <c r="A55" s="49" t="inlineStr">
        <is>
          <t xml:space="preserve">32J</t>
        </is>
      </c>
      <c r="B55" s="38" t="inlineStr">
        <is>
          <t xml:space="preserve">Northern Cape</t>
        </is>
      </c>
      <c r="C55" s="60" t="n">
        <v>1</v>
      </c>
      <c r="D55" s="38" t="inlineStr">
        <is>
          <t xml:space="preserve">Namakwaland Central (between 29o and 30o latitude and between 17o30' and 18o30' longitude)</t>
        </is>
      </c>
      <c r="E55" s="61" t="n">
        <v>76.3</v>
      </c>
      <c r="F55" s="61" t="n">
        <v>114.5</v>
      </c>
      <c r="G55" s="62" t="n">
        <f>IF(COUNT(E55,F55)&lt;2,"",F55-E55)</f>
        <v>38.2</v>
      </c>
      <c r="H55" s="38" t="inlineStr">
        <is>
          <t xml:space="preserve">Department of Mineral and Petroleum Resources, zone lists effective 2 April 2014 and 3 April 2024</t>
        </is>
      </c>
    </row>
    <row r="56">
      <c r="A56" s="49" t="inlineStr">
        <is>
          <t xml:space="preserve">34J</t>
        </is>
      </c>
      <c r="B56" s="38" t="inlineStr">
        <is>
          <t xml:space="preserve">Northern Cape</t>
        </is>
      </c>
      <c r="C56" s="60" t="n">
        <v>1</v>
      </c>
      <c r="D56" s="38" t="inlineStr">
        <is>
          <t xml:space="preserve">Namakwaland Vioolsdrif (north of 29o latitude and east of 17o longitude)</t>
        </is>
      </c>
      <c r="E56" s="61" t="n">
        <v>85.90000000000001</v>
      </c>
      <c r="F56" s="61" t="n">
        <v>130.7</v>
      </c>
      <c r="G56" s="62" t="n">
        <f>IF(COUNT(E56,F56)&lt;2,"",F56-E56)</f>
        <v>44.79999999999998</v>
      </c>
      <c r="H56" s="38" t="inlineStr">
        <is>
          <t xml:space="preserve">Department of Mineral and Petroleum Resources, zone lists effective 2 April 2014 and 3 April 2024</t>
        </is>
      </c>
    </row>
    <row r="57">
      <c r="A57" s="49" t="inlineStr">
        <is>
          <t xml:space="preserve">33J</t>
        </is>
      </c>
      <c r="B57" s="38" t="inlineStr">
        <is>
          <t xml:space="preserve">Northern Cape</t>
        </is>
      </c>
      <c r="C57" s="60" t="n">
        <v>1</v>
      </c>
      <c r="D57" s="38" t="inlineStr">
        <is>
          <t xml:space="preserve">Namakwaland Aggeneys(east of 18o30' longitude and north of 30o latitude)</t>
        </is>
      </c>
      <c r="E57" s="61" t="n">
        <v>87.3</v>
      </c>
      <c r="F57" s="61" t="n">
        <v>133.3</v>
      </c>
      <c r="G57" s="62" t="n">
        <f>IF(COUNT(E57,F57)&lt;2,"",F57-E57)</f>
        <v>46.000000000000014</v>
      </c>
      <c r="H57" s="38" t="inlineStr">
        <is>
          <t xml:space="preserve">Department of Mineral and Petroleum Resources, zone lists effective 2 April 2014 and 3 April 2024</t>
        </is>
      </c>
    </row>
    <row r="58">
      <c r="A58" s="49" t="inlineStr">
        <is>
          <t xml:space="preserve">15A</t>
        </is>
      </c>
      <c r="B58" s="38" t="inlineStr">
        <is>
          <t xml:space="preserve">Northern Cape</t>
        </is>
      </c>
      <c r="C58" s="60" t="n">
        <v>1</v>
      </c>
      <c r="D58" s="38" t="inlineStr">
        <is>
          <t xml:space="preserve">Kenhardt (east of 20o longitude)</t>
        </is>
      </c>
      <c r="E58" s="61" t="n">
        <v>84.7</v>
      </c>
      <c r="F58" s="61" t="n">
        <v>134</v>
      </c>
      <c r="G58" s="62" t="n">
        <f>IF(COUNT(E58,F58)&lt;2,"",F58-E58)</f>
        <v>49.3</v>
      </c>
      <c r="H58" s="38" t="inlineStr">
        <is>
          <t xml:space="preserve">Department of Mineral and Petroleum Resources, zone lists effective 2 April 2014 and 3 April 2024</t>
        </is>
      </c>
    </row>
    <row r="59">
      <c r="A59" s="49" t="inlineStr">
        <is>
          <t xml:space="preserve">36J</t>
        </is>
      </c>
      <c r="B59" s="38" t="inlineStr">
        <is>
          <t xml:space="preserve">Northern Cape</t>
        </is>
      </c>
      <c r="C59" s="60" t="n">
        <v>1</v>
      </c>
      <c r="D59" s="38" t="inlineStr">
        <is>
          <t xml:space="preserve">Namakwaland Kleinsee (between 29o and 30o latitude and between 17o and 17o30' longitude)</t>
        </is>
      </c>
      <c r="E59" s="61" t="n">
        <v>89.7</v>
      </c>
      <c r="F59" s="61" t="n">
        <v>138.4</v>
      </c>
      <c r="G59" s="62" t="n">
        <f>IF(COUNT(E59,F59)&lt;2,"",F59-E59)</f>
        <v>48.7</v>
      </c>
      <c r="H59" s="38" t="inlineStr">
        <is>
          <t xml:space="preserve">Department of Mineral and Petroleum Resources, zone lists effective 2 April 2014 and 3 April 2024</t>
        </is>
      </c>
    </row>
    <row r="60">
      <c r="A60" s="49" t="inlineStr">
        <is>
          <t xml:space="preserve">35J</t>
        </is>
      </c>
      <c r="B60" s="38" t="inlineStr">
        <is>
          <t xml:space="preserve">Northern Cape</t>
        </is>
      </c>
      <c r="C60" s="60" t="n">
        <v>1</v>
      </c>
      <c r="D60" s="38" t="inlineStr">
        <is>
          <t xml:space="preserve">Namakwaland Port Nolloth (south of 29o latitude and west of 17o longitude)</t>
        </is>
      </c>
      <c r="E60" s="61" t="n">
        <v>89.7</v>
      </c>
      <c r="F60" s="61" t="n">
        <v>138.8</v>
      </c>
      <c r="G60" s="62" t="n">
        <f>IF(COUNT(E60,F60)&lt;2,"",F60-E60)</f>
        <v>49.10000000000001</v>
      </c>
      <c r="H60" s="38" t="inlineStr">
        <is>
          <t xml:space="preserve">Department of Mineral and Petroleum Resources, zone lists effective 2 April 2014 and 3 April 2024</t>
        </is>
      </c>
    </row>
    <row r="61">
      <c r="A61" s="49" t="inlineStr">
        <is>
          <t xml:space="preserve">37J</t>
        </is>
      </c>
      <c r="B61" s="38" t="inlineStr">
        <is>
          <t xml:space="preserve">Northern Cape</t>
        </is>
      </c>
      <c r="C61" s="60" t="n">
        <v>1</v>
      </c>
      <c r="D61" s="38" t="inlineStr">
        <is>
          <t xml:space="preserve">Namakwaland Alexander Bay (north of 29o latitude and west of 17o longitude)</t>
        </is>
      </c>
      <c r="E61" s="61" t="n">
        <v>99.7</v>
      </c>
      <c r="F61" s="61" t="n">
        <v>155.7</v>
      </c>
      <c r="G61" s="62" t="n">
        <f>IF(COUNT(E61,F61)&lt;2,"",F61-E61)</f>
        <v>55.999999999999986</v>
      </c>
      <c r="H61" s="38" t="inlineStr">
        <is>
          <t xml:space="preserve">Department of Mineral and Petroleum Resources, zone lists effective 2 April 2014 and 3 April 2024</t>
        </is>
      </c>
    </row>
    <row r="62">
      <c r="A62" s="49" t="inlineStr">
        <is>
          <t xml:space="preserve">19A</t>
        </is>
      </c>
      <c r="B62" s="38" t="inlineStr">
        <is>
          <t xml:space="preserve">Northern Cape</t>
        </is>
      </c>
      <c r="C62" s="60" t="n">
        <v>1</v>
      </c>
      <c r="D62" s="38" t="inlineStr">
        <is>
          <t xml:space="preserve">Gordonia (north of 27o30' latitude)</t>
        </is>
      </c>
      <c r="E62" s="61" t="n">
        <v>106.6</v>
      </c>
      <c r="F62" s="61" t="n">
        <v>167.3</v>
      </c>
      <c r="G62" s="62" t="n">
        <f>IF(COUNT(E62,F62)&lt;2,"",F62-E62)</f>
        <v>60.70000000000002</v>
      </c>
      <c r="H62" s="38" t="inlineStr">
        <is>
          <t xml:space="preserve">Department of Mineral and Petroleum Resources, zone lists effective 2 April 2014 and 3 April 2024</t>
        </is>
      </c>
    </row>
    <row r="63">
      <c r="A63" s="49" t="inlineStr">
        <is>
          <t xml:space="preserve">69A</t>
        </is>
      </c>
      <c r="B63" s="38" t="inlineStr">
        <is>
          <t xml:space="preserve">Northern Cape</t>
        </is>
      </c>
      <c r="C63" s="60" t="n">
        <v>1</v>
      </c>
      <c r="D63" s="38" t="inlineStr">
        <is>
          <t xml:space="preserve">Kenhardt (west of 20o longitude)</t>
        </is>
      </c>
      <c r="E63" s="61" t="n">
        <v>106.6</v>
      </c>
      <c r="F63" s="61" t="n">
        <v>167.3</v>
      </c>
      <c r="G63" s="62" t="n">
        <f>IF(COUNT(E63,F63)&lt;2,"",F63-E63)</f>
        <v>60.70000000000002</v>
      </c>
      <c r="H63" s="38" t="inlineStr">
        <is>
          <t xml:space="preserve">Department of Mineral and Petroleum Resources, zone lists effective 2 April 2014 and 3 April 2024</t>
        </is>
      </c>
    </row>
    <row r="64">
      <c r="A64" s="49" t="inlineStr">
        <is>
          <t xml:space="preserve">11A</t>
        </is>
      </c>
      <c r="B64" s="38" t="inlineStr">
        <is>
          <t xml:space="preserve">Northern Cape</t>
        </is>
      </c>
      <c r="C64" s="60" t="n">
        <v>1</v>
      </c>
      <c r="D64" s="38" t="inlineStr">
        <is>
          <t xml:space="preserve">Hay</t>
        </is>
      </c>
      <c r="E64" s="61" t="n">
        <v>87.5</v>
      </c>
      <c r="F64" s="61" t="n">
        <v>169.9</v>
      </c>
      <c r="G64" s="62" t="n">
        <f>IF(COUNT(E64,F64)&lt;2,"",F64-E64)</f>
        <v>82.4</v>
      </c>
      <c r="H64" s="38" t="inlineStr">
        <is>
          <t xml:space="preserve">Department of Mineral and Petroleum Resources, zone lists effective 2 April 2014 and 3 April 2024</t>
        </is>
      </c>
    </row>
    <row r="65">
      <c r="A65" s="49" t="inlineStr">
        <is>
          <t xml:space="preserve">13A</t>
        </is>
      </c>
      <c r="B65" s="38" t="inlineStr">
        <is>
          <t xml:space="preserve">Northern Cape</t>
        </is>
      </c>
      <c r="C65" s="60" t="n">
        <v>1</v>
      </c>
      <c r="D65" s="38" t="inlineStr">
        <is>
          <t xml:space="preserve">Gordonia (south of 28o latitude)</t>
        </is>
      </c>
      <c r="E65" s="61" t="n">
        <v>88.7</v>
      </c>
      <c r="F65" s="61" t="n">
        <v>178.2</v>
      </c>
      <c r="G65" s="62" t="n">
        <f>IF(COUNT(E65,F65)&lt;2,"",F65-E65)</f>
        <v>89.49999999999999</v>
      </c>
      <c r="H65" s="38" t="inlineStr">
        <is>
          <t xml:space="preserve">Department of Mineral and Petroleum Resources, zone lists effective 2 April 2014 and 3 April 2024</t>
        </is>
      </c>
    </row>
    <row r="66">
      <c r="A66" s="49" t="inlineStr">
        <is>
          <t xml:space="preserve">17A</t>
        </is>
      </c>
      <c r="B66" s="38" t="inlineStr">
        <is>
          <t xml:space="preserve">Northern Cape</t>
        </is>
      </c>
      <c r="C66" s="60" t="n">
        <v>1</v>
      </c>
      <c r="D66" s="38" t="inlineStr">
        <is>
          <t xml:space="preserve">Gordonia Central (between 27o30' and 28o latituded)</t>
        </is>
      </c>
      <c r="E66" s="61" t="n">
        <v>99.8</v>
      </c>
      <c r="F66" s="61" t="n">
        <v>179.6</v>
      </c>
      <c r="G66" s="62" t="n">
        <f>IF(COUNT(E66,F66)&lt;2,"",F66-E66)</f>
        <v>79.8</v>
      </c>
      <c r="H66" s="38" t="inlineStr">
        <is>
          <t xml:space="preserve">Department of Mineral and Petroleum Resources, zone lists effective 2 April 2014 and 3 April 2024</t>
        </is>
      </c>
    </row>
    <row r="67">
      <c r="A67" s="49" t="inlineStr">
        <is>
          <t xml:space="preserve">60C</t>
        </is>
      </c>
      <c r="B67" s="38" t="inlineStr">
        <is>
          <t xml:space="preserve">Not in the 2014 district list</t>
        </is>
      </c>
      <c r="C67" s="60" t="n"/>
      <c r="D67" s="38" t="inlineStr">
        <is>
          <t xml:space="preserve"/>
        </is>
      </c>
      <c r="E67" s="61" t="n">
        <v>44.3</v>
      </c>
      <c r="F67" s="61" t="n">
        <v>104</v>
      </c>
      <c r="G67" s="62" t="n">
        <f>IF(COUNT(E67,F67)&lt;2,"",F67-E67)</f>
        <v>59.7</v>
      </c>
      <c r="H67" s="38" t="inlineStr">
        <is>
          <t xml:space="preserve">Department of Mineral and Petroleum Resources, zone lists effective 2 April 2014 and 3 April 2024</t>
        </is>
      </c>
    </row>
    <row r="68">
      <c r="A68" s="49" t="inlineStr">
        <is>
          <t xml:space="preserve">10A</t>
        </is>
      </c>
      <c r="B68" s="38" t="inlineStr">
        <is>
          <t xml:space="preserve">Not in the 2014 district list</t>
        </is>
      </c>
      <c r="C68" s="60" t="n"/>
      <c r="D68" s="38" t="inlineStr">
        <is>
          <t xml:space="preserve"/>
        </is>
      </c>
      <c r="E68" s="61" t="n">
        <v>82.59999999999999</v>
      </c>
      <c r="F68" s="61" t="n">
        <v>121.5</v>
      </c>
      <c r="G68" s="62" t="n">
        <f>IF(COUNT(E68,F68)&lt;2,"",F68-E68)</f>
        <v>38.900000000000006</v>
      </c>
      <c r="H68" s="38" t="inlineStr">
        <is>
          <t xml:space="preserve">Department of Mineral and Petroleum Resources, zone lists effective 2 April 2014 and 3 April 2024</t>
        </is>
      </c>
    </row>
  </sheetData>
  <mergeCells>
    <mergeCell ref="E10:G10"/>
    <mergeCell ref="E11:G11"/>
    <mergeCell ref="E5:G5"/>
    <mergeCell ref="E8:G8"/>
    <mergeCell ref="E9:G9"/>
    <mergeCell ref="E7:G7"/>
    <mergeCell ref="E6:G6"/>
    <mergeCell ref="A3:H3"/>
  </mergeCells>
  <hyperlinks>
    <hyperlink ref="A3" location="'Gap register'!A35" display="REVIEW: 1 linked items. Open Gap register; filter Request. Start here explains colours and scope." tooltip="Open the linked workbook evidence or review item"/>
    <hyperlink ref="L5" location="'Gap register'!A35" display="Review detail" tooltip="Open the linked workbook evidence or review item"/>
  </hyperlinks>
  <pageMargins left="0.7" right="0.7" top="0.75" bottom="0.75" header="0.3" footer="0.3"/>
</worksheet>
</file>

<file path=xl/worksheets/sheet9.xml><?xml version="1.0" encoding="utf-8"?>
<worksheet xmlns="http://schemas.openxmlformats.org/spreadsheetml/2006/main">
  <sheetViews>
    <sheetView workbookViewId="0" tabSelected="0">
      <pane xSplit="1" ySplit="2" topLeftCell="B3" activePane="bottomRight" state="frozen"/>
    </sheetView>
  </sheetViews>
  <sheetFormatPr baseColWidth="8" defaultRowHeight="15"/>
  <cols>
    <col min="1" max="1" width="36" customWidth="1"/>
    <col min="2" max="2" width="30" customWidth="1"/>
    <col min="3" max="3" width="20" customWidth="1"/>
    <col min="4" max="4" width="16" customWidth="1"/>
    <col min="5" max="5" width="10.5" customWidth="1"/>
    <col min="6" max="6" width="10.5" customWidth="1"/>
    <col min="7" max="7" width="10.5" customWidth="1"/>
    <col min="8" max="8" width="10.5" customWidth="1"/>
    <col min="9" max="9" width="10.5" customWidth="1"/>
    <col min="10" max="10" width="10.5" customWidth="1"/>
    <col min="11" max="11" width="10.5" customWidth="1"/>
    <col min="12" max="12" width="10.5" customWidth="1"/>
    <col min="13" max="13" width="10.5" customWidth="1"/>
    <col min="14" max="14" width="10.5" customWidth="1"/>
    <col min="15" max="15" width="10.5" customWidth="1"/>
    <col min="16" max="16" width="13" customWidth="1"/>
    <col min="17" max="17" width="46" customWidth="1"/>
    <col min="18" max="18" width="16" customWidth="1"/>
    <col min="19" max="19" width="62" customWidth="1"/>
    <col min="22" max="22" width="19" hidden="0" customWidth="1"/>
    <col min="23" max="23" width="65" hidden="0" customWidth="1"/>
    <col min="24" max="24" width="15" hidden="0" customWidth="1"/>
  </cols>
  <sheetData>
    <row r="1">
      <c r="A1" s="1" t="inlineStr">
        <is>
          <t xml:space="preserve">DR07 Demand evidence</t>
        </is>
      </c>
    </row>
    <row r="2">
      <c r="A2" s="2" t="inlineStr">
        <is>
          <t xml:space="preserve">75 facts from sources (blue), 21 calculated (white), 5 not available (yellow). Petrol and diesel only. Figures reported for several years are set out one column a year; every row names its source.</t>
        </is>
      </c>
    </row>
    <row r="3" ht="34" customHeight="1">
      <c r="A3" s="92" t="str">
        <v>REVIEW: 10 linked items. Open Gap register; filter Request. Start here explains colours and scope.</v>
      </c>
      <c r="B3" s="92"/>
      <c r="C3" s="92"/>
      <c r="D3" s="92"/>
      <c r="E3" s="92"/>
      <c r="F3" s="92"/>
      <c r="G3" s="92"/>
      <c r="H3" s="92"/>
      <c r="I3" s="92"/>
      <c r="J3" s="92"/>
    </row>
    <row r="4" ht="30" customHeight="1">
      <c r="V4" s="95" t="str">
        <v>Review IDs</v>
      </c>
      <c r="W4" s="95" t="str">
        <v>Review finding — source figures retained</v>
      </c>
      <c r="X4" s="95" t="str">
        <v>Open detail</v>
      </c>
    </row>
    <row r="5">
      <c r="A5" s="35" t="inlineStr">
        <is>
          <t xml:space="preserve">Power generation</t>
        </is>
      </c>
      <c r="B5" s="35" t="n"/>
      <c r="C5" s="35" t="n"/>
      <c r="D5" s="35" t="n"/>
      <c r="E5" s="35" t="n"/>
      <c r="F5" s="35" t="n"/>
      <c r="G5" s="35" t="n"/>
      <c r="H5" s="35" t="n"/>
      <c r="I5" s="35" t="n"/>
      <c r="J5" s="35" t="n"/>
      <c r="K5" s="35" t="n"/>
      <c r="L5" s="35" t="n"/>
      <c r="M5" s="35" t="n"/>
      <c r="N5" s="35" t="n"/>
      <c r="O5" s="35" t="n"/>
      <c r="P5" s="35" t="n"/>
      <c r="Q5" s="35" t="n"/>
      <c r="R5" s="35" t="n"/>
      <c r="S5" s="35" t="n"/>
      <c r="T5" s="35" t="n"/>
    </row>
    <row r="6">
      <c r="A6" s="36" t="inlineStr">
        <is>
          <t xml:space="preserve">Item</t>
        </is>
      </c>
      <c r="B6" s="36" t="inlineStr">
        <is>
          <t xml:space="preserve">Covers</t>
        </is>
      </c>
      <c r="C6" s="36" t="inlineStr">
        <is>
          <t xml:space="preserve">Unit</t>
        </is>
      </c>
      <c r="D6" s="36" t="inlineStr">
        <is>
          <t xml:space="preserve">Basis</t>
        </is>
      </c>
      <c r="E6" s="37" t="n">
        <v>2016</v>
      </c>
      <c r="F6" s="37" t="n">
        <v>2017</v>
      </c>
      <c r="G6" s="37" t="n">
        <v>2018</v>
      </c>
      <c r="H6" s="37" t="n">
        <v>2019</v>
      </c>
      <c r="I6" s="37" t="n">
        <v>2020</v>
      </c>
      <c r="J6" s="37" t="n">
        <v>2021</v>
      </c>
      <c r="K6" s="37" t="n">
        <v>2022</v>
      </c>
      <c r="L6" s="37" t="n">
        <v>2023</v>
      </c>
      <c r="M6" s="37" t="n">
        <v>2024</v>
      </c>
      <c r="N6" s="37" t="n">
        <v>2025</v>
      </c>
      <c r="O6" s="37" t="n">
        <v>2026</v>
      </c>
      <c r="P6" s="36" t="inlineStr">
        <is>
          <t xml:space="preserve">Status</t>
        </is>
      </c>
      <c r="Q6" s="36" t="inlineStr">
        <is>
          <t xml:space="preserve">Source</t>
        </is>
      </c>
      <c r="R6" s="36" t="inlineStr">
        <is>
          <t xml:space="preserve">Page</t>
        </is>
      </c>
      <c r="S6" s="36" t="inlineStr">
        <is>
          <t xml:space="preserve">Note</t>
        </is>
      </c>
    </row>
    <row r="7" ht="70" customHeight="1">
      <c r="A7" s="38" t="inlineStr">
        <is>
          <t xml:space="preserve">Fuel burned at Eskom's turbines, as reported</t>
        </is>
      </c>
      <c r="B7" s="38" t="inlineStr">
        <is>
          <t xml:space="preserve">Eskom: Ankerlig, Gourikwa, Acacia, Port Rex</t>
        </is>
      </c>
      <c r="C7" s="38" t="inlineStr">
        <is>
          <t xml:space="preserve">million litres</t>
        </is>
      </c>
      <c r="D7" s="38" t="inlineStr">
        <is>
          <t xml:space="preserve">years to March</t>
        </is>
      </c>
      <c r="E7" s="63" t="n">
        <v>1247.8</v>
      </c>
      <c r="F7" s="40" t="n">
        <v>10</v>
      </c>
      <c r="G7" s="40" t="n">
        <v>37.8</v>
      </c>
      <c r="H7" s="63" t="n">
        <v>385</v>
      </c>
      <c r="I7" s="63" t="n">
        <v>426.2</v>
      </c>
      <c r="J7" s="63" t="n">
        <v>458.7</v>
      </c>
      <c r="K7" s="63" t="n">
        <v>580.4</v>
      </c>
      <c r="L7" s="63" t="n">
        <v>937.5</v>
      </c>
      <c r="M7" s="63" t="n">
        <v>1129.5</v>
      </c>
      <c r="N7" s="63" t="n">
        <v>679.1</v>
      </c>
      <c r="O7" s="38" t="n"/>
      <c r="P7" s="38" t="inlineStr">
        <is>
          <t xml:space="preserve">From source</t>
        </is>
      </c>
      <c r="Q7" s="38" t="inlineStr">
        <is>
          <t xml:space="preserve">Eskom Integrated Report 2025, technical statistics</t>
        </is>
      </c>
      <c r="R7" s="38" t="inlineStr">
        <is>
          <t xml:space="preserve">PDF p.141</t>
        </is>
      </c>
      <c r="S7" s="38" t="inlineStr">
        <is>
          <t xml:space="preserve">Eskom reports diesel and kerosene together. Acacia and Port Rex burn kerosene and are 342 MW of Eskom's 2,426 MW, so nearly all of it is diesel. 2026 is not yet reported.</t>
        </is>
      </c>
      <c r="V7" s="80" t="str">
        <v>G044, G045</v>
      </c>
      <c r="W7" s="80" t="str">
        <v>Model decision: Power baseline and notional stations
Reconciliation: Power units, fuels and periods</v>
      </c>
      <c r="X7" s="80" t="str">
        <v>Review detail</v>
      </c>
    </row>
    <row r="8" ht="15.5" customHeight="1">
      <c r="A8" s="38" t="inlineStr">
        <is>
          <t xml:space="preserve">Electricity generated at Eskom's turbines</t>
        </is>
      </c>
      <c r="B8" s="38" t="inlineStr">
        <is>
          <t xml:space="preserve">Eskom</t>
        </is>
      </c>
      <c r="C8" s="38" t="inlineStr">
        <is>
          <t xml:space="preserve">GWh</t>
        </is>
      </c>
      <c r="D8" s="38" t="inlineStr">
        <is>
          <t xml:space="preserve">years to March</t>
        </is>
      </c>
      <c r="E8" s="38" t="n"/>
      <c r="F8" s="38" t="n"/>
      <c r="G8" s="38" t="n"/>
      <c r="H8" s="38" t="n"/>
      <c r="I8" s="38" t="n"/>
      <c r="J8" s="38" t="n"/>
      <c r="K8" s="39" t="n">
        <v>1826</v>
      </c>
      <c r="L8" s="39" t="n">
        <v>3018</v>
      </c>
      <c r="M8" s="39" t="n">
        <v>3634</v>
      </c>
      <c r="N8" s="39" t="n">
        <v>2176</v>
      </c>
      <c r="O8" s="39" t="n">
        <v>811</v>
      </c>
      <c r="P8" s="38" t="inlineStr">
        <is>
          <t xml:space="preserve">From source</t>
        </is>
      </c>
      <c r="Q8" s="38" t="inlineStr">
        <is>
          <t xml:space="preserve">Eskom data portal and reports</t>
        </is>
      </c>
      <c r="R8" s="38" t="inlineStr">
        <is>
          <t xml:space="preserve"/>
        </is>
      </c>
      <c r="S8" s="38" t="inlineStr">
        <is>
          <t xml:space="preserve"/>
        </is>
      </c>
    </row>
    <row r="9" ht="15.5" customHeight="1">
      <c r="A9" s="42" t="inlineStr">
        <is>
          <t xml:space="preserve">Litres burned per kWh, implied</t>
        </is>
      </c>
      <c r="B9" s="42" t="inlineStr">
        <is>
          <t xml:space="preserve">Eskom</t>
        </is>
      </c>
      <c r="C9" s="42" t="inlineStr">
        <is>
          <t xml:space="preserve">litres per kWh</t>
        </is>
      </c>
      <c r="D9" s="42" t="inlineStr">
        <is>
          <t xml:space="preserve">years to March</t>
        </is>
      </c>
      <c r="E9" s="42" t="n"/>
      <c r="F9" s="42" t="n"/>
      <c r="G9" s="42" t="n"/>
      <c r="H9" s="42" t="n"/>
      <c r="I9" s="42" t="n"/>
      <c r="J9" s="42" t="n"/>
      <c r="K9" s="44" t="n">
        <v>0.318</v>
      </c>
      <c r="L9" s="44" t="n">
        <v>0.311</v>
      </c>
      <c r="M9" s="44" t="n">
        <v>0.311</v>
      </c>
      <c r="N9" s="44" t="n">
        <v>0.312</v>
      </c>
      <c r="O9" s="42" t="n"/>
      <c r="P9" s="42" t="inlineStr">
        <is>
          <t xml:space="preserve">Calculated</t>
        </is>
      </c>
      <c r="Q9" s="42" t="inlineStr">
        <is>
          <t xml:space="preserve">Reported fuel divided by reported generation</t>
        </is>
      </c>
      <c r="R9" s="42" t="inlineStr">
        <is>
          <t xml:space="preserve"/>
        </is>
      </c>
      <c r="S9" s="42" t="inlineStr">
        <is>
          <t xml:space="preserve">Confirms the 0.31 litres per kWh used on the Power fleet sheet.</t>
        </is>
      </c>
    </row>
    <row r="10" ht="29" customHeight="1">
      <c r="A10" s="38" t="inlineStr">
        <is>
          <t xml:space="preserve">Electricity generated at independent diesel plants</t>
        </is>
      </c>
      <c r="B10" s="38" t="inlineStr">
        <is>
          <t xml:space="preserve">Avon and Dedisa</t>
        </is>
      </c>
      <c r="C10" s="38" t="inlineStr">
        <is>
          <t xml:space="preserve">GWh</t>
        </is>
      </c>
      <c r="D10" s="38" t="inlineStr">
        <is>
          <t xml:space="preserve">years to March</t>
        </is>
      </c>
      <c r="E10" s="38" t="n"/>
      <c r="F10" s="38" t="n"/>
      <c r="G10" s="38" t="n"/>
      <c r="H10" s="38" t="n"/>
      <c r="I10" s="38" t="n"/>
      <c r="J10" s="38" t="n"/>
      <c r="K10" s="38" t="n"/>
      <c r="L10" s="39" t="n">
        <v>1098</v>
      </c>
      <c r="M10" s="39" t="n">
        <v>1509</v>
      </c>
      <c r="N10" s="39" t="n">
        <v>662</v>
      </c>
      <c r="O10" s="39" t="n">
        <v>268</v>
      </c>
      <c r="P10" s="38" t="inlineStr">
        <is>
          <t xml:space="preserve">From source</t>
        </is>
      </c>
      <c r="Q10" s="38" t="inlineStr">
        <is>
          <t xml:space="preserve">Eskom data portal and reports</t>
        </is>
      </c>
      <c r="R10" s="38" t="inlineStr">
        <is>
          <t xml:space="preserve"/>
        </is>
      </c>
      <c r="S10" s="38" t="inlineStr">
        <is>
          <t xml:space="preserve"/>
        </is>
      </c>
    </row>
    <row r="11" ht="29" customHeight="1">
      <c r="A11" s="42" t="inlineStr">
        <is>
          <t xml:space="preserve">Diesel burned at independent plants, estimated</t>
        </is>
      </c>
      <c r="B11" s="42" t="inlineStr">
        <is>
          <t xml:space="preserve">Avon and Dedisa</t>
        </is>
      </c>
      <c r="C11" s="42" t="inlineStr">
        <is>
          <t xml:space="preserve">million litres</t>
        </is>
      </c>
      <c r="D11" s="42" t="inlineStr">
        <is>
          <t xml:space="preserve">years to March</t>
        </is>
      </c>
      <c r="E11" s="42" t="n"/>
      <c r="F11" s="42" t="n"/>
      <c r="G11" s="42" t="n"/>
      <c r="H11" s="42" t="n"/>
      <c r="I11" s="42" t="n"/>
      <c r="J11" s="42" t="n"/>
      <c r="K11" s="42" t="n"/>
      <c r="L11" s="46" t="n">
        <v>340</v>
      </c>
      <c r="M11" s="46" t="n">
        <v>468</v>
      </c>
      <c r="N11" s="46" t="n">
        <v>205</v>
      </c>
      <c r="O11" s="46" t="n">
        <v>83</v>
      </c>
      <c r="P11" s="42" t="inlineStr">
        <is>
          <t xml:space="preserve">Calculated</t>
        </is>
      </c>
      <c r="Q11" s="42" t="inlineStr">
        <is>
          <t xml:space="preserve">Generation x 0.31 litres per kWh</t>
        </is>
      </c>
      <c r="R11" s="42" t="inlineStr">
        <is>
          <t xml:space="preserve"/>
        </is>
      </c>
      <c r="S11" s="42" t="inlineStr">
        <is>
          <t xml:space="preserve">The producers do not report litres. Uses Eskom's implied rate.</t>
        </is>
      </c>
    </row>
    <row r="12" ht="29" customHeight="1">
      <c r="A12" s="38" t="inlineStr">
        <is>
          <t xml:space="preserve">Electricity not supplied through load-shedding</t>
        </is>
      </c>
      <c r="B12" s="38" t="inlineStr">
        <is>
          <t xml:space="preserve">Electricity not supplied through load-shedding</t>
        </is>
      </c>
      <c r="C12" s="38" t="inlineStr">
        <is>
          <t xml:space="preserve">TWh</t>
        </is>
      </c>
      <c r="D12" s="38" t="inlineStr">
        <is>
          <t xml:space="preserve">calendar years</t>
        </is>
      </c>
      <c r="E12" s="38" t="n"/>
      <c r="F12" s="38" t="n"/>
      <c r="G12" s="38" t="n"/>
      <c r="H12" s="38" t="n"/>
      <c r="I12" s="38" t="n"/>
      <c r="J12" s="38" t="n"/>
      <c r="K12" s="38" t="n"/>
      <c r="L12" s="40" t="n">
        <v>10.6</v>
      </c>
      <c r="M12" s="40" t="n">
        <v>2.5</v>
      </c>
      <c r="N12" s="38" t="n"/>
      <c r="O12" s="38" t="n"/>
      <c r="P12" s="38" t="inlineStr">
        <is>
          <t xml:space="preserve">From source</t>
        </is>
      </c>
      <c r="Q12" s="38" t="inlineStr">
        <is>
          <t xml:space="preserve">CSIR, Utility-scale power generation statistics in South Africa 2024</t>
        </is>
      </c>
      <c r="R12" s="38" t="inlineStr">
        <is>
          <t xml:space="preserve">PDF p.4</t>
        </is>
      </c>
      <c r="S12" s="38" t="inlineStr">
        <is>
          <t xml:space="preserve">An upper limit: each stage is counted as its full megawatts for the full hour.</t>
        </is>
      </c>
    </row>
    <row r="13">
      <c r="A13" s="36" t="inlineStr">
        <is>
          <t xml:space="preserve">Item</t>
        </is>
      </c>
      <c r="B13" s="36" t="inlineStr">
        <is>
          <t xml:space="preserve">Covers</t>
        </is>
      </c>
      <c r="C13" s="36" t="inlineStr">
        <is>
          <t xml:space="preserve">Unit</t>
        </is>
      </c>
      <c r="D13" s="36" t="inlineStr">
        <is>
          <t xml:space="preserve">Period</t>
        </is>
      </c>
      <c r="E13" s="36" t="inlineStr">
        <is>
          <t xml:space="preserve">Value</t>
        </is>
      </c>
      <c r="K13" s="36" t="n"/>
      <c r="L13" s="36" t="n"/>
      <c r="M13" s="36" t="n"/>
      <c r="N13" s="36" t="n"/>
      <c r="O13" s="36" t="n"/>
      <c r="P13" s="36" t="inlineStr">
        <is>
          <t xml:space="preserve">Status</t>
        </is>
      </c>
      <c r="Q13" s="36" t="inlineStr">
        <is>
          <t xml:space="preserve">Source</t>
        </is>
      </c>
      <c r="R13" s="36" t="inlineStr">
        <is>
          <t xml:space="preserve">Page</t>
        </is>
      </c>
      <c r="S13" s="36" t="inlineStr">
        <is>
          <t xml:space="preserve">Note</t>
        </is>
      </c>
    </row>
    <row r="14" ht="48" customHeight="1">
      <c r="A14" s="45" t="inlineStr">
        <is>
          <t xml:space="preserve">Diesel burned in private backup generators</t>
        </is>
      </c>
      <c r="B14" s="45" t="inlineStr">
        <is>
          <t xml:space="preserve">Businesses and households</t>
        </is>
      </c>
      <c r="C14" s="45" t="inlineStr">
        <is>
          <t xml:space="preserve">million litres</t>
        </is>
      </c>
      <c r="D14" s="45" t="inlineStr">
        <is>
          <t xml:space="preserve"/>
        </is>
      </c>
      <c r="E14" s="45" t="inlineStr">
        <is>
          <t xml:space="preserve">Not available</t>
        </is>
      </c>
      <c r="K14" s="45" t="n"/>
      <c r="L14" s="45" t="n"/>
      <c r="M14" s="45" t="n"/>
      <c r="N14" s="45" t="n"/>
      <c r="O14" s="45" t="n"/>
      <c r="P14" s="45" t="inlineStr">
        <is>
          <t xml:space="preserve">Not available</t>
        </is>
      </c>
      <c r="Q14" s="45" t="inlineStr">
        <is>
          <t xml:space="preserve">None found</t>
        </is>
      </c>
      <c r="R14" s="45" t="inlineStr">
        <is>
          <t xml:space="preserve"/>
        </is>
      </c>
      <c r="S14" s="45" t="inlineStr">
        <is>
          <t xml:space="preserve">No source measures it: checked the Reserve Bank, the CSIR, Eskom and the system operator. It is inside recorded diesel sales and cannot be separated.</t>
        </is>
      </c>
      <c r="V14" s="80" t="str">
        <v>G011</v>
      </c>
      <c r="W14" s="80" t="str">
        <v>Missing data: Diesel burned in private backup generators</v>
      </c>
      <c r="X14" s="80" t="str">
        <v>Review detail</v>
      </c>
    </row>
    <row r="15" ht="29" customHeight="1">
      <c r="A15" s="38" t="inlineStr">
        <is>
          <t xml:space="preserve">Diesel stations and capacity</t>
        </is>
      </c>
      <c r="B15" s="38" t="inlineStr">
        <is>
          <t xml:space="preserve">Ankerlig</t>
        </is>
      </c>
      <c r="C15" s="38" t="inlineStr">
        <is>
          <t xml:space="preserve">MW</t>
        </is>
      </c>
      <c r="D15" s="38" t="inlineStr">
        <is>
          <t xml:space="preserve">current</t>
        </is>
      </c>
      <c r="E15" s="41" t="n">
        <v>1338</v>
      </c>
      <c r="K15" s="38" t="n"/>
      <c r="L15" s="38" t="n"/>
      <c r="M15" s="38" t="n"/>
      <c r="N15" s="38" t="n"/>
      <c r="O15" s="38" t="n"/>
      <c r="P15" s="38" t="inlineStr">
        <is>
          <t xml:space="preserve">From source</t>
        </is>
      </c>
      <c r="Q15" s="38" t="inlineStr">
        <is>
          <t xml:space="preserve">Eskom fact sheet GX 0001 (July 2024); African Energy (2015)</t>
        </is>
      </c>
      <c r="R15" s="38" t="inlineStr">
        <is>
          <t xml:space="preserve"/>
        </is>
      </c>
      <c r="S15" s="38" t="inlineStr">
        <is>
          <t xml:space="preserve">Avon began in July 2016 and Dedisa in October 2015.</t>
        </is>
      </c>
    </row>
    <row r="16" ht="29" customHeight="1">
      <c r="A16" s="38" t="inlineStr">
        <is>
          <t xml:space="preserve">Diesel stations and capacity</t>
        </is>
      </c>
      <c r="B16" s="38" t="inlineStr">
        <is>
          <t xml:space="preserve">Gourikwa</t>
        </is>
      </c>
      <c r="C16" s="38" t="inlineStr">
        <is>
          <t xml:space="preserve">MW</t>
        </is>
      </c>
      <c r="D16" s="38" t="inlineStr">
        <is>
          <t xml:space="preserve">current</t>
        </is>
      </c>
      <c r="E16" s="41" t="n">
        <v>746</v>
      </c>
      <c r="K16" s="38" t="n"/>
      <c r="L16" s="38" t="n"/>
      <c r="M16" s="38" t="n"/>
      <c r="N16" s="38" t="n"/>
      <c r="O16" s="38" t="n"/>
      <c r="P16" s="38" t="inlineStr">
        <is>
          <t xml:space="preserve">From source</t>
        </is>
      </c>
      <c r="Q16" s="38" t="inlineStr">
        <is>
          <t xml:space="preserve">Eskom fact sheet GX 0001 (July 2024); African Energy (2015)</t>
        </is>
      </c>
      <c r="R16" s="38" t="inlineStr">
        <is>
          <t xml:space="preserve"/>
        </is>
      </c>
      <c r="S16" s="38" t="inlineStr">
        <is>
          <t xml:space="preserve">Avon began in July 2016 and Dedisa in October 2015.</t>
        </is>
      </c>
    </row>
    <row r="17" ht="29" customHeight="1">
      <c r="A17" s="38" t="inlineStr">
        <is>
          <t xml:space="preserve">Diesel stations and capacity</t>
        </is>
      </c>
      <c r="B17" s="38" t="inlineStr">
        <is>
          <t xml:space="preserve">Avon</t>
        </is>
      </c>
      <c r="C17" s="38" t="inlineStr">
        <is>
          <t xml:space="preserve">MW</t>
        </is>
      </c>
      <c r="D17" s="38" t="inlineStr">
        <is>
          <t xml:space="preserve">current</t>
        </is>
      </c>
      <c r="E17" s="41" t="n">
        <v>670</v>
      </c>
      <c r="K17" s="38" t="n"/>
      <c r="L17" s="38" t="n"/>
      <c r="M17" s="38" t="n"/>
      <c r="N17" s="38" t="n"/>
      <c r="O17" s="38" t="n"/>
      <c r="P17" s="38" t="inlineStr">
        <is>
          <t xml:space="preserve">From source</t>
        </is>
      </c>
      <c r="Q17" s="38" t="inlineStr">
        <is>
          <t xml:space="preserve">Eskom fact sheet GX 0001 (July 2024); African Energy (2015)</t>
        </is>
      </c>
      <c r="R17" s="38" t="inlineStr">
        <is>
          <t xml:space="preserve"/>
        </is>
      </c>
      <c r="S17" s="38" t="inlineStr">
        <is>
          <t xml:space="preserve">Avon began in July 2016 and Dedisa in October 2015.</t>
        </is>
      </c>
    </row>
    <row r="18" ht="29" customHeight="1">
      <c r="A18" s="38" t="inlineStr">
        <is>
          <t xml:space="preserve">Diesel stations and capacity</t>
        </is>
      </c>
      <c r="B18" s="38" t="inlineStr">
        <is>
          <t xml:space="preserve">Dedisa</t>
        </is>
      </c>
      <c r="C18" s="38" t="inlineStr">
        <is>
          <t xml:space="preserve">MW</t>
        </is>
      </c>
      <c r="D18" s="38" t="inlineStr">
        <is>
          <t xml:space="preserve">current</t>
        </is>
      </c>
      <c r="E18" s="41" t="n">
        <v>335</v>
      </c>
      <c r="K18" s="38" t="n"/>
      <c r="L18" s="38" t="n"/>
      <c r="M18" s="38" t="n"/>
      <c r="N18" s="38" t="n"/>
      <c r="O18" s="38" t="n"/>
      <c r="P18" s="38" t="inlineStr">
        <is>
          <t xml:space="preserve">From source</t>
        </is>
      </c>
      <c r="Q18" s="38" t="inlineStr">
        <is>
          <t xml:space="preserve">Eskom fact sheet GX 0001 (July 2024); African Energy (2015)</t>
        </is>
      </c>
      <c r="R18" s="38" t="inlineStr">
        <is>
          <t xml:space="preserve"/>
        </is>
      </c>
      <c r="S18" s="38" t="inlineStr">
        <is>
          <t xml:space="preserve">Avon began in July 2016 and Dedisa in October 2015.</t>
        </is>
      </c>
    </row>
    <row r="19" ht="15.5" customHeight="1">
      <c r="A19" s="38" t="inlineStr">
        <is>
          <t xml:space="preserve">Coal station shutdown</t>
        </is>
      </c>
      <c r="B19" s="38" t="inlineStr">
        <is>
          <t xml:space="preserve">Komati</t>
        </is>
      </c>
      <c r="C19" s="38" t="inlineStr">
        <is>
          <t xml:space="preserve"/>
        </is>
      </c>
      <c r="D19" s="38" t="inlineStr">
        <is>
          <t xml:space="preserve">October 2022</t>
        </is>
      </c>
      <c r="E19" s="38" t="inlineStr">
        <is>
          <t xml:space="preserve">Shut down</t>
        </is>
      </c>
      <c r="K19" s="38" t="n"/>
      <c r="L19" s="38" t="n"/>
      <c r="M19" s="38" t="n"/>
      <c r="N19" s="38" t="n"/>
      <c r="O19" s="38" t="n"/>
      <c r="P19" s="38" t="inlineStr">
        <is>
          <t xml:space="preserve">From source</t>
        </is>
      </c>
      <c r="Q19" s="38" t="inlineStr">
        <is>
          <t xml:space="preserve">Eskom, coal-fired power stations page</t>
        </is>
      </c>
      <c r="R19" s="38" t="inlineStr">
        <is>
          <t xml:space="preserve"/>
        </is>
      </c>
      <c r="S19" s="38" t="inlineStr">
        <is>
          <t xml:space="preserve">The last unit, unit 9.</t>
        </is>
      </c>
    </row>
    <row r="20" ht="42.5" customHeight="1">
      <c r="A20" s="38" t="inlineStr">
        <is>
          <t xml:space="preserve">Coal station shutdown</t>
        </is>
      </c>
      <c r="B20" s="38" t="inlineStr">
        <is>
          <t xml:space="preserve">Camden</t>
        </is>
      </c>
      <c r="C20" s="38" t="inlineStr">
        <is>
          <t xml:space="preserve"/>
        </is>
      </c>
      <c r="D20" s="38" t="inlineStr">
        <is>
          <t xml:space="preserve">by 31 March 2030</t>
        </is>
      </c>
      <c r="E20" s="38" t="inlineStr">
        <is>
          <t xml:space="preserve">Scheduled to shut down</t>
        </is>
      </c>
      <c r="K20" s="38" t="n"/>
      <c r="L20" s="38" t="n"/>
      <c r="M20" s="38" t="n"/>
      <c r="N20" s="38" t="n"/>
      <c r="O20" s="38" t="n"/>
      <c r="P20" s="38" t="inlineStr">
        <is>
          <t xml:space="preserve">From source</t>
        </is>
      </c>
      <c r="Q20" s="38" t="inlineStr">
        <is>
          <t xml:space="preserve">Eskom Integrated Report 2025; system operator outlook</t>
        </is>
      </c>
      <c r="R20" s="38" t="inlineStr">
        <is>
          <t xml:space="preserve">Eskom PDF pp.32, 44; outlook PDF pp.17, 19</t>
        </is>
      </c>
      <c r="S20" s="38" t="inlineStr">
        <is>
          <t xml:space="preserve">Eskom: the four older stations 'will now continue operating until FY2030'. System operator: all five run to the end of 2028, then shut in phases from 2029.</t>
        </is>
      </c>
    </row>
    <row r="21" ht="42.5" customHeight="1">
      <c r="A21" s="38" t="inlineStr">
        <is>
          <t xml:space="preserve">Coal station shutdown</t>
        </is>
      </c>
      <c r="B21" s="38" t="inlineStr">
        <is>
          <t xml:space="preserve">Hendrina</t>
        </is>
      </c>
      <c r="C21" s="38" t="inlineStr">
        <is>
          <t xml:space="preserve"/>
        </is>
      </c>
      <c r="D21" s="38" t="inlineStr">
        <is>
          <t xml:space="preserve">by 31 March 2030</t>
        </is>
      </c>
      <c r="E21" s="38" t="inlineStr">
        <is>
          <t xml:space="preserve">Scheduled to shut down</t>
        </is>
      </c>
      <c r="K21" s="38" t="n"/>
      <c r="L21" s="38" t="n"/>
      <c r="M21" s="38" t="n"/>
      <c r="N21" s="38" t="n"/>
      <c r="O21" s="38" t="n"/>
      <c r="P21" s="38" t="inlineStr">
        <is>
          <t xml:space="preserve">From source</t>
        </is>
      </c>
      <c r="Q21" s="38" t="inlineStr">
        <is>
          <t xml:space="preserve">Eskom Integrated Report 2025; system operator outlook</t>
        </is>
      </c>
      <c r="R21" s="38" t="inlineStr">
        <is>
          <t xml:space="preserve">Eskom PDF pp.32, 44; outlook PDF pp.17, 19</t>
        </is>
      </c>
      <c r="S21" s="38" t="inlineStr">
        <is>
          <t xml:space="preserve">Eskom: the four older stations 'will now continue operating until FY2030'. System operator: all five run to the end of 2028, then shut in phases from 2029.</t>
        </is>
      </c>
    </row>
    <row r="22" ht="42.5" customHeight="1">
      <c r="A22" s="38" t="inlineStr">
        <is>
          <t xml:space="preserve">Coal station shutdown</t>
        </is>
      </c>
      <c r="B22" s="38" t="inlineStr">
        <is>
          <t xml:space="preserve">Grootvlei</t>
        </is>
      </c>
      <c r="C22" s="38" t="inlineStr">
        <is>
          <t xml:space="preserve"/>
        </is>
      </c>
      <c r="D22" s="38" t="inlineStr">
        <is>
          <t xml:space="preserve">by 31 March 2030</t>
        </is>
      </c>
      <c r="E22" s="38" t="inlineStr">
        <is>
          <t xml:space="preserve">Scheduled to shut down</t>
        </is>
      </c>
      <c r="K22" s="38" t="n"/>
      <c r="L22" s="38" t="n"/>
      <c r="M22" s="38" t="n"/>
      <c r="N22" s="38" t="n"/>
      <c r="O22" s="38" t="n"/>
      <c r="P22" s="38" t="inlineStr">
        <is>
          <t xml:space="preserve">From source</t>
        </is>
      </c>
      <c r="Q22" s="38" t="inlineStr">
        <is>
          <t xml:space="preserve">Eskom Integrated Report 2025; system operator outlook</t>
        </is>
      </c>
      <c r="R22" s="38" t="inlineStr">
        <is>
          <t xml:space="preserve">Eskom PDF pp.32, 44; outlook PDF pp.17, 19</t>
        </is>
      </c>
      <c r="S22" s="38" t="inlineStr">
        <is>
          <t xml:space="preserve">Eskom: the four older stations 'will now continue operating until FY2030'. System operator: all five run to the end of 2028, then shut in phases from 2029.</t>
        </is>
      </c>
    </row>
    <row r="23" ht="42.5" customHeight="1">
      <c r="A23" s="38" t="inlineStr">
        <is>
          <t xml:space="preserve">Coal station shutdown</t>
        </is>
      </c>
      <c r="B23" s="38" t="inlineStr">
        <is>
          <t xml:space="preserve">Arnot</t>
        </is>
      </c>
      <c r="C23" s="38" t="inlineStr">
        <is>
          <t xml:space="preserve"/>
        </is>
      </c>
      <c r="D23" s="38" t="inlineStr">
        <is>
          <t xml:space="preserve">by 31 March 2030</t>
        </is>
      </c>
      <c r="E23" s="38" t="inlineStr">
        <is>
          <t xml:space="preserve">Scheduled to shut down</t>
        </is>
      </c>
      <c r="K23" s="38" t="n"/>
      <c r="L23" s="38" t="n"/>
      <c r="M23" s="38" t="n"/>
      <c r="N23" s="38" t="n"/>
      <c r="O23" s="38" t="n"/>
      <c r="P23" s="38" t="inlineStr">
        <is>
          <t xml:space="preserve">From source</t>
        </is>
      </c>
      <c r="Q23" s="38" t="inlineStr">
        <is>
          <t xml:space="preserve">Eskom Integrated Report 2025; system operator outlook</t>
        </is>
      </c>
      <c r="R23" s="38" t="inlineStr">
        <is>
          <t xml:space="preserve">Eskom PDF pp.32, 44; outlook PDF pp.17, 19</t>
        </is>
      </c>
      <c r="S23" s="38" t="inlineStr">
        <is>
          <t xml:space="preserve">Eskom: the four older stations 'will now continue operating until FY2030'. System operator: all five run to the end of 2028, then shut in phases from 2029.</t>
        </is>
      </c>
    </row>
    <row r="24" ht="42.5" customHeight="1">
      <c r="A24" s="38" t="inlineStr">
        <is>
          <t xml:space="preserve">Coal station shutdown</t>
        </is>
      </c>
      <c r="B24" s="38" t="inlineStr">
        <is>
          <t xml:space="preserve">Kriel</t>
        </is>
      </c>
      <c r="C24" s="38" t="inlineStr">
        <is>
          <t xml:space="preserve"/>
        </is>
      </c>
      <c r="D24" s="38" t="inlineStr">
        <is>
          <t xml:space="preserve">by 31 March 2030</t>
        </is>
      </c>
      <c r="E24" s="38" t="inlineStr">
        <is>
          <t xml:space="preserve">Scheduled to shut down</t>
        </is>
      </c>
      <c r="K24" s="38" t="n"/>
      <c r="L24" s="38" t="n"/>
      <c r="M24" s="38" t="n"/>
      <c r="N24" s="38" t="n"/>
      <c r="O24" s="38" t="n"/>
      <c r="P24" s="38" t="inlineStr">
        <is>
          <t xml:space="preserve">From source</t>
        </is>
      </c>
      <c r="Q24" s="38" t="inlineStr">
        <is>
          <t xml:space="preserve">Eskom Integrated Report 2025; system operator outlook</t>
        </is>
      </c>
      <c r="R24" s="38" t="inlineStr">
        <is>
          <t xml:space="preserve">Eskom PDF pp.32, 44; outlook PDF pp.17, 19</t>
        </is>
      </c>
      <c r="S24" s="38" t="inlineStr">
        <is>
          <t xml:space="preserve">Eskom: the four older stations 'will now continue operating until FY2030'. System operator: all five run to the end of 2028, then shut in phases from 2029.</t>
        </is>
      </c>
    </row>
    <row r="25" ht="29" customHeight="1">
      <c r="A25" s="38" t="inlineStr">
        <is>
          <t xml:space="preserve">Coal station shutdown</t>
        </is>
      </c>
      <c r="B25" s="38" t="inlineStr">
        <is>
          <t xml:space="preserve">Duvha</t>
        </is>
      </c>
      <c r="C25" s="38" t="inlineStr">
        <is>
          <t xml:space="preserve"/>
        </is>
      </c>
      <c r="D25" s="38" t="inlineStr">
        <is>
          <t xml:space="preserve">February 2034</t>
        </is>
      </c>
      <c r="E25" s="38" t="inlineStr">
        <is>
          <t xml:space="preserve">Planned shutdown</t>
        </is>
      </c>
      <c r="K25" s="38" t="n"/>
      <c r="L25" s="38" t="n"/>
      <c r="M25" s="38" t="n"/>
      <c r="N25" s="38" t="n"/>
      <c r="O25" s="38" t="n"/>
      <c r="P25" s="38" t="inlineStr">
        <is>
          <t xml:space="preserve">From source</t>
        </is>
      </c>
      <c r="Q25" s="38" t="inlineStr">
        <is>
          <t xml:space="preserve">System operator, Medium-Term System Adequacy Outlook 2026-2030 (30 October 2025)</t>
        </is>
      </c>
      <c r="R25" s="38" t="inlineStr">
        <is>
          <t xml:space="preserve">PDF p.19</t>
        </is>
      </c>
      <c r="S25" s="38" t="inlineStr">
        <is>
          <t xml:space="preserve">Its emissions exemption runs to this date.</t>
        </is>
      </c>
    </row>
    <row r="26" ht="29" customHeight="1">
      <c r="A26" s="38" t="inlineStr">
        <is>
          <t xml:space="preserve">Coal station shutdown</t>
        </is>
      </c>
      <c r="B26" s="38" t="inlineStr">
        <is>
          <t xml:space="preserve">Matla</t>
        </is>
      </c>
      <c r="C26" s="38" t="inlineStr">
        <is>
          <t xml:space="preserve"/>
        </is>
      </c>
      <c r="D26" s="38" t="inlineStr">
        <is>
          <t xml:space="preserve">July 2034</t>
        </is>
      </c>
      <c r="E26" s="38" t="inlineStr">
        <is>
          <t xml:space="preserve">Planned shutdown</t>
        </is>
      </c>
      <c r="K26" s="38" t="n"/>
      <c r="L26" s="38" t="n"/>
      <c r="M26" s="38" t="n"/>
      <c r="N26" s="38" t="n"/>
      <c r="O26" s="38" t="n"/>
      <c r="P26" s="38" t="inlineStr">
        <is>
          <t xml:space="preserve">From source</t>
        </is>
      </c>
      <c r="Q26" s="38" t="inlineStr">
        <is>
          <t xml:space="preserve">System operator, Medium-Term System Adequacy Outlook 2026-2030 (30 October 2025)</t>
        </is>
      </c>
      <c r="R26" s="38" t="inlineStr">
        <is>
          <t xml:space="preserve">PDF p.19</t>
        </is>
      </c>
      <c r="S26" s="38" t="inlineStr">
        <is>
          <t xml:space="preserve">Its emissions exemption runs to this date.</t>
        </is>
      </c>
    </row>
    <row r="27" ht="29" customHeight="1">
      <c r="A27" s="38" t="inlineStr">
        <is>
          <t xml:space="preserve">Coal station shutdown</t>
        </is>
      </c>
      <c r="B27" s="38" t="inlineStr">
        <is>
          <t xml:space="preserve">Tutuka</t>
        </is>
      </c>
      <c r="C27" s="38" t="inlineStr">
        <is>
          <t xml:space="preserve"/>
        </is>
      </c>
      <c r="D27" s="38" t="inlineStr">
        <is>
          <t xml:space="preserve">by 2030</t>
        </is>
      </c>
      <c r="E27" s="38" t="inlineStr">
        <is>
          <t xml:space="preserve">Scheduled for closure under Eskom's Generation 2035 plan</t>
        </is>
      </c>
      <c r="K27" s="38" t="n"/>
      <c r="L27" s="38" t="n"/>
      <c r="M27" s="38" t="n"/>
      <c r="N27" s="38" t="n"/>
      <c r="O27" s="38" t="n"/>
      <c r="P27" s="38" t="inlineStr">
        <is>
          <t xml:space="preserve">From source</t>
        </is>
      </c>
      <c r="Q27" s="38" t="inlineStr">
        <is>
          <t xml:space="preserve">Eskom, coal-fired power stations page</t>
        </is>
      </c>
      <c r="R27" s="38" t="inlineStr">
        <is>
          <t xml:space="preserve"/>
        </is>
      </c>
      <c r="S27" s="38" t="inlineStr">
        <is>
          <t xml:space="preserve">The system operator's outlook does not count Tutuka among the stations shutting by 2030, so this may be an older plan.</t>
        </is>
      </c>
    </row>
    <row r="28" ht="29" customHeight="1">
      <c r="A28" s="38" t="inlineStr">
        <is>
          <t xml:space="preserve">Coal station shutdown</t>
        </is>
      </c>
      <c r="B28" s="38" t="inlineStr">
        <is>
          <t xml:space="preserve">Kendal</t>
        </is>
      </c>
      <c r="C28" s="38" t="inlineStr">
        <is>
          <t xml:space="preserve"/>
        </is>
      </c>
      <c r="D28" s="38" t="inlineStr">
        <is>
          <t xml:space="preserve">no shutdown date given</t>
        </is>
      </c>
      <c r="E28" s="38" t="inlineStr">
        <is>
          <t xml:space="preserve">Emissions exemption to 31 March 2030</t>
        </is>
      </c>
      <c r="K28" s="38" t="n"/>
      <c r="L28" s="38" t="n"/>
      <c r="M28" s="38" t="n"/>
      <c r="N28" s="38" t="n"/>
      <c r="O28" s="38" t="n"/>
      <c r="P28" s="38" t="inlineStr">
        <is>
          <t xml:space="preserve">From source</t>
        </is>
      </c>
      <c r="Q28" s="38" t="inlineStr">
        <is>
          <t xml:space="preserve">System operator, Medium-Term System Adequacy Outlook 2026-2030 (30 October 2025)</t>
        </is>
      </c>
      <c r="R28" s="38" t="inlineStr">
        <is>
          <t xml:space="preserve">PDF p.19</t>
        </is>
      </c>
      <c r="S28" s="38" t="inlineStr">
        <is>
          <t xml:space="preserve">An exemption, not a shutdown date. Eskom may apply for more.</t>
        </is>
      </c>
    </row>
    <row r="29" ht="29" customHeight="1">
      <c r="A29" s="38" t="inlineStr">
        <is>
          <t xml:space="preserve">Coal station shutdown</t>
        </is>
      </c>
      <c r="B29" s="38" t="inlineStr">
        <is>
          <t xml:space="preserve">Lethabo</t>
        </is>
      </c>
      <c r="C29" s="38" t="inlineStr">
        <is>
          <t xml:space="preserve"/>
        </is>
      </c>
      <c r="D29" s="38" t="inlineStr">
        <is>
          <t xml:space="preserve">no shutdown date given</t>
        </is>
      </c>
      <c r="E29" s="38" t="inlineStr">
        <is>
          <t xml:space="preserve">Emissions exemption to 31 March 2030</t>
        </is>
      </c>
      <c r="K29" s="38" t="n"/>
      <c r="L29" s="38" t="n"/>
      <c r="M29" s="38" t="n"/>
      <c r="N29" s="38" t="n"/>
      <c r="O29" s="38" t="n"/>
      <c r="P29" s="38" t="inlineStr">
        <is>
          <t xml:space="preserve">From source</t>
        </is>
      </c>
      <c r="Q29" s="38" t="inlineStr">
        <is>
          <t xml:space="preserve">System operator, Medium-Term System Adequacy Outlook 2026-2030 (30 October 2025)</t>
        </is>
      </c>
      <c r="R29" s="38" t="inlineStr">
        <is>
          <t xml:space="preserve">PDF p.19</t>
        </is>
      </c>
      <c r="S29" s="38" t="inlineStr">
        <is>
          <t xml:space="preserve">An exemption, not a shutdown date. Eskom may apply for more.</t>
        </is>
      </c>
    </row>
    <row r="30" ht="29" customHeight="1">
      <c r="A30" s="38" t="inlineStr">
        <is>
          <t xml:space="preserve">Coal station shutdown</t>
        </is>
      </c>
      <c r="B30" s="38" t="inlineStr">
        <is>
          <t xml:space="preserve">Majuba</t>
        </is>
      </c>
      <c r="C30" s="38" t="inlineStr">
        <is>
          <t xml:space="preserve"/>
        </is>
      </c>
      <c r="D30" s="38" t="inlineStr">
        <is>
          <t xml:space="preserve">no shutdown date given</t>
        </is>
      </c>
      <c r="E30" s="38" t="inlineStr">
        <is>
          <t xml:space="preserve">Emissions exemption to 31 March 2030</t>
        </is>
      </c>
      <c r="K30" s="38" t="n"/>
      <c r="L30" s="38" t="n"/>
      <c r="M30" s="38" t="n"/>
      <c r="N30" s="38" t="n"/>
      <c r="O30" s="38" t="n"/>
      <c r="P30" s="38" t="inlineStr">
        <is>
          <t xml:space="preserve">From source</t>
        </is>
      </c>
      <c r="Q30" s="38" t="inlineStr">
        <is>
          <t xml:space="preserve">System operator, Medium-Term System Adequacy Outlook 2026-2030 (30 October 2025)</t>
        </is>
      </c>
      <c r="R30" s="38" t="inlineStr">
        <is>
          <t xml:space="preserve">PDF p.19</t>
        </is>
      </c>
      <c r="S30" s="38" t="inlineStr">
        <is>
          <t xml:space="preserve">An exemption, not a shutdown date. Eskom may apply for more.</t>
        </is>
      </c>
    </row>
    <row r="31" ht="29" customHeight="1">
      <c r="A31" s="38" t="inlineStr">
        <is>
          <t xml:space="preserve">Coal station shutdown</t>
        </is>
      </c>
      <c r="B31" s="38" t="inlineStr">
        <is>
          <t xml:space="preserve">Matimba</t>
        </is>
      </c>
      <c r="C31" s="38" t="inlineStr">
        <is>
          <t xml:space="preserve"/>
        </is>
      </c>
      <c r="D31" s="38" t="inlineStr">
        <is>
          <t xml:space="preserve">no shutdown date given</t>
        </is>
      </c>
      <c r="E31" s="38" t="inlineStr">
        <is>
          <t xml:space="preserve">Emissions exemption to 31 March 2030</t>
        </is>
      </c>
      <c r="K31" s="38" t="n"/>
      <c r="L31" s="38" t="n"/>
      <c r="M31" s="38" t="n"/>
      <c r="N31" s="38" t="n"/>
      <c r="O31" s="38" t="n"/>
      <c r="P31" s="38" t="inlineStr">
        <is>
          <t xml:space="preserve">From source</t>
        </is>
      </c>
      <c r="Q31" s="38" t="inlineStr">
        <is>
          <t xml:space="preserve">System operator, Medium-Term System Adequacy Outlook 2026-2030 (30 October 2025)</t>
        </is>
      </c>
      <c r="R31" s="38" t="inlineStr">
        <is>
          <t xml:space="preserve">PDF p.19</t>
        </is>
      </c>
      <c r="S31" s="38" t="inlineStr">
        <is>
          <t xml:space="preserve">An exemption, not a shutdown date. Eskom may apply for more.</t>
        </is>
      </c>
    </row>
    <row r="32" ht="29" customHeight="1">
      <c r="A32" s="38" t="inlineStr">
        <is>
          <t xml:space="preserve">Coal station shutdown</t>
        </is>
      </c>
      <c r="B32" s="38" t="inlineStr">
        <is>
          <t xml:space="preserve">Medupi</t>
        </is>
      </c>
      <c r="C32" s="38" t="inlineStr">
        <is>
          <t xml:space="preserve"/>
        </is>
      </c>
      <c r="D32" s="38" t="inlineStr">
        <is>
          <t xml:space="preserve">no shutdown date given</t>
        </is>
      </c>
      <c r="E32" s="38" t="inlineStr">
        <is>
          <t xml:space="preserve">Emissions exemption to 31 March 2030</t>
        </is>
      </c>
      <c r="K32" s="38" t="n"/>
      <c r="L32" s="38" t="n"/>
      <c r="M32" s="38" t="n"/>
      <c r="N32" s="38" t="n"/>
      <c r="O32" s="38" t="n"/>
      <c r="P32" s="38" t="inlineStr">
        <is>
          <t xml:space="preserve">From source</t>
        </is>
      </c>
      <c r="Q32" s="38" t="inlineStr">
        <is>
          <t xml:space="preserve">System operator, Medium-Term System Adequacy Outlook 2026-2030 (30 October 2025)</t>
        </is>
      </c>
      <c r="R32" s="38" t="inlineStr">
        <is>
          <t xml:space="preserve">PDF p.19</t>
        </is>
      </c>
      <c r="S32" s="38" t="inlineStr">
        <is>
          <t xml:space="preserve">An exemption, not a shutdown date. Eskom may apply for more.</t>
        </is>
      </c>
    </row>
    <row r="33" ht="29" customHeight="1">
      <c r="A33" s="38" t="inlineStr">
        <is>
          <t xml:space="preserve">Coal station shutdown</t>
        </is>
      </c>
      <c r="B33" s="38" t="inlineStr">
        <is>
          <t xml:space="preserve">Nine coal stations, about 22 GW</t>
        </is>
      </c>
      <c r="C33" s="38" t="inlineStr">
        <is>
          <t xml:space="preserve"/>
        </is>
      </c>
      <c r="D33" s="38" t="inlineStr">
        <is>
          <t xml:space="preserve">by 2035</t>
        </is>
      </c>
      <c r="E33" s="38" t="inlineStr">
        <is>
          <t xml:space="preserve">To be shut down</t>
        </is>
      </c>
      <c r="K33" s="38" t="n"/>
      <c r="L33" s="38" t="n"/>
      <c r="M33" s="38" t="n"/>
      <c r="N33" s="38" t="n"/>
      <c r="O33" s="38" t="n"/>
      <c r="P33" s="38" t="inlineStr">
        <is>
          <t xml:space="preserve">From source</t>
        </is>
      </c>
      <c r="Q33" s="38" t="inlineStr">
        <is>
          <t xml:space="preserve">Eskom, input on emission standards (24 November 2022)</t>
        </is>
      </c>
      <c r="R33" s="38" t="inlineStr">
        <is>
          <t xml:space="preserve">PDF p.12</t>
        </is>
      </c>
      <c r="S33" s="38" t="inlineStr">
        <is>
          <t xml:space="preserve">Eskom's 2035 plan as it stood in 2022, before the shutdowns were delayed.</t>
        </is>
      </c>
    </row>
    <row r="34" ht="29" customHeight="1">
      <c r="A34" s="42" t="inlineStr">
        <is>
          <t xml:space="preserve">Coal stations: last full year used on the Power fleet sheet</t>
        </is>
      </c>
      <c r="B34" s="42" t="inlineStr">
        <is>
          <t xml:space="preserve">Komati</t>
        </is>
      </c>
      <c r="C34" s="42" t="inlineStr">
        <is>
          <t xml:space="preserve">last full year</t>
        </is>
      </c>
      <c r="D34" s="42" t="inlineStr">
        <is>
          <t xml:space="preserve"/>
        </is>
      </c>
      <c r="E34" s="42" t="n">
        <v>2022</v>
      </c>
      <c r="K34" s="42" t="n"/>
      <c r="L34" s="42" t="n"/>
      <c r="M34" s="42" t="n"/>
      <c r="N34" s="42" t="n"/>
      <c r="O34" s="42" t="n"/>
      <c r="P34" s="42" t="inlineStr">
        <is>
          <t xml:space="preserve">Calculated</t>
        </is>
      </c>
      <c r="Q34" s="42" t="inlineStr">
        <is>
          <t xml:space="preserve">Read from the shutdown dates above</t>
        </is>
      </c>
      <c r="R34" s="42" t="inlineStr">
        <is>
          <t xml:space="preserve"/>
        </is>
      </c>
      <c r="S34" s="42" t="inlineStr">
        <is>
          <t xml:space="preserve">Eskom's decision on five of them, due end September 2026, had not been announced by 8 October.</t>
        </is>
      </c>
    </row>
    <row r="35" ht="29" customHeight="1">
      <c r="A35" s="42" t="inlineStr">
        <is>
          <t xml:space="preserve">Coal stations: last full year used on the Power fleet sheet</t>
        </is>
      </c>
      <c r="B35" s="42" t="inlineStr">
        <is>
          <t xml:space="preserve">Camden</t>
        </is>
      </c>
      <c r="C35" s="42" t="inlineStr">
        <is>
          <t xml:space="preserve">last full year</t>
        </is>
      </c>
      <c r="D35" s="42" t="inlineStr">
        <is>
          <t xml:space="preserve"/>
        </is>
      </c>
      <c r="E35" s="42" t="n">
        <v>2029</v>
      </c>
      <c r="K35" s="42" t="n"/>
      <c r="L35" s="42" t="n"/>
      <c r="M35" s="42" t="n"/>
      <c r="N35" s="42" t="n"/>
      <c r="O35" s="42" t="n"/>
      <c r="P35" s="42" t="inlineStr">
        <is>
          <t xml:space="preserve">Calculated</t>
        </is>
      </c>
      <c r="Q35" s="42" t="inlineStr">
        <is>
          <t xml:space="preserve">Read from the shutdown dates above</t>
        </is>
      </c>
      <c r="R35" s="42" t="inlineStr">
        <is>
          <t xml:space="preserve"/>
        </is>
      </c>
      <c r="S35" s="42" t="inlineStr">
        <is>
          <t xml:space="preserve">Eskom's decision on five of them, due end September 2026, had not been announced by 8 October.</t>
        </is>
      </c>
    </row>
    <row r="36" ht="29" customHeight="1">
      <c r="A36" s="42" t="inlineStr">
        <is>
          <t xml:space="preserve">Coal stations: last full year used on the Power fleet sheet</t>
        </is>
      </c>
      <c r="B36" s="42" t="inlineStr">
        <is>
          <t xml:space="preserve">Grootvlei</t>
        </is>
      </c>
      <c r="C36" s="42" t="inlineStr">
        <is>
          <t xml:space="preserve">last full year</t>
        </is>
      </c>
      <c r="D36" s="42" t="inlineStr">
        <is>
          <t xml:space="preserve"/>
        </is>
      </c>
      <c r="E36" s="42" t="n">
        <v>2029</v>
      </c>
      <c r="K36" s="42" t="n"/>
      <c r="L36" s="42" t="n"/>
      <c r="M36" s="42" t="n"/>
      <c r="N36" s="42" t="n"/>
      <c r="O36" s="42" t="n"/>
      <c r="P36" s="42" t="inlineStr">
        <is>
          <t xml:space="preserve">Calculated</t>
        </is>
      </c>
      <c r="Q36" s="42" t="inlineStr">
        <is>
          <t xml:space="preserve">Read from the shutdown dates above</t>
        </is>
      </c>
      <c r="R36" s="42" t="inlineStr">
        <is>
          <t xml:space="preserve"/>
        </is>
      </c>
      <c r="S36" s="42" t="inlineStr">
        <is>
          <t xml:space="preserve">Eskom's decision on five of them, due end September 2026, had not been announced by 8 October.</t>
        </is>
      </c>
    </row>
    <row r="37" ht="29" customHeight="1">
      <c r="A37" s="42" t="inlineStr">
        <is>
          <t xml:space="preserve">Coal stations: last full year used on the Power fleet sheet</t>
        </is>
      </c>
      <c r="B37" s="42" t="inlineStr">
        <is>
          <t xml:space="preserve">Hendrina</t>
        </is>
      </c>
      <c r="C37" s="42" t="inlineStr">
        <is>
          <t xml:space="preserve">last full year</t>
        </is>
      </c>
      <c r="D37" s="42" t="inlineStr">
        <is>
          <t xml:space="preserve"/>
        </is>
      </c>
      <c r="E37" s="42" t="n">
        <v>2029</v>
      </c>
      <c r="K37" s="42" t="n"/>
      <c r="L37" s="42" t="n"/>
      <c r="M37" s="42" t="n"/>
      <c r="N37" s="42" t="n"/>
      <c r="O37" s="42" t="n"/>
      <c r="P37" s="42" t="inlineStr">
        <is>
          <t xml:space="preserve">Calculated</t>
        </is>
      </c>
      <c r="Q37" s="42" t="inlineStr">
        <is>
          <t xml:space="preserve">Read from the shutdown dates above</t>
        </is>
      </c>
      <c r="R37" s="42" t="inlineStr">
        <is>
          <t xml:space="preserve"/>
        </is>
      </c>
      <c r="S37" s="42" t="inlineStr">
        <is>
          <t xml:space="preserve">Eskom's decision on five of them, due end September 2026, had not been announced by 8 October.</t>
        </is>
      </c>
    </row>
    <row r="38" ht="29" customHeight="1">
      <c r="A38" s="42" t="inlineStr">
        <is>
          <t xml:space="preserve">Coal stations: last full year used on the Power fleet sheet</t>
        </is>
      </c>
      <c r="B38" s="42" t="inlineStr">
        <is>
          <t xml:space="preserve">Arnot</t>
        </is>
      </c>
      <c r="C38" s="42" t="inlineStr">
        <is>
          <t xml:space="preserve">last full year</t>
        </is>
      </c>
      <c r="D38" s="42" t="inlineStr">
        <is>
          <t xml:space="preserve"/>
        </is>
      </c>
      <c r="E38" s="42" t="n">
        <v>2029</v>
      </c>
      <c r="K38" s="42" t="n"/>
      <c r="L38" s="42" t="n"/>
      <c r="M38" s="42" t="n"/>
      <c r="N38" s="42" t="n"/>
      <c r="O38" s="42" t="n"/>
      <c r="P38" s="42" t="inlineStr">
        <is>
          <t xml:space="preserve">Calculated</t>
        </is>
      </c>
      <c r="Q38" s="42" t="inlineStr">
        <is>
          <t xml:space="preserve">Read from the shutdown dates above</t>
        </is>
      </c>
      <c r="R38" s="42" t="inlineStr">
        <is>
          <t xml:space="preserve"/>
        </is>
      </c>
      <c r="S38" s="42" t="inlineStr">
        <is>
          <t xml:space="preserve">Eskom's decision on five of them, due end September 2026, had not been announced by 8 October.</t>
        </is>
      </c>
    </row>
    <row r="39" ht="29" customHeight="1">
      <c r="A39" s="42" t="inlineStr">
        <is>
          <t xml:space="preserve">Coal stations: last full year used on the Power fleet sheet</t>
        </is>
      </c>
      <c r="B39" s="42" t="inlineStr">
        <is>
          <t xml:space="preserve">Kriel</t>
        </is>
      </c>
      <c r="C39" s="42" t="inlineStr">
        <is>
          <t xml:space="preserve">last full year</t>
        </is>
      </c>
      <c r="D39" s="42" t="inlineStr">
        <is>
          <t xml:space="preserve"/>
        </is>
      </c>
      <c r="E39" s="42" t="n">
        <v>2029</v>
      </c>
      <c r="K39" s="42" t="n"/>
      <c r="L39" s="42" t="n"/>
      <c r="M39" s="42" t="n"/>
      <c r="N39" s="42" t="n"/>
      <c r="O39" s="42" t="n"/>
      <c r="P39" s="42" t="inlineStr">
        <is>
          <t xml:space="preserve">Calculated</t>
        </is>
      </c>
      <c r="Q39" s="42" t="inlineStr">
        <is>
          <t xml:space="preserve">Read from the shutdown dates above</t>
        </is>
      </c>
      <c r="R39" s="42" t="inlineStr">
        <is>
          <t xml:space="preserve"/>
        </is>
      </c>
      <c r="S39" s="42" t="inlineStr">
        <is>
          <t xml:space="preserve">Eskom's decision on five of them, due end September 2026, had not been announced by 8 October.</t>
        </is>
      </c>
    </row>
    <row r="40" ht="29" customHeight="1">
      <c r="A40" s="42" t="inlineStr">
        <is>
          <t xml:space="preserve">Coal stations: last full year used on the Power fleet sheet</t>
        </is>
      </c>
      <c r="B40" s="42" t="inlineStr">
        <is>
          <t xml:space="preserve">Duvha</t>
        </is>
      </c>
      <c r="C40" s="42" t="inlineStr">
        <is>
          <t xml:space="preserve">last full year</t>
        </is>
      </c>
      <c r="D40" s="42" t="inlineStr">
        <is>
          <t xml:space="preserve"/>
        </is>
      </c>
      <c r="E40" s="42" t="n">
        <v>2033</v>
      </c>
      <c r="K40" s="42" t="n"/>
      <c r="L40" s="42" t="n"/>
      <c r="M40" s="42" t="n"/>
      <c r="N40" s="42" t="n"/>
      <c r="O40" s="42" t="n"/>
      <c r="P40" s="42" t="inlineStr">
        <is>
          <t xml:space="preserve">Calculated</t>
        </is>
      </c>
      <c r="Q40" s="42" t="inlineStr">
        <is>
          <t xml:space="preserve">Read from the shutdown dates above</t>
        </is>
      </c>
      <c r="R40" s="42" t="inlineStr">
        <is>
          <t xml:space="preserve"/>
        </is>
      </c>
      <c r="S40" s="42" t="inlineStr">
        <is>
          <t xml:space="preserve">Eskom's decision on five of them, due end September 2026, had not been announced by 8 October.</t>
        </is>
      </c>
    </row>
    <row r="41" ht="29" customHeight="1">
      <c r="A41" s="42" t="inlineStr">
        <is>
          <t xml:space="preserve">Coal stations: last full year used on the Power fleet sheet</t>
        </is>
      </c>
      <c r="B41" s="42" t="inlineStr">
        <is>
          <t xml:space="preserve">Matla</t>
        </is>
      </c>
      <c r="C41" s="42" t="inlineStr">
        <is>
          <t xml:space="preserve">last full year</t>
        </is>
      </c>
      <c r="D41" s="42" t="inlineStr">
        <is>
          <t xml:space="preserve"/>
        </is>
      </c>
      <c r="E41" s="42" t="n">
        <v>2033</v>
      </c>
      <c r="K41" s="42" t="n"/>
      <c r="L41" s="42" t="n"/>
      <c r="M41" s="42" t="n"/>
      <c r="N41" s="42" t="n"/>
      <c r="O41" s="42" t="n"/>
      <c r="P41" s="42" t="inlineStr">
        <is>
          <t xml:space="preserve">Calculated</t>
        </is>
      </c>
      <c r="Q41" s="42" t="inlineStr">
        <is>
          <t xml:space="preserve">Read from the shutdown dates above</t>
        </is>
      </c>
      <c r="R41" s="42" t="inlineStr">
        <is>
          <t xml:space="preserve"/>
        </is>
      </c>
      <c r="S41" s="42" t="inlineStr">
        <is>
          <t xml:space="preserve">Eskom's decision on five of them, due end September 2026, had not been announced by 8 October.</t>
        </is>
      </c>
    </row>
    <row r="42" ht="29" customHeight="1">
      <c r="A42" s="38" t="inlineStr">
        <is>
          <t xml:space="preserve">Independent diesel plants: contract end</t>
        </is>
      </c>
      <c r="B42" s="38" t="inlineStr">
        <is>
          <t xml:space="preserve">Dedisa</t>
        </is>
      </c>
      <c r="C42" s="38" t="inlineStr">
        <is>
          <t xml:space="preserve"/>
        </is>
      </c>
      <c r="D42" s="38" t="inlineStr">
        <is>
          <t xml:space="preserve">August or September 2030</t>
        </is>
      </c>
      <c r="E42" s="38" t="inlineStr">
        <is>
          <t xml:space="preserve">Contract expires</t>
        </is>
      </c>
      <c r="K42" s="38" t="n"/>
      <c r="L42" s="38" t="n"/>
      <c r="M42" s="38" t="n"/>
      <c r="N42" s="38" t="n"/>
      <c r="O42" s="38" t="n"/>
      <c r="P42" s="38" t="inlineStr">
        <is>
          <t xml:space="preserve">From source</t>
        </is>
      </c>
      <c r="Q42" s="38" t="inlineStr">
        <is>
          <t xml:space="preserve">System operator, Medium-Term System Adequacy Outlook 2026-2030 (30 October 2025)</t>
        </is>
      </c>
      <c r="R42" s="38" t="inlineStr">
        <is>
          <t xml:space="preserve">PDF p.22</t>
        </is>
      </c>
      <c r="S42" s="38" t="inlineStr">
        <is>
          <t xml:space="preserve">The department's two diesel peaking plants. The outlook gives August and September 2030 for Dedisa and Avon together.</t>
        </is>
      </c>
    </row>
    <row r="43" ht="29" customHeight="1">
      <c r="A43" s="38" t="inlineStr">
        <is>
          <t xml:space="preserve">Independent diesel plants: contract end</t>
        </is>
      </c>
      <c r="B43" s="38" t="inlineStr">
        <is>
          <t xml:space="preserve">Avon</t>
        </is>
      </c>
      <c r="C43" s="38" t="inlineStr">
        <is>
          <t xml:space="preserve"/>
        </is>
      </c>
      <c r="D43" s="38" t="inlineStr">
        <is>
          <t xml:space="preserve">August or September 2030</t>
        </is>
      </c>
      <c r="E43" s="38" t="inlineStr">
        <is>
          <t xml:space="preserve">Contract expires</t>
        </is>
      </c>
      <c r="K43" s="38" t="n"/>
      <c r="L43" s="38" t="n"/>
      <c r="M43" s="38" t="n"/>
      <c r="N43" s="38" t="n"/>
      <c r="O43" s="38" t="n"/>
      <c r="P43" s="38" t="inlineStr">
        <is>
          <t xml:space="preserve">From source</t>
        </is>
      </c>
      <c r="Q43" s="38" t="inlineStr">
        <is>
          <t xml:space="preserve">System operator, Medium-Term System Adequacy Outlook 2026-2030 (30 October 2025)</t>
        </is>
      </c>
      <c r="R43" s="38" t="inlineStr">
        <is>
          <t xml:space="preserve">PDF p.22</t>
        </is>
      </c>
      <c r="S43" s="38" t="inlineStr">
        <is>
          <t xml:space="preserve">The department's two diesel peaking plants. The outlook gives August and September 2030 for Dedisa and Avon together.</t>
        </is>
      </c>
    </row>
    <row r="44" ht="29" customHeight="1">
      <c r="A44" s="38" t="inlineStr">
        <is>
          <t xml:space="preserve">Kerosene stations: shutdown</t>
        </is>
      </c>
      <c r="B44" s="38" t="inlineStr">
        <is>
          <t xml:space="preserve">Acacia</t>
        </is>
      </c>
      <c r="C44" s="38" t="inlineStr">
        <is>
          <t xml:space="preserve"/>
        </is>
      </c>
      <c r="D44" s="38" t="inlineStr">
        <is>
          <t xml:space="preserve">2030</t>
        </is>
      </c>
      <c r="E44" s="38" t="inlineStr">
        <is>
          <t xml:space="preserve">Scheduled for shutdown</t>
        </is>
      </c>
      <c r="K44" s="38" t="n"/>
      <c r="L44" s="38" t="n"/>
      <c r="M44" s="38" t="n"/>
      <c r="N44" s="38" t="n"/>
      <c r="O44" s="38" t="n"/>
      <c r="P44" s="38" t="inlineStr">
        <is>
          <t xml:space="preserve">From source</t>
        </is>
      </c>
      <c r="Q44" s="38" t="inlineStr">
        <is>
          <t xml:space="preserve">System operator, Medium-Term System Adequacy Outlook 2026-2030 (30 October 2025)</t>
        </is>
      </c>
      <c r="R44" s="38" t="inlineStr">
        <is>
          <t xml:space="preserve">PDF p.18</t>
        </is>
      </c>
      <c r="S44" s="38" t="inlineStr">
        <is>
          <t xml:space="preserve"/>
        </is>
      </c>
    </row>
    <row r="45" ht="29" customHeight="1">
      <c r="A45" s="38" t="inlineStr">
        <is>
          <t xml:space="preserve">Kerosene stations: shutdown</t>
        </is>
      </c>
      <c r="B45" s="38" t="inlineStr">
        <is>
          <t xml:space="preserve">Port Rex</t>
        </is>
      </c>
      <c r="C45" s="38" t="inlineStr">
        <is>
          <t xml:space="preserve"/>
        </is>
      </c>
      <c r="D45" s="38" t="inlineStr">
        <is>
          <t xml:space="preserve">2030</t>
        </is>
      </c>
      <c r="E45" s="38" t="inlineStr">
        <is>
          <t xml:space="preserve">Scheduled for shutdown</t>
        </is>
      </c>
      <c r="K45" s="38" t="n"/>
      <c r="L45" s="38" t="n"/>
      <c r="M45" s="38" t="n"/>
      <c r="N45" s="38" t="n"/>
      <c r="O45" s="38" t="n"/>
      <c r="P45" s="38" t="inlineStr">
        <is>
          <t xml:space="preserve">From source</t>
        </is>
      </c>
      <c r="Q45" s="38" t="inlineStr">
        <is>
          <t xml:space="preserve">System operator, Medium-Term System Adequacy Outlook 2026-2030 (30 October 2025)</t>
        </is>
      </c>
      <c r="R45" s="38" t="inlineStr">
        <is>
          <t xml:space="preserve">PDF p.18</t>
        </is>
      </c>
      <c r="S45" s="38" t="inlineStr">
        <is>
          <t xml:space="preserve"/>
        </is>
      </c>
    </row>
    <row r="46" ht="29" customHeight="1">
      <c r="A46" s="38" t="inlineStr">
        <is>
          <t xml:space="preserve">New gas plant: commissioning</t>
        </is>
      </c>
      <c r="B46" s="38" t="inlineStr">
        <is>
          <t xml:space="preserve">Eskom combined-cycle gas turbines</t>
        </is>
      </c>
      <c r="C46" s="38" t="inlineStr">
        <is>
          <t xml:space="preserve">GW</t>
        </is>
      </c>
      <c r="D46" s="38" t="inlineStr">
        <is>
          <t xml:space="preserve">2030</t>
        </is>
      </c>
      <c r="E46" s="41" t="n">
        <v>3</v>
      </c>
      <c r="K46" s="38" t="n"/>
      <c r="L46" s="38" t="n"/>
      <c r="M46" s="38" t="n"/>
      <c r="N46" s="38" t="n"/>
      <c r="O46" s="38" t="n"/>
      <c r="P46" s="38" t="inlineStr">
        <is>
          <t xml:space="preserve">From source</t>
        </is>
      </c>
      <c r="Q46" s="38" t="inlineStr">
        <is>
          <t xml:space="preserve">System operator, Medium-Term System Adequacy Outlook 2026-2030 (30 October 2025)</t>
        </is>
      </c>
      <c r="R46" s="38" t="inlineStr">
        <is>
          <t xml:space="preserve">PDF p.25</t>
        </is>
      </c>
      <c r="S46" s="38" t="inlineStr">
        <is>
          <t xml:space="preserve">Assumed, not in construction. The outlook studies a delay beyond 2030 as a risk.</t>
        </is>
      </c>
    </row>
    <row r="47" ht="42.5" customHeight="1">
      <c r="A47" s="38" t="inlineStr">
        <is>
          <t xml:space="preserve">New gas plant: commissioning</t>
        </is>
      </c>
      <c r="B47" s="38" t="inlineStr">
        <is>
          <t xml:space="preserve">Independent producers' combined-cycle gas turbines (gas bid windows 1 and 2)</t>
        </is>
      </c>
      <c r="C47" s="38" t="inlineStr">
        <is>
          <t xml:space="preserve">GW</t>
        </is>
      </c>
      <c r="D47" s="38" t="inlineStr">
        <is>
          <t xml:space="preserve">2030</t>
        </is>
      </c>
      <c r="E47" s="41" t="n">
        <v>3</v>
      </c>
      <c r="K47" s="38" t="n"/>
      <c r="L47" s="38" t="n"/>
      <c r="M47" s="38" t="n"/>
      <c r="N47" s="38" t="n"/>
      <c r="O47" s="38" t="n"/>
      <c r="P47" s="38" t="inlineStr">
        <is>
          <t xml:space="preserve">From source</t>
        </is>
      </c>
      <c r="Q47" s="38" t="inlineStr">
        <is>
          <t xml:space="preserve">System operator, Medium-Term System Adequacy Outlook 2026-2030 (30 October 2025)</t>
        </is>
      </c>
      <c r="R47" s="38" t="inlineStr">
        <is>
          <t xml:space="preserve">PDF p.25</t>
        </is>
      </c>
      <c r="S47" s="38" t="inlineStr">
        <is>
          <t xml:space="preserve">Assumed, not in construction. The outlook studies a delay beyond 2030 as a risk.</t>
        </is>
      </c>
    </row>
    <row r="48" ht="29" customHeight="1">
      <c r="A48" s="38" t="inlineStr">
        <is>
          <t xml:space="preserve">Diesel turbine use expected by the system operator</t>
        </is>
      </c>
      <c r="B48" s="38" t="inlineStr">
        <is>
          <t xml:space="preserve">Diesel turbines (Ankerlig, Gourikwa, Dedisa, Avon)</t>
        </is>
      </c>
      <c r="C48" s="38" t="inlineStr">
        <is>
          <t xml:space="preserve"/>
        </is>
      </c>
      <c r="D48" s="38" t="inlineStr">
        <is>
          <t xml:space="preserve">2026-2030</t>
        </is>
      </c>
      <c r="E48" s="38" t="inlineStr">
        <is>
          <t xml:space="preserve">Minimal, below 6% in most cases; higher in 2029, and in 2030 if the gas plant is late</t>
        </is>
      </c>
      <c r="K48" s="38" t="n"/>
      <c r="L48" s="38" t="n"/>
      <c r="M48" s="38" t="n"/>
      <c r="N48" s="38" t="n"/>
      <c r="O48" s="38" t="n"/>
      <c r="P48" s="38" t="inlineStr">
        <is>
          <t xml:space="preserve">From source</t>
        </is>
      </c>
      <c r="Q48" s="38" t="inlineStr">
        <is>
          <t xml:space="preserve">System operator, Medium-Term System Adequacy Outlook 2026-2030 (30 October 2025)</t>
        </is>
      </c>
      <c r="R48" s="38" t="inlineStr">
        <is>
          <t xml:space="preserve">PDF p.35</t>
        </is>
      </c>
      <c r="S48" s="38" t="inlineStr">
        <is>
          <t xml:space="preserve">The system operator's own modelling.</t>
        </is>
      </c>
    </row>
    <row r="49" ht="42.5" customHeight="1">
      <c r="A49" s="38" t="inlineStr">
        <is>
          <t xml:space="preserve">Coal capacity shutting down</t>
        </is>
      </c>
      <c r="B49" s="38" t="inlineStr">
        <is>
          <t xml:space="preserve">Eskom coal fleet</t>
        </is>
      </c>
      <c r="C49" s="38" t="inlineStr">
        <is>
          <t xml:space="preserve">GW</t>
        </is>
      </c>
      <c r="D49" s="38" t="inlineStr">
        <is>
          <t xml:space="preserve">2029</t>
        </is>
      </c>
      <c r="E49" s="47" t="n">
        <v>5.26</v>
      </c>
      <c r="K49" s="38" t="n"/>
      <c r="L49" s="38" t="n"/>
      <c r="M49" s="38" t="n"/>
      <c r="N49" s="38" t="n"/>
      <c r="O49" s="38" t="n"/>
      <c r="P49" s="38" t="inlineStr">
        <is>
          <t xml:space="preserve">From source</t>
        </is>
      </c>
      <c r="Q49" s="38" t="inlineStr">
        <is>
          <t xml:space="preserve">System operator, Medium-Term System Adequacy Outlook 2026-2030 (30 October 2025)</t>
        </is>
      </c>
      <c r="R49" s="38" t="inlineStr">
        <is>
          <t xml:space="preserve">PDF p.18</t>
        </is>
      </c>
      <c r="S49" s="38" t="inlineStr">
        <is>
          <t xml:space="preserve">Camden, Hendrina, Arnot, Grootvlei and Kriel run to the end of 2028; phased shutdown from 2029. Eskom's coal fleet falls from 40.1 GW to 31.7 GW.</t>
        </is>
      </c>
    </row>
    <row r="50" ht="42.5" customHeight="1">
      <c r="A50" s="38" t="inlineStr">
        <is>
          <t xml:space="preserve">Coal capacity shutting down</t>
        </is>
      </c>
      <c r="B50" s="38" t="inlineStr">
        <is>
          <t xml:space="preserve">Eskom coal fleet</t>
        </is>
      </c>
      <c r="C50" s="38" t="inlineStr">
        <is>
          <t xml:space="preserve">GW</t>
        </is>
      </c>
      <c r="D50" s="38" t="inlineStr">
        <is>
          <t xml:space="preserve">2030, by March</t>
        </is>
      </c>
      <c r="E50" s="47" t="n">
        <v>3.14</v>
      </c>
      <c r="K50" s="38" t="n"/>
      <c r="L50" s="38" t="n"/>
      <c r="M50" s="38" t="n"/>
      <c r="N50" s="38" t="n"/>
      <c r="O50" s="38" t="n"/>
      <c r="P50" s="38" t="inlineStr">
        <is>
          <t xml:space="preserve">From source</t>
        </is>
      </c>
      <c r="Q50" s="38" t="inlineStr">
        <is>
          <t xml:space="preserve">System operator, Medium-Term System Adequacy Outlook 2026-2030 (30 October 2025)</t>
        </is>
      </c>
      <c r="R50" s="38" t="inlineStr">
        <is>
          <t xml:space="preserve">PDF p.18</t>
        </is>
      </c>
      <c r="S50" s="38" t="inlineStr">
        <is>
          <t xml:space="preserve">Camden, Hendrina, Arnot, Grootvlei and Kriel run to the end of 2028; phased shutdown from 2029. Eskom's coal fleet falls from 40.1 GW to 31.7 GW.</t>
        </is>
      </c>
    </row>
    <row r="51" ht="29" customHeight="1">
      <c r="A51" s="38" t="inlineStr">
        <is>
          <t xml:space="preserve">New gas plant, by project</t>
        </is>
      </c>
      <c r="B51" s="38" t="inlineStr">
        <is>
          <t xml:space="preserve">Eskom, Richards Bay combined-cycle plant (3,000 MW)</t>
        </is>
      </c>
      <c r="C51" s="38" t="inlineStr">
        <is>
          <t xml:space="preserve"/>
        </is>
      </c>
      <c r="D51" s="38" t="inlineStr">
        <is>
          <t xml:space="preserve">not beyond 2028</t>
        </is>
      </c>
      <c r="E51" s="38" t="inlineStr">
        <is>
          <t xml:space="preserve">Minister's determination: connect as soon as possible and not beyond 2028</t>
        </is>
      </c>
      <c r="K51" s="38" t="n"/>
      <c r="L51" s="38" t="n"/>
      <c r="M51" s="38" t="n"/>
      <c r="N51" s="38" t="n"/>
      <c r="O51" s="38" t="n"/>
      <c r="P51" s="38" t="inlineStr">
        <is>
          <t xml:space="preserve">From source</t>
        </is>
      </c>
      <c r="Q51" s="38" t="inlineStr">
        <is>
          <t xml:space="preserve">NERSA, reasons for decision on the 3,000 MW gas determination (November 2024)</t>
        </is>
      </c>
      <c r="R51" s="38" t="inlineStr">
        <is>
          <t xml:space="preserve">PDF pp.1, 11</t>
        </is>
      </c>
      <c r="S51" s="38" t="inlineStr">
        <is>
          <t xml:space="preserve">Eskom's feasibility study had all four units commissioned by the end of 2028 (p.49). The system operator now assumes 2030.</t>
        </is>
      </c>
    </row>
    <row r="52" ht="42.5" customHeight="1">
      <c r="A52" s="38" t="inlineStr">
        <is>
          <t xml:space="preserve">New gas plant, by project</t>
        </is>
      </c>
      <c r="B52" s="38" t="inlineStr">
        <is>
          <t xml:space="preserve">Independent producers, gas bid window 1 (2,000 MW)</t>
        </is>
      </c>
      <c r="C52" s="38" t="inlineStr">
        <is>
          <t xml:space="preserve"/>
        </is>
      </c>
      <c r="D52" s="38" t="inlineStr">
        <is>
          <t xml:space="preserve">request for proposals issued 14 December 2023</t>
        </is>
      </c>
      <c r="E52" s="38" t="inlineStr">
        <is>
          <t xml:space="preserve">No bidder appointed; no commissioning date</t>
        </is>
      </c>
      <c r="K52" s="38" t="n"/>
      <c r="L52" s="38" t="n"/>
      <c r="M52" s="38" t="n"/>
      <c r="N52" s="38" t="n"/>
      <c r="O52" s="38" t="n"/>
      <c r="P52" s="38" t="inlineStr">
        <is>
          <t xml:space="preserve">From source</t>
        </is>
      </c>
      <c r="Q52" s="38" t="inlineStr">
        <is>
          <t xml:space="preserve">Independent Power Producers Office, gas programme site</t>
        </is>
      </c>
      <c r="R52" s="38" t="inlineStr">
        <is>
          <t xml:space="preserve"/>
        </is>
      </c>
      <c r="S52" s="38" t="inlineStr">
        <is>
          <t xml:space="preserve">Sites anywhere in the country except Coega, which has a separate process. Bids closed on 29 May 2026: see the rows below.</t>
        </is>
      </c>
    </row>
    <row r="53" ht="56" customHeight="1">
      <c r="A53" s="38" t="inlineStr">
        <is>
          <t xml:space="preserve">New gas plant, by project</t>
        </is>
      </c>
      <c r="B53" s="38" t="inlineStr">
        <is>
          <t xml:space="preserve">Eskom, Richards Bay combined-cycle plant (3,000 MW)</t>
        </is>
      </c>
      <c r="C53" s="38" t="inlineStr">
        <is>
          <t xml:space="preserve"/>
        </is>
      </c>
      <c r="D53" s="38" t="inlineStr">
        <is>
          <t xml:space="preserve">from 2031</t>
        </is>
      </c>
      <c r="E53" s="38" t="inlineStr">
        <is>
          <t xml:space="preserve">Eskom plans to begin producing electricity from 2031</t>
        </is>
      </c>
      <c r="K53" s="38" t="n"/>
      <c r="L53" s="38" t="n"/>
      <c r="M53" s="38" t="n"/>
      <c r="N53" s="38" t="n"/>
      <c r="O53" s="38" t="n"/>
      <c r="P53" s="38" t="inlineStr">
        <is>
          <t xml:space="preserve">From source</t>
        </is>
      </c>
      <c r="Q53" s="38" t="inlineStr">
        <is>
          <t xml:space="preserve">Engineering News, 5 June 2026, reporting Eskom and the Independent Power Producers Office</t>
        </is>
      </c>
      <c r="R53" s="38" t="inlineStr">
        <is>
          <t xml:space="preserve"/>
        </is>
      </c>
      <c r="S53" s="38" t="inlineStr">
        <is>
          <t xml:space="preserve">Three years after the determination's 2028 and a year after the system operator's 2030. The environmental assessment must be redone: the Supreme Court of Appeal set the authorisation aside in 2025. A press report of Eskom's statement.</t>
        </is>
      </c>
    </row>
    <row r="54" ht="29" customHeight="1">
      <c r="A54" s="38" t="inlineStr">
        <is>
          <t xml:space="preserve">New gas plant, by project</t>
        </is>
      </c>
      <c r="B54" s="38" t="inlineStr">
        <is>
          <t xml:space="preserve">Eskom, Richards Bay plant: gas supply</t>
        </is>
      </c>
      <c r="C54" s="38" t="inlineStr">
        <is>
          <t xml:space="preserve"/>
        </is>
      </c>
      <c r="D54" s="38" t="inlineStr">
        <is>
          <t xml:space="preserve">5 June 2026</t>
        </is>
      </c>
      <c r="E54" s="38" t="inlineStr">
        <is>
          <t xml:space="preserve">Heads of agreement signed with Zululand Energy Terminal; Eskom is foundation customer of the proposed import terminal at Richards Bay</t>
        </is>
      </c>
      <c r="K54" s="38" t="n"/>
      <c r="L54" s="38" t="n"/>
      <c r="M54" s="38" t="n"/>
      <c r="N54" s="38" t="n"/>
      <c r="O54" s="38" t="n"/>
      <c r="P54" s="38" t="inlineStr">
        <is>
          <t xml:space="preserve">From source</t>
        </is>
      </c>
      <c r="Q54" s="38" t="inlineStr">
        <is>
          <t xml:space="preserve">Eskom and Zululand Energy Terminal, joint media statement, 5 June 2026</t>
        </is>
      </c>
      <c r="R54" s="38" t="inlineStr">
        <is>
          <t xml:space="preserve"/>
        </is>
      </c>
      <c r="S54" s="38" t="inlineStr">
        <is>
          <t xml:space="preserve">The terminal is not built and the statement gives no date for it or for the plant.</t>
        </is>
      </c>
    </row>
    <row r="55" ht="42.5" customHeight="1">
      <c r="A55" s="38" t="inlineStr">
        <is>
          <t xml:space="preserve">New gas plant, by project</t>
        </is>
      </c>
      <c r="B55" s="38" t="inlineStr">
        <is>
          <t xml:space="preserve">Independent producers, gas bid window 1: bids</t>
        </is>
      </c>
      <c r="C55" s="38" t="inlineStr">
        <is>
          <t xml:space="preserve"/>
        </is>
      </c>
      <c r="D55" s="38" t="inlineStr">
        <is>
          <t xml:space="preserve">bids closed 29 May 2026</t>
        </is>
      </c>
      <c r="E55" s="38" t="inlineStr">
        <is>
          <t xml:space="preserve">Four bids, 2,830 MW against 2,000 MW sought</t>
        </is>
      </c>
      <c r="K55" s="38" t="n"/>
      <c r="L55" s="38" t="n"/>
      <c r="M55" s="38" t="n"/>
      <c r="N55" s="38" t="n"/>
      <c r="O55" s="38" t="n"/>
      <c r="P55" s="38" t="inlineStr">
        <is>
          <t xml:space="preserve">From source</t>
        </is>
      </c>
      <c r="Q55" s="38" t="inlineStr">
        <is>
          <t xml:space="preserve">Independent Power Producers Office, list of bids received on 29 May 2026 (published by the Development Bank of Southern Africa)</t>
        </is>
      </c>
      <c r="R55" s="38" t="inlineStr">
        <is>
          <t xml:space="preserve">PDF p.1</t>
        </is>
      </c>
      <c r="S55" s="38" t="inlineStr">
        <is>
          <t xml:space="preserve">No preferred bidder named. The evaluation was not concluded at 7 October 2026 (Engineering News, reporting the Minister).</t>
        </is>
      </c>
    </row>
    <row r="56" ht="42.5" customHeight="1">
      <c r="A56" s="38" t="inlineStr">
        <is>
          <t xml:space="preserve">New gas plant, by project</t>
        </is>
      </c>
      <c r="B56" s="38" t="inlineStr">
        <is>
          <t xml:space="preserve">Khanyazwe Flexpower (FlexED), Mpumalanga</t>
        </is>
      </c>
      <c r="C56" s="38" t="inlineStr">
        <is>
          <t xml:space="preserve"/>
        </is>
      </c>
      <c r="D56" s="38" t="inlineStr">
        <is>
          <t xml:space="preserve">bid of 29 May 2026</t>
        </is>
      </c>
      <c r="E56" s="38" t="inlineStr">
        <is>
          <t xml:space="preserve">440 MW, liquefied natural gas</t>
        </is>
      </c>
      <c r="K56" s="38" t="n"/>
      <c r="L56" s="38" t="n"/>
      <c r="M56" s="38" t="n"/>
      <c r="N56" s="38" t="n"/>
      <c r="O56" s="38" t="n"/>
      <c r="P56" s="38" t="inlineStr">
        <is>
          <t xml:space="preserve">From source</t>
        </is>
      </c>
      <c r="Q56" s="38" t="inlineStr">
        <is>
          <t xml:space="preserve">Independent Power Producers Office, list of bids received on 29 May 2026 (published by the Development Bank of Southern Africa)</t>
        </is>
      </c>
      <c r="R56" s="38" t="inlineStr">
        <is>
          <t xml:space="preserve">PDF p.1</t>
        </is>
      </c>
      <c r="S56" s="38" t="inlineStr">
        <is>
          <t xml:space="preserve">A bid, not an award. No commissioning date is published for it.</t>
        </is>
      </c>
    </row>
    <row r="57" ht="42.5" customHeight="1">
      <c r="A57" s="38" t="inlineStr">
        <is>
          <t xml:space="preserve">New gas plant, by project</t>
        </is>
      </c>
      <c r="B57" s="38" t="inlineStr">
        <is>
          <t xml:space="preserve">Acwa (listed as the Pictor consortium), KwaZulu-Natal</t>
        </is>
      </c>
      <c r="C57" s="38" t="inlineStr">
        <is>
          <t xml:space="preserve"/>
        </is>
      </c>
      <c r="D57" s="38" t="inlineStr">
        <is>
          <t xml:space="preserve">bid of 29 May 2026</t>
        </is>
      </c>
      <c r="E57" s="38" t="inlineStr">
        <is>
          <t xml:space="preserve">990 MW, liquefied natural gas</t>
        </is>
      </c>
      <c r="K57" s="38" t="n"/>
      <c r="L57" s="38" t="n"/>
      <c r="M57" s="38" t="n"/>
      <c r="N57" s="38" t="n"/>
      <c r="O57" s="38" t="n"/>
      <c r="P57" s="38" t="inlineStr">
        <is>
          <t xml:space="preserve">From source</t>
        </is>
      </c>
      <c r="Q57" s="38" t="inlineStr">
        <is>
          <t xml:space="preserve">Independent Power Producers Office, list of bids received on 29 May 2026 (published by the Development Bank of Southern Africa)</t>
        </is>
      </c>
      <c r="R57" s="38" t="inlineStr">
        <is>
          <t xml:space="preserve">PDF p.1</t>
        </is>
      </c>
      <c r="S57" s="38" t="inlineStr">
        <is>
          <t xml:space="preserve">A bid, not an award. No commissioning date is published for it. The bid list names only Pictor; identified as Acwa's project by Manish, 9 October 2026.</t>
        </is>
      </c>
    </row>
    <row r="58" ht="42.5" customHeight="1">
      <c r="A58" s="38" t="inlineStr">
        <is>
          <t xml:space="preserve">New gas plant, by project</t>
        </is>
      </c>
      <c r="B58" s="38" t="inlineStr">
        <is>
          <t xml:space="preserve">Kelvin Redevelopment (Kelvin Gas Power), Gauteng</t>
        </is>
      </c>
      <c r="C58" s="38" t="inlineStr">
        <is>
          <t xml:space="preserve"/>
        </is>
      </c>
      <c r="D58" s="38" t="inlineStr">
        <is>
          <t xml:space="preserve">bid of 29 May 2026</t>
        </is>
      </c>
      <c r="E58" s="38" t="inlineStr">
        <is>
          <t xml:space="preserve">600 MW, natural gas</t>
        </is>
      </c>
      <c r="K58" s="38" t="n"/>
      <c r="L58" s="38" t="n"/>
      <c r="M58" s="38" t="n"/>
      <c r="N58" s="38" t="n"/>
      <c r="O58" s="38" t="n"/>
      <c r="P58" s="38" t="inlineStr">
        <is>
          <t xml:space="preserve">From source</t>
        </is>
      </c>
      <c r="Q58" s="38" t="inlineStr">
        <is>
          <t xml:space="preserve">Independent Power Producers Office, list of bids received on 29 May 2026 (published by the Development Bank of Southern Africa)</t>
        </is>
      </c>
      <c r="R58" s="38" t="inlineStr">
        <is>
          <t xml:space="preserve">PDF p.1</t>
        </is>
      </c>
      <c r="S58" s="38" t="inlineStr">
        <is>
          <t xml:space="preserve">A bid, not an award. No commissioning date is published for it.</t>
        </is>
      </c>
    </row>
    <row r="59" ht="42.5" customHeight="1">
      <c r="A59" s="38" t="inlineStr">
        <is>
          <t xml:space="preserve">New gas plant, by project</t>
        </is>
      </c>
      <c r="B59" s="38" t="inlineStr">
        <is>
          <t xml:space="preserve">Komatipoort Power (Vutomi Energy), Mpumalanga</t>
        </is>
      </c>
      <c r="C59" s="38" t="inlineStr">
        <is>
          <t xml:space="preserve"/>
        </is>
      </c>
      <c r="D59" s="38" t="inlineStr">
        <is>
          <t xml:space="preserve">bid of 29 May 2026</t>
        </is>
      </c>
      <c r="E59" s="38" t="inlineStr">
        <is>
          <t xml:space="preserve">800 MW, natural gas</t>
        </is>
      </c>
      <c r="K59" s="38" t="n"/>
      <c r="L59" s="38" t="n"/>
      <c r="M59" s="38" t="n"/>
      <c r="N59" s="38" t="n"/>
      <c r="O59" s="38" t="n"/>
      <c r="P59" s="38" t="inlineStr">
        <is>
          <t xml:space="preserve">From source</t>
        </is>
      </c>
      <c r="Q59" s="38" t="inlineStr">
        <is>
          <t xml:space="preserve">Independent Power Producers Office, list of bids received on 29 May 2026 (published by the Development Bank of Southern Africa)</t>
        </is>
      </c>
      <c r="R59" s="38" t="inlineStr">
        <is>
          <t xml:space="preserve">PDF p.1</t>
        </is>
      </c>
      <c r="S59" s="38" t="inlineStr">
        <is>
          <t xml:space="preserve">A bid, not an award. No commissioning date is published for it.</t>
        </is>
      </c>
    </row>
    <row r="60" ht="42.5" customHeight="1">
      <c r="A60" s="38" t="inlineStr">
        <is>
          <t xml:space="preserve">New gas plant, by project</t>
        </is>
      </c>
      <c r="B60" s="38" t="inlineStr">
        <is>
          <t xml:space="preserve">Independent producers, gas bid window 1: timetable</t>
        </is>
      </c>
      <c r="C60" s="38" t="inlineStr">
        <is>
          <t xml:space="preserve"/>
        </is>
      </c>
      <c r="D60" s="38" t="inlineStr">
        <is>
          <t xml:space="preserve">as reported June 2026</t>
        </is>
      </c>
      <c r="E60" s="38" t="inlineStr">
        <is>
          <t xml:space="preserve">After preferred bidders are named: more than a year to financial close, then 36 months of construction</t>
        </is>
      </c>
      <c r="K60" s="38" t="n"/>
      <c r="L60" s="38" t="n"/>
      <c r="M60" s="38" t="n"/>
      <c r="N60" s="38" t="n"/>
      <c r="O60" s="38" t="n"/>
      <c r="P60" s="38" t="inlineStr">
        <is>
          <t xml:space="preserve">From source</t>
        </is>
      </c>
      <c r="Q60" s="38" t="inlineStr">
        <is>
          <t xml:space="preserve">Engineering News, 5 June 2026, reporting Eskom and the Independent Power Producers Office</t>
        </is>
      </c>
      <c r="R60" s="38" t="inlineStr">
        <is>
          <t xml:space="preserve"/>
        </is>
      </c>
      <c r="S60" s="38" t="inlineStr">
        <is>
          <t xml:space="preserve">Preferred bidders were expected in August 2026 and had not been named by 7 October. On this timetable no plant from the round runs before about 2031 (my reading).</t>
        </is>
      </c>
    </row>
    <row r="61" ht="29" customHeight="1">
      <c r="A61" s="38" t="inlineStr">
        <is>
          <t xml:space="preserve">New gas plant, by project</t>
        </is>
      </c>
      <c r="B61" s="38" t="inlineStr">
        <is>
          <t xml:space="preserve">New gas determination (5,000 MW)</t>
        </is>
      </c>
      <c r="C61" s="38" t="inlineStr">
        <is>
          <t xml:space="preserve"/>
        </is>
      </c>
      <c r="D61" s="38" t="inlineStr">
        <is>
          <t xml:space="preserve">announced 7 October 2026</t>
        </is>
      </c>
      <c r="E61" s="38" t="inlineStr">
        <is>
          <t xml:space="preserve">5,000 MW of gas-to-power prioritised for new bidding rounds, open to Eskom as well</t>
        </is>
      </c>
      <c r="K61" s="38" t="n"/>
      <c r="L61" s="38" t="n"/>
      <c r="M61" s="38" t="n"/>
      <c r="N61" s="38" t="n"/>
      <c r="O61" s="38" t="n"/>
      <c r="P61" s="38" t="inlineStr">
        <is>
          <t xml:space="preserve">From source</t>
        </is>
      </c>
      <c r="Q61" s="38" t="inlineStr">
        <is>
          <t xml:space="preserve">Engineering News, 7 October 2026, reporting the Minister of Electricity and Energy</t>
        </is>
      </c>
      <c r="R61" s="38" t="inlineStr">
        <is>
          <t xml:space="preserve"/>
        </is>
      </c>
      <c r="S61" s="38" t="inlineStr">
        <is>
          <t xml:space="preserve">No dates, sites or capacity factor given. Whether it adds to or replaces the earlier 3,000 MW and 2,000 MW is not stated.</t>
        </is>
      </c>
    </row>
    <row r="62" ht="29" customHeight="1">
      <c r="A62" s="38" t="inlineStr">
        <is>
          <t xml:space="preserve">New gas plant, by project</t>
        </is>
      </c>
      <c r="B62" s="38" t="inlineStr">
        <is>
          <t xml:space="preserve">Integrated Resource Plan 2025: Eskom gas</t>
        </is>
      </c>
      <c r="C62" s="38" t="inlineStr">
        <is>
          <t xml:space="preserve"/>
        </is>
      </c>
      <c r="D62" s="38" t="inlineStr">
        <is>
          <t xml:space="preserve">2029</t>
        </is>
      </c>
      <c r="E62" s="38" t="inlineStr">
        <is>
          <t xml:space="preserve">3,000 MW added in 2029</t>
        </is>
      </c>
      <c r="K62" s="38" t="n"/>
      <c r="L62" s="38" t="n"/>
      <c r="M62" s="38" t="n"/>
      <c r="N62" s="38" t="n"/>
      <c r="O62" s="38" t="n"/>
      <c r="P62" s="38" t="inlineStr">
        <is>
          <t xml:space="preserve">From source</t>
        </is>
      </c>
      <c r="Q62" s="38" t="inlineStr">
        <is>
          <t xml:space="preserve">Department of Electricity and Energy, Integrated Resource Plan 2025 (October 2025)</t>
        </is>
      </c>
      <c r="R62" s="38" t="inlineStr">
        <is>
          <t xml:space="preserve">PDF p.41, Table 1</t>
        </is>
      </c>
      <c r="S62" s="38" t="inlineStr">
        <is>
          <t xml:space="preserve">The plan's schedule, not a project date. Eskom itself now says 2031.</t>
        </is>
      </c>
    </row>
    <row r="63" ht="42.5" customHeight="1">
      <c r="A63" s="38" t="inlineStr">
        <is>
          <t xml:space="preserve">New gas plant, by project</t>
        </is>
      </c>
      <c r="B63" s="38" t="inlineStr">
        <is>
          <t xml:space="preserve">Integrated Resource Plan 2025: independent producers' gas</t>
        </is>
      </c>
      <c r="C63" s="38" t="inlineStr">
        <is>
          <t xml:space="preserve"/>
        </is>
      </c>
      <c r="D63" s="38" t="inlineStr">
        <is>
          <t xml:space="preserve">2030</t>
        </is>
      </c>
      <c r="E63" s="38" t="inlineStr">
        <is>
          <t xml:space="preserve">3,000 MW added in 2030</t>
        </is>
      </c>
      <c r="K63" s="38" t="n"/>
      <c r="L63" s="38" t="n"/>
      <c r="M63" s="38" t="n"/>
      <c r="N63" s="38" t="n"/>
      <c r="O63" s="38" t="n"/>
      <c r="P63" s="38" t="inlineStr">
        <is>
          <t xml:space="preserve">From source</t>
        </is>
      </c>
      <c r="Q63" s="38" t="inlineStr">
        <is>
          <t xml:space="preserve">Department of Electricity and Energy, Integrated Resource Plan 2025 (October 2025)</t>
        </is>
      </c>
      <c r="R63" s="38" t="inlineStr">
        <is>
          <t xml:space="preserve">PDF pp.27, 41</t>
        </is>
      </c>
      <c r="S63" s="38" t="inlineStr">
        <is>
          <t xml:space="preserve">The plan assumes all 3,000 MW is on the grid by 2030 although only 2,000 MW had been offered to the market. It also studies a case where the gas does not arrive.</t>
        </is>
      </c>
    </row>
    <row r="64" ht="42.5" customHeight="1">
      <c r="A64" s="38" t="inlineStr">
        <is>
          <t xml:space="preserve">New gas plant, by project</t>
        </is>
      </c>
      <c r="B64" s="38" t="inlineStr">
        <is>
          <t xml:space="preserve">Integrated Resource Plan 2025: independent producers' gas, later years</t>
        </is>
      </c>
      <c r="C64" s="38" t="inlineStr">
        <is>
          <t xml:space="preserve"/>
        </is>
      </c>
      <c r="D64" s="38" t="inlineStr">
        <is>
          <t xml:space="preserve">2031 to 2042</t>
        </is>
      </c>
      <c r="E64" s="38" t="inlineStr">
        <is>
          <t xml:space="preserve">12,250 MW added</t>
        </is>
      </c>
      <c r="K64" s="38" t="n"/>
      <c r="L64" s="38" t="n"/>
      <c r="M64" s="38" t="n"/>
      <c r="N64" s="38" t="n"/>
      <c r="O64" s="38" t="n"/>
      <c r="P64" s="38" t="inlineStr">
        <is>
          <t xml:space="preserve">From source</t>
        </is>
      </c>
      <c r="Q64" s="38" t="inlineStr">
        <is>
          <t xml:space="preserve">Department of Electricity and Energy, Integrated Resource Plan 2025 (October 2025)</t>
        </is>
      </c>
      <c r="R64" s="38" t="inlineStr">
        <is>
          <t xml:space="preserve">PDF p.41, Table 1</t>
        </is>
      </c>
      <c r="S64" s="38" t="inlineStr">
        <is>
          <t xml:space="preserve">The plan's schedule.</t>
        </is>
      </c>
    </row>
    <row r="65" ht="29" customHeight="1">
      <c r="A65" s="38" t="inlineStr">
        <is>
          <t xml:space="preserve">New gas plant, by project</t>
        </is>
      </c>
      <c r="B65" s="38" t="inlineStr">
        <is>
          <t xml:space="preserve">Integrated Resource Plan 2025: existing diesel peaking plants</t>
        </is>
      </c>
      <c r="C65" s="38" t="inlineStr">
        <is>
          <t xml:space="preserve"/>
        </is>
      </c>
      <c r="D65" s="38" t="inlineStr">
        <is>
          <t xml:space="preserve">no date</t>
        </is>
      </c>
      <c r="E65" s="38" t="inlineStr">
        <is>
          <t xml:space="preserve">Converting them to natural gas should be considered; plans are being developed at most of them</t>
        </is>
      </c>
      <c r="K65" s="38" t="n"/>
      <c r="L65" s="38" t="n"/>
      <c r="M65" s="38" t="n"/>
      <c r="N65" s="38" t="n"/>
      <c r="O65" s="38" t="n"/>
      <c r="P65" s="38" t="inlineStr">
        <is>
          <t xml:space="preserve">From source</t>
        </is>
      </c>
      <c r="Q65" s="38" t="inlineStr">
        <is>
          <t xml:space="preserve">Department of Electricity and Energy, Integrated Resource Plan 2025 (October 2025)</t>
        </is>
      </c>
      <c r="R65" s="38" t="inlineStr">
        <is>
          <t xml:space="preserve">PDF p.46</t>
        </is>
      </c>
      <c r="S65" s="38" t="inlineStr">
        <is>
          <t xml:space="preserve">Covers Avon and the other diesel turbines. No plant is named and no date is given.</t>
        </is>
      </c>
    </row>
    <row r="66" ht="42.5" customHeight="1">
      <c r="A66" s="38" t="inlineStr">
        <is>
          <t xml:space="preserve">New gas plant, by project</t>
        </is>
      </c>
      <c r="B66" s="38" t="inlineStr">
        <is>
          <t xml:space="preserve">AIA working timeline: Acwa (not a published source)</t>
        </is>
      </c>
      <c r="C66" s="38" t="inlineStr">
        <is>
          <t xml:space="preserve"/>
        </is>
      </c>
      <c r="D66" s="38" t="inlineStr">
        <is>
          <t xml:space="preserve">2030</t>
        </is>
      </c>
      <c r="E66" s="38" t="inlineStr">
        <is>
          <t xml:space="preserve">990 MW</t>
        </is>
      </c>
      <c r="K66" s="38" t="n"/>
      <c r="L66" s="38" t="n"/>
      <c r="M66" s="38" t="n"/>
      <c r="N66" s="38" t="n"/>
      <c r="O66" s="38" t="n"/>
      <c r="P66" s="38" t="inlineStr">
        <is>
          <t xml:space="preserve">From source</t>
        </is>
      </c>
      <c r="Q66" s="38" t="inlineStr">
        <is>
          <t xml:space="preserve">AIA chart, Gas-to-power demand timeline, supplied by Manish on 9 October 2026; its own sources are not stated</t>
        </is>
      </c>
      <c r="R66" s="38" t="inlineStr">
        <is>
          <t xml:space="preserve"/>
        </is>
      </c>
      <c r="S66" s="38" t="inlineStr">
        <is>
          <t xml:space="preserve">For comparison; no published source confirms the date.</t>
        </is>
      </c>
    </row>
    <row r="67" ht="42.5" customHeight="1">
      <c r="A67" s="38" t="inlineStr">
        <is>
          <t xml:space="preserve">New gas plant, by project</t>
        </is>
      </c>
      <c r="B67" s="38" t="inlineStr">
        <is>
          <t xml:space="preserve">AIA working timeline: Avon (not a published source)</t>
        </is>
      </c>
      <c r="C67" s="38" t="inlineStr">
        <is>
          <t xml:space="preserve"/>
        </is>
      </c>
      <c r="D67" s="38" t="inlineStr">
        <is>
          <t xml:space="preserve">2030</t>
        </is>
      </c>
      <c r="E67" s="38" t="inlineStr">
        <is>
          <t xml:space="preserve">670 MW</t>
        </is>
      </c>
      <c r="K67" s="38" t="n"/>
      <c r="L67" s="38" t="n"/>
      <c r="M67" s="38" t="n"/>
      <c r="N67" s="38" t="n"/>
      <c r="O67" s="38" t="n"/>
      <c r="P67" s="38" t="inlineStr">
        <is>
          <t xml:space="preserve">From source</t>
        </is>
      </c>
      <c r="Q67" s="38" t="inlineStr">
        <is>
          <t xml:space="preserve">AIA chart, Gas-to-power demand timeline, supplied by Manish on 9 October 2026; its own sources are not stated</t>
        </is>
      </c>
      <c r="R67" s="38" t="inlineStr">
        <is>
          <t xml:space="preserve"/>
        </is>
      </c>
      <c r="S67" s="38" t="inlineStr">
        <is>
          <t xml:space="preserve">For comparison; no published source confirms the date. Avon is not on the bid list.</t>
        </is>
      </c>
    </row>
    <row r="68" ht="42.5" customHeight="1">
      <c r="A68" s="38" t="inlineStr">
        <is>
          <t xml:space="preserve">New gas plant, by project</t>
        </is>
      </c>
      <c r="B68" s="38" t="inlineStr">
        <is>
          <t xml:space="preserve">AIA working timeline: FlexED (not a published source)</t>
        </is>
      </c>
      <c r="C68" s="38" t="inlineStr">
        <is>
          <t xml:space="preserve"/>
        </is>
      </c>
      <c r="D68" s="38" t="inlineStr">
        <is>
          <t xml:space="preserve">2030</t>
        </is>
      </c>
      <c r="E68" s="38" t="inlineStr">
        <is>
          <t xml:space="preserve">440 MW</t>
        </is>
      </c>
      <c r="K68" s="38" t="n"/>
      <c r="L68" s="38" t="n"/>
      <c r="M68" s="38" t="n"/>
      <c r="N68" s="38" t="n"/>
      <c r="O68" s="38" t="n"/>
      <c r="P68" s="38" t="inlineStr">
        <is>
          <t xml:space="preserve">From source</t>
        </is>
      </c>
      <c r="Q68" s="38" t="inlineStr">
        <is>
          <t xml:space="preserve">AIA chart, Gas-to-power demand timeline, supplied by Manish on 9 October 2026; its own sources are not stated</t>
        </is>
      </c>
      <c r="R68" s="38" t="inlineStr">
        <is>
          <t xml:space="preserve"/>
        </is>
      </c>
      <c r="S68" s="38" t="inlineStr">
        <is>
          <t xml:space="preserve">For comparison; no published source confirms the date. The chart shows 450 MW; the bid list's 440 MW is used.</t>
        </is>
      </c>
    </row>
    <row r="69" ht="42.5" customHeight="1">
      <c r="A69" s="38" t="inlineStr">
        <is>
          <t xml:space="preserve">New gas plant, by project</t>
        </is>
      </c>
      <c r="B69" s="38" t="inlineStr">
        <is>
          <t xml:space="preserve">AIA working timeline: Vutomi (not a published source)</t>
        </is>
      </c>
      <c r="C69" s="38" t="inlineStr">
        <is>
          <t xml:space="preserve"/>
        </is>
      </c>
      <c r="D69" s="38" t="inlineStr">
        <is>
          <t xml:space="preserve">2030</t>
        </is>
      </c>
      <c r="E69" s="38" t="inlineStr">
        <is>
          <t xml:space="preserve">800 MW</t>
        </is>
      </c>
      <c r="K69" s="38" t="n"/>
      <c r="L69" s="38" t="n"/>
      <c r="M69" s="38" t="n"/>
      <c r="N69" s="38" t="n"/>
      <c r="O69" s="38" t="n"/>
      <c r="P69" s="38" t="inlineStr">
        <is>
          <t xml:space="preserve">From source</t>
        </is>
      </c>
      <c r="Q69" s="38" t="inlineStr">
        <is>
          <t xml:space="preserve">AIA chart, Gas-to-power demand timeline, supplied by Manish on 9 October 2026; its own sources are not stated</t>
        </is>
      </c>
      <c r="R69" s="38" t="inlineStr">
        <is>
          <t xml:space="preserve"/>
        </is>
      </c>
      <c r="S69" s="38" t="inlineStr">
        <is>
          <t xml:space="preserve">For comparison; no published source confirms the date. High case only.</t>
        </is>
      </c>
    </row>
    <row r="70" ht="42.5" customHeight="1">
      <c r="A70" s="38" t="inlineStr">
        <is>
          <t xml:space="preserve">New gas plant, by project</t>
        </is>
      </c>
      <c r="B70" s="38" t="inlineStr">
        <is>
          <t xml:space="preserve">AIA working timeline: Eskom (not a published source)</t>
        </is>
      </c>
      <c r="C70" s="38" t="inlineStr">
        <is>
          <t xml:space="preserve"/>
        </is>
      </c>
      <c r="D70" s="38" t="inlineStr">
        <is>
          <t xml:space="preserve">2032</t>
        </is>
      </c>
      <c r="E70" s="38" t="inlineStr">
        <is>
          <t xml:space="preserve">3,000 MW</t>
        </is>
      </c>
      <c r="K70" s="38" t="n"/>
      <c r="L70" s="38" t="n"/>
      <c r="M70" s="38" t="n"/>
      <c r="N70" s="38" t="n"/>
      <c r="O70" s="38" t="n"/>
      <c r="P70" s="38" t="inlineStr">
        <is>
          <t xml:space="preserve">From source</t>
        </is>
      </c>
      <c r="Q70" s="38" t="inlineStr">
        <is>
          <t xml:space="preserve">AIA chart, Gas-to-power demand timeline, supplied by Manish on 9 October 2026; its own sources are not stated</t>
        </is>
      </c>
      <c r="R70" s="38" t="inlineStr">
        <is>
          <t xml:space="preserve"/>
        </is>
      </c>
      <c r="S70" s="38" t="inlineStr">
        <is>
          <t xml:space="preserve">For comparison; no published source confirms the date.</t>
        </is>
      </c>
    </row>
    <row r="71" ht="42.5" customHeight="1">
      <c r="A71" s="38" t="inlineStr">
        <is>
          <t xml:space="preserve">New gas plant: dates in use</t>
        </is>
      </c>
      <c r="B71" s="38" t="inlineStr">
        <is>
          <t xml:space="preserve">Eskom gas</t>
        </is>
      </c>
      <c r="C71" s="38" t="inlineStr">
        <is>
          <t xml:space="preserve">year</t>
        </is>
      </c>
      <c r="D71" s="38" t="inlineStr">
        <is>
          <t xml:space="preserve"/>
        </is>
      </c>
      <c r="E71" s="38" t="n">
        <v>2029</v>
      </c>
      <c r="K71" s="38" t="n"/>
      <c r="L71" s="38" t="n"/>
      <c r="M71" s="38" t="n"/>
      <c r="N71" s="38" t="n"/>
      <c r="O71" s="38" t="n"/>
      <c r="P71" s="38" t="inlineStr">
        <is>
          <t xml:space="preserve">From source</t>
        </is>
      </c>
      <c r="Q71" s="38" t="inlineStr">
        <is>
          <t xml:space="preserve">Department of Electricity and Energy, Integrated Resource Plan 2025 (October 2025)</t>
        </is>
      </c>
      <c r="R71" s="38" t="inlineStr">
        <is>
          <t xml:space="preserve">PDF p.41, Table 1</t>
        </is>
      </c>
      <c r="S71" s="38" t="inlineStr">
        <is>
          <t xml:space="preserve">The plan's schedule, used on Manish's instruction of 9 October (decision D24). No project has a preferred bidder, financial close or construction start, and Eskom itself says 2031, so these are the earliest dates.</t>
        </is>
      </c>
    </row>
    <row r="72" ht="42.5" customHeight="1">
      <c r="A72" s="38" t="inlineStr">
        <is>
          <t xml:space="preserve">New gas plant: dates in use</t>
        </is>
      </c>
      <c r="B72" s="38" t="inlineStr">
        <is>
          <t xml:space="preserve">independent producers' gas</t>
        </is>
      </c>
      <c r="C72" s="38" t="inlineStr">
        <is>
          <t xml:space="preserve">year</t>
        </is>
      </c>
      <c r="D72" s="38" t="inlineStr">
        <is>
          <t xml:space="preserve"/>
        </is>
      </c>
      <c r="E72" s="38" t="n">
        <v>2030</v>
      </c>
      <c r="K72" s="38" t="n"/>
      <c r="L72" s="38" t="n"/>
      <c r="M72" s="38" t="n"/>
      <c r="N72" s="38" t="n"/>
      <c r="O72" s="38" t="n"/>
      <c r="P72" s="38" t="inlineStr">
        <is>
          <t xml:space="preserve">From source</t>
        </is>
      </c>
      <c r="Q72" s="38" t="inlineStr">
        <is>
          <t xml:space="preserve">Department of Electricity and Energy, Integrated Resource Plan 2025 (October 2025)</t>
        </is>
      </c>
      <c r="R72" s="38" t="inlineStr">
        <is>
          <t xml:space="preserve">PDF p.41, Table 1</t>
        </is>
      </c>
      <c r="S72" s="38" t="inlineStr">
        <is>
          <t xml:space="preserve">The plan's schedule, used on Manish's instruction of 9 October (decision D24). No project has a preferred bidder, financial close or construction start, and Eskom itself says 2031, so these are the earliest dates.</t>
        </is>
      </c>
    </row>
    <row r="74">
      <c r="A74" s="35" t="inlineStr">
        <is>
          <t xml:space="preserve">Vehicle fleet</t>
        </is>
      </c>
      <c r="B74" s="35" t="n"/>
      <c r="C74" s="35" t="n"/>
      <c r="D74" s="35" t="n"/>
      <c r="E74" s="35" t="n"/>
      <c r="F74" s="35" t="n"/>
      <c r="G74" s="35" t="n"/>
      <c r="H74" s="35" t="n"/>
      <c r="I74" s="35" t="n"/>
      <c r="J74" s="35" t="n"/>
      <c r="K74" s="35" t="n"/>
      <c r="L74" s="35" t="n"/>
      <c r="M74" s="35" t="n"/>
      <c r="N74" s="35" t="n"/>
      <c r="O74" s="35" t="n"/>
      <c r="P74" s="35" t="n"/>
      <c r="Q74" s="35" t="n"/>
      <c r="R74" s="35" t="n"/>
      <c r="S74" s="35" t="n"/>
      <c r="T74" s="35" t="n"/>
    </row>
    <row r="75">
      <c r="A75" s="36" t="inlineStr">
        <is>
          <t xml:space="preserve">Item</t>
        </is>
      </c>
      <c r="B75" s="36" t="inlineStr">
        <is>
          <t xml:space="preserve">Covers</t>
        </is>
      </c>
      <c r="C75" s="36" t="inlineStr">
        <is>
          <t xml:space="preserve">Unit</t>
        </is>
      </c>
      <c r="D75" s="36" t="inlineStr">
        <is>
          <t xml:space="preserve">Period</t>
        </is>
      </c>
      <c r="E75" s="36" t="inlineStr">
        <is>
          <t xml:space="preserve">Value</t>
        </is>
      </c>
      <c r="K75" s="36" t="n"/>
      <c r="L75" s="36" t="n"/>
      <c r="M75" s="36" t="n"/>
      <c r="N75" s="36" t="n"/>
      <c r="O75" s="36" t="n"/>
      <c r="P75" s="36" t="inlineStr">
        <is>
          <t xml:space="preserve">Status</t>
        </is>
      </c>
      <c r="Q75" s="36" t="inlineStr">
        <is>
          <t xml:space="preserve">Source</t>
        </is>
      </c>
      <c r="R75" s="36" t="inlineStr">
        <is>
          <t xml:space="preserve">Page</t>
        </is>
      </c>
      <c r="S75" s="36" t="inlineStr">
        <is>
          <t xml:space="preserve">Note</t>
        </is>
      </c>
    </row>
    <row r="76" ht="29" customHeight="1">
      <c r="A76" s="38" t="inlineStr">
        <is>
          <t xml:space="preserve">Registered vehicles by class</t>
        </is>
      </c>
      <c r="B76" s="38" t="inlineStr">
        <is>
          <t xml:space="preserve">cars</t>
        </is>
      </c>
      <c r="C76" s="38" t="inlineStr">
        <is>
          <t xml:space="preserve">vehicles</t>
        </is>
      </c>
      <c r="D76" s="38" t="inlineStr">
        <is>
          <t xml:space="preserve">2026-06</t>
        </is>
      </c>
      <c r="E76" s="41" t="n">
        <v>8340592</v>
      </c>
      <c r="K76" s="38" t="n"/>
      <c r="L76" s="38" t="n"/>
      <c r="M76" s="38" t="n"/>
      <c r="N76" s="38" t="n"/>
      <c r="O76" s="38" t="n"/>
      <c r="P76" s="38" t="inlineStr">
        <is>
          <t xml:space="preserve">From source</t>
        </is>
      </c>
      <c r="Q76" s="38" t="inlineStr">
        <is>
          <t xml:space="preserve">eNaTIS live vehicle population by class and province</t>
        </is>
      </c>
      <c r="R76" s="38" t="inlineStr">
        <is>
          <t xml:space="preserve"/>
        </is>
      </c>
      <c r="S76" s="38" t="inlineStr">
        <is>
          <t xml:space="preserve">By province on the DR07 fleet by province sheet. Monthly from February 2021.</t>
        </is>
      </c>
    </row>
    <row r="77" ht="29" customHeight="1">
      <c r="A77" s="38" t="inlineStr">
        <is>
          <t xml:space="preserve">Registered vehicles by class</t>
        </is>
      </c>
      <c r="B77" s="38" t="inlineStr">
        <is>
          <t xml:space="preserve">light commercial</t>
        </is>
      </c>
      <c r="C77" s="38" t="inlineStr">
        <is>
          <t xml:space="preserve">vehicles</t>
        </is>
      </c>
      <c r="D77" s="38" t="inlineStr">
        <is>
          <t xml:space="preserve">2026-06</t>
        </is>
      </c>
      <c r="E77" s="41" t="n">
        <v>2816547</v>
      </c>
      <c r="K77" s="38" t="n"/>
      <c r="L77" s="38" t="n"/>
      <c r="M77" s="38" t="n"/>
      <c r="N77" s="38" t="n"/>
      <c r="O77" s="38" t="n"/>
      <c r="P77" s="38" t="inlineStr">
        <is>
          <t xml:space="preserve">From source</t>
        </is>
      </c>
      <c r="Q77" s="38" t="inlineStr">
        <is>
          <t xml:space="preserve">eNaTIS live vehicle population by class and province</t>
        </is>
      </c>
      <c r="R77" s="38" t="inlineStr">
        <is>
          <t xml:space="preserve"/>
        </is>
      </c>
      <c r="S77" s="38" t="inlineStr">
        <is>
          <t xml:space="preserve">By province on the DR07 fleet by province sheet. Monthly from February 2021.</t>
        </is>
      </c>
    </row>
    <row r="78" ht="29" customHeight="1">
      <c r="A78" s="38" t="inlineStr">
        <is>
          <t xml:space="preserve">Registered vehicles by class</t>
        </is>
      </c>
      <c r="B78" s="38" t="inlineStr">
        <is>
          <t xml:space="preserve">trucks</t>
        </is>
      </c>
      <c r="C78" s="38" t="inlineStr">
        <is>
          <t xml:space="preserve">vehicles</t>
        </is>
      </c>
      <c r="D78" s="38" t="inlineStr">
        <is>
          <t xml:space="preserve">2026-06</t>
        </is>
      </c>
      <c r="E78" s="41" t="n">
        <v>409049</v>
      </c>
      <c r="K78" s="38" t="n"/>
      <c r="L78" s="38" t="n"/>
      <c r="M78" s="38" t="n"/>
      <c r="N78" s="38" t="n"/>
      <c r="O78" s="38" t="n"/>
      <c r="P78" s="38" t="inlineStr">
        <is>
          <t xml:space="preserve">From source</t>
        </is>
      </c>
      <c r="Q78" s="38" t="inlineStr">
        <is>
          <t xml:space="preserve">eNaTIS live vehicle population by class and province</t>
        </is>
      </c>
      <c r="R78" s="38" t="inlineStr">
        <is>
          <t xml:space="preserve"/>
        </is>
      </c>
      <c r="S78" s="38" t="inlineStr">
        <is>
          <t xml:space="preserve">By province on the DR07 fleet by province sheet. Monthly from February 2021.</t>
        </is>
      </c>
    </row>
    <row r="79" ht="29" customHeight="1">
      <c r="A79" s="38" t="inlineStr">
        <is>
          <t xml:space="preserve">Registered vehicles by class</t>
        </is>
      </c>
      <c r="B79" s="38" t="inlineStr">
        <is>
          <t xml:space="preserve">buses</t>
        </is>
      </c>
      <c r="C79" s="38" t="inlineStr">
        <is>
          <t xml:space="preserve">vehicles</t>
        </is>
      </c>
      <c r="D79" s="38" t="inlineStr">
        <is>
          <t xml:space="preserve">2026-06</t>
        </is>
      </c>
      <c r="E79" s="41" t="n">
        <v>66872</v>
      </c>
      <c r="K79" s="38" t="n"/>
      <c r="L79" s="38" t="n"/>
      <c r="M79" s="38" t="n"/>
      <c r="N79" s="38" t="n"/>
      <c r="O79" s="38" t="n"/>
      <c r="P79" s="38" t="inlineStr">
        <is>
          <t xml:space="preserve">From source</t>
        </is>
      </c>
      <c r="Q79" s="38" t="inlineStr">
        <is>
          <t xml:space="preserve">eNaTIS live vehicle population by class and province</t>
        </is>
      </c>
      <c r="R79" s="38" t="inlineStr">
        <is>
          <t xml:space="preserve"/>
        </is>
      </c>
      <c r="S79" s="38" t="inlineStr">
        <is>
          <t xml:space="preserve">By province on the DR07 fleet by province sheet. Monthly from February 2021.</t>
        </is>
      </c>
    </row>
    <row r="80" ht="29" customHeight="1">
      <c r="A80" s="38" t="inlineStr">
        <is>
          <t xml:space="preserve">Registered vehicles by class</t>
        </is>
      </c>
      <c r="B80" s="38" t="inlineStr">
        <is>
          <t xml:space="preserve">minibuses</t>
        </is>
      </c>
      <c r="C80" s="38" t="inlineStr">
        <is>
          <t xml:space="preserve">vehicles</t>
        </is>
      </c>
      <c r="D80" s="38" t="inlineStr">
        <is>
          <t xml:space="preserve">2026-06</t>
        </is>
      </c>
      <c r="E80" s="41" t="n">
        <v>356997</v>
      </c>
      <c r="K80" s="38" t="n"/>
      <c r="L80" s="38" t="n"/>
      <c r="M80" s="38" t="n"/>
      <c r="N80" s="38" t="n"/>
      <c r="O80" s="38" t="n"/>
      <c r="P80" s="38" t="inlineStr">
        <is>
          <t xml:space="preserve">From source</t>
        </is>
      </c>
      <c r="Q80" s="38" t="inlineStr">
        <is>
          <t xml:space="preserve">eNaTIS live vehicle population by class and province</t>
        </is>
      </c>
      <c r="R80" s="38" t="inlineStr">
        <is>
          <t xml:space="preserve"/>
        </is>
      </c>
      <c r="S80" s="38" t="inlineStr">
        <is>
          <t xml:space="preserve">By province on the DR07 fleet by province sheet. Monthly from February 2021.</t>
        </is>
      </c>
    </row>
    <row r="81" ht="29" customHeight="1">
      <c r="A81" s="42" t="inlineStr">
        <is>
          <t xml:space="preserve">Largest provinces, share of registered vehicles</t>
        </is>
      </c>
      <c r="B81" s="42" t="inlineStr">
        <is>
          <t xml:space="preserve">Gauteng</t>
        </is>
      </c>
      <c r="C81" s="42" t="inlineStr">
        <is>
          <t xml:space="preserve">%</t>
        </is>
      </c>
      <c r="D81" s="42" t="inlineStr">
        <is>
          <t xml:space="preserve">2026-06</t>
        </is>
      </c>
      <c r="E81" s="43" t="n">
        <v>39</v>
      </c>
      <c r="K81" s="42" t="n"/>
      <c r="L81" s="42" t="n"/>
      <c r="M81" s="42" t="n"/>
      <c r="N81" s="42" t="n"/>
      <c r="O81" s="42" t="n"/>
      <c r="P81" s="42" t="inlineStr">
        <is>
          <t xml:space="preserve">Calculated</t>
        </is>
      </c>
      <c r="Q81" s="42" t="inlineStr">
        <is>
          <t xml:space="preserve">Calculated from eNaTIS</t>
        </is>
      </c>
      <c r="R81" s="42" t="inlineStr">
        <is>
          <t xml:space="preserve"/>
        </is>
      </c>
      <c r="S81" s="42" t="inlineStr">
        <is>
          <t xml:space="preserve"/>
        </is>
      </c>
    </row>
    <row r="82" ht="29" customHeight="1">
      <c r="A82" s="42" t="inlineStr">
        <is>
          <t xml:space="preserve">Largest provinces, share of registered vehicles</t>
        </is>
      </c>
      <c r="B82" s="42" t="inlineStr">
        <is>
          <t xml:space="preserve">Western Cape</t>
        </is>
      </c>
      <c r="C82" s="42" t="inlineStr">
        <is>
          <t xml:space="preserve">%</t>
        </is>
      </c>
      <c r="D82" s="42" t="inlineStr">
        <is>
          <t xml:space="preserve">2026-06</t>
        </is>
      </c>
      <c r="E82" s="43" t="n">
        <v>16.3</v>
      </c>
      <c r="K82" s="42" t="n"/>
      <c r="L82" s="42" t="n"/>
      <c r="M82" s="42" t="n"/>
      <c r="N82" s="42" t="n"/>
      <c r="O82" s="42" t="n"/>
      <c r="P82" s="42" t="inlineStr">
        <is>
          <t xml:space="preserve">Calculated</t>
        </is>
      </c>
      <c r="Q82" s="42" t="inlineStr">
        <is>
          <t xml:space="preserve">Calculated from eNaTIS</t>
        </is>
      </c>
      <c r="R82" s="42" t="inlineStr">
        <is>
          <t xml:space="preserve"/>
        </is>
      </c>
      <c r="S82" s="42" t="inlineStr">
        <is>
          <t xml:space="preserve"/>
        </is>
      </c>
    </row>
    <row r="83" ht="29" customHeight="1">
      <c r="A83" s="42" t="inlineStr">
        <is>
          <t xml:space="preserve">Largest provinces, share of registered vehicles</t>
        </is>
      </c>
      <c r="B83" s="42" t="inlineStr">
        <is>
          <t xml:space="preserve">KwaZulu-Natal</t>
        </is>
      </c>
      <c r="C83" s="42" t="inlineStr">
        <is>
          <t xml:space="preserve">%</t>
        </is>
      </c>
      <c r="D83" s="42" t="inlineStr">
        <is>
          <t xml:space="preserve">2026-06</t>
        </is>
      </c>
      <c r="E83" s="43" t="n">
        <v>14.1</v>
      </c>
      <c r="K83" s="42" t="n"/>
      <c r="L83" s="42" t="n"/>
      <c r="M83" s="42" t="n"/>
      <c r="N83" s="42" t="n"/>
      <c r="O83" s="42" t="n"/>
      <c r="P83" s="42" t="inlineStr">
        <is>
          <t xml:space="preserve">Calculated</t>
        </is>
      </c>
      <c r="Q83" s="42" t="inlineStr">
        <is>
          <t xml:space="preserve">Calculated from eNaTIS</t>
        </is>
      </c>
      <c r="R83" s="42" t="inlineStr">
        <is>
          <t xml:space="preserve"/>
        </is>
      </c>
      <c r="S83" s="42" t="inlineStr">
        <is>
          <t xml:space="preserve"/>
        </is>
      </c>
    </row>
    <row r="84" ht="29" customHeight="1">
      <c r="A84" s="38" t="inlineStr">
        <is>
          <t xml:space="preserve">Registered vehicles by fuel</t>
        </is>
      </c>
      <c r="B84" s="38" t="inlineStr">
        <is>
          <t xml:space="preserve">petrol</t>
        </is>
      </c>
      <c r="C84" s="38" t="inlineStr">
        <is>
          <t xml:space="preserve">vehicles</t>
        </is>
      </c>
      <c r="D84" s="38" t="inlineStr">
        <is>
          <t xml:space="preserve">December 2023</t>
        </is>
      </c>
      <c r="E84" s="41" t="n">
        <v>8555772</v>
      </c>
      <c r="K84" s="38" t="n"/>
      <c r="L84" s="38" t="n"/>
      <c r="M84" s="38" t="n"/>
      <c r="N84" s="38" t="n"/>
      <c r="O84" s="38" t="n"/>
      <c r="P84" s="38" t="inlineStr">
        <is>
          <t xml:space="preserve">From source</t>
        </is>
      </c>
      <c r="Q84" s="38" t="inlineStr">
        <is>
          <t xml:space="preserve">Department of Transport, Transport Statistics Bulletin 2023</t>
        </is>
      </c>
      <c r="R84" s="38" t="inlineStr">
        <is>
          <t xml:space="preserve"/>
        </is>
      </c>
      <c r="S84" s="38" t="inlineStr">
        <is>
          <t xml:space="preserve">National only, and not split by class. No later edition found.</t>
        </is>
      </c>
    </row>
    <row r="85" ht="29" customHeight="1">
      <c r="A85" s="38" t="inlineStr">
        <is>
          <t xml:space="preserve">Registered vehicles by fuel</t>
        </is>
      </c>
      <c r="B85" s="38" t="inlineStr">
        <is>
          <t xml:space="preserve">diesel</t>
        </is>
      </c>
      <c r="C85" s="38" t="inlineStr">
        <is>
          <t xml:space="preserve">vehicles</t>
        </is>
      </c>
      <c r="D85" s="38" t="inlineStr">
        <is>
          <t xml:space="preserve">December 2023</t>
        </is>
      </c>
      <c r="E85" s="41" t="n">
        <v>3335546</v>
      </c>
      <c r="K85" s="38" t="n"/>
      <c r="L85" s="38" t="n"/>
      <c r="M85" s="38" t="n"/>
      <c r="N85" s="38" t="n"/>
      <c r="O85" s="38" t="n"/>
      <c r="P85" s="38" t="inlineStr">
        <is>
          <t xml:space="preserve">From source</t>
        </is>
      </c>
      <c r="Q85" s="38" t="inlineStr">
        <is>
          <t xml:space="preserve">Department of Transport, Transport Statistics Bulletin 2023</t>
        </is>
      </c>
      <c r="R85" s="38" t="inlineStr">
        <is>
          <t xml:space="preserve"/>
        </is>
      </c>
      <c r="S85" s="38" t="inlineStr">
        <is>
          <t xml:space="preserve">National only, and not split by class. No later edition found.</t>
        </is>
      </c>
    </row>
    <row r="86" ht="29" customHeight="1">
      <c r="A86" s="38" t="inlineStr">
        <is>
          <t xml:space="preserve">Diesel vehicles by province</t>
        </is>
      </c>
      <c r="B86" s="38" t="inlineStr">
        <is>
          <t xml:space="preserve">Gauteng</t>
        </is>
      </c>
      <c r="C86" s="38" t="inlineStr">
        <is>
          <t xml:space="preserve">vehicles</t>
        </is>
      </c>
      <c r="D86" s="38" t="inlineStr">
        <is>
          <t xml:space="preserve">December 2023</t>
        </is>
      </c>
      <c r="E86" s="41" t="n">
        <v>1142275</v>
      </c>
      <c r="K86" s="38" t="n"/>
      <c r="L86" s="38" t="n"/>
      <c r="M86" s="38" t="n"/>
      <c r="N86" s="38" t="n"/>
      <c r="O86" s="38" t="n"/>
      <c r="P86" s="38" t="inlineStr">
        <is>
          <t xml:space="preserve">From source</t>
        </is>
      </c>
      <c r="Q86" s="38" t="inlineStr">
        <is>
          <t xml:space="preserve">Department of Transport, Transport Statistics Bulletin 2023, Table 2.8</t>
        </is>
      </c>
      <c r="R86" s="38" t="inlineStr">
        <is>
          <t xml:space="preserve">PDF p.40</t>
        </is>
      </c>
      <c r="S86" s="38" t="inlineStr">
        <is>
          <t xml:space="preserve">All nine provinces, petrol and diesel, are on the DR07 fleet by province sheet.</t>
        </is>
      </c>
    </row>
    <row r="87" ht="29" customHeight="1">
      <c r="A87" s="38" t="inlineStr">
        <is>
          <t xml:space="preserve">Diesel vehicles by province</t>
        </is>
      </c>
      <c r="B87" s="38" t="inlineStr">
        <is>
          <t xml:space="preserve">Western Cape</t>
        </is>
      </c>
      <c r="C87" s="38" t="inlineStr">
        <is>
          <t xml:space="preserve">vehicles</t>
        </is>
      </c>
      <c r="D87" s="38" t="inlineStr">
        <is>
          <t xml:space="preserve">December 2023</t>
        </is>
      </c>
      <c r="E87" s="41" t="n">
        <v>507006</v>
      </c>
      <c r="K87" s="38" t="n"/>
      <c r="L87" s="38" t="n"/>
      <c r="M87" s="38" t="n"/>
      <c r="N87" s="38" t="n"/>
      <c r="O87" s="38" t="n"/>
      <c r="P87" s="38" t="inlineStr">
        <is>
          <t xml:space="preserve">From source</t>
        </is>
      </c>
      <c r="Q87" s="38" t="inlineStr">
        <is>
          <t xml:space="preserve">Department of Transport, Transport Statistics Bulletin 2023, Table 2.8</t>
        </is>
      </c>
      <c r="R87" s="38" t="inlineStr">
        <is>
          <t xml:space="preserve">PDF p.40</t>
        </is>
      </c>
      <c r="S87" s="38" t="inlineStr">
        <is>
          <t xml:space="preserve">All nine provinces, petrol and diesel, are on the DR07 fleet by province sheet.</t>
        </is>
      </c>
    </row>
    <row r="88" ht="29" customHeight="1">
      <c r="A88" s="38" t="inlineStr">
        <is>
          <t xml:space="preserve">Diesel vehicles by province</t>
        </is>
      </c>
      <c r="B88" s="38" t="inlineStr">
        <is>
          <t xml:space="preserve">KwaZulu-Natal</t>
        </is>
      </c>
      <c r="C88" s="38" t="inlineStr">
        <is>
          <t xml:space="preserve">vehicles</t>
        </is>
      </c>
      <c r="D88" s="38" t="inlineStr">
        <is>
          <t xml:space="preserve">December 2023</t>
        </is>
      </c>
      <c r="E88" s="41" t="n">
        <v>459888</v>
      </c>
      <c r="K88" s="38" t="n"/>
      <c r="L88" s="38" t="n"/>
      <c r="M88" s="38" t="n"/>
      <c r="N88" s="38" t="n"/>
      <c r="O88" s="38" t="n"/>
      <c r="P88" s="38" t="inlineStr">
        <is>
          <t xml:space="preserve">From source</t>
        </is>
      </c>
      <c r="Q88" s="38" t="inlineStr">
        <is>
          <t xml:space="preserve">Department of Transport, Transport Statistics Bulletin 2023, Table 2.8</t>
        </is>
      </c>
      <c r="R88" s="38" t="inlineStr">
        <is>
          <t xml:space="preserve">PDF p.40</t>
        </is>
      </c>
      <c r="S88" s="38" t="inlineStr">
        <is>
          <t xml:space="preserve">All nine provinces, petrol and diesel, are on the DR07 fleet by province sheet.</t>
        </is>
      </c>
    </row>
    <row r="89" ht="29" customHeight="1">
      <c r="A89" s="42" t="inlineStr">
        <is>
          <t xml:space="preserve">Diesel share of petrol and diesel vehicles, by province</t>
        </is>
      </c>
      <c r="B89" s="42" t="inlineStr">
        <is>
          <t xml:space="preserve">Northern Cape</t>
        </is>
      </c>
      <c r="C89" s="42" t="inlineStr">
        <is>
          <t xml:space="preserve">%</t>
        </is>
      </c>
      <c r="D89" s="42" t="inlineStr">
        <is>
          <t xml:space="preserve">December 2023</t>
        </is>
      </c>
      <c r="E89" s="43" t="n">
        <v>38</v>
      </c>
      <c r="K89" s="42" t="n"/>
      <c r="L89" s="42" t="n"/>
      <c r="M89" s="42" t="n"/>
      <c r="N89" s="42" t="n"/>
      <c r="O89" s="42" t="n"/>
      <c r="P89" s="42" t="inlineStr">
        <is>
          <t xml:space="preserve">Calculated</t>
        </is>
      </c>
      <c r="Q89" s="42" t="inlineStr">
        <is>
          <t xml:space="preserve">Calculated from the bulletin</t>
        </is>
      </c>
      <c r="R89" s="42" t="inlineStr">
        <is>
          <t xml:space="preserve"/>
        </is>
      </c>
      <c r="S89" s="42" t="inlineStr">
        <is>
          <t xml:space="preserve"/>
        </is>
      </c>
    </row>
    <row r="90" ht="29" customHeight="1">
      <c r="A90" s="42" t="inlineStr">
        <is>
          <t xml:space="preserve">Diesel share of petrol and diesel vehicles, by province</t>
        </is>
      </c>
      <c r="B90" s="42" t="inlineStr">
        <is>
          <t xml:space="preserve">Gauteng</t>
        </is>
      </c>
      <c r="C90" s="42" t="inlineStr">
        <is>
          <t xml:space="preserve">%</t>
        </is>
      </c>
      <c r="D90" s="42" t="inlineStr">
        <is>
          <t xml:space="preserve">December 2023</t>
        </is>
      </c>
      <c r="E90" s="43" t="n">
        <v>24.8</v>
      </c>
      <c r="K90" s="42" t="n"/>
      <c r="L90" s="42" t="n"/>
      <c r="M90" s="42" t="n"/>
      <c r="N90" s="42" t="n"/>
      <c r="O90" s="42" t="n"/>
      <c r="P90" s="42" t="inlineStr">
        <is>
          <t xml:space="preserve">Calculated</t>
        </is>
      </c>
      <c r="Q90" s="42" t="inlineStr">
        <is>
          <t xml:space="preserve">Calculated from the bulletin</t>
        </is>
      </c>
      <c r="R90" s="42" t="inlineStr">
        <is>
          <t xml:space="preserve"/>
        </is>
      </c>
      <c r="S90" s="42" t="inlineStr">
        <is>
          <t xml:space="preserve"/>
        </is>
      </c>
    </row>
    <row r="91" ht="42.5" customHeight="1">
      <c r="A91" s="42" t="inlineStr">
        <is>
          <t xml:space="preserve">Diesel vehicles by class, estimated</t>
        </is>
      </c>
      <c r="B91" s="42" t="inlineStr">
        <is>
          <t xml:space="preserve">cars</t>
        </is>
      </c>
      <c r="C91" s="42" t="inlineStr">
        <is>
          <t xml:space="preserve">vehicles</t>
        </is>
      </c>
      <c r="D91" s="42" t="inlineStr">
        <is>
          <t xml:space="preserve">December 2023</t>
        </is>
      </c>
      <c r="E91" s="64" t="n">
        <v>1080644</v>
      </c>
      <c r="K91" s="42" t="n"/>
      <c r="L91" s="42" t="n"/>
      <c r="M91" s="42" t="n"/>
      <c r="N91" s="42" t="n"/>
      <c r="O91" s="42" t="n"/>
      <c r="P91" s="42" t="inlineStr">
        <is>
          <t xml:space="preserve">Calculated</t>
        </is>
      </c>
      <c r="Q91" s="42" t="inlineStr">
        <is>
          <t xml:space="preserve">Calculated from the register (December 2023), the transport bulletin (December 2023) and Stone et al. (2018)</t>
        </is>
      </c>
      <c r="R91" s="42" t="inlineStr">
        <is>
          <t xml:space="preserve"/>
        </is>
      </c>
      <c r="S91" s="42" t="inlineStr">
        <is>
          <t xml:space="preserve">Estimated, not published: each class's diesel share in the 2010 fleet (Stone et al. 2018) moved by one common factor so the classes add up to the bulletin's diesel total. Nothing published crosses fuel with class.</t>
        </is>
      </c>
    </row>
    <row r="92" ht="42.5" customHeight="1">
      <c r="A92" s="42" t="inlineStr">
        <is>
          <t xml:space="preserve">Diesel vehicles by class, estimated</t>
        </is>
      </c>
      <c r="B92" s="42" t="inlineStr">
        <is>
          <t xml:space="preserve">light commercial</t>
        </is>
      </c>
      <c r="C92" s="42" t="inlineStr">
        <is>
          <t xml:space="preserve">vehicles</t>
        </is>
      </c>
      <c r="D92" s="42" t="inlineStr">
        <is>
          <t xml:space="preserve">December 2023</t>
        </is>
      </c>
      <c r="E92" s="64" t="n">
        <v>1506107</v>
      </c>
      <c r="K92" s="42" t="n"/>
      <c r="L92" s="42" t="n"/>
      <c r="M92" s="42" t="n"/>
      <c r="N92" s="42" t="n"/>
      <c r="O92" s="42" t="n"/>
      <c r="P92" s="42" t="inlineStr">
        <is>
          <t xml:space="preserve">Calculated</t>
        </is>
      </c>
      <c r="Q92" s="42" t="inlineStr">
        <is>
          <t xml:space="preserve">Calculated from the register (December 2023), the transport bulletin (December 2023) and Stone et al. (2018)</t>
        </is>
      </c>
      <c r="R92" s="42" t="inlineStr">
        <is>
          <t xml:space="preserve"/>
        </is>
      </c>
      <c r="S92" s="42" t="inlineStr">
        <is>
          <t xml:space="preserve">Estimated, not published: each class's diesel share in the 2010 fleet (Stone et al. 2018) moved by one common factor so the classes add up to the bulletin's diesel total. Nothing published crosses fuel with class.</t>
        </is>
      </c>
    </row>
    <row r="93" ht="42.5" customHeight="1">
      <c r="A93" s="42" t="inlineStr">
        <is>
          <t xml:space="preserve">Diesel vehicles by class, estimated</t>
        </is>
      </c>
      <c r="B93" s="42" t="inlineStr">
        <is>
          <t xml:space="preserve">trucks</t>
        </is>
      </c>
      <c r="C93" s="42" t="inlineStr">
        <is>
          <t xml:space="preserve">vehicles</t>
        </is>
      </c>
      <c r="D93" s="42" t="inlineStr">
        <is>
          <t xml:space="preserve">December 2023</t>
        </is>
      </c>
      <c r="E93" s="64" t="n">
        <v>388778</v>
      </c>
      <c r="K93" s="42" t="n"/>
      <c r="L93" s="42" t="n"/>
      <c r="M93" s="42" t="n"/>
      <c r="N93" s="42" t="n"/>
      <c r="O93" s="42" t="n"/>
      <c r="P93" s="42" t="inlineStr">
        <is>
          <t xml:space="preserve">Calculated</t>
        </is>
      </c>
      <c r="Q93" s="42" t="inlineStr">
        <is>
          <t xml:space="preserve">Calculated from the register (December 2023), the transport bulletin (December 2023) and Stone et al. (2018)</t>
        </is>
      </c>
      <c r="R93" s="42" t="inlineStr">
        <is>
          <t xml:space="preserve"/>
        </is>
      </c>
      <c r="S93" s="42" t="inlineStr">
        <is>
          <t xml:space="preserve">Estimated, not published: each class's diesel share in the 2010 fleet (Stone et al. 2018) moved by one common factor so the classes add up to the bulletin's diesel total. Nothing published crosses fuel with class.</t>
        </is>
      </c>
    </row>
    <row r="94" ht="42.5" customHeight="1">
      <c r="A94" s="42" t="inlineStr">
        <is>
          <t xml:space="preserve">Diesel vehicles by class, estimated</t>
        </is>
      </c>
      <c r="B94" s="42" t="inlineStr">
        <is>
          <t xml:space="preserve">buses</t>
        </is>
      </c>
      <c r="C94" s="42" t="inlineStr">
        <is>
          <t xml:space="preserve">vehicles</t>
        </is>
      </c>
      <c r="D94" s="42" t="inlineStr">
        <is>
          <t xml:space="preserve">December 2023</t>
        </is>
      </c>
      <c r="E94" s="64" t="n">
        <v>64982</v>
      </c>
      <c r="K94" s="42" t="n"/>
      <c r="L94" s="42" t="n"/>
      <c r="M94" s="42" t="n"/>
      <c r="N94" s="42" t="n"/>
      <c r="O94" s="42" t="n"/>
      <c r="P94" s="42" t="inlineStr">
        <is>
          <t xml:space="preserve">Calculated</t>
        </is>
      </c>
      <c r="Q94" s="42" t="inlineStr">
        <is>
          <t xml:space="preserve">Calculated from the register (December 2023), the transport bulletin (December 2023) and Stone et al. (2018)</t>
        </is>
      </c>
      <c r="R94" s="42" t="inlineStr">
        <is>
          <t xml:space="preserve"/>
        </is>
      </c>
      <c r="S94" s="42" t="inlineStr">
        <is>
          <t xml:space="preserve">Estimated, not published: each class's diesel share in the 2010 fleet (Stone et al. 2018) moved by one common factor so the classes add up to the bulletin's diesel total. Nothing published crosses fuel with class.</t>
        </is>
      </c>
    </row>
    <row r="95" ht="42.5" customHeight="1">
      <c r="A95" s="42" t="inlineStr">
        <is>
          <t xml:space="preserve">Diesel vehicles by class, estimated</t>
        </is>
      </c>
      <c r="B95" s="42" t="inlineStr">
        <is>
          <t xml:space="preserve">minibuses</t>
        </is>
      </c>
      <c r="C95" s="42" t="inlineStr">
        <is>
          <t xml:space="preserve">vehicles</t>
        </is>
      </c>
      <c r="D95" s="42" t="inlineStr">
        <is>
          <t xml:space="preserve">December 2023</t>
        </is>
      </c>
      <c r="E95" s="64" t="n">
        <v>54087</v>
      </c>
      <c r="K95" s="42" t="n"/>
      <c r="L95" s="42" t="n"/>
      <c r="M95" s="42" t="n"/>
      <c r="N95" s="42" t="n"/>
      <c r="O95" s="42" t="n"/>
      <c r="P95" s="42" t="inlineStr">
        <is>
          <t xml:space="preserve">Calculated</t>
        </is>
      </c>
      <c r="Q95" s="42" t="inlineStr">
        <is>
          <t xml:space="preserve">Calculated from the register (December 2023), the transport bulletin (December 2023) and Stone et al. (2018)</t>
        </is>
      </c>
      <c r="R95" s="42" t="inlineStr">
        <is>
          <t xml:space="preserve"/>
        </is>
      </c>
      <c r="S95" s="42" t="inlineStr">
        <is>
          <t xml:space="preserve">Estimated, not published: each class's diesel share in the 2010 fleet (Stone et al. 2018) moved by one common factor so the classes add up to the bulletin's diesel total. Nothing published crosses fuel with class.</t>
        </is>
      </c>
    </row>
    <row r="96" ht="42.5" customHeight="1">
      <c r="A96" s="42" t="inlineStr">
        <is>
          <t xml:space="preserve">Diesel vehicles by class, estimated</t>
        </is>
      </c>
      <c r="B96" s="42" t="inlineStr">
        <is>
          <t xml:space="preserve">motorcycles</t>
        </is>
      </c>
      <c r="C96" s="42" t="inlineStr">
        <is>
          <t xml:space="preserve">vehicles</t>
        </is>
      </c>
      <c r="D96" s="42" t="inlineStr">
        <is>
          <t xml:space="preserve">December 2023</t>
        </is>
      </c>
      <c r="E96" s="64" t="n">
        <v>0</v>
      </c>
      <c r="K96" s="42" t="n"/>
      <c r="L96" s="42" t="n"/>
      <c r="M96" s="42" t="n"/>
      <c r="N96" s="42" t="n"/>
      <c r="O96" s="42" t="n"/>
      <c r="P96" s="42" t="inlineStr">
        <is>
          <t xml:space="preserve">Calculated</t>
        </is>
      </c>
      <c r="Q96" s="42" t="inlineStr">
        <is>
          <t xml:space="preserve">Calculated from the register (December 2023), the transport bulletin (December 2023) and Stone et al. (2018)</t>
        </is>
      </c>
      <c r="R96" s="42" t="inlineStr">
        <is>
          <t xml:space="preserve"/>
        </is>
      </c>
      <c r="S96" s="42" t="inlineStr">
        <is>
          <t xml:space="preserve">Estimated, not published: each class's diesel share in the 2010 fleet (Stone et al. 2018) moved by one common factor so the classes add up to the bulletin's diesel total. Nothing published crosses fuel with class.</t>
        </is>
      </c>
    </row>
    <row r="97" ht="42.5" customHeight="1">
      <c r="A97" s="42" t="inlineStr">
        <is>
          <t xml:space="preserve">Diesel vehicles by class, estimated</t>
        </is>
      </c>
      <c r="B97" s="42" t="inlineStr">
        <is>
          <t xml:space="preserve">other self propelled</t>
        </is>
      </c>
      <c r="C97" s="42" t="inlineStr">
        <is>
          <t xml:space="preserve">vehicles</t>
        </is>
      </c>
      <c r="D97" s="42" t="inlineStr">
        <is>
          <t xml:space="preserve">December 2023</t>
        </is>
      </c>
      <c r="E97" s="64" t="n">
        <v>238955</v>
      </c>
      <c r="K97" s="42" t="n"/>
      <c r="L97" s="42" t="n"/>
      <c r="M97" s="42" t="n"/>
      <c r="N97" s="42" t="n"/>
      <c r="O97" s="42" t="n"/>
      <c r="P97" s="42" t="inlineStr">
        <is>
          <t xml:space="preserve">Calculated</t>
        </is>
      </c>
      <c r="Q97" s="42" t="inlineStr">
        <is>
          <t xml:space="preserve">Calculated from the register (December 2023), the transport bulletin (December 2023) and Stone et al. (2018)</t>
        </is>
      </c>
      <c r="R97" s="42" t="inlineStr">
        <is>
          <t xml:space="preserve"/>
        </is>
      </c>
      <c r="S97" s="42" t="inlineStr">
        <is>
          <t xml:space="preserve">Estimated, not published: each class's diesel share in the 2010 fleet (Stone et al. 2018) moved by one common factor so the classes add up to the bulletin's diesel total. Nothing published crosses fuel with class.</t>
        </is>
      </c>
    </row>
    <row r="98" ht="42.5" customHeight="1">
      <c r="A98" s="42" t="inlineStr">
        <is>
          <t xml:space="preserve">Petrol vehicles by class, estimated</t>
        </is>
      </c>
      <c r="B98" s="42" t="inlineStr">
        <is>
          <t xml:space="preserve">cars</t>
        </is>
      </c>
      <c r="C98" s="42" t="inlineStr">
        <is>
          <t xml:space="preserve">vehicles</t>
        </is>
      </c>
      <c r="D98" s="42" t="inlineStr">
        <is>
          <t xml:space="preserve">December 2023</t>
        </is>
      </c>
      <c r="E98" s="64" t="n">
        <v>6713520</v>
      </c>
      <c r="K98" s="42" t="n"/>
      <c r="L98" s="42" t="n"/>
      <c r="M98" s="42" t="n"/>
      <c r="N98" s="42" t="n"/>
      <c r="O98" s="42" t="n"/>
      <c r="P98" s="42" t="inlineStr">
        <is>
          <t xml:space="preserve">Calculated</t>
        </is>
      </c>
      <c r="Q98" s="42" t="inlineStr">
        <is>
          <t xml:space="preserve">Calculated from the register (December 2023), the transport bulletin (December 2023) and Stone et al. (2018)</t>
        </is>
      </c>
      <c r="R98" s="42" t="inlineStr">
        <is>
          <t xml:space="preserve"/>
        </is>
      </c>
      <c r="S98" s="42" t="inlineStr">
        <is>
          <t xml:space="preserve">Estimated, not published: each class's diesel share in the 2010 fleet (Stone et al. 2018) moved by one common factor so the classes add up to the bulletin's diesel total. Nothing published crosses fuel with class.</t>
        </is>
      </c>
    </row>
    <row r="99" ht="42.5" customHeight="1">
      <c r="A99" s="42" t="inlineStr">
        <is>
          <t xml:space="preserve">Petrol vehicles by class, estimated</t>
        </is>
      </c>
      <c r="B99" s="42" t="inlineStr">
        <is>
          <t xml:space="preserve">light commercial</t>
        </is>
      </c>
      <c r="C99" s="42" t="inlineStr">
        <is>
          <t xml:space="preserve">vehicles</t>
        </is>
      </c>
      <c r="D99" s="42" t="inlineStr">
        <is>
          <t xml:space="preserve">December 2023</t>
        </is>
      </c>
      <c r="E99" s="64" t="n">
        <v>1183203</v>
      </c>
      <c r="K99" s="42" t="n"/>
      <c r="L99" s="42" t="n"/>
      <c r="M99" s="42" t="n"/>
      <c r="N99" s="42" t="n"/>
      <c r="O99" s="42" t="n"/>
      <c r="P99" s="42" t="inlineStr">
        <is>
          <t xml:space="preserve">Calculated</t>
        </is>
      </c>
      <c r="Q99" s="42" t="inlineStr">
        <is>
          <t xml:space="preserve">Calculated from the register (December 2023), the transport bulletin (December 2023) and Stone et al. (2018)</t>
        </is>
      </c>
      <c r="R99" s="42" t="inlineStr">
        <is>
          <t xml:space="preserve"/>
        </is>
      </c>
      <c r="S99" s="42" t="inlineStr">
        <is>
          <t xml:space="preserve">Estimated, not published: each class's diesel share in the 2010 fleet (Stone et al. 2018) moved by one common factor so the classes add up to the bulletin's diesel total. Nothing published crosses fuel with class.</t>
        </is>
      </c>
    </row>
    <row r="100" ht="42.5" customHeight="1">
      <c r="A100" s="42" t="inlineStr">
        <is>
          <t xml:space="preserve">Petrol vehicles by class, estimated</t>
        </is>
      </c>
      <c r="B100" s="42" t="inlineStr">
        <is>
          <t xml:space="preserve">trucks</t>
        </is>
      </c>
      <c r="C100" s="42" t="inlineStr">
        <is>
          <t xml:space="preserve">vehicles</t>
        </is>
      </c>
      <c r="D100" s="42" t="inlineStr">
        <is>
          <t xml:space="preserve">December 2023</t>
        </is>
      </c>
      <c r="E100" s="64" t="n">
        <v>3571</v>
      </c>
      <c r="K100" s="42" t="n"/>
      <c r="L100" s="42" t="n"/>
      <c r="M100" s="42" t="n"/>
      <c r="N100" s="42" t="n"/>
      <c r="O100" s="42" t="n"/>
      <c r="P100" s="42" t="inlineStr">
        <is>
          <t xml:space="preserve">Calculated</t>
        </is>
      </c>
      <c r="Q100" s="42" t="inlineStr">
        <is>
          <t xml:space="preserve">Calculated from the register (December 2023), the transport bulletin (December 2023) and Stone et al. (2018)</t>
        </is>
      </c>
      <c r="R100" s="42" t="inlineStr">
        <is>
          <t xml:space="preserve"/>
        </is>
      </c>
      <c r="S100" s="42" t="inlineStr">
        <is>
          <t xml:space="preserve">Estimated, not published: each class's diesel share in the 2010 fleet (Stone et al. 2018) moved by one common factor so the classes add up to the bulletin's diesel total. Nothing published crosses fuel with class.</t>
        </is>
      </c>
    </row>
    <row r="101" ht="42.5" customHeight="1">
      <c r="A101" s="42" t="inlineStr">
        <is>
          <t xml:space="preserve">Petrol vehicles by class, estimated</t>
        </is>
      </c>
      <c r="B101" s="42" t="inlineStr">
        <is>
          <t xml:space="preserve">buses</t>
        </is>
      </c>
      <c r="C101" s="42" t="inlineStr">
        <is>
          <t xml:space="preserve">vehicles</t>
        </is>
      </c>
      <c r="D101" s="42" t="inlineStr">
        <is>
          <t xml:space="preserve">December 2023</t>
        </is>
      </c>
      <c r="E101" s="64" t="n">
        <v>0</v>
      </c>
      <c r="K101" s="42" t="n"/>
      <c r="L101" s="42" t="n"/>
      <c r="M101" s="42" t="n"/>
      <c r="N101" s="42" t="n"/>
      <c r="O101" s="42" t="n"/>
      <c r="P101" s="42" t="inlineStr">
        <is>
          <t xml:space="preserve">Calculated</t>
        </is>
      </c>
      <c r="Q101" s="42" t="inlineStr">
        <is>
          <t xml:space="preserve">Calculated from the register (December 2023), the transport bulletin (December 2023) and Stone et al. (2018)</t>
        </is>
      </c>
      <c r="R101" s="42" t="inlineStr">
        <is>
          <t xml:space="preserve"/>
        </is>
      </c>
      <c r="S101" s="42" t="inlineStr">
        <is>
          <t xml:space="preserve">Estimated, not published: each class's diesel share in the 2010 fleet (Stone et al. 2018) moved by one common factor so the classes add up to the bulletin's diesel total. Nothing published crosses fuel with class.</t>
        </is>
      </c>
    </row>
    <row r="102" ht="42.5" customHeight="1">
      <c r="A102" s="42" t="inlineStr">
        <is>
          <t xml:space="preserve">Petrol vehicles by class, estimated</t>
        </is>
      </c>
      <c r="B102" s="42" t="inlineStr">
        <is>
          <t xml:space="preserve">minibuses</t>
        </is>
      </c>
      <c r="C102" s="42" t="inlineStr">
        <is>
          <t xml:space="preserve">vehicles</t>
        </is>
      </c>
      <c r="D102" s="42" t="inlineStr">
        <is>
          <t xml:space="preserve">December 2023</t>
        </is>
      </c>
      <c r="E102" s="64" t="n">
        <v>301148</v>
      </c>
      <c r="K102" s="42" t="n"/>
      <c r="L102" s="42" t="n"/>
      <c r="M102" s="42" t="n"/>
      <c r="N102" s="42" t="n"/>
      <c r="O102" s="42" t="n"/>
      <c r="P102" s="42" t="inlineStr">
        <is>
          <t xml:space="preserve">Calculated</t>
        </is>
      </c>
      <c r="Q102" s="42" t="inlineStr">
        <is>
          <t xml:space="preserve">Calculated from the register (December 2023), the transport bulletin (December 2023) and Stone et al. (2018)</t>
        </is>
      </c>
      <c r="R102" s="42" t="inlineStr">
        <is>
          <t xml:space="preserve"/>
        </is>
      </c>
      <c r="S102" s="42" t="inlineStr">
        <is>
          <t xml:space="preserve">Estimated, not published: each class's diesel share in the 2010 fleet (Stone et al. 2018) moved by one common factor so the classes add up to the bulletin's diesel total. Nothing published crosses fuel with class.</t>
        </is>
      </c>
    </row>
    <row r="103" ht="42.5" customHeight="1">
      <c r="A103" s="42" t="inlineStr">
        <is>
          <t xml:space="preserve">Petrol vehicles by class, estimated</t>
        </is>
      </c>
      <c r="B103" s="42" t="inlineStr">
        <is>
          <t xml:space="preserve">motorcycles</t>
        </is>
      </c>
      <c r="C103" s="42" t="inlineStr">
        <is>
          <t xml:space="preserve">vehicles</t>
        </is>
      </c>
      <c r="D103" s="42" t="inlineStr">
        <is>
          <t xml:space="preserve">December 2023</t>
        </is>
      </c>
      <c r="E103" s="64" t="n">
        <v>349215</v>
      </c>
      <c r="K103" s="42" t="n"/>
      <c r="L103" s="42" t="n"/>
      <c r="M103" s="42" t="n"/>
      <c r="N103" s="42" t="n"/>
      <c r="O103" s="42" t="n"/>
      <c r="P103" s="42" t="inlineStr">
        <is>
          <t xml:space="preserve">Calculated</t>
        </is>
      </c>
      <c r="Q103" s="42" t="inlineStr">
        <is>
          <t xml:space="preserve">Calculated from the register (December 2023), the transport bulletin (December 2023) and Stone et al. (2018)</t>
        </is>
      </c>
      <c r="R103" s="42" t="inlineStr">
        <is>
          <t xml:space="preserve"/>
        </is>
      </c>
      <c r="S103" s="42" t="inlineStr">
        <is>
          <t xml:space="preserve">Estimated, not published: each class's diesel share in the 2010 fleet (Stone et al. 2018) moved by one common factor so the classes add up to the bulletin's diesel total. Nothing published crosses fuel with class.</t>
        </is>
      </c>
    </row>
    <row r="104" ht="42.5" customHeight="1">
      <c r="A104" s="42" t="inlineStr">
        <is>
          <t xml:space="preserve">Petrol vehicles by class, estimated</t>
        </is>
      </c>
      <c r="B104" s="42" t="inlineStr">
        <is>
          <t xml:space="preserve">other self propelled</t>
        </is>
      </c>
      <c r="C104" s="42" t="inlineStr">
        <is>
          <t xml:space="preserve">vehicles</t>
        </is>
      </c>
      <c r="D104" s="42" t="inlineStr">
        <is>
          <t xml:space="preserve">December 2023</t>
        </is>
      </c>
      <c r="E104" s="64" t="n">
        <v>0</v>
      </c>
      <c r="K104" s="42" t="n"/>
      <c r="L104" s="42" t="n"/>
      <c r="M104" s="42" t="n"/>
      <c r="N104" s="42" t="n"/>
      <c r="O104" s="42" t="n"/>
      <c r="P104" s="42" t="inlineStr">
        <is>
          <t xml:space="preserve">Calculated</t>
        </is>
      </c>
      <c r="Q104" s="42" t="inlineStr">
        <is>
          <t xml:space="preserve">Calculated from the register (December 2023), the transport bulletin (December 2023) and Stone et al. (2018)</t>
        </is>
      </c>
      <c r="R104" s="42" t="inlineStr">
        <is>
          <t xml:space="preserve"/>
        </is>
      </c>
      <c r="S104" s="42" t="inlineStr">
        <is>
          <t xml:space="preserve">Estimated, not published: each class's diesel share in the 2010 fleet (Stone et al. 2018) moved by one common factor so the classes add up to the bulletin's diesel total. Nothing published crosses fuel with class.</t>
        </is>
      </c>
    </row>
    <row r="105" ht="42.5" customHeight="1">
      <c r="A105" s="42" t="inlineStr">
        <is>
          <t xml:space="preserve">Diesel share by class, estimated</t>
        </is>
      </c>
      <c r="B105" s="42" t="inlineStr">
        <is>
          <t xml:space="preserve">cars</t>
        </is>
      </c>
      <c r="C105" s="42" t="inlineStr">
        <is>
          <t xml:space="preserve">%</t>
        </is>
      </c>
      <c r="D105" s="42" t="inlineStr">
        <is>
          <t xml:space="preserve">December 2023</t>
        </is>
      </c>
      <c r="E105" s="43" t="n">
        <v>13.9</v>
      </c>
      <c r="K105" s="42" t="n"/>
      <c r="L105" s="42" t="n"/>
      <c r="M105" s="42" t="n"/>
      <c r="N105" s="42" t="n"/>
      <c r="O105" s="42" t="n"/>
      <c r="P105" s="42" t="inlineStr">
        <is>
          <t xml:space="preserve">Calculated</t>
        </is>
      </c>
      <c r="Q105" s="42" t="inlineStr">
        <is>
          <t xml:space="preserve">Calculated from the register (December 2023), the transport bulletin (December 2023) and Stone et al. (2018)</t>
        </is>
      </c>
      <c r="R105" s="42" t="inlineStr">
        <is>
          <t xml:space="preserve"/>
        </is>
      </c>
      <c r="S105" s="42" t="inlineStr">
        <is>
          <t xml:space="preserve">The common factor is 2.08: diesel has gained share in every mixed class since 2010. Tractors and plant are taken as all diesel, an assumption.</t>
        </is>
      </c>
    </row>
    <row r="106" ht="42.5" customHeight="1">
      <c r="A106" s="42" t="inlineStr">
        <is>
          <t xml:space="preserve">Diesel share by class, estimated</t>
        </is>
      </c>
      <c r="B106" s="42" t="inlineStr">
        <is>
          <t xml:space="preserve">light commercial</t>
        </is>
      </c>
      <c r="C106" s="42" t="inlineStr">
        <is>
          <t xml:space="preserve">%</t>
        </is>
      </c>
      <c r="D106" s="42" t="inlineStr">
        <is>
          <t xml:space="preserve">December 2023</t>
        </is>
      </c>
      <c r="E106" s="43" t="n">
        <v>56</v>
      </c>
      <c r="K106" s="42" t="n"/>
      <c r="L106" s="42" t="n"/>
      <c r="M106" s="42" t="n"/>
      <c r="N106" s="42" t="n"/>
      <c r="O106" s="42" t="n"/>
      <c r="P106" s="42" t="inlineStr">
        <is>
          <t xml:space="preserve">Calculated</t>
        </is>
      </c>
      <c r="Q106" s="42" t="inlineStr">
        <is>
          <t xml:space="preserve">Calculated from the register (December 2023), the transport bulletin (December 2023) and Stone et al. (2018)</t>
        </is>
      </c>
      <c r="R106" s="42" t="inlineStr">
        <is>
          <t xml:space="preserve"/>
        </is>
      </c>
      <c r="S106" s="42" t="inlineStr">
        <is>
          <t xml:space="preserve">The common factor is 2.08: diesel has gained share in every mixed class since 2010. Tractors and plant are taken as all diesel, an assumption.</t>
        </is>
      </c>
    </row>
    <row r="107" ht="42.5" customHeight="1">
      <c r="A107" s="42" t="inlineStr">
        <is>
          <t xml:space="preserve">Diesel share by class, estimated</t>
        </is>
      </c>
      <c r="B107" s="42" t="inlineStr">
        <is>
          <t xml:space="preserve">trucks</t>
        </is>
      </c>
      <c r="C107" s="42" t="inlineStr">
        <is>
          <t xml:space="preserve">%</t>
        </is>
      </c>
      <c r="D107" s="42" t="inlineStr">
        <is>
          <t xml:space="preserve">December 2023</t>
        </is>
      </c>
      <c r="E107" s="43" t="n">
        <v>99.09999999999999</v>
      </c>
      <c r="K107" s="42" t="n"/>
      <c r="L107" s="42" t="n"/>
      <c r="M107" s="42" t="n"/>
      <c r="N107" s="42" t="n"/>
      <c r="O107" s="42" t="n"/>
      <c r="P107" s="42" t="inlineStr">
        <is>
          <t xml:space="preserve">Calculated</t>
        </is>
      </c>
      <c r="Q107" s="42" t="inlineStr">
        <is>
          <t xml:space="preserve">Calculated from the register (December 2023), the transport bulletin (December 2023) and Stone et al. (2018)</t>
        </is>
      </c>
      <c r="R107" s="42" t="inlineStr">
        <is>
          <t xml:space="preserve"/>
        </is>
      </c>
      <c r="S107" s="42" t="inlineStr">
        <is>
          <t xml:space="preserve">The common factor is 2.08: diesel has gained share in every mixed class since 2010. Tractors and plant are taken as all diesel, an assumption.</t>
        </is>
      </c>
    </row>
    <row r="108" ht="42.5" customHeight="1">
      <c r="A108" s="42" t="inlineStr">
        <is>
          <t xml:space="preserve">Diesel share by class, estimated</t>
        </is>
      </c>
      <c r="B108" s="42" t="inlineStr">
        <is>
          <t xml:space="preserve">buses</t>
        </is>
      </c>
      <c r="C108" s="42" t="inlineStr">
        <is>
          <t xml:space="preserve">%</t>
        </is>
      </c>
      <c r="D108" s="42" t="inlineStr">
        <is>
          <t xml:space="preserve">December 2023</t>
        </is>
      </c>
      <c r="E108" s="65" t="n">
        <v>100</v>
      </c>
      <c r="K108" s="42" t="n"/>
      <c r="L108" s="42" t="n"/>
      <c r="M108" s="42" t="n"/>
      <c r="N108" s="42" t="n"/>
      <c r="O108" s="42" t="n"/>
      <c r="P108" s="42" t="inlineStr">
        <is>
          <t xml:space="preserve">Calculated</t>
        </is>
      </c>
      <c r="Q108" s="42" t="inlineStr">
        <is>
          <t xml:space="preserve">Calculated from the register (December 2023), the transport bulletin (December 2023) and Stone et al. (2018)</t>
        </is>
      </c>
      <c r="R108" s="42" t="inlineStr">
        <is>
          <t xml:space="preserve"/>
        </is>
      </c>
      <c r="S108" s="42" t="inlineStr">
        <is>
          <t xml:space="preserve">The common factor is 2.08: diesel has gained share in every mixed class since 2010. Tractors and plant are taken as all diesel, an assumption.</t>
        </is>
      </c>
    </row>
    <row r="109" ht="42.5" customHeight="1">
      <c r="A109" s="42" t="inlineStr">
        <is>
          <t xml:space="preserve">Diesel share by class, estimated</t>
        </is>
      </c>
      <c r="B109" s="42" t="inlineStr">
        <is>
          <t xml:space="preserve">minibuses</t>
        </is>
      </c>
      <c r="C109" s="42" t="inlineStr">
        <is>
          <t xml:space="preserve">%</t>
        </is>
      </c>
      <c r="D109" s="42" t="inlineStr">
        <is>
          <t xml:space="preserve">December 2023</t>
        </is>
      </c>
      <c r="E109" s="43" t="n">
        <v>15.2</v>
      </c>
      <c r="K109" s="42" t="n"/>
      <c r="L109" s="42" t="n"/>
      <c r="M109" s="42" t="n"/>
      <c r="N109" s="42" t="n"/>
      <c r="O109" s="42" t="n"/>
      <c r="P109" s="42" t="inlineStr">
        <is>
          <t xml:space="preserve">Calculated</t>
        </is>
      </c>
      <c r="Q109" s="42" t="inlineStr">
        <is>
          <t xml:space="preserve">Calculated from the register (December 2023), the transport bulletin (December 2023) and Stone et al. (2018)</t>
        </is>
      </c>
      <c r="R109" s="42" t="inlineStr">
        <is>
          <t xml:space="preserve"/>
        </is>
      </c>
      <c r="S109" s="42" t="inlineStr">
        <is>
          <t xml:space="preserve">The common factor is 2.08: diesel has gained share in every mixed class since 2010. Tractors and plant are taken as all diesel, an assumption.</t>
        </is>
      </c>
    </row>
    <row r="110" ht="42.5" customHeight="1">
      <c r="A110" s="42" t="inlineStr">
        <is>
          <t xml:space="preserve">Diesel share by class, estimated</t>
        </is>
      </c>
      <c r="B110" s="42" t="inlineStr">
        <is>
          <t xml:space="preserve">motorcycles</t>
        </is>
      </c>
      <c r="C110" s="42" t="inlineStr">
        <is>
          <t xml:space="preserve">%</t>
        </is>
      </c>
      <c r="D110" s="42" t="inlineStr">
        <is>
          <t xml:space="preserve">December 2023</t>
        </is>
      </c>
      <c r="E110" s="43" t="n">
        <v>0</v>
      </c>
      <c r="K110" s="42" t="n"/>
      <c r="L110" s="42" t="n"/>
      <c r="M110" s="42" t="n"/>
      <c r="N110" s="42" t="n"/>
      <c r="O110" s="42" t="n"/>
      <c r="P110" s="42" t="inlineStr">
        <is>
          <t xml:space="preserve">Calculated</t>
        </is>
      </c>
      <c r="Q110" s="42" t="inlineStr">
        <is>
          <t xml:space="preserve">Calculated from the register (December 2023), the transport bulletin (December 2023) and Stone et al. (2018)</t>
        </is>
      </c>
      <c r="R110" s="42" t="inlineStr">
        <is>
          <t xml:space="preserve"/>
        </is>
      </c>
      <c r="S110" s="42" t="inlineStr">
        <is>
          <t xml:space="preserve">The common factor is 2.08: diesel has gained share in every mixed class since 2010. Tractors and plant are taken as all diesel, an assumption.</t>
        </is>
      </c>
    </row>
    <row r="111" ht="42.5" customHeight="1">
      <c r="A111" s="42" t="inlineStr">
        <is>
          <t xml:space="preserve">Diesel share by class, estimated</t>
        </is>
      </c>
      <c r="B111" s="42" t="inlineStr">
        <is>
          <t xml:space="preserve">other self propelled</t>
        </is>
      </c>
      <c r="C111" s="42" t="inlineStr">
        <is>
          <t xml:space="preserve">%</t>
        </is>
      </c>
      <c r="D111" s="42" t="inlineStr">
        <is>
          <t xml:space="preserve">December 2023</t>
        </is>
      </c>
      <c r="E111" s="65" t="n">
        <v>100</v>
      </c>
      <c r="K111" s="42" t="n"/>
      <c r="L111" s="42" t="n"/>
      <c r="M111" s="42" t="n"/>
      <c r="N111" s="42" t="n"/>
      <c r="O111" s="42" t="n"/>
      <c r="P111" s="42" t="inlineStr">
        <is>
          <t xml:space="preserve">Calculated</t>
        </is>
      </c>
      <c r="Q111" s="42" t="inlineStr">
        <is>
          <t xml:space="preserve">Calculated from the register (December 2023), the transport bulletin (December 2023) and Stone et al. (2018)</t>
        </is>
      </c>
      <c r="R111" s="42" t="inlineStr">
        <is>
          <t xml:space="preserve"/>
        </is>
      </c>
      <c r="S111" s="42" t="inlineStr">
        <is>
          <t xml:space="preserve">The common factor is 2.08: diesel has gained share in every mixed class since 2010. Tractors and plant are taken as all diesel, an assumption.</t>
        </is>
      </c>
    </row>
    <row r="112" ht="29" customHeight="1">
      <c r="A112" s="38" t="inlineStr">
        <is>
          <t xml:space="preserve">Average age of vehicles</t>
        </is>
      </c>
      <c r="B112" s="38" t="inlineStr">
        <is>
          <t xml:space="preserve">All vehicles and passenger vehicles</t>
        </is>
      </c>
      <c r="C112" s="38" t="inlineStr">
        <is>
          <t xml:space="preserve">years</t>
        </is>
      </c>
      <c r="D112" s="38" t="inlineStr">
        <is>
          <t xml:space="preserve">2022</t>
        </is>
      </c>
      <c r="E112" s="47" t="n">
        <v>10.5</v>
      </c>
      <c r="K112" s="38" t="n"/>
      <c r="L112" s="38" t="n"/>
      <c r="M112" s="38" t="n"/>
      <c r="N112" s="38" t="n"/>
      <c r="O112" s="38" t="n"/>
      <c r="P112" s="38" t="inlineStr">
        <is>
          <t xml:space="preserve">From source</t>
        </is>
      </c>
      <c r="Q112" s="38" t="inlineStr">
        <is>
          <t xml:space="preserve">Lightstone Auto Insights, April 2022</t>
        </is>
      </c>
      <c r="R112" s="38" t="inlineStr">
        <is>
          <t xml:space="preserve"/>
        </is>
      </c>
      <c r="S112" s="38" t="inlineStr">
        <is>
          <t xml:space="preserve">Ten years and six months, up from nine years and four months for passenger vehicles in 2014 and 2015.</t>
        </is>
      </c>
    </row>
    <row r="113" ht="48" customHeight="1">
      <c r="A113" s="45" t="inlineStr">
        <is>
          <t xml:space="preserve">Vehicles by year of age</t>
        </is>
      </c>
      <c r="B113" s="45" t="inlineStr">
        <is>
          <t xml:space="preserve">South Africa</t>
        </is>
      </c>
      <c r="C113" s="45" t="inlineStr">
        <is>
          <t xml:space="preserve">vehicles</t>
        </is>
      </c>
      <c r="D113" s="45" t="inlineStr">
        <is>
          <t xml:space="preserve"/>
        </is>
      </c>
      <c r="E113" s="45" t="inlineStr">
        <is>
          <t xml:space="preserve">Not available</t>
        </is>
      </c>
      <c r="K113" s="45" t="n"/>
      <c r="L113" s="45" t="n"/>
      <c r="M113" s="45" t="n"/>
      <c r="N113" s="45" t="n"/>
      <c r="O113" s="45" t="n"/>
      <c r="P113" s="45" t="inlineStr">
        <is>
          <t xml:space="preserve">Not available</t>
        </is>
      </c>
      <c r="Q113" s="45" t="inlineStr">
        <is>
          <t xml:space="preserve">None published</t>
        </is>
      </c>
      <c r="R113" s="45" t="inlineStr">
        <is>
          <t xml:space="preserve"/>
        </is>
      </c>
      <c r="S113" s="45" t="inlineStr">
        <is>
          <t xml:space="preserve">Lightstone holds the age profile and sells it; the register does not publish it. Only apparent retirements can be calculated.</t>
        </is>
      </c>
      <c r="V113" s="80" t="str">
        <v>G012</v>
      </c>
      <c r="W113" s="80" t="str">
        <v>Missing data: Vehicles by year of age</v>
      </c>
      <c r="X113" s="80" t="str">
        <v>Review detail</v>
      </c>
    </row>
    <row r="115">
      <c r="A115" s="35" t="inlineStr">
        <is>
          <t xml:space="preserve">New vehicles and electric share</t>
        </is>
      </c>
      <c r="B115" s="35" t="n"/>
      <c r="C115" s="35" t="n"/>
      <c r="D115" s="35" t="n"/>
      <c r="E115" s="35" t="n"/>
      <c r="F115" s="35" t="n"/>
      <c r="G115" s="35" t="n"/>
      <c r="H115" s="35" t="n"/>
      <c r="I115" s="35" t="n"/>
      <c r="J115" s="35" t="n"/>
      <c r="K115" s="35" t="n"/>
      <c r="L115" s="35" t="n"/>
      <c r="M115" s="35" t="n"/>
      <c r="N115" s="35" t="n"/>
      <c r="O115" s="35" t="n"/>
      <c r="P115" s="35" t="n"/>
      <c r="Q115" s="35" t="n"/>
      <c r="R115" s="35" t="n"/>
      <c r="S115" s="35" t="n"/>
      <c r="T115" s="35" t="n"/>
    </row>
    <row r="116">
      <c r="A116" s="36" t="inlineStr">
        <is>
          <t xml:space="preserve">Item</t>
        </is>
      </c>
      <c r="B116" s="36" t="inlineStr">
        <is>
          <t xml:space="preserve">Covers</t>
        </is>
      </c>
      <c r="C116" s="36" t="inlineStr">
        <is>
          <t xml:space="preserve">Unit</t>
        </is>
      </c>
      <c r="D116" s="36" t="inlineStr">
        <is>
          <t xml:space="preserve">Basis</t>
        </is>
      </c>
      <c r="E116" s="37" t="n">
        <v>2026</v>
      </c>
      <c r="F116" s="37" t="n">
        <v>2027</v>
      </c>
      <c r="G116" s="37" t="n">
        <v>2028</v>
      </c>
      <c r="H116" s="37" t="n">
        <v>2029</v>
      </c>
      <c r="I116" s="37" t="n">
        <v>2030</v>
      </c>
      <c r="J116" s="37" t="n">
        <v>2031</v>
      </c>
      <c r="K116" s="37" t="n">
        <v>2032</v>
      </c>
      <c r="L116" s="37" t="n">
        <v>2033</v>
      </c>
      <c r="M116" s="37" t="n">
        <v>2034</v>
      </c>
      <c r="N116" s="37" t="n">
        <v>2035</v>
      </c>
      <c r="O116" s="36" t="n"/>
      <c r="P116" s="36" t="inlineStr">
        <is>
          <t xml:space="preserve">Status</t>
        </is>
      </c>
      <c r="Q116" s="36" t="inlineStr">
        <is>
          <t xml:space="preserve">Source</t>
        </is>
      </c>
      <c r="R116" s="36" t="inlineStr">
        <is>
          <t xml:space="preserve">Page</t>
        </is>
      </c>
      <c r="S116" s="36" t="inlineStr">
        <is>
          <t xml:space="preserve">Note</t>
        </is>
      </c>
    </row>
    <row r="117" ht="42.5" customHeight="1">
      <c r="A117" s="42" t="inlineStr">
        <is>
          <t xml:space="preserve">Electric share of new light commercial sales, forecast</t>
        </is>
      </c>
      <c r="B117" s="42" t="inlineStr">
        <is>
          <t xml:space="preserve">Low case</t>
        </is>
      </c>
      <c r="C117" s="42" t="inlineStr">
        <is>
          <t xml:space="preserve">%</t>
        </is>
      </c>
      <c r="D117" s="42" t="inlineStr">
        <is>
          <t xml:space="preserve">calendar years</t>
        </is>
      </c>
      <c r="E117" s="44" t="n">
        <v>0</v>
      </c>
      <c r="F117" s="44" t="n">
        <v>0</v>
      </c>
      <c r="G117" s="44" t="n">
        <v>0</v>
      </c>
      <c r="H117" s="44" t="n">
        <v>0</v>
      </c>
      <c r="I117" s="44" t="n">
        <v>0</v>
      </c>
      <c r="J117" s="44" t="n">
        <v>0</v>
      </c>
      <c r="K117" s="44" t="n">
        <v>0</v>
      </c>
      <c r="L117" s="44" t="n">
        <v>0</v>
      </c>
      <c r="M117" s="44" t="n">
        <v>0</v>
      </c>
      <c r="N117" s="44" t="n">
        <v>0</v>
      </c>
      <c r="O117" s="42" t="n"/>
      <c r="P117" s="42" t="inlineStr">
        <is>
          <t xml:space="preserve">Calculated</t>
        </is>
      </c>
      <c r="Q117" s="42" t="inlineStr">
        <is>
          <t xml:space="preserve">Analyst forecast from the lever cases</t>
        </is>
      </c>
      <c r="R117" s="42" t="inlineStr">
        <is>
          <t xml:space="preserve"/>
        </is>
      </c>
      <c r="S117" s="42" t="inlineStr">
        <is>
          <t xml:space="preserve">A forecast of ours, not a published one. The 2030 and 2035 shares are the three cases on the HML response sheet, set against benchmarks abroad; the path between them is a straight line from nil in 2025.</t>
        </is>
      </c>
    </row>
    <row r="118" ht="42.5" customHeight="1">
      <c r="A118" s="42" t="inlineStr">
        <is>
          <t xml:space="preserve">Electric share of new light commercial sales, forecast</t>
        </is>
      </c>
      <c r="B118" s="42" t="inlineStr">
        <is>
          <t xml:space="preserve">Medium case</t>
        </is>
      </c>
      <c r="C118" s="42" t="inlineStr">
        <is>
          <t xml:space="preserve">%</t>
        </is>
      </c>
      <c r="D118" s="42" t="inlineStr">
        <is>
          <t xml:space="preserve">calendar years</t>
        </is>
      </c>
      <c r="E118" s="44" t="n">
        <v>0.2</v>
      </c>
      <c r="F118" s="44" t="n">
        <v>0.4</v>
      </c>
      <c r="G118" s="44" t="n">
        <v>0.6</v>
      </c>
      <c r="H118" s="44" t="n">
        <v>0.8</v>
      </c>
      <c r="I118" s="44" t="n">
        <v>1</v>
      </c>
      <c r="J118" s="44" t="n">
        <v>1.8</v>
      </c>
      <c r="K118" s="44" t="n">
        <v>2.6</v>
      </c>
      <c r="L118" s="44" t="n">
        <v>3.4</v>
      </c>
      <c r="M118" s="44" t="n">
        <v>4.2</v>
      </c>
      <c r="N118" s="44" t="n">
        <v>5</v>
      </c>
      <c r="O118" s="42" t="n"/>
      <c r="P118" s="42" t="inlineStr">
        <is>
          <t xml:space="preserve">Calculated</t>
        </is>
      </c>
      <c r="Q118" s="42" t="inlineStr">
        <is>
          <t xml:space="preserve">Analyst forecast from the lever cases</t>
        </is>
      </c>
      <c r="R118" s="42" t="inlineStr">
        <is>
          <t xml:space="preserve"/>
        </is>
      </c>
      <c r="S118" s="42" t="inlineStr">
        <is>
          <t xml:space="preserve">A forecast of ours, not a published one. The 2030 and 2035 shares are the three cases on the HML response sheet, set against benchmarks abroad; the path between them is a straight line from nil in 2025.</t>
        </is>
      </c>
    </row>
    <row r="119" ht="42.5" customHeight="1">
      <c r="A119" s="42" t="inlineStr">
        <is>
          <t xml:space="preserve">Electric share of new light commercial sales, forecast</t>
        </is>
      </c>
      <c r="B119" s="42" t="inlineStr">
        <is>
          <t xml:space="preserve">High case</t>
        </is>
      </c>
      <c r="C119" s="42" t="inlineStr">
        <is>
          <t xml:space="preserve">%</t>
        </is>
      </c>
      <c r="D119" s="42" t="inlineStr">
        <is>
          <t xml:space="preserve">calendar years</t>
        </is>
      </c>
      <c r="E119" s="44" t="n">
        <v>1</v>
      </c>
      <c r="F119" s="44" t="n">
        <v>2</v>
      </c>
      <c r="G119" s="44" t="n">
        <v>3</v>
      </c>
      <c r="H119" s="44" t="n">
        <v>4</v>
      </c>
      <c r="I119" s="44" t="n">
        <v>5</v>
      </c>
      <c r="J119" s="44" t="n">
        <v>6</v>
      </c>
      <c r="K119" s="44" t="n">
        <v>7</v>
      </c>
      <c r="L119" s="44" t="n">
        <v>8</v>
      </c>
      <c r="M119" s="44" t="n">
        <v>9</v>
      </c>
      <c r="N119" s="44" t="n">
        <v>10</v>
      </c>
      <c r="O119" s="42" t="n"/>
      <c r="P119" s="42" t="inlineStr">
        <is>
          <t xml:space="preserve">Calculated</t>
        </is>
      </c>
      <c r="Q119" s="42" t="inlineStr">
        <is>
          <t xml:space="preserve">Analyst forecast from the lever cases</t>
        </is>
      </c>
      <c r="R119" s="42" t="inlineStr">
        <is>
          <t xml:space="preserve"/>
        </is>
      </c>
      <c r="S119" s="42" t="inlineStr">
        <is>
          <t xml:space="preserve">A forecast of ours, not a published one. The 2030 and 2035 shares are the three cases on the HML response sheet, set against benchmarks abroad; the path between them is a straight line from nil in 2025.</t>
        </is>
      </c>
    </row>
    <row r="120" ht="29" customHeight="1">
      <c r="A120" s="42" t="inlineStr">
        <is>
          <t xml:space="preserve">Electric light commercial vehicles on the road, forecast</t>
        </is>
      </c>
      <c r="B120" s="42" t="inlineStr">
        <is>
          <t xml:space="preserve">Low case</t>
        </is>
      </c>
      <c r="C120" s="42" t="inlineStr">
        <is>
          <t xml:space="preserve">vehicles</t>
        </is>
      </c>
      <c r="D120" s="42" t="inlineStr">
        <is>
          <t xml:space="preserve">calendar years</t>
        </is>
      </c>
      <c r="E120" s="46" t="n">
        <v>0</v>
      </c>
      <c r="F120" s="46" t="n">
        <v>0</v>
      </c>
      <c r="G120" s="46" t="n">
        <v>0</v>
      </c>
      <c r="H120" s="46" t="n">
        <v>0</v>
      </c>
      <c r="I120" s="46" t="n">
        <v>0</v>
      </c>
      <c r="J120" s="46" t="n">
        <v>0</v>
      </c>
      <c r="K120" s="46" t="n">
        <v>0</v>
      </c>
      <c r="L120" s="46" t="n">
        <v>0</v>
      </c>
      <c r="M120" s="46" t="n">
        <v>0</v>
      </c>
      <c r="N120" s="46" t="n">
        <v>0</v>
      </c>
      <c r="O120" s="42" t="n"/>
      <c r="P120" s="42" t="inlineStr">
        <is>
          <t xml:space="preserve">Calculated</t>
        </is>
      </c>
      <c r="Q120" s="42" t="inlineStr">
        <is>
          <t xml:space="preserve">Forecast share x naamsa's sales outlook, added up</t>
        </is>
      </c>
      <c r="R120" s="42" t="inlineStr">
        <is>
          <t xml:space="preserve"/>
        </is>
      </c>
      <c r="S120" s="42" t="inlineStr">
        <is>
          <t xml:space="preserve">0.0% of today's light commercial fleet by 2035. Sales after 2027 are held at naamsa's 2027 projection; no electric vehicle is scrapped.</t>
        </is>
      </c>
    </row>
    <row r="121" ht="29" customHeight="1">
      <c r="A121" s="42" t="inlineStr">
        <is>
          <t xml:space="preserve">Electric light commercial vehicles on the road, forecast</t>
        </is>
      </c>
      <c r="B121" s="42" t="inlineStr">
        <is>
          <t xml:space="preserve">Medium case</t>
        </is>
      </c>
      <c r="C121" s="42" t="inlineStr">
        <is>
          <t xml:space="preserve">vehicles</t>
        </is>
      </c>
      <c r="D121" s="42" t="inlineStr">
        <is>
          <t xml:space="preserve">calendar years</t>
        </is>
      </c>
      <c r="E121" s="46" t="n">
        <v>320</v>
      </c>
      <c r="F121" s="46" t="n">
        <v>1040</v>
      </c>
      <c r="G121" s="46" t="n">
        <v>2120</v>
      </c>
      <c r="H121" s="46" t="n">
        <v>3560</v>
      </c>
      <c r="I121" s="46" t="n">
        <v>5360</v>
      </c>
      <c r="J121" s="46" t="n">
        <v>8600</v>
      </c>
      <c r="K121" s="46" t="n">
        <v>13280</v>
      </c>
      <c r="L121" s="46" t="n">
        <v>19400</v>
      </c>
      <c r="M121" s="46" t="n">
        <v>26960</v>
      </c>
      <c r="N121" s="46" t="n">
        <v>35960</v>
      </c>
      <c r="O121" s="42" t="n"/>
      <c r="P121" s="42" t="inlineStr">
        <is>
          <t xml:space="preserve">Calculated</t>
        </is>
      </c>
      <c r="Q121" s="42" t="inlineStr">
        <is>
          <t xml:space="preserve">Forecast share x naamsa's sales outlook, added up</t>
        </is>
      </c>
      <c r="R121" s="42" t="inlineStr">
        <is>
          <t xml:space="preserve"/>
        </is>
      </c>
      <c r="S121" s="42" t="inlineStr">
        <is>
          <t xml:space="preserve">1.3% of today's light commercial fleet by 2035. Sales after 2027 are held at naamsa's 2027 projection; no electric vehicle is scrapped.</t>
        </is>
      </c>
    </row>
    <row r="122" ht="29" customHeight="1">
      <c r="A122" s="42" t="inlineStr">
        <is>
          <t xml:space="preserve">Electric light commercial vehicles on the road, forecast</t>
        </is>
      </c>
      <c r="B122" s="42" t="inlineStr">
        <is>
          <t xml:space="preserve">High case</t>
        </is>
      </c>
      <c r="C122" s="42" t="inlineStr">
        <is>
          <t xml:space="preserve">vehicles</t>
        </is>
      </c>
      <c r="D122" s="42" t="inlineStr">
        <is>
          <t xml:space="preserve">calendar years</t>
        </is>
      </c>
      <c r="E122" s="46" t="n">
        <v>1600</v>
      </c>
      <c r="F122" s="46" t="n">
        <v>5200</v>
      </c>
      <c r="G122" s="46" t="n">
        <v>10600</v>
      </c>
      <c r="H122" s="46" t="n">
        <v>17800</v>
      </c>
      <c r="I122" s="46" t="n">
        <v>26800</v>
      </c>
      <c r="J122" s="46" t="n">
        <v>37600</v>
      </c>
      <c r="K122" s="46" t="n">
        <v>50200</v>
      </c>
      <c r="L122" s="46" t="n">
        <v>64600</v>
      </c>
      <c r="M122" s="46" t="n">
        <v>80800</v>
      </c>
      <c r="N122" s="46" t="n">
        <v>98800</v>
      </c>
      <c r="O122" s="42" t="n"/>
      <c r="P122" s="42" t="inlineStr">
        <is>
          <t xml:space="preserve">Calculated</t>
        </is>
      </c>
      <c r="Q122" s="42" t="inlineStr">
        <is>
          <t xml:space="preserve">Forecast share x naamsa's sales outlook, added up</t>
        </is>
      </c>
      <c r="R122" s="42" t="inlineStr">
        <is>
          <t xml:space="preserve"/>
        </is>
      </c>
      <c r="S122" s="42" t="inlineStr">
        <is>
          <t xml:space="preserve">3.5% of today's light commercial fleet by 2035. Sales after 2027 are held at naamsa's 2027 projection; no electric vehicle is scrapped.</t>
        </is>
      </c>
    </row>
    <row r="123" ht="42.5" customHeight="1">
      <c r="A123" s="42" t="inlineStr">
        <is>
          <t xml:space="preserve">Petrol and diesel displaced by electric light commercial vehicles, forecast</t>
        </is>
      </c>
      <c r="B123" s="42" t="inlineStr">
        <is>
          <t xml:space="preserve">Low case</t>
        </is>
      </c>
      <c r="C123" s="42" t="inlineStr">
        <is>
          <t xml:space="preserve">million litres a year</t>
        </is>
      </c>
      <c r="D123" s="42" t="inlineStr">
        <is>
          <t xml:space="preserve">calendar years</t>
        </is>
      </c>
      <c r="E123" s="46" t="n">
        <v>0</v>
      </c>
      <c r="F123" s="46" t="n">
        <v>0</v>
      </c>
      <c r="G123" s="46" t="n">
        <v>0</v>
      </c>
      <c r="H123" s="46" t="n">
        <v>0</v>
      </c>
      <c r="I123" s="46" t="n">
        <v>0</v>
      </c>
      <c r="J123" s="46" t="n">
        <v>0</v>
      </c>
      <c r="K123" s="46" t="n">
        <v>0</v>
      </c>
      <c r="L123" s="46" t="n">
        <v>0</v>
      </c>
      <c r="M123" s="46" t="n">
        <v>0</v>
      </c>
      <c r="N123" s="46" t="n">
        <v>0</v>
      </c>
      <c r="O123" s="42" t="n"/>
      <c r="P123" s="42" t="inlineStr">
        <is>
          <t xml:space="preserve">Calculated</t>
        </is>
      </c>
      <c r="Q123" s="42" t="inlineStr">
        <is>
          <t xml:space="preserve">Electric vehicles on the road x a light commercial vehicle's yearly fuel use (Stone et al. 2018)</t>
        </is>
      </c>
      <c r="R123" s="42" t="inlineStr">
        <is>
          <t xml:space="preserve"/>
        </is>
      </c>
      <c r="S123" s="42" t="inlineStr">
        <is>
          <t xml:space="preserve">Each electric vehicle is taken to replace an average light commercial vehicle. Delivery vans drive more than average, so the true figure is higher.</t>
        </is>
      </c>
    </row>
    <row r="124" ht="42.5" customHeight="1">
      <c r="A124" s="42" t="inlineStr">
        <is>
          <t xml:space="preserve">Petrol and diesel displaced by electric light commercial vehicles, forecast</t>
        </is>
      </c>
      <c r="B124" s="42" t="inlineStr">
        <is>
          <t xml:space="preserve">Medium case</t>
        </is>
      </c>
      <c r="C124" s="42" t="inlineStr">
        <is>
          <t xml:space="preserve">million litres a year</t>
        </is>
      </c>
      <c r="D124" s="42" t="inlineStr">
        <is>
          <t xml:space="preserve">calendar years</t>
        </is>
      </c>
      <c r="E124" s="46" t="n">
        <v>1</v>
      </c>
      <c r="F124" s="46" t="n">
        <v>3</v>
      </c>
      <c r="G124" s="46" t="n">
        <v>6</v>
      </c>
      <c r="H124" s="46" t="n">
        <v>9</v>
      </c>
      <c r="I124" s="46" t="n">
        <v>14</v>
      </c>
      <c r="J124" s="46" t="n">
        <v>23</v>
      </c>
      <c r="K124" s="46" t="n">
        <v>35</v>
      </c>
      <c r="L124" s="46" t="n">
        <v>51</v>
      </c>
      <c r="M124" s="46" t="n">
        <v>71</v>
      </c>
      <c r="N124" s="46" t="n">
        <v>95</v>
      </c>
      <c r="O124" s="42" t="n"/>
      <c r="P124" s="42" t="inlineStr">
        <is>
          <t xml:space="preserve">Calculated</t>
        </is>
      </c>
      <c r="Q124" s="42" t="inlineStr">
        <is>
          <t xml:space="preserve">Electric vehicles on the road x a light commercial vehicle's yearly fuel use (Stone et al. 2018)</t>
        </is>
      </c>
      <c r="R124" s="42" t="inlineStr">
        <is>
          <t xml:space="preserve"/>
        </is>
      </c>
      <c r="S124" s="42" t="inlineStr">
        <is>
          <t xml:space="preserve">Each electric vehicle is taken to replace an average light commercial vehicle. Delivery vans drive more than average, so the true figure is higher.</t>
        </is>
      </c>
    </row>
    <row r="125" ht="42.5" customHeight="1">
      <c r="A125" s="42" t="inlineStr">
        <is>
          <t xml:space="preserve">Petrol and diesel displaced by electric light commercial vehicles, forecast</t>
        </is>
      </c>
      <c r="B125" s="42" t="inlineStr">
        <is>
          <t xml:space="preserve">High case</t>
        </is>
      </c>
      <c r="C125" s="42" t="inlineStr">
        <is>
          <t xml:space="preserve">million litres a year</t>
        </is>
      </c>
      <c r="D125" s="42" t="inlineStr">
        <is>
          <t xml:space="preserve">calendar years</t>
        </is>
      </c>
      <c r="E125" s="46" t="n">
        <v>4</v>
      </c>
      <c r="F125" s="46" t="n">
        <v>14</v>
      </c>
      <c r="G125" s="46" t="n">
        <v>28</v>
      </c>
      <c r="H125" s="46" t="n">
        <v>47</v>
      </c>
      <c r="I125" s="46" t="n">
        <v>71</v>
      </c>
      <c r="J125" s="46" t="n">
        <v>99</v>
      </c>
      <c r="K125" s="46" t="n">
        <v>132</v>
      </c>
      <c r="L125" s="46" t="n">
        <v>170</v>
      </c>
      <c r="M125" s="46" t="n">
        <v>213</v>
      </c>
      <c r="N125" s="46" t="n">
        <v>260</v>
      </c>
      <c r="O125" s="42" t="n"/>
      <c r="P125" s="42" t="inlineStr">
        <is>
          <t xml:space="preserve">Calculated</t>
        </is>
      </c>
      <c r="Q125" s="42" t="inlineStr">
        <is>
          <t xml:space="preserve">Electric vehicles on the road x a light commercial vehicle's yearly fuel use (Stone et al. 2018)</t>
        </is>
      </c>
      <c r="R125" s="42" t="inlineStr">
        <is>
          <t xml:space="preserve"/>
        </is>
      </c>
      <c r="S125" s="42" t="inlineStr">
        <is>
          <t xml:space="preserve">Each electric vehicle is taken to replace an average light commercial vehicle. Delivery vans drive more than average, so the true figure is higher.</t>
        </is>
      </c>
    </row>
    <row r="126">
      <c r="A126" s="36" t="inlineStr">
        <is>
          <t xml:space="preserve">Item</t>
        </is>
      </c>
      <c r="B126" s="36" t="inlineStr">
        <is>
          <t xml:space="preserve">Covers</t>
        </is>
      </c>
      <c r="C126" s="36" t="inlineStr">
        <is>
          <t xml:space="preserve">Unit</t>
        </is>
      </c>
      <c r="D126" s="36" t="inlineStr">
        <is>
          <t xml:space="preserve">Period</t>
        </is>
      </c>
      <c r="E126" s="36" t="inlineStr">
        <is>
          <t xml:space="preserve">Value</t>
        </is>
      </c>
      <c r="K126" s="36" t="n"/>
      <c r="L126" s="36" t="n"/>
      <c r="M126" s="36" t="n"/>
      <c r="N126" s="36" t="n"/>
      <c r="O126" s="36" t="n"/>
      <c r="P126" s="36" t="inlineStr">
        <is>
          <t xml:space="preserve">Status</t>
        </is>
      </c>
      <c r="Q126" s="36" t="inlineStr">
        <is>
          <t xml:space="preserve">Source</t>
        </is>
      </c>
      <c r="R126" s="36" t="inlineStr">
        <is>
          <t xml:space="preserve">Page</t>
        </is>
      </c>
      <c r="S126" s="36" t="inlineStr">
        <is>
          <t xml:space="preserve">Note</t>
        </is>
      </c>
    </row>
    <row r="127" ht="15.5" customHeight="1">
      <c r="A127" s="38" t="inlineStr">
        <is>
          <t xml:space="preserve">New vehicles sold, by segment</t>
        </is>
      </c>
      <c r="B127" s="38" t="inlineStr">
        <is>
          <t xml:space="preserve">cars</t>
        </is>
      </c>
      <c r="C127" s="38" t="inlineStr">
        <is>
          <t xml:space="preserve">vehicles</t>
        </is>
      </c>
      <c r="D127" s="38" t="inlineStr">
        <is>
          <t xml:space="preserve">2025</t>
        </is>
      </c>
      <c r="E127" s="41" t="n">
        <v>422463</v>
      </c>
      <c r="K127" s="38" t="n"/>
      <c r="L127" s="38" t="n"/>
      <c r="M127" s="38" t="n"/>
      <c r="N127" s="38" t="n"/>
      <c r="O127" s="38" t="n"/>
      <c r="P127" s="38" t="inlineStr">
        <is>
          <t xml:space="preserve">From source</t>
        </is>
      </c>
      <c r="Q127" s="38" t="inlineStr">
        <is>
          <t xml:space="preserve">naamsa, industry vehicle sales</t>
        </is>
      </c>
      <c r="R127" s="38" t="inlineStr">
        <is>
          <t xml:space="preserve"/>
        </is>
      </c>
      <c r="S127" s="38" t="inlineStr">
        <is>
          <t xml:space="preserve"/>
        </is>
      </c>
    </row>
    <row r="128" ht="15.5" customHeight="1">
      <c r="A128" s="38" t="inlineStr">
        <is>
          <t xml:space="preserve">New vehicles sold, by segment</t>
        </is>
      </c>
      <c r="B128" s="38" t="inlineStr">
        <is>
          <t xml:space="preserve">light commercial</t>
        </is>
      </c>
      <c r="C128" s="38" t="inlineStr">
        <is>
          <t xml:space="preserve">vehicles</t>
        </is>
      </c>
      <c r="D128" s="38" t="inlineStr">
        <is>
          <t xml:space="preserve">2025</t>
        </is>
      </c>
      <c r="E128" s="41" t="n">
        <v>143964</v>
      </c>
      <c r="K128" s="38" t="n"/>
      <c r="L128" s="38" t="n"/>
      <c r="M128" s="38" t="n"/>
      <c r="N128" s="38" t="n"/>
      <c r="O128" s="38" t="n"/>
      <c r="P128" s="38" t="inlineStr">
        <is>
          <t xml:space="preserve">From source</t>
        </is>
      </c>
      <c r="Q128" s="38" t="inlineStr">
        <is>
          <t xml:space="preserve">naamsa, industry vehicle sales</t>
        </is>
      </c>
      <c r="R128" s="38" t="inlineStr">
        <is>
          <t xml:space="preserve"/>
        </is>
      </c>
      <c r="S128" s="38" t="inlineStr">
        <is>
          <t xml:space="preserve"/>
        </is>
      </c>
    </row>
    <row r="129" ht="15.5" customHeight="1">
      <c r="A129" s="38" t="inlineStr">
        <is>
          <t xml:space="preserve">New vehicles sold, by segment</t>
        </is>
      </c>
      <c r="B129" s="38" t="inlineStr">
        <is>
          <t xml:space="preserve">medium and heavy commercial</t>
        </is>
      </c>
      <c r="C129" s="38" t="inlineStr">
        <is>
          <t xml:space="preserve">vehicles</t>
        </is>
      </c>
      <c r="D129" s="38" t="inlineStr">
        <is>
          <t xml:space="preserve">2025</t>
        </is>
      </c>
      <c r="E129" s="41" t="n">
        <v>30911</v>
      </c>
      <c r="K129" s="38" t="n"/>
      <c r="L129" s="38" t="n"/>
      <c r="M129" s="38" t="n"/>
      <c r="N129" s="38" t="n"/>
      <c r="O129" s="38" t="n"/>
      <c r="P129" s="38" t="inlineStr">
        <is>
          <t xml:space="preserve">From source</t>
        </is>
      </c>
      <c r="Q129" s="38" t="inlineStr">
        <is>
          <t xml:space="preserve">naamsa, industry vehicle sales</t>
        </is>
      </c>
      <c r="R129" s="38" t="inlineStr">
        <is>
          <t xml:space="preserve"/>
        </is>
      </c>
      <c r="S129" s="38" t="inlineStr">
        <is>
          <t xml:space="preserve"/>
        </is>
      </c>
    </row>
    <row r="130" ht="15.5" customHeight="1">
      <c r="A130" s="38" t="inlineStr">
        <is>
          <t xml:space="preserve">Electric and hybrid vehicles sold</t>
        </is>
      </c>
      <c r="B130" s="38" t="inlineStr">
        <is>
          <t xml:space="preserve">battery electric</t>
        </is>
      </c>
      <c r="C130" s="38" t="inlineStr">
        <is>
          <t xml:space="preserve">vehicles</t>
        </is>
      </c>
      <c r="D130" s="38" t="inlineStr">
        <is>
          <t xml:space="preserve">2025</t>
        </is>
      </c>
      <c r="E130" s="41" t="n">
        <v>1088</v>
      </c>
      <c r="K130" s="38" t="n"/>
      <c r="L130" s="38" t="n"/>
      <c r="M130" s="38" t="n"/>
      <c r="N130" s="38" t="n"/>
      <c r="O130" s="38" t="n"/>
      <c r="P130" s="38" t="inlineStr">
        <is>
          <t xml:space="preserve">From source</t>
        </is>
      </c>
      <c r="Q130" s="38" t="inlineStr">
        <is>
          <t xml:space="preserve">naamsa, new energy vehicle sales</t>
        </is>
      </c>
      <c r="R130" s="38" t="inlineStr">
        <is>
          <t xml:space="preserve"/>
        </is>
      </c>
      <c r="S130" s="38" t="inlineStr">
        <is>
          <t xml:space="preserve"/>
        </is>
      </c>
    </row>
    <row r="131" ht="15.5" customHeight="1">
      <c r="A131" s="38" t="inlineStr">
        <is>
          <t xml:space="preserve">Electric and hybrid vehicles sold</t>
        </is>
      </c>
      <c r="B131" s="38" t="inlineStr">
        <is>
          <t xml:space="preserve">plug-in hybrid</t>
        </is>
      </c>
      <c r="C131" s="38" t="inlineStr">
        <is>
          <t xml:space="preserve">vehicles</t>
        </is>
      </c>
      <c r="D131" s="38" t="inlineStr">
        <is>
          <t xml:space="preserve">2025</t>
        </is>
      </c>
      <c r="E131" s="41" t="n">
        <v>2810</v>
      </c>
      <c r="K131" s="38" t="n"/>
      <c r="L131" s="38" t="n"/>
      <c r="M131" s="38" t="n"/>
      <c r="N131" s="38" t="n"/>
      <c r="O131" s="38" t="n"/>
      <c r="P131" s="38" t="inlineStr">
        <is>
          <t xml:space="preserve">From source</t>
        </is>
      </c>
      <c r="Q131" s="38" t="inlineStr">
        <is>
          <t xml:space="preserve">naamsa, new energy vehicle sales</t>
        </is>
      </c>
      <c r="R131" s="38" t="inlineStr">
        <is>
          <t xml:space="preserve"/>
        </is>
      </c>
      <c r="S131" s="38" t="inlineStr">
        <is>
          <t xml:space="preserve"/>
        </is>
      </c>
    </row>
    <row r="132" ht="15.5" customHeight="1">
      <c r="A132" s="38" t="inlineStr">
        <is>
          <t xml:space="preserve">Electric and hybrid vehicles sold</t>
        </is>
      </c>
      <c r="B132" s="38" t="inlineStr">
        <is>
          <t xml:space="preserve">conventional hybrid</t>
        </is>
      </c>
      <c r="C132" s="38" t="inlineStr">
        <is>
          <t xml:space="preserve">vehicles</t>
        </is>
      </c>
      <c r="D132" s="38" t="inlineStr">
        <is>
          <t xml:space="preserve">2025</t>
        </is>
      </c>
      <c r="E132" s="41" t="n">
        <v>12818</v>
      </c>
      <c r="K132" s="38" t="n"/>
      <c r="L132" s="38" t="n"/>
      <c r="M132" s="38" t="n"/>
      <c r="N132" s="38" t="n"/>
      <c r="O132" s="38" t="n"/>
      <c r="P132" s="38" t="inlineStr">
        <is>
          <t xml:space="preserve">From source</t>
        </is>
      </c>
      <c r="Q132" s="38" t="inlineStr">
        <is>
          <t xml:space="preserve">naamsa, new energy vehicle sales</t>
        </is>
      </c>
      <c r="R132" s="38" t="inlineStr">
        <is>
          <t xml:space="preserve"/>
        </is>
      </c>
      <c r="S132" s="38" t="inlineStr">
        <is>
          <t xml:space="preserve"/>
        </is>
      </c>
    </row>
    <row r="133" ht="15.5" customHeight="1">
      <c r="A133" s="42" t="inlineStr">
        <is>
          <t xml:space="preserve">Share of new vehicles sold</t>
        </is>
      </c>
      <c r="B133" s="42" t="inlineStr">
        <is>
          <t xml:space="preserve">battery electric</t>
        </is>
      </c>
      <c r="C133" s="42" t="inlineStr">
        <is>
          <t xml:space="preserve">%</t>
        </is>
      </c>
      <c r="D133" s="42" t="inlineStr">
        <is>
          <t xml:space="preserve">2025</t>
        </is>
      </c>
      <c r="E133" s="43" t="n">
        <v>0.18</v>
      </c>
      <c r="K133" s="42" t="n"/>
      <c r="L133" s="42" t="n"/>
      <c r="M133" s="42" t="n"/>
      <c r="N133" s="42" t="n"/>
      <c r="O133" s="42" t="n"/>
      <c r="P133" s="42" t="inlineStr">
        <is>
          <t xml:space="preserve">Calculated</t>
        </is>
      </c>
      <c r="Q133" s="42" t="inlineStr">
        <is>
          <t xml:space="preserve">Calculated from the two naamsa series</t>
        </is>
      </c>
      <c r="R133" s="42" t="inlineStr">
        <is>
          <t xml:space="preserve"/>
        </is>
      </c>
      <c r="S133" s="42" t="inlineStr">
        <is>
          <t xml:space="preserve">Battery electric sales fell from 2024 to 2025.</t>
        </is>
      </c>
    </row>
    <row r="134" ht="15.5" customHeight="1">
      <c r="A134" s="42" t="inlineStr">
        <is>
          <t xml:space="preserve">Share of new vehicles sold</t>
        </is>
      </c>
      <c r="B134" s="42" t="inlineStr">
        <is>
          <t xml:space="preserve">plug-in hybrid</t>
        </is>
      </c>
      <c r="C134" s="42" t="inlineStr">
        <is>
          <t xml:space="preserve">%</t>
        </is>
      </c>
      <c r="D134" s="42" t="inlineStr">
        <is>
          <t xml:space="preserve">2025</t>
        </is>
      </c>
      <c r="E134" s="43" t="n">
        <v>0.47</v>
      </c>
      <c r="K134" s="42" t="n"/>
      <c r="L134" s="42" t="n"/>
      <c r="M134" s="42" t="n"/>
      <c r="N134" s="42" t="n"/>
      <c r="O134" s="42" t="n"/>
      <c r="P134" s="42" t="inlineStr">
        <is>
          <t xml:space="preserve">Calculated</t>
        </is>
      </c>
      <c r="Q134" s="42" t="inlineStr">
        <is>
          <t xml:space="preserve">Calculated from the two naamsa series</t>
        </is>
      </c>
      <c r="R134" s="42" t="inlineStr">
        <is>
          <t xml:space="preserve"/>
        </is>
      </c>
      <c r="S134" s="42" t="inlineStr">
        <is>
          <t xml:space="preserve">Battery electric sales fell from 2024 to 2025.</t>
        </is>
      </c>
    </row>
    <row r="135" ht="15.5" customHeight="1">
      <c r="A135" s="42" t="inlineStr">
        <is>
          <t xml:space="preserve">Share of new vehicles sold</t>
        </is>
      </c>
      <c r="B135" s="42" t="inlineStr">
        <is>
          <t xml:space="preserve">conventional hybrid</t>
        </is>
      </c>
      <c r="C135" s="42" t="inlineStr">
        <is>
          <t xml:space="preserve">%</t>
        </is>
      </c>
      <c r="D135" s="42" t="inlineStr">
        <is>
          <t xml:space="preserve">2025</t>
        </is>
      </c>
      <c r="E135" s="43" t="n">
        <v>2.15</v>
      </c>
      <c r="K135" s="42" t="n"/>
      <c r="L135" s="42" t="n"/>
      <c r="M135" s="42" t="n"/>
      <c r="N135" s="42" t="n"/>
      <c r="O135" s="42" t="n"/>
      <c r="P135" s="42" t="inlineStr">
        <is>
          <t xml:space="preserve">Calculated</t>
        </is>
      </c>
      <c r="Q135" s="42" t="inlineStr">
        <is>
          <t xml:space="preserve">Calculated from the two naamsa series</t>
        </is>
      </c>
      <c r="R135" s="42" t="inlineStr">
        <is>
          <t xml:space="preserve"/>
        </is>
      </c>
      <c r="S135" s="42" t="inlineStr">
        <is>
          <t xml:space="preserve">Battery electric sales fell from 2024 to 2025.</t>
        </is>
      </c>
    </row>
    <row r="136" ht="29" customHeight="1">
      <c r="A136" s="38" t="inlineStr">
        <is>
          <t xml:space="preserve">Diesel share of new light vehicles sold</t>
        </is>
      </c>
      <c r="B136" s="38" t="inlineStr">
        <is>
          <t xml:space="preserve">New light-duty vehicles</t>
        </is>
      </c>
      <c r="C136" s="38" t="inlineStr">
        <is>
          <t xml:space="preserve">%</t>
        </is>
      </c>
      <c r="D136" s="38" t="inlineStr">
        <is>
          <t xml:space="preserve">2019</t>
        </is>
      </c>
      <c r="E136" s="41" t="n">
        <v>35</v>
      </c>
      <c r="K136" s="38" t="n"/>
      <c r="L136" s="38" t="n"/>
      <c r="M136" s="38" t="n"/>
      <c r="N136" s="38" t="n"/>
      <c r="O136" s="38" t="n"/>
      <c r="P136" s="38" t="inlineStr">
        <is>
          <t xml:space="preserve">From source</t>
        </is>
      </c>
      <c r="Q136" s="38" t="inlineStr">
        <is>
          <t xml:space="preserve">IEA, Fuel economy in South Africa (Global Fuel Economy Initiative 2021)</t>
        </is>
      </c>
      <c r="R136" s="38" t="inlineStr">
        <is>
          <t xml:space="preserve"/>
        </is>
      </c>
      <c r="S136" s="38" t="inlineStr">
        <is>
          <t xml:space="preserve">No later figure found.</t>
        </is>
      </c>
    </row>
    <row r="137" ht="48" customHeight="1">
      <c r="A137" s="45" t="inlineStr">
        <is>
          <t xml:space="preserve">Electric trucks and electric light commercial vehicles sold</t>
        </is>
      </c>
      <c r="B137" s="45" t="inlineStr">
        <is>
          <t xml:space="preserve">South Africa</t>
        </is>
      </c>
      <c r="C137" s="45" t="inlineStr">
        <is>
          <t xml:space="preserve">vehicles</t>
        </is>
      </c>
      <c r="D137" s="45" t="inlineStr">
        <is>
          <t xml:space="preserve"/>
        </is>
      </c>
      <c r="E137" s="45" t="inlineStr">
        <is>
          <t xml:space="preserve">Not available</t>
        </is>
      </c>
      <c r="K137" s="45" t="n"/>
      <c r="L137" s="45" t="n"/>
      <c r="M137" s="45" t="n"/>
      <c r="N137" s="45" t="n"/>
      <c r="O137" s="45" t="n"/>
      <c r="P137" s="45" t="inlineStr">
        <is>
          <t xml:space="preserve">Not available</t>
        </is>
      </c>
      <c r="Q137" s="45" t="inlineStr">
        <is>
          <t xml:space="preserve">None published</t>
        </is>
      </c>
      <c r="R137" s="45" t="inlineStr">
        <is>
          <t xml:space="preserve"/>
        </is>
      </c>
      <c r="S137" s="45" t="inlineStr">
        <is>
          <t xml:space="preserve">naamsa reports electric sales by drivetrain, not by segment (checked its fourth-quarter 2025 review). Benchmarks from other countries are on the HML response sheet.</t>
        </is>
      </c>
      <c r="V137" s="80" t="str">
        <v>G013</v>
      </c>
      <c r="W137" s="80" t="str">
        <v>Missing data: Electric trucks and electric light commercial vehicles sold</v>
      </c>
      <c r="X137" s="80" t="str">
        <v>Review detail</v>
      </c>
    </row>
    <row r="139">
      <c r="A139" s="35" t="inlineStr">
        <is>
          <t xml:space="preserve">Vehicle efficiency and distance</t>
        </is>
      </c>
      <c r="B139" s="35" t="n"/>
      <c r="C139" s="35" t="n"/>
      <c r="D139" s="35" t="n"/>
      <c r="E139" s="35" t="n"/>
      <c r="F139" s="35" t="n"/>
      <c r="G139" s="35" t="n"/>
      <c r="H139" s="35" t="n"/>
      <c r="I139" s="35" t="n"/>
      <c r="J139" s="35" t="n"/>
      <c r="K139" s="35" t="n"/>
      <c r="L139" s="35" t="n"/>
      <c r="M139" s="35" t="n"/>
      <c r="N139" s="35" t="n"/>
      <c r="O139" s="35" t="n"/>
      <c r="P139" s="35" t="n"/>
      <c r="Q139" s="35" t="n"/>
      <c r="R139" s="35" t="n"/>
      <c r="S139" s="35" t="n"/>
      <c r="T139" s="35" t="n"/>
    </row>
    <row r="140">
      <c r="A140" s="36" t="inlineStr">
        <is>
          <t xml:space="preserve">Item</t>
        </is>
      </c>
      <c r="B140" s="36" t="inlineStr">
        <is>
          <t xml:space="preserve">Covers</t>
        </is>
      </c>
      <c r="C140" s="36" t="inlineStr">
        <is>
          <t xml:space="preserve">Unit</t>
        </is>
      </c>
      <c r="D140" s="36" t="inlineStr">
        <is>
          <t xml:space="preserve">Basis</t>
        </is>
      </c>
      <c r="E140" s="37" t="n">
        <v>2005</v>
      </c>
      <c r="F140" s="37" t="n">
        <v>2008</v>
      </c>
      <c r="G140" s="37" t="n">
        <v>2010</v>
      </c>
      <c r="H140" s="37" t="n">
        <v>2011</v>
      </c>
      <c r="I140" s="37" t="n">
        <v>2012</v>
      </c>
      <c r="J140" s="37" t="n">
        <v>2013</v>
      </c>
      <c r="K140" s="37" t="n">
        <v>2014</v>
      </c>
      <c r="L140" s="37" t="n">
        <v>2015</v>
      </c>
      <c r="M140" s="37" t="n">
        <v>2019</v>
      </c>
      <c r="N140" s="36" t="n"/>
      <c r="O140" s="36" t="n"/>
      <c r="P140" s="36" t="inlineStr">
        <is>
          <t xml:space="preserve">Status</t>
        </is>
      </c>
      <c r="Q140" s="36" t="inlineStr">
        <is>
          <t xml:space="preserve">Source</t>
        </is>
      </c>
      <c r="R140" s="36" t="inlineStr">
        <is>
          <t xml:space="preserve">Page</t>
        </is>
      </c>
      <c r="S140" s="36" t="inlineStr">
        <is>
          <t xml:space="preserve">Note</t>
        </is>
      </c>
    </row>
    <row r="141" ht="29" customHeight="1">
      <c r="A141" s="38" t="inlineStr">
        <is>
          <t xml:space="preserve">Fuel use of new light vehicles, by year</t>
        </is>
      </c>
      <c r="B141" s="38" t="inlineStr">
        <is>
          <t xml:space="preserve">New cars and light commercial vehicles</t>
        </is>
      </c>
      <c r="C141" s="38" t="inlineStr">
        <is>
          <t xml:space="preserve">litres of petrol equivalent per 100 km</t>
        </is>
      </c>
      <c r="D141" s="38" t="inlineStr">
        <is>
          <t xml:space="preserve">calendar years</t>
        </is>
      </c>
      <c r="E141" s="40" t="n">
        <v>8.800000000000001</v>
      </c>
      <c r="F141" s="40" t="n">
        <v>8.6</v>
      </c>
      <c r="G141" s="40" t="n">
        <v>8.6</v>
      </c>
      <c r="H141" s="40" t="n">
        <v>8.199999999999999</v>
      </c>
      <c r="I141" s="40" t="n">
        <v>7.9</v>
      </c>
      <c r="J141" s="40" t="n">
        <v>7.7</v>
      </c>
      <c r="K141" s="40" t="n">
        <v>7.8</v>
      </c>
      <c r="L141" s="40" t="n">
        <v>7.8</v>
      </c>
      <c r="M141" s="40" t="n">
        <v>7.4</v>
      </c>
      <c r="N141" s="38" t="n"/>
      <c r="O141" s="38" t="n"/>
      <c r="P141" s="38" t="inlineStr">
        <is>
          <t xml:space="preserve">From source</t>
        </is>
      </c>
      <c r="Q141" s="38" t="inlineStr">
        <is>
          <t xml:space="preserve">IEA and Global Fuel Economy Initiative (Working Paper 15, 2017; country page, 2021)</t>
        </is>
      </c>
      <c r="R141" s="38" t="inlineStr">
        <is>
          <t xml:space="preserve">PDF p.119</t>
        </is>
      </c>
      <c r="S141" s="38" t="inlineStr">
        <is>
          <t xml:space="preserve">Nothing after 2019 was found.</t>
        </is>
      </c>
    </row>
    <row r="142">
      <c r="A142" s="36" t="inlineStr">
        <is>
          <t xml:space="preserve">Item</t>
        </is>
      </c>
      <c r="B142" s="36" t="inlineStr">
        <is>
          <t xml:space="preserve">Covers</t>
        </is>
      </c>
      <c r="C142" s="36" t="inlineStr">
        <is>
          <t xml:space="preserve">Unit</t>
        </is>
      </c>
      <c r="D142" s="36" t="inlineStr">
        <is>
          <t xml:space="preserve">Period</t>
        </is>
      </c>
      <c r="E142" s="36" t="inlineStr">
        <is>
          <t xml:space="preserve">Value</t>
        </is>
      </c>
      <c r="K142" s="36" t="n"/>
      <c r="L142" s="36" t="n"/>
      <c r="M142" s="36" t="n"/>
      <c r="N142" s="36" t="n"/>
      <c r="O142" s="36" t="n"/>
      <c r="P142" s="36" t="inlineStr">
        <is>
          <t xml:space="preserve">Status</t>
        </is>
      </c>
      <c r="Q142" s="36" t="inlineStr">
        <is>
          <t xml:space="preserve">Source</t>
        </is>
      </c>
      <c r="R142" s="36" t="inlineStr">
        <is>
          <t xml:space="preserve">Page</t>
        </is>
      </c>
      <c r="S142" s="36" t="inlineStr">
        <is>
          <t xml:space="preserve">Note</t>
        </is>
      </c>
    </row>
    <row r="143" ht="29" customHeight="1">
      <c r="A143" s="38" t="inlineStr">
        <is>
          <t xml:space="preserve">Fuel use and distance, petrol cars</t>
        </is>
      </c>
      <c r="B143" s="38" t="inlineStr">
        <is>
          <t xml:space="preserve">fleet average</t>
        </is>
      </c>
      <c r="C143" s="38" t="inlineStr">
        <is>
          <t xml:space="preserve">litres per 100 km; km</t>
        </is>
      </c>
      <c r="D143" s="38" t="inlineStr">
        <is>
          <t xml:space="preserve">2010 fleet</t>
        </is>
      </c>
      <c r="E143" s="47" t="n">
        <v>8.199999999999999</v>
      </c>
      <c r="K143" s="38" t="n"/>
      <c r="L143" s="38" t="n"/>
      <c r="M143" s="38" t="n"/>
      <c r="N143" s="38" t="n"/>
      <c r="O143" s="38" t="n"/>
      <c r="P143" s="38" t="inlineStr">
        <is>
          <t xml:space="preserve">From source</t>
        </is>
      </c>
      <c r="Q143" s="38" t="inlineStr">
        <is>
          <t xml:space="preserve">Stone et al. (2018), vehicle parc model</t>
        </is>
      </c>
      <c r="R143" s="38" t="inlineStr">
        <is>
          <t xml:space="preserve"/>
        </is>
      </c>
      <c r="S143" s="38" t="inlineStr">
        <is>
          <t xml:space="preserve">One year only. All 24 vehicle types are in the file and on the Vehicle history sheet.</t>
        </is>
      </c>
    </row>
    <row r="144" ht="29" customHeight="1">
      <c r="A144" s="38" t="inlineStr">
        <is>
          <t xml:space="preserve">Fuel use and distance, petrol cars</t>
        </is>
      </c>
      <c r="B144" s="38" t="inlineStr">
        <is>
          <t xml:space="preserve">new</t>
        </is>
      </c>
      <c r="C144" s="38" t="inlineStr">
        <is>
          <t xml:space="preserve">litres per 100 km; km</t>
        </is>
      </c>
      <c r="D144" s="38" t="inlineStr">
        <is>
          <t xml:space="preserve">2010 fleet</t>
        </is>
      </c>
      <c r="E144" s="47" t="n">
        <v>7.8</v>
      </c>
      <c r="K144" s="38" t="n"/>
      <c r="L144" s="38" t="n"/>
      <c r="M144" s="38" t="n"/>
      <c r="N144" s="38" t="n"/>
      <c r="O144" s="38" t="n"/>
      <c r="P144" s="38" t="inlineStr">
        <is>
          <t xml:space="preserve">From source</t>
        </is>
      </c>
      <c r="Q144" s="38" t="inlineStr">
        <is>
          <t xml:space="preserve">Stone et al. (2018), vehicle parc model</t>
        </is>
      </c>
      <c r="R144" s="38" t="inlineStr">
        <is>
          <t xml:space="preserve"/>
        </is>
      </c>
      <c r="S144" s="38" t="inlineStr">
        <is>
          <t xml:space="preserve">One year only. All 24 vehicle types are in the file and on the Vehicle history sheet.</t>
        </is>
      </c>
    </row>
    <row r="145" ht="29" customHeight="1">
      <c r="A145" s="38" t="inlineStr">
        <is>
          <t xml:space="preserve">Fuel use and distance, petrol cars</t>
        </is>
      </c>
      <c r="B145" s="38" t="inlineStr">
        <is>
          <t xml:space="preserve">km a year</t>
        </is>
      </c>
      <c r="C145" s="38" t="inlineStr">
        <is>
          <t xml:space="preserve">litres per 100 km; km</t>
        </is>
      </c>
      <c r="D145" s="38" t="inlineStr">
        <is>
          <t xml:space="preserve">2010 fleet</t>
        </is>
      </c>
      <c r="E145" s="41" t="n">
        <v>14457</v>
      </c>
      <c r="K145" s="38" t="n"/>
      <c r="L145" s="38" t="n"/>
      <c r="M145" s="38" t="n"/>
      <c r="N145" s="38" t="n"/>
      <c r="O145" s="38" t="n"/>
      <c r="P145" s="38" t="inlineStr">
        <is>
          <t xml:space="preserve">From source</t>
        </is>
      </c>
      <c r="Q145" s="38" t="inlineStr">
        <is>
          <t xml:space="preserve">Stone et al. (2018), vehicle parc model</t>
        </is>
      </c>
      <c r="R145" s="38" t="inlineStr">
        <is>
          <t xml:space="preserve"/>
        </is>
      </c>
      <c r="S145" s="38" t="inlineStr">
        <is>
          <t xml:space="preserve">One year only. All 24 vehicle types are in the file and on the Vehicle history sheet.</t>
        </is>
      </c>
    </row>
    <row r="146" ht="29" customHeight="1">
      <c r="A146" s="38" t="inlineStr">
        <is>
          <t xml:space="preserve">Fuel use and distance, diesel cars</t>
        </is>
      </c>
      <c r="B146" s="38" t="inlineStr">
        <is>
          <t xml:space="preserve">fleet average</t>
        </is>
      </c>
      <c r="C146" s="38" t="inlineStr">
        <is>
          <t xml:space="preserve">litres per 100 km; km</t>
        </is>
      </c>
      <c r="D146" s="38" t="inlineStr">
        <is>
          <t xml:space="preserve">2010 fleet</t>
        </is>
      </c>
      <c r="E146" s="47" t="n">
        <v>8.1</v>
      </c>
      <c r="K146" s="38" t="n"/>
      <c r="L146" s="38" t="n"/>
      <c r="M146" s="38" t="n"/>
      <c r="N146" s="38" t="n"/>
      <c r="O146" s="38" t="n"/>
      <c r="P146" s="38" t="inlineStr">
        <is>
          <t xml:space="preserve">From source</t>
        </is>
      </c>
      <c r="Q146" s="38" t="inlineStr">
        <is>
          <t xml:space="preserve">Stone et al. (2018), vehicle parc model</t>
        </is>
      </c>
      <c r="R146" s="38" t="inlineStr">
        <is>
          <t xml:space="preserve"/>
        </is>
      </c>
      <c r="S146" s="38" t="inlineStr">
        <is>
          <t xml:space="preserve">One year only. All 24 vehicle types are in the file and on the Vehicle history sheet.</t>
        </is>
      </c>
    </row>
    <row r="147" ht="29" customHeight="1">
      <c r="A147" s="38" t="inlineStr">
        <is>
          <t xml:space="preserve">Fuel use and distance, diesel cars</t>
        </is>
      </c>
      <c r="B147" s="38" t="inlineStr">
        <is>
          <t xml:space="preserve">new</t>
        </is>
      </c>
      <c r="C147" s="38" t="inlineStr">
        <is>
          <t xml:space="preserve">litres per 100 km; km</t>
        </is>
      </c>
      <c r="D147" s="38" t="inlineStr">
        <is>
          <t xml:space="preserve">2010 fleet</t>
        </is>
      </c>
      <c r="E147" s="47" t="n">
        <v>7.4</v>
      </c>
      <c r="K147" s="38" t="n"/>
      <c r="L147" s="38" t="n"/>
      <c r="M147" s="38" t="n"/>
      <c r="N147" s="38" t="n"/>
      <c r="O147" s="38" t="n"/>
      <c r="P147" s="38" t="inlineStr">
        <is>
          <t xml:space="preserve">From source</t>
        </is>
      </c>
      <c r="Q147" s="38" t="inlineStr">
        <is>
          <t xml:space="preserve">Stone et al. (2018), vehicle parc model</t>
        </is>
      </c>
      <c r="R147" s="38" t="inlineStr">
        <is>
          <t xml:space="preserve"/>
        </is>
      </c>
      <c r="S147" s="38" t="inlineStr">
        <is>
          <t xml:space="preserve">One year only. All 24 vehicle types are in the file and on the Vehicle history sheet.</t>
        </is>
      </c>
    </row>
    <row r="148" ht="29" customHeight="1">
      <c r="A148" s="38" t="inlineStr">
        <is>
          <t xml:space="preserve">Fuel use and distance, diesel cars</t>
        </is>
      </c>
      <c r="B148" s="38" t="inlineStr">
        <is>
          <t xml:space="preserve">km a year</t>
        </is>
      </c>
      <c r="C148" s="38" t="inlineStr">
        <is>
          <t xml:space="preserve">litres per 100 km; km</t>
        </is>
      </c>
      <c r="D148" s="38" t="inlineStr">
        <is>
          <t xml:space="preserve">2010 fleet</t>
        </is>
      </c>
      <c r="E148" s="41" t="n">
        <v>16748</v>
      </c>
      <c r="K148" s="38" t="n"/>
      <c r="L148" s="38" t="n"/>
      <c r="M148" s="38" t="n"/>
      <c r="N148" s="38" t="n"/>
      <c r="O148" s="38" t="n"/>
      <c r="P148" s="38" t="inlineStr">
        <is>
          <t xml:space="preserve">From source</t>
        </is>
      </c>
      <c r="Q148" s="38" t="inlineStr">
        <is>
          <t xml:space="preserve">Stone et al. (2018), vehicle parc model</t>
        </is>
      </c>
      <c r="R148" s="38" t="inlineStr">
        <is>
          <t xml:space="preserve"/>
        </is>
      </c>
      <c r="S148" s="38" t="inlineStr">
        <is>
          <t xml:space="preserve">One year only. All 24 vehicle types are in the file and on the Vehicle history sheet.</t>
        </is>
      </c>
    </row>
    <row r="149" ht="29" customHeight="1">
      <c r="A149" s="38" t="inlineStr">
        <is>
          <t xml:space="preserve">Fuel use of new light vehicles: average change</t>
        </is>
      </c>
      <c r="B149" s="38" t="inlineStr">
        <is>
          <t xml:space="preserve">New light-duty vehicles</t>
        </is>
      </c>
      <c r="C149" s="38" t="inlineStr">
        <is>
          <t xml:space="preserve">% a year</t>
        </is>
      </c>
      <c r="D149" s="38" t="inlineStr">
        <is>
          <t xml:space="preserve">2005-2019</t>
        </is>
      </c>
      <c r="E149" s="47" t="n">
        <v>-1.3</v>
      </c>
      <c r="K149" s="38" t="n"/>
      <c r="L149" s="38" t="n"/>
      <c r="M149" s="38" t="n"/>
      <c r="N149" s="38" t="n"/>
      <c r="O149" s="38" t="n"/>
      <c r="P149" s="38" t="inlineStr">
        <is>
          <t xml:space="preserve">From source</t>
        </is>
      </c>
      <c r="Q149" s="38" t="inlineStr">
        <is>
          <t xml:space="preserve">IEA, Fuel economy in South Africa (Global Fuel Economy Initiative 2021)</t>
        </is>
      </c>
      <c r="R149" s="38" t="inlineStr">
        <is>
          <t xml:space="preserve"/>
        </is>
      </c>
      <c r="S149" s="38" t="inlineStr">
        <is>
          <t xml:space="preserve">The model assumes 0.5 to 1.5% a year, so the observed rate sits inside the model's range.</t>
        </is>
      </c>
    </row>
    <row r="150" ht="29" customHeight="1">
      <c r="A150" s="38" t="inlineStr">
        <is>
          <t xml:space="preserve">Fuel use of new passenger cars</t>
        </is>
      </c>
      <c r="B150" s="38" t="inlineStr">
        <is>
          <t xml:space="preserve">New passenger cars</t>
        </is>
      </c>
      <c r="C150" s="38" t="inlineStr">
        <is>
          <t xml:space="preserve">litres per 100 km</t>
        </is>
      </c>
      <c r="D150" s="38" t="inlineStr">
        <is>
          <t xml:space="preserve">2015</t>
        </is>
      </c>
      <c r="E150" s="47" t="n">
        <v>6.3</v>
      </c>
      <c r="K150" s="38" t="n"/>
      <c r="L150" s="38" t="n"/>
      <c r="M150" s="38" t="n"/>
      <c r="N150" s="38" t="n"/>
      <c r="O150" s="38" t="n"/>
      <c r="P150" s="38" t="inlineStr">
        <is>
          <t xml:space="preserve">From source</t>
        </is>
      </c>
      <c r="Q150" s="38" t="inlineStr">
        <is>
          <t xml:space="preserve">ICCT white paper, South Africa's new passenger vehicle CO2 emission standards (January 2018)</t>
        </is>
      </c>
      <c r="R150" s="38" t="inlineStr">
        <is>
          <t xml:space="preserve">PDF p.5</t>
        </is>
      </c>
      <c r="S150" s="38" t="inlineStr">
        <is>
          <t xml:space="preserve">148 g CO2 per km on the older European test cycle, which reads lower than the worldwide cycle. From naamsa data.</t>
        </is>
      </c>
    </row>
    <row r="151" ht="29" customHeight="1">
      <c r="A151" s="38" t="inlineStr">
        <is>
          <t xml:space="preserve">Fuel use of trucks, lightest to heaviest class</t>
        </is>
      </c>
      <c r="B151" s="38" t="inlineStr">
        <is>
          <t xml:space="preserve">Diesel trucks, class 1 of nine</t>
        </is>
      </c>
      <c r="C151" s="38" t="inlineStr">
        <is>
          <t xml:space="preserve">litres per 100 km, fleet average</t>
        </is>
      </c>
      <c r="D151" s="38" t="inlineStr">
        <is>
          <t xml:space="preserve">2010 fleet</t>
        </is>
      </c>
      <c r="E151" s="47" t="n">
        <v>17.3</v>
      </c>
      <c r="K151" s="38" t="n"/>
      <c r="L151" s="38" t="n"/>
      <c r="M151" s="38" t="n"/>
      <c r="N151" s="38" t="n"/>
      <c r="O151" s="38" t="n"/>
      <c r="P151" s="38" t="inlineStr">
        <is>
          <t xml:space="preserve">From source</t>
        </is>
      </c>
      <c r="Q151" s="38" t="inlineStr">
        <is>
          <t xml:space="preserve">Stone et al. (2018), vehicle parc model</t>
        </is>
      </c>
      <c r="R151" s="38" t="inlineStr">
        <is>
          <t xml:space="preserve"/>
        </is>
      </c>
      <c r="S151" s="38" t="inlineStr">
        <is>
          <t xml:space="preserve">One year only. Light commercial diesel vehicles use 12.4 and buses 32.6.</t>
        </is>
      </c>
    </row>
    <row r="152" ht="29" customHeight="1">
      <c r="A152" s="38" t="inlineStr">
        <is>
          <t xml:space="preserve">Fuel use of trucks, lightest to heaviest class</t>
        </is>
      </c>
      <c r="B152" s="38" t="inlineStr">
        <is>
          <t xml:space="preserve">Class 3</t>
        </is>
      </c>
      <c r="C152" s="38" t="inlineStr">
        <is>
          <t xml:space="preserve">litres per 100 km, fleet average</t>
        </is>
      </c>
      <c r="D152" s="38" t="inlineStr">
        <is>
          <t xml:space="preserve">2010 fleet</t>
        </is>
      </c>
      <c r="E152" s="47" t="n">
        <v>24.6</v>
      </c>
      <c r="K152" s="38" t="n"/>
      <c r="L152" s="38" t="n"/>
      <c r="M152" s="38" t="n"/>
      <c r="N152" s="38" t="n"/>
      <c r="O152" s="38" t="n"/>
      <c r="P152" s="38" t="inlineStr">
        <is>
          <t xml:space="preserve">From source</t>
        </is>
      </c>
      <c r="Q152" s="38" t="inlineStr">
        <is>
          <t xml:space="preserve">Stone et al. (2018), vehicle parc model</t>
        </is>
      </c>
      <c r="R152" s="38" t="inlineStr">
        <is>
          <t xml:space="preserve"/>
        </is>
      </c>
      <c r="S152" s="38" t="inlineStr">
        <is>
          <t xml:space="preserve">One year only. Light commercial diesel vehicles use 12.4 and buses 32.6.</t>
        </is>
      </c>
    </row>
    <row r="153" ht="29" customHeight="1">
      <c r="A153" s="38" t="inlineStr">
        <is>
          <t xml:space="preserve">Fuel use of trucks, lightest to heaviest class</t>
        </is>
      </c>
      <c r="B153" s="38" t="inlineStr">
        <is>
          <t xml:space="preserve">Class 6</t>
        </is>
      </c>
      <c r="C153" s="38" t="inlineStr">
        <is>
          <t xml:space="preserve">litres per 100 km, fleet average</t>
        </is>
      </c>
      <c r="D153" s="38" t="inlineStr">
        <is>
          <t xml:space="preserve">2010 fleet</t>
        </is>
      </c>
      <c r="E153" s="47" t="n">
        <v>44.9</v>
      </c>
      <c r="K153" s="38" t="n"/>
      <c r="L153" s="38" t="n"/>
      <c r="M153" s="38" t="n"/>
      <c r="N153" s="38" t="n"/>
      <c r="O153" s="38" t="n"/>
      <c r="P153" s="38" t="inlineStr">
        <is>
          <t xml:space="preserve">From source</t>
        </is>
      </c>
      <c r="Q153" s="38" t="inlineStr">
        <is>
          <t xml:space="preserve">Stone et al. (2018), vehicle parc model</t>
        </is>
      </c>
      <c r="R153" s="38" t="inlineStr">
        <is>
          <t xml:space="preserve"/>
        </is>
      </c>
      <c r="S153" s="38" t="inlineStr">
        <is>
          <t xml:space="preserve">One year only. Light commercial diesel vehicles use 12.4 and buses 32.6.</t>
        </is>
      </c>
    </row>
    <row r="154" ht="29" customHeight="1">
      <c r="A154" s="38" t="inlineStr">
        <is>
          <t xml:space="preserve">Fuel use of trucks, lightest to heaviest class</t>
        </is>
      </c>
      <c r="B154" s="38" t="inlineStr">
        <is>
          <t xml:space="preserve">Class 9</t>
        </is>
      </c>
      <c r="C154" s="38" t="inlineStr">
        <is>
          <t xml:space="preserve">litres per 100 km, fleet average</t>
        </is>
      </c>
      <c r="D154" s="38" t="inlineStr">
        <is>
          <t xml:space="preserve">2010 fleet</t>
        </is>
      </c>
      <c r="E154" s="47" t="n">
        <v>51.6</v>
      </c>
      <c r="K154" s="38" t="n"/>
      <c r="L154" s="38" t="n"/>
      <c r="M154" s="38" t="n"/>
      <c r="N154" s="38" t="n"/>
      <c r="O154" s="38" t="n"/>
      <c r="P154" s="38" t="inlineStr">
        <is>
          <t xml:space="preserve">From source</t>
        </is>
      </c>
      <c r="Q154" s="38" t="inlineStr">
        <is>
          <t xml:space="preserve">Stone et al. (2018), vehicle parc model</t>
        </is>
      </c>
      <c r="R154" s="38" t="inlineStr">
        <is>
          <t xml:space="preserve"/>
        </is>
      </c>
      <c r="S154" s="38" t="inlineStr">
        <is>
          <t xml:space="preserve">One year only. Light commercial diesel vehicles use 12.4 and buses 32.6.</t>
        </is>
      </c>
    </row>
    <row r="155" ht="29" customHeight="1">
      <c r="A155" s="38" t="inlineStr">
        <is>
          <t xml:space="preserve">Fuel use of new light vehicles: figure in use</t>
        </is>
      </c>
      <c r="B155" s="38" t="inlineStr">
        <is>
          <t xml:space="preserve">New cars and light commercial vehicles</t>
        </is>
      </c>
      <c r="C155" s="38" t="inlineStr">
        <is>
          <t xml:space="preserve">litres of petrol equivalent per 100 km</t>
        </is>
      </c>
      <c r="D155" s="38" t="inlineStr">
        <is>
          <t xml:space="preserve">2019, used for later years</t>
        </is>
      </c>
      <c r="E155" s="47" t="n">
        <v>7.4</v>
      </c>
      <c r="K155" s="38" t="n"/>
      <c r="L155" s="38" t="n"/>
      <c r="M155" s="38" t="n"/>
      <c r="N155" s="38" t="n"/>
      <c r="O155" s="38" t="n"/>
      <c r="P155" s="38" t="inlineStr">
        <is>
          <t xml:space="preserve">From source</t>
        </is>
      </c>
      <c r="Q155" s="38" t="inlineStr">
        <is>
          <t xml:space="preserve">IEA, Fuel economy in South Africa (Global Fuel Economy Initiative 2021)</t>
        </is>
      </c>
      <c r="R155" s="38" t="inlineStr">
        <is>
          <t xml:space="preserve"/>
        </is>
      </c>
      <c r="S155" s="38" t="inlineStr">
        <is>
          <t xml:space="preserve">The latest published figure. Used as it stands for the years after 2019 (Manish, 8 October).</t>
        </is>
      </c>
    </row>
    <row r="156" ht="48" customHeight="1">
      <c r="A156" s="45" t="inlineStr">
        <is>
          <t xml:space="preserve">Fuel use of trucks, by year</t>
        </is>
      </c>
      <c r="B156" s="45" t="inlineStr">
        <is>
          <t xml:space="preserve">South Africa</t>
        </is>
      </c>
      <c r="C156" s="45" t="inlineStr">
        <is>
          <t xml:space="preserve">litres per 100 km</t>
        </is>
      </c>
      <c r="D156" s="45" t="inlineStr">
        <is>
          <t xml:space="preserve"/>
        </is>
      </c>
      <c r="E156" s="45" t="inlineStr">
        <is>
          <t xml:space="preserve">Not available</t>
        </is>
      </c>
      <c r="K156" s="45" t="n"/>
      <c r="L156" s="45" t="n"/>
      <c r="M156" s="45" t="n"/>
      <c r="N156" s="45" t="n"/>
      <c r="O156" s="45" t="n"/>
      <c r="P156" s="45" t="inlineStr">
        <is>
          <t xml:space="preserve">Not available</t>
        </is>
      </c>
      <c r="Q156" s="45" t="inlineStr">
        <is>
          <t xml:space="preserve">None found</t>
        </is>
      </c>
      <c r="R156" s="45" t="inlineStr">
        <is>
          <t xml:space="preserve"/>
        </is>
      </c>
      <c r="S156" s="45" t="inlineStr">
        <is>
          <t xml:space="preserve">Only the 2010 fleet figures above exist. No truck series by year was found.</t>
        </is>
      </c>
      <c r="V156" s="80" t="str">
        <v>G014</v>
      </c>
      <c r="W156" s="80" t="str">
        <v>Missing data: Fuel use of trucks, by year</v>
      </c>
      <c r="X156" s="80" t="str">
        <v>Review detail</v>
      </c>
    </row>
    <row r="157" ht="29" customHeight="1">
      <c r="A157" s="38" t="inlineStr">
        <is>
          <t xml:space="preserve">Efficiency gain assumed in the model</t>
        </is>
      </c>
      <c r="B157" s="38" t="inlineStr">
        <is>
          <t xml:space="preserve">New diesel vehicles, high demand case</t>
        </is>
      </c>
      <c r="C157" s="38" t="inlineStr">
        <is>
          <t xml:space="preserve">% a year</t>
        </is>
      </c>
      <c r="D157" s="38" t="inlineStr">
        <is>
          <t xml:space="preserve">2030</t>
        </is>
      </c>
      <c r="E157" s="47" t="n">
        <v>0.5</v>
      </c>
      <c r="K157" s="38" t="n"/>
      <c r="L157" s="38" t="n"/>
      <c r="M157" s="38" t="n"/>
      <c r="N157" s="38" t="n"/>
      <c r="O157" s="38" t="n"/>
      <c r="P157" s="38" t="inlineStr">
        <is>
          <t xml:space="preserve">From source</t>
        </is>
      </c>
      <c r="Q157" s="38" t="inlineStr">
        <is>
          <t xml:space="preserve">Reatile workbook (model input)</t>
        </is>
      </c>
      <c r="R157" s="38" t="inlineStr">
        <is>
          <t xml:space="preserve"/>
        </is>
      </c>
      <c r="S157" s="38" t="inlineStr">
        <is>
          <t xml:space="preserve">A model setting with no source behind it. Nothing was found to confirm or replace it.</t>
        </is>
      </c>
    </row>
    <row r="158" ht="29" customHeight="1">
      <c r="A158" s="38" t="inlineStr">
        <is>
          <t xml:space="preserve">Efficiency gain assumed in the model</t>
        </is>
      </c>
      <c r="B158" s="38" t="inlineStr">
        <is>
          <t xml:space="preserve">New diesel vehicles, low demand case</t>
        </is>
      </c>
      <c r="C158" s="38" t="inlineStr">
        <is>
          <t xml:space="preserve">% a year</t>
        </is>
      </c>
      <c r="D158" s="38" t="inlineStr">
        <is>
          <t xml:space="preserve">2030</t>
        </is>
      </c>
      <c r="E158" s="47" t="n">
        <v>1</v>
      </c>
      <c r="K158" s="38" t="n"/>
      <c r="L158" s="38" t="n"/>
      <c r="M158" s="38" t="n"/>
      <c r="N158" s="38" t="n"/>
      <c r="O158" s="38" t="n"/>
      <c r="P158" s="38" t="inlineStr">
        <is>
          <t xml:space="preserve">From source</t>
        </is>
      </c>
      <c r="Q158" s="38" t="inlineStr">
        <is>
          <t xml:space="preserve">Reatile workbook (model input)</t>
        </is>
      </c>
      <c r="R158" s="38" t="inlineStr">
        <is>
          <t xml:space="preserve"/>
        </is>
      </c>
      <c r="S158" s="38" t="inlineStr">
        <is>
          <t xml:space="preserve">A model setting with no source behind it. Nothing was found to confirm or replace it.</t>
        </is>
      </c>
    </row>
    <row r="159" ht="29" customHeight="1">
      <c r="A159" s="38" t="inlineStr">
        <is>
          <t xml:space="preserve">Efficiency gain assumed in the model</t>
        </is>
      </c>
      <c r="B159" s="38" t="inlineStr">
        <is>
          <t xml:space="preserve">New petrol vehicles, high demand case</t>
        </is>
      </c>
      <c r="C159" s="38" t="inlineStr">
        <is>
          <t xml:space="preserve">% a year</t>
        </is>
      </c>
      <c r="D159" s="38" t="inlineStr">
        <is>
          <t xml:space="preserve">2030</t>
        </is>
      </c>
      <c r="E159" s="47" t="n">
        <v>1</v>
      </c>
      <c r="K159" s="38" t="n"/>
      <c r="L159" s="38" t="n"/>
      <c r="M159" s="38" t="n"/>
      <c r="N159" s="38" t="n"/>
      <c r="O159" s="38" t="n"/>
      <c r="P159" s="38" t="inlineStr">
        <is>
          <t xml:space="preserve">From source</t>
        </is>
      </c>
      <c r="Q159" s="38" t="inlineStr">
        <is>
          <t xml:space="preserve">Reatile workbook (model input)</t>
        </is>
      </c>
      <c r="R159" s="38" t="inlineStr">
        <is>
          <t xml:space="preserve"/>
        </is>
      </c>
      <c r="S159" s="38" t="inlineStr">
        <is>
          <t xml:space="preserve">A model setting with no source behind it. Nothing was found to confirm or replace it.</t>
        </is>
      </c>
    </row>
    <row r="160" ht="29" customHeight="1">
      <c r="A160" s="38" t="inlineStr">
        <is>
          <t xml:space="preserve">Efficiency gain assumed in the model</t>
        </is>
      </c>
      <c r="B160" s="38" t="inlineStr">
        <is>
          <t xml:space="preserve">New petrol vehicles, low demand case</t>
        </is>
      </c>
      <c r="C160" s="38" t="inlineStr">
        <is>
          <t xml:space="preserve">% a year</t>
        </is>
      </c>
      <c r="D160" s="38" t="inlineStr">
        <is>
          <t xml:space="preserve">2030</t>
        </is>
      </c>
      <c r="E160" s="47" t="n">
        <v>1.5</v>
      </c>
      <c r="K160" s="38" t="n"/>
      <c r="L160" s="38" t="n"/>
      <c r="M160" s="38" t="n"/>
      <c r="N160" s="38" t="n"/>
      <c r="O160" s="38" t="n"/>
      <c r="P160" s="38" t="inlineStr">
        <is>
          <t xml:space="preserve">From source</t>
        </is>
      </c>
      <c r="Q160" s="38" t="inlineStr">
        <is>
          <t xml:space="preserve">Reatile workbook (model input)</t>
        </is>
      </c>
      <c r="R160" s="38" t="inlineStr">
        <is>
          <t xml:space="preserve"/>
        </is>
      </c>
      <c r="S160" s="38" t="inlineStr">
        <is>
          <t xml:space="preserve">A model setting with no source behind it. Nothing was found to confirm or replace it.</t>
        </is>
      </c>
    </row>
    <row r="162">
      <c r="A162" s="35" t="inlineStr">
        <is>
          <t xml:space="preserve">Freight and rail</t>
        </is>
      </c>
      <c r="B162" s="35" t="n"/>
      <c r="C162" s="35" t="n"/>
      <c r="D162" s="35" t="n"/>
      <c r="E162" s="35" t="n"/>
      <c r="F162" s="35" t="n"/>
      <c r="G162" s="35" t="n"/>
      <c r="H162" s="35" t="n"/>
      <c r="I162" s="35" t="n"/>
      <c r="J162" s="35" t="n"/>
      <c r="K162" s="35" t="n"/>
      <c r="L162" s="35" t="n"/>
      <c r="M162" s="35" t="n"/>
      <c r="N162" s="35" t="n"/>
      <c r="O162" s="35" t="n"/>
      <c r="P162" s="35" t="n"/>
      <c r="Q162" s="35" t="n"/>
      <c r="R162" s="35" t="n"/>
      <c r="S162" s="35" t="n"/>
      <c r="T162" s="35" t="n"/>
    </row>
    <row r="163">
      <c r="A163" s="36" t="inlineStr">
        <is>
          <t xml:space="preserve">Item</t>
        </is>
      </c>
      <c r="B163" s="36" t="inlineStr">
        <is>
          <t xml:space="preserve">Covers</t>
        </is>
      </c>
      <c r="C163" s="36" t="inlineStr">
        <is>
          <t xml:space="preserve">Unit</t>
        </is>
      </c>
      <c r="D163" s="36" t="inlineStr">
        <is>
          <t xml:space="preserve">Basis</t>
        </is>
      </c>
      <c r="E163" s="37" t="n">
        <v>2018</v>
      </c>
      <c r="F163" s="37" t="n">
        <v>2019</v>
      </c>
      <c r="G163" s="37" t="n">
        <v>2020</v>
      </c>
      <c r="H163" s="37" t="n">
        <v>2021</v>
      </c>
      <c r="I163" s="37" t="n">
        <v>2022</v>
      </c>
      <c r="J163" s="37" t="n">
        <v>2023</v>
      </c>
      <c r="K163" s="37" t="n">
        <v>2024</v>
      </c>
      <c r="L163" s="37" t="n">
        <v>2025</v>
      </c>
      <c r="M163" s="36" t="n"/>
      <c r="N163" s="36" t="n"/>
      <c r="O163" s="36" t="n"/>
      <c r="P163" s="36" t="inlineStr">
        <is>
          <t xml:space="preserve">Status</t>
        </is>
      </c>
      <c r="Q163" s="36" t="inlineStr">
        <is>
          <t xml:space="preserve">Source</t>
        </is>
      </c>
      <c r="R163" s="36" t="inlineStr">
        <is>
          <t xml:space="preserve">Page</t>
        </is>
      </c>
      <c r="S163" s="36" t="inlineStr">
        <is>
          <t xml:space="preserve">Note</t>
        </is>
      </c>
    </row>
    <row r="164" ht="29" customHeight="1">
      <c r="A164" s="38" t="inlineStr">
        <is>
          <t xml:space="preserve">Freight carried by road</t>
        </is>
      </c>
      <c r="B164" s="38" t="inlineStr">
        <is>
          <t xml:space="preserve">South Africa</t>
        </is>
      </c>
      <c r="C164" s="38" t="inlineStr">
        <is>
          <t xml:space="preserve">million tonnes</t>
        </is>
      </c>
      <c r="D164" s="38" t="inlineStr">
        <is>
          <t xml:space="preserve">calendar years</t>
        </is>
      </c>
      <c r="E164" s="38" t="n"/>
      <c r="F164" s="38" t="n"/>
      <c r="G164" s="38" t="n"/>
      <c r="H164" s="38" t="n"/>
      <c r="I164" s="38" t="n"/>
      <c r="J164" s="38" t="n"/>
      <c r="K164" s="39" t="n">
        <v>980</v>
      </c>
      <c r="L164" s="39" t="n">
        <v>976</v>
      </c>
      <c r="M164" s="38" t="n"/>
      <c r="N164" s="38" t="n"/>
      <c r="O164" s="38" t="n"/>
      <c r="P164" s="38" t="inlineStr">
        <is>
          <t xml:space="preserve">From source</t>
        </is>
      </c>
      <c r="Q164" s="38" t="inlineStr">
        <is>
          <t xml:space="preserve">Statistics South Africa, Land transport survey (P7162), December 2025</t>
        </is>
      </c>
      <c r="R164" s="38" t="inlineStr">
        <is>
          <t xml:space="preserve">PDF p.7</t>
        </is>
      </c>
      <c r="S164" s="38" t="inlineStr">
        <is>
          <t xml:space="preserve">Tonnes, not tonne-kilometres.</t>
        </is>
      </c>
    </row>
    <row r="165" ht="29" customHeight="1">
      <c r="A165" s="38" t="inlineStr">
        <is>
          <t xml:space="preserve">Freight carried by rail</t>
        </is>
      </c>
      <c r="B165" s="38" t="inlineStr">
        <is>
          <t xml:space="preserve">South Africa</t>
        </is>
      </c>
      <c r="C165" s="38" t="inlineStr">
        <is>
          <t xml:space="preserve">million tonnes</t>
        </is>
      </c>
      <c r="D165" s="38" t="inlineStr">
        <is>
          <t xml:space="preserve">calendar years</t>
        </is>
      </c>
      <c r="E165" s="38" t="n"/>
      <c r="F165" s="38" t="n"/>
      <c r="G165" s="38" t="n"/>
      <c r="H165" s="38" t="n"/>
      <c r="I165" s="38" t="n"/>
      <c r="J165" s="38" t="n"/>
      <c r="K165" s="39" t="n">
        <v>161</v>
      </c>
      <c r="L165" s="39" t="n">
        <v>168</v>
      </c>
      <c r="M165" s="38" t="n"/>
      <c r="N165" s="38" t="n"/>
      <c r="O165" s="38" t="n"/>
      <c r="P165" s="38" t="inlineStr">
        <is>
          <t xml:space="preserve">From source</t>
        </is>
      </c>
      <c r="Q165" s="38" t="inlineStr">
        <is>
          <t xml:space="preserve">Statistics South Africa, Land transport survey (P7162), December 2025</t>
        </is>
      </c>
      <c r="R165" s="38" t="inlineStr">
        <is>
          <t xml:space="preserve">PDF p.7</t>
        </is>
      </c>
      <c r="S165" s="38" t="inlineStr">
        <is>
          <t xml:space="preserve">Tonnes, not tonne-kilometres.</t>
        </is>
      </c>
    </row>
    <row r="166" ht="15.5" customHeight="1">
      <c r="A166" s="42" t="inlineStr">
        <is>
          <t xml:space="preserve">Rail's share of road and rail tonnes</t>
        </is>
      </c>
      <c r="B166" s="42" t="inlineStr">
        <is>
          <t xml:space="preserve">South Africa</t>
        </is>
      </c>
      <c r="C166" s="42" t="inlineStr">
        <is>
          <t xml:space="preserve">%</t>
        </is>
      </c>
      <c r="D166" s="42" t="inlineStr">
        <is>
          <t xml:space="preserve">calendar years</t>
        </is>
      </c>
      <c r="E166" s="42" t="n"/>
      <c r="F166" s="42" t="n"/>
      <c r="G166" s="42" t="n"/>
      <c r="H166" s="42" t="n"/>
      <c r="I166" s="42" t="n"/>
      <c r="J166" s="42" t="n"/>
      <c r="K166" s="44" t="n">
        <v>14.1</v>
      </c>
      <c r="L166" s="44" t="n">
        <v>14.7</v>
      </c>
      <c r="M166" s="42" t="n"/>
      <c r="N166" s="42" t="n"/>
      <c r="O166" s="42" t="n"/>
      <c r="P166" s="42" t="inlineStr">
        <is>
          <t xml:space="preserve">Calculated</t>
        </is>
      </c>
      <c r="Q166" s="42" t="inlineStr">
        <is>
          <t xml:space="preserve">Calculated from the survey</t>
        </is>
      </c>
      <c r="R166" s="42" t="inlineStr">
        <is>
          <t xml:space="preserve"/>
        </is>
      </c>
      <c r="S166" s="42" t="inlineStr">
        <is>
          <t xml:space="preserve"/>
        </is>
      </c>
    </row>
    <row r="167" ht="29" customHeight="1">
      <c r="A167" s="38" t="inlineStr">
        <is>
          <t xml:space="preserve">Freight carried by Transnet Freight Rail</t>
        </is>
      </c>
      <c r="B167" s="38" t="inlineStr">
        <is>
          <t xml:space="preserve">Transnet Freight Rail, all freight</t>
        </is>
      </c>
      <c r="C167" s="38" t="inlineStr">
        <is>
          <t xml:space="preserve">million tonnes</t>
        </is>
      </c>
      <c r="D167" s="38" t="inlineStr">
        <is>
          <t xml:space="preserve">years to March</t>
        </is>
      </c>
      <c r="E167" s="63" t="n">
        <v>226.3</v>
      </c>
      <c r="F167" s="63" t="n">
        <v>215.1</v>
      </c>
      <c r="G167" s="63" t="n">
        <v>212.4</v>
      </c>
      <c r="H167" s="63" t="n">
        <v>183.3</v>
      </c>
      <c r="I167" s="63" t="n">
        <v>173.1</v>
      </c>
      <c r="J167" s="63" t="n">
        <v>149.5</v>
      </c>
      <c r="K167" s="63" t="n">
        <v>151.7</v>
      </c>
      <c r="L167" s="63" t="n">
        <v>160.1</v>
      </c>
      <c r="M167" s="38" t="n"/>
      <c r="N167" s="38" t="n"/>
      <c r="O167" s="38" t="n"/>
      <c r="P167" s="38" t="inlineStr">
        <is>
          <t xml:space="preserve">From source</t>
        </is>
      </c>
      <c r="Q167" s="38" t="inlineStr">
        <is>
          <t xml:space="preserve">Transnet annual results 2025, presentation</t>
        </is>
      </c>
      <c r="R167" s="38" t="inlineStr">
        <is>
          <t xml:space="preserve">PDF p.14</t>
        </is>
      </c>
      <c r="S167" s="38" t="inlineStr">
        <is>
          <t xml:space="preserve">Fell by a third from 2018 to 2023 and has risen since. Export iron ore, export coal and general freight together.</t>
        </is>
      </c>
    </row>
    <row r="168" ht="15.5" customHeight="1">
      <c r="A168" s="38" t="inlineStr">
        <is>
          <t xml:space="preserve">Fuel used by Transnet, all divisions</t>
        </is>
      </c>
      <c r="B168" s="38" t="inlineStr">
        <is>
          <t xml:space="preserve">Transnet, all divisions</t>
        </is>
      </c>
      <c r="C168" s="38" t="inlineStr">
        <is>
          <t xml:space="preserve">million litres</t>
        </is>
      </c>
      <c r="D168" s="38" t="inlineStr">
        <is>
          <t xml:space="preserve">years to March</t>
        </is>
      </c>
      <c r="E168" s="38" t="n"/>
      <c r="F168" s="38" t="n"/>
      <c r="G168" s="38" t="n"/>
      <c r="H168" s="38" t="n"/>
      <c r="I168" s="38" t="n"/>
      <c r="J168" s="38" t="n"/>
      <c r="K168" s="39" t="n">
        <v>190</v>
      </c>
      <c r="L168" s="39" t="n">
        <v>199</v>
      </c>
      <c r="M168" s="38" t="n"/>
      <c r="N168" s="38" t="n"/>
      <c r="O168" s="38" t="n"/>
      <c r="P168" s="38" t="inlineStr">
        <is>
          <t xml:space="preserve">From source</t>
        </is>
      </c>
      <c r="Q168" s="38" t="inlineStr">
        <is>
          <t xml:space="preserve">Transnet Integrated Report 2025</t>
        </is>
      </c>
      <c r="R168" s="38" t="inlineStr">
        <is>
          <t xml:space="preserve">PDF p.73</t>
        </is>
      </c>
      <c r="S168" s="38" t="inlineStr">
        <is>
          <t xml:space="preserve">Up 4.37%, mainly an 8.49% rise in fuel for traction.</t>
        </is>
      </c>
    </row>
    <row r="169">
      <c r="A169" s="36" t="inlineStr">
        <is>
          <t xml:space="preserve">Item</t>
        </is>
      </c>
      <c r="B169" s="36" t="inlineStr">
        <is>
          <t xml:space="preserve">Covers</t>
        </is>
      </c>
      <c r="C169" s="36" t="inlineStr">
        <is>
          <t xml:space="preserve">Unit</t>
        </is>
      </c>
      <c r="D169" s="36" t="inlineStr">
        <is>
          <t xml:space="preserve">Period</t>
        </is>
      </c>
      <c r="E169" s="36" t="inlineStr">
        <is>
          <t xml:space="preserve">Value</t>
        </is>
      </c>
      <c r="K169" s="36" t="n"/>
      <c r="L169" s="36" t="n"/>
      <c r="M169" s="36" t="n"/>
      <c r="N169" s="36" t="n"/>
      <c r="O169" s="36" t="n"/>
      <c r="P169" s="36" t="inlineStr">
        <is>
          <t xml:space="preserve">Status</t>
        </is>
      </c>
      <c r="Q169" s="36" t="inlineStr">
        <is>
          <t xml:space="preserve">Source</t>
        </is>
      </c>
      <c r="R169" s="36" t="inlineStr">
        <is>
          <t xml:space="preserve">Page</t>
        </is>
      </c>
      <c r="S169" s="36" t="inlineStr">
        <is>
          <t xml:space="preserve">Note</t>
        </is>
      </c>
    </row>
    <row r="170" ht="29" customHeight="1">
      <c r="A170" s="38" t="inlineStr">
        <is>
          <t xml:space="preserve">Transnet's rail target</t>
        </is>
      </c>
      <c r="B170" s="38" t="inlineStr">
        <is>
          <t xml:space="preserve">Transnet</t>
        </is>
      </c>
      <c r="C170" s="38" t="inlineStr">
        <is>
          <t xml:space="preserve">million tonnes</t>
        </is>
      </c>
      <c r="D170" s="38" t="inlineStr">
        <is>
          <t xml:space="preserve">target</t>
        </is>
      </c>
      <c r="E170" s="41" t="n">
        <v>250</v>
      </c>
      <c r="K170" s="38" t="n"/>
      <c r="L170" s="38" t="n"/>
      <c r="M170" s="38" t="n"/>
      <c r="N170" s="38" t="n"/>
      <c r="O170" s="38" t="n"/>
      <c r="P170" s="38" t="inlineStr">
        <is>
          <t xml:space="preserve">From source</t>
        </is>
      </c>
      <c r="Q170" s="38" t="inlineStr">
        <is>
          <t xml:space="preserve">Transnet annual results 2025, presentation</t>
        </is>
      </c>
      <c r="R170" s="38" t="inlineStr">
        <is>
          <t xml:space="preserve">PDF p.36</t>
        </is>
      </c>
      <c r="S170" s="38" t="inlineStr">
        <is>
          <t xml:space="preserve">Transnet 'aims to grow its capacity to handle 250 million tons'. The slide gives no year; Nigel cited 2030.</t>
        </is>
      </c>
    </row>
    <row r="171" ht="29" customHeight="1">
      <c r="A171" s="42" t="inlineStr">
        <is>
          <t xml:space="preserve">Extra rail freight if the target is met</t>
        </is>
      </c>
      <c r="B171" s="42" t="inlineStr">
        <is>
          <t xml:space="preserve">Transnet Freight Rail</t>
        </is>
      </c>
      <c r="C171" s="42" t="inlineStr">
        <is>
          <t xml:space="preserve">million tonnes</t>
        </is>
      </c>
      <c r="D171" s="42" t="inlineStr">
        <is>
          <t xml:space="preserve">target less the year to March 2025</t>
        </is>
      </c>
      <c r="E171" s="64" t="n">
        <v>90</v>
      </c>
      <c r="K171" s="42" t="n"/>
      <c r="L171" s="42" t="n"/>
      <c r="M171" s="42" t="n"/>
      <c r="N171" s="42" t="n"/>
      <c r="O171" s="42" t="n"/>
      <c r="P171" s="42" t="inlineStr">
        <is>
          <t xml:space="preserve">Calculated</t>
        </is>
      </c>
      <c r="Q171" s="42" t="inlineStr">
        <is>
          <t xml:space="preserve">Calculated from the two rows above</t>
        </is>
      </c>
      <c r="R171" s="42" t="inlineStr">
        <is>
          <t xml:space="preserve"/>
        </is>
      </c>
      <c r="S171" s="42" t="inlineStr">
        <is>
          <t xml:space="preserve">About 9% of road freight tonnes. Not all of it would come from road.</t>
        </is>
      </c>
    </row>
    <row r="172" ht="48" customHeight="1">
      <c r="A172" s="38" t="inlineStr">
        <is>
          <t xml:space="preserve">Freight in tonne-kilometres</t>
        </is>
      </c>
      <c r="B172" s="38" t="inlineStr">
        <is>
          <t xml:space="preserve">All freight</t>
        </is>
      </c>
      <c r="C172" s="38" t="inlineStr">
        <is>
          <t xml:space="preserve">billion tonne-km</t>
        </is>
      </c>
      <c r="D172" s="38" t="inlineStr">
        <is>
          <t xml:space="preserve">2019</t>
        </is>
      </c>
      <c r="E172" s="41" t="n">
        <v>446</v>
      </c>
      <c r="K172" s="38" t="n"/>
      <c r="L172" s="38" t="n"/>
      <c r="M172" s="38" t="n"/>
      <c r="N172" s="38" t="n"/>
      <c r="O172" s="38" t="n"/>
      <c r="P172" s="38" t="inlineStr">
        <is>
          <t xml:space="preserve">From source</t>
        </is>
      </c>
      <c r="Q172" s="38" t="inlineStr">
        <is>
          <t xml:space="preserve">Havenga et al., A proposed freight and passenger road-to-rail strategy for South Africa (SA-TIED)</t>
        </is>
      </c>
      <c r="R172" s="38" t="inlineStr">
        <is>
          <t xml:space="preserve">PDF pp.17, 25</t>
        </is>
      </c>
      <c r="S172" s="38" t="inlineStr">
        <is>
          <t xml:space="preserve">Line haul 305, last mile 132, pipelines and conveyors 9.</t>
        </is>
      </c>
      <c r="V172" s="80" t="str">
        <v>G048</v>
      </c>
      <c r="W172" s="80" t="str">
        <v>Model decision: Freight activity and rail diversion combination</v>
      </c>
      <c r="X172" s="80" t="str">
        <v>Review detail</v>
      </c>
    </row>
    <row r="173" ht="29" customHeight="1">
      <c r="A173" s="38" t="inlineStr">
        <is>
          <t xml:space="preserve">Freight in tonne-kilometres</t>
        </is>
      </c>
      <c r="B173" s="38" t="inlineStr">
        <is>
          <t xml:space="preserve">rail-friendly freight</t>
        </is>
      </c>
      <c r="C173" s="38" t="inlineStr">
        <is>
          <t xml:space="preserve">billion tonne-km</t>
        </is>
      </c>
      <c r="D173" s="38" t="inlineStr">
        <is>
          <t xml:space="preserve">2019</t>
        </is>
      </c>
      <c r="E173" s="41" t="n">
        <v>181</v>
      </c>
      <c r="K173" s="38" t="n"/>
      <c r="L173" s="38" t="n"/>
      <c r="M173" s="38" t="n"/>
      <c r="N173" s="38" t="n"/>
      <c r="O173" s="38" t="n"/>
      <c r="P173" s="38" t="inlineStr">
        <is>
          <t xml:space="preserve">From source</t>
        </is>
      </c>
      <c r="Q173" s="38" t="inlineStr">
        <is>
          <t xml:space="preserve">Havenga et al., A proposed freight and passenger road-to-rail strategy for South Africa (SA-TIED)</t>
        </is>
      </c>
      <c r="R173" s="38" t="inlineStr">
        <is>
          <t xml:space="preserve">PDF pp.17, 25</t>
        </is>
      </c>
      <c r="S173" s="38" t="inlineStr">
        <is>
          <t xml:space="preserve">Line haul 305, last mile 132, pipelines and conveyors 9.</t>
        </is>
      </c>
    </row>
    <row r="174" ht="29" customHeight="1">
      <c r="A174" s="38" t="inlineStr">
        <is>
          <t xml:space="preserve">Freight in tonne-kilometres</t>
        </is>
      </c>
      <c r="B174" s="38" t="inlineStr">
        <is>
          <t xml:space="preserve">carried by rail</t>
        </is>
      </c>
      <c r="C174" s="38" t="inlineStr">
        <is>
          <t xml:space="preserve">billion tonne-km</t>
        </is>
      </c>
      <c r="D174" s="38" t="inlineStr">
        <is>
          <t xml:space="preserve">2019</t>
        </is>
      </c>
      <c r="E174" s="41" t="n">
        <v>141</v>
      </c>
      <c r="K174" s="38" t="n"/>
      <c r="L174" s="38" t="n"/>
      <c r="M174" s="38" t="n"/>
      <c r="N174" s="38" t="n"/>
      <c r="O174" s="38" t="n"/>
      <c r="P174" s="38" t="inlineStr">
        <is>
          <t xml:space="preserve">From source</t>
        </is>
      </c>
      <c r="Q174" s="38" t="inlineStr">
        <is>
          <t xml:space="preserve">Havenga et al., A proposed freight and passenger road-to-rail strategy for South Africa (SA-TIED)</t>
        </is>
      </c>
      <c r="R174" s="38" t="inlineStr">
        <is>
          <t xml:space="preserve">PDF pp.17, 25</t>
        </is>
      </c>
      <c r="S174" s="38" t="inlineStr">
        <is>
          <t xml:space="preserve">Line haul 305, last mile 132, pipelines and conveyors 9.</t>
        </is>
      </c>
    </row>
    <row r="175" ht="29" customHeight="1">
      <c r="A175" s="38" t="inlineStr">
        <is>
          <t xml:space="preserve">General freight that rail should carry but does not</t>
        </is>
      </c>
      <c r="B175" s="38" t="inlineStr">
        <is>
          <t xml:space="preserve">Rail-friendly general freight on road</t>
        </is>
      </c>
      <c r="C175" s="38" t="inlineStr">
        <is>
          <t xml:space="preserve">billion tonne-km</t>
        </is>
      </c>
      <c r="D175" s="38" t="inlineStr">
        <is>
          <t xml:space="preserve">2019</t>
        </is>
      </c>
      <c r="E175" s="41" t="n">
        <v>30</v>
      </c>
      <c r="K175" s="38" t="n"/>
      <c r="L175" s="38" t="n"/>
      <c r="M175" s="38" t="n"/>
      <c r="N175" s="38" t="n"/>
      <c r="O175" s="38" t="n"/>
      <c r="P175" s="38" t="inlineStr">
        <is>
          <t xml:space="preserve">From source</t>
        </is>
      </c>
      <c r="Q175" s="38" t="inlineStr">
        <is>
          <t xml:space="preserve">Havenga et al., A proposed freight and passenger road-to-rail strategy for South Africa (SA-TIED)</t>
        </is>
      </c>
      <c r="R175" s="38" t="inlineStr">
        <is>
          <t xml:space="preserve">PDF p.26</t>
        </is>
      </c>
      <c r="S175" s="38" t="inlineStr">
        <is>
          <t xml:space="preserve">As the source states it: rail should have carried 47 and carried 18. This is the freight that a road-to-rail shift would move.</t>
        </is>
      </c>
    </row>
    <row r="176" ht="48" customHeight="1">
      <c r="A176" s="45" t="inlineStr">
        <is>
          <t xml:space="preserve">Road freight in tonne-kilometres, by year</t>
        </is>
      </c>
      <c r="B176" s="45" t="inlineStr">
        <is>
          <t xml:space="preserve">South Africa</t>
        </is>
      </c>
      <c r="C176" s="45" t="inlineStr">
        <is>
          <t xml:space="preserve">billion tonne-km</t>
        </is>
      </c>
      <c r="D176" s="45" t="inlineStr">
        <is>
          <t xml:space="preserve"/>
        </is>
      </c>
      <c r="E176" s="45" t="inlineStr">
        <is>
          <t xml:space="preserve">Not available</t>
        </is>
      </c>
      <c r="K176" s="45" t="n"/>
      <c r="L176" s="45" t="n"/>
      <c r="M176" s="45" t="n"/>
      <c r="N176" s="45" t="n"/>
      <c r="O176" s="45" t="n"/>
      <c r="P176" s="45" t="inlineStr">
        <is>
          <t xml:space="preserve">Not available</t>
        </is>
      </c>
      <c r="Q176" s="45" t="inlineStr">
        <is>
          <t xml:space="preserve">None published as numbers</t>
        </is>
      </c>
      <c r="R176" s="45" t="inlineStr">
        <is>
          <t xml:space="preserve"/>
        </is>
      </c>
      <c r="S176" s="45" t="inlineStr">
        <is>
          <t xml:space="preserve">The research group that models it (GAIN, Stellenbosch) shows yearly charts but publishes figures for single years only.</t>
        </is>
      </c>
      <c r="V176" s="80" t="str">
        <v>G015</v>
      </c>
      <c r="W176" s="80" t="str">
        <v>Missing data: Road freight in tonne-kilometres, by year</v>
      </c>
      <c r="X176" s="80" t="str">
        <v>Review detail</v>
      </c>
    </row>
    <row r="177" ht="42.5" customHeight="1">
      <c r="A177" s="42" t="inlineStr">
        <is>
          <t xml:space="preserve">Diesel used by rail locomotives</t>
        </is>
      </c>
      <c r="B177" s="42" t="inlineStr">
        <is>
          <t xml:space="preserve">Transnet Freight Rail</t>
        </is>
      </c>
      <c r="C177" s="42" t="inlineStr">
        <is>
          <t xml:space="preserve">million litres</t>
        </is>
      </c>
      <c r="D177" s="42" t="inlineStr">
        <is>
          <t xml:space="preserve">year to March 2025</t>
        </is>
      </c>
      <c r="E177" s="64" t="n">
        <v>138</v>
      </c>
      <c r="K177" s="42" t="n"/>
      <c r="L177" s="42" t="n"/>
      <c r="M177" s="42" t="n"/>
      <c r="N177" s="42" t="n"/>
      <c r="O177" s="42" t="n"/>
      <c r="P177" s="42" t="inlineStr">
        <is>
          <t xml:space="preserve">Calculated</t>
        </is>
      </c>
      <c r="Q177" s="42" t="inlineStr">
        <is>
          <t xml:space="preserve">199 million litres x 69.2% used for diesel traction (both from the Transnet report)</t>
        </is>
      </c>
      <c r="R177" s="42" t="inlineStr">
        <is>
          <t xml:space="preserve">PDF p.73</t>
        </is>
      </c>
      <c r="S177" s="42" t="inlineStr">
        <is>
          <t xml:space="preserve">About 1% of diesel sales. So freight moving to rail saves nearly all the road diesel it displaces. The rest is generators 13.8%, vehicle fleets 10.2%, marine diesel 6.7%, jet fuel 0.1%.</t>
        </is>
      </c>
    </row>
    <row r="179">
      <c r="A179" s="35" t="inlineStr">
        <is>
          <t xml:space="preserve">Sector activity</t>
        </is>
      </c>
      <c r="B179" s="35" t="n"/>
      <c r="C179" s="35" t="n"/>
      <c r="D179" s="35" t="n"/>
      <c r="E179" s="35" t="n"/>
      <c r="F179" s="35" t="n"/>
      <c r="G179" s="35" t="n"/>
      <c r="H179" s="35" t="n"/>
      <c r="I179" s="35" t="n"/>
      <c r="J179" s="35" t="n"/>
      <c r="K179" s="35" t="n"/>
      <c r="L179" s="35" t="n"/>
      <c r="M179" s="35" t="n"/>
      <c r="N179" s="35" t="n"/>
      <c r="O179" s="35" t="n"/>
      <c r="P179" s="35" t="n"/>
      <c r="Q179" s="35" t="n"/>
      <c r="R179" s="35" t="n"/>
      <c r="S179" s="35" t="n"/>
      <c r="T179" s="35" t="n"/>
    </row>
    <row r="180">
      <c r="A180" s="36" t="inlineStr">
        <is>
          <t xml:space="preserve">Item</t>
        </is>
      </c>
      <c r="B180" s="36" t="inlineStr">
        <is>
          <t xml:space="preserve">Covers</t>
        </is>
      </c>
      <c r="C180" s="36" t="inlineStr">
        <is>
          <t xml:space="preserve">Unit</t>
        </is>
      </c>
      <c r="D180" s="36" t="inlineStr">
        <is>
          <t xml:space="preserve">Period</t>
        </is>
      </c>
      <c r="E180" s="36" t="inlineStr">
        <is>
          <t xml:space="preserve">Value</t>
        </is>
      </c>
      <c r="K180" s="36" t="n"/>
      <c r="L180" s="36" t="n"/>
      <c r="M180" s="36" t="n"/>
      <c r="N180" s="36" t="n"/>
      <c r="O180" s="36" t="n"/>
      <c r="P180" s="36" t="inlineStr">
        <is>
          <t xml:space="preserve">Status</t>
        </is>
      </c>
      <c r="Q180" s="36" t="inlineStr">
        <is>
          <t xml:space="preserve">Source</t>
        </is>
      </c>
      <c r="R180" s="36" t="inlineStr">
        <is>
          <t xml:space="preserve">Page</t>
        </is>
      </c>
      <c r="S180" s="36" t="inlineStr">
        <is>
          <t xml:space="preserve">Note</t>
        </is>
      </c>
    </row>
    <row r="181" ht="29" customHeight="1">
      <c r="A181" s="38" t="inlineStr">
        <is>
          <t xml:space="preserve">Mining, manufacturing and agriculture: activity and diesel per unit</t>
        </is>
      </c>
      <c r="B181" s="38" t="inlineStr">
        <is>
          <t xml:space="preserve">South Africa</t>
        </is>
      </c>
      <c r="C181" s="38" t="inlineStr">
        <is>
          <t xml:space="preserve"/>
        </is>
      </c>
      <c r="D181" s="38" t="inlineStr">
        <is>
          <t xml:space="preserve">2014-2025</t>
        </is>
      </c>
      <c r="E181" s="38" t="inlineStr">
        <is>
          <t xml:space="preserve">On the DR01 sector activity sheet</t>
        </is>
      </c>
      <c r="K181" s="38" t="n"/>
      <c r="L181" s="38" t="n"/>
      <c r="M181" s="38" t="n"/>
      <c r="N181" s="38" t="n"/>
      <c r="O181" s="38" t="n"/>
      <c r="P181" s="38" t="inlineStr">
        <is>
          <t xml:space="preserve">From source</t>
        </is>
      </c>
      <c r="Q181" s="38" t="inlineStr">
        <is>
          <t xml:space="preserve">Statistics South Africa (P2041, P3041.2, P0441); department energy balances</t>
        </is>
      </c>
      <c r="R181" s="38" t="inlineStr">
        <is>
          <t xml:space="preserve"/>
        </is>
      </c>
      <c r="S181" s="38" t="inlineStr">
        <is>
          <t xml:space="preserve">Diesel by sector is observed to 2021 only, the last energy balance.</t>
        </is>
      </c>
    </row>
  </sheetData>
  <mergeCells>
    <mergeCell ref="E19:J19"/>
    <mergeCell ref="E143:J143"/>
    <mergeCell ref="E28:J28"/>
    <mergeCell ref="E177:J177"/>
    <mergeCell ref="E60:J60"/>
    <mergeCell ref="E69:J69"/>
    <mergeCell ref="E149:J149"/>
    <mergeCell ref="E30:J30"/>
    <mergeCell ref="E59:J59"/>
    <mergeCell ref="E77:J77"/>
    <mergeCell ref="E133:J133"/>
    <mergeCell ref="E46:J46"/>
    <mergeCell ref="E169:J169"/>
    <mergeCell ref="E61:J61"/>
    <mergeCell ref="E32:J32"/>
    <mergeCell ref="E159:J159"/>
    <mergeCell ref="E97:J97"/>
    <mergeCell ref="E112:J112"/>
    <mergeCell ref="E109:J109"/>
    <mergeCell ref="E47:J47"/>
    <mergeCell ref="E96:J96"/>
    <mergeCell ref="E145:J145"/>
    <mergeCell ref="E71:J71"/>
    <mergeCell ref="E129:J129"/>
    <mergeCell ref="E111:J111"/>
    <mergeCell ref="E24:J24"/>
    <mergeCell ref="E142:J142"/>
    <mergeCell ref="E98:J98"/>
    <mergeCell ref="E181:J181"/>
    <mergeCell ref="E79:J79"/>
    <mergeCell ref="E131:J131"/>
    <mergeCell ref="E88:J88"/>
    <mergeCell ref="E51:J51"/>
    <mergeCell ref="E82:J82"/>
    <mergeCell ref="E171:J171"/>
    <mergeCell ref="E153:J153"/>
    <mergeCell ref="E180:J180"/>
    <mergeCell ref="E63:J63"/>
    <mergeCell ref="E155:J155"/>
    <mergeCell ref="E137:J137"/>
    <mergeCell ref="E173:J173"/>
    <mergeCell ref="E65:J65"/>
    <mergeCell ref="E34:J34"/>
    <mergeCell ref="E105:J105"/>
    <mergeCell ref="E99:J99"/>
    <mergeCell ref="E157:J157"/>
    <mergeCell ref="E49:J49"/>
    <mergeCell ref="E36:J36"/>
    <mergeCell ref="E45:J45"/>
    <mergeCell ref="E101:J101"/>
    <mergeCell ref="E113:J113"/>
    <mergeCell ref="E91:J91"/>
    <mergeCell ref="E100:J100"/>
    <mergeCell ref="E136:J136"/>
    <mergeCell ref="E22:J22"/>
    <mergeCell ref="E93:J93"/>
    <mergeCell ref="E37:J37"/>
    <mergeCell ref="E102:J102"/>
    <mergeCell ref="E21:J21"/>
    <mergeCell ref="E62:J62"/>
    <mergeCell ref="E14:J14"/>
    <mergeCell ref="E127:J127"/>
    <mergeCell ref="E48:J48"/>
    <mergeCell ref="E23:J23"/>
    <mergeCell ref="E64:J64"/>
    <mergeCell ref="E38:J38"/>
    <mergeCell ref="E147:J147"/>
    <mergeCell ref="E87:J87"/>
    <mergeCell ref="E156:J156"/>
    <mergeCell ref="E170:J170"/>
    <mergeCell ref="E128:J128"/>
    <mergeCell ref="E40:J40"/>
    <mergeCell ref="E90:J90"/>
    <mergeCell ref="E148:J148"/>
    <mergeCell ref="E104:J104"/>
    <mergeCell ref="E27:J27"/>
    <mergeCell ref="E110:J110"/>
    <mergeCell ref="E154:J154"/>
    <mergeCell ref="E76:J76"/>
    <mergeCell ref="E25:J25"/>
    <mergeCell ref="E85:J85"/>
    <mergeCell ref="E174:J174"/>
    <mergeCell ref="E66:J66"/>
    <mergeCell ref="E75:J75"/>
    <mergeCell ref="E18:J18"/>
    <mergeCell ref="E53:J53"/>
    <mergeCell ref="E146:J146"/>
    <mergeCell ref="E50:J50"/>
    <mergeCell ref="E130:J130"/>
    <mergeCell ref="E68:J68"/>
    <mergeCell ref="E151:J151"/>
    <mergeCell ref="E55:J55"/>
    <mergeCell ref="E160:J160"/>
    <mergeCell ref="E175:J175"/>
    <mergeCell ref="E52:J52"/>
    <mergeCell ref="E67:J67"/>
    <mergeCell ref="E92:J92"/>
    <mergeCell ref="E150:J150"/>
    <mergeCell ref="E39:J39"/>
    <mergeCell ref="E132:J132"/>
    <mergeCell ref="E107:J107"/>
    <mergeCell ref="E20:J20"/>
    <mergeCell ref="E29:J29"/>
    <mergeCell ref="E94:J94"/>
    <mergeCell ref="E103:J103"/>
    <mergeCell ref="E152:J152"/>
    <mergeCell ref="E13:J13"/>
    <mergeCell ref="E84:J84"/>
    <mergeCell ref="E78:J78"/>
    <mergeCell ref="E31:J31"/>
    <mergeCell ref="E176:J176"/>
    <mergeCell ref="E158:J158"/>
    <mergeCell ref="E15:J15"/>
    <mergeCell ref="E108:J108"/>
    <mergeCell ref="E86:J86"/>
    <mergeCell ref="E80:J80"/>
    <mergeCell ref="E95:J95"/>
    <mergeCell ref="E89:J89"/>
    <mergeCell ref="E70:J70"/>
    <mergeCell ref="E144:J144"/>
    <mergeCell ref="E26:J26"/>
    <mergeCell ref="E57:J57"/>
    <mergeCell ref="E54:J54"/>
    <mergeCell ref="E72:J72"/>
    <mergeCell ref="E41:J41"/>
    <mergeCell ref="E16:J16"/>
    <mergeCell ref="E81:J81"/>
    <mergeCell ref="E134:J134"/>
    <mergeCell ref="E172:J172"/>
    <mergeCell ref="E56:J56"/>
    <mergeCell ref="E43:J43"/>
    <mergeCell ref="E58:J58"/>
    <mergeCell ref="E106:J106"/>
    <mergeCell ref="E33:J33"/>
    <mergeCell ref="E42:J42"/>
    <mergeCell ref="E17:J17"/>
    <mergeCell ref="E126:J126"/>
    <mergeCell ref="E83:J83"/>
    <mergeCell ref="E135:J135"/>
    <mergeCell ref="E35:J35"/>
    <mergeCell ref="E44:J44"/>
    <mergeCell ref="A3:J3"/>
  </mergeCells>
  <hyperlinks>
    <hyperlink ref="A3" location="'Gap register'!A16" display="REVIEW: 10 linked items. Open Gap register; filter Request. Start here explains colours and scope." tooltip="Open the linked workbook evidence or review item"/>
    <hyperlink ref="X14" location="'Gap register'!A16" display="Review detail" tooltip="Open the linked workbook evidence or review item"/>
    <hyperlink ref="X113" location="'Gap register'!A17" display="Review detail" tooltip="Open the linked workbook evidence or review item"/>
    <hyperlink ref="X137" location="'Gap register'!A18" display="Review detail" tooltip="Open the linked workbook evidence or review item"/>
    <hyperlink ref="X156" location="'Gap register'!A19" display="Review detail" tooltip="Open the linked workbook evidence or review item"/>
    <hyperlink ref="X176" location="'Gap register'!A20" display="Review detail" tooltip="Open the linked workbook evidence or review item"/>
    <hyperlink ref="X7" location="'Gap register'!A49" display="Review detail" tooltip="Open the linked workbook evidence or review item"/>
    <hyperlink ref="X172" location="'Gap register'!A53" display="Review detail" tooltip="Open the linked workbook evidence or review item"/>
  </hyperlinks>
  <pageMargins left="0.7" right="0.7" top="0.75" bottom="0.75" header="0.3" footer="0.3"/>
</worksheet>
</file>

<file path=xl/worksheets/sheet10.xml><?xml version="1.0" encoding="utf-8"?>
<worksheet xmlns="http://schemas.openxmlformats.org/spreadsheetml/2006/main">
  <sheetViews>
    <sheetView workbookViewId="0" tabSelected="0">
      <pane xSplit="1" ySplit="4" topLeftCell="B5" activePane="bottomRight" state="frozen"/>
    </sheetView>
  </sheetViews>
  <sheetFormatPr baseColWidth="8" defaultRowHeight="15"/>
  <cols>
    <col min="1" max="1" width="22" customWidth="1"/>
    <col min="2" max="2" width="16" customWidth="1"/>
    <col min="3" max="3" width="16" customWidth="1"/>
    <col min="4" max="4" width="16" customWidth="1"/>
    <col min="5" max="5" width="16" customWidth="1"/>
    <col min="6" max="6" width="16" customWidth="1"/>
    <col min="7" max="7" width="16" customWidth="1"/>
    <col min="8" max="8" width="16" customWidth="1"/>
    <col min="9" max="9" width="14" customWidth="1"/>
    <col min="10" max="10" width="62" customWidth="1"/>
    <col min="12" max="12" width="19" hidden="0" customWidth="1"/>
    <col min="13" max="13" width="65" hidden="0" customWidth="1"/>
    <col min="14" max="14" width="15" hidden="0" customWidth="1"/>
  </cols>
  <sheetData>
    <row r="1">
      <c r="A1" s="1" t="inlineStr">
        <is>
          <t xml:space="preserve">DR07 Registered vehicles by province and class, 2026-06</t>
        </is>
      </c>
    </row>
    <row r="2">
      <c r="A2" s="2" t="inlineStr">
        <is>
          <t xml:space="preserve">Vehicles on the register at month end, by class; then petrol and diesel vehicles by province at December 2023. Nothing published crosses fuel with class.</t>
        </is>
      </c>
    </row>
    <row r="3" ht="34" customHeight="1">
      <c r="A3" s="92" t="str">
        <v>REVIEW: 1 linked items. Open Gap register; filter Request. Start here explains colours and scope.</v>
      </c>
      <c r="B3" s="92"/>
      <c r="C3" s="92"/>
      <c r="D3" s="92"/>
      <c r="E3" s="92"/>
      <c r="F3" s="92"/>
      <c r="G3" s="92"/>
      <c r="H3" s="92"/>
      <c r="I3" s="92"/>
      <c r="J3" s="92"/>
    </row>
    <row r="4" ht="30" customHeight="1">
      <c r="A4" s="14" t="inlineStr">
        <is>
          <t xml:space="preserve">Province</t>
        </is>
      </c>
      <c r="B4" s="14" t="inlineStr">
        <is>
          <t xml:space="preserve">Cars</t>
        </is>
      </c>
      <c r="C4" s="14" t="inlineStr">
        <is>
          <t xml:space="preserve">Light commercial</t>
        </is>
      </c>
      <c r="D4" s="14" t="inlineStr">
        <is>
          <t xml:space="preserve">Trucks</t>
        </is>
      </c>
      <c r="E4" s="14" t="inlineStr">
        <is>
          <t xml:space="preserve">Buses</t>
        </is>
      </c>
      <c r="F4" s="14" t="inlineStr">
        <is>
          <t xml:space="preserve">Minibuses</t>
        </is>
      </c>
      <c r="G4" s="14" t="inlineStr">
        <is>
          <t xml:space="preserve">Motorcycles</t>
        </is>
      </c>
      <c r="H4" s="14" t="inlineStr">
        <is>
          <t xml:space="preserve">All self-propelled</t>
        </is>
      </c>
      <c r="I4" s="14" t="inlineStr">
        <is>
          <t xml:space="preserve">Share of all vehicles</t>
        </is>
      </c>
      <c r="J4" s="14" t="inlineStr">
        <is>
          <t xml:space="preserve">Source</t>
        </is>
      </c>
      <c r="L4" s="95" t="str">
        <v>Review IDs</v>
      </c>
      <c r="M4" s="95" t="str">
        <v>Review finding — source figures retained</v>
      </c>
      <c r="N4" s="95" t="str">
        <v>Open detail</v>
      </c>
    </row>
    <row r="5">
      <c r="A5" s="49" t="inlineStr">
        <is>
          <t xml:space="preserve">Gauteng</t>
        </is>
      </c>
      <c r="B5" s="66" t="n">
        <v>3485272</v>
      </c>
      <c r="C5" s="66" t="n">
        <v>936521</v>
      </c>
      <c r="D5" s="66" t="n">
        <v>150862</v>
      </c>
      <c r="E5" s="66" t="n">
        <v>20937</v>
      </c>
      <c r="F5" s="66" t="n">
        <v>127451</v>
      </c>
      <c r="G5" s="66" t="n">
        <v>158810</v>
      </c>
      <c r="H5" s="66" t="n">
        <v>4919011</v>
      </c>
      <c r="I5" s="67" t="n">
        <f>H5/H$14</f>
        <v>0.3899495658957008</v>
      </c>
      <c r="J5" s="38" t="inlineStr">
        <is>
          <t xml:space="preserve">eNaTIS live vehicle population by class and province (vehicle_population_natis.csv)</t>
        </is>
      </c>
    </row>
    <row r="6">
      <c r="A6" s="49" t="inlineStr">
        <is>
          <t xml:space="preserve">KwaZulu-Natal</t>
        </is>
      </c>
      <c r="B6" s="66" t="n">
        <v>1171505</v>
      </c>
      <c r="C6" s="66" t="n">
        <v>411049</v>
      </c>
      <c r="D6" s="66" t="n">
        <v>59557</v>
      </c>
      <c r="E6" s="66" t="n">
        <v>8253</v>
      </c>
      <c r="F6" s="66" t="n">
        <v>61665</v>
      </c>
      <c r="G6" s="66" t="n">
        <v>39411</v>
      </c>
      <c r="H6" s="66" t="n">
        <v>1783517</v>
      </c>
      <c r="I6" s="67" t="n">
        <f>H6/H$14</f>
        <v>0.14138648600655754</v>
      </c>
      <c r="J6" s="38" t="inlineStr">
        <is>
          <t xml:space="preserve">eNaTIS live vehicle population by class and province (vehicle_population_natis.csv)</t>
        </is>
      </c>
    </row>
    <row r="7">
      <c r="A7" s="49" t="inlineStr">
        <is>
          <t xml:space="preserve">Western Cape</t>
        </is>
      </c>
      <c r="B7" s="66" t="n">
        <v>1448715</v>
      </c>
      <c r="C7" s="66" t="n">
        <v>371420</v>
      </c>
      <c r="D7" s="66" t="n">
        <v>50960</v>
      </c>
      <c r="E7" s="66" t="n">
        <v>7463</v>
      </c>
      <c r="F7" s="66" t="n">
        <v>41603</v>
      </c>
      <c r="G7" s="66" t="n">
        <v>96388</v>
      </c>
      <c r="H7" s="66" t="n">
        <v>2060254</v>
      </c>
      <c r="I7" s="67" t="n">
        <f>H7/H$14</f>
        <v>0.16332452863693153</v>
      </c>
      <c r="J7" s="38" t="inlineStr">
        <is>
          <t xml:space="preserve">eNaTIS live vehicle population by class and province (vehicle_population_natis.csv)</t>
        </is>
      </c>
    </row>
    <row r="8">
      <c r="A8" s="49" t="inlineStr">
        <is>
          <t xml:space="preserve">Eastern Cape</t>
        </is>
      </c>
      <c r="B8" s="66" t="n">
        <v>506193</v>
      </c>
      <c r="C8" s="66" t="n">
        <v>212296</v>
      </c>
      <c r="D8" s="66" t="n">
        <v>23146</v>
      </c>
      <c r="E8" s="66" t="n">
        <v>4894</v>
      </c>
      <c r="F8" s="66" t="n">
        <v>27406</v>
      </c>
      <c r="G8" s="66" t="n">
        <v>21876</v>
      </c>
      <c r="H8" s="66" t="n">
        <v>813557</v>
      </c>
      <c r="I8" s="67" t="n">
        <f>H8/H$14</f>
        <v>0.06449389907471414</v>
      </c>
      <c r="J8" s="38" t="inlineStr">
        <is>
          <t xml:space="preserve">eNaTIS live vehicle population by class and province (vehicle_population_natis.csv)</t>
        </is>
      </c>
    </row>
    <row r="9">
      <c r="A9" s="49" t="inlineStr">
        <is>
          <t xml:space="preserve">Mpumalanga</t>
        </is>
      </c>
      <c r="B9" s="66" t="n">
        <v>477358</v>
      </c>
      <c r="C9" s="66" t="n">
        <v>231790</v>
      </c>
      <c r="D9" s="66" t="n">
        <v>41125</v>
      </c>
      <c r="E9" s="66" t="n">
        <v>7812</v>
      </c>
      <c r="F9" s="66" t="n">
        <v>28469</v>
      </c>
      <c r="G9" s="66" t="n">
        <v>17205</v>
      </c>
      <c r="H9" s="66" t="n">
        <v>830714</v>
      </c>
      <c r="I9" s="67" t="n">
        <f>H9/H$14</f>
        <v>0.06585400270165714</v>
      </c>
      <c r="J9" s="38" t="inlineStr">
        <is>
          <t xml:space="preserve">eNaTIS live vehicle population by class and province (vehicle_population_natis.csv)</t>
        </is>
      </c>
    </row>
    <row r="10">
      <c r="A10" s="49" t="inlineStr">
        <is>
          <t xml:space="preserve">Limpopo</t>
        </is>
      </c>
      <c r="B10" s="66" t="n">
        <v>419050</v>
      </c>
      <c r="C10" s="66" t="n">
        <v>260224</v>
      </c>
      <c r="D10" s="66" t="n">
        <v>28357</v>
      </c>
      <c r="E10" s="66" t="n">
        <v>7774</v>
      </c>
      <c r="F10" s="66" t="n">
        <v>28651</v>
      </c>
      <c r="G10" s="66" t="n">
        <v>9060</v>
      </c>
      <c r="H10" s="66" t="n">
        <v>771478</v>
      </c>
      <c r="I10" s="67" t="n">
        <f>H10/H$14</f>
        <v>0.06115812938781464</v>
      </c>
      <c r="J10" s="38" t="inlineStr">
        <is>
          <t xml:space="preserve">eNaTIS live vehicle population by class and province (vehicle_population_natis.csv)</t>
        </is>
      </c>
    </row>
    <row r="11">
      <c r="A11" s="49" t="inlineStr">
        <is>
          <t xml:space="preserve">North West</t>
        </is>
      </c>
      <c r="B11" s="66" t="n">
        <v>365628</v>
      </c>
      <c r="C11" s="66" t="n">
        <v>168694</v>
      </c>
      <c r="D11" s="66" t="n">
        <v>18997</v>
      </c>
      <c r="E11" s="66" t="n">
        <v>4326</v>
      </c>
      <c r="F11" s="66" t="n">
        <v>22262</v>
      </c>
      <c r="G11" s="66" t="n">
        <v>13126</v>
      </c>
      <c r="H11" s="66" t="n">
        <v>614380</v>
      </c>
      <c r="I11" s="67" t="n">
        <f>H11/H$14</f>
        <v>0.0487043461165264</v>
      </c>
      <c r="J11" s="38" t="inlineStr">
        <is>
          <t xml:space="preserve">eNaTIS live vehicle population by class and province (vehicle_population_natis.csv)</t>
        </is>
      </c>
    </row>
    <row r="12">
      <c r="A12" s="49" t="inlineStr">
        <is>
          <t xml:space="preserve">Free State</t>
        </is>
      </c>
      <c r="B12" s="66" t="n">
        <v>328418</v>
      </c>
      <c r="C12" s="66" t="n">
        <v>138820</v>
      </c>
      <c r="D12" s="66" t="n">
        <v>26190</v>
      </c>
      <c r="E12" s="66" t="n">
        <v>3425</v>
      </c>
      <c r="F12" s="66" t="n">
        <v>12679</v>
      </c>
      <c r="G12" s="66" t="n">
        <v>16810</v>
      </c>
      <c r="H12" s="66" t="n">
        <v>561774</v>
      </c>
      <c r="I12" s="67" t="n">
        <f>H12/H$14</f>
        <v>0.044534059271567276</v>
      </c>
      <c r="J12" s="38" t="inlineStr">
        <is>
          <t xml:space="preserve">eNaTIS live vehicle population by class and province (vehicle_population_natis.csv)</t>
        </is>
      </c>
    </row>
    <row r="13">
      <c r="A13" s="49" t="inlineStr">
        <is>
          <t xml:space="preserve">Northern Cape</t>
        </is>
      </c>
      <c r="B13" s="66" t="n">
        <v>138453</v>
      </c>
      <c r="C13" s="66" t="n">
        <v>85733</v>
      </c>
      <c r="D13" s="66" t="n">
        <v>9855</v>
      </c>
      <c r="E13" s="66" t="n">
        <v>1988</v>
      </c>
      <c r="F13" s="66" t="n">
        <v>6811</v>
      </c>
      <c r="G13" s="66" t="n">
        <v>7123</v>
      </c>
      <c r="H13" s="66" t="n">
        <v>259795</v>
      </c>
      <c r="I13" s="67" t="n">
        <f>H13/H$14</f>
        <v>0.020594982908530512</v>
      </c>
      <c r="J13" s="38" t="inlineStr">
        <is>
          <t xml:space="preserve">eNaTIS live vehicle population by class and province (vehicle_population_natis.csv)</t>
        </is>
      </c>
    </row>
    <row r="14">
      <c r="A14" s="51" t="inlineStr">
        <is>
          <t xml:space="preserve">South Africa</t>
        </is>
      </c>
      <c r="B14" s="68" t="n">
        <f>SUM(B5:B13)</f>
        <v>8340592</v>
      </c>
      <c r="C14" s="68" t="n">
        <f>SUM(C5:C13)</f>
        <v>2816547</v>
      </c>
      <c r="D14" s="68" t="n">
        <f>SUM(D5:D13)</f>
        <v>409049</v>
      </c>
      <c r="E14" s="68" t="n">
        <f>SUM(E5:E13)</f>
        <v>66872</v>
      </c>
      <c r="F14" s="68" t="n">
        <f>SUM(F5:F13)</f>
        <v>356997</v>
      </c>
      <c r="G14" s="68" t="n">
        <f>SUM(G5:G13)</f>
        <v>379809</v>
      </c>
      <c r="H14" s="68" t="n">
        <f>SUM(H5:H13)</f>
        <v>12614480</v>
      </c>
      <c r="I14" s="67" t="n">
        <f>H14/H$14</f>
        <v>1</v>
      </c>
      <c r="J14" s="42" t="inlineStr">
        <is>
          <t xml:space="preserve">Sum of the nine provinces</t>
        </is>
      </c>
    </row>
    <row r="16">
      <c r="A16" s="48" t="inlineStr">
        <is>
          <t xml:space="preserve">Petrol and diesel vehicles by province, December 2023</t>
        </is>
      </c>
      <c r="B16" s="48" t="n"/>
      <c r="C16" s="48" t="n"/>
      <c r="D16" s="48" t="n"/>
      <c r="E16" s="48" t="n"/>
      <c r="F16" s="48" t="n"/>
      <c r="G16" s="48" t="n"/>
      <c r="H16" s="48" t="n"/>
      <c r="I16" s="48" t="n"/>
      <c r="J16" s="48" t="n"/>
    </row>
    <row r="17">
      <c r="A17" s="3" t="inlineStr">
        <is>
          <t xml:space="preserve">Province</t>
        </is>
      </c>
      <c r="B17" s="3" t="inlineStr">
        <is>
          <t xml:space="preserve">Petrol</t>
        </is>
      </c>
      <c r="C17" s="3" t="inlineStr">
        <is>
          <t xml:space="preserve">Diesel</t>
        </is>
      </c>
      <c r="D17" s="3" t="inlineStr">
        <is>
          <t xml:space="preserve">Petrol and diesel</t>
        </is>
      </c>
      <c r="E17" s="3" t="inlineStr">
        <is>
          <t xml:space="preserve">Diesel share</t>
        </is>
      </c>
      <c r="J17" s="3" t="inlineStr">
        <is>
          <t xml:space="preserve">Source</t>
        </is>
      </c>
    </row>
    <row r="18">
      <c r="A18" s="49" t="inlineStr">
        <is>
          <t xml:space="preserve">Gauteng</t>
        </is>
      </c>
      <c r="B18" s="66" t="n">
        <v>3466725</v>
      </c>
      <c r="C18" s="66" t="n">
        <v>1142275</v>
      </c>
      <c r="D18" s="68" t="n">
        <f>B18+C18</f>
        <v>4609000</v>
      </c>
      <c r="E18" s="67" t="n">
        <f>C18/D18</f>
        <v>0.24783575612931222</v>
      </c>
      <c r="J18" s="38" t="inlineStr">
        <is>
          <t xml:space="preserve">Department of Transport, Transport Statistics Bulletin 2023, Table 2.8 (PDF p.40)</t>
        </is>
      </c>
    </row>
    <row r="19">
      <c r="A19" s="49" t="inlineStr">
        <is>
          <t xml:space="preserve">KwaZulu-Natal</t>
        </is>
      </c>
      <c r="B19" s="66" t="n">
        <v>1181017</v>
      </c>
      <c r="C19" s="66" t="n">
        <v>459888</v>
      </c>
      <c r="D19" s="68" t="n">
        <f>B19+C19</f>
        <v>1640905</v>
      </c>
      <c r="E19" s="67" t="n">
        <f>C19/D19</f>
        <v>0.280264853845896</v>
      </c>
      <c r="J19" s="38" t="inlineStr">
        <is>
          <t xml:space="preserve">Department of Transport, Transport Statistics Bulletin 2023, Table 2.8 (PDF p.40)</t>
        </is>
      </c>
    </row>
    <row r="20">
      <c r="A20" s="49" t="inlineStr">
        <is>
          <t xml:space="preserve">Western Cape</t>
        </is>
      </c>
      <c r="B20" s="66" t="n">
        <v>1426954</v>
      </c>
      <c r="C20" s="66" t="n">
        <v>507006</v>
      </c>
      <c r="D20" s="68" t="n">
        <f>B20+C20</f>
        <v>1933960</v>
      </c>
      <c r="E20" s="67" t="n">
        <f>C20/D20</f>
        <v>0.26215950691844714</v>
      </c>
      <c r="J20" s="38" t="inlineStr">
        <is>
          <t xml:space="preserve">Department of Transport, Transport Statistics Bulletin 2023, Table 2.8 (PDF p.40)</t>
        </is>
      </c>
    </row>
    <row r="21">
      <c r="A21" s="49" t="inlineStr">
        <is>
          <t xml:space="preserve">Eastern Cape</t>
        </is>
      </c>
      <c r="B21" s="66" t="n">
        <v>550085</v>
      </c>
      <c r="C21" s="66" t="n">
        <v>233959</v>
      </c>
      <c r="D21" s="68" t="n">
        <f>B21+C21</f>
        <v>784044</v>
      </c>
      <c r="E21" s="67" t="n">
        <f>C21/D21</f>
        <v>0.29840034487860373</v>
      </c>
      <c r="J21" s="38" t="inlineStr">
        <is>
          <t xml:space="preserve">Department of Transport, Transport Statistics Bulletin 2023, Table 2.8 (PDF p.40)</t>
        </is>
      </c>
    </row>
    <row r="22">
      <c r="A22" s="49" t="inlineStr">
        <is>
          <t xml:space="preserve">Mpumalanga</t>
        </is>
      </c>
      <c r="B22" s="66" t="n">
        <v>529640</v>
      </c>
      <c r="C22" s="66" t="n">
        <v>281750</v>
      </c>
      <c r="D22" s="68" t="n">
        <f>B22+C22</f>
        <v>811390</v>
      </c>
      <c r="E22" s="67" t="n">
        <f>C22/D22</f>
        <v>0.3472436189748456</v>
      </c>
      <c r="J22" s="38" t="inlineStr">
        <is>
          <t xml:space="preserve">Department of Transport, Transport Statistics Bulletin 2023, Table 2.8 (PDF p.40)</t>
        </is>
      </c>
    </row>
    <row r="23">
      <c r="A23" s="49" t="inlineStr">
        <is>
          <t xml:space="preserve">Limpopo</t>
        </is>
      </c>
      <c r="B23" s="66" t="n">
        <v>482248</v>
      </c>
      <c r="C23" s="66" t="n">
        <v>240595</v>
      </c>
      <c r="D23" s="68" t="n">
        <f>B23+C23</f>
        <v>722843</v>
      </c>
      <c r="E23" s="67" t="n">
        <f>C23/D23</f>
        <v>0.3328454449998132</v>
      </c>
      <c r="J23" s="38" t="inlineStr">
        <is>
          <t xml:space="preserve">Department of Transport, Transport Statistics Bulletin 2023, Table 2.8 (PDF p.40)</t>
        </is>
      </c>
    </row>
    <row r="24">
      <c r="A24" s="49" t="inlineStr">
        <is>
          <t xml:space="preserve">North West</t>
        </is>
      </c>
      <c r="B24" s="66" t="n">
        <v>404398</v>
      </c>
      <c r="C24" s="66" t="n">
        <v>184614</v>
      </c>
      <c r="D24" s="68" t="n">
        <f>B24+C24</f>
        <v>589012</v>
      </c>
      <c r="E24" s="67" t="n">
        <f>C24/D24</f>
        <v>0.313429947097852</v>
      </c>
      <c r="J24" s="38" t="inlineStr">
        <is>
          <t xml:space="preserve">Department of Transport, Transport Statistics Bulletin 2023, Table 2.8 (PDF p.40)</t>
        </is>
      </c>
    </row>
    <row r="25">
      <c r="A25" s="49" t="inlineStr">
        <is>
          <t xml:space="preserve">Free State</t>
        </is>
      </c>
      <c r="B25" s="66" t="n">
        <v>358000</v>
      </c>
      <c r="C25" s="66" t="n">
        <v>189266</v>
      </c>
      <c r="D25" s="68" t="n">
        <f>B25+C25</f>
        <v>547266</v>
      </c>
      <c r="E25" s="67" t="n">
        <f>C25/D25</f>
        <v>0.3458391348996649</v>
      </c>
      <c r="J25" s="38" t="inlineStr">
        <is>
          <t xml:space="preserve">Department of Transport, Transport Statistics Bulletin 2023, Table 2.8 (PDF p.40)</t>
        </is>
      </c>
    </row>
    <row r="26">
      <c r="A26" s="49" t="inlineStr">
        <is>
          <t xml:space="preserve">Northern Cape</t>
        </is>
      </c>
      <c r="B26" s="66" t="n">
        <v>156705</v>
      </c>
      <c r="C26" s="66" t="n">
        <v>96193</v>
      </c>
      <c r="D26" s="68" t="n">
        <f>B26+C26</f>
        <v>252898</v>
      </c>
      <c r="E26" s="67" t="n">
        <f>C26/D26</f>
        <v>0.380362834027948</v>
      </c>
      <c r="J26" s="38" t="inlineStr">
        <is>
          <t xml:space="preserve">Department of Transport, Transport Statistics Bulletin 2023, Table 2.8 (PDF p.40)</t>
        </is>
      </c>
    </row>
    <row r="27">
      <c r="A27" s="51" t="inlineStr">
        <is>
          <t xml:space="preserve">South Africa</t>
        </is>
      </c>
      <c r="B27" s="68" t="n">
        <f>SUM(B18:B26)</f>
        <v>8555772</v>
      </c>
      <c r="C27" s="68" t="n">
        <f>SUM(C18:C26)</f>
        <v>3335546</v>
      </c>
      <c r="D27" s="68" t="n">
        <f>B27+C27</f>
        <v>11891318</v>
      </c>
      <c r="E27" s="67" t="n">
        <f>C27/D27</f>
        <v>0.2805026322565758</v>
      </c>
      <c r="J27" s="42" t="inlineStr">
        <is>
          <t xml:space="preserve">Sum of the nine provinces; equals the bulletin's national totals</t>
        </is>
      </c>
    </row>
  </sheetData>
  <mergeCells>
    <mergeCell ref="A3:J3"/>
  </mergeCells>
  <hyperlinks>
    <hyperlink ref="A3" location="'Gap register'!A51" display="REVIEW: 1 linked items. Open Gap register; filter Request. Start here explains colours and scope." tooltip="Open the linked workbook evidence or review item"/>
  </hyperlinks>
  <pageMargins left="0.7" right="0.7" top="0.75" bottom="0.75" header="0.3" footer="0.3"/>
</worksheet>
</file>

<file path=xl/worksheets/sheet11.xml><?xml version="1.0" encoding="utf-8"?>
<worksheet xmlns="http://schemas.openxmlformats.org/spreadsheetml/2006/main">
  <sheetViews>
    <sheetView workbookViewId="0" tabSelected="0">
      <pane xSplit="1" ySplit="2" topLeftCell="B3" activePane="bottomRight" state="frozen"/>
    </sheetView>
  </sheetViews>
  <sheetFormatPr baseColWidth="8" defaultRowHeight="15"/>
  <cols>
    <col min="1" max="1" width="36" customWidth="1"/>
    <col min="2" max="2" width="30" customWidth="1"/>
    <col min="3" max="3" width="20" customWidth="1"/>
    <col min="4" max="4" width="16" customWidth="1"/>
    <col min="5" max="5" width="10.5" customWidth="1"/>
    <col min="6" max="6" width="10.5" customWidth="1"/>
    <col min="7" max="7" width="10.5" customWidth="1"/>
    <col min="8" max="8" width="10.5" customWidth="1"/>
    <col min="9" max="9" width="10.5" customWidth="1"/>
    <col min="10" max="10" width="10.5" customWidth="1"/>
    <col min="11" max="11" width="10.5" customWidth="1"/>
    <col min="12" max="12" width="10.5" customWidth="1"/>
    <col min="13" max="13" width="10.5" customWidth="1"/>
    <col min="14" max="14" width="10.5" customWidth="1"/>
    <col min="15" max="15" width="10.5" customWidth="1"/>
    <col min="16" max="16" width="13" customWidth="1"/>
    <col min="17" max="17" width="46" customWidth="1"/>
    <col min="18" max="18" width="16" customWidth="1"/>
    <col min="19" max="19" width="62" customWidth="1"/>
    <col min="22" max="22" width="19" hidden="0" customWidth="1"/>
    <col min="23" max="23" width="65" hidden="0" customWidth="1"/>
    <col min="24" max="24" width="15" hidden="0" customWidth="1"/>
  </cols>
  <sheetData>
    <row r="1">
      <c r="A1" s="1" t="inlineStr">
        <is>
          <t xml:space="preserve">DR08 Refinery supply</t>
        </is>
      </c>
    </row>
    <row r="2">
      <c r="A2" s="2" t="inlineStr">
        <is>
          <t xml:space="preserve">43 facts from sources (blue), 19 calculated (white), 2 not available (yellow). Petrol and diesel only. Figures reported for several years are set out one column a year; every row names its source.</t>
        </is>
      </c>
    </row>
    <row r="3" ht="34" customHeight="1">
      <c r="A3" s="92" t="str">
        <v>REVIEW: 5 linked items. Open Gap register; filter Request. Start here explains colours and scope.</v>
      </c>
      <c r="B3" s="92"/>
      <c r="C3" s="92"/>
      <c r="D3" s="92"/>
      <c r="E3" s="92"/>
      <c r="F3" s="92"/>
      <c r="G3" s="92"/>
      <c r="H3" s="92"/>
      <c r="I3" s="92"/>
      <c r="J3" s="92"/>
    </row>
    <row r="4" ht="30" customHeight="1">
      <c r="V4" s="95" t="str">
        <v>Review IDs</v>
      </c>
      <c r="W4" s="95" t="str">
        <v>Review finding — source figures retained</v>
      </c>
      <c r="X4" s="95" t="str">
        <v>Open detail</v>
      </c>
    </row>
    <row r="5">
      <c r="A5" s="35" t="inlineStr">
        <is>
          <t xml:space="preserve">Capacity</t>
        </is>
      </c>
      <c r="B5" s="35" t="n"/>
      <c r="C5" s="35" t="n"/>
      <c r="D5" s="35" t="n"/>
      <c r="E5" s="35" t="n"/>
      <c r="F5" s="35" t="n"/>
      <c r="G5" s="35" t="n"/>
      <c r="H5" s="35" t="n"/>
      <c r="I5" s="35" t="n"/>
      <c r="J5" s="35" t="n"/>
      <c r="K5" s="35" t="n"/>
      <c r="L5" s="35" t="n"/>
      <c r="M5" s="35" t="n"/>
      <c r="N5" s="35" t="n"/>
      <c r="O5" s="35" t="n"/>
      <c r="P5" s="35" t="n"/>
      <c r="Q5" s="35" t="n"/>
      <c r="R5" s="35" t="n"/>
      <c r="S5" s="35" t="n"/>
      <c r="T5" s="35" t="n"/>
    </row>
    <row r="6">
      <c r="A6" s="36" t="inlineStr">
        <is>
          <t xml:space="preserve">Item</t>
        </is>
      </c>
      <c r="B6" s="36" t="inlineStr">
        <is>
          <t xml:space="preserve">Plant</t>
        </is>
      </c>
      <c r="C6" s="36" t="inlineStr">
        <is>
          <t xml:space="preserve">Unit</t>
        </is>
      </c>
      <c r="D6" s="36" t="inlineStr">
        <is>
          <t xml:space="preserve">Period</t>
        </is>
      </c>
      <c r="E6" s="36" t="inlineStr">
        <is>
          <t xml:space="preserve">Value</t>
        </is>
      </c>
      <c r="K6" s="36" t="n"/>
      <c r="L6" s="36" t="n"/>
      <c r="M6" s="36" t="n"/>
      <c r="N6" s="36" t="n"/>
      <c r="O6" s="36" t="n"/>
      <c r="P6" s="36" t="inlineStr">
        <is>
          <t xml:space="preserve">Status</t>
        </is>
      </c>
      <c r="Q6" s="36" t="inlineStr">
        <is>
          <t xml:space="preserve">Source</t>
        </is>
      </c>
      <c r="R6" s="36" t="inlineStr">
        <is>
          <t xml:space="preserve">Page</t>
        </is>
      </c>
      <c r="S6" s="36" t="inlineStr">
        <is>
          <t xml:space="preserve">Note</t>
        </is>
      </c>
    </row>
    <row r="7" ht="29" customHeight="1">
      <c r="A7" s="38" t="inlineStr">
        <is>
          <t xml:space="preserve">Published capacity</t>
        </is>
      </c>
      <c r="B7" s="38" t="inlineStr">
        <is>
          <t xml:space="preserve">Secunda</t>
        </is>
      </c>
      <c r="C7" s="38" t="inlineStr">
        <is>
          <t xml:space="preserve">barrels a day</t>
        </is>
      </c>
      <c r="D7" s="38" t="inlineStr">
        <is>
          <t xml:space="preserve">as published in 2023</t>
        </is>
      </c>
      <c r="E7" s="41" t="n">
        <v>150000</v>
      </c>
      <c r="K7" s="38" t="n"/>
      <c r="L7" s="38" t="n"/>
      <c r="M7" s="38" t="n"/>
      <c r="N7" s="38" t="n"/>
      <c r="O7" s="38" t="n"/>
      <c r="P7" s="38" t="inlineStr">
        <is>
          <t xml:space="preserve">From source</t>
        </is>
      </c>
      <c r="Q7" s="38" t="inlineStr">
        <is>
          <t xml:space="preserve">Department of Mineral Resources and Energy, South African Energy Sector Report 2023, Table 1</t>
        </is>
      </c>
      <c r="R7" s="38" t="inlineStr">
        <is>
          <t xml:space="preserve">PDF p.17</t>
        </is>
      </c>
      <c r="S7" s="38" t="inlineStr">
        <is>
          <t xml:space="preserve">Coal to liquids. The department's table names the industry association (SAPIA, now FIASA) as its source. Crude equivalent.</t>
        </is>
      </c>
    </row>
    <row r="8" ht="42.5" customHeight="1">
      <c r="A8" s="38" t="inlineStr">
        <is>
          <t xml:space="preserve">Published capacity</t>
        </is>
      </c>
      <c r="B8" s="38" t="inlineStr">
        <is>
          <t xml:space="preserve">Natref</t>
        </is>
      </c>
      <c r="C8" s="38" t="inlineStr">
        <is>
          <t xml:space="preserve">barrels a day</t>
        </is>
      </c>
      <c r="D8" s="38" t="inlineStr">
        <is>
          <t xml:space="preserve">as published in 2023</t>
        </is>
      </c>
      <c r="E8" s="41" t="n">
        <v>108000</v>
      </c>
      <c r="K8" s="38" t="n"/>
      <c r="L8" s="38" t="n"/>
      <c r="M8" s="38" t="n"/>
      <c r="N8" s="38" t="n"/>
      <c r="O8" s="38" t="n"/>
      <c r="P8" s="38" t="inlineStr">
        <is>
          <t xml:space="preserve">From source</t>
        </is>
      </c>
      <c r="Q8" s="38" t="inlineStr">
        <is>
          <t xml:space="preserve">Department of Mineral Resources and Energy, South African Energy Sector Report 2023, Table 1</t>
        </is>
      </c>
      <c r="R8" s="38" t="inlineStr">
        <is>
          <t xml:space="preserve">PDF p.17</t>
        </is>
      </c>
      <c r="S8" s="38" t="inlineStr">
        <is>
          <t xml:space="preserve">Crude oil. Sasol 64%, TotalEnergies 36%. The department's table names the industry association (SAPIA, now FIASA) as its source. Crude equivalent.</t>
        </is>
      </c>
    </row>
    <row r="9" ht="29" customHeight="1">
      <c r="A9" s="38" t="inlineStr">
        <is>
          <t xml:space="preserve">Published capacity</t>
        </is>
      </c>
      <c r="B9" s="38" t="inlineStr">
        <is>
          <t xml:space="preserve">Astron Energy</t>
        </is>
      </c>
      <c r="C9" s="38" t="inlineStr">
        <is>
          <t xml:space="preserve">barrels a day</t>
        </is>
      </c>
      <c r="D9" s="38" t="inlineStr">
        <is>
          <t xml:space="preserve">as published in 2023</t>
        </is>
      </c>
      <c r="E9" s="41" t="n">
        <v>100000</v>
      </c>
      <c r="K9" s="38" t="n"/>
      <c r="L9" s="38" t="n"/>
      <c r="M9" s="38" t="n"/>
      <c r="N9" s="38" t="n"/>
      <c r="O9" s="38" t="n"/>
      <c r="P9" s="38" t="inlineStr">
        <is>
          <t xml:space="preserve">From source</t>
        </is>
      </c>
      <c r="Q9" s="38" t="inlineStr">
        <is>
          <t xml:space="preserve">Department of Mineral Resources and Energy, South African Energy Sector Report 2023, Table 1</t>
        </is>
      </c>
      <c r="R9" s="38" t="inlineStr">
        <is>
          <t xml:space="preserve">PDF p.17</t>
        </is>
      </c>
      <c r="S9" s="38" t="inlineStr">
        <is>
          <t xml:space="preserve">Crude oil, Cape Town. The department's table names the industry association (SAPIA, now FIASA) as its source. Crude equivalent.</t>
        </is>
      </c>
    </row>
    <row r="10" ht="42.5" customHeight="1">
      <c r="A10" s="38" t="inlineStr">
        <is>
          <t xml:space="preserve">Published capacity</t>
        </is>
      </c>
      <c r="B10" s="38" t="inlineStr">
        <is>
          <t xml:space="preserve">Sapref</t>
        </is>
      </c>
      <c r="C10" s="38" t="inlineStr">
        <is>
          <t xml:space="preserve">barrels a day</t>
        </is>
      </c>
      <c r="D10" s="38" t="inlineStr">
        <is>
          <t xml:space="preserve">as published in 2023</t>
        </is>
      </c>
      <c r="E10" s="41" t="n">
        <v>180000</v>
      </c>
      <c r="K10" s="38" t="n"/>
      <c r="L10" s="38" t="n"/>
      <c r="M10" s="38" t="n"/>
      <c r="N10" s="38" t="n"/>
      <c r="O10" s="38" t="n"/>
      <c r="P10" s="38" t="inlineStr">
        <is>
          <t xml:space="preserve">From source</t>
        </is>
      </c>
      <c r="Q10" s="38" t="inlineStr">
        <is>
          <t xml:space="preserve">Department of Mineral Resources and Energy, South African Energy Sector Report 2023, Table 1</t>
        </is>
      </c>
      <c r="R10" s="38" t="inlineStr">
        <is>
          <t xml:space="preserve">PDF p.17</t>
        </is>
      </c>
      <c r="S10" s="38" t="inlineStr">
        <is>
          <t xml:space="preserve">Crude oil, Durban. Listed at full capacity although not refining. The department's table names the industry association (SAPIA, now FIASA) as its source. Crude equivalent.</t>
        </is>
      </c>
    </row>
    <row r="11" ht="29" customHeight="1">
      <c r="A11" s="38" t="inlineStr">
        <is>
          <t xml:space="preserve">Published capacity</t>
        </is>
      </c>
      <c r="B11" s="38" t="inlineStr">
        <is>
          <t xml:space="preserve">Enref</t>
        </is>
      </c>
      <c r="C11" s="38" t="inlineStr">
        <is>
          <t xml:space="preserve">barrels a day</t>
        </is>
      </c>
      <c r="D11" s="38" t="inlineStr">
        <is>
          <t xml:space="preserve">as published in 2023</t>
        </is>
      </c>
      <c r="E11" s="41" t="n">
        <v>0</v>
      </c>
      <c r="K11" s="38" t="n"/>
      <c r="L11" s="38" t="n"/>
      <c r="M11" s="38" t="n"/>
      <c r="N11" s="38" t="n"/>
      <c r="O11" s="38" t="n"/>
      <c r="P11" s="38" t="inlineStr">
        <is>
          <t xml:space="preserve">From source</t>
        </is>
      </c>
      <c r="Q11" s="38" t="inlineStr">
        <is>
          <t xml:space="preserve">Department of Mineral Resources and Energy, South African Energy Sector Report 2023, Table 1</t>
        </is>
      </c>
      <c r="R11" s="38" t="inlineStr">
        <is>
          <t xml:space="preserve">PDF p.17</t>
        </is>
      </c>
      <c r="S11" s="38" t="inlineStr">
        <is>
          <t xml:space="preserve">Crude oil, Durban. Shown as nil. The department's table names the industry association (SAPIA, now FIASA) as its source. Crude equivalent.</t>
        </is>
      </c>
    </row>
    <row r="12" ht="42.5" customHeight="1">
      <c r="A12" s="38" t="inlineStr">
        <is>
          <t xml:space="preserve">Published capacity</t>
        </is>
      </c>
      <c r="B12" s="38" t="inlineStr">
        <is>
          <t xml:space="preserve">PetroSA</t>
        </is>
      </c>
      <c r="C12" s="38" t="inlineStr">
        <is>
          <t xml:space="preserve">barrels a day</t>
        </is>
      </c>
      <c r="D12" s="38" t="inlineStr">
        <is>
          <t xml:space="preserve">as published in 2023</t>
        </is>
      </c>
      <c r="E12" s="41" t="n">
        <v>0</v>
      </c>
      <c r="K12" s="38" t="n"/>
      <c r="L12" s="38" t="n"/>
      <c r="M12" s="38" t="n"/>
      <c r="N12" s="38" t="n"/>
      <c r="O12" s="38" t="n"/>
      <c r="P12" s="38" t="inlineStr">
        <is>
          <t xml:space="preserve">From source</t>
        </is>
      </c>
      <c r="Q12" s="38" t="inlineStr">
        <is>
          <t xml:space="preserve">Department of Mineral Resources and Energy, South African Energy Sector Report 2023, Table 1</t>
        </is>
      </c>
      <c r="R12" s="38" t="inlineStr">
        <is>
          <t xml:space="preserve">PDF p.17</t>
        </is>
      </c>
      <c r="S12" s="38" t="inlineStr">
        <is>
          <t xml:space="preserve">Gas to liquids, Mossel Bay. Shown as nil. The department's table names the industry association (SAPIA, now FIASA) as its source. Crude equivalent.</t>
        </is>
      </c>
    </row>
    <row r="13" ht="29" customHeight="1">
      <c r="A13" s="38" t="inlineStr">
        <is>
          <t xml:space="preserve">Published capacity before the closures</t>
        </is>
      </c>
      <c r="B13" s="38" t="inlineStr">
        <is>
          <t xml:space="preserve">Enref</t>
        </is>
      </c>
      <c r="C13" s="38" t="inlineStr">
        <is>
          <t xml:space="preserve">barrels a day</t>
        </is>
      </c>
      <c r="D13" s="38" t="inlineStr">
        <is>
          <t xml:space="preserve">as published in 2021</t>
        </is>
      </c>
      <c r="E13" s="41" t="n">
        <v>135000</v>
      </c>
      <c r="K13" s="38" t="n"/>
      <c r="L13" s="38" t="n"/>
      <c r="M13" s="38" t="n"/>
      <c r="N13" s="38" t="n"/>
      <c r="O13" s="38" t="n"/>
      <c r="P13" s="38" t="inlineStr">
        <is>
          <t xml:space="preserve">From source</t>
        </is>
      </c>
      <c r="Q13" s="38" t="inlineStr">
        <is>
          <t xml:space="preserve">Department of Mineral Resources and Energy, South African Energy Sector Report 2021, Table 1-1</t>
        </is>
      </c>
      <c r="R13" s="38" t="inlineStr">
        <is>
          <t xml:space="preserve">PDF p.15</t>
        </is>
      </c>
      <c r="S13" s="38" t="inlineStr">
        <is>
          <t xml:space="preserve">The department's table names the industry association (SAPIA, now FIASA) as its source. Crude equivalent.</t>
        </is>
      </c>
    </row>
    <row r="14" ht="29" customHeight="1">
      <c r="A14" s="38" t="inlineStr">
        <is>
          <t xml:space="preserve">Published capacity before the closures</t>
        </is>
      </c>
      <c r="B14" s="38" t="inlineStr">
        <is>
          <t xml:space="preserve">PetroSA</t>
        </is>
      </c>
      <c r="C14" s="38" t="inlineStr">
        <is>
          <t xml:space="preserve">barrels a day</t>
        </is>
      </c>
      <c r="D14" s="38" t="inlineStr">
        <is>
          <t xml:space="preserve">as published in 2021</t>
        </is>
      </c>
      <c r="E14" s="41" t="n">
        <v>45000</v>
      </c>
      <c r="K14" s="38" t="n"/>
      <c r="L14" s="38" t="n"/>
      <c r="M14" s="38" t="n"/>
      <c r="N14" s="38" t="n"/>
      <c r="O14" s="38" t="n"/>
      <c r="P14" s="38" t="inlineStr">
        <is>
          <t xml:space="preserve">From source</t>
        </is>
      </c>
      <c r="Q14" s="38" t="inlineStr">
        <is>
          <t xml:space="preserve">Department of Mineral Resources and Energy, South African Energy Sector Report 2021, Table 1-1</t>
        </is>
      </c>
      <c r="R14" s="38" t="inlineStr">
        <is>
          <t xml:space="preserve">PDF p.15</t>
        </is>
      </c>
      <c r="S14" s="38" t="inlineStr">
        <is>
          <t xml:space="preserve">The department's table names the industry association (SAPIA, now FIASA) as its source. Crude equivalent.</t>
        </is>
      </c>
    </row>
    <row r="15" ht="29" customHeight="1">
      <c r="A15" s="38" t="inlineStr">
        <is>
          <t xml:space="preserve">Published capacity before the closures</t>
        </is>
      </c>
      <c r="B15" s="38" t="inlineStr">
        <is>
          <t xml:space="preserve">All six plants</t>
        </is>
      </c>
      <c r="C15" s="38" t="inlineStr">
        <is>
          <t xml:space="preserve">barrels a day</t>
        </is>
      </c>
      <c r="D15" s="38" t="inlineStr">
        <is>
          <t xml:space="preserve">as published in 2021</t>
        </is>
      </c>
      <c r="E15" s="41" t="n">
        <v>718000</v>
      </c>
      <c r="K15" s="38" t="n"/>
      <c r="L15" s="38" t="n"/>
      <c r="M15" s="38" t="n"/>
      <c r="N15" s="38" t="n"/>
      <c r="O15" s="38" t="n"/>
      <c r="P15" s="38" t="inlineStr">
        <is>
          <t xml:space="preserve">From source</t>
        </is>
      </c>
      <c r="Q15" s="38" t="inlineStr">
        <is>
          <t xml:space="preserve">Department of Mineral Resources and Energy, South African Energy Sector Report 2021, Table 1-1</t>
        </is>
      </c>
      <c r="R15" s="38" t="inlineStr">
        <is>
          <t xml:space="preserve">PDF p.15</t>
        </is>
      </c>
      <c r="S15" s="38" t="inlineStr">
        <is>
          <t xml:space="preserve">The department's table names the industry association (SAPIA, now FIASA) as its source. Crude equivalent.</t>
        </is>
      </c>
    </row>
    <row r="16" ht="29" customHeight="1">
      <c r="A16" s="38" t="inlineStr">
        <is>
          <t xml:space="preserve">Capacity stated by the operator</t>
        </is>
      </c>
      <c r="B16" s="38" t="inlineStr">
        <is>
          <t xml:space="preserve">Astron Energy</t>
        </is>
      </c>
      <c r="C16" s="38" t="inlineStr">
        <is>
          <t xml:space="preserve">barrels a day, steady state</t>
        </is>
      </c>
      <c r="D16" s="38" t="inlineStr">
        <is>
          <t xml:space="preserve">2023 and 2025</t>
        </is>
      </c>
      <c r="E16" s="41" t="n">
        <v>100000</v>
      </c>
      <c r="K16" s="38" t="n"/>
      <c r="L16" s="38" t="n"/>
      <c r="M16" s="38" t="n"/>
      <c r="N16" s="38" t="n"/>
      <c r="O16" s="38" t="n"/>
      <c r="P16" s="38" t="inlineStr">
        <is>
          <t xml:space="preserve">From source</t>
        </is>
      </c>
      <c r="Q16" s="38" t="inlineStr">
        <is>
          <t xml:space="preserve">Glencore annual reports 2023 and 2025</t>
        </is>
      </c>
      <c r="R16" s="38" t="inlineStr">
        <is>
          <t xml:space="preserve">2023 PDF p.195; 2025 PDF p.150</t>
        </is>
      </c>
      <c r="S16" s="38" t="inlineStr">
        <is>
          <t xml:space="preserve">Agrees with the department's table.</t>
        </is>
      </c>
    </row>
    <row r="17" ht="29" customHeight="1">
      <c r="A17" s="38" t="inlineStr">
        <is>
          <t xml:space="preserve">Capacity stated by the operator</t>
        </is>
      </c>
      <c r="B17" s="38" t="inlineStr">
        <is>
          <t xml:space="preserve">Secunda</t>
        </is>
      </c>
      <c r="C17" s="38" t="inlineStr">
        <is>
          <t xml:space="preserve">barrels a day</t>
        </is>
      </c>
      <c r="D17" s="38" t="inlineStr">
        <is>
          <t xml:space="preserve">as stated April 2021</t>
        </is>
      </c>
      <c r="E17" s="41" t="n">
        <v>150000</v>
      </c>
      <c r="K17" s="38" t="n"/>
      <c r="L17" s="38" t="n"/>
      <c r="M17" s="38" t="n"/>
      <c r="N17" s="38" t="n"/>
      <c r="O17" s="38" t="n"/>
      <c r="P17" s="38" t="inlineStr">
        <is>
          <t xml:space="preserve">From source</t>
        </is>
      </c>
      <c r="Q17" s="38" t="inlineStr">
        <is>
          <t xml:space="preserve">Sasol Limited, Business Overview, April 2021</t>
        </is>
      </c>
      <c r="R17" s="38" t="inlineStr">
        <is>
          <t xml:space="preserve">PDF p.12</t>
        </is>
      </c>
      <c r="S17" s="38" t="inlineStr">
        <is>
          <t xml:space="preserve">Sasol: about 7.5 to 7.7 million tonnes a year, of which about 60% is energy products and 40% chemicals. Agrees with the department's table.</t>
        </is>
      </c>
    </row>
    <row r="18" ht="29" customHeight="1">
      <c r="A18" s="38" t="inlineStr">
        <is>
          <t xml:space="preserve">Capacity stated by the operator</t>
        </is>
      </c>
      <c r="B18" s="38" t="inlineStr">
        <is>
          <t xml:space="preserve">Natref</t>
        </is>
      </c>
      <c r="C18" s="38" t="inlineStr">
        <is>
          <t xml:space="preserve">barrels a day</t>
        </is>
      </c>
      <c r="D18" s="38" t="inlineStr">
        <is>
          <t xml:space="preserve">as stated April 2021</t>
        </is>
      </c>
      <c r="E18" s="41" t="n">
        <v>108500</v>
      </c>
      <c r="K18" s="38" t="n"/>
      <c r="L18" s="38" t="n"/>
      <c r="M18" s="38" t="n"/>
      <c r="N18" s="38" t="n"/>
      <c r="O18" s="38" t="n"/>
      <c r="P18" s="38" t="inlineStr">
        <is>
          <t xml:space="preserve">From source</t>
        </is>
      </c>
      <c r="Q18" s="38" t="inlineStr">
        <is>
          <t xml:space="preserve">Sasol Limited, Business Overview, April 2021</t>
        </is>
      </c>
      <c r="R18" s="38" t="inlineStr">
        <is>
          <t xml:space="preserve">PDF p.12</t>
        </is>
      </c>
      <c r="S18" s="38" t="inlineStr">
        <is>
          <t xml:space="preserve">The department's table shows 108,000.</t>
        </is>
      </c>
    </row>
    <row r="19" ht="42.5" customHeight="1">
      <c r="A19" s="38" t="inlineStr">
        <is>
          <t xml:space="preserve">Capacity stated by the operator</t>
        </is>
      </c>
      <c r="B19" s="38" t="inlineStr">
        <is>
          <t xml:space="preserve">Secunda</t>
        </is>
      </c>
      <c r="C19" s="38" t="inlineStr">
        <is>
          <t xml:space="preserve">barrels of oil equivalent a day, fuels and chemicals</t>
        </is>
      </c>
      <c r="D19" s="38" t="inlineStr">
        <is>
          <t xml:space="preserve">as stated in a site-visit pack, 2023</t>
        </is>
      </c>
      <c r="E19" s="38" t="inlineStr">
        <is>
          <t xml:space="preserve">About 160,000</t>
        </is>
      </c>
      <c r="K19" s="38" t="n"/>
      <c r="L19" s="38" t="n"/>
      <c r="M19" s="38" t="n"/>
      <c r="N19" s="38" t="n"/>
      <c r="O19" s="38" t="n"/>
      <c r="P19" s="38" t="inlineStr">
        <is>
          <t xml:space="preserve">From source</t>
        </is>
      </c>
      <c r="Q19" s="38" t="inlineStr">
        <is>
          <t xml:space="preserve">Sasol Limited, Secunda Operations investor site visit</t>
        </is>
      </c>
      <c r="R19" s="38" t="inlineStr">
        <is>
          <t xml:space="preserve">PDF p.3</t>
        </is>
      </c>
      <c r="S19" s="38" t="inlineStr">
        <is>
          <t xml:space="preserve">About 7.5 million tonnes a year: about 60% fuels (diesel, petrol, jet fuel, LPG) and 40% chemicals. No split between petrol and diesel.</t>
        </is>
      </c>
    </row>
    <row r="20" ht="42.5" customHeight="1">
      <c r="A20" s="38" t="inlineStr">
        <is>
          <t xml:space="preserve">Capacity stated by the operator</t>
        </is>
      </c>
      <c r="B20" s="38" t="inlineStr">
        <is>
          <t xml:space="preserve">Astron Energy</t>
        </is>
      </c>
      <c r="C20" s="38" t="inlineStr">
        <is>
          <t xml:space="preserve">barrels a day, nameplate crude processing</t>
        </is>
      </c>
      <c r="D20" s="38" t="inlineStr">
        <is>
          <t xml:space="preserve">as on the company's site, October 2026</t>
        </is>
      </c>
      <c r="E20" s="41" t="n">
        <v>100000</v>
      </c>
      <c r="K20" s="38" t="n"/>
      <c r="L20" s="38" t="n"/>
      <c r="M20" s="38" t="n"/>
      <c r="N20" s="38" t="n"/>
      <c r="O20" s="38" t="n"/>
      <c r="P20" s="38" t="inlineStr">
        <is>
          <t xml:space="preserve">From source</t>
        </is>
      </c>
      <c r="Q20" s="38" t="inlineStr">
        <is>
          <t xml:space="preserve">Astron Energy, About us page</t>
        </is>
      </c>
      <c r="R20" s="38" t="inlineStr">
        <is>
          <t xml:space="preserve"/>
        </is>
      </c>
      <c r="S20" s="38" t="inlineStr">
        <is>
          <t xml:space="preserve">Agrees with Glencore and with the department's table.</t>
        </is>
      </c>
    </row>
    <row r="21" ht="29" customHeight="1">
      <c r="A21" s="42" t="inlineStr">
        <is>
          <t xml:space="preserve">Capacity in operation</t>
        </is>
      </c>
      <c r="B21" s="42" t="inlineStr">
        <is>
          <t xml:space="preserve">Secunda, Natref and Astron Energy</t>
        </is>
      </c>
      <c r="C21" s="42" t="inlineStr">
        <is>
          <t xml:space="preserve">barrels a day, crude equivalent</t>
        </is>
      </c>
      <c r="D21" s="42" t="inlineStr">
        <is>
          <t xml:space="preserve">2023 onward</t>
        </is>
      </c>
      <c r="E21" s="64" t="n">
        <v>358000</v>
      </c>
      <c r="K21" s="42" t="n"/>
      <c r="L21" s="42" t="n"/>
      <c r="M21" s="42" t="n"/>
      <c r="N21" s="42" t="n"/>
      <c r="O21" s="42" t="n"/>
      <c r="P21" s="42" t="inlineStr">
        <is>
          <t xml:space="preserve">Calculated</t>
        </is>
      </c>
      <c r="Q21" s="42" t="inlineStr">
        <is>
          <t xml:space="preserve">Sum of the three plants operating</t>
        </is>
      </c>
      <c r="R21" s="42" t="inlineStr">
        <is>
          <t xml:space="preserve"/>
        </is>
      </c>
      <c r="S21" s="42" t="inlineStr">
        <is>
          <t xml:space="preserve">Half of the 718,000 published in 2021. Sapref is still listed at 180,000 by the department although it is not refining.</t>
        </is>
      </c>
    </row>
    <row r="23">
      <c r="A23" s="35" t="inlineStr">
        <is>
          <t xml:space="preserve">Status and dates</t>
        </is>
      </c>
      <c r="B23" s="35" t="n"/>
      <c r="C23" s="35" t="n"/>
      <c r="D23" s="35" t="n"/>
      <c r="E23" s="35" t="n"/>
      <c r="F23" s="35" t="n"/>
      <c r="G23" s="35" t="n"/>
      <c r="H23" s="35" t="n"/>
      <c r="I23" s="35" t="n"/>
      <c r="J23" s="35" t="n"/>
      <c r="K23" s="35" t="n"/>
      <c r="L23" s="35" t="n"/>
      <c r="M23" s="35" t="n"/>
      <c r="N23" s="35" t="n"/>
      <c r="O23" s="35" t="n"/>
      <c r="P23" s="35" t="n"/>
      <c r="Q23" s="35" t="n"/>
      <c r="R23" s="35" t="n"/>
      <c r="S23" s="35" t="n"/>
      <c r="T23" s="35" t="n"/>
    </row>
    <row r="24">
      <c r="A24" s="36" t="inlineStr">
        <is>
          <t xml:space="preserve">Item</t>
        </is>
      </c>
      <c r="B24" s="36" t="inlineStr">
        <is>
          <t xml:space="preserve">Plant</t>
        </is>
      </c>
      <c r="C24" s="36" t="inlineStr">
        <is>
          <t xml:space="preserve">Unit</t>
        </is>
      </c>
      <c r="D24" s="36" t="inlineStr">
        <is>
          <t xml:space="preserve">Period</t>
        </is>
      </c>
      <c r="E24" s="36" t="inlineStr">
        <is>
          <t xml:space="preserve">Value</t>
        </is>
      </c>
      <c r="K24" s="36" t="n"/>
      <c r="L24" s="36" t="n"/>
      <c r="M24" s="36" t="n"/>
      <c r="N24" s="36" t="n"/>
      <c r="O24" s="36" t="n"/>
      <c r="P24" s="36" t="inlineStr">
        <is>
          <t xml:space="preserve">Status</t>
        </is>
      </c>
      <c r="Q24" s="36" t="inlineStr">
        <is>
          <t xml:space="preserve">Source</t>
        </is>
      </c>
      <c r="R24" s="36" t="inlineStr">
        <is>
          <t xml:space="preserve">Page</t>
        </is>
      </c>
      <c r="S24" s="36" t="inlineStr">
        <is>
          <t xml:space="preserve">Note</t>
        </is>
      </c>
    </row>
    <row r="25" ht="15.5" customHeight="1">
      <c r="A25" s="42" t="inlineStr">
        <is>
          <t xml:space="preserve">Refining in 2026</t>
        </is>
      </c>
      <c r="B25" s="42" t="inlineStr">
        <is>
          <t xml:space="preserve">Secunda</t>
        </is>
      </c>
      <c r="C25" s="42" t="inlineStr">
        <is>
          <t xml:space="preserve"/>
        </is>
      </c>
      <c r="D25" s="42" t="inlineStr">
        <is>
          <t xml:space="preserve">2026</t>
        </is>
      </c>
      <c r="E25" s="42" t="inlineStr">
        <is>
          <t xml:space="preserve">Yes</t>
        </is>
      </c>
      <c r="K25" s="42" t="n"/>
      <c r="L25" s="42" t="n"/>
      <c r="M25" s="42" t="n"/>
      <c r="N25" s="42" t="n"/>
      <c r="O25" s="42" t="n"/>
      <c r="P25" s="42" t="inlineStr">
        <is>
          <t xml:space="preserve">Calculated</t>
        </is>
      </c>
      <c r="Q25" s="42" t="inlineStr">
        <is>
          <t xml:space="preserve">Sasol business performance metrics, June 2026</t>
        </is>
      </c>
      <c r="R25" s="42" t="inlineStr">
        <is>
          <t xml:space="preserve"/>
        </is>
      </c>
      <c r="S25" s="42" t="inlineStr">
        <is>
          <t xml:space="preserve">Read from the status rows below.</t>
        </is>
      </c>
    </row>
    <row r="26" ht="56" customHeight="1">
      <c r="A26" s="42" t="inlineStr">
        <is>
          <t xml:space="preserve">Refining in 2026</t>
        </is>
      </c>
      <c r="B26" s="42" t="inlineStr">
        <is>
          <t xml:space="preserve">Natref</t>
        </is>
      </c>
      <c r="C26" s="42" t="inlineStr">
        <is>
          <t xml:space="preserve"/>
        </is>
      </c>
      <c r="D26" s="42" t="inlineStr">
        <is>
          <t xml:space="preserve">2026; planned shutdown and a unit outage, August to September</t>
        </is>
      </c>
      <c r="E26" s="42" t="inlineStr">
        <is>
          <t xml:space="preserve">Yes</t>
        </is>
      </c>
      <c r="K26" s="42" t="n"/>
      <c r="L26" s="42" t="n"/>
      <c r="M26" s="42" t="n"/>
      <c r="N26" s="42" t="n"/>
      <c r="O26" s="42" t="n"/>
      <c r="P26" s="42" t="inlineStr">
        <is>
          <t xml:space="preserve">Calculated</t>
        </is>
      </c>
      <c r="Q26" s="42" t="inlineStr">
        <is>
          <t xml:space="preserve">Sasol business performance metrics, June 2026; Natref update, 1 September 2026</t>
        </is>
      </c>
      <c r="R26" s="42" t="inlineStr">
        <is>
          <t xml:space="preserve"/>
        </is>
      </c>
      <c r="S26" s="42" t="inlineStr">
        <is>
          <t xml:space="preserve">Read from the status rows below. Natref is its own crude refinery at Sasolburg, part-owned by Sasol; its output is not part of Secunda's.</t>
        </is>
      </c>
    </row>
    <row r="27" ht="29" customHeight="1">
      <c r="A27" s="42" t="inlineStr">
        <is>
          <t xml:space="preserve">Refining in 2026</t>
        </is>
      </c>
      <c r="B27" s="42" t="inlineStr">
        <is>
          <t xml:space="preserve">Astron Energy</t>
        </is>
      </c>
      <c r="C27" s="42" t="inlineStr">
        <is>
          <t xml:space="preserve"/>
        </is>
      </c>
      <c r="D27" s="42" t="inlineStr">
        <is>
          <t xml:space="preserve">since the restart in early 2023</t>
        </is>
      </c>
      <c r="E27" s="42" t="inlineStr">
        <is>
          <t xml:space="preserve">Yes</t>
        </is>
      </c>
      <c r="K27" s="42" t="n"/>
      <c r="L27" s="42" t="n"/>
      <c r="M27" s="42" t="n"/>
      <c r="N27" s="42" t="n"/>
      <c r="O27" s="42" t="n"/>
      <c r="P27" s="42" t="inlineStr">
        <is>
          <t xml:space="preserve">Calculated</t>
        </is>
      </c>
      <c r="Q27" s="42" t="inlineStr">
        <is>
          <t xml:space="preserve">Glencore annual reports 2023 to 2025</t>
        </is>
      </c>
      <c r="R27" s="42" t="inlineStr">
        <is>
          <t xml:space="preserve"/>
        </is>
      </c>
      <c r="S27" s="42" t="inlineStr">
        <is>
          <t xml:space="preserve">Read from the status rows below.</t>
        </is>
      </c>
    </row>
    <row r="28" ht="42.5" customHeight="1">
      <c r="A28" s="42" t="inlineStr">
        <is>
          <t xml:space="preserve">Refining in 2026</t>
        </is>
      </c>
      <c r="B28" s="42" t="inlineStr">
        <is>
          <t xml:space="preserve">Sapref</t>
        </is>
      </c>
      <c r="C28" s="42" t="inlineStr">
        <is>
          <t xml:space="preserve"/>
        </is>
      </c>
      <c r="D28" s="42" t="inlineStr">
        <is>
          <t xml:space="preserve">since the pause at the end of March 2022</t>
        </is>
      </c>
      <c r="E28" s="42" t="inlineStr">
        <is>
          <t xml:space="preserve">No</t>
        </is>
      </c>
      <c r="K28" s="42" t="n"/>
      <c r="L28" s="42" t="n"/>
      <c r="M28" s="42" t="n"/>
      <c r="N28" s="42" t="n"/>
      <c r="O28" s="42" t="n"/>
      <c r="P28" s="42" t="inlineStr">
        <is>
          <t xml:space="preserve">Calculated</t>
        </is>
      </c>
      <c r="Q28" s="42" t="inlineStr">
        <is>
          <t xml:space="preserve">Shell South Africa release, 10 February 2022; Central Energy Fund, September 2026</t>
        </is>
      </c>
      <c r="R28" s="42" t="inlineStr">
        <is>
          <t xml:space="preserve"/>
        </is>
      </c>
      <c r="S28" s="42" t="inlineStr">
        <is>
          <t xml:space="preserve">Read from the status rows below.</t>
        </is>
      </c>
    </row>
    <row r="29" ht="29" customHeight="1">
      <c r="A29" s="42" t="inlineStr">
        <is>
          <t xml:space="preserve">Refining in 2026</t>
        </is>
      </c>
      <c r="B29" s="42" t="inlineStr">
        <is>
          <t xml:space="preserve">Enref</t>
        </is>
      </c>
      <c r="C29" s="42" t="inlineStr">
        <is>
          <t xml:space="preserve"/>
        </is>
      </c>
      <c r="D29" s="42" t="inlineStr">
        <is>
          <t xml:space="preserve">since the fire of 4 December 2020</t>
        </is>
      </c>
      <c r="E29" s="42" t="inlineStr">
        <is>
          <t xml:space="preserve">No</t>
        </is>
      </c>
      <c r="K29" s="42" t="n"/>
      <c r="L29" s="42" t="n"/>
      <c r="M29" s="42" t="n"/>
      <c r="N29" s="42" t="n"/>
      <c r="O29" s="42" t="n"/>
      <c r="P29" s="42" t="inlineStr">
        <is>
          <t xml:space="preserve">Calculated</t>
        </is>
      </c>
      <c r="Q29" s="42" t="inlineStr">
        <is>
          <t xml:space="preserve">Engen's account to Parliament, 8 December 2020; department's 2023 report</t>
        </is>
      </c>
      <c r="R29" s="42" t="inlineStr">
        <is>
          <t xml:space="preserve"/>
        </is>
      </c>
      <c r="S29" s="42" t="inlineStr">
        <is>
          <t xml:space="preserve">Read from the status rows below.</t>
        </is>
      </c>
    </row>
    <row r="30" ht="29" customHeight="1">
      <c r="A30" s="42" t="inlineStr">
        <is>
          <t xml:space="preserve">Refining in 2026</t>
        </is>
      </c>
      <c r="B30" s="42" t="inlineStr">
        <is>
          <t xml:space="preserve">PetroSA</t>
        </is>
      </c>
      <c r="C30" s="42" t="inlineStr">
        <is>
          <t xml:space="preserve"/>
        </is>
      </c>
      <c r="D30" s="42" t="inlineStr">
        <is>
          <t xml:space="preserve">since December 2020</t>
        </is>
      </c>
      <c r="E30" s="42" t="inlineStr">
        <is>
          <t xml:space="preserve">No</t>
        </is>
      </c>
      <c r="K30" s="42" t="n"/>
      <c r="L30" s="42" t="n"/>
      <c r="M30" s="42" t="n"/>
      <c r="N30" s="42" t="n"/>
      <c r="O30" s="42" t="n"/>
      <c r="P30" s="42" t="inlineStr">
        <is>
          <t xml:space="preserve">Calculated</t>
        </is>
      </c>
      <c r="Q30" s="42" t="inlineStr">
        <is>
          <t xml:space="preserve">PetroSA tender scope of work; department's 2023 report</t>
        </is>
      </c>
      <c r="R30" s="42" t="inlineStr">
        <is>
          <t xml:space="preserve"/>
        </is>
      </c>
      <c r="S30" s="42" t="inlineStr">
        <is>
          <t xml:space="preserve">Read from the status rows below.</t>
        </is>
      </c>
    </row>
    <row r="31" ht="29" customHeight="1">
      <c r="A31" s="38" t="inlineStr">
        <is>
          <t xml:space="preserve">Status</t>
        </is>
      </c>
      <c r="B31" s="38" t="inlineStr">
        <is>
          <t xml:space="preserve">Astron Energy</t>
        </is>
      </c>
      <c r="C31" s="38" t="inlineStr">
        <is>
          <t xml:space="preserve"/>
        </is>
      </c>
      <c r="D31" s="38" t="inlineStr">
        <is>
          <t xml:space="preserve">early 2023</t>
        </is>
      </c>
      <c r="E31" s="38" t="inlineStr">
        <is>
          <t xml:space="preserve">Restarted after a multi-year rebuild</t>
        </is>
      </c>
      <c r="K31" s="38" t="n"/>
      <c r="L31" s="38" t="n"/>
      <c r="M31" s="38" t="n"/>
      <c r="N31" s="38" t="n"/>
      <c r="O31" s="38" t="n"/>
      <c r="P31" s="38" t="inlineStr">
        <is>
          <t xml:space="preserve">From source</t>
        </is>
      </c>
      <c r="Q31" s="38" t="inlineStr">
        <is>
          <t xml:space="preserve">Glencore Annual Report 2023</t>
        </is>
      </c>
      <c r="R31" s="38" t="inlineStr">
        <is>
          <t xml:space="preserve">PDF pp.101, 106</t>
        </is>
      </c>
      <c r="S31" s="38" t="inlineStr">
        <is>
          <t xml:space="preserve">It had not operated since a 2020 incident; the department's 2023 report still describes it as not operating.</t>
        </is>
      </c>
    </row>
    <row r="32" ht="29" customHeight="1">
      <c r="A32" s="38" t="inlineStr">
        <is>
          <t xml:space="preserve">Status</t>
        </is>
      </c>
      <c r="B32" s="38" t="inlineStr">
        <is>
          <t xml:space="preserve">Enref (Engen)</t>
        </is>
      </c>
      <c r="C32" s="38" t="inlineStr">
        <is>
          <t xml:space="preserve"/>
        </is>
      </c>
      <c r="D32" s="38" t="inlineStr">
        <is>
          <t xml:space="preserve">as at 2023</t>
        </is>
      </c>
      <c r="E32" s="38" t="inlineStr">
        <is>
          <t xml:space="preserve">Not operating after a major fire; capacity shown as nil</t>
        </is>
      </c>
      <c r="K32" s="38" t="n"/>
      <c r="L32" s="38" t="n"/>
      <c r="M32" s="38" t="n"/>
      <c r="N32" s="38" t="n"/>
      <c r="O32" s="38" t="n"/>
      <c r="P32" s="38" t="inlineStr">
        <is>
          <t xml:space="preserve">From source</t>
        </is>
      </c>
      <c r="Q32" s="38" t="inlineStr">
        <is>
          <t xml:space="preserve">Department of Mineral Resources and Energy, South African Energy Sector Report 2023</t>
        </is>
      </c>
      <c r="R32" s="38" t="inlineStr">
        <is>
          <t xml:space="preserve">PDF p.17</t>
        </is>
      </c>
      <c r="S32" s="38" t="inlineStr">
        <is>
          <t xml:space="preserve">The fire and the decision to close are dated in the two rows below.</t>
        </is>
      </c>
    </row>
    <row r="33" ht="29" customHeight="1">
      <c r="A33" s="38" t="inlineStr">
        <is>
          <t xml:space="preserve">Status</t>
        </is>
      </c>
      <c r="B33" s="38" t="inlineStr">
        <is>
          <t xml:space="preserve">PetroSA (Mossel Bay)</t>
        </is>
      </c>
      <c r="C33" s="38" t="inlineStr">
        <is>
          <t xml:space="preserve"/>
        </is>
      </c>
      <c r="D33" s="38" t="inlineStr">
        <is>
          <t xml:space="preserve">since December 2020</t>
        </is>
      </c>
      <c r="E33" s="38" t="inlineStr">
        <is>
          <t xml:space="preserve">Not operating: no feedstock</t>
        </is>
      </c>
      <c r="K33" s="38" t="n"/>
      <c r="L33" s="38" t="n"/>
      <c r="M33" s="38" t="n"/>
      <c r="N33" s="38" t="n"/>
      <c r="O33" s="38" t="n"/>
      <c r="P33" s="38" t="inlineStr">
        <is>
          <t xml:space="preserve">From source</t>
        </is>
      </c>
      <c r="Q33" s="38" t="inlineStr">
        <is>
          <t xml:space="preserve">PetroSA tender scope of work; department's 2023 report</t>
        </is>
      </c>
      <c r="R33" s="38" t="inlineStr">
        <is>
          <t xml:space="preserve">department PDF p.17</t>
        </is>
      </c>
      <c r="S33" s="38" t="inlineStr">
        <is>
          <t xml:space="preserve">PetroSA's tender proposes restarting the liquids refinery without the offshore gas sections.</t>
        </is>
      </c>
    </row>
    <row r="34" ht="29" customHeight="1">
      <c r="A34" s="38" t="inlineStr">
        <is>
          <t xml:space="preserve">Status</t>
        </is>
      </c>
      <c r="B34" s="38" t="inlineStr">
        <is>
          <t xml:space="preserve">Sapref</t>
        </is>
      </c>
      <c r="C34" s="38" t="inlineStr">
        <is>
          <t xml:space="preserve"/>
        </is>
      </c>
      <c r="D34" s="38" t="inlineStr">
        <is>
          <t xml:space="preserve">as at September 2026</t>
        </is>
      </c>
      <c r="E34" s="38" t="inlineStr">
        <is>
          <t xml:space="preserve">Not refining; acquired by the Central Energy Fund</t>
        </is>
      </c>
      <c r="K34" s="38" t="n"/>
      <c r="L34" s="38" t="n"/>
      <c r="M34" s="38" t="n"/>
      <c r="N34" s="38" t="n"/>
      <c r="O34" s="38" t="n"/>
      <c r="P34" s="38" t="inlineStr">
        <is>
          <t xml:space="preserve">From source</t>
        </is>
      </c>
      <c r="Q34" s="38" t="inlineStr">
        <is>
          <t xml:space="preserve">Central Energy Fund statements, September 2026</t>
        </is>
      </c>
      <c r="R34" s="38" t="inlineStr">
        <is>
          <t xml:space="preserve"/>
        </is>
      </c>
      <c r="S34" s="38" t="inlineStr">
        <is>
          <t xml:space="preserve">The two statements confirm the acquisition and that the site is not refining. The pause is dated in the Shell release below.</t>
        </is>
      </c>
    </row>
    <row r="35" ht="29" customHeight="1">
      <c r="A35" s="38" t="inlineStr">
        <is>
          <t xml:space="preserve">Status</t>
        </is>
      </c>
      <c r="B35" s="38" t="inlineStr">
        <is>
          <t xml:space="preserve">Natref</t>
        </is>
      </c>
      <c r="C35" s="38" t="inlineStr">
        <is>
          <t xml:space="preserve"/>
        </is>
      </c>
      <c r="D35" s="38" t="inlineStr">
        <is>
          <t xml:space="preserve">August to September 2026</t>
        </is>
      </c>
      <c r="E35" s="38" t="inlineStr">
        <is>
          <t xml:space="preserve">A downstream unit outage alongside a planned shutdown</t>
        </is>
      </c>
      <c r="K35" s="38" t="n"/>
      <c r="L35" s="38" t="n"/>
      <c r="M35" s="38" t="n"/>
      <c r="N35" s="38" t="n"/>
      <c r="O35" s="38" t="n"/>
      <c r="P35" s="38" t="inlineStr">
        <is>
          <t xml:space="preserve">From source</t>
        </is>
      </c>
      <c r="Q35" s="38" t="inlineStr">
        <is>
          <t xml:space="preserve">Sasol, Natref operational update, 1 September 2026</t>
        </is>
      </c>
      <c r="R35" s="38" t="inlineStr">
        <is>
          <t xml:space="preserve"/>
        </is>
      </c>
      <c r="S35" s="38" t="inlineStr">
        <is>
          <t xml:space="preserve">An operating risk, not a closure.</t>
        </is>
      </c>
    </row>
    <row r="36" ht="29" customHeight="1">
      <c r="A36" s="38" t="inlineStr">
        <is>
          <t xml:space="preserve">Status</t>
        </is>
      </c>
      <c r="B36" s="38" t="inlineStr">
        <is>
          <t xml:space="preserve">Three crude refineries</t>
        </is>
      </c>
      <c r="C36" s="38" t="inlineStr">
        <is>
          <t xml:space="preserve"/>
        </is>
      </c>
      <c r="D36" s="38" t="inlineStr">
        <is>
          <t xml:space="preserve">as at 2023</t>
        </is>
      </c>
      <c r="E36" s="38" t="inlineStr">
        <is>
          <t xml:space="preserve">Not in operation for the past two years</t>
        </is>
      </c>
      <c r="K36" s="38" t="n"/>
      <c r="L36" s="38" t="n"/>
      <c r="M36" s="38" t="n"/>
      <c r="N36" s="38" t="n"/>
      <c r="O36" s="38" t="n"/>
      <c r="P36" s="38" t="inlineStr">
        <is>
          <t xml:space="preserve">From source</t>
        </is>
      </c>
      <c r="Q36" s="38" t="inlineStr">
        <is>
          <t xml:space="preserve">Department of Mineral Resources and Energy, South African Energy Sector Report 2023</t>
        </is>
      </c>
      <c r="R36" s="38" t="inlineStr">
        <is>
          <t xml:space="preserve">PDF p.17</t>
        </is>
      </c>
      <c r="S36" s="38" t="inlineStr">
        <is>
          <t xml:space="preserve">The department's wording; it does not name them in that sentence.</t>
        </is>
      </c>
    </row>
    <row r="37" ht="42.5" customHeight="1">
      <c r="A37" s="38" t="inlineStr">
        <is>
          <t xml:space="preserve">Status</t>
        </is>
      </c>
      <c r="B37" s="38" t="inlineStr">
        <is>
          <t xml:space="preserve">Enref (Engen)</t>
        </is>
      </c>
      <c r="C37" s="38" t="inlineStr">
        <is>
          <t xml:space="preserve"/>
        </is>
      </c>
      <c r="D37" s="38" t="inlineStr">
        <is>
          <t xml:space="preserve">4 December 2020</t>
        </is>
      </c>
      <c r="E37" s="38" t="inlineStr">
        <is>
          <t xml:space="preserve">Fire and explosion at 07:08 in Unit 44; the refinery was shut</t>
        </is>
      </c>
      <c r="K37" s="38" t="n"/>
      <c r="L37" s="38" t="n"/>
      <c r="M37" s="38" t="n"/>
      <c r="N37" s="38" t="n"/>
      <c r="O37" s="38" t="n"/>
      <c r="P37" s="38" t="inlineStr">
        <is>
          <t xml:space="preserve">From source</t>
        </is>
      </c>
      <c r="Q37" s="38" t="inlineStr">
        <is>
          <t xml:space="preserve">Engen's account to Parliament's Portfolio Committee on Environment, Forestry and Fisheries, 8 December 2020 (Parliamentary Monitoring Group record)</t>
        </is>
      </c>
      <c r="R37" s="38" t="inlineStr">
        <is>
          <t xml:space="preserve"/>
        </is>
      </c>
      <c r="S37" s="38" t="inlineStr">
        <is>
          <t xml:space="preserve">It did not refine again: see the next row.</t>
        </is>
      </c>
    </row>
    <row r="38" ht="42.5" customHeight="1">
      <c r="A38" s="38" t="inlineStr">
        <is>
          <t xml:space="preserve">Status</t>
        </is>
      </c>
      <c r="B38" s="38" t="inlineStr">
        <is>
          <t xml:space="preserve">Enref (Engen)</t>
        </is>
      </c>
      <c r="C38" s="38" t="inlineStr">
        <is>
          <t xml:space="preserve"/>
        </is>
      </c>
      <c r="D38" s="38" t="inlineStr">
        <is>
          <t xml:space="preserve">23 April 2021</t>
        </is>
      </c>
      <c r="E38" s="38" t="inlineStr">
        <is>
          <t xml:space="preserve">Engen announced it would shut the refinery and convert the site to an import terminal by the end of 2023</t>
        </is>
      </c>
      <c r="K38" s="38" t="n"/>
      <c r="L38" s="38" t="n"/>
      <c r="M38" s="38" t="n"/>
      <c r="N38" s="38" t="n"/>
      <c r="O38" s="38" t="n"/>
      <c r="P38" s="38" t="inlineStr">
        <is>
          <t xml:space="preserve">From source</t>
        </is>
      </c>
      <c r="Q38" s="38" t="inlineStr">
        <is>
          <t xml:space="preserve">Engineering News, 23 April 2021, reporting Engen's statement</t>
        </is>
      </c>
      <c r="R38" s="38" t="inlineStr">
        <is>
          <t xml:space="preserve"/>
        </is>
      </c>
      <c r="S38" s="38" t="inlineStr">
        <is>
          <t xml:space="preserve">A press report of Engen's statement; the statement itself is not held. Engen gives nameplate capacity as 120,000 barrels a day, against 135,000 in the department's table.</t>
        </is>
      </c>
    </row>
    <row r="39" ht="29" customHeight="1">
      <c r="A39" s="38" t="inlineStr">
        <is>
          <t xml:space="preserve">Status</t>
        </is>
      </c>
      <c r="B39" s="38" t="inlineStr">
        <is>
          <t xml:space="preserve">Sapref</t>
        </is>
      </c>
      <c r="C39" s="38" t="inlineStr">
        <is>
          <t xml:space="preserve"/>
        </is>
      </c>
      <c r="D39" s="38" t="inlineStr">
        <is>
          <t xml:space="preserve">10 February 2022</t>
        </is>
      </c>
      <c r="E39" s="38" t="inlineStr">
        <is>
          <t xml:space="preserve">Shell and bp announced a spend freeze and a pause of refinery operations no later than the end of March 2022, for an indefinite period</t>
        </is>
      </c>
      <c r="K39" s="38" t="n"/>
      <c r="L39" s="38" t="n"/>
      <c r="M39" s="38" t="n"/>
      <c r="N39" s="38" t="n"/>
      <c r="O39" s="38" t="n"/>
      <c r="P39" s="38" t="inlineStr">
        <is>
          <t xml:space="preserve">From source</t>
        </is>
      </c>
      <c r="Q39" s="38" t="inlineStr">
        <is>
          <t xml:space="preserve">Shell South Africa media release, SAPREF to pause refinery operations</t>
        </is>
      </c>
      <c r="R39" s="38" t="inlineStr">
        <is>
          <t xml:space="preserve"/>
        </is>
      </c>
      <c r="S39" s="38" t="inlineStr">
        <is>
          <t xml:space="preserve">Gives the latest date for the pause, not the day the last unit stopped.</t>
        </is>
      </c>
    </row>
    <row r="41">
      <c r="A41" s="35" t="inlineStr">
        <is>
          <t xml:space="preserve">Output by plant</t>
        </is>
      </c>
      <c r="B41" s="35" t="n"/>
      <c r="C41" s="35" t="n"/>
      <c r="D41" s="35" t="n"/>
      <c r="E41" s="35" t="n"/>
      <c r="F41" s="35" t="n"/>
      <c r="G41" s="35" t="n"/>
      <c r="H41" s="35" t="n"/>
      <c r="I41" s="35" t="n"/>
      <c r="J41" s="35" t="n"/>
      <c r="K41" s="35" t="n"/>
      <c r="L41" s="35" t="n"/>
      <c r="M41" s="35" t="n"/>
      <c r="N41" s="35" t="n"/>
      <c r="O41" s="35" t="n"/>
      <c r="P41" s="35" t="n"/>
      <c r="Q41" s="35" t="n"/>
      <c r="R41" s="35" t="n"/>
      <c r="S41" s="35" t="n"/>
      <c r="T41" s="35" t="n"/>
    </row>
    <row r="42">
      <c r="A42" s="36" t="inlineStr">
        <is>
          <t xml:space="preserve">Item</t>
        </is>
      </c>
      <c r="B42" s="36" t="inlineStr">
        <is>
          <t xml:space="preserve">Plant</t>
        </is>
      </c>
      <c r="C42" s="36" t="inlineStr">
        <is>
          <t xml:space="preserve">Unit</t>
        </is>
      </c>
      <c r="D42" s="36" t="inlineStr">
        <is>
          <t xml:space="preserve">Basis</t>
        </is>
      </c>
      <c r="E42" s="37" t="n">
        <v>2020</v>
      </c>
      <c r="F42" s="37" t="n">
        <v>2021</v>
      </c>
      <c r="G42" s="37" t="n">
        <v>2022</v>
      </c>
      <c r="H42" s="37" t="n">
        <v>2023</v>
      </c>
      <c r="I42" s="37" t="n">
        <v>2024</v>
      </c>
      <c r="J42" s="37" t="n">
        <v>2025</v>
      </c>
      <c r="K42" s="37" t="n">
        <v>2026</v>
      </c>
      <c r="L42" s="36" t="n"/>
      <c r="M42" s="36" t="n"/>
      <c r="N42" s="36" t="n"/>
      <c r="O42" s="36" t="n"/>
      <c r="P42" s="36" t="inlineStr">
        <is>
          <t xml:space="preserve">Status</t>
        </is>
      </c>
      <c r="Q42" s="36" t="inlineStr">
        <is>
          <t xml:space="preserve">Source</t>
        </is>
      </c>
      <c r="R42" s="36" t="inlineStr">
        <is>
          <t xml:space="preserve">Page</t>
        </is>
      </c>
      <c r="S42" s="36" t="inlineStr">
        <is>
          <t xml:space="preserve">Note</t>
        </is>
      </c>
    </row>
    <row r="43" ht="48" customHeight="1">
      <c r="A43" s="38" t="inlineStr">
        <is>
          <t xml:space="preserve">Output reported by the operator</t>
        </is>
      </c>
      <c r="B43" s="38" t="inlineStr">
        <is>
          <t xml:space="preserve">Secunda, all refined products</t>
        </is>
      </c>
      <c r="C43" s="38" t="inlineStr">
        <is>
          <t xml:space="preserve">million barrels</t>
        </is>
      </c>
      <c r="D43" s="38" t="inlineStr">
        <is>
          <t xml:space="preserve">years to June</t>
        </is>
      </c>
      <c r="E43" s="40" t="n">
        <v>31.2</v>
      </c>
      <c r="F43" s="40" t="n">
        <v>32.1</v>
      </c>
      <c r="G43" s="40" t="n">
        <v>29.2</v>
      </c>
      <c r="H43" s="40" t="n">
        <v>29.9</v>
      </c>
      <c r="I43" s="40" t="n">
        <v>29.1</v>
      </c>
      <c r="J43" s="40" t="n">
        <v>27.6</v>
      </c>
      <c r="K43" s="40" t="n">
        <v>30.6</v>
      </c>
      <c r="L43" s="38" t="n"/>
      <c r="M43" s="38" t="n"/>
      <c r="N43" s="38" t="n"/>
      <c r="O43" s="38" t="n"/>
      <c r="P43" s="38" t="inlineStr">
        <is>
          <t xml:space="preserve">From source</t>
        </is>
      </c>
      <c r="Q43" s="38" t="inlineStr">
        <is>
          <t xml:space="preserve">Sasol production and sales metrics</t>
        </is>
      </c>
      <c r="R43" s="38" t="inlineStr">
        <is>
          <t xml:space="preserve"/>
        </is>
      </c>
      <c r="S43" s="38" t="inlineStr">
        <is>
          <t xml:space="preserve">All products together. No operator reports petrol and diesel separately.</t>
        </is>
      </c>
      <c r="V43" s="80" t="str">
        <v>G051</v>
      </c>
      <c r="W43" s="80" t="str">
        <v>Estimate to review: Product yields and all-product conversions</v>
      </c>
      <c r="X43" s="80" t="str">
        <v>Review detail</v>
      </c>
    </row>
    <row r="44" ht="48" customHeight="1">
      <c r="A44" s="38" t="inlineStr">
        <is>
          <t xml:space="preserve">Output reported by the operator</t>
        </is>
      </c>
      <c r="B44" s="38" t="inlineStr">
        <is>
          <t xml:space="preserve">Natref, Sasol's share</t>
        </is>
      </c>
      <c r="C44" s="38" t="inlineStr">
        <is>
          <t xml:space="preserve">million barrels</t>
        </is>
      </c>
      <c r="D44" s="38" t="inlineStr">
        <is>
          <t xml:space="preserve">years to June</t>
        </is>
      </c>
      <c r="E44" s="40" t="n">
        <v>16.8</v>
      </c>
      <c r="F44" s="40" t="n">
        <v>17.7</v>
      </c>
      <c r="G44" s="40" t="n">
        <v>18.9</v>
      </c>
      <c r="H44" s="40" t="n">
        <v>17.2</v>
      </c>
      <c r="I44" s="40" t="n">
        <v>17.8</v>
      </c>
      <c r="J44" s="40" t="n">
        <v>14.7</v>
      </c>
      <c r="K44" s="40" t="n">
        <v>25.8</v>
      </c>
      <c r="L44" s="38" t="n"/>
      <c r="M44" s="38" t="n"/>
      <c r="N44" s="38" t="n"/>
      <c r="O44" s="38" t="n"/>
      <c r="P44" s="38" t="inlineStr">
        <is>
          <t xml:space="preserve">From source</t>
        </is>
      </c>
      <c r="Q44" s="38" t="inlineStr">
        <is>
          <t xml:space="preserve">Sasol production and sales metrics</t>
        </is>
      </c>
      <c r="R44" s="38" t="inlineStr">
        <is>
          <t xml:space="preserve"/>
        </is>
      </c>
      <c r="S44" s="38" t="inlineStr">
        <is>
          <t xml:space="preserve">All products together. No operator reports petrol and diesel separately. Sasol's 63.64% share only; the year to June 2026 includes output above that share.</t>
        </is>
      </c>
      <c r="V44" s="80" t="str">
        <v>G052</v>
      </c>
      <c r="W44" s="80" t="str">
        <v>Reconciliation: Natref ownership and FY2026 production basis</v>
      </c>
      <c r="X44" s="80" t="str">
        <v>Review detail</v>
      </c>
    </row>
    <row r="45" ht="29" customHeight="1">
      <c r="A45" s="38" t="inlineStr">
        <is>
          <t xml:space="preserve">Output reported by the operator</t>
        </is>
      </c>
      <c r="B45" s="38" t="inlineStr">
        <is>
          <t xml:space="preserve">Astron Energy, all refined products</t>
        </is>
      </c>
      <c r="C45" s="38" t="inlineStr">
        <is>
          <t xml:space="preserve">billion Btu</t>
        </is>
      </c>
      <c r="D45" s="38" t="inlineStr">
        <is>
          <t xml:space="preserve">calendar years</t>
        </is>
      </c>
      <c r="E45" s="38" t="n"/>
      <c r="F45" s="38" t="n"/>
      <c r="G45" s="38" t="n"/>
      <c r="H45" s="39" t="n">
        <v>136665</v>
      </c>
      <c r="I45" s="39" t="n">
        <v>166204</v>
      </c>
      <c r="J45" s="39" t="n">
        <v>164365</v>
      </c>
      <c r="K45" s="38" t="n"/>
      <c r="L45" s="38" t="n"/>
      <c r="M45" s="38" t="n"/>
      <c r="N45" s="38" t="n"/>
      <c r="O45" s="38" t="n"/>
      <c r="P45" s="38" t="inlineStr">
        <is>
          <t xml:space="preserve">From source</t>
        </is>
      </c>
      <c r="Q45" s="38" t="inlineStr">
        <is>
          <t xml:space="preserve">Glencore annual reports</t>
        </is>
      </c>
      <c r="R45" s="38" t="inlineStr">
        <is>
          <t xml:space="preserve"/>
        </is>
      </c>
      <c r="S45" s="38" t="inlineStr">
        <is>
          <t xml:space="preserve">All products together. No operator reports petrol and diesel separately. Reported as energy content, not volume.</t>
        </is>
      </c>
    </row>
    <row r="46" ht="29" customHeight="1">
      <c r="A46" s="42" t="inlineStr">
        <is>
          <t xml:space="preserve">Petrol output, estimated</t>
        </is>
      </c>
      <c r="B46" s="42" t="inlineStr">
        <is>
          <t xml:space="preserve">Natref, whole refinery</t>
        </is>
      </c>
      <c r="C46" s="42" t="inlineStr">
        <is>
          <t xml:space="preserve">billion litres</t>
        </is>
      </c>
      <c r="D46" s="42" t="inlineStr">
        <is>
          <t xml:space="preserve">years to June</t>
        </is>
      </c>
      <c r="E46" s="42" t="inlineStr">
        <is>
          <t xml:space="preserve">1.22 to 1.34</t>
        </is>
      </c>
      <c r="F46" s="42" t="inlineStr">
        <is>
          <t xml:space="preserve">1.28 to 1.41</t>
        </is>
      </c>
      <c r="G46" s="42" t="inlineStr">
        <is>
          <t xml:space="preserve">1.37 to 1.51</t>
        </is>
      </c>
      <c r="H46" s="42" t="inlineStr">
        <is>
          <t xml:space="preserve">1.25 to 1.38</t>
        </is>
      </c>
      <c r="I46" s="42" t="inlineStr">
        <is>
          <t xml:space="preserve">1.29 to 1.42</t>
        </is>
      </c>
      <c r="J46" s="42" t="inlineStr">
        <is>
          <t xml:space="preserve">1.06 to 1.18</t>
        </is>
      </c>
      <c r="K46" s="42" t="n"/>
      <c r="L46" s="42" t="n"/>
      <c r="M46" s="42" t="n"/>
      <c r="N46" s="42" t="n"/>
      <c r="O46" s="42" t="n"/>
      <c r="P46" s="42" t="inlineStr">
        <is>
          <t xml:space="preserve">Calculated</t>
        </is>
      </c>
      <c r="Q46" s="42" t="inlineStr">
        <is>
          <t xml:space="preserve">Sasol's reported Natref production, scaled to the whole refinery, times Sasol's stated product split</t>
        </is>
      </c>
      <c r="R46" s="42" t="inlineStr">
        <is>
          <t xml:space="preserve"/>
        </is>
      </c>
      <c r="S46" s="42" t="inlineStr">
        <is>
          <t xml:space="preserve">An estimate: the split is a range Sasol stated in April 2021, applied to every year. The year to June 2026 is left out.</t>
        </is>
      </c>
    </row>
    <row r="47" ht="29" customHeight="1">
      <c r="A47" s="42" t="inlineStr">
        <is>
          <t xml:space="preserve">Diesel output, estimated</t>
        </is>
      </c>
      <c r="B47" s="42" t="inlineStr">
        <is>
          <t xml:space="preserve">Natref, whole refinery</t>
        </is>
      </c>
      <c r="C47" s="42" t="inlineStr">
        <is>
          <t xml:space="preserve">billion litres</t>
        </is>
      </c>
      <c r="D47" s="42" t="inlineStr">
        <is>
          <t xml:space="preserve">years to June</t>
        </is>
      </c>
      <c r="E47" s="42" t="inlineStr">
        <is>
          <t xml:space="preserve">1.30 to 1.55</t>
        </is>
      </c>
      <c r="F47" s="42" t="inlineStr">
        <is>
          <t xml:space="preserve">1.37 to 1.64</t>
        </is>
      </c>
      <c r="G47" s="42" t="inlineStr">
        <is>
          <t xml:space="preserve">1.46 to 1.75</t>
        </is>
      </c>
      <c r="H47" s="42" t="inlineStr">
        <is>
          <t xml:space="preserve">1.33 to 1.59</t>
        </is>
      </c>
      <c r="I47" s="42" t="inlineStr">
        <is>
          <t xml:space="preserve">1.38 to 1.65</t>
        </is>
      </c>
      <c r="J47" s="42" t="inlineStr">
        <is>
          <t xml:space="preserve">1.14 to 1.36</t>
        </is>
      </c>
      <c r="K47" s="42" t="n"/>
      <c r="L47" s="42" t="n"/>
      <c r="M47" s="42" t="n"/>
      <c r="N47" s="42" t="n"/>
      <c r="O47" s="42" t="n"/>
      <c r="P47" s="42" t="inlineStr">
        <is>
          <t xml:space="preserve">Calculated</t>
        </is>
      </c>
      <c r="Q47" s="42" t="inlineStr">
        <is>
          <t xml:space="preserve">Sasol's reported Natref production, scaled to the whole refinery, times Sasol's stated product split</t>
        </is>
      </c>
      <c r="R47" s="42" t="inlineStr">
        <is>
          <t xml:space="preserve"/>
        </is>
      </c>
      <c r="S47" s="42" t="inlineStr">
        <is>
          <t xml:space="preserve">An estimate: the split is a range Sasol stated in April 2021, applied to every year. The year to June 2026 is left out.</t>
        </is>
      </c>
    </row>
    <row r="48">
      <c r="A48" s="36" t="inlineStr">
        <is>
          <t xml:space="preserve">Item</t>
        </is>
      </c>
      <c r="B48" s="36" t="inlineStr">
        <is>
          <t xml:space="preserve">Plant</t>
        </is>
      </c>
      <c r="C48" s="36" t="inlineStr">
        <is>
          <t xml:space="preserve">Unit</t>
        </is>
      </c>
      <c r="D48" s="36" t="inlineStr">
        <is>
          <t xml:space="preserve">Period</t>
        </is>
      </c>
      <c r="E48" s="36" t="inlineStr">
        <is>
          <t xml:space="preserve">Value</t>
        </is>
      </c>
      <c r="K48" s="36" t="n"/>
      <c r="L48" s="36" t="n"/>
      <c r="M48" s="36" t="n"/>
      <c r="N48" s="36" t="n"/>
      <c r="O48" s="36" t="n"/>
      <c r="P48" s="36" t="inlineStr">
        <is>
          <t xml:space="preserve">Status</t>
        </is>
      </c>
      <c r="Q48" s="36" t="inlineStr">
        <is>
          <t xml:space="preserve">Source</t>
        </is>
      </c>
      <c r="R48" s="36" t="inlineStr">
        <is>
          <t xml:space="preserve">Page</t>
        </is>
      </c>
      <c r="S48" s="36" t="inlineStr">
        <is>
          <t xml:space="preserve">Note</t>
        </is>
      </c>
    </row>
    <row r="49" ht="29" customHeight="1">
      <c r="A49" s="38" t="inlineStr">
        <is>
          <t xml:space="preserve">Secunda fuels output</t>
        </is>
      </c>
      <c r="B49" s="38" t="inlineStr">
        <is>
          <t xml:space="preserve">Secunda, fuels (white and black products)</t>
        </is>
      </c>
      <c r="C49" s="38" t="inlineStr">
        <is>
          <t xml:space="preserve">thousand tonnes</t>
        </is>
      </c>
      <c r="D49" s="38" t="inlineStr">
        <is>
          <t xml:space="preserve">year to June 2024</t>
        </is>
      </c>
      <c r="E49" s="41" t="n">
        <v>3472</v>
      </c>
      <c r="K49" s="38" t="n"/>
      <c r="L49" s="38" t="n"/>
      <c r="M49" s="38" t="n"/>
      <c r="N49" s="38" t="n"/>
      <c r="O49" s="38" t="n"/>
      <c r="P49" s="38" t="inlineStr">
        <is>
          <t xml:space="preserve">From source</t>
        </is>
      </c>
      <c r="Q49" s="38" t="inlineStr">
        <is>
          <t xml:space="preserve">Sasol business performance metrics, 30 June 2026</t>
        </is>
      </c>
      <c r="R49" s="38" t="inlineStr">
        <is>
          <t xml:space="preserve">PDF p.4</t>
        </is>
      </c>
      <c r="S49" s="38" t="inlineStr">
        <is>
          <t xml:space="preserve">Of total Secunda production of 6,990, 6,721 and 7,260 thousand tonnes; the rest is chemicals and other products.</t>
        </is>
      </c>
    </row>
    <row r="50" ht="29" customHeight="1">
      <c r="A50" s="38" t="inlineStr">
        <is>
          <t xml:space="preserve">Secunda fuels output</t>
        </is>
      </c>
      <c r="B50" s="38" t="inlineStr">
        <is>
          <t xml:space="preserve">Secunda, fuels (white and black products)</t>
        </is>
      </c>
      <c r="C50" s="38" t="inlineStr">
        <is>
          <t xml:space="preserve">thousand tonnes</t>
        </is>
      </c>
      <c r="D50" s="38" t="inlineStr">
        <is>
          <t xml:space="preserve">year to June 2025</t>
        </is>
      </c>
      <c r="E50" s="41" t="n">
        <v>3293</v>
      </c>
      <c r="K50" s="38" t="n"/>
      <c r="L50" s="38" t="n"/>
      <c r="M50" s="38" t="n"/>
      <c r="N50" s="38" t="n"/>
      <c r="O50" s="38" t="n"/>
      <c r="P50" s="38" t="inlineStr">
        <is>
          <t xml:space="preserve">From source</t>
        </is>
      </c>
      <c r="Q50" s="38" t="inlineStr">
        <is>
          <t xml:space="preserve">Sasol business performance metrics, 30 June 2026</t>
        </is>
      </c>
      <c r="R50" s="38" t="inlineStr">
        <is>
          <t xml:space="preserve">PDF p.4</t>
        </is>
      </c>
      <c r="S50" s="38" t="inlineStr">
        <is>
          <t xml:space="preserve">Of total Secunda production of 6,990, 6,721 and 7,260 thousand tonnes; the rest is chemicals and other products.</t>
        </is>
      </c>
    </row>
    <row r="51" ht="29" customHeight="1">
      <c r="A51" s="38" t="inlineStr">
        <is>
          <t xml:space="preserve">Secunda fuels output</t>
        </is>
      </c>
      <c r="B51" s="38" t="inlineStr">
        <is>
          <t xml:space="preserve">Secunda, fuels (white and black products)</t>
        </is>
      </c>
      <c r="C51" s="38" t="inlineStr">
        <is>
          <t xml:space="preserve">thousand tonnes</t>
        </is>
      </c>
      <c r="D51" s="38" t="inlineStr">
        <is>
          <t xml:space="preserve">year to June 2026</t>
        </is>
      </c>
      <c r="E51" s="41" t="n">
        <v>3634</v>
      </c>
      <c r="K51" s="38" t="n"/>
      <c r="L51" s="38" t="n"/>
      <c r="M51" s="38" t="n"/>
      <c r="N51" s="38" t="n"/>
      <c r="O51" s="38" t="n"/>
      <c r="P51" s="38" t="inlineStr">
        <is>
          <t xml:space="preserve">From source</t>
        </is>
      </c>
      <c r="Q51" s="38" t="inlineStr">
        <is>
          <t xml:space="preserve">Sasol business performance metrics, 30 June 2026</t>
        </is>
      </c>
      <c r="R51" s="38" t="inlineStr">
        <is>
          <t xml:space="preserve">PDF p.4</t>
        </is>
      </c>
      <c r="S51" s="38" t="inlineStr">
        <is>
          <t xml:space="preserve">Of total Secunda production of 6,990, 6,721 and 7,260 thousand tonnes; the rest is chemicals and other products.</t>
        </is>
      </c>
    </row>
    <row r="52" ht="56" customHeight="1">
      <c r="A52" s="45" t="inlineStr">
        <is>
          <t xml:space="preserve">Petrol and diesel output by plant</t>
        </is>
      </c>
      <c r="B52" s="45" t="inlineStr">
        <is>
          <t xml:space="preserve">Secunda and Astron Energy</t>
        </is>
      </c>
      <c r="C52" s="45" t="inlineStr">
        <is>
          <t xml:space="preserve">litres</t>
        </is>
      </c>
      <c r="D52" s="45" t="inlineStr">
        <is>
          <t xml:space="preserve"/>
        </is>
      </c>
      <c r="E52" s="45" t="inlineStr">
        <is>
          <t xml:space="preserve">Not available</t>
        </is>
      </c>
      <c r="K52" s="45" t="n"/>
      <c r="L52" s="45" t="n"/>
      <c r="M52" s="45" t="n"/>
      <c r="N52" s="45" t="n"/>
      <c r="O52" s="45" t="n"/>
      <c r="P52" s="45" t="inlineStr">
        <is>
          <t xml:space="preserve">Not available</t>
        </is>
      </c>
      <c r="Q52" s="45" t="inlineStr">
        <is>
          <t xml:space="preserve">None published</t>
        </is>
      </c>
      <c r="R52" s="45" t="inlineStr">
        <is>
          <t xml:space="preserve"/>
        </is>
      </c>
      <c r="S52" s="45" t="inlineStr">
        <is>
          <t xml:space="preserve">Sasol states Secunda's split (65% petrol, 35% diesel) but not the total it applies to. Glencore publishes no split for Astron. Sasol's annual filing and both companies' sites were checked on 9 October. Needs the operators.</t>
        </is>
      </c>
      <c r="V52" s="80" t="str">
        <v>G016</v>
      </c>
      <c r="W52" s="80" t="str">
        <v>Missing data: Petrol and diesel output by plant</v>
      </c>
      <c r="X52" s="80" t="str">
        <v>Review detail</v>
      </c>
    </row>
    <row r="53" ht="42.5" customHeight="1">
      <c r="A53" s="42" t="inlineStr">
        <is>
          <t xml:space="preserve">Output while not operating</t>
        </is>
      </c>
      <c r="B53" s="42" t="inlineStr">
        <is>
          <t xml:space="preserve">Sapref</t>
        </is>
      </c>
      <c r="C53" s="42" t="inlineStr">
        <is>
          <t xml:space="preserve">barrels a day</t>
        </is>
      </c>
      <c r="D53" s="42" t="inlineStr">
        <is>
          <t xml:space="preserve">since the pause at the end of March 2022</t>
        </is>
      </c>
      <c r="E53" s="64" t="n">
        <v>0</v>
      </c>
      <c r="K53" s="42" t="n"/>
      <c r="L53" s="42" t="n"/>
      <c r="M53" s="42" t="n"/>
      <c r="N53" s="42" t="n"/>
      <c r="O53" s="42" t="n"/>
      <c r="P53" s="42" t="inlineStr">
        <is>
          <t xml:space="preserve">Calculated</t>
        </is>
      </c>
      <c r="Q53" s="42" t="inlineStr">
        <is>
          <t xml:space="preserve">From the status rows</t>
        </is>
      </c>
      <c r="R53" s="42" t="inlineStr">
        <is>
          <t xml:space="preserve"/>
        </is>
      </c>
      <c r="S53" s="42" t="inlineStr">
        <is>
          <t xml:space="preserve"/>
        </is>
      </c>
    </row>
    <row r="54" ht="29" customHeight="1">
      <c r="A54" s="42" t="inlineStr">
        <is>
          <t xml:space="preserve">Output while not operating</t>
        </is>
      </c>
      <c r="B54" s="42" t="inlineStr">
        <is>
          <t xml:space="preserve">Enref</t>
        </is>
      </c>
      <c r="C54" s="42" t="inlineStr">
        <is>
          <t xml:space="preserve">barrels a day</t>
        </is>
      </c>
      <c r="D54" s="42" t="inlineStr">
        <is>
          <t xml:space="preserve">since the fire of 4 December 2020</t>
        </is>
      </c>
      <c r="E54" s="64" t="n">
        <v>0</v>
      </c>
      <c r="K54" s="42" t="n"/>
      <c r="L54" s="42" t="n"/>
      <c r="M54" s="42" t="n"/>
      <c r="N54" s="42" t="n"/>
      <c r="O54" s="42" t="n"/>
      <c r="P54" s="42" t="inlineStr">
        <is>
          <t xml:space="preserve">Calculated</t>
        </is>
      </c>
      <c r="Q54" s="42" t="inlineStr">
        <is>
          <t xml:space="preserve">From the status rows</t>
        </is>
      </c>
      <c r="R54" s="42" t="inlineStr">
        <is>
          <t xml:space="preserve"/>
        </is>
      </c>
      <c r="S54" s="42" t="inlineStr">
        <is>
          <t xml:space="preserve"/>
        </is>
      </c>
    </row>
    <row r="55" ht="29" customHeight="1">
      <c r="A55" s="42" t="inlineStr">
        <is>
          <t xml:space="preserve">Output while not operating</t>
        </is>
      </c>
      <c r="B55" s="42" t="inlineStr">
        <is>
          <t xml:space="preserve">PetroSA</t>
        </is>
      </c>
      <c r="C55" s="42" t="inlineStr">
        <is>
          <t xml:space="preserve">barrels a day</t>
        </is>
      </c>
      <c r="D55" s="42" t="inlineStr">
        <is>
          <t xml:space="preserve">since December 2020</t>
        </is>
      </c>
      <c r="E55" s="64" t="n">
        <v>0</v>
      </c>
      <c r="K55" s="42" t="n"/>
      <c r="L55" s="42" t="n"/>
      <c r="M55" s="42" t="n"/>
      <c r="N55" s="42" t="n"/>
      <c r="O55" s="42" t="n"/>
      <c r="P55" s="42" t="inlineStr">
        <is>
          <t xml:space="preserve">Calculated</t>
        </is>
      </c>
      <c r="Q55" s="42" t="inlineStr">
        <is>
          <t xml:space="preserve">From the status rows</t>
        </is>
      </c>
      <c r="R55" s="42" t="inlineStr">
        <is>
          <t xml:space="preserve"/>
        </is>
      </c>
      <c r="S55" s="42" t="inlineStr">
        <is>
          <t xml:space="preserve"/>
        </is>
      </c>
    </row>
    <row r="57">
      <c r="A57" s="35" t="inlineStr">
        <is>
          <t xml:space="preserve">National output by product</t>
        </is>
      </c>
      <c r="B57" s="35" t="n"/>
      <c r="C57" s="35" t="n"/>
      <c r="D57" s="35" t="n"/>
      <c r="E57" s="35" t="n"/>
      <c r="F57" s="35" t="n"/>
      <c r="G57" s="35" t="n"/>
      <c r="H57" s="35" t="n"/>
      <c r="I57" s="35" t="n"/>
      <c r="J57" s="35" t="n"/>
      <c r="K57" s="35" t="n"/>
      <c r="L57" s="35" t="n"/>
      <c r="M57" s="35" t="n"/>
      <c r="N57" s="35" t="n"/>
      <c r="O57" s="35" t="n"/>
      <c r="P57" s="35" t="n"/>
      <c r="Q57" s="35" t="n"/>
      <c r="R57" s="35" t="n"/>
      <c r="S57" s="35" t="n"/>
      <c r="T57" s="35" t="n"/>
    </row>
    <row r="58">
      <c r="A58" s="36" t="inlineStr">
        <is>
          <t xml:space="preserve">Item</t>
        </is>
      </c>
      <c r="B58" s="36" t="inlineStr">
        <is>
          <t xml:space="preserve">Plant</t>
        </is>
      </c>
      <c r="C58" s="36" t="inlineStr">
        <is>
          <t xml:space="preserve">Unit</t>
        </is>
      </c>
      <c r="D58" s="36" t="inlineStr">
        <is>
          <t xml:space="preserve">Basis</t>
        </is>
      </c>
      <c r="E58" s="37" t="n">
        <v>2014</v>
      </c>
      <c r="F58" s="37" t="n">
        <v>2015</v>
      </c>
      <c r="G58" s="37" t="n">
        <v>2016</v>
      </c>
      <c r="H58" s="37" t="n">
        <v>2017</v>
      </c>
      <c r="I58" s="37" t="n">
        <v>2018</v>
      </c>
      <c r="J58" s="37" t="n">
        <v>2019</v>
      </c>
      <c r="K58" s="37" t="n">
        <v>2020</v>
      </c>
      <c r="L58" s="37" t="n">
        <v>2021</v>
      </c>
      <c r="M58" s="37" t="n">
        <v>2022</v>
      </c>
      <c r="N58" s="37" t="n">
        <v>2023</v>
      </c>
      <c r="O58" s="36" t="n"/>
      <c r="P58" s="36" t="inlineStr">
        <is>
          <t xml:space="preserve">Status</t>
        </is>
      </c>
      <c r="Q58" s="36" t="inlineStr">
        <is>
          <t xml:space="preserve">Source</t>
        </is>
      </c>
      <c r="R58" s="36" t="inlineStr">
        <is>
          <t xml:space="preserve">Page</t>
        </is>
      </c>
      <c r="S58" s="36" t="inlineStr">
        <is>
          <t xml:space="preserve">Note</t>
        </is>
      </c>
    </row>
    <row r="59" ht="29" customHeight="1">
      <c r="A59" s="38" t="inlineStr">
        <is>
          <t xml:space="preserve">Petrol produced, all plants</t>
        </is>
      </c>
      <c r="B59" s="38" t="inlineStr">
        <is>
          <t xml:space="preserve">South Africa</t>
        </is>
      </c>
      <c r="C59" s="38" t="inlineStr">
        <is>
          <t xml:space="preserve">billion litres</t>
        </is>
      </c>
      <c r="D59" s="38" t="inlineStr">
        <is>
          <t xml:space="preserve">calendar years</t>
        </is>
      </c>
      <c r="E59" s="40" t="n">
        <v>10.83</v>
      </c>
      <c r="F59" s="40" t="n">
        <v>10.46</v>
      </c>
      <c r="G59" s="40" t="n">
        <v>10.39</v>
      </c>
      <c r="H59" s="40" t="n">
        <v>9.43</v>
      </c>
      <c r="I59" s="40" t="n">
        <v>9.970000000000001</v>
      </c>
      <c r="J59" s="40" t="n">
        <v>10.42</v>
      </c>
      <c r="K59" s="40" t="n">
        <v>7.89</v>
      </c>
      <c r="L59" s="40" t="n">
        <v>6.35</v>
      </c>
      <c r="M59" s="38" t="n"/>
      <c r="N59" s="38" t="n"/>
      <c r="O59" s="38" t="n"/>
      <c r="P59" s="38" t="inlineStr">
        <is>
          <t xml:space="preserve">From source</t>
        </is>
      </c>
      <c r="Q59" s="38" t="inlineStr">
        <is>
          <t xml:space="preserve">Department of Mineral and Petroleum Resources, energy balances</t>
        </is>
      </c>
      <c r="R59" s="38" t="inlineStr">
        <is>
          <t xml:space="preserve"/>
        </is>
      </c>
      <c r="S59" s="38" t="inlineStr">
        <is>
          <t xml:space="preserve">The only output by product. Ends at 2021, the last balance published.</t>
        </is>
      </c>
    </row>
    <row r="60" ht="29" customHeight="1">
      <c r="A60" s="38" t="inlineStr">
        <is>
          <t xml:space="preserve">Diesel produced, all plants</t>
        </is>
      </c>
      <c r="B60" s="38" t="inlineStr">
        <is>
          <t xml:space="preserve">South Africa</t>
        </is>
      </c>
      <c r="C60" s="38" t="inlineStr">
        <is>
          <t xml:space="preserve">billion litres</t>
        </is>
      </c>
      <c r="D60" s="38" t="inlineStr">
        <is>
          <t xml:space="preserve">calendar years</t>
        </is>
      </c>
      <c r="E60" s="40" t="n">
        <v>9.59</v>
      </c>
      <c r="F60" s="40" t="n">
        <v>9.369999999999999</v>
      </c>
      <c r="G60" s="40" t="n">
        <v>9.01</v>
      </c>
      <c r="H60" s="40" t="n">
        <v>7.92</v>
      </c>
      <c r="I60" s="40" t="n">
        <v>8.43</v>
      </c>
      <c r="J60" s="40" t="n">
        <v>9.08</v>
      </c>
      <c r="K60" s="40" t="n">
        <v>6.45</v>
      </c>
      <c r="L60" s="40" t="n">
        <v>5.31</v>
      </c>
      <c r="M60" s="38" t="n"/>
      <c r="N60" s="38" t="n"/>
      <c r="O60" s="38" t="n"/>
      <c r="P60" s="38" t="inlineStr">
        <is>
          <t xml:space="preserve">From source</t>
        </is>
      </c>
      <c r="Q60" s="38" t="inlineStr">
        <is>
          <t xml:space="preserve">Department of Mineral and Petroleum Resources, energy balances</t>
        </is>
      </c>
      <c r="R60" s="38" t="inlineStr">
        <is>
          <t xml:space="preserve"/>
        </is>
      </c>
      <c r="S60" s="38" t="inlineStr">
        <is>
          <t xml:space="preserve">The only output by product. Ends at 2021, the last balance published.</t>
        </is>
      </c>
    </row>
    <row r="61" ht="42.5" customHeight="1">
      <c r="A61" s="38" t="inlineStr">
        <is>
          <t xml:space="preserve">Petrol produced, United Nations series (not used)</t>
        </is>
      </c>
      <c r="B61" s="38" t="inlineStr">
        <is>
          <t xml:space="preserve">South Africa</t>
        </is>
      </c>
      <c r="C61" s="38" t="inlineStr">
        <is>
          <t xml:space="preserve">thousand tonnes</t>
        </is>
      </c>
      <c r="D61" s="38" t="inlineStr">
        <is>
          <t xml:space="preserve">calendar years</t>
        </is>
      </c>
      <c r="E61" s="38" t="n"/>
      <c r="F61" s="38" t="n"/>
      <c r="G61" s="38" t="n"/>
      <c r="H61" s="38" t="n"/>
      <c r="I61" s="38" t="n"/>
      <c r="J61" s="39" t="n">
        <v>5030</v>
      </c>
      <c r="K61" s="39" t="n">
        <v>3491</v>
      </c>
      <c r="L61" s="39" t="n">
        <v>2488</v>
      </c>
      <c r="M61" s="39" t="n">
        <v>1323</v>
      </c>
      <c r="N61" s="39" t="n">
        <v>1827</v>
      </c>
      <c r="O61" s="38" t="n"/>
      <c r="P61" s="38" t="inlineStr">
        <is>
          <t xml:space="preserve">From source</t>
        </is>
      </c>
      <c r="Q61" s="38" t="inlineStr">
        <is>
          <t xml:space="preserve">United Nations Statistics Division, Energy Statistics Database (retrieved 8 October 2026)</t>
        </is>
      </c>
      <c r="R61" s="38" t="inlineStr">
        <is>
          <t xml:space="preserve">transaction 013, production from refineries</t>
        </is>
      </c>
      <c r="S61" s="38" t="inlineStr">
        <is>
          <t xml:space="preserve">Comparison only, not used. It does not match the department in the years they share: set against the department's litres it implies 0.39 to 0.48 kg a litre, and petrol weighs about 0.75.</t>
        </is>
      </c>
    </row>
    <row r="62" ht="56" customHeight="1">
      <c r="A62" s="38" t="inlineStr">
        <is>
          <t xml:space="preserve">Diesel produced, United Nations series (not used)</t>
        </is>
      </c>
      <c r="B62" s="38" t="inlineStr">
        <is>
          <t xml:space="preserve">South Africa</t>
        </is>
      </c>
      <c r="C62" s="38" t="inlineStr">
        <is>
          <t xml:space="preserve">thousand tonnes</t>
        </is>
      </c>
      <c r="D62" s="38" t="inlineStr">
        <is>
          <t xml:space="preserve">calendar years</t>
        </is>
      </c>
      <c r="E62" s="38" t="n"/>
      <c r="F62" s="38" t="n"/>
      <c r="G62" s="38" t="n"/>
      <c r="H62" s="38" t="n"/>
      <c r="I62" s="38" t="n"/>
      <c r="J62" s="39" t="n">
        <v>7535</v>
      </c>
      <c r="K62" s="39" t="n">
        <v>4676</v>
      </c>
      <c r="L62" s="39" t="n">
        <v>4282</v>
      </c>
      <c r="M62" s="39" t="n">
        <v>2383</v>
      </c>
      <c r="N62" s="39" t="n">
        <v>2222</v>
      </c>
      <c r="O62" s="38" t="n"/>
      <c r="P62" s="38" t="inlineStr">
        <is>
          <t xml:space="preserve">From source</t>
        </is>
      </c>
      <c r="Q62" s="38" t="inlineStr">
        <is>
          <t xml:space="preserve">United Nations Statistics Division, Energy Statistics Database (retrieved 8 October 2026)</t>
        </is>
      </c>
      <c r="R62" s="38" t="inlineStr">
        <is>
          <t xml:space="preserve">transaction 013, production from refineries</t>
        </is>
      </c>
      <c r="S62" s="38" t="inlineStr">
        <is>
          <t xml:space="preserve">Comparison only, not used. Close to the department in 2019 and 2021 (0.83 and 0.81 kg a litre implied, against about 0.84) but low in 2020 (0.73). The petrol series from the same source does not match, so neither is relied on.</t>
        </is>
      </c>
    </row>
    <row r="63">
      <c r="A63" s="36" t="inlineStr">
        <is>
          <t xml:space="preserve">Item</t>
        </is>
      </c>
      <c r="B63" s="36" t="inlineStr">
        <is>
          <t xml:space="preserve">Plant</t>
        </is>
      </c>
      <c r="C63" s="36" t="inlineStr">
        <is>
          <t xml:space="preserve">Unit</t>
        </is>
      </c>
      <c r="D63" s="36" t="inlineStr">
        <is>
          <t xml:space="preserve">Period</t>
        </is>
      </c>
      <c r="E63" s="36" t="inlineStr">
        <is>
          <t xml:space="preserve">Value</t>
        </is>
      </c>
      <c r="K63" s="36" t="n"/>
      <c r="L63" s="36" t="n"/>
      <c r="M63" s="36" t="n"/>
      <c r="N63" s="36" t="n"/>
      <c r="O63" s="36" t="n"/>
      <c r="P63" s="36" t="inlineStr">
        <is>
          <t xml:space="preserve">Status</t>
        </is>
      </c>
      <c r="Q63" s="36" t="inlineStr">
        <is>
          <t xml:space="preserve">Source</t>
        </is>
      </c>
      <c r="R63" s="36" t="inlineStr">
        <is>
          <t xml:space="preserve">Page</t>
        </is>
      </c>
      <c r="S63" s="36" t="inlineStr">
        <is>
          <t xml:space="preserve">Note</t>
        </is>
      </c>
    </row>
    <row r="64" ht="48" customHeight="1">
      <c r="A64" s="45" t="inlineStr">
        <is>
          <t xml:space="preserve">Petrol and diesel produced after 2021, on the department's basis</t>
        </is>
      </c>
      <c r="B64" s="45" t="inlineStr">
        <is>
          <t xml:space="preserve">South Africa</t>
        </is>
      </c>
      <c r="C64" s="45" t="inlineStr">
        <is>
          <t xml:space="preserve">billion litres</t>
        </is>
      </c>
      <c r="D64" s="45" t="inlineStr">
        <is>
          <t xml:space="preserve">2022 onward</t>
        </is>
      </c>
      <c r="E64" s="45" t="inlineStr">
        <is>
          <t xml:space="preserve">Not available</t>
        </is>
      </c>
      <c r="K64" s="45" t="n"/>
      <c r="L64" s="45" t="n"/>
      <c r="M64" s="45" t="n"/>
      <c r="N64" s="45" t="n"/>
      <c r="O64" s="45" t="n"/>
      <c r="P64" s="45" t="inlineStr">
        <is>
          <t xml:space="preserve">Not available</t>
        </is>
      </c>
      <c r="Q64" s="45" t="inlineStr">
        <is>
          <t xml:space="preserve">None published</t>
        </is>
      </c>
      <c r="R64" s="45" t="inlineStr">
        <is>
          <t xml:space="preserve"/>
        </is>
      </c>
      <c r="S64" s="45" t="inlineStr">
        <is>
          <t xml:space="preserve">The department has published no balance after 2021. The United Nations series runs to 2023 but does not match the department in the years they share.</t>
        </is>
      </c>
      <c r="V64" s="80" t="str">
        <v>G017</v>
      </c>
      <c r="W64" s="80" t="str">
        <v>Missing data: Petrol and diesel produced after 2021, on the department's basis</v>
      </c>
      <c r="X64" s="80" t="str">
        <v>Review detail</v>
      </c>
    </row>
    <row r="66">
      <c r="A66" s="35" t="inlineStr">
        <is>
          <t xml:space="preserve">Yields</t>
        </is>
      </c>
      <c r="B66" s="35" t="n"/>
      <c r="C66" s="35" t="n"/>
      <c r="D66" s="35" t="n"/>
      <c r="E66" s="35" t="n"/>
      <c r="F66" s="35" t="n"/>
      <c r="G66" s="35" t="n"/>
      <c r="H66" s="35" t="n"/>
      <c r="I66" s="35" t="n"/>
      <c r="J66" s="35" t="n"/>
      <c r="K66" s="35" t="n"/>
      <c r="L66" s="35" t="n"/>
      <c r="M66" s="35" t="n"/>
      <c r="N66" s="35" t="n"/>
      <c r="O66" s="35" t="n"/>
      <c r="P66" s="35" t="n"/>
      <c r="Q66" s="35" t="n"/>
      <c r="R66" s="35" t="n"/>
      <c r="S66" s="35" t="n"/>
      <c r="T66" s="35" t="n"/>
    </row>
    <row r="67">
      <c r="A67" s="36" t="inlineStr">
        <is>
          <t xml:space="preserve">Item</t>
        </is>
      </c>
      <c r="B67" s="36" t="inlineStr">
        <is>
          <t xml:space="preserve">Plant</t>
        </is>
      </c>
      <c r="C67" s="36" t="inlineStr">
        <is>
          <t xml:space="preserve">Unit</t>
        </is>
      </c>
      <c r="D67" s="36" t="inlineStr">
        <is>
          <t xml:space="preserve">Basis</t>
        </is>
      </c>
      <c r="E67" s="37" t="n">
        <v>2014</v>
      </c>
      <c r="F67" s="37" t="n">
        <v>2015</v>
      </c>
      <c r="G67" s="37" t="n">
        <v>2016</v>
      </c>
      <c r="H67" s="37" t="n">
        <v>2017</v>
      </c>
      <c r="I67" s="37" t="n">
        <v>2018</v>
      </c>
      <c r="J67" s="37" t="n">
        <v>2019</v>
      </c>
      <c r="K67" s="37" t="n">
        <v>2020</v>
      </c>
      <c r="L67" s="37" t="n">
        <v>2021</v>
      </c>
      <c r="M67" s="37" t="n">
        <v>2022</v>
      </c>
      <c r="N67" s="37" t="n">
        <v>2023</v>
      </c>
      <c r="O67" s="37" t="n">
        <v>2024</v>
      </c>
      <c r="P67" s="36" t="inlineStr">
        <is>
          <t xml:space="preserve">Status</t>
        </is>
      </c>
      <c r="Q67" s="36" t="inlineStr">
        <is>
          <t xml:space="preserve">Source</t>
        </is>
      </c>
      <c r="R67" s="36" t="inlineStr">
        <is>
          <t xml:space="preserve">Page</t>
        </is>
      </c>
      <c r="S67" s="36" t="inlineStr">
        <is>
          <t xml:space="preserve">Note</t>
        </is>
      </c>
    </row>
    <row r="68" ht="29" customHeight="1">
      <c r="A68" s="42" t="inlineStr">
        <is>
          <t xml:space="preserve">Petrol share of the four main fuels produced</t>
        </is>
      </c>
      <c r="B68" s="42" t="inlineStr">
        <is>
          <t xml:space="preserve">South Africa, all plants</t>
        </is>
      </c>
      <c r="C68" s="42" t="inlineStr">
        <is>
          <t xml:space="preserve">% of petrol, diesel, jet and paraffin</t>
        </is>
      </c>
      <c r="D68" s="42" t="inlineStr">
        <is>
          <t xml:space="preserve">calendar years</t>
        </is>
      </c>
      <c r="E68" s="44" t="n">
        <v>46.1</v>
      </c>
      <c r="F68" s="44" t="n">
        <v>44.8</v>
      </c>
      <c r="G68" s="44" t="n">
        <v>45</v>
      </c>
      <c r="H68" s="44" t="n">
        <v>48.1</v>
      </c>
      <c r="I68" s="44" t="n">
        <v>48.8</v>
      </c>
      <c r="J68" s="44" t="n">
        <v>49.5</v>
      </c>
      <c r="K68" s="44" t="n">
        <v>50.3</v>
      </c>
      <c r="L68" s="44" t="n">
        <v>50.6</v>
      </c>
      <c r="M68" s="42" t="n"/>
      <c r="N68" s="42" t="n"/>
      <c r="O68" s="42" t="n"/>
      <c r="P68" s="42" t="inlineStr">
        <is>
          <t xml:space="preserve">Calculated</t>
        </is>
      </c>
      <c r="Q68" s="42" t="inlineStr">
        <is>
          <t xml:space="preserve">Calculated from the energy balances</t>
        </is>
      </c>
      <c r="R68" s="42" t="inlineStr">
        <is>
          <t xml:space="preserve"/>
        </is>
      </c>
      <c r="S68" s="42" t="inlineStr">
        <is>
          <t xml:space="preserve">A national mix, not a plant yield. It will have shifted since the Durban refineries closed.</t>
        </is>
      </c>
    </row>
    <row r="69" ht="29" customHeight="1">
      <c r="A69" s="42" t="inlineStr">
        <is>
          <t xml:space="preserve">Diesel share of the four main fuels produced</t>
        </is>
      </c>
      <c r="B69" s="42" t="inlineStr">
        <is>
          <t xml:space="preserve">South Africa, all plants</t>
        </is>
      </c>
      <c r="C69" s="42" t="inlineStr">
        <is>
          <t xml:space="preserve">% of petrol, diesel, jet and paraffin</t>
        </is>
      </c>
      <c r="D69" s="42" t="inlineStr">
        <is>
          <t xml:space="preserve">calendar years</t>
        </is>
      </c>
      <c r="E69" s="44" t="n">
        <v>40.8</v>
      </c>
      <c r="F69" s="44" t="n">
        <v>40.1</v>
      </c>
      <c r="G69" s="44" t="n">
        <v>39</v>
      </c>
      <c r="H69" s="44" t="n">
        <v>40.4</v>
      </c>
      <c r="I69" s="44" t="n">
        <v>41.2</v>
      </c>
      <c r="J69" s="44" t="n">
        <v>43.1</v>
      </c>
      <c r="K69" s="44" t="n">
        <v>41.1</v>
      </c>
      <c r="L69" s="44" t="n">
        <v>42.3</v>
      </c>
      <c r="M69" s="42" t="n"/>
      <c r="N69" s="42" t="n"/>
      <c r="O69" s="42" t="n"/>
      <c r="P69" s="42" t="inlineStr">
        <is>
          <t xml:space="preserve">Calculated</t>
        </is>
      </c>
      <c r="Q69" s="42" t="inlineStr">
        <is>
          <t xml:space="preserve">Calculated from the energy balances</t>
        </is>
      </c>
      <c r="R69" s="42" t="inlineStr">
        <is>
          <t xml:space="preserve"/>
        </is>
      </c>
      <c r="S69" s="42" t="inlineStr">
        <is>
          <t xml:space="preserve">A national mix, not a plant yield. It will have shifted since the Durban refineries closed.</t>
        </is>
      </c>
    </row>
    <row r="70" ht="42.5" customHeight="1">
      <c r="A70" s="38" t="inlineStr">
        <is>
          <t xml:space="preserve">Natref white product yield</t>
        </is>
      </c>
      <c r="B70" s="38" t="inlineStr">
        <is>
          <t xml:space="preserve">Natref</t>
        </is>
      </c>
      <c r="C70" s="38" t="inlineStr">
        <is>
          <t xml:space="preserve">% of crude processed</t>
        </is>
      </c>
      <c r="D70" s="38" t="inlineStr">
        <is>
          <t xml:space="preserve">years to June</t>
        </is>
      </c>
      <c r="E70" s="38" t="n"/>
      <c r="F70" s="38" t="n"/>
      <c r="G70" s="38" t="n"/>
      <c r="H70" s="38" t="n"/>
      <c r="I70" s="38" t="n"/>
      <c r="J70" s="38" t="n"/>
      <c r="K70" s="40" t="n">
        <v>89.40000000000001</v>
      </c>
      <c r="L70" s="40" t="n">
        <v>88.5</v>
      </c>
      <c r="M70" s="40" t="n">
        <v>87.3</v>
      </c>
      <c r="N70" s="40" t="n">
        <v>88.09999999999999</v>
      </c>
      <c r="O70" s="40" t="n">
        <v>87.5</v>
      </c>
      <c r="P70" s="38" t="inlineStr">
        <is>
          <t xml:space="preserve">From source</t>
        </is>
      </c>
      <c r="Q70" s="38" t="inlineStr">
        <is>
          <t xml:space="preserve">Sasol production and sales metrics, June 2022 and June 2024</t>
        </is>
      </c>
      <c r="R70" s="38" t="inlineStr">
        <is>
          <t xml:space="preserve">2022 PDF p.4; 2024 PDF p.5</t>
        </is>
      </c>
      <c r="S70" s="38" t="inlineStr">
        <is>
          <t xml:space="preserve">White products are petrol, diesel, jet and other light products together. Total yield was 97 to 98%. Not reported in the 2025 and 2026 metrics.</t>
        </is>
      </c>
    </row>
    <row r="71">
      <c r="A71" s="36" t="inlineStr">
        <is>
          <t xml:space="preserve">Item</t>
        </is>
      </c>
      <c r="B71" s="36" t="inlineStr">
        <is>
          <t xml:space="preserve">Plant</t>
        </is>
      </c>
      <c r="C71" s="36" t="inlineStr">
        <is>
          <t xml:space="preserve">Unit</t>
        </is>
      </c>
      <c r="D71" s="36" t="inlineStr">
        <is>
          <t xml:space="preserve">Period</t>
        </is>
      </c>
      <c r="E71" s="36" t="inlineStr">
        <is>
          <t xml:space="preserve">Value</t>
        </is>
      </c>
      <c r="K71" s="36" t="n"/>
      <c r="L71" s="36" t="n"/>
      <c r="M71" s="36" t="n"/>
      <c r="N71" s="36" t="n"/>
      <c r="O71" s="36" t="n"/>
      <c r="P71" s="36" t="inlineStr">
        <is>
          <t xml:space="preserve">Status</t>
        </is>
      </c>
      <c r="Q71" s="36" t="inlineStr">
        <is>
          <t xml:space="preserve">Source</t>
        </is>
      </c>
      <c r="R71" s="36" t="inlineStr">
        <is>
          <t xml:space="preserve">Page</t>
        </is>
      </c>
      <c r="S71" s="36" t="inlineStr">
        <is>
          <t xml:space="preserve">Note</t>
        </is>
      </c>
    </row>
    <row r="72" ht="29" customHeight="1">
      <c r="A72" s="38" t="inlineStr">
        <is>
          <t xml:space="preserve">Petrol share of output</t>
        </is>
      </c>
      <c r="B72" s="38" t="inlineStr">
        <is>
          <t xml:space="preserve">Natref</t>
        </is>
      </c>
      <c r="C72" s="38" t="inlineStr">
        <is>
          <t xml:space="preserve">% of production</t>
        </is>
      </c>
      <c r="D72" s="38" t="inlineStr">
        <is>
          <t xml:space="preserve">as stated April 2021</t>
        </is>
      </c>
      <c r="E72" s="38" t="inlineStr">
        <is>
          <t xml:space="preserve">29 to 32</t>
        </is>
      </c>
      <c r="K72" s="38" t="n"/>
      <c r="L72" s="38" t="n"/>
      <c r="M72" s="38" t="n"/>
      <c r="N72" s="38" t="n"/>
      <c r="O72" s="38" t="n"/>
      <c r="P72" s="38" t="inlineStr">
        <is>
          <t xml:space="preserve">From source</t>
        </is>
      </c>
      <c r="Q72" s="38" t="inlineStr">
        <is>
          <t xml:space="preserve">Sasol Limited, Business Overview, April 2021</t>
        </is>
      </c>
      <c r="R72" s="38" t="inlineStr">
        <is>
          <t xml:space="preserve">PDF p.12</t>
        </is>
      </c>
      <c r="S72" s="38" t="inlineStr">
        <is>
          <t xml:space="preserve">A stated range, not a yearly figure. Jet is 9 to 21% and black products 5 to 8%.</t>
        </is>
      </c>
    </row>
    <row r="73" ht="29" customHeight="1">
      <c r="A73" s="38" t="inlineStr">
        <is>
          <t xml:space="preserve">Diesel share of output</t>
        </is>
      </c>
      <c r="B73" s="38" t="inlineStr">
        <is>
          <t xml:space="preserve">Natref</t>
        </is>
      </c>
      <c r="C73" s="38" t="inlineStr">
        <is>
          <t xml:space="preserve">% of production</t>
        </is>
      </c>
      <c r="D73" s="38" t="inlineStr">
        <is>
          <t xml:space="preserve">as stated April 2021</t>
        </is>
      </c>
      <c r="E73" s="38" t="inlineStr">
        <is>
          <t xml:space="preserve">31 to 37</t>
        </is>
      </c>
      <c r="K73" s="38" t="n"/>
      <c r="L73" s="38" t="n"/>
      <c r="M73" s="38" t="n"/>
      <c r="N73" s="38" t="n"/>
      <c r="O73" s="38" t="n"/>
      <c r="P73" s="38" t="inlineStr">
        <is>
          <t xml:space="preserve">From source</t>
        </is>
      </c>
      <c r="Q73" s="38" t="inlineStr">
        <is>
          <t xml:space="preserve">Sasol Limited, Business Overview, April 2021</t>
        </is>
      </c>
      <c r="R73" s="38" t="inlineStr">
        <is>
          <t xml:space="preserve">PDF p.12</t>
        </is>
      </c>
      <c r="S73" s="38" t="inlineStr">
        <is>
          <t xml:space="preserve">A stated range, not a yearly figure. Jet is 9 to 21% and black products 5 to 8%.</t>
        </is>
      </c>
    </row>
    <row r="74" ht="29" customHeight="1">
      <c r="A74" s="38" t="inlineStr">
        <is>
          <t xml:space="preserve">Petrol share of output</t>
        </is>
      </c>
      <c r="B74" s="38" t="inlineStr">
        <is>
          <t xml:space="preserve">Secunda</t>
        </is>
      </c>
      <c r="C74" s="38" t="inlineStr">
        <is>
          <t xml:space="preserve">% of petrol and diesel</t>
        </is>
      </c>
      <c r="D74" s="38" t="inlineStr">
        <is>
          <t xml:space="preserve">as stated April 2021</t>
        </is>
      </c>
      <c r="E74" s="41" t="n">
        <v>65</v>
      </c>
      <c r="K74" s="38" t="n"/>
      <c r="L74" s="38" t="n"/>
      <c r="M74" s="38" t="n"/>
      <c r="N74" s="38" t="n"/>
      <c r="O74" s="38" t="n"/>
      <c r="P74" s="38" t="inlineStr">
        <is>
          <t xml:space="preserve">From source</t>
        </is>
      </c>
      <c r="Q74" s="38" t="inlineStr">
        <is>
          <t xml:space="preserve">Sasol Limited, Business Overview, April 2021</t>
        </is>
      </c>
      <c r="R74" s="38" t="inlineStr">
        <is>
          <t xml:space="preserve">PDF p.12</t>
        </is>
      </c>
      <c r="S74" s="38" t="inlineStr">
        <is>
          <t xml:space="preserve">Sasol states the split as approximately 65% petrol, 35% diesel and does not say which total it applies to, so no volume is calculated.</t>
        </is>
      </c>
    </row>
    <row r="75" ht="29" customHeight="1">
      <c r="A75" s="38" t="inlineStr">
        <is>
          <t xml:space="preserve">Diesel share of output</t>
        </is>
      </c>
      <c r="B75" s="38" t="inlineStr">
        <is>
          <t xml:space="preserve">Secunda</t>
        </is>
      </c>
      <c r="C75" s="38" t="inlineStr">
        <is>
          <t xml:space="preserve">% of petrol and diesel</t>
        </is>
      </c>
      <c r="D75" s="38" t="inlineStr">
        <is>
          <t xml:space="preserve">as stated April 2021</t>
        </is>
      </c>
      <c r="E75" s="41" t="n">
        <v>35</v>
      </c>
      <c r="K75" s="38" t="n"/>
      <c r="L75" s="38" t="n"/>
      <c r="M75" s="38" t="n"/>
      <c r="N75" s="38" t="n"/>
      <c r="O75" s="38" t="n"/>
      <c r="P75" s="38" t="inlineStr">
        <is>
          <t xml:space="preserve">From source</t>
        </is>
      </c>
      <c r="Q75" s="38" t="inlineStr">
        <is>
          <t xml:space="preserve">Sasol Limited, Business Overview, April 2021</t>
        </is>
      </c>
      <c r="R75" s="38" t="inlineStr">
        <is>
          <t xml:space="preserve">PDF p.12</t>
        </is>
      </c>
      <c r="S75" s="38" t="inlineStr">
        <is>
          <t xml:space="preserve">Sasol states the split as approximately 65% petrol, 35% diesel and does not say which total it applies to, so no volume is calculated.</t>
        </is>
      </c>
    </row>
    <row r="76" ht="29" customHeight="1">
      <c r="A76" s="42" t="inlineStr">
        <is>
          <t xml:space="preserve">Petrol share of output, assumed</t>
        </is>
      </c>
      <c r="B76" s="42" t="inlineStr">
        <is>
          <t xml:space="preserve">Astron Energy</t>
        </is>
      </c>
      <c r="C76" s="42" t="inlineStr">
        <is>
          <t xml:space="preserve">% of petrol and diesel</t>
        </is>
      </c>
      <c r="D76" s="42" t="inlineStr">
        <is>
          <t xml:space="preserve">assumption</t>
        </is>
      </c>
      <c r="E76" s="64" t="n">
        <v>50</v>
      </c>
      <c r="K76" s="42" t="n"/>
      <c r="L76" s="42" t="n"/>
      <c r="M76" s="42" t="n"/>
      <c r="N76" s="42" t="n"/>
      <c r="O76" s="42" t="n"/>
      <c r="P76" s="42" t="inlineStr">
        <is>
          <t xml:space="preserve">Calculated</t>
        </is>
      </c>
      <c r="Q76" s="42" t="inlineStr">
        <is>
          <t xml:space="preserve">Assumption agreed with Nigel on the call of 9 October 2026</t>
        </is>
      </c>
      <c r="R76" s="42" t="inlineStr">
        <is>
          <t xml:space="preserve"/>
        </is>
      </c>
      <c r="S76" s="42" t="inlineStr">
        <is>
          <t xml:space="preserve">Nothing is published for Astron. An even split, so the model responds sensibly when the plant is switched on or off; not a measured figure.</t>
        </is>
      </c>
    </row>
    <row r="77" ht="29" customHeight="1">
      <c r="A77" s="42" t="inlineStr">
        <is>
          <t xml:space="preserve">Diesel share of output, assumed</t>
        </is>
      </c>
      <c r="B77" s="42" t="inlineStr">
        <is>
          <t xml:space="preserve">Astron Energy</t>
        </is>
      </c>
      <c r="C77" s="42" t="inlineStr">
        <is>
          <t xml:space="preserve">% of petrol and diesel</t>
        </is>
      </c>
      <c r="D77" s="42" t="inlineStr">
        <is>
          <t xml:space="preserve">assumption</t>
        </is>
      </c>
      <c r="E77" s="64" t="n">
        <v>50</v>
      </c>
      <c r="K77" s="42" t="n"/>
      <c r="L77" s="42" t="n"/>
      <c r="M77" s="42" t="n"/>
      <c r="N77" s="42" t="n"/>
      <c r="O77" s="42" t="n"/>
      <c r="P77" s="42" t="inlineStr">
        <is>
          <t xml:space="preserve">Calculated</t>
        </is>
      </c>
      <c r="Q77" s="42" t="inlineStr">
        <is>
          <t xml:space="preserve">Assumption agreed with Nigel on the call of 9 October 2026</t>
        </is>
      </c>
      <c r="R77" s="42" t="inlineStr">
        <is>
          <t xml:space="preserve"/>
        </is>
      </c>
      <c r="S77" s="42" t="inlineStr">
        <is>
          <t xml:space="preserve">Nothing is published for Astron. An even split, so the model responds sensibly when the plant is switched on or off; not a measured figure.</t>
        </is>
      </c>
    </row>
    <row r="79">
      <c r="A79" s="35" t="inlineStr">
        <is>
          <t xml:space="preserve">Utilisation</t>
        </is>
      </c>
      <c r="B79" s="35" t="n"/>
      <c r="C79" s="35" t="n"/>
      <c r="D79" s="35" t="n"/>
      <c r="E79" s="35" t="n"/>
      <c r="F79" s="35" t="n"/>
      <c r="G79" s="35" t="n"/>
      <c r="H79" s="35" t="n"/>
      <c r="I79" s="35" t="n"/>
      <c r="J79" s="35" t="n"/>
      <c r="K79" s="35" t="n"/>
      <c r="L79" s="35" t="n"/>
      <c r="M79" s="35" t="n"/>
      <c r="N79" s="35" t="n"/>
      <c r="O79" s="35" t="n"/>
      <c r="P79" s="35" t="n"/>
      <c r="Q79" s="35" t="n"/>
      <c r="R79" s="35" t="n"/>
      <c r="S79" s="35" t="n"/>
      <c r="T79" s="35" t="n"/>
    </row>
    <row r="80">
      <c r="A80" s="36" t="inlineStr">
        <is>
          <t xml:space="preserve">Item</t>
        </is>
      </c>
      <c r="B80" s="36" t="inlineStr">
        <is>
          <t xml:space="preserve">Plant</t>
        </is>
      </c>
      <c r="C80" s="36" t="inlineStr">
        <is>
          <t xml:space="preserve">Unit</t>
        </is>
      </c>
      <c r="D80" s="36" t="inlineStr">
        <is>
          <t xml:space="preserve">Basis</t>
        </is>
      </c>
      <c r="E80" s="37" t="n">
        <v>2020</v>
      </c>
      <c r="F80" s="37" t="n">
        <v>2021</v>
      </c>
      <c r="G80" s="37" t="n">
        <v>2022</v>
      </c>
      <c r="H80" s="37" t="n">
        <v>2023</v>
      </c>
      <c r="I80" s="37" t="n">
        <v>2024</v>
      </c>
      <c r="J80" s="37" t="n">
        <v>2025</v>
      </c>
      <c r="K80" s="37" t="n">
        <v>2026</v>
      </c>
      <c r="L80" s="36" t="n"/>
      <c r="M80" s="36" t="n"/>
      <c r="N80" s="36" t="n"/>
      <c r="O80" s="36" t="n"/>
      <c r="P80" s="36" t="inlineStr">
        <is>
          <t xml:space="preserve">Status</t>
        </is>
      </c>
      <c r="Q80" s="36" t="inlineStr">
        <is>
          <t xml:space="preserve">Source</t>
        </is>
      </c>
      <c r="R80" s="36" t="inlineStr">
        <is>
          <t xml:space="preserve">Page</t>
        </is>
      </c>
      <c r="S80" s="36" t="inlineStr">
        <is>
          <t xml:space="preserve">Note</t>
        </is>
      </c>
    </row>
    <row r="81" ht="29" customHeight="1">
      <c r="A81" s="42" t="inlineStr">
        <is>
          <t xml:space="preserve">Output as a share of published capacity</t>
        </is>
      </c>
      <c r="B81" s="42" t="inlineStr">
        <is>
          <t xml:space="preserve">Secunda</t>
        </is>
      </c>
      <c r="C81" s="42" t="inlineStr">
        <is>
          <t xml:space="preserve">%</t>
        </is>
      </c>
      <c r="D81" s="42" t="inlineStr">
        <is>
          <t xml:space="preserve">years to June</t>
        </is>
      </c>
      <c r="E81" s="46" t="n">
        <v>57</v>
      </c>
      <c r="F81" s="46" t="n">
        <v>59</v>
      </c>
      <c r="G81" s="46" t="n">
        <v>53</v>
      </c>
      <c r="H81" s="46" t="n">
        <v>55</v>
      </c>
      <c r="I81" s="46" t="n">
        <v>53</v>
      </c>
      <c r="J81" s="46" t="n">
        <v>50</v>
      </c>
      <c r="K81" s="46" t="n">
        <v>56</v>
      </c>
      <c r="L81" s="42" t="n"/>
      <c r="M81" s="42" t="n"/>
      <c r="N81" s="42" t="n"/>
      <c r="O81" s="42" t="n"/>
      <c r="P81" s="42" t="inlineStr">
        <is>
          <t xml:space="preserve">Calculated</t>
        </is>
      </c>
      <c r="Q81" s="42" t="inlineStr">
        <is>
          <t xml:space="preserve">Reported output over published capacity</t>
        </is>
      </c>
      <c r="R81" s="42" t="inlineStr">
        <is>
          <t xml:space="preserve"/>
        </is>
      </c>
      <c r="S81" s="42" t="inlineStr">
        <is>
          <t xml:space="preserve">Capacity is crude equivalent and output is refined product, so this understates how hard the plant runs.</t>
        </is>
      </c>
    </row>
    <row r="82" ht="42.5" customHeight="1">
      <c r="A82" s="42" t="inlineStr">
        <is>
          <t xml:space="preserve">Output as a share of published capacity</t>
        </is>
      </c>
      <c r="B82" s="42" t="inlineStr">
        <is>
          <t xml:space="preserve">Natref</t>
        </is>
      </c>
      <c r="C82" s="42" t="inlineStr">
        <is>
          <t xml:space="preserve">%</t>
        </is>
      </c>
      <c r="D82" s="42" t="inlineStr">
        <is>
          <t xml:space="preserve">years to June</t>
        </is>
      </c>
      <c r="E82" s="46" t="n">
        <v>67</v>
      </c>
      <c r="F82" s="46" t="n">
        <v>71</v>
      </c>
      <c r="G82" s="46" t="n">
        <v>75</v>
      </c>
      <c r="H82" s="46" t="n">
        <v>69</v>
      </c>
      <c r="I82" s="46" t="n">
        <v>71</v>
      </c>
      <c r="J82" s="46" t="n">
        <v>59</v>
      </c>
      <c r="K82" s="42" t="n"/>
      <c r="L82" s="42" t="n"/>
      <c r="M82" s="42" t="n"/>
      <c r="N82" s="42" t="n"/>
      <c r="O82" s="42" t="n"/>
      <c r="P82" s="42" t="inlineStr">
        <is>
          <t xml:space="preserve">Calculated</t>
        </is>
      </c>
      <c r="Q82" s="42" t="inlineStr">
        <is>
          <t xml:space="preserve">Reported output over published capacity, Sasol's share scaled to the whole refinery</t>
        </is>
      </c>
      <c r="R82" s="42" t="inlineStr">
        <is>
          <t xml:space="preserve"/>
        </is>
      </c>
      <c r="S82" s="42" t="inlineStr">
        <is>
          <t xml:space="preserve">Capacity is crude equivalent and output is refined product, so this understates how hard the plant runs. The year to June 2026 is left out because Sasol's figure includes output above its share.</t>
        </is>
      </c>
    </row>
    <row r="83" ht="42.5" customHeight="1">
      <c r="A83" s="42" t="inlineStr">
        <is>
          <t xml:space="preserve">Output as a share of published capacity, estimated</t>
        </is>
      </c>
      <c r="B83" s="42" t="inlineStr">
        <is>
          <t xml:space="preserve">Astron Energy</t>
        </is>
      </c>
      <c r="C83" s="42" t="inlineStr">
        <is>
          <t xml:space="preserve">%</t>
        </is>
      </c>
      <c r="D83" s="42" t="inlineStr">
        <is>
          <t xml:space="preserve">calendar years</t>
        </is>
      </c>
      <c r="E83" s="42" t="n"/>
      <c r="F83" s="42" t="n"/>
      <c r="G83" s="42" t="n"/>
      <c r="H83" s="46" t="n">
        <v>65</v>
      </c>
      <c r="I83" s="46" t="n">
        <v>78</v>
      </c>
      <c r="J83" s="46" t="n">
        <v>78</v>
      </c>
      <c r="K83" s="42" t="n"/>
      <c r="L83" s="42" t="n"/>
      <c r="M83" s="42" t="n"/>
      <c r="N83" s="42" t="n"/>
      <c r="O83" s="42" t="n"/>
      <c r="P83" s="42" t="inlineStr">
        <is>
          <t xml:space="preserve">Calculated</t>
        </is>
      </c>
      <c r="Q83" s="42" t="inlineStr">
        <is>
          <t xml:space="preserve">Glencore's energy content at 5.8 million Btu a barrel of oil equivalent, over published capacity</t>
        </is>
      </c>
      <c r="R83" s="42" t="inlineStr">
        <is>
          <t xml:space="preserve"/>
        </is>
      </c>
      <c r="S83" s="42" t="inlineStr">
        <is>
          <t xml:space="preserve">An estimate: no throughput in barrels is published. Refined products hold a little less energy per barrel than the standard, so true utilisation is somewhat higher. 2023 is the restart year.</t>
        </is>
      </c>
    </row>
    <row r="84">
      <c r="A84" s="36" t="inlineStr">
        <is>
          <t xml:space="preserve">Item</t>
        </is>
      </c>
      <c r="B84" s="36" t="inlineStr">
        <is>
          <t xml:space="preserve">Plant</t>
        </is>
      </c>
      <c r="C84" s="36" t="inlineStr">
        <is>
          <t xml:space="preserve">Unit</t>
        </is>
      </c>
      <c r="D84" s="36" t="inlineStr">
        <is>
          <t xml:space="preserve">Period</t>
        </is>
      </c>
      <c r="E84" s="36" t="inlineStr">
        <is>
          <t xml:space="preserve">Value</t>
        </is>
      </c>
      <c r="K84" s="36" t="n"/>
      <c r="L84" s="36" t="n"/>
      <c r="M84" s="36" t="n"/>
      <c r="N84" s="36" t="n"/>
      <c r="O84" s="36" t="n"/>
      <c r="P84" s="36" t="inlineStr">
        <is>
          <t xml:space="preserve">Status</t>
        </is>
      </c>
      <c r="Q84" s="36" t="inlineStr">
        <is>
          <t xml:space="preserve">Source</t>
        </is>
      </c>
      <c r="R84" s="36" t="inlineStr">
        <is>
          <t xml:space="preserve">Page</t>
        </is>
      </c>
      <c r="S84" s="36" t="inlineStr">
        <is>
          <t xml:space="preserve">Note</t>
        </is>
      </c>
    </row>
    <row r="85" ht="29" customHeight="1">
      <c r="A85" s="38" t="inlineStr">
        <is>
          <t xml:space="preserve">Utilisation as stated by the operator</t>
        </is>
      </c>
      <c r="B85" s="38" t="inlineStr">
        <is>
          <t xml:space="preserve">Astron Energy</t>
        </is>
      </c>
      <c r="C85" s="38" t="inlineStr">
        <is>
          <t xml:space="preserve"/>
        </is>
      </c>
      <c r="D85" s="38" t="inlineStr">
        <is>
          <t xml:space="preserve">2025</t>
        </is>
      </c>
      <c r="E85" s="38" t="inlineStr">
        <is>
          <t xml:space="preserve">Operating at full capacity, producing petrol, diesel, jet fuel and low-sulphur marine fuel</t>
        </is>
      </c>
      <c r="K85" s="38" t="n"/>
      <c r="L85" s="38" t="n"/>
      <c r="M85" s="38" t="n"/>
      <c r="N85" s="38" t="n"/>
      <c r="O85" s="38" t="n"/>
      <c r="P85" s="38" t="inlineStr">
        <is>
          <t xml:space="preserve">From source</t>
        </is>
      </c>
      <c r="Q85" s="38" t="inlineStr">
        <is>
          <t xml:space="preserve">Astron Energy chief executive, in a company article in Engineering News</t>
        </is>
      </c>
      <c r="R85" s="38" t="inlineStr">
        <is>
          <t xml:space="preserve"/>
        </is>
      </c>
      <c r="S85" s="38" t="inlineStr">
        <is>
          <t xml:space="preserve">The operator's own statement; no volume is given. Glencore's energy figure implies less than full: see the estimate below.</t>
        </is>
      </c>
    </row>
    <row r="87">
      <c r="A87" s="35" t="inlineStr">
        <is>
          <t xml:space="preserve">Outlook</t>
        </is>
      </c>
      <c r="B87" s="35" t="n"/>
      <c r="C87" s="35" t="n"/>
      <c r="D87" s="35" t="n"/>
      <c r="E87" s="35" t="n"/>
      <c r="F87" s="35" t="n"/>
      <c r="G87" s="35" t="n"/>
      <c r="H87" s="35" t="n"/>
      <c r="I87" s="35" t="n"/>
      <c r="J87" s="35" t="n"/>
      <c r="K87" s="35" t="n"/>
      <c r="L87" s="35" t="n"/>
      <c r="M87" s="35" t="n"/>
      <c r="N87" s="35" t="n"/>
      <c r="O87" s="35" t="n"/>
      <c r="P87" s="35" t="n"/>
      <c r="Q87" s="35" t="n"/>
      <c r="R87" s="35" t="n"/>
      <c r="S87" s="35" t="n"/>
      <c r="T87" s="35" t="n"/>
    </row>
    <row r="88">
      <c r="A88" s="36" t="inlineStr">
        <is>
          <t xml:space="preserve">Item</t>
        </is>
      </c>
      <c r="B88" s="36" t="inlineStr">
        <is>
          <t xml:space="preserve">Plant</t>
        </is>
      </c>
      <c r="C88" s="36" t="inlineStr">
        <is>
          <t xml:space="preserve">Unit</t>
        </is>
      </c>
      <c r="D88" s="36" t="inlineStr">
        <is>
          <t xml:space="preserve">Period</t>
        </is>
      </c>
      <c r="E88" s="36" t="inlineStr">
        <is>
          <t xml:space="preserve">Value</t>
        </is>
      </c>
      <c r="K88" s="36" t="n"/>
      <c r="L88" s="36" t="n"/>
      <c r="M88" s="36" t="n"/>
      <c r="N88" s="36" t="n"/>
      <c r="O88" s="36" t="n"/>
      <c r="P88" s="36" t="inlineStr">
        <is>
          <t xml:space="preserve">Status</t>
        </is>
      </c>
      <c r="Q88" s="36" t="inlineStr">
        <is>
          <t xml:space="preserve">Source</t>
        </is>
      </c>
      <c r="R88" s="36" t="inlineStr">
        <is>
          <t xml:space="preserve">Page</t>
        </is>
      </c>
      <c r="S88" s="36" t="inlineStr">
        <is>
          <t xml:space="preserve">Note</t>
        </is>
      </c>
    </row>
    <row r="89" ht="48" customHeight="1">
      <c r="A89" s="38" t="inlineStr">
        <is>
          <t xml:space="preserve">Outlook</t>
        </is>
      </c>
      <c r="B89" s="38" t="inlineStr">
        <is>
          <t xml:space="preserve">Sapref site (Central Energy Fund)</t>
        </is>
      </c>
      <c r="C89" s="38" t="inlineStr">
        <is>
          <t xml:space="preserve"/>
        </is>
      </c>
      <c r="D89" s="38" t="inlineStr">
        <is>
          <t xml:space="preserve">no dates given</t>
        </is>
      </c>
      <c r="E89" s="38" t="inlineStr">
        <is>
          <t xml:space="preserve">Three phases: imports through existing tanks; a refinery of about 400,000 barrels a day; then 400,000 to 650,000</t>
        </is>
      </c>
      <c r="K89" s="38" t="n"/>
      <c r="L89" s="38" t="n"/>
      <c r="M89" s="38" t="n"/>
      <c r="N89" s="38" t="n"/>
      <c r="O89" s="38" t="n"/>
      <c r="P89" s="38" t="inlineStr">
        <is>
          <t xml:space="preserve">From source</t>
        </is>
      </c>
      <c r="Q89" s="38" t="inlineStr">
        <is>
          <t xml:space="preserve">Central Energy Fund, roadmap statement of 10 September 2026</t>
        </is>
      </c>
      <c r="R89" s="38" t="inlineStr">
        <is>
          <t xml:space="preserve"/>
        </is>
      </c>
      <c r="S89" s="38" t="inlineStr">
        <is>
          <t xml:space="preserve">No investment decision, dates or product slate. Phase one is an import terminal in Durban, which competes with existing terminals.</t>
        </is>
      </c>
      <c r="V89" s="80" t="str">
        <v>G053</v>
      </c>
      <c r="W89" s="80" t="str">
        <v>Model decision: Refinery availability and restart paths</v>
      </c>
      <c r="X89" s="80" t="str">
        <v>Review detail</v>
      </c>
    </row>
    <row r="90" ht="29" customHeight="1">
      <c r="A90" s="38" t="inlineStr">
        <is>
          <t xml:space="preserve">Outlook</t>
        </is>
      </c>
      <c r="B90" s="38" t="inlineStr">
        <is>
          <t xml:space="preserve">Secunda</t>
        </is>
      </c>
      <c r="C90" s="38" t="inlineStr">
        <is>
          <t xml:space="preserve"/>
        </is>
      </c>
      <c r="D90" s="38" t="inlineStr">
        <is>
          <t xml:space="preserve">July 2028 to June 2030</t>
        </is>
      </c>
      <c r="E90" s="38" t="inlineStr">
        <is>
          <t xml:space="preserve">Sasol finds it technically feasible to supply Secunda's methane-rich gas to outside customers as Mozambican gas declines</t>
        </is>
      </c>
      <c r="K90" s="38" t="n"/>
      <c r="L90" s="38" t="n"/>
      <c r="M90" s="38" t="n"/>
      <c r="N90" s="38" t="n"/>
      <c r="O90" s="38" t="n"/>
      <c r="P90" s="38" t="inlineStr">
        <is>
          <t xml:space="preserve">From source</t>
        </is>
      </c>
      <c r="Q90" s="38" t="inlineStr">
        <is>
          <t xml:space="preserve">Sasol media release, 6 November 2025</t>
        </is>
      </c>
      <c r="R90" s="38" t="inlineStr">
        <is>
          <t xml:space="preserve"/>
        </is>
      </c>
      <c r="S90" s="38" t="inlineStr">
        <is>
          <t xml:space="preserve">No liquid fuels penalty is quantified. Depends on approvals and investment.</t>
        </is>
      </c>
    </row>
    <row r="91" ht="29" customHeight="1">
      <c r="A91" s="38" t="inlineStr">
        <is>
          <t xml:space="preserve">Outlook</t>
        </is>
      </c>
      <c r="B91" s="38" t="inlineStr">
        <is>
          <t xml:space="preserve">PetroSA (Mossel Bay)</t>
        </is>
      </c>
      <c r="C91" s="38" t="inlineStr">
        <is>
          <t xml:space="preserve"/>
        </is>
      </c>
      <c r="D91" s="38" t="inlineStr">
        <is>
          <t xml:space="preserve">no dates given</t>
        </is>
      </c>
      <c r="E91" s="38" t="inlineStr">
        <is>
          <t xml:space="preserve">Tender to recommission the liquids refinery and adapt the terminal to import finished products</t>
        </is>
      </c>
      <c r="K91" s="38" t="n"/>
      <c r="L91" s="38" t="n"/>
      <c r="M91" s="38" t="n"/>
      <c r="N91" s="38" t="n"/>
      <c r="O91" s="38" t="n"/>
      <c r="P91" s="38" t="inlineStr">
        <is>
          <t xml:space="preserve">From source</t>
        </is>
      </c>
      <c r="Q91" s="38" t="inlineStr">
        <is>
          <t xml:space="preserve">PetroSA tender scope of work</t>
        </is>
      </c>
      <c r="R91" s="38" t="inlineStr">
        <is>
          <t xml:space="preserve"/>
        </is>
      </c>
      <c r="S91" s="38" t="inlineStr">
        <is>
          <t xml:space="preserve">No restart date or output.</t>
        </is>
      </c>
    </row>
    <row r="92" ht="29" customHeight="1">
      <c r="A92" s="38" t="inlineStr">
        <is>
          <t xml:space="preserve">Outlook</t>
        </is>
      </c>
      <c r="B92" s="38" t="inlineStr">
        <is>
          <t xml:space="preserve">Secunda</t>
        </is>
      </c>
      <c r="C92" s="38" t="inlineStr">
        <is>
          <t xml:space="preserve"/>
        </is>
      </c>
      <c r="D92" s="38" t="inlineStr">
        <is>
          <t xml:space="preserve">year to June 2026</t>
        </is>
      </c>
      <c r="E92" s="38" t="inlineStr">
        <is>
          <t xml:space="preserve">Production 8% up and above guidance; Natref 76% up using a co-owner's capacity</t>
        </is>
      </c>
      <c r="K92" s="38" t="n"/>
      <c r="L92" s="38" t="n"/>
      <c r="M92" s="38" t="n"/>
      <c r="N92" s="38" t="n"/>
      <c r="O92" s="38" t="n"/>
      <c r="P92" s="38" t="inlineStr">
        <is>
          <t xml:space="preserve">From source</t>
        </is>
      </c>
      <c r="Q92" s="38" t="inlineStr">
        <is>
          <t xml:space="preserve">Sasol business performance metrics, 30 June 2026</t>
        </is>
      </c>
      <c r="R92" s="38" t="inlineStr">
        <is>
          <t xml:space="preserve">PDF p.4</t>
        </is>
      </c>
      <c r="S92" s="38" t="inlineStr">
        <is>
          <t xml:space="preserve">Natref's rise includes Sasol using Prax SA's share during that company's business rescue.</t>
        </is>
      </c>
    </row>
  </sheetData>
  <mergeCells>
    <mergeCell ref="E19:J19"/>
    <mergeCell ref="E63:J63"/>
    <mergeCell ref="E10:J10"/>
    <mergeCell ref="E28:J28"/>
    <mergeCell ref="E13:J13"/>
    <mergeCell ref="E84:J84"/>
    <mergeCell ref="E9:J9"/>
    <mergeCell ref="E31:J31"/>
    <mergeCell ref="E34:J34"/>
    <mergeCell ref="E73:J73"/>
    <mergeCell ref="E74:J74"/>
    <mergeCell ref="E6:J6"/>
    <mergeCell ref="E30:J30"/>
    <mergeCell ref="E64:J64"/>
    <mergeCell ref="E15:J15"/>
    <mergeCell ref="E90:J90"/>
    <mergeCell ref="E77:J77"/>
    <mergeCell ref="E11:J11"/>
    <mergeCell ref="E49:J49"/>
    <mergeCell ref="E89:J89"/>
    <mergeCell ref="E36:J36"/>
    <mergeCell ref="E27:J27"/>
    <mergeCell ref="E26:J26"/>
    <mergeCell ref="E91:J91"/>
    <mergeCell ref="E54:J54"/>
    <mergeCell ref="E76:J76"/>
    <mergeCell ref="E7:J7"/>
    <mergeCell ref="E25:J25"/>
    <mergeCell ref="E72:J72"/>
    <mergeCell ref="E85:J85"/>
    <mergeCell ref="E16:J16"/>
    <mergeCell ref="E32:J32"/>
    <mergeCell ref="E37:J37"/>
    <mergeCell ref="E18:J18"/>
    <mergeCell ref="E53:J53"/>
    <mergeCell ref="E75:J75"/>
    <mergeCell ref="E12:J12"/>
    <mergeCell ref="E50:J50"/>
    <mergeCell ref="E21:J21"/>
    <mergeCell ref="E33:J33"/>
    <mergeCell ref="E71:J71"/>
    <mergeCell ref="E55:J55"/>
    <mergeCell ref="E24:J24"/>
    <mergeCell ref="E14:J14"/>
    <mergeCell ref="E52:J52"/>
    <mergeCell ref="E48:J48"/>
    <mergeCell ref="E17:J17"/>
    <mergeCell ref="E92:J92"/>
    <mergeCell ref="E39:J39"/>
    <mergeCell ref="E8:J8"/>
    <mergeCell ref="E35:J35"/>
    <mergeCell ref="E88:J88"/>
    <mergeCell ref="E51:J51"/>
    <mergeCell ref="E20:J20"/>
    <mergeCell ref="E38:J38"/>
    <mergeCell ref="E29:J29"/>
    <mergeCell ref="A3:J3"/>
  </mergeCells>
  <hyperlinks>
    <hyperlink ref="A3" location="'Gap register'!A21" display="REVIEW: 5 linked items. Open Gap register; filter Request. Start here explains colours and scope." tooltip="Open the linked workbook evidence or review item"/>
    <hyperlink ref="X52" location="'Gap register'!A21" display="Review detail" tooltip="Open the linked workbook evidence or review item"/>
    <hyperlink ref="X64" location="'Gap register'!A22" display="Review detail" tooltip="Open the linked workbook evidence or review item"/>
    <hyperlink ref="X43" location="'Gap register'!A56" display="Review detail" tooltip="Open the linked workbook evidence or review item"/>
    <hyperlink ref="X44" location="'Gap register'!A57" display="Review detail" tooltip="Open the linked workbook evidence or review item"/>
    <hyperlink ref="X89" location="'Gap register'!A58" display="Review detail" tooltip="Open the linked workbook evidence or review item"/>
  </hyperlinks>
  <pageMargins left="0.7" right="0.7" top="0.75" bottom="0.75" header="0.3" footer="0.3"/>
</worksheet>
</file>

<file path=xl/worksheets/sheet12.xml><?xml version="1.0" encoding="utf-8"?>
<worksheet xmlns="http://schemas.openxmlformats.org/spreadsheetml/2006/main">
  <sheetViews>
    <sheetView workbookViewId="0" tabSelected="0">
      <pane xSplit="2" ySplit="4" topLeftCell="C5" activePane="bottomRight" state="frozen"/>
    </sheetView>
  </sheetViews>
  <sheetFormatPr baseColWidth="8" defaultRowHeight="15"/>
  <cols>
    <col min="1" max="1" width="18" customWidth="1"/>
    <col min="2" max="2" width="48" customWidth="1"/>
    <col min="3" max="3" width="9" customWidth="1"/>
    <col min="4" max="4" width="9" customWidth="1"/>
    <col min="5" max="5" width="9" customWidth="1"/>
    <col min="6" max="6" width="20" customWidth="1"/>
    <col min="7" max="7" width="30" customWidth="1"/>
    <col min="8" max="8" width="12" customWidth="1"/>
    <col min="9" max="9" width="52" customWidth="1"/>
    <col min="10" max="10" width="70" customWidth="1"/>
    <col min="12" max="12" width="19" hidden="0" customWidth="1"/>
    <col min="13" max="13" width="65" hidden="0" customWidth="1"/>
    <col min="14" max="14" width="15" hidden="0" customWidth="1"/>
  </cols>
  <sheetData>
    <row r="1">
      <c r="A1" s="1" t="inlineStr">
        <is>
          <t xml:space="preserve">Market sizing: what each Vopak site can reach</t>
        </is>
      </c>
    </row>
    <row r="2">
      <c r="A2" s="2" t="inlineStr">
        <is>
          <t xml:space="preserve">Billion litres a year unless the unit says otherwise. Public data only: no client throughput is assumed. Every litre Lesedi receives by pipeline lands at Durban first, so the two site markets are never added together.</t>
        </is>
      </c>
    </row>
    <row r="3" ht="34" customHeight="1">
      <c r="A3" s="92" t="str">
        <v>REVIEW: 16 linked items. Open Gap register; filter Request. Start here explains colours and scope.</v>
      </c>
      <c r="B3" s="92"/>
      <c r="C3" s="92"/>
      <c r="D3" s="92"/>
      <c r="E3" s="92"/>
      <c r="F3" s="92"/>
      <c r="G3" s="92"/>
      <c r="H3" s="92"/>
      <c r="I3" s="92"/>
      <c r="J3" s="92"/>
    </row>
    <row r="4" ht="30" customHeight="1">
      <c r="A4" s="3" t="inlineStr">
        <is>
          <t xml:space="preserve">Site</t>
        </is>
      </c>
      <c r="B4" s="3" t="inlineStr">
        <is>
          <t xml:space="preserve">Measure</t>
        </is>
      </c>
      <c r="C4" s="3" t="inlineStr">
        <is>
          <t xml:space="preserve">Petrol</t>
        </is>
      </c>
      <c r="D4" s="3" t="inlineStr">
        <is>
          <t xml:space="preserve">Diesel</t>
        </is>
      </c>
      <c r="E4" s="3" t="inlineStr">
        <is>
          <t xml:space="preserve">Both</t>
        </is>
      </c>
      <c r="F4" s="3" t="inlineStr">
        <is>
          <t xml:space="preserve">Unit</t>
        </is>
      </c>
      <c r="G4" s="3" t="inlineStr">
        <is>
          <t xml:space="preserve">Period</t>
        </is>
      </c>
      <c r="H4" s="3" t="inlineStr">
        <is>
          <t xml:space="preserve">Status</t>
        </is>
      </c>
      <c r="I4" s="3" t="inlineStr">
        <is>
          <t xml:space="preserve">Source</t>
        </is>
      </c>
      <c r="J4" s="3" t="inlineStr">
        <is>
          <t xml:space="preserve">Note</t>
        </is>
      </c>
      <c r="L4" s="95" t="str">
        <v>Review IDs</v>
      </c>
      <c r="M4" s="95" t="str">
        <v>Review finding — source figures retained</v>
      </c>
      <c r="N4" s="95" t="str">
        <v>Open detail</v>
      </c>
    </row>
    <row r="5" ht="145" customHeight="1">
      <c r="A5" s="17" t="inlineStr">
        <is>
          <t xml:space="preserve">Durban</t>
        </is>
      </c>
      <c r="B5" s="17" t="inlineStr">
        <is>
          <t xml:space="preserve">Landed at Durban</t>
        </is>
      </c>
      <c r="C5" s="69" t="n">
        <v>4.229</v>
      </c>
      <c r="D5" s="69" t="n">
        <v>8.932</v>
      </c>
      <c r="E5" s="69" t="n">
        <v>13.161</v>
      </c>
      <c r="F5" s="17" t="inlineStr">
        <is>
          <t xml:space="preserve">billion litres a year</t>
        </is>
      </c>
      <c r="G5" s="17" t="inlineStr">
        <is>
          <t xml:space="preserve">2025</t>
        </is>
      </c>
      <c r="H5" s="17" t="inlineStr">
        <is>
          <t xml:space="preserve">Observed</t>
        </is>
      </c>
      <c r="I5" s="17" t="inlineStr">
        <is>
          <t xml:space="preserve">SARS customs, imports by office of clearance (fuel_trade_sars_by_office.csv)</t>
        </is>
      </c>
      <c r="J5" s="17" t="inlineStr">
        <is>
          <t xml:space="preserve">95% of the 4.45 imported through every office. The most any Durban terminal can handle.</t>
        </is>
      </c>
      <c r="L5" s="80" t="str">
        <v>G034, G035, G038, G039, G040, G041, G042, G043, G054</v>
      </c>
      <c r="M5" s="80" t="str">
        <v>Client data needed: Terminal receipt and dispatch history
Client data needed: Linked Durban–Lesedi transfers
Client data needed: Customer commitments and contestability
Client data needed: Capture and competitive response
Client data needed: Chargeable services and contract economics
Client data needed: Operating costs and existing business effects
Client data needed: Engineered options, capex and schedule
Client data needed: Cash-flow basis and investment criteria
Definition to correct: Durban and Lesedi low–high ranges</v>
      </c>
      <c r="N5" s="80" t="str">
        <v>Review detail</v>
      </c>
    </row>
    <row r="6" ht="29" customHeight="1">
      <c r="A6" s="17" t="inlineStr">
        <is>
          <t xml:space="preserve">Durban</t>
        </is>
      </c>
      <c r="B6" s="17" t="inlineStr">
        <is>
          <t xml:space="preserve">Coastal catchment: KwaZulu-Natal sales</t>
        </is>
      </c>
      <c r="C6" s="69" t="n">
        <v>1.499</v>
      </c>
      <c r="D6" s="69" t="n">
        <v>2.786</v>
      </c>
      <c r="E6" s="69" t="n">
        <v>4.284</v>
      </c>
      <c r="F6" s="17" t="inlineStr">
        <is>
          <t xml:space="preserve">billion litres a year</t>
        </is>
      </c>
      <c r="G6" s="17" t="inlineStr">
        <is>
          <t xml:space="preserve">2022</t>
        </is>
      </c>
      <c r="H6" s="17" t="inlineStr">
        <is>
          <t xml:space="preserve">Observed</t>
        </is>
      </c>
      <c r="I6" s="17" t="inlineStr">
        <is>
          <t xml:space="preserve">Department of Mineral and Petroleum Resources, sales by magisterial district added up by province</t>
        </is>
      </c>
      <c r="J6" s="17" t="inlineStr">
        <is>
          <t xml:space="preserve">Assumes KwaZulu-Natal is supplied from Durban, as both Durban refineries have stopped refining (DR08). The lower end of the Durban market.</t>
        </is>
      </c>
    </row>
    <row r="7" ht="48" customHeight="1">
      <c r="A7" s="23" t="inlineStr">
        <is>
          <t xml:space="preserve">Durban</t>
        </is>
      </c>
      <c r="B7" s="23" t="inlineStr">
        <is>
          <t xml:space="preserve">Inland-bound through Durban</t>
        </is>
      </c>
      <c r="C7" s="70" t="n">
        <v>2.73</v>
      </c>
      <c r="D7" s="70" t="n">
        <v>6.146</v>
      </c>
      <c r="E7" s="70" t="n">
        <v>8.875999999999999</v>
      </c>
      <c r="F7" s="23" t="inlineStr">
        <is>
          <t xml:space="preserve">billion litres a year</t>
        </is>
      </c>
      <c r="G7" s="23" t="inlineStr">
        <is>
          <t xml:space="preserve">2025 imports, 2022 sales</t>
        </is>
      </c>
      <c r="H7" s="23" t="inlineStr">
        <is>
          <t xml:space="preserve">Estimated</t>
        </is>
      </c>
      <c r="I7" s="23" t="inlineStr">
        <is>
          <t xml:space="preserve">SARS customs, imports by office of clearance (fuel_trade_sars_by_office.csv); Department of Mineral and Petroleum Resources, sales by magisterial district added up by province</t>
        </is>
      </c>
      <c r="J7" s="23" t="inlineStr">
        <is>
          <t xml:space="preserve">Mixes two years, and ignores coastwise shipments and exports by road from KwaZulu-Natal.</t>
        </is>
      </c>
      <c r="L7" s="80" t="str">
        <v>G055</v>
      </c>
      <c r="M7" s="80" t="str">
        <v>Definition to correct: Inland flow and road/rail residuals</v>
      </c>
      <c r="N7" s="80" t="str">
        <v>Review detail</v>
      </c>
    </row>
    <row r="8" ht="29" customHeight="1">
      <c r="A8" s="17" t="inlineStr">
        <is>
          <t xml:space="preserve">Lesedi</t>
        </is>
      </c>
      <c r="B8" s="17" t="inlineStr">
        <is>
          <t xml:space="preserve">Near catchment: Gauteng sales</t>
        </is>
      </c>
      <c r="C8" s="69" t="n">
        <v>3.53</v>
      </c>
      <c r="D8" s="69" t="n">
        <v>3.279</v>
      </c>
      <c r="E8" s="69" t="n">
        <v>6.809</v>
      </c>
      <c r="F8" s="17" t="inlineStr">
        <is>
          <t xml:space="preserve">billion litres a year</t>
        </is>
      </c>
      <c r="G8" s="17" t="inlineStr">
        <is>
          <t xml:space="preserve">2022</t>
        </is>
      </c>
      <c r="H8" s="17" t="inlineStr">
        <is>
          <t xml:space="preserve">Observed</t>
        </is>
      </c>
      <c r="I8" s="17" t="inlineStr">
        <is>
          <t xml:space="preserve">Department of Mineral and Petroleum Resources, sales by magisterial district added up by province</t>
        </is>
      </c>
      <c r="J8" s="17" t="inlineStr">
        <is>
          <t xml:space="preserve">The market on Lesedi's doorstep. Part of it is supplied by Natref and Secunda, whose output by product is not published after 2021.</t>
        </is>
      </c>
    </row>
    <row r="9" ht="29" customHeight="1">
      <c r="A9" s="17" t="inlineStr">
        <is>
          <t xml:space="preserve">Lesedi</t>
        </is>
      </c>
      <c r="B9" s="17" t="inlineStr">
        <is>
          <t xml:space="preserve">Inland catchment: six inland provinces</t>
        </is>
      </c>
      <c r="C9" s="69" t="n">
        <v>5.552</v>
      </c>
      <c r="D9" s="69" t="n">
        <v>6.4</v>
      </c>
      <c r="E9" s="69" t="n">
        <v>11.951</v>
      </c>
      <c r="F9" s="17" t="inlineStr">
        <is>
          <t xml:space="preserve">billion litres a year</t>
        </is>
      </c>
      <c r="G9" s="17" t="inlineStr">
        <is>
          <t xml:space="preserve">2022</t>
        </is>
      </c>
      <c r="H9" s="17" t="inlineStr">
        <is>
          <t xml:space="preserve">Observed</t>
        </is>
      </c>
      <c r="I9" s="17" t="inlineStr">
        <is>
          <t xml:space="preserve">Department of Mineral and Petroleum Resources, sales by magisterial district added up by province</t>
        </is>
      </c>
      <c r="J9" s="17" t="inlineStr">
        <is>
          <t xml:space="preserve">The upper end: everything sold inland, whoever supplies it.</t>
        </is>
      </c>
    </row>
    <row r="10" ht="42.5" customHeight="1">
      <c r="A10" s="23" t="inlineStr">
        <is>
          <t xml:space="preserve">Lesedi</t>
        </is>
      </c>
      <c r="B10" s="23" t="inlineStr">
        <is>
          <t xml:space="preserve">Inland-bound through Durban</t>
        </is>
      </c>
      <c r="C10" s="70" t="n">
        <v>2.73</v>
      </c>
      <c r="D10" s="70" t="n">
        <v>6.146</v>
      </c>
      <c r="E10" s="70" t="n">
        <v>8.875999999999999</v>
      </c>
      <c r="F10" s="23" t="inlineStr">
        <is>
          <t xml:space="preserve">billion litres a year</t>
        </is>
      </c>
      <c r="G10" s="23" t="inlineStr">
        <is>
          <t xml:space="preserve">2025 imports, 2022 sales</t>
        </is>
      </c>
      <c r="H10" s="23" t="inlineStr">
        <is>
          <t xml:space="preserve">Estimated</t>
        </is>
      </c>
      <c r="I10" s="23" t="inlineStr">
        <is>
          <t xml:space="preserve">SARS customs, imports by office of clearance (fuel_trade_sars_by_office.csv); Department of Mineral and Petroleum Resources, sales by magisterial district added up by province</t>
        </is>
      </c>
      <c r="J10" s="23" t="inlineStr">
        <is>
          <t xml:space="preserve">The imported fuel that moves inland, by pipeline, road or rail. Lesedi receives by pipeline only.</t>
        </is>
      </c>
    </row>
    <row r="11" ht="48" customHeight="1">
      <c r="A11" s="17" t="inlineStr">
        <is>
          <t xml:space="preserve">Durban and Lesedi</t>
        </is>
      </c>
      <c r="B11" s="17" t="inlineStr">
        <is>
          <t xml:space="preserve">Both sites, counted once</t>
        </is>
      </c>
      <c r="C11" s="69" t="n">
        <v>4.229</v>
      </c>
      <c r="D11" s="69" t="n">
        <v>8.932</v>
      </c>
      <c r="E11" s="69" t="n">
        <v>13.161</v>
      </c>
      <c r="F11" s="17" t="inlineStr">
        <is>
          <t xml:space="preserve">billion litres a year</t>
        </is>
      </c>
      <c r="G11" s="17" t="inlineStr">
        <is>
          <t xml:space="preserve">2025</t>
        </is>
      </c>
      <c r="H11" s="17" t="inlineStr">
        <is>
          <t xml:space="preserve">Observed</t>
        </is>
      </c>
      <c r="I11" s="17" t="inlineStr">
        <is>
          <t xml:space="preserve">SARS customs, imports by office of clearance (fuel_trade_sars_by_office.csv)</t>
        </is>
      </c>
      <c r="J11" s="17" t="inlineStr">
        <is>
          <t xml:space="preserve">Every litre Lesedi receives by pipeline landed at Durban first, so the two site markets are not added together.</t>
        </is>
      </c>
      <c r="L11" s="80" t="str">
        <v>G056</v>
      </c>
      <c r="M11" s="80" t="str">
        <v>Definition to correct: Combined unique market and services</v>
      </c>
      <c r="N11" s="80" t="str">
        <v>Review detail</v>
      </c>
    </row>
    <row r="12" ht="15.5" customHeight="1">
      <c r="A12" s="17" t="inlineStr">
        <is>
          <t xml:space="preserve">Durban and Lesedi</t>
        </is>
      </c>
      <c r="B12" s="17" t="inlineStr">
        <is>
          <t xml:space="preserve">Trunk line capacity, Durban to Jameson Park</t>
        </is>
      </c>
      <c r="C12" s="17" t="n"/>
      <c r="D12" s="17" t="n"/>
      <c r="E12" s="69" t="n">
        <v>7.696</v>
      </c>
      <c r="F12" s="17" t="inlineStr">
        <is>
          <t xml:space="preserve">billion litres a year</t>
        </is>
      </c>
      <c r="G12" s="17" t="inlineStr">
        <is>
          <t xml:space="preserve">years to March 2021 to 2024</t>
        </is>
      </c>
      <c r="H12" s="17" t="inlineStr">
        <is>
          <t xml:space="preserve">Observed</t>
        </is>
      </c>
      <c r="I12" s="17" t="inlineStr">
        <is>
          <t xml:space="preserve">Transnet Pipelines Report 2024, key performance indicators</t>
        </is>
      </c>
      <c r="J12" s="17" t="inlineStr">
        <is>
          <t xml:space="preserve">Every shipper and refined product. Unchanged from the 2020 figure.</t>
        </is>
      </c>
    </row>
    <row r="13" ht="15.5" customHeight="1">
      <c r="A13" s="17" t="inlineStr">
        <is>
          <t xml:space="preserve">Durban and Lesedi</t>
        </is>
      </c>
      <c r="B13" s="17" t="inlineStr">
        <is>
          <t xml:space="preserve">Trunk line use, Durban to Jameson Park</t>
        </is>
      </c>
      <c r="C13" s="17" t="n"/>
      <c r="D13" s="17" t="n"/>
      <c r="E13" s="69" t="n">
        <v>5.044</v>
      </c>
      <c r="F13" s="17" t="inlineStr">
        <is>
          <t xml:space="preserve">billion litres a year</t>
        </is>
      </c>
      <c r="G13" s="17" t="inlineStr">
        <is>
          <t xml:space="preserve">year to March 2024</t>
        </is>
      </c>
      <c r="H13" s="17" t="inlineStr">
        <is>
          <t xml:space="preserve">Observed</t>
        </is>
      </c>
      <c r="I13" s="17" t="inlineStr">
        <is>
          <t xml:space="preserve">Transnet Pipelines Report 2024, key performance indicators</t>
        </is>
      </c>
      <c r="J13" s="17" t="inlineStr">
        <is>
          <t xml:space="preserve">About two thirds of capacity. Not split by product.</t>
        </is>
      </c>
    </row>
    <row r="14" ht="15.5" customHeight="1">
      <c r="A14" s="23" t="inlineStr">
        <is>
          <t xml:space="preserve">Durban and Lesedi</t>
        </is>
      </c>
      <c r="B14" s="23" t="inlineStr">
        <is>
          <t xml:space="preserve">Inland-bound fuel beyond the trunk line's capacity</t>
        </is>
      </c>
      <c r="C14" s="23" t="n"/>
      <c r="D14" s="23" t="n"/>
      <c r="E14" s="70" t="n">
        <v>1.18</v>
      </c>
      <c r="F14" s="23" t="inlineStr">
        <is>
          <t xml:space="preserve">billion litres a year</t>
        </is>
      </c>
      <c r="G14" s="23" t="inlineStr">
        <is>
          <t xml:space="preserve">2025 imports, 2022 sales</t>
        </is>
      </c>
      <c r="H14" s="23" t="inlineStr">
        <is>
          <t xml:space="preserve">Estimated</t>
        </is>
      </c>
      <c r="I14" s="23" t="inlineStr">
        <is>
          <t xml:space="preserve">Calculated from the rows above</t>
        </is>
      </c>
      <c r="J14" s="23" t="inlineStr">
        <is>
          <t xml:space="preserve">At least this much must leave Durban by road or rail even with the line full.</t>
        </is>
      </c>
    </row>
    <row r="15" ht="29" customHeight="1">
      <c r="A15" s="23" t="inlineStr">
        <is>
          <t xml:space="preserve">Durban and Lesedi</t>
        </is>
      </c>
      <c r="B15" s="23" t="inlineStr">
        <is>
          <t xml:space="preserve">Inland-bound fuel beyond what the trunk line carried</t>
        </is>
      </c>
      <c r="C15" s="23" t="n"/>
      <c r="D15" s="23" t="n"/>
      <c r="E15" s="70" t="n">
        <v>3.832</v>
      </c>
      <c r="F15" s="23" t="inlineStr">
        <is>
          <t xml:space="preserve">billion litres a year</t>
        </is>
      </c>
      <c r="G15" s="23" t="inlineStr">
        <is>
          <t xml:space="preserve">2025 imports, 2022 sales, pipeline year to March 2024</t>
        </is>
      </c>
      <c r="H15" s="23" t="inlineStr">
        <is>
          <t xml:space="preserve">Estimated</t>
        </is>
      </c>
      <c r="I15" s="23" t="inlineStr">
        <is>
          <t xml:space="preserve">Calculated from the rows above</t>
        </is>
      </c>
      <c r="J15" s="23" t="inlineStr">
        <is>
          <t xml:space="preserve">The fuel that left Durban for the interior by road or rail, on these figures. Mixes three periods, so read as an order of size.</t>
        </is>
      </c>
    </row>
    <row r="16" ht="92" customHeight="1">
      <c r="A16" s="23" t="inlineStr">
        <is>
          <t xml:space="preserve">Durban</t>
        </is>
      </c>
      <c r="B16" s="23" t="inlineStr">
        <is>
          <t xml:space="preserve">Operational tank capacity</t>
        </is>
      </c>
      <c r="C16" s="23" t="n"/>
      <c r="D16" s="23" t="n"/>
      <c r="E16" s="70" t="n">
        <v>0.146</v>
      </c>
      <c r="F16" s="23" t="inlineStr">
        <is>
          <t xml:space="preserve">million m3</t>
        </is>
      </c>
      <c r="G16" s="23" t="inlineStr">
        <is>
          <t xml:space="preserve">2026</t>
        </is>
      </c>
      <c r="H16" s="23" t="inlineStr">
        <is>
          <t xml:space="preserve">Estimated</t>
        </is>
      </c>
      <c r="I16" s="23" t="inlineStr">
        <is>
          <t xml:space="preserve">infrastructure/terminal_site_assumptions.csv (NERSA licence, Vopak statements and analyst estimates, each marked)</t>
        </is>
      </c>
      <c r="J16" s="23" t="inlineStr">
        <is>
          <t xml:space="preserve">Durban is 90% of the design capacity Vopak announced; Lesedi is from the licence, with two new tanks estimated.</t>
        </is>
      </c>
      <c r="L16" s="80" t="str">
        <v>G036, G037, G057</v>
      </c>
      <c r="M16" s="80" t="str">
        <v>Client data needed: Working tank inventory
Client data needed: Actual turns and service bottlenecks
Estimate to review: Fuel working tankage status</v>
      </c>
      <c r="N16" s="80" t="str">
        <v>Review detail</v>
      </c>
    </row>
    <row r="17" ht="70" customHeight="1">
      <c r="A17" s="20" t="inlineStr">
        <is>
          <t xml:space="preserve">Durban</t>
        </is>
      </c>
      <c r="B17" s="20" t="inlineStr">
        <is>
          <t xml:space="preserve">Throughput the tanks allow at 1 turns a month</t>
        </is>
      </c>
      <c r="C17" s="20" t="n"/>
      <c r="D17" s="20" t="n"/>
      <c r="E17" s="71" t="n">
        <v>1.752</v>
      </c>
      <c r="F17" s="20" t="inlineStr">
        <is>
          <t xml:space="preserve">billion litres a year</t>
        </is>
      </c>
      <c r="G17" s="20" t="inlineStr">
        <is>
          <t xml:space="preserve">assumed turns</t>
        </is>
      </c>
      <c r="H17" s="20" t="inlineStr">
        <is>
          <t xml:space="preserve">Assumed</t>
        </is>
      </c>
      <c r="I17" s="20" t="inlineStr">
        <is>
          <t xml:space="preserve">infrastructure/terminal_site_assumptions.csv (NERSA licence, Vopak statements and analyst estimates, each marked)</t>
        </is>
      </c>
      <c r="J17" s="20" t="inlineStr">
        <is>
          <t xml:space="preserve">A ceiling, not a share: 13% of the site's market of 13.2. The turns are analyst estimates; actual throughput needs the client (DR02/05).</t>
        </is>
      </c>
      <c r="L17" s="80" t="str">
        <v>G058, G059</v>
      </c>
      <c r="M17" s="80" t="str">
        <v>Estimate to review: Turns, throughput and spare capacity
Reconciliation: Consistent operating and commercial assumptions</v>
      </c>
      <c r="N17" s="80" t="str">
        <v>Review detail</v>
      </c>
    </row>
    <row r="18" ht="29" customHeight="1">
      <c r="A18" s="20" t="inlineStr">
        <is>
          <t xml:space="preserve">Durban</t>
        </is>
      </c>
      <c r="B18" s="20" t="inlineStr">
        <is>
          <t xml:space="preserve">Throughput the tanks allow at 2 turns a month</t>
        </is>
      </c>
      <c r="C18" s="20" t="n"/>
      <c r="D18" s="20" t="n"/>
      <c r="E18" s="71" t="n">
        <v>3.504</v>
      </c>
      <c r="F18" s="20" t="inlineStr">
        <is>
          <t xml:space="preserve">billion litres a year</t>
        </is>
      </c>
      <c r="G18" s="20" t="inlineStr">
        <is>
          <t xml:space="preserve">assumed turns</t>
        </is>
      </c>
      <c r="H18" s="20" t="inlineStr">
        <is>
          <t xml:space="preserve">Assumed</t>
        </is>
      </c>
      <c r="I18" s="20" t="inlineStr">
        <is>
          <t xml:space="preserve">infrastructure/terminal_site_assumptions.csv (NERSA licence, Vopak statements and analyst estimates, each marked)</t>
        </is>
      </c>
      <c r="J18" s="20" t="inlineStr">
        <is>
          <t xml:space="preserve">A ceiling, not a share: 27% of the site's market of 13.2. The turns are analyst estimates; actual throughput needs the client (DR02/05).</t>
        </is>
      </c>
    </row>
    <row r="19" ht="29" customHeight="1">
      <c r="A19" s="20" t="inlineStr">
        <is>
          <t xml:space="preserve">Durban</t>
        </is>
      </c>
      <c r="B19" s="20" t="inlineStr">
        <is>
          <t xml:space="preserve">Throughput the tanks allow at 3 turns a month</t>
        </is>
      </c>
      <c r="C19" s="20" t="n"/>
      <c r="D19" s="20" t="n"/>
      <c r="E19" s="71" t="n">
        <v>5.256</v>
      </c>
      <c r="F19" s="20" t="inlineStr">
        <is>
          <t xml:space="preserve">billion litres a year</t>
        </is>
      </c>
      <c r="G19" s="20" t="inlineStr">
        <is>
          <t xml:space="preserve">assumed turns</t>
        </is>
      </c>
      <c r="H19" s="20" t="inlineStr">
        <is>
          <t xml:space="preserve">Assumed</t>
        </is>
      </c>
      <c r="I19" s="20" t="inlineStr">
        <is>
          <t xml:space="preserve">infrastructure/terminal_site_assumptions.csv (NERSA licence, Vopak statements and analyst estimates, each marked)</t>
        </is>
      </c>
      <c r="J19" s="20" t="inlineStr">
        <is>
          <t xml:space="preserve">A ceiling, not a share: 40% of the site's market of 13.2. The turns are analyst estimates; actual throughput needs the client (DR02/05).</t>
        </is>
      </c>
    </row>
    <row r="20" ht="29" customHeight="1">
      <c r="A20" s="17" t="inlineStr">
        <is>
          <t xml:space="preserve">Lesedi</t>
        </is>
      </c>
      <c r="B20" s="17" t="inlineStr">
        <is>
          <t xml:space="preserve">Operational tank capacity</t>
        </is>
      </c>
      <c r="C20" s="17" t="n"/>
      <c r="D20" s="17" t="n"/>
      <c r="E20" s="69" t="n">
        <v>0.124</v>
      </c>
      <c r="F20" s="17" t="inlineStr">
        <is>
          <t xml:space="preserve">million m3</t>
        </is>
      </c>
      <c r="G20" s="17" t="inlineStr">
        <is>
          <t xml:space="preserve">2026</t>
        </is>
      </c>
      <c r="H20" s="17" t="inlineStr">
        <is>
          <t xml:space="preserve">Observed</t>
        </is>
      </c>
      <c r="I20" s="17" t="inlineStr">
        <is>
          <t xml:space="preserve">infrastructure/terminal_site_assumptions.csv (NERSA licence, Vopak statements and analyst estimates, each marked)</t>
        </is>
      </c>
      <c r="J20" s="17" t="inlineStr">
        <is>
          <t xml:space="preserve">Durban is 90% of the design capacity Vopak announced; Lesedi is from the licence, with two new tanks estimated.</t>
        </is>
      </c>
    </row>
    <row r="21" ht="29" customHeight="1">
      <c r="A21" s="20" t="inlineStr">
        <is>
          <t xml:space="preserve">Lesedi</t>
        </is>
      </c>
      <c r="B21" s="20" t="inlineStr">
        <is>
          <t xml:space="preserve">Throughput the tanks allow at 1 turns a month</t>
        </is>
      </c>
      <c r="C21" s="20" t="n"/>
      <c r="D21" s="20" t="n"/>
      <c r="E21" s="71" t="n">
        <v>1.488</v>
      </c>
      <c r="F21" s="20" t="inlineStr">
        <is>
          <t xml:space="preserve">billion litres a year</t>
        </is>
      </c>
      <c r="G21" s="20" t="inlineStr">
        <is>
          <t xml:space="preserve">assumed turns</t>
        </is>
      </c>
      <c r="H21" s="20" t="inlineStr">
        <is>
          <t xml:space="preserve">Assumed</t>
        </is>
      </c>
      <c r="I21" s="20" t="inlineStr">
        <is>
          <t xml:space="preserve">infrastructure/terminal_site_assumptions.csv (NERSA licence, Vopak statements and analyst estimates, each marked)</t>
        </is>
      </c>
      <c r="J21" s="20" t="inlineStr">
        <is>
          <t xml:space="preserve">A ceiling, not a share: 17% of the site's market of 8.9. The turns are analyst estimates; actual throughput needs the client (DR02/05).</t>
        </is>
      </c>
    </row>
    <row r="22" ht="29" customHeight="1">
      <c r="A22" s="20" t="inlineStr">
        <is>
          <t xml:space="preserve">Lesedi</t>
        </is>
      </c>
      <c r="B22" s="20" t="inlineStr">
        <is>
          <t xml:space="preserve">Throughput the tanks allow at 2 turns a month</t>
        </is>
      </c>
      <c r="C22" s="20" t="n"/>
      <c r="D22" s="20" t="n"/>
      <c r="E22" s="71" t="n">
        <v>2.976</v>
      </c>
      <c r="F22" s="20" t="inlineStr">
        <is>
          <t xml:space="preserve">billion litres a year</t>
        </is>
      </c>
      <c r="G22" s="20" t="inlineStr">
        <is>
          <t xml:space="preserve">assumed turns</t>
        </is>
      </c>
      <c r="H22" s="20" t="inlineStr">
        <is>
          <t xml:space="preserve">Assumed</t>
        </is>
      </c>
      <c r="I22" s="20" t="inlineStr">
        <is>
          <t xml:space="preserve">infrastructure/terminal_site_assumptions.csv (NERSA licence, Vopak statements and analyst estimates, each marked)</t>
        </is>
      </c>
      <c r="J22" s="20" t="inlineStr">
        <is>
          <t xml:space="preserve">A ceiling, not a share: 34% of the site's market of 8.9. The turns are analyst estimates; actual throughput needs the client (DR02/05).</t>
        </is>
      </c>
    </row>
    <row r="23" ht="29" customHeight="1">
      <c r="A23" s="20" t="inlineStr">
        <is>
          <t xml:space="preserve">Lesedi</t>
        </is>
      </c>
      <c r="B23" s="20" t="inlineStr">
        <is>
          <t xml:space="preserve">Throughput the tanks allow at 2.4 turns a month</t>
        </is>
      </c>
      <c r="C23" s="20" t="n"/>
      <c r="D23" s="20" t="n"/>
      <c r="E23" s="71" t="n">
        <v>3.571</v>
      </c>
      <c r="F23" s="20" t="inlineStr">
        <is>
          <t xml:space="preserve">billion litres a year</t>
        </is>
      </c>
      <c r="G23" s="20" t="inlineStr">
        <is>
          <t xml:space="preserve">assumed turns</t>
        </is>
      </c>
      <c r="H23" s="20" t="inlineStr">
        <is>
          <t xml:space="preserve">Assumed</t>
        </is>
      </c>
      <c r="I23" s="20" t="inlineStr">
        <is>
          <t xml:space="preserve">infrastructure/terminal_site_assumptions.csv (NERSA licence, Vopak statements and analyst estimates, each marked)</t>
        </is>
      </c>
      <c r="J23" s="20" t="inlineStr">
        <is>
          <t xml:space="preserve">A ceiling, not a share: 40% of the site's market of 8.9. The turns are analyst estimates; actual throughput needs the client (DR02/05).</t>
        </is>
      </c>
    </row>
  </sheetData>
  <mergeCells>
    <mergeCell ref="A3:J3"/>
  </mergeCells>
  <hyperlinks>
    <hyperlink ref="A3" location="'Gap register'!A39" display="REVIEW: 16 linked items. Open Gap register; filter Request. Start here explains colours and scope." tooltip="Open the linked workbook evidence or review item"/>
    <hyperlink ref="N5" location="'Gap register'!A39" display="Review detail" tooltip="Open the linked workbook evidence or review item"/>
    <hyperlink ref="N16" location="'Gap register'!A41" display="Review detail" tooltip="Open the linked workbook evidence or review item"/>
    <hyperlink ref="N7" location="'Gap register'!A60" display="Review detail" tooltip="Open the linked workbook evidence or review item"/>
    <hyperlink ref="N11" location="'Gap register'!A61" display="Review detail" tooltip="Open the linked workbook evidence or review item"/>
    <hyperlink ref="N17" location="'Gap register'!A63" display="Review detail" tooltip="Open the linked workbook evidence or review item"/>
  </hyperlinks>
  <pageMargins left="0.7" right="0.7" top="0.75" bottom="0.75" header="0.3" footer="0.3"/>
</worksheet>
</file>

<file path=xl/worksheets/sheet13.xml><?xml version="1.0" encoding="utf-8"?>
<worksheet xmlns="http://schemas.openxmlformats.org/spreadsheetml/2006/main">
  <sheetViews>
    <sheetView workbookViewId="0" tabSelected="0">
      <pane ySplit="4" topLeftCell="A5" activePane="bottomLeft" state="frozen"/>
    </sheetView>
  </sheetViews>
  <sheetFormatPr baseColWidth="8" defaultRowHeight="15"/>
  <cols>
    <col min="1" max="1" width="10" customWidth="1"/>
    <col min="2" max="2" width="46" customWidth="1"/>
    <col min="3" max="3" width="36" customWidth="1"/>
    <col min="4" max="4" width="110" customWidth="1"/>
    <col min="6" max="6" width="19" hidden="0" customWidth="1"/>
    <col min="7" max="7" width="65" hidden="0" customWidth="1"/>
    <col min="8" max="8" width="15" hidden="0" customWidth="1"/>
  </cols>
  <sheetData>
    <row r="1">
      <c r="A1" s="1" t="inlineStr">
        <is>
          <t xml:space="preserve">What could not be found</t>
        </is>
      </c>
    </row>
    <row r="2">
      <c r="A2" s="2" t="inlineStr">
        <is>
          <t xml:space="preserve">17 items across the four requests. Each was searched for in published sources; the reason is given.</t>
        </is>
      </c>
    </row>
    <row r="3" ht="34" customHeight="1">
      <c r="A3" s="92" t="str">
        <v>REVIEW: 17 linked items. Open Gap register; filter Request. Start here explains colours and scope.</v>
      </c>
      <c r="B3" s="92"/>
      <c r="C3" s="92"/>
      <c r="D3" s="92"/>
    </row>
    <row r="4" ht="30" customHeight="1">
      <c r="A4" s="3" t="inlineStr">
        <is>
          <t xml:space="preserve">Request</t>
        </is>
      </c>
      <c r="B4" s="3" t="inlineStr">
        <is>
          <t xml:space="preserve">What is missing</t>
        </is>
      </c>
      <c r="C4" s="3" t="inlineStr">
        <is>
          <t xml:space="preserve">Covers</t>
        </is>
      </c>
      <c r="D4" s="3" t="inlineStr">
        <is>
          <t xml:space="preserve">Why it is not available</t>
        </is>
      </c>
      <c r="F4" s="95" t="str">
        <v>Review IDs</v>
      </c>
      <c r="G4" s="95" t="str">
        <v>Review finding — source figures retained</v>
      </c>
      <c r="H4" s="95" t="str">
        <v>Open detail</v>
      </c>
    </row>
    <row r="5" ht="48" customHeight="1">
      <c r="A5" s="20" t="inlineStr">
        <is>
          <t xml:space="preserve">DR01</t>
        </is>
      </c>
      <c r="B5" s="20" t="inlineStr">
        <is>
          <t xml:space="preserve">Production after 2021</t>
        </is>
      </c>
      <c r="C5" s="20" t="inlineStr">
        <is>
          <t xml:space="preserve">South Africa</t>
        </is>
      </c>
      <c r="D5" s="20" t="inlineStr">
        <is>
          <t xml:space="preserve">The department's last energy balance is 2021. Confirmed not available on 9 October.</t>
        </is>
      </c>
      <c r="F5" s="80" t="str">
        <v>G001</v>
      </c>
      <c r="G5" s="80" t="str">
        <v>Missing data: Production after 2021</v>
      </c>
      <c r="H5" s="80" t="str">
        <v>Review detail</v>
      </c>
    </row>
    <row r="6" ht="48" customHeight="1">
      <c r="A6" s="20" t="inlineStr">
        <is>
          <t xml:space="preserve">DR01</t>
        </is>
      </c>
      <c r="B6" s="20" t="inlineStr">
        <is>
          <t xml:space="preserve">Sales for 2024 and 2025</t>
        </is>
      </c>
      <c r="C6" s="20" t="inlineStr">
        <is>
          <t xml:space="preserve">South Africa</t>
        </is>
      </c>
      <c r="D6" s="20" t="inlineStr">
        <is>
          <t xml:space="preserve">The department's sales data stops at 2023. Confirmed not available on 9 October.</t>
        </is>
      </c>
      <c r="F6" s="80" t="str">
        <v>G002</v>
      </c>
      <c r="G6" s="80" t="str">
        <v>Missing data: Sales for 2024 and 2025</v>
      </c>
      <c r="H6" s="80" t="str">
        <v>Review detail</v>
      </c>
    </row>
    <row r="7" ht="48" customHeight="1">
      <c r="A7" s="20" t="inlineStr">
        <is>
          <t xml:space="preserve">DR01</t>
        </is>
      </c>
      <c r="B7" s="20" t="inlineStr">
        <is>
          <t xml:space="preserve">Stocks, for any year</t>
        </is>
      </c>
      <c r="C7" s="20" t="inlineStr">
        <is>
          <t xml:space="preserve">South Africa</t>
        </is>
      </c>
      <c r="D7" s="20" t="inlineStr">
        <is>
          <t xml:space="preserve">Not published by any source used.</t>
        </is>
      </c>
      <c r="F7" s="80" t="str">
        <v>G003</v>
      </c>
      <c r="G7" s="80" t="str">
        <v>Missing data: Stocks, for any year</v>
      </c>
      <c r="H7" s="80" t="str">
        <v>Review detail</v>
      </c>
    </row>
    <row r="8" ht="48" customHeight="1">
      <c r="A8" s="20" t="inlineStr">
        <is>
          <t xml:space="preserve">DR04</t>
        </is>
      </c>
      <c r="B8" s="20" t="inlineStr">
        <is>
          <t xml:space="preserve">Tariff on routes other than Durban to Alrode</t>
        </is>
      </c>
      <c r="C8" s="20" t="inlineStr">
        <is>
          <t xml:space="preserve">Other inland routes</t>
        </is>
      </c>
      <c r="D8" s="20" t="inlineStr">
        <is>
          <t xml:space="preserve">Needed to compare destinations other than Gauteng. NERSA's decisions pages were searched again on 9 October; the route table was not found online. Owner: Manish.</t>
        </is>
      </c>
      <c r="F8" s="80" t="str">
        <v>G004</v>
      </c>
      <c r="G8" s="80" t="str">
        <v>Missing data: Tariff on routes other than Durban to Alrode</v>
      </c>
      <c r="H8" s="80" t="str">
        <v>Review detail</v>
      </c>
    </row>
    <row r="9" ht="48" customHeight="1">
      <c r="A9" s="20" t="inlineStr">
        <is>
          <t xml:space="preserve">DR04</t>
        </is>
      </c>
      <c r="B9" s="20" t="inlineStr">
        <is>
          <t xml:space="preserve">Commercial road tanker rate, Durban to Gauteng</t>
        </is>
      </c>
      <c r="C9" s="20" t="inlineStr">
        <is>
          <t xml:space="preserve">Road</t>
        </is>
      </c>
      <c r="D9" s="20" t="inlineStr">
        <is>
          <t xml:space="preserve">No fuel tanker rate is published. The rows above are the nearest published figures: a container rate and an all-goods average. Needs Vopak or a haulier quote.</t>
        </is>
      </c>
      <c r="F9" s="80" t="str">
        <v>G005</v>
      </c>
      <c r="G9" s="80" t="str">
        <v>Missing data: Commercial road tanker rate, Durban to Gauteng</v>
      </c>
      <c r="H9" s="80" t="str">
        <v>Review detail</v>
      </c>
    </row>
    <row r="10" ht="48" customHeight="1">
      <c r="A10" s="20" t="inlineStr">
        <is>
          <t xml:space="preserve">DR04</t>
        </is>
      </c>
      <c r="B10" s="20" t="inlineStr">
        <is>
          <t xml:space="preserve">Rail rate, Durban to Gauteng</t>
        </is>
      </c>
      <c r="C10" s="20" t="inlineStr">
        <is>
          <t xml:space="preserve">Rail</t>
        </is>
      </c>
      <c r="D10" s="20" t="inlineStr">
        <is>
          <t xml:space="preserve">Transnet does not publish a fuel rate. The rows above give its container rate and its track access charge for tankers. Needs Transnet or Vopak.</t>
        </is>
      </c>
      <c r="F10" s="80" t="str">
        <v>G006</v>
      </c>
      <c r="G10" s="80" t="str">
        <v>Missing data: Rail rate, Durban to Gauteng</v>
      </c>
      <c r="H10" s="80" t="str">
        <v>Review detail</v>
      </c>
    </row>
    <row r="11" ht="48" customHeight="1">
      <c r="A11" s="20" t="inlineStr">
        <is>
          <t xml:space="preserve">DR04</t>
        </is>
      </c>
      <c r="B11" s="20" t="inlineStr">
        <is>
          <t xml:space="preserve">Liquid bulk capacity and tankage</t>
        </is>
      </c>
      <c r="C11" s="20" t="inlineStr">
        <is>
          <t xml:space="preserve">Durban, Island View</t>
        </is>
      </c>
      <c r="D11" s="20" t="inlineStr">
        <is>
          <t xml:space="preserve">Parliament's report gives berths and tenants but no capacity. Earlier search summaries quoting 19.5 million kilolitres a year were not traced to a document. Needs the port authority or Vopak.</t>
        </is>
      </c>
      <c r="F11" s="80" t="str">
        <v>G007</v>
      </c>
      <c r="G11" s="80" t="str">
        <v>Missing data: Liquid bulk capacity and tankage</v>
      </c>
      <c r="H11" s="80" t="str">
        <v>Review detail</v>
      </c>
    </row>
    <row r="12" ht="48" customHeight="1">
      <c r="A12" s="20" t="inlineStr">
        <is>
          <t xml:space="preserve">DR04</t>
        </is>
      </c>
      <c r="B12" s="20" t="inlineStr">
        <is>
          <t xml:space="preserve">Road rate and border cost, Matola to Gauteng</t>
        </is>
      </c>
      <c r="C12" s="20" t="inlineStr">
        <is>
          <t xml:space="preserve">Maputo and Matola, through Komatipoort</t>
        </is>
      </c>
      <c r="D12" s="20" t="inlineStr">
        <is>
          <t xml:space="preserve">Needed for a matched delivered cost. Needs a haulier or Vopak.</t>
        </is>
      </c>
      <c r="F12" s="80" t="str">
        <v>G008</v>
      </c>
      <c r="G12" s="80" t="str">
        <v>Missing data: Road rate and border cost, Matola to Gauteng</v>
      </c>
      <c r="H12" s="80" t="str">
        <v>Review detail</v>
      </c>
    </row>
    <row r="13" ht="48" customHeight="1">
      <c r="A13" s="20" t="inlineStr">
        <is>
          <t xml:space="preserve">DR04</t>
        </is>
      </c>
      <c r="B13" s="20" t="inlineStr">
        <is>
          <t xml:space="preserve">Petrol and diesel supplied inland by Natref and Secunda</t>
        </is>
      </c>
      <c r="C13" s="20" t="inlineStr">
        <is>
          <t xml:space="preserve">Sasolburg and Secunda</t>
        </is>
      </c>
      <c r="D13" s="20" t="inlineStr">
        <is>
          <t xml:space="preserve">No production by product after 2021. Belongs with DR08.</t>
        </is>
      </c>
      <c r="F13" s="80" t="str">
        <v>G009</v>
      </c>
      <c r="G13" s="80" t="str">
        <v>Missing data: Petrol and diesel supplied inland by Natref and Secunda</v>
      </c>
      <c r="H13" s="80" t="str">
        <v>Review detail</v>
      </c>
    </row>
    <row r="14" ht="48" customHeight="1">
      <c r="A14" s="20" t="inlineStr">
        <is>
          <t xml:space="preserve">DR04</t>
        </is>
      </c>
      <c r="B14" s="20" t="inlineStr">
        <is>
          <t xml:space="preserve">Matched delivered cost, Durban to Gauteng, by mode</t>
        </is>
      </c>
      <c r="C14" s="20" t="inlineStr">
        <is>
          <t xml:space="preserve">Pipeline against road and rail</t>
        </is>
      </c>
      <c r="D14" s="20" t="inlineStr">
        <is>
          <t xml:space="preserve">Pipeline: 77.02 (tariff) or 91.1 (regulated allowance) in 2026/27. No fuel tanker or rail rate is published, so the modes cannot be set side by side. Looked in: Transnet's tariff proposal, Stats SA, NERSA, Parliament. Needs Vopak or a haulier.</t>
        </is>
      </c>
      <c r="F14" s="80" t="str">
        <v>G010</v>
      </c>
      <c r="G14" s="80" t="str">
        <v>Missing data: Matched delivered cost, Durban to Gauteng, by mode</v>
      </c>
      <c r="H14" s="80" t="str">
        <v>Review detail</v>
      </c>
    </row>
    <row r="15" ht="48" customHeight="1">
      <c r="A15" s="20" t="inlineStr">
        <is>
          <t xml:space="preserve">DR07</t>
        </is>
      </c>
      <c r="B15" s="20" t="inlineStr">
        <is>
          <t xml:space="preserve">Diesel burned in private backup generators</t>
        </is>
      </c>
      <c r="C15" s="20" t="inlineStr">
        <is>
          <t xml:space="preserve">Businesses and households</t>
        </is>
      </c>
      <c r="D15" s="20" t="inlineStr">
        <is>
          <t xml:space="preserve">No source measures it: checked the Reserve Bank, the CSIR, Eskom and the system operator. It is inside recorded diesel sales and cannot be separated.</t>
        </is>
      </c>
      <c r="F15" s="80" t="str">
        <v>G011</v>
      </c>
      <c r="G15" s="80" t="str">
        <v>Missing data: Diesel burned in private backup generators</v>
      </c>
      <c r="H15" s="80" t="str">
        <v>Review detail</v>
      </c>
    </row>
    <row r="16" ht="48" customHeight="1">
      <c r="A16" s="20" t="inlineStr">
        <is>
          <t xml:space="preserve">DR07</t>
        </is>
      </c>
      <c r="B16" s="20" t="inlineStr">
        <is>
          <t xml:space="preserve">Vehicles by year of age</t>
        </is>
      </c>
      <c r="C16" s="20" t="inlineStr">
        <is>
          <t xml:space="preserve">South Africa</t>
        </is>
      </c>
      <c r="D16" s="20" t="inlineStr">
        <is>
          <t xml:space="preserve">Lightstone holds the age profile and sells it; the register does not publish it. Only apparent retirements can be calculated.</t>
        </is>
      </c>
      <c r="F16" s="80" t="str">
        <v>G012</v>
      </c>
      <c r="G16" s="80" t="str">
        <v>Missing data: Vehicles by year of age</v>
      </c>
      <c r="H16" s="80" t="str">
        <v>Review detail</v>
      </c>
    </row>
    <row r="17" ht="48" customHeight="1">
      <c r="A17" s="20" t="inlineStr">
        <is>
          <t xml:space="preserve">DR07</t>
        </is>
      </c>
      <c r="B17" s="20" t="inlineStr">
        <is>
          <t xml:space="preserve">Electric trucks and electric light commercial vehicles sold</t>
        </is>
      </c>
      <c r="C17" s="20" t="inlineStr">
        <is>
          <t xml:space="preserve">South Africa</t>
        </is>
      </c>
      <c r="D17" s="20" t="inlineStr">
        <is>
          <t xml:space="preserve">naamsa reports electric sales by drivetrain, not by segment (checked its fourth-quarter 2025 review). Benchmarks from other countries are on the HML response sheet.</t>
        </is>
      </c>
      <c r="F17" s="80" t="str">
        <v>G013</v>
      </c>
      <c r="G17" s="80" t="str">
        <v>Missing data: Electric trucks and electric light commercial vehicles sold</v>
      </c>
      <c r="H17" s="80" t="str">
        <v>Review detail</v>
      </c>
    </row>
    <row r="18" ht="48" customHeight="1">
      <c r="A18" s="20" t="inlineStr">
        <is>
          <t xml:space="preserve">DR07</t>
        </is>
      </c>
      <c r="B18" s="20" t="inlineStr">
        <is>
          <t xml:space="preserve">Fuel use of trucks, by year</t>
        </is>
      </c>
      <c r="C18" s="20" t="inlineStr">
        <is>
          <t xml:space="preserve">South Africa</t>
        </is>
      </c>
      <c r="D18" s="20" t="inlineStr">
        <is>
          <t xml:space="preserve">Only the 2010 fleet figures above exist. No truck series by year was found.</t>
        </is>
      </c>
      <c r="F18" s="80" t="str">
        <v>G014</v>
      </c>
      <c r="G18" s="80" t="str">
        <v>Missing data: Fuel use of trucks, by year</v>
      </c>
      <c r="H18" s="80" t="str">
        <v>Review detail</v>
      </c>
    </row>
    <row r="19" ht="48" customHeight="1">
      <c r="A19" s="20" t="inlineStr">
        <is>
          <t xml:space="preserve">DR07</t>
        </is>
      </c>
      <c r="B19" s="20" t="inlineStr">
        <is>
          <t xml:space="preserve">Road freight in tonne-kilometres, by year</t>
        </is>
      </c>
      <c r="C19" s="20" t="inlineStr">
        <is>
          <t xml:space="preserve">South Africa</t>
        </is>
      </c>
      <c r="D19" s="20" t="inlineStr">
        <is>
          <t xml:space="preserve">The research group that models it (GAIN, Stellenbosch) shows yearly charts but publishes figures for single years only.</t>
        </is>
      </c>
      <c r="F19" s="80" t="str">
        <v>G015</v>
      </c>
      <c r="G19" s="80" t="str">
        <v>Missing data: Road freight in tonne-kilometres, by year</v>
      </c>
      <c r="H19" s="80" t="str">
        <v>Review detail</v>
      </c>
    </row>
    <row r="20" ht="48" customHeight="1">
      <c r="A20" s="20" t="inlineStr">
        <is>
          <t xml:space="preserve">DR08</t>
        </is>
      </c>
      <c r="B20" s="20" t="inlineStr">
        <is>
          <t xml:space="preserve">Petrol and diesel output by plant</t>
        </is>
      </c>
      <c r="C20" s="20" t="inlineStr">
        <is>
          <t xml:space="preserve">Secunda and Astron Energy</t>
        </is>
      </c>
      <c r="D20" s="20" t="inlineStr">
        <is>
          <t xml:space="preserve">Sasol states Secunda's split (65% petrol, 35% diesel) but not the total it applies to. Glencore publishes no split for Astron. Sasol's annual filing and both companies' sites were checked on 9 October. Needs the operators.</t>
        </is>
      </c>
      <c r="F20" s="80" t="str">
        <v>G016</v>
      </c>
      <c r="G20" s="80" t="str">
        <v>Missing data: Petrol and diesel output by plant</v>
      </c>
      <c r="H20" s="80" t="str">
        <v>Review detail</v>
      </c>
    </row>
    <row r="21" ht="48" customHeight="1">
      <c r="A21" s="20" t="inlineStr">
        <is>
          <t xml:space="preserve">DR08</t>
        </is>
      </c>
      <c r="B21" s="20" t="inlineStr">
        <is>
          <t xml:space="preserve">Petrol and diesel produced after 2021, on the department's basis</t>
        </is>
      </c>
      <c r="C21" s="20" t="inlineStr">
        <is>
          <t xml:space="preserve">South Africa</t>
        </is>
      </c>
      <c r="D21" s="20" t="inlineStr">
        <is>
          <t xml:space="preserve">The department has published no balance after 2021. The United Nations series runs to 2023 but does not match the department in the years they share.</t>
        </is>
      </c>
      <c r="F21" s="80" t="str">
        <v>G017</v>
      </c>
      <c r="G21" s="80" t="str">
        <v>Missing data: Petrol and diesel produced after 2021, on the department's basis</v>
      </c>
      <c r="H21" s="80" t="str">
        <v>Review detail</v>
      </c>
    </row>
  </sheetData>
  <mergeCells>
    <mergeCell ref="A3:D3"/>
  </mergeCells>
  <hyperlinks>
    <hyperlink ref="A3" location="'Gap register'!A6" display="REVIEW: 17 linked items. Open Gap register; filter Request. Start here explains colours and scope." tooltip="Open the linked workbook evidence or review item"/>
    <hyperlink ref="H5" location="'Gap register'!A6" display="Review detail" tooltip="Open the linked workbook evidence or review item"/>
    <hyperlink ref="H6" location="'Gap register'!A7" display="Review detail" tooltip="Open the linked workbook evidence or review item"/>
    <hyperlink ref="H7" location="'Gap register'!A8" display="Review detail" tooltip="Open the linked workbook evidence or review item"/>
    <hyperlink ref="H8" location="'Gap register'!A9" display="Review detail" tooltip="Open the linked workbook evidence or review item"/>
    <hyperlink ref="H9" location="'Gap register'!A10" display="Review detail" tooltip="Open the linked workbook evidence or review item"/>
    <hyperlink ref="H10" location="'Gap register'!A11" display="Review detail" tooltip="Open the linked workbook evidence or review item"/>
    <hyperlink ref="H11" location="'Gap register'!A12" display="Review detail" tooltip="Open the linked workbook evidence or review item"/>
    <hyperlink ref="H12" location="'Gap register'!A13" display="Review detail" tooltip="Open the linked workbook evidence or review item"/>
    <hyperlink ref="H13" location="'Gap register'!A14" display="Review detail" tooltip="Open the linked workbook evidence or review item"/>
    <hyperlink ref="H14" location="'Gap register'!A15" display="Review detail" tooltip="Open the linked workbook evidence or review item"/>
    <hyperlink ref="H15" location="'Gap register'!A16" display="Review detail" tooltip="Open the linked workbook evidence or review item"/>
    <hyperlink ref="H16" location="'Gap register'!A17" display="Review detail" tooltip="Open the linked workbook evidence or review item"/>
    <hyperlink ref="H17" location="'Gap register'!A18" display="Review detail" tooltip="Open the linked workbook evidence or review item"/>
    <hyperlink ref="H18" location="'Gap register'!A19" display="Review detail" tooltip="Open the linked workbook evidence or review item"/>
    <hyperlink ref="H19" location="'Gap register'!A20" display="Review detail" tooltip="Open the linked workbook evidence or review item"/>
    <hyperlink ref="H20" location="'Gap register'!A21" display="Review detail" tooltip="Open the linked workbook evidence or review item"/>
    <hyperlink ref="H21" location="'Gap register'!A22" display="Review detail" tooltip="Open the linked workbook evidence or review item"/>
  </hyperlinks>
  <pageMargins left="0.7" right="0.7" top="0.75" bottom="0.75" header="0.3" footer="0.3"/>
</worksheet>
</file>

<file path=xl/worksheets/sheet14.xml><?xml version="1.0" encoding="utf-8"?>
<worksheet xmlns="http://schemas.openxmlformats.org/spreadsheetml/2006/main">
  <sheetPr>
    <tabColor rgb="FF66849C"/>
  </sheetPr>
  <sheetViews>
    <sheetView showGridLines="0" workbookViewId="0" tabSelected="1" zoomScale="85"/>
  </sheetViews>
  <sheetFormatPr defaultRowHeight="15"/>
  <cols>
    <col min="1" max="1" width="32" hidden="0" customWidth="1"/>
    <col min="2" max="2" width="21" hidden="0" customWidth="1"/>
    <col min="3" max="3" width="30" hidden="0" customWidth="1"/>
    <col min="4" max="4" width="33" hidden="0" customWidth="1"/>
    <col min="5" max="5" width="18" hidden="0" customWidth="1"/>
    <col min="6" max="6" width="20" hidden="0" customWidth="1"/>
  </cols>
  <sheetData>
    <row r="1" ht="30" customHeight="1">
      <c r="A1" s="74" t="str">
        <v>Master data book — review version</v>
      </c>
      <c r="B1" s="73"/>
      <c r="C1" s="73"/>
      <c r="D1" s="73"/>
      <c r="E1" s="73"/>
      <c r="F1" s="73"/>
    </row>
    <row r="2" ht="24" customHeight="1">
      <c r="A2" s="76" t="str">
        <v>10 October 2026. Manish’s 13 data sheets are retained with linked review notes. Begin with Request coverage, then filter Gap register. This review includes data gaps, estimates, definitions and decisions.</v>
      </c>
      <c r="B2" s="76"/>
      <c r="C2" s="76"/>
      <c r="D2" s="76"/>
      <c r="E2" s="76"/>
      <c r="F2" s="76"/>
    </row>
    <row r="3" ht="18" customHeight="1">
      <c r="A3" s="76"/>
      <c r="B3" s="76"/>
      <c r="C3" s="76"/>
      <c r="D3" s="76"/>
      <c r="E3" s="76"/>
      <c r="F3" s="76"/>
    </row>
    <row r="4">
      <c r="A4" s="73"/>
      <c r="B4" s="73"/>
      <c r="C4" s="73"/>
      <c r="D4" s="73"/>
      <c r="E4" s="73"/>
      <c r="F4" s="73"/>
    </row>
    <row r="5">
      <c r="A5" s="86" t="str">
        <v>Read in this order</v>
      </c>
      <c r="B5" s="86"/>
      <c r="C5" s="86"/>
      <c r="D5" s="86"/>
      <c r="E5" s="86"/>
      <c r="F5" s="86"/>
    </row>
    <row r="6">
      <c r="A6" s="73"/>
      <c r="B6" s="73"/>
      <c r="C6" s="73"/>
      <c r="D6" s="73"/>
      <c r="E6" s="73"/>
      <c r="F6" s="73"/>
    </row>
    <row r="7" ht="20" customHeight="1">
      <c r="A7" s="81" t="str">
        <v>Request coverage</v>
      </c>
      <c r="B7" s="75" t="str">
        <v>All nine requests</v>
      </c>
      <c r="C7" s="75" t="str">
        <v>What is covered, what needs client data, and what each request must establish.</v>
      </c>
      <c r="D7" s="75"/>
      <c r="E7" s="75"/>
      <c r="F7" s="75"/>
    </row>
    <row r="8" ht="20" customHeight="1">
      <c r="A8" s="75"/>
      <c r="B8" s="75"/>
      <c r="C8" s="75"/>
      <c r="D8" s="75"/>
      <c r="E8" s="75"/>
      <c r="F8" s="75"/>
    </row>
    <row r="9" ht="20" customHeight="1">
      <c r="A9" s="81" t="str">
        <v>Gap register</v>
      </c>
      <c r="B9" s="75" t="str">
        <v>63 review items</v>
      </c>
      <c r="C9" s="75" t="str">
        <v>17 original unavailable entries plus 46 wider requirements and audit findings.</v>
      </c>
      <c r="D9" s="75"/>
      <c r="E9" s="75"/>
      <c r="F9" s="75"/>
    </row>
    <row r="10" ht="20" customHeight="1">
      <c r="A10" s="75"/>
      <c r="B10" s="75"/>
      <c r="C10" s="75"/>
      <c r="D10" s="75"/>
      <c r="E10" s="75"/>
      <c r="F10" s="75"/>
    </row>
    <row r="11" ht="20" customHeight="1">
      <c r="A11" s="81" t="str">
        <v>Series coverage</v>
      </c>
      <c r="B11" s="75" t="str">
        <v>24 data areas</v>
      </c>
      <c r="C11" s="75" t="str">
        <v>Latest observed period, estimates, missing years and scope differences.</v>
      </c>
      <c r="D11" s="75"/>
      <c r="E11" s="75"/>
      <c r="F11" s="75"/>
    </row>
    <row r="12" ht="20" customHeight="1">
      <c r="A12" s="75"/>
      <c r="B12" s="75"/>
      <c r="C12" s="75"/>
      <c r="D12" s="75"/>
      <c r="E12" s="75"/>
      <c r="F12" s="75"/>
    </row>
    <row r="13" ht="20" customHeight="1">
      <c r="A13" s="81" t="str">
        <v>Market bridge</v>
      </c>
      <c r="B13" s="75" t="str">
        <v>Sizing interpretation</v>
      </c>
      <c r="C13" s="75" t="str">
        <v>National demand, gateway imports, catchments and Vopak capture remain distinct.</v>
      </c>
      <c r="D13" s="75"/>
      <c r="E13" s="75"/>
      <c r="F13" s="75"/>
    </row>
    <row r="14" ht="20" customHeight="1">
      <c r="A14" s="75"/>
      <c r="B14" s="75"/>
      <c r="C14" s="75"/>
      <c r="D14" s="75"/>
      <c r="E14" s="75"/>
      <c r="F14" s="75"/>
    </row>
    <row r="15" ht="20" customHeight="1">
      <c r="A15" s="81" t="str">
        <v>New evidence</v>
      </c>
      <c r="B15" s="75" t="str">
        <v>Pipeline update</v>
      </c>
      <c r="C15" s="75" t="str">
        <v>Compare the older reference with FY2025 evidence and its arithmetic.</v>
      </c>
      <c r="D15" s="75"/>
      <c r="E15" s="75"/>
      <c r="F15" s="75"/>
    </row>
    <row r="16" ht="20" customHeight="1">
      <c r="A16" s="75"/>
      <c r="B16" s="75"/>
      <c r="C16" s="75"/>
      <c r="D16" s="75"/>
      <c r="E16" s="75"/>
      <c r="F16" s="75"/>
    </row>
    <row r="17" ht="20" customHeight="1">
      <c r="A17" s="81" t="str">
        <v>Contents</v>
      </c>
      <c r="B17" s="75" t="str">
        <v>Manish’s data sheets</v>
      </c>
      <c r="C17" s="75" t="str">
        <v>Read the original data; amber review columns link to the relevant gap.</v>
      </c>
      <c r="D17" s="75"/>
      <c r="E17" s="75"/>
      <c r="F17" s="75"/>
    </row>
    <row r="18" ht="20" customHeight="1">
      <c r="A18" s="75"/>
      <c r="B18" s="75"/>
      <c r="C18" s="75"/>
      <c r="D18" s="75"/>
      <c r="E18" s="75"/>
      <c r="F18" s="75"/>
    </row>
    <row r="19">
      <c r="A19" s="73"/>
      <c r="B19" s="73"/>
      <c r="C19" s="73"/>
      <c r="D19" s="73"/>
      <c r="E19" s="73"/>
      <c r="F19" s="73"/>
    </row>
    <row r="20">
      <c r="A20" s="86" t="str">
        <v>Review counts — these count issues, not missing observations</v>
      </c>
      <c r="B20" s="86"/>
      <c r="C20" s="86"/>
      <c r="D20" s="86"/>
      <c r="E20" s="86"/>
      <c r="F20" s="86"/>
    </row>
    <row r="21">
      <c r="A21" s="73"/>
      <c r="B21" s="73"/>
      <c r="C21" s="73"/>
      <c r="D21" s="73"/>
      <c r="E21" s="73"/>
      <c r="F21" s="73"/>
    </row>
    <row r="22" ht="24" customHeight="1">
      <c r="A22" s="73" t="str">
        <v>All review items</v>
      </c>
      <c r="B22" s="98" t="n">
        <f>COUNTA('Gap register'!A6:A68)</f>
        <v>63</v>
      </c>
      <c r="C22" s="73"/>
      <c r="D22" s="80" t="str">
        <v>Your review: filter by request or priority, open the linked source, and type comments in the yellow Nigel comments column. Update Review state only when evidence or a decision supports it. “Decision agreed” does not mean the missing evidence has been supplied.</v>
      </c>
      <c r="E22" s="80"/>
      <c r="F22" s="80"/>
    </row>
    <row r="23" ht="24" customHeight="1">
      <c r="A23" s="73" t="str">
        <v>Still open</v>
      </c>
      <c r="B23" s="98" t="n">
        <f>COUNTIF('Gap register'!M6:M68,"Open")</f>
        <v>63</v>
      </c>
      <c r="C23" s="73"/>
      <c r="D23" s="80"/>
      <c r="E23" s="80"/>
      <c r="F23" s="80"/>
    </row>
    <row r="24" ht="24" customHeight="1">
      <c r="A24" s="73" t="str">
        <v>Priority 1 and open</v>
      </c>
      <c r="B24" s="98" t="n">
        <f>COUNTIFS('Gap register'!D6:D68,1,'Gap register'!M6:M68,"Open")</f>
        <v>48</v>
      </c>
      <c r="C24" s="73"/>
      <c r="D24" s="80"/>
      <c r="E24" s="80"/>
      <c r="F24" s="80"/>
    </row>
    <row r="25" ht="24" customHeight="1">
      <c r="A25" s="73" t="str">
        <v>Original unavailable entries</v>
      </c>
      <c r="B25" s="98" t="n">
        <v>17</v>
      </c>
      <c r="C25" s="73"/>
      <c r="D25" s="80"/>
      <c r="E25" s="80"/>
      <c r="F25" s="80"/>
    </row>
    <row r="26" ht="24" customHeight="1">
      <c r="A26" s="73" t="str">
        <v>Requests in coverage map</v>
      </c>
      <c r="B26" s="98" t="n">
        <v>9</v>
      </c>
      <c r="C26" s="73"/>
      <c r="D26" s="80"/>
      <c r="E26" s="80"/>
      <c r="F26" s="80"/>
    </row>
    <row r="27">
      <c r="A27" s="73"/>
      <c r="B27" s="73"/>
      <c r="C27" s="73"/>
      <c r="D27" s="73"/>
      <c r="E27" s="73"/>
      <c r="F27" s="73"/>
    </row>
    <row r="28">
      <c r="A28" s="73"/>
      <c r="B28" s="73"/>
      <c r="C28" s="73"/>
      <c r="D28" s="73"/>
      <c r="E28" s="73"/>
      <c r="F28" s="73"/>
    </row>
    <row r="29">
      <c r="A29" s="75" t="str">
        <v>Colour key: Manish’s existing blue/white/yellow evidence colours remain. Amber REVIEW links and columns were added in this copy. Yellow cells in Gap register are editable review state/comments. Missing amounts remain blank or “Not established”; no gap is filled with zero.</v>
      </c>
      <c r="B29" s="75"/>
      <c r="C29" s="75"/>
      <c r="D29" s="75"/>
      <c r="E29" s="75"/>
      <c r="F29" s="75"/>
    </row>
    <row r="30">
      <c r="A30" s="75"/>
      <c r="B30" s="75"/>
      <c r="C30" s="75"/>
      <c r="D30" s="75"/>
      <c r="E30" s="75"/>
      <c r="F30" s="75"/>
    </row>
    <row r="31">
      <c r="A31" s="75"/>
      <c r="B31" s="75"/>
      <c r="C31" s="75"/>
      <c r="D31" s="75"/>
      <c r="E31" s="75"/>
      <c r="F31" s="75"/>
    </row>
    <row r="32">
      <c r="A32" s="73"/>
      <c r="B32" s="73"/>
      <c r="C32" s="73"/>
      <c r="D32" s="73"/>
      <c r="E32" s="73"/>
      <c r="F32" s="73"/>
    </row>
    <row r="33">
      <c r="A33" s="75" t="str">
        <v>Coverage boundary: SA petrol and diesel, Durban and Lesedi. DR09 is a separate optional case. The 63-item review covers the existing request register, workbook, model limitations and sizing method; it is not a certification that all possible external datasets have been searched. Proposed owners and completion triggers are shown; no new delivery deadlines are assumed.</v>
      </c>
      <c r="B33" s="75"/>
      <c r="C33" s="75"/>
      <c r="D33" s="75"/>
      <c r="E33" s="75"/>
      <c r="F33" s="75"/>
    </row>
    <row r="34">
      <c r="A34" s="75"/>
      <c r="B34" s="75"/>
      <c r="C34" s="75"/>
      <c r="D34" s="75"/>
      <c r="E34" s="75"/>
      <c r="F34" s="75"/>
    </row>
    <row r="35">
      <c r="A35" s="75"/>
      <c r="B35" s="75"/>
      <c r="C35" s="75"/>
      <c r="D35" s="75"/>
      <c r="E35" s="75"/>
      <c r="F35" s="75"/>
    </row>
    <row r="36">
      <c r="A36" s="75"/>
      <c r="B36" s="75"/>
      <c r="C36" s="75"/>
      <c r="D36" s="75"/>
      <c r="E36" s="75"/>
      <c r="F36" s="75"/>
    </row>
    <row r="37">
      <c r="A37" s="73"/>
      <c r="B37" s="73"/>
      <c r="C37" s="73"/>
      <c r="D37" s="73"/>
      <c r="E37" s="73"/>
      <c r="F37" s="73"/>
    </row>
    <row r="38">
      <c r="A38" s="84" t="str">
        <v>Version and preservation checks</v>
      </c>
      <c r="B38" s="73"/>
      <c r="C38" s="73"/>
      <c r="D38" s="73"/>
      <c r="E38" s="73"/>
      <c r="F38" s="73"/>
    </row>
    <row r="39">
      <c r="A39" s="73"/>
      <c r="B39" s="73"/>
      <c r="C39" s="73"/>
      <c r="D39" s="73"/>
      <c r="E39" s="73"/>
      <c r="F39" s="73"/>
    </row>
  </sheetData>
  <mergeCells>
    <mergeCell ref="A2:F3"/>
    <mergeCell ref="A5:F5"/>
    <mergeCell ref="C7:F8"/>
    <mergeCell ref="C9:F10"/>
    <mergeCell ref="C11:F12"/>
    <mergeCell ref="C13:F14"/>
    <mergeCell ref="C15:F16"/>
    <mergeCell ref="C17:F18"/>
    <mergeCell ref="A20:F20"/>
    <mergeCell ref="D22:F26"/>
    <mergeCell ref="A29:F31"/>
    <mergeCell ref="A33:F36"/>
  </mergeCells>
  <hyperlinks>
    <hyperlink ref="A7" location="'Request coverage'!A1" display="Request coverage" tooltip="Open the linked workbook evidence or review item"/>
    <hyperlink ref="A9" location="'Gap register'!A1" display="Gap register" tooltip="Open the linked workbook evidence or review item"/>
    <hyperlink ref="A11" location="'Series coverage'!A1" display="Series coverage" tooltip="Open the linked workbook evidence or review item"/>
    <hyperlink ref="A13" location="'Market bridge'!A1" display="Market bridge" tooltip="Open the linked workbook evidence or review item"/>
    <hyperlink ref="A15" location="'New evidence'!A1" display="New evidence" tooltip="Open the linked workbook evidence or review item"/>
    <hyperlink ref="A17" location="'Contents'!A1" display="Contents" tooltip="Open the linked workbook evidence or review item"/>
    <hyperlink ref="A38" location="'Version notes'!A1" display="Version and preservation checks" tooltip="Open the linked workbook evidence or review item"/>
  </hyperlinks>
  <pageMargins left="0.7" right="0.7" top="0.75" bottom="0.75" header="0.3" footer="0.3"/>
</worksheet>
</file>

<file path=xl/worksheets/sheet15.xml><?xml version="1.0" encoding="utf-8"?>
<worksheet xmlns="http://schemas.openxmlformats.org/spreadsheetml/2006/main" xmlns:r="http://schemas.openxmlformats.org/officeDocument/2006/relationships">
  <sheetPr>
    <tabColor rgb="FF66849C"/>
  </sheetPr>
  <sheetViews>
    <sheetView showGridLines="0" workbookViewId="0" tabSelected="0">
      <pane xSplit="2" ySplit="5" topLeftCell="C6" activePane="bottomRight" state="frozen"/>
    </sheetView>
  </sheetViews>
  <sheetFormatPr defaultRowHeight="15"/>
  <cols>
    <col min="1" max="1" width="12" hidden="0" customWidth="1"/>
    <col min="2" max="2" width="32" hidden="0" customWidth="1"/>
    <col min="3" max="3" width="29" hidden="0" customWidth="1"/>
    <col min="4" max="4" width="47" hidden="0" customWidth="1"/>
    <col min="5" max="5" width="65" hidden="0" customWidth="1"/>
    <col min="6" max="6" width="27" hidden="0" customWidth="1"/>
    <col min="7" max="7" width="32" hidden="0" customWidth="1"/>
    <col min="8" max="8" width="32" hidden="0" customWidth="1"/>
    <col min="9" max="9" width="55" hidden="0" customWidth="1"/>
    <col min="10" max="10" width="16" hidden="0" customWidth="1"/>
    <col min="11" max="11" width="12" hidden="0" customWidth="1"/>
  </cols>
  <sheetData>
    <row r="1" ht="30" customHeight="1">
      <c r="A1" s="74" t="str">
        <v>Coverage of all nine data requests</v>
      </c>
      <c r="B1" s="73"/>
      <c r="C1" s="73"/>
      <c r="D1" s="73"/>
      <c r="E1" s="73"/>
      <c r="F1" s="73"/>
      <c r="G1" s="73"/>
      <c r="H1" s="73"/>
      <c r="I1" s="73"/>
      <c r="J1" s="73"/>
      <c r="K1" s="73"/>
    </row>
    <row r="2" ht="24" customHeight="1">
      <c r="A2" s="76" t="str">
        <v>The master covers public evidence for DR01, DR04, DR07 and DR08. Other requests still need client data or a separate scope decision. Receipt does not mean review or adoption.</v>
      </c>
      <c r="B2" s="76"/>
      <c r="C2" s="76"/>
      <c r="D2" s="76"/>
      <c r="E2" s="76"/>
      <c r="F2" s="76"/>
      <c r="G2" s="76"/>
      <c r="H2" s="76"/>
      <c r="I2" s="76"/>
      <c r="J2" s="76"/>
      <c r="K2" s="76"/>
    </row>
    <row r="3" ht="18" customHeight="1">
      <c r="A3" s="76"/>
      <c r="B3" s="76"/>
      <c r="C3" s="76"/>
      <c r="D3" s="76"/>
      <c r="E3" s="76"/>
      <c r="F3" s="76"/>
      <c r="G3" s="76"/>
      <c r="H3" s="76"/>
      <c r="I3" s="76"/>
      <c r="J3" s="76"/>
      <c r="K3" s="76"/>
    </row>
    <row r="4">
      <c r="A4" s="73"/>
      <c r="B4" s="73"/>
      <c r="C4" s="73"/>
      <c r="D4" s="73"/>
      <c r="E4" s="73"/>
      <c r="F4" s="73"/>
      <c r="G4" s="73"/>
      <c r="H4" s="73"/>
      <c r="I4" s="73"/>
      <c r="J4" s="73"/>
      <c r="K4" s="73"/>
    </row>
    <row r="5" ht="32" customHeight="1">
      <c r="A5" s="79" t="str">
        <v>Request</v>
      </c>
      <c r="B5" s="79" t="str">
        <v>Purpose</v>
      </c>
      <c r="C5" s="79" t="str">
        <v>Current position</v>
      </c>
      <c r="D5" s="79" t="str">
        <v>Evidence currently held</v>
      </c>
      <c r="E5" s="79" t="str">
        <v>Required information</v>
      </c>
      <c r="F5" s="79" t="str">
        <v>Coordinator</v>
      </c>
      <c r="G5" s="79" t="str">
        <v>Data provider</v>
      </c>
      <c r="H5" s="79" t="str">
        <v>Needed before</v>
      </c>
      <c r="I5" s="79" t="str">
        <v>Acceptance test</v>
      </c>
      <c r="J5" s="79" t="str">
        <v>Open review items</v>
      </c>
      <c r="K5" s="79" t="str">
        <v>Open evidence</v>
      </c>
    </row>
    <row r="6" ht="76" customHeight="1">
      <c r="A6" s="75" t="str">
        <v>DR01</v>
      </c>
      <c r="B6" s="75" t="str">
        <v>National product balance</v>
      </c>
      <c r="C6" s="75" t="str">
        <v>Partial public evidence</v>
      </c>
      <c r="D6" s="75" t="str">
        <v>Sales, customs and production history; sectors and activity.</v>
      </c>
      <c r="E6" s="75" t="str">
        <v>Latest complete calendar year and 2021/2022 bridge; petrol/diesel production, imports, exports, stock changes and statistical differences; units and coverage</v>
      </c>
      <c r="F6" s="75" t="str">
        <v>Manish / Nigel review</v>
      </c>
      <c r="G6" s="75" t="str">
        <v>Department / SARS / producers</v>
      </c>
      <c r="H6" s="75" t="str">
        <v>Before baseline adoption</v>
      </c>
      <c r="I6" s="75" t="str">
        <v>Reconcile definitions and source revisions; no residual labelled as production</v>
      </c>
      <c r="J6" s="75" t="n">
        <f>COUNTIFS('Gap register'!B6:B68,A6,'Gap register'!M6:M68,"Open")</f>
        <v>11</v>
      </c>
      <c r="K6" s="81" t="str">
        <v>Open sheet</v>
      </c>
    </row>
    <row r="7" ht="76" customHeight="1">
      <c r="A7" s="75" t="str">
        <v>DR02</v>
      </c>
      <c r="B7" s="75" t="str">
        <v>Terminal movements</v>
      </c>
      <c r="C7" s="75" t="str">
        <v>Client data needed</v>
      </c>
      <c r="D7" s="75" t="str">
        <v>Public gateway totals; no site movement series in master.</v>
      </c>
      <c r="E7" s="75" t="str">
        <v>Latest 36 complete months; terminal, product, origin, destination, customer ID, receipt/dispatch m3; flag Durban-Lesedi transfers and final customer deliveries</v>
      </c>
      <c r="F7" s="75" t="str">
        <v>Nigel to coordinate</v>
      </c>
      <c r="G7" s="75" t="str">
        <v>Vopak operations / commercial</v>
      </c>
      <c r="H7" s="75" t="str">
        <v>Before market-share estimate</v>
      </c>
      <c r="I7" s="75" t="str">
        <v>Deduplicate chain deliveries; reconcile monthly totals to operating reports</v>
      </c>
      <c r="J7" s="75" t="n">
        <f>COUNTIFS('Gap register'!B6:B68,A7,'Gap register'!M6:M68,"Open")</f>
        <v>2</v>
      </c>
      <c r="K7" s="81" t="str">
        <v>Open sheet</v>
      </c>
    </row>
    <row r="8" ht="76" customHeight="1">
      <c r="A8" s="75" t="str">
        <v>DR03</v>
      </c>
      <c r="B8" s="75" t="str">
        <v>Working capacity and service limits</v>
      </c>
      <c r="C8" s="75" t="str">
        <v>Client data needed</v>
      </c>
      <c r="D8" s="75" t="str">
        <v>Public gross capacity, estimated working tanks and turns.</v>
      </c>
      <c r="E8" s="75" t="str">
        <v>Tank/product gross and working m3; unavailable/committed capacity; stock policy; actual turns; monthly receipt/dispatch m3; hourly and peak limits; downtime</v>
      </c>
      <c r="F8" s="75" t="str">
        <v>Nigel to coordinate</v>
      </c>
      <c r="G8" s="75" t="str">
        <v>Vopak operations</v>
      </c>
      <c r="H8" s="75" t="str">
        <v>Before capacity-shortfall conclusion</v>
      </c>
      <c r="I8" s="75" t="str">
        <v>Eligible working tankage and achievable throughput reconciled by product and terminal</v>
      </c>
      <c r="J8" s="75" t="n">
        <f>COUNTIFS('Gap register'!B6:B68,A8,'Gap register'!M6:M68,"Open")</f>
        <v>2</v>
      </c>
      <c r="K8" s="81" t="str">
        <v>Open sheet</v>
      </c>
    </row>
    <row r="9" ht="76" customHeight="1">
      <c r="A9" s="75" t="str">
        <v>DR04</v>
      </c>
      <c r="B9" s="75" t="str">
        <v>Matched delivered economics</v>
      </c>
      <c r="C9" s="75" t="str">
        <v>Partial public evidence</v>
      </c>
      <c r="D9" s="75" t="str">
        <v>Entry points, asset/access evidence and regulated allowances.</v>
      </c>
      <c r="E9" s="75" t="str">
        <v>Same petrol/diesel spec and inland destination; dated product basis and handling/road/rail/pipeline/border/loss/finance costs; tax basis, currency, transit time, access rights and available annual capacity</v>
      </c>
      <c r="F9" s="75" t="str">
        <v>Manish / Nigel review</v>
      </c>
      <c r="G9" s="75" t="str">
        <v>Logistics operators / Vopak</v>
      </c>
      <c r="H9" s="75" t="str">
        <v>Before corridor ranking</v>
      </c>
      <c r="I9" s="75" t="str">
        <v>Compare same product/date/destination; confirm tanker access and service availability</v>
      </c>
      <c r="J9" s="75" t="n">
        <f>COUNTIFS('Gap register'!B6:B68,A9,'Gap register'!M6:M68,"Open")</f>
        <v>15</v>
      </c>
      <c r="K9" s="81" t="str">
        <v>Open sheet</v>
      </c>
    </row>
    <row r="10" ht="76" customHeight="1">
      <c r="A10" s="75" t="str">
        <v>DR05</v>
      </c>
      <c r="B10" s="75" t="str">
        <v>Customer access and commitments</v>
      </c>
      <c r="C10" s="75" t="str">
        <v>Client data needed</v>
      </c>
      <c r="D10" s="75" t="str">
        <v>Catchments and gateway context; no customer commitments.</v>
      </c>
      <c r="E10" s="75" t="str">
        <v>Anonymised customer/product/destination annual m3; sourcing alternatives, contract dates, committed vs contestable volumes and renewal assumptions</v>
      </c>
      <c r="F10" s="75" t="str">
        <v>Nigel to coordinate</v>
      </c>
      <c r="G10" s="75" t="str">
        <v>Vopak commercial</v>
      </c>
      <c r="H10" s="75" t="str">
        <v>Before capturable-volume adoption</v>
      </c>
      <c r="I10" s="75" t="str">
        <v>Mutually exclusive customer pools; confirmed rights and no assumed capacity-share proxy</v>
      </c>
      <c r="J10" s="75" t="n">
        <f>COUNTIFS('Gap register'!B6:B68,A10,'Gap register'!M6:M68,"Open")</f>
        <v>2</v>
      </c>
      <c r="K10" s="81" t="str">
        <v>Open sheet</v>
      </c>
    </row>
    <row r="11" ht="76" customHeight="1">
      <c r="A11" s="75" t="str">
        <v>DR06</v>
      </c>
      <c r="B11" s="75" t="str">
        <v>Commercial terms and project options</v>
      </c>
      <c r="C11" s="75" t="str">
        <v>Client data needed</v>
      </c>
      <c r="D11" s="75" t="str">
        <v>Illustrative economics only; no calibrated commercial inputs.</v>
      </c>
      <c r="E11" s="75" t="str">
        <v>Incremental storage/handling revenue, variable and fixed costs; tank/debottleneck capex, schedule, ramp-up, working capital, tax, hurdle rate and asset life; effects on existing revenue</v>
      </c>
      <c r="F11" s="75" t="str">
        <v>Nigel to coordinate</v>
      </c>
      <c r="G11" s="75" t="str">
        <v>Vopak finance / engineering / commercial</v>
      </c>
      <c r="H11" s="75" t="str">
        <v>Before investment recommendation</v>
      </c>
      <c r="I11" s="75" t="str">
        <v>Compare existing assets, debottleneck and expansion on incremental cash flows</v>
      </c>
      <c r="J11" s="75" t="n">
        <f>COUNTIFS('Gap register'!B6:B68,A11,'Gap register'!M6:M68,"Open")</f>
        <v>4</v>
      </c>
      <c r="K11" s="81" t="str">
        <v>Open sheet</v>
      </c>
    </row>
    <row r="12" ht="76" customHeight="1">
      <c r="A12" s="75" t="str">
        <v>DR07</v>
      </c>
      <c r="B12" s="75" t="str">
        <v>Annual demand lever calibration</v>
      </c>
      <c r="C12" s="75" t="str">
        <v>Evidence and decisions open</v>
      </c>
      <c r="D12" s="75" t="str">
        <v>Fleet, power, freight and proposed driver evidence.</v>
      </c>
      <c r="E12" s="75" t="str">
        <v>Product/sector activity, transferable freight tonne-km, rail traction, EV fleet replacement, ICE efficiency; Eskom/IPP/private backup separately; generation commissioning and retirements</v>
      </c>
      <c r="F12" s="75" t="str">
        <v>Manish / Nigel review</v>
      </c>
      <c r="G12" s="75" t="str">
        <v>Public sources / sector specialists</v>
      </c>
      <c r="H12" s="75" t="str">
        <v>Before L/M/H demand adoption</v>
      </c>
      <c r="I12" s="75" t="str">
        <v>No rail/EV/efficiency double count; power balance and dispatch constrain diesel</v>
      </c>
      <c r="J12" s="75" t="n">
        <f>COUNTIFS('Gap register'!B6:B68,A12,'Gap register'!M6:M68,"Open")</f>
        <v>12</v>
      </c>
      <c r="K12" s="81" t="str">
        <v>Open sheet</v>
      </c>
    </row>
    <row r="13" ht="76" customHeight="1">
      <c r="A13" s="75" t="str">
        <v>DR08</v>
      </c>
      <c r="B13" s="75" t="str">
        <v>Annual plant output calibration</v>
      </c>
      <c r="C13" s="75" t="str">
        <v>Partial public evidence</v>
      </c>
      <c r="D13" s="75" t="str">
        <v>Plant status, capacity and partly estimated output.</v>
      </c>
      <c r="E13" s="75" t="str">
        <v>SAPREF funded timing/ramp/yields; Natref availability/utilisation; Secunda gas/MRG liquids penalty; PetroSA feedstock/restart; product-specific annual output</v>
      </c>
      <c r="F13" s="75" t="str">
        <v>Manish / Nigel review</v>
      </c>
      <c r="G13" s="75" t="str">
        <v>Producers / public disclosures</v>
      </c>
      <c r="H13" s="75" t="str">
        <v>Before L/M/H supply adoption</v>
      </c>
      <c r="I13" s="75" t="str">
        <v>Nameplate converted to output; dependencies and scenario consistency reviewed</v>
      </c>
      <c r="J13" s="75" t="n">
        <f>COUNTIFS('Gap register'!B6:B68,A13,'Gap register'!M6:M68,"Open")</f>
        <v>5</v>
      </c>
      <c r="K13" s="81" t="str">
        <v>Open sheet</v>
      </c>
    </row>
    <row r="14" ht="76" customHeight="1">
      <c r="A14" s="75" t="str">
        <v>DR09</v>
      </c>
      <c r="B14" s="75" t="str">
        <v>Separate EV investment case</v>
      </c>
      <c r="C14" s="75" t="str">
        <v>Separate scope</v>
      </c>
      <c r="D14" s="75" t="str">
        <v>A separate request exists; no EV business case in master.</v>
      </c>
      <c r="E14" s="75" t="str">
        <v>Customer energy and charging demand; utilisation by location; power connection and tariff; capex, costs, commercial terms, partner model and strategic mandate</v>
      </c>
      <c r="F14" s="75" t="str">
        <v>Nigel to coordinate</v>
      </c>
      <c r="G14" s="75" t="str">
        <v>Potential customers / Vopak strategy / power partners</v>
      </c>
      <c r="H14" s="75" t="str">
        <v>Before EV investment screening</v>
      </c>
      <c r="I14" s="75" t="str">
        <v>Standalone customer, power-access and incremental-return case; not inferred from low fuel demand</v>
      </c>
      <c r="J14" s="75" t="n">
        <f>COUNTIFS('Gap register'!B6:B68,A14,'Gap register'!M6:M68,"Open")</f>
        <v>1</v>
      </c>
      <c r="K14" s="81" t="str">
        <v>Open sheet</v>
      </c>
    </row>
  </sheetData>
  <mergeCells>
    <mergeCell ref="A2:K3"/>
  </mergeCells>
  <hyperlinks>
    <hyperlink ref="K6" location="'DR01 national balance'!A1" display="Open sheet" tooltip="Open the linked workbook evidence or review item"/>
    <hyperlink ref="K7" location="'Market sizing'!A1" display="Open sheet" tooltip="Open the linked workbook evidence or review item"/>
    <hyperlink ref="K8" location="'Market sizing'!A1" display="Open sheet" tooltip="Open the linked workbook evidence or review item"/>
    <hyperlink ref="K9" location="'DR04 routes and access'!A1" display="Open sheet" tooltip="Open the linked workbook evidence or review item"/>
    <hyperlink ref="K10" location="'Market sizing'!A1" display="Open sheet" tooltip="Open the linked workbook evidence or review item"/>
    <hyperlink ref="K11" location="'Market sizing'!A1" display="Open sheet" tooltip="Open the linked workbook evidence or review item"/>
    <hyperlink ref="K12" location="'DR07 demand evidence'!A1" display="Open sheet" tooltip="Open the linked workbook evidence or review item"/>
    <hyperlink ref="K13" location="'DR08 refinery supply'!A1" display="Open sheet" tooltip="Open the linked workbook evidence or review item"/>
    <hyperlink ref="K14" location="'Contents'!A1" display="Open sheet" tooltip="Open the linked workbook evidence or review item"/>
  </hyperlinks>
  <pageMargins left="0.7" right="0.7" top="0.75" bottom="0.75" header="0.3" footer="0.3"/>
  <tableParts count="1">
    <tablePart r:id="Rddbeda0cfcc54c42"/>
  </tableParts>
</worksheet>
</file>

<file path=xl/worksheets/sheet16.xml><?xml version="1.0" encoding="utf-8"?>
<worksheet xmlns="http://schemas.openxmlformats.org/spreadsheetml/2006/main" xmlns:r="http://schemas.openxmlformats.org/officeDocument/2006/relationships">
  <sheetPr>
    <tabColor rgb="FF66849C"/>
  </sheetPr>
  <sheetViews>
    <sheetView showGridLines="0" workbookViewId="0" tabSelected="0">
      <pane xSplit="2" ySplit="5" topLeftCell="C6" activePane="bottomRight" state="frozen"/>
    </sheetView>
  </sheetViews>
  <sheetFormatPr defaultRowHeight="15"/>
  <cols>
    <col min="1" max="1" width="9" hidden="0" customWidth="1"/>
    <col min="2" max="2" width="13" hidden="0" customWidth="1"/>
    <col min="3" max="3" width="22" hidden="0" customWidth="1"/>
    <col min="4" max="4" width="10" hidden="0" customWidth="1"/>
    <col min="5" max="5" width="33" hidden="0" customWidth="1"/>
    <col min="6" max="6" width="45" hidden="0" customWidth="1"/>
    <col min="7" max="7" width="58" hidden="0" customWidth="1"/>
    <col min="8" max="8" width="42" hidden="0" customWidth="1"/>
    <col min="9" max="9" width="58" hidden="0" customWidth="1"/>
    <col min="10" max="10" width="30" hidden="0" customWidth="1"/>
    <col min="11" max="11" width="31" hidden="0" customWidth="1"/>
    <col min="12" max="12" width="33" hidden="0" customWidth="1"/>
    <col min="13" max="13" width="21" hidden="0" customWidth="1"/>
    <col min="14" max="14" width="40" hidden="0" customWidth="1"/>
    <col min="15" max="15" width="22" hidden="0" customWidth="1"/>
    <col min="16" max="16" width="65" hidden="0" customWidth="1"/>
  </cols>
  <sheetData>
    <row r="1" ht="30" customHeight="1">
      <c r="A1" s="74" t="str">
        <v>Review items and data gaps</v>
      </c>
      <c r="B1" s="73"/>
      <c r="C1" s="73"/>
      <c r="D1" s="73"/>
      <c r="E1" s="73"/>
      <c r="F1" s="73"/>
      <c r="G1" s="73"/>
      <c r="H1" s="73"/>
      <c r="I1" s="73"/>
      <c r="J1" s="73"/>
      <c r="K1" s="73"/>
      <c r="L1" s="73"/>
      <c r="M1" s="73"/>
      <c r="N1" s="73"/>
      <c r="O1" s="73"/>
      <c r="P1" s="73"/>
    </row>
    <row r="2" ht="24" customHeight="1">
      <c r="A2" s="76" t="str">
        <v>Filter Request, Type, Priority or Review state. Priority 1 affects sizing or adoption; 2 affects refinement or publication. Owners are proposed. Scroll right for evidence, then enter your comments.</v>
      </c>
      <c r="B2" s="76"/>
      <c r="C2" s="76"/>
      <c r="D2" s="76"/>
      <c r="E2" s="76"/>
      <c r="F2" s="76"/>
      <c r="G2" s="76"/>
      <c r="H2" s="76"/>
      <c r="I2" s="76"/>
      <c r="J2" s="76"/>
      <c r="K2" s="76"/>
      <c r="L2" s="76"/>
      <c r="M2" s="76"/>
      <c r="N2" s="76"/>
      <c r="O2" s="76"/>
      <c r="P2" s="76"/>
    </row>
    <row r="3" ht="18" customHeight="1">
      <c r="A3" s="76"/>
      <c r="B3" s="76"/>
      <c r="C3" s="76"/>
      <c r="D3" s="76"/>
      <c r="E3" s="76"/>
      <c r="F3" s="76"/>
      <c r="G3" s="76"/>
      <c r="H3" s="76"/>
      <c r="I3" s="76"/>
      <c r="J3" s="76"/>
      <c r="K3" s="76"/>
      <c r="L3" s="76"/>
      <c r="M3" s="76"/>
      <c r="N3" s="76"/>
      <c r="O3" s="76"/>
      <c r="P3" s="76"/>
    </row>
    <row r="4">
      <c r="A4" s="73"/>
      <c r="B4" s="73"/>
      <c r="C4" s="73"/>
      <c r="D4" s="73"/>
      <c r="E4" s="73"/>
      <c r="F4" s="73"/>
      <c r="G4" s="73"/>
      <c r="H4" s="73"/>
      <c r="I4" s="73"/>
      <c r="J4" s="73"/>
      <c r="K4" s="73"/>
      <c r="L4" s="73"/>
      <c r="M4" s="73"/>
      <c r="N4" s="73"/>
      <c r="O4" s="73"/>
      <c r="P4" s="73"/>
    </row>
    <row r="5" ht="32" customHeight="1">
      <c r="A5" s="79" t="str">
        <v>ID</v>
      </c>
      <c r="B5" s="79" t="str">
        <v>Request</v>
      </c>
      <c r="C5" s="79" t="str">
        <v>Type</v>
      </c>
      <c r="D5" s="79" t="str">
        <v>Priority</v>
      </c>
      <c r="E5" s="79" t="str">
        <v>Item</v>
      </c>
      <c r="F5" s="79" t="str">
        <v>What exists</v>
      </c>
      <c r="G5" s="79" t="str">
        <v>What is still needed</v>
      </c>
      <c r="H5" s="79" t="str">
        <v>Why it matters</v>
      </c>
      <c r="I5" s="79" t="str">
        <v>Next action / acceptance</v>
      </c>
      <c r="J5" s="79" t="str">
        <v>Proposed owner</v>
      </c>
      <c r="K5" s="79" t="str">
        <v>Needed before</v>
      </c>
      <c r="L5" s="79" t="str">
        <v>Workbook evidence</v>
      </c>
      <c r="M5" s="79" t="str">
        <v>Review state</v>
      </c>
      <c r="N5" s="79" t="str">
        <v>Nigel comments / decision</v>
      </c>
      <c r="O5" s="79" t="str">
        <v>Origin of item</v>
      </c>
      <c r="P5" s="79" t="str">
        <v>Supporting evidence</v>
      </c>
    </row>
    <row r="6" ht="76" customHeight="1">
      <c r="A6" s="75" t="str">
        <v>G001</v>
      </c>
      <c r="B6" s="75" t="str">
        <v>DR01</v>
      </c>
      <c r="C6" s="75" t="str">
        <v>Missing data</v>
      </c>
      <c r="D6" s="75" t="n">
        <v>1</v>
      </c>
      <c r="E6" s="75" t="str">
        <v>Production after 2021</v>
      </c>
      <c r="F6" s="75" t="str">
        <v>Manish lists this as unavailable for South Africa.</v>
      </c>
      <c r="G6" s="75" t="str">
        <v>The department's last energy balance is 2021. Confirmed not available on 9 October.</v>
      </c>
      <c r="H6" s="75" t="str">
        <v>Current demand or supply balance cannot be closed.</v>
      </c>
      <c r="I6" s="75" t="str">
        <v>Obtain a compatible source, or agree a labelled estimate with a range and validation trigger. Reconcile calendar year and product scope.</v>
      </c>
      <c r="J6" s="75" t="str">
        <v>Nigel coordinates; Manish reconciles</v>
      </c>
      <c r="K6" s="75" t="str">
        <v>Before market sizing</v>
      </c>
      <c r="L6" s="81" t="str">
        <v>DR01 national balance!J8:M8</v>
      </c>
      <c r="M6" s="80" t="str">
        <v>Open</v>
      </c>
      <c r="N6" s="80" t="str"/>
      <c r="O6" s="75" t="str">
        <v>Manish unavailable list</v>
      </c>
      <c r="P6" s="75" t="str">
        <v>Master: 'Not available'!A5:D5</v>
      </c>
    </row>
    <row r="7" ht="76" customHeight="1">
      <c r="A7" s="75" t="str">
        <v>G002</v>
      </c>
      <c r="B7" s="75" t="str">
        <v>DR01</v>
      </c>
      <c r="C7" s="75" t="str">
        <v>Missing data</v>
      </c>
      <c r="D7" s="75" t="n">
        <v>1</v>
      </c>
      <c r="E7" s="75" t="str">
        <v>Sales for 2024 and 2025</v>
      </c>
      <c r="F7" s="75" t="str">
        <v>Manish lists this as unavailable for South Africa.</v>
      </c>
      <c r="G7" s="75" t="str">
        <v>The department's sales data stops at 2023. Confirmed not available on 9 October.</v>
      </c>
      <c r="H7" s="75" t="str">
        <v>Current demand or supply balance cannot be closed.</v>
      </c>
      <c r="I7" s="75" t="str">
        <v>Obtain a compatible source, or agree a labelled estimate with a range and validation trigger. Reconcile calendar year and product scope.</v>
      </c>
      <c r="J7" s="75" t="str">
        <v>Nigel coordinates; Manish reconciles</v>
      </c>
      <c r="K7" s="75" t="str">
        <v>Before market sizing</v>
      </c>
      <c r="L7" s="81" t="str">
        <v>DR01 national balance!L7:M7</v>
      </c>
      <c r="M7" s="80" t="str">
        <v>Open</v>
      </c>
      <c r="N7" s="80" t="str"/>
      <c r="O7" s="75" t="str">
        <v>Manish unavailable list</v>
      </c>
      <c r="P7" s="75" t="str">
        <v>Master: 'Not available'!A6:D6</v>
      </c>
    </row>
    <row r="8" ht="76" customHeight="1">
      <c r="A8" s="75" t="str">
        <v>G003</v>
      </c>
      <c r="B8" s="75" t="str">
        <v>DR01</v>
      </c>
      <c r="C8" s="75" t="str">
        <v>Missing data</v>
      </c>
      <c r="D8" s="75" t="n">
        <v>1</v>
      </c>
      <c r="E8" s="75" t="str">
        <v>Stocks, for any year</v>
      </c>
      <c r="F8" s="75" t="str">
        <v>Manish lists this as unavailable for South Africa.</v>
      </c>
      <c r="G8" s="75" t="str">
        <v>Not published by any source used.</v>
      </c>
      <c r="H8" s="75" t="str">
        <v>Current demand or supply balance cannot be closed.</v>
      </c>
      <c r="I8" s="75" t="str">
        <v>Obtain a compatible source, or agree a labelled estimate with a range and validation trigger. Reconcile calendar year and product scope.</v>
      </c>
      <c r="J8" s="75" t="str">
        <v>Nigel coordinates; Manish reconciles</v>
      </c>
      <c r="K8" s="75" t="str">
        <v>Before market sizing</v>
      </c>
      <c r="L8" s="81" t="str">
        <v>DR01 national balance!B11:M11</v>
      </c>
      <c r="M8" s="80" t="str">
        <v>Open</v>
      </c>
      <c r="N8" s="80" t="str"/>
      <c r="O8" s="75" t="str">
        <v>Manish unavailable list</v>
      </c>
      <c r="P8" s="75" t="str">
        <v>Master: 'Not available'!A7:D7</v>
      </c>
    </row>
    <row r="9" ht="76" customHeight="1">
      <c r="A9" s="75" t="str">
        <v>G004</v>
      </c>
      <c r="B9" s="75" t="str">
        <v>DR04</v>
      </c>
      <c r="C9" s="75" t="str">
        <v>Missing data</v>
      </c>
      <c r="D9" s="75" t="n">
        <v>1</v>
      </c>
      <c r="E9" s="75" t="str">
        <v>Tariff on routes other than Durban to Alrode</v>
      </c>
      <c r="F9" s="75" t="str">
        <v>Manish lists this as unavailable for Other inland routes.</v>
      </c>
      <c r="G9" s="75" t="str">
        <v>Needed to compare destinations other than Gauteng. NERSA's decisions pages were searched again on 9 October; the route table was not found online. Owner: Manish.</v>
      </c>
      <c r="H9" s="75" t="str">
        <v>Feasible route market and delivered competitiveness are not established.</v>
      </c>
      <c r="I9" s="75" t="str">
        <v>Obtain a compatible source, or agree a labelled estimate with a range and validation trigger. Record coverage and verify against the original.</v>
      </c>
      <c r="J9" s="75" t="str">
        <v>Manish; Nigel review</v>
      </c>
      <c r="K9" s="75" t="str">
        <v>Before market sizing</v>
      </c>
      <c r="L9" s="81" t="str">
        <v>DR04 routes and access!A27</v>
      </c>
      <c r="M9" s="80" t="str">
        <v>Open</v>
      </c>
      <c r="N9" s="80" t="str"/>
      <c r="O9" s="75" t="str">
        <v>Manish unavailable list</v>
      </c>
      <c r="P9" s="75" t="str">
        <v>Master: 'Not available'!A8:D8</v>
      </c>
    </row>
    <row r="10" ht="76" customHeight="1">
      <c r="A10" s="75" t="str">
        <v>G005</v>
      </c>
      <c r="B10" s="75" t="str">
        <v>DR04</v>
      </c>
      <c r="C10" s="75" t="str">
        <v>Missing data</v>
      </c>
      <c r="D10" s="75" t="n">
        <v>1</v>
      </c>
      <c r="E10" s="75" t="str">
        <v>Commercial road tanker rate, Durban to Gauteng</v>
      </c>
      <c r="F10" s="75" t="str">
        <v>Manish lists this as unavailable for Road.</v>
      </c>
      <c r="G10" s="75" t="str">
        <v>No fuel tanker rate is published. The rows above are the nearest published figures: a container rate and an all-goods average. Needs Vopak or a haulier quote.</v>
      </c>
      <c r="H10" s="75" t="str">
        <v>Feasible route market and delivered competitiveness are not established.</v>
      </c>
      <c r="I10" s="75" t="str">
        <v>Obtain a compatible source, or agree a labelled estimate with a range and validation trigger. Record coverage and verify against the original.</v>
      </c>
      <c r="J10" s="75" t="str">
        <v>Nigel coordinates; Manish reconciles</v>
      </c>
      <c r="K10" s="75" t="str">
        <v>Before market sizing</v>
      </c>
      <c r="L10" s="81" t="str">
        <v>DR04 routes and access!A54</v>
      </c>
      <c r="M10" s="80" t="str">
        <v>Open</v>
      </c>
      <c r="N10" s="80" t="str"/>
      <c r="O10" s="75" t="str">
        <v>Manish unavailable list</v>
      </c>
      <c r="P10" s="75" t="str">
        <v>Master: 'Not available'!A9:D9</v>
      </c>
    </row>
    <row r="11" ht="76" customHeight="1">
      <c r="A11" s="75" t="str">
        <v>G006</v>
      </c>
      <c r="B11" s="75" t="str">
        <v>DR04</v>
      </c>
      <c r="C11" s="75" t="str">
        <v>Missing data</v>
      </c>
      <c r="D11" s="75" t="n">
        <v>1</v>
      </c>
      <c r="E11" s="75" t="str">
        <v>Rail rate, Durban to Gauteng</v>
      </c>
      <c r="F11" s="75" t="str">
        <v>Manish lists this as unavailable for Rail.</v>
      </c>
      <c r="G11" s="75" t="str">
        <v>Transnet does not publish a fuel rate. The rows above give its container rate and its track access charge for tankers. Needs Transnet or Vopak.</v>
      </c>
      <c r="H11" s="75" t="str">
        <v>Feasible route market and delivered competitiveness are not established.</v>
      </c>
      <c r="I11" s="75" t="str">
        <v>Obtain a compatible source, or agree a labelled estimate with a range and validation trigger. Record coverage and verify against the original.</v>
      </c>
      <c r="J11" s="75" t="str">
        <v>Nigel coordinates; Manish reconciles</v>
      </c>
      <c r="K11" s="75" t="str">
        <v>Before market sizing</v>
      </c>
      <c r="L11" s="81" t="str">
        <v>DR04 routes and access!A55</v>
      </c>
      <c r="M11" s="80" t="str">
        <v>Open</v>
      </c>
      <c r="N11" s="80" t="str"/>
      <c r="O11" s="75" t="str">
        <v>Manish unavailable list</v>
      </c>
      <c r="P11" s="75" t="str">
        <v>Master: 'Not available'!A10:D10</v>
      </c>
    </row>
    <row r="12" ht="76" customHeight="1">
      <c r="A12" s="75" t="str">
        <v>G007</v>
      </c>
      <c r="B12" s="75" t="str">
        <v>DR04</v>
      </c>
      <c r="C12" s="75" t="str">
        <v>Missing data</v>
      </c>
      <c r="D12" s="75" t="n">
        <v>1</v>
      </c>
      <c r="E12" s="75" t="str">
        <v>Liquid bulk capacity and tankage</v>
      </c>
      <c r="F12" s="75" t="str">
        <v>Manish lists this as unavailable for Durban, Island View.</v>
      </c>
      <c r="G12" s="75" t="str">
        <v>Parliament's report gives berths and tenants but no capacity. Earlier search summaries quoting 19.5 million kilolitres a year were not traced to a document. Needs the port authority or Vopak.</v>
      </c>
      <c r="H12" s="75" t="str">
        <v>Feasible route market and delivered competitiveness are not established.</v>
      </c>
      <c r="I12" s="75" t="str">
        <v>Obtain a compatible source, or agree a labelled estimate with a range and validation trigger. Record coverage and verify against the original.</v>
      </c>
      <c r="J12" s="75" t="str">
        <v>Nigel coordinates; Manish reconciles</v>
      </c>
      <c r="K12" s="75" t="str">
        <v>Before market sizing</v>
      </c>
      <c r="L12" s="81" t="str">
        <v>DR04 routes and access!A86</v>
      </c>
      <c r="M12" s="80" t="str">
        <v>Open</v>
      </c>
      <c r="N12" s="80" t="str"/>
      <c r="O12" s="75" t="str">
        <v>Manish unavailable list</v>
      </c>
      <c r="P12" s="75" t="str">
        <v>Master: 'Not available'!A11:D11</v>
      </c>
    </row>
    <row r="13" ht="76" customHeight="1">
      <c r="A13" s="75" t="str">
        <v>G008</v>
      </c>
      <c r="B13" s="75" t="str">
        <v>DR04</v>
      </c>
      <c r="C13" s="75" t="str">
        <v>Missing data</v>
      </c>
      <c r="D13" s="75" t="n">
        <v>1</v>
      </c>
      <c r="E13" s="75" t="str">
        <v>Road rate and border cost, Matola to Gauteng</v>
      </c>
      <c r="F13" s="75" t="str">
        <v>Manish lists this as unavailable for Maputo and Matola, through Komatipoort.</v>
      </c>
      <c r="G13" s="75" t="str">
        <v>Needed for a matched delivered cost. Needs a haulier or Vopak.</v>
      </c>
      <c r="H13" s="75" t="str">
        <v>Feasible route market and delivered competitiveness are not established.</v>
      </c>
      <c r="I13" s="75" t="str">
        <v>Obtain a compatible source, or agree a labelled estimate with a range and validation trigger. Record coverage and verify against the original.</v>
      </c>
      <c r="J13" s="75" t="str">
        <v>Nigel coordinates; Manish reconciles</v>
      </c>
      <c r="K13" s="75" t="str">
        <v>Before market sizing</v>
      </c>
      <c r="L13" s="81" t="str">
        <v>DR04 routes and access!A116</v>
      </c>
      <c r="M13" s="80" t="str">
        <v>Open</v>
      </c>
      <c r="N13" s="80" t="str"/>
      <c r="O13" s="75" t="str">
        <v>Manish unavailable list</v>
      </c>
      <c r="P13" s="75" t="str">
        <v>Master: 'Not available'!A12:D12</v>
      </c>
    </row>
    <row r="14" ht="76" customHeight="1">
      <c r="A14" s="75" t="str">
        <v>G009</v>
      </c>
      <c r="B14" s="75" t="str">
        <v>DR04</v>
      </c>
      <c r="C14" s="75" t="str">
        <v>Missing data</v>
      </c>
      <c r="D14" s="75" t="n">
        <v>1</v>
      </c>
      <c r="E14" s="75" t="str">
        <v>Petrol and diesel supplied inland by Natref and Secunda</v>
      </c>
      <c r="F14" s="75" t="str">
        <v>Manish lists this as unavailable for Sasolburg and Secunda.</v>
      </c>
      <c r="G14" s="75" t="str">
        <v>No production by product after 2021. Belongs with DR08.</v>
      </c>
      <c r="H14" s="75" t="str">
        <v>Feasible route market and delivered competitiveness are not established.</v>
      </c>
      <c r="I14" s="75" t="str">
        <v>Obtain a compatible source, or agree a labelled estimate with a range and validation trigger. Record coverage and verify against the original.</v>
      </c>
      <c r="J14" s="75" t="str">
        <v>Manish; Nigel review</v>
      </c>
      <c r="K14" s="75" t="str">
        <v>Before market sizing</v>
      </c>
      <c r="L14" s="81" t="str">
        <v>DR04 routes and access!A117</v>
      </c>
      <c r="M14" s="80" t="str">
        <v>Open</v>
      </c>
      <c r="N14" s="80" t="str"/>
      <c r="O14" s="75" t="str">
        <v>Manish unavailable list</v>
      </c>
      <c r="P14" s="75" t="str">
        <v>Master: 'Not available'!A13:D13</v>
      </c>
    </row>
    <row r="15" ht="76" customHeight="1">
      <c r="A15" s="75" t="str">
        <v>G010</v>
      </c>
      <c r="B15" s="75" t="str">
        <v>DR04</v>
      </c>
      <c r="C15" s="75" t="str">
        <v>Missing data</v>
      </c>
      <c r="D15" s="75" t="n">
        <v>1</v>
      </c>
      <c r="E15" s="75" t="str">
        <v>Matched delivered cost, Durban to Gauteng, by mode</v>
      </c>
      <c r="F15" s="75" t="str">
        <v>Manish lists this as unavailable for Pipeline against road and rail.</v>
      </c>
      <c r="G15" s="75" t="str">
        <v>Pipeline: 77.02 (tariff) or 91.1 (regulated allowance) in 2026/27. No fuel tanker or rail rate is published, so the modes cannot be set side by side. Looked in: Transnet's tariff proposal, Stats SA, NERSA, Parliament. Needs Vopak or a haulier.</v>
      </c>
      <c r="H15" s="75" t="str">
        <v>Feasible route market and delivered competitiveness are not established.</v>
      </c>
      <c r="I15" s="75" t="str">
        <v>Obtain a compatible source, or agree a labelled estimate with a range and validation trigger. Record coverage and verify against the original.</v>
      </c>
      <c r="J15" s="75" t="str">
        <v>Nigel coordinates; Manish reconciles</v>
      </c>
      <c r="K15" s="75" t="str">
        <v>Before market sizing</v>
      </c>
      <c r="L15" s="81" t="str">
        <v>DR04 routes and access!A56</v>
      </c>
      <c r="M15" s="80" t="str">
        <v>Open</v>
      </c>
      <c r="N15" s="80" t="str"/>
      <c r="O15" s="75" t="str">
        <v>Manish unavailable list</v>
      </c>
      <c r="P15" s="75" t="str">
        <v>Master: 'Not available'!A14:D14</v>
      </c>
    </row>
    <row r="16" ht="76" customHeight="1">
      <c r="A16" s="75" t="str">
        <v>G011</v>
      </c>
      <c r="B16" s="75" t="str">
        <v>DR07</v>
      </c>
      <c r="C16" s="75" t="str">
        <v>Missing data</v>
      </c>
      <c r="D16" s="75" t="n">
        <v>2</v>
      </c>
      <c r="E16" s="75" t="str">
        <v>Diesel burned in private backup generators</v>
      </c>
      <c r="F16" s="75" t="str">
        <v>Manish lists this as unavailable for Businesses and households.</v>
      </c>
      <c r="G16" s="75" t="str">
        <v>No source measures it: checked the Reserve Bank, the CSIR, Eskom and the system operator. It is inside recorded diesel sales and cannot be separated.</v>
      </c>
      <c r="H16" s="75" t="str">
        <v>Demand allocation or forecast driver remains uncertain.</v>
      </c>
      <c r="I16" s="75" t="str">
        <v>Obtain a compatible source, or agree a labelled estimate with a range and validation trigger. Record coverage and verify against the original.</v>
      </c>
      <c r="J16" s="75" t="str">
        <v>Manish; Nigel review</v>
      </c>
      <c r="K16" s="75" t="str">
        <v>Before forecast adoption</v>
      </c>
      <c r="L16" s="81" t="str">
        <v>DR07 demand evidence!A14</v>
      </c>
      <c r="M16" s="80" t="str">
        <v>Open</v>
      </c>
      <c r="N16" s="80" t="str"/>
      <c r="O16" s="75" t="str">
        <v>Manish unavailable list</v>
      </c>
      <c r="P16" s="75" t="str">
        <v>Master: 'Not available'!A15:D15</v>
      </c>
    </row>
    <row r="17" ht="76" customHeight="1">
      <c r="A17" s="75" t="str">
        <v>G012</v>
      </c>
      <c r="B17" s="75" t="str">
        <v>DR07</v>
      </c>
      <c r="C17" s="75" t="str">
        <v>Missing data</v>
      </c>
      <c r="D17" s="75" t="n">
        <v>2</v>
      </c>
      <c r="E17" s="75" t="str">
        <v>Vehicles by year of age</v>
      </c>
      <c r="F17" s="75" t="str">
        <v>Manish lists this as unavailable for South Africa.</v>
      </c>
      <c r="G17" s="75" t="str">
        <v>Lightstone holds the age profile and sells it; the register does not publish it. Only apparent retirements can be calculated.</v>
      </c>
      <c r="H17" s="75" t="str">
        <v>Demand allocation or forecast driver remains uncertain.</v>
      </c>
      <c r="I17" s="75" t="str">
        <v>Obtain a compatible source, or agree a labelled estimate with a range and validation trigger. Record coverage and verify against the original.</v>
      </c>
      <c r="J17" s="75" t="str">
        <v>Manish; Nigel review</v>
      </c>
      <c r="K17" s="75" t="str">
        <v>Before forecast adoption</v>
      </c>
      <c r="L17" s="81" t="str">
        <v>DR07 demand evidence!A113</v>
      </c>
      <c r="M17" s="80" t="str">
        <v>Open</v>
      </c>
      <c r="N17" s="80" t="str"/>
      <c r="O17" s="75" t="str">
        <v>Manish unavailable list</v>
      </c>
      <c r="P17" s="75" t="str">
        <v>Master: 'Not available'!A16:D16</v>
      </c>
    </row>
    <row r="18" ht="76" customHeight="1">
      <c r="A18" s="75" t="str">
        <v>G013</v>
      </c>
      <c r="B18" s="75" t="str">
        <v>DR07</v>
      </c>
      <c r="C18" s="75" t="str">
        <v>Missing data</v>
      </c>
      <c r="D18" s="75" t="n">
        <v>2</v>
      </c>
      <c r="E18" s="75" t="str">
        <v>Electric trucks and electric light commercial vehicles sold</v>
      </c>
      <c r="F18" s="75" t="str">
        <v>Manish lists this as unavailable for South Africa.</v>
      </c>
      <c r="G18" s="75" t="str">
        <v>naamsa reports electric sales by drivetrain, not by segment (checked its fourth-quarter 2025 review). Benchmarks from other countries are on the HML response sheet.</v>
      </c>
      <c r="H18" s="75" t="str">
        <v>Demand allocation or forecast driver remains uncertain.</v>
      </c>
      <c r="I18" s="75" t="str">
        <v>Obtain a compatible source, or agree a labelled estimate with a range and validation trigger. Record coverage and verify against the original.</v>
      </c>
      <c r="J18" s="75" t="str">
        <v>Manish; Nigel review</v>
      </c>
      <c r="K18" s="75" t="str">
        <v>Before forecast adoption</v>
      </c>
      <c r="L18" s="81" t="str">
        <v>DR07 demand evidence!A137</v>
      </c>
      <c r="M18" s="80" t="str">
        <v>Open</v>
      </c>
      <c r="N18" s="80" t="str"/>
      <c r="O18" s="75" t="str">
        <v>Manish unavailable list</v>
      </c>
      <c r="P18" s="75" t="str">
        <v>Master: 'Not available'!A17:D17</v>
      </c>
    </row>
    <row r="19" ht="76" customHeight="1">
      <c r="A19" s="75" t="str">
        <v>G014</v>
      </c>
      <c r="B19" s="75" t="str">
        <v>DR07</v>
      </c>
      <c r="C19" s="75" t="str">
        <v>Missing data</v>
      </c>
      <c r="D19" s="75" t="n">
        <v>2</v>
      </c>
      <c r="E19" s="75" t="str">
        <v>Fuel use of trucks, by year</v>
      </c>
      <c r="F19" s="75" t="str">
        <v>Manish lists this as unavailable for South Africa.</v>
      </c>
      <c r="G19" s="75" t="str">
        <v>Only the 2010 fleet figures above exist. No truck series by year was found.</v>
      </c>
      <c r="H19" s="75" t="str">
        <v>Demand allocation or forecast driver remains uncertain.</v>
      </c>
      <c r="I19" s="75" t="str">
        <v>Obtain a compatible source, or agree a labelled estimate with a range and validation trigger. Record coverage and verify against the original.</v>
      </c>
      <c r="J19" s="75" t="str">
        <v>Manish; Nigel review</v>
      </c>
      <c r="K19" s="75" t="str">
        <v>Before forecast adoption</v>
      </c>
      <c r="L19" s="81" t="str">
        <v>DR07 demand evidence!A156</v>
      </c>
      <c r="M19" s="80" t="str">
        <v>Open</v>
      </c>
      <c r="N19" s="80" t="str"/>
      <c r="O19" s="75" t="str">
        <v>Manish unavailable list</v>
      </c>
      <c r="P19" s="75" t="str">
        <v>Master: 'Not available'!A18:D18</v>
      </c>
    </row>
    <row r="20" ht="76" customHeight="1">
      <c r="A20" s="75" t="str">
        <v>G015</v>
      </c>
      <c r="B20" s="75" t="str">
        <v>DR07</v>
      </c>
      <c r="C20" s="75" t="str">
        <v>Missing data</v>
      </c>
      <c r="D20" s="75" t="n">
        <v>2</v>
      </c>
      <c r="E20" s="75" t="str">
        <v>Road freight in tonne-kilometres, by year</v>
      </c>
      <c r="F20" s="75" t="str">
        <v>Manish lists this as unavailable for South Africa.</v>
      </c>
      <c r="G20" s="75" t="str">
        <v>The research group that models it (GAIN, Stellenbosch) shows yearly charts but publishes figures for single years only.</v>
      </c>
      <c r="H20" s="75" t="str">
        <v>Demand allocation or forecast driver remains uncertain.</v>
      </c>
      <c r="I20" s="75" t="str">
        <v>Obtain a compatible source, or agree a labelled estimate with a range and validation trigger. Record coverage and verify against the original.</v>
      </c>
      <c r="J20" s="75" t="str">
        <v>Nigel coordinates; Manish reconciles</v>
      </c>
      <c r="K20" s="75" t="str">
        <v>Before forecast adoption</v>
      </c>
      <c r="L20" s="81" t="str">
        <v>DR07 demand evidence!A176</v>
      </c>
      <c r="M20" s="80" t="str">
        <v>Open</v>
      </c>
      <c r="N20" s="80" t="str"/>
      <c r="O20" s="75" t="str">
        <v>Manish unavailable list</v>
      </c>
      <c r="P20" s="75" t="str">
        <v>Master: 'Not available'!A19:D19</v>
      </c>
    </row>
    <row r="21" ht="76" customHeight="1">
      <c r="A21" s="75" t="str">
        <v>G016</v>
      </c>
      <c r="B21" s="75" t="str">
        <v>DR08</v>
      </c>
      <c r="C21" s="75" t="str">
        <v>Missing data</v>
      </c>
      <c r="D21" s="75" t="n">
        <v>1</v>
      </c>
      <c r="E21" s="75" t="str">
        <v>Petrol and diesel output by plant</v>
      </c>
      <c r="F21" s="75" t="str">
        <v>Manish lists this as unavailable for Secunda and Astron Energy.</v>
      </c>
      <c r="G21" s="75" t="str">
        <v>Sasol states Secunda's split (65% petrol, 35% diesel) but not the total it applies to. Glencore publishes no split for Astron. Sasol's annual filing and both companies' sites were checked on 9 October. Needs the operators.</v>
      </c>
      <c r="H21" s="75" t="str">
        <v>Import requirements and refinery scenarios remain uncertain.</v>
      </c>
      <c r="I21" s="75" t="str">
        <v>Obtain a compatible source, or agree a labelled estimate with a range and validation trigger. Reconcile calendar year and product scope.</v>
      </c>
      <c r="J21" s="75" t="str">
        <v>Nigel coordinates; Manish reconciles</v>
      </c>
      <c r="K21" s="75" t="str">
        <v>Before forecast adoption</v>
      </c>
      <c r="L21" s="81" t="str">
        <v>DR08 refinery supply!A52</v>
      </c>
      <c r="M21" s="80" t="str">
        <v>Open</v>
      </c>
      <c r="N21" s="80" t="str"/>
      <c r="O21" s="75" t="str">
        <v>Manish unavailable list</v>
      </c>
      <c r="P21" s="75" t="str">
        <v>Master: 'Not available'!A20:D20</v>
      </c>
    </row>
    <row r="22" ht="76" customHeight="1">
      <c r="A22" s="75" t="str">
        <v>G017</v>
      </c>
      <c r="B22" s="75" t="str">
        <v>DR08</v>
      </c>
      <c r="C22" s="75" t="str">
        <v>Missing data</v>
      </c>
      <c r="D22" s="75" t="n">
        <v>1</v>
      </c>
      <c r="E22" s="75" t="str">
        <v>Petrol and diesel produced after 2021, on the department's basis</v>
      </c>
      <c r="F22" s="75" t="str">
        <v>Manish lists this as unavailable for South Africa.</v>
      </c>
      <c r="G22" s="75" t="str">
        <v>The department has published no balance after 2021. The United Nations series runs to 2023 but does not match the department in the years they share.</v>
      </c>
      <c r="H22" s="75" t="str">
        <v>Import requirements and refinery scenarios remain uncertain.</v>
      </c>
      <c r="I22" s="75" t="str">
        <v>Obtain a compatible source, or agree a labelled estimate with a range and validation trigger. Reconcile calendar year and product scope.</v>
      </c>
      <c r="J22" s="75" t="str">
        <v>Nigel coordinates; Manish reconciles</v>
      </c>
      <c r="K22" s="75" t="str">
        <v>Before forecast adoption</v>
      </c>
      <c r="L22" s="81" t="str">
        <v>DR08 refinery supply!A64</v>
      </c>
      <c r="M22" s="80" t="str">
        <v>Open</v>
      </c>
      <c r="N22" s="80" t="str"/>
      <c r="O22" s="75" t="str">
        <v>Manish unavailable list</v>
      </c>
      <c r="P22" s="75" t="str">
        <v>Master: 'Not available'!A21:D21</v>
      </c>
    </row>
    <row r="23" ht="76" customHeight="1">
      <c r="A23" s="75" t="str">
        <v>G018</v>
      </c>
      <c r="B23" s="75" t="str">
        <v>DR01</v>
      </c>
      <c r="C23" s="75" t="str">
        <v>Reconciliation</v>
      </c>
      <c r="D23" s="75" t="n">
        <v>1</v>
      </c>
      <c r="E23" s="75" t="str">
        <v>One baseline year and sales definition</v>
      </c>
      <c r="F23" s="75" t="str">
        <v>2023 department sales; 2025 trade; product output ends 2021.</v>
      </c>
      <c r="G23" s="75" t="str">
        <v>Agree a common-year balance and treatment of wholesaler sales, consumption, exports and stocks.</v>
      </c>
      <c r="H23" s="75" t="str">
        <v>Mixed-year numbers do not establish current import penetration.</v>
      </c>
      <c r="I23" s="75" t="str">
        <v>Document the adopted year, definitions and unresolved residuals; do not fill missing output as sales minus net imports.</v>
      </c>
      <c r="J23" s="75" t="str">
        <v>Nigel / Manish</v>
      </c>
      <c r="K23" s="75" t="str">
        <v>Before baseline adoption</v>
      </c>
      <c r="L23" s="81" t="str">
        <v>DR01 national balance!K7:M21</v>
      </c>
      <c r="M23" s="80" t="str">
        <v>Open</v>
      </c>
      <c r="N23" s="80" t="str"/>
      <c r="O23" s="75" t="str">
        <v>Audit finding</v>
      </c>
      <c r="P23" s="75" t="str">
        <v>dr01_national_balance_2026-10-08.md</v>
      </c>
    </row>
    <row r="24" ht="76" customHeight="1">
      <c r="A24" s="75" t="str">
        <v>G019</v>
      </c>
      <c r="B24" s="75" t="str">
        <v>DR01</v>
      </c>
      <c r="C24" s="75" t="str">
        <v>Estimate to review</v>
      </c>
      <c r="D24" s="75" t="n">
        <v>1</v>
      </c>
      <c r="E24" s="75" t="str">
        <v>Provincial demand after 2022</v>
      </c>
      <c r="F24" s="75" t="str">
        <v>2022 is the last full observed provincial year; 2023 uses first-quarter shares.</v>
      </c>
      <c r="G24" s="75" t="str">
        <v>Validate provincial allocation, seasonality and error; 2024–2025 remain blank.</v>
      </c>
      <c r="H24" s="75" t="str">
        <v>Lesedi and Durban catchments use older geographical demand.</v>
      </c>
      <c r="I24" s="75" t="str">
        <v>Keep observed and estimated years distinct; choose a common-year estimate only after review.</v>
      </c>
      <c r="J24" s="75" t="str">
        <v>Manish; Nigel decides</v>
      </c>
      <c r="K24" s="75" t="str">
        <v>Before catchment sizing</v>
      </c>
      <c r="L24" s="81" t="str">
        <v>DR01 sales by province!K7:N31</v>
      </c>
      <c r="M24" s="80" t="str">
        <v>Open</v>
      </c>
      <c r="N24" s="80" t="str"/>
      <c r="O24" s="75" t="str">
        <v>Audit finding</v>
      </c>
      <c r="P24" s="75" t="str">
        <v>provincial_share_backtest_2026-10-08.csv</v>
      </c>
    </row>
    <row r="25" ht="76" customHeight="1">
      <c r="A25" s="75" t="str">
        <v>G020</v>
      </c>
      <c r="B25" s="75" t="str">
        <v>DR01</v>
      </c>
      <c r="C25" s="75" t="str">
        <v>Reconciliation</v>
      </c>
      <c r="D25" s="75" t="n">
        <v>2</v>
      </c>
      <c r="E25" s="75" t="str">
        <v>Provincial versus national historical differences</v>
      </c>
      <c r="F25" s="75" t="str">
        <v>2014 and 2018 provincial totals differ from the national file.</v>
      </c>
      <c r="G25" s="75" t="str">
        <v>Document revised vintages and district completeness, including missing 2018 districts.</v>
      </c>
      <c r="H25" s="75" t="str">
        <v>Historical growth and provincial shares may reflect coverage breaks.</v>
      </c>
      <c r="I25" s="75" t="str">
        <v>Retain both series and quantify differences before fitting trends.</v>
      </c>
      <c r="J25" s="75" t="str">
        <v>Manish</v>
      </c>
      <c r="K25" s="75" t="str">
        <v>Before trend calibration</v>
      </c>
      <c r="L25" s="81" t="str">
        <v>DR01 sales by province!C16:G17</v>
      </c>
      <c r="M25" s="80" t="str">
        <v>Open</v>
      </c>
      <c r="N25" s="80" t="str"/>
      <c r="O25" s="75" t="str">
        <v>Audit finding</v>
      </c>
      <c r="P25" s="75" t="str">
        <v>dr01_national_balance_2026-10-08.md</v>
      </c>
    </row>
    <row r="26" ht="76" customHeight="1">
      <c r="A26" s="75" t="str">
        <v>G021</v>
      </c>
      <c r="B26" s="75" t="str">
        <v>DR01</v>
      </c>
      <c r="C26" s="75" t="str">
        <v>Reconciliation</v>
      </c>
      <c r="D26" s="75" t="n">
        <v>1</v>
      </c>
      <c r="E26" s="75" t="str">
        <v>2021 customs versus energy-balance imports</v>
      </c>
      <c r="F26" s="75" t="str">
        <v>Energy-balance imports exceed customs by about 1.4bn L per product.</v>
      </c>
      <c r="G26" s="75" t="str">
        <v>Department working explaining the discrepancy; stocks/statistical difference treatment.</v>
      </c>
      <c r="H26" s="75" t="str">
        <v>The national production/trade/sales balance is not independently reconciled.</v>
      </c>
      <c r="I26" s="75" t="str">
        <v>Retain customs selection and show discrepancy; seek original working.</v>
      </c>
      <c r="J26" s="75" t="str">
        <v>Manish; Nigel coordinates</v>
      </c>
      <c r="K26" s="75" t="str">
        <v>Before balance sign-off</v>
      </c>
      <c r="L26" s="81" t="str">
        <v>DR01 national balance!I7:I21</v>
      </c>
      <c r="M26" s="80" t="str">
        <v>Open</v>
      </c>
      <c r="N26" s="80" t="str"/>
      <c r="O26" s="75" t="str">
        <v>Audit finding</v>
      </c>
      <c r="P26" s="75" t="str">
        <v>dr01_national_balance_2026-10-08.md</v>
      </c>
    </row>
    <row r="27" ht="76" customHeight="1">
      <c r="A27" s="75" t="str">
        <v>G022</v>
      </c>
      <c r="B27" s="75" t="str">
        <v>DR01</v>
      </c>
      <c r="C27" s="75" t="str">
        <v>Additional evidence</v>
      </c>
      <c r="D27" s="75" t="n">
        <v>2</v>
      </c>
      <c r="E27" s="75" t="str">
        <v>RAF levy cross-check</v>
      </c>
      <c r="F27" s="75" t="str">
        <v>RAF-derived volumes exist in repository evidence, outside this master workbook.</v>
      </c>
      <c r="G27" s="75" t="str">
        <v>Fiscal/accrual, tax coverage and product reconciliation to calendar-year sales.</v>
      </c>
      <c r="H27" s="75" t="str">
        <v>Cannot infer missing sales from the levy difference.</v>
      </c>
      <c r="I27" s="75" t="str">
        <v>Bring in the reconciliation with periods and scope; retain it as a cross-check.</v>
      </c>
      <c r="J27" s="75" t="str">
        <v>Manish; Nigel review</v>
      </c>
      <c r="K27" s="75" t="str">
        <v>Before sales-source decision</v>
      </c>
      <c r="L27" s="81" t="str">
        <v>DR01 national balance!K7:M16</v>
      </c>
      <c r="M27" s="80" t="str">
        <v>Open</v>
      </c>
      <c r="N27" s="80" t="str"/>
      <c r="O27" s="75" t="str">
        <v>Audit finding</v>
      </c>
      <c r="P27" s="75" t="str">
        <v>assumptions/2026/reference/fuel_levy_revenue_raf.csv</v>
      </c>
    </row>
    <row r="28" ht="76" customHeight="1">
      <c r="A28" s="75" t="str">
        <v>G023</v>
      </c>
      <c r="B28" s="75" t="str">
        <v>DR01</v>
      </c>
      <c r="C28" s="75" t="str">
        <v>Scope decision</v>
      </c>
      <c r="D28" s="75" t="n">
        <v>1</v>
      </c>
      <c r="E28" s="75" t="str">
        <v>Product and geography boundary</v>
      </c>
      <c r="F28" s="75" t="str">
        <v>Master focuses on SA petrol and diesel; wider story mentions other fuels and regional gateways.</v>
      </c>
      <c r="G28" s="75" t="str">
        <v>Confirm product grades/blends and treatment of jet, marine, chemicals, exports and neighbouring markets.</v>
      </c>
      <c r="H28" s="75" t="str">
        <v>A fuel market number may be mistaken for all Vopak businesses.</v>
      </c>
      <c r="I28" s="75" t="str">
        <v>Write inclusions/exclusions and map tariff codes; require a separate case for additional products/geographies.</v>
      </c>
      <c r="J28" s="75" t="str">
        <v>Nigel</v>
      </c>
      <c r="K28" s="75" t="str">
        <v>Before market definition</v>
      </c>
      <c r="L28" s="81" t="str">
        <v>Contents!A2</v>
      </c>
      <c r="M28" s="80" t="str">
        <v>Open</v>
      </c>
      <c r="N28" s="80" t="str"/>
      <c r="O28" s="75" t="str">
        <v>Audit finding</v>
      </c>
      <c r="P28" s="75" t="str">
        <v>DR01-DR09 request register; SARS source metadata</v>
      </c>
    </row>
    <row r="29" ht="76" customHeight="1">
      <c r="A29" s="75" t="str">
        <v>G024</v>
      </c>
      <c r="B29" s="75" t="str">
        <v>DR01</v>
      </c>
      <c r="C29" s="75" t="str">
        <v>Estimate to review</v>
      </c>
      <c r="D29" s="75" t="n">
        <v>2</v>
      </c>
      <c r="E29" s="75" t="str">
        <v>Sector estimates after 2021</v>
      </c>
      <c r="F29" s="75" t="str">
        <v>Diesel estimated using 2018–2021 average intensity and later activity.</v>
      </c>
      <c r="G29" s="75" t="str">
        <v>Accept intensity window, structural breaks and sector scope; quantify uncertainty.</v>
      </c>
      <c r="H29" s="75" t="str">
        <v>Estimates may be read as measured fuel consumption.</v>
      </c>
      <c r="I29" s="75" t="str">
        <v>Compare alternative windows and reconcile mutually exclusive uses to adopted sales.</v>
      </c>
      <c r="J29" s="75" t="str">
        <v>Manish; Nigel review</v>
      </c>
      <c r="K29" s="75" t="str">
        <v>Before sector adoption</v>
      </c>
      <c r="L29" s="81" t="str">
        <v>DR01 sector activity!K9:N21</v>
      </c>
      <c r="M29" s="80" t="str">
        <v>Open</v>
      </c>
      <c r="N29" s="80" t="str"/>
      <c r="O29" s="75" t="str">
        <v>Audit finding</v>
      </c>
      <c r="P29" s="75" t="str">
        <v>demand_by_use_calibration_2026-10-09.md</v>
      </c>
    </row>
    <row r="30" ht="76" customHeight="1">
      <c r="A30" s="75" t="str">
        <v>G025</v>
      </c>
      <c r="B30" s="75" t="str">
        <v>DR01</v>
      </c>
      <c r="C30" s="75" t="str">
        <v>Reconciliation</v>
      </c>
      <c r="D30" s="75" t="n">
        <v>1</v>
      </c>
      <c r="E30" s="75" t="str">
        <v>Road, industry and commercial/services overlap</v>
      </c>
      <c r="F30" s="75" t="str">
        <v>Energy-balance categories and model categories differ; road reclassification is inferred.</v>
      </c>
      <c r="G30" s="75" t="str">
        <v>An exclusive mapping, explicit unknown residual and treatment of private backup, rail and marine.</v>
      </c>
      <c r="H30" s="75" t="str">
        <v>A plausible total can conceal offsetting sector errors.</v>
      </c>
      <c r="I30" s="75" t="str">
        <v>Do not assign all other fuel to road as an observation; reconcile each use and disclose residual.</v>
      </c>
      <c r="J30" s="75" t="str">
        <v>Nigel / Manish</v>
      </c>
      <c r="K30" s="75" t="str">
        <v>Before demand baseline adoption</v>
      </c>
      <c r="L30" s="81" t="str">
        <v>DR01 demand by sector!A5:K28</v>
      </c>
      <c r="M30" s="80" t="str">
        <v>Open</v>
      </c>
      <c r="N30" s="80" t="str"/>
      <c r="O30" s="75" t="str">
        <v>Audit finding</v>
      </c>
      <c r="P30" s="75" t="str">
        <v>demand_by_use_calibration_2026-10-09.md</v>
      </c>
    </row>
    <row r="31" ht="76" customHeight="1">
      <c r="A31" s="75" t="str">
        <v>G026</v>
      </c>
      <c r="B31" s="75" t="str">
        <v>DR04</v>
      </c>
      <c r="C31" s="75" t="str">
        <v>Newer source found</v>
      </c>
      <c r="D31" s="75" t="n">
        <v>1</v>
      </c>
      <c r="E31" s="75" t="str">
        <v>Pipeline use and capacity vintage</v>
      </c>
      <c r="F31" s="75" t="str">
        <v>Master uses 97Ml/week FY2024; 148Ml/week capacity.</v>
      </c>
      <c r="G31" s="75" t="str">
        <v>FY2025 report records 105Ml/week actual and unchanged 148 capacity.</v>
      </c>
      <c r="H31" s="75" t="str">
        <v>Current use is understated; shared arithmetic headroom is overstated.</v>
      </c>
      <c r="I31" s="75" t="str">
        <v>Stage the 2025 source, register adoption, refresh dependent exhibits; retain product/fiscal scope.</v>
      </c>
      <c r="J31" s="75" t="str">
        <v>Manish; Nigel review</v>
      </c>
      <c r="K31" s="75" t="str">
        <v>Before next workbook/pack issue</v>
      </c>
      <c r="L31" s="81" t="str">
        <v>DR04 routes and access!A7:M13</v>
      </c>
      <c r="M31" s="80" t="str">
        <v>Open</v>
      </c>
      <c r="N31" s="80" t="str"/>
      <c r="O31" s="75" t="str">
        <v>Audit finding</v>
      </c>
      <c r="P31" s="75" t="str">
        <v>https://www.transnet.net/getFile.ashx?id=6121</v>
      </c>
    </row>
    <row r="32" ht="76" customHeight="1">
      <c r="A32" s="75" t="str">
        <v>G027</v>
      </c>
      <c r="B32" s="75" t="str">
        <v>DR04</v>
      </c>
      <c r="C32" s="75" t="str">
        <v>Missing data</v>
      </c>
      <c r="D32" s="75" t="n">
        <v>1</v>
      </c>
      <c r="E32" s="75" t="str">
        <v>Pipeline flows by product and route</v>
      </c>
      <c r="F32" s="75" t="str">
        <v>Public trunk use combines refined products; network totals have another boundary.</v>
      </c>
      <c r="G32" s="75" t="str">
        <v>Petrol/diesel/jet volumes by line and period, allocations and firm access.</v>
      </c>
      <c r="H32" s="75" t="str">
        <v>Network or trunk utilisation cannot establish Lesedi fuel access.</v>
      </c>
      <c r="I32" s="75" t="str">
        <v>Obtain matched line/product volumes and entitlement; separate technical capacity from access.</v>
      </c>
      <c r="J32" s="75" t="str">
        <v>Nigel / Transnet; Manish reconciles</v>
      </c>
      <c r="K32" s="75" t="str">
        <v>Before route capacity constraints</v>
      </c>
      <c r="L32" s="81" t="str">
        <v>DR04 routes and access!A7:M16</v>
      </c>
      <c r="M32" s="80" t="str">
        <v>Open</v>
      </c>
      <c r="N32" s="80" t="str"/>
      <c r="O32" s="75" t="str">
        <v>Audit finding</v>
      </c>
      <c r="P32" s="75" t="str">
        <v>DR04 routes note; Transnet 2025</v>
      </c>
    </row>
    <row r="33" ht="76" customHeight="1">
      <c r="A33" s="75" t="str">
        <v>G028</v>
      </c>
      <c r="B33" s="75" t="str">
        <v>DR04</v>
      </c>
      <c r="C33" s="75" t="str">
        <v>Reconciliation</v>
      </c>
      <c r="D33" s="75" t="n">
        <v>1</v>
      </c>
      <c r="E33" s="75" t="str">
        <v>Customs office to physical terminal and destination</v>
      </c>
      <c r="F33" s="75" t="str">
        <v>2025 Durban maritime clearance totals reconcile nationally.</v>
      </c>
      <c r="G33" s="75" t="str">
        <v>Actual port/terminal mapping, onward destinations, coastal redistribution, exports and stock movement.</v>
      </c>
      <c r="H33" s="75" t="str">
        <v>Clearance totals do not measure Vopak or inland deliveries.</v>
      </c>
      <c r="I33" s="75" t="str">
        <v>Build port-terminal-destination allocation with source lineage; do not treat residuals as observed flows.</v>
      </c>
      <c r="J33" s="75" t="str">
        <v>Manish; Nigel coordinates operators</v>
      </c>
      <c r="K33" s="75" t="str">
        <v>Before addressable-market adoption</v>
      </c>
      <c r="L33" s="81" t="str">
        <v>DR04 entry points!A4:P39</v>
      </c>
      <c r="M33" s="80" t="str">
        <v>Open</v>
      </c>
      <c r="N33" s="80" t="str"/>
      <c r="O33" s="75" t="str">
        <v>Audit finding</v>
      </c>
      <c r="P33" s="75" t="str">
        <v>fuel_trade_sars_by_office.csv</v>
      </c>
    </row>
    <row r="34" ht="76" customHeight="1">
      <c r="A34" s="75" t="str">
        <v>G029</v>
      </c>
      <c r="B34" s="75" t="str">
        <v>DR04</v>
      </c>
      <c r="C34" s="75" t="str">
        <v>Missing data</v>
      </c>
      <c r="D34" s="75" t="n">
        <v>1</v>
      </c>
      <c r="E34" s="75" t="str">
        <v>Vopak Durban injection and transfer access</v>
      </c>
      <c r="F34" s="75" t="str">
        <v>Public descriptions show integration; exact operating injection arrangement is open.</v>
      </c>
      <c r="G34" s="75" t="str">
        <v>Own/third-party connections, product eligibility, transfer fees, allocation and outage constraints.</v>
      </c>
      <c r="H34" s="75" t="str">
        <v>Connected assets do not prove commercially usable end-to-end access.</v>
      </c>
      <c r="I34" s="75" t="str">
        <v>Confirm route with Vopak operations and contractual service terms.</v>
      </c>
      <c r="J34" s="75" t="str">
        <v>Nigel / Vopak</v>
      </c>
      <c r="K34" s="75" t="str">
        <v>Before feasible-flow sizing</v>
      </c>
      <c r="L34" s="81" t="str">
        <v>DR04 routes and access!A94:M103</v>
      </c>
      <c r="M34" s="80" t="str">
        <v>Open</v>
      </c>
      <c r="N34" s="80" t="str"/>
      <c r="O34" s="75" t="str">
        <v>Audit finding</v>
      </c>
      <c r="P34" s="75" t="str">
        <v>DR04 routes note</v>
      </c>
    </row>
    <row r="35" ht="76" customHeight="1">
      <c r="A35" s="75" t="str">
        <v>G030</v>
      </c>
      <c r="B35" s="75" t="str">
        <v>DR04</v>
      </c>
      <c r="C35" s="75" t="str">
        <v>Reconciliation</v>
      </c>
      <c r="D35" s="75" t="n">
        <v>1</v>
      </c>
      <c r="E35" s="75" t="str">
        <v>Tariff versus regulated transport allowance</v>
      </c>
      <c r="F35" s="75" t="str">
        <v>Pipeline tariff and zone allowances exist; some tariffs are derived increases.</v>
      </c>
      <c r="G35" s="75" t="str">
        <v>Actual paid tariff, included services, dated route schedule and explanation of allowance gaps.</v>
      </c>
      <c r="H35" s="75" t="str">
        <v>Regulated allowances are not actual delivered cost or terminal revenue.</v>
      </c>
      <c r="I35" s="75" t="str">
        <v>Verify regulator schedule and reconcile cost components on a common product/date/tax basis.</v>
      </c>
      <c r="J35" s="75" t="str">
        <v>Manish; Nigel review</v>
      </c>
      <c r="K35" s="75" t="str">
        <v>Before route ranking or revenue sizing</v>
      </c>
      <c r="L35" s="81" t="str">
        <v>DR04 transport cost!A5:H14</v>
      </c>
      <c r="M35" s="80" t="str">
        <v>Open</v>
      </c>
      <c r="N35" s="80" t="str"/>
      <c r="O35" s="75" t="str">
        <v>Audit finding</v>
      </c>
      <c r="P35" s="75" t="str">
        <v>DR04 note and department price tables</v>
      </c>
    </row>
    <row r="36" ht="76" customHeight="1">
      <c r="A36" s="75" t="str">
        <v>G031</v>
      </c>
      <c r="B36" s="75" t="str">
        <v>DR04</v>
      </c>
      <c r="C36" s="75" t="str">
        <v>Missing data</v>
      </c>
      <c r="D36" s="75" t="n">
        <v>1</v>
      </c>
      <c r="E36" s="75" t="str">
        <v>Competing terminals and captive volumes</v>
      </c>
      <c r="F36" s="75" t="str">
        <v>Island View operator list and partial tankage evidence.</v>
      </c>
      <c r="G36" s="75" t="str">
        <v>Product-specific working tankage, throughput, committed/captive volumes, open-access terms and planned additions.</v>
      </c>
      <c r="H36" s="75" t="str">
        <v>The contestable pool and Vopak share denominator are unknown.</v>
      </c>
      <c r="I36" s="75" t="str">
        <v>Build a competitor inventory; keep unknown values blank and validate access with operators.</v>
      </c>
      <c r="J36" s="75" t="str">
        <v>Manish; Nigel coordinates</v>
      </c>
      <c r="K36" s="75" t="str">
        <v>Before obtainable-market estimate</v>
      </c>
      <c r="L36" s="81" t="str">
        <v>DR04 routes and access!A74:M86</v>
      </c>
      <c r="M36" s="80" t="str">
        <v>Open</v>
      </c>
      <c r="N36" s="80" t="str"/>
      <c r="O36" s="75" t="str">
        <v>Audit finding</v>
      </c>
      <c r="P36" s="75" t="str">
        <v>DR04 routes evidence</v>
      </c>
    </row>
    <row r="37" ht="76" customHeight="1">
      <c r="A37" s="75" t="str">
        <v>G032</v>
      </c>
      <c r="B37" s="75" t="str">
        <v>DR04</v>
      </c>
      <c r="C37" s="75" t="str">
        <v>Missing data</v>
      </c>
      <c r="D37" s="75" t="n">
        <v>2</v>
      </c>
      <c r="E37" s="75" t="str">
        <v>Other gateways by destination</v>
      </c>
      <c r="F37" s="75" t="str">
        <v>Customs entry volumes and some Matola/Walvis Bay evidence.</v>
      </c>
      <c r="G37" s="75" t="str">
        <v>Matched destination costs, border delays, capacity, service reliability and neighbouring-country flows.</v>
      </c>
      <c r="H37" s="75" t="str">
        <v>Small recorded SA imports do not prove no future or regional competition.</v>
      </c>
      <c r="I37" s="75" t="str">
        <v>Compare each route to the same customer destination; keep regional scope separate until agreed.</v>
      </c>
      <c r="J37" s="75" t="str">
        <v>Manish; Nigel confirms scope</v>
      </c>
      <c r="K37" s="75" t="str">
        <v>Before corridor forecast</v>
      </c>
      <c r="L37" s="81" t="str">
        <v>DR04 routes and access!A108:M117</v>
      </c>
      <c r="M37" s="80" t="str">
        <v>Open</v>
      </c>
      <c r="N37" s="80" t="str"/>
      <c r="O37" s="75" t="str">
        <v>Audit finding</v>
      </c>
      <c r="P37" s="75" t="str">
        <v>DR04 routes note</v>
      </c>
    </row>
    <row r="38" ht="76" customHeight="1">
      <c r="A38" s="75" t="str">
        <v>G033</v>
      </c>
      <c r="B38" s="75" t="str">
        <v>DR04</v>
      </c>
      <c r="C38" s="75" t="str">
        <v>Missing data</v>
      </c>
      <c r="D38" s="75" t="n">
        <v>1</v>
      </c>
      <c r="E38" s="75" t="str">
        <v>Peak logistics reliability and limits</v>
      </c>
      <c r="F38" s="75" t="str">
        <v>Some nameplate limits, notices and berth descriptions.</v>
      </c>
      <c r="G38" s="75" t="str">
        <v>Peak/seasonal vessel slots, queueing/demurrage, pumping, pipeline batches, loading hours, uptime and losses.</v>
      </c>
      <c r="H38" s="75" t="str">
        <v>Annual averages may hide the binding operating constraint.</v>
      </c>
      <c r="I38" s="75" t="str">
        <v>Obtain monthly/hourly operating evidence and simulate the busiest periods.</v>
      </c>
      <c r="J38" s="75" t="str">
        <v>Nigel / Vopak operations</v>
      </c>
      <c r="K38" s="75" t="str">
        <v>Before headroom or expansion sizing</v>
      </c>
      <c r="L38" s="81" t="str">
        <v>DR04 routes and access!A90:M103</v>
      </c>
      <c r="M38" s="80" t="str">
        <v>Open</v>
      </c>
      <c r="N38" s="80" t="str"/>
      <c r="O38" s="75" t="str">
        <v>Audit finding</v>
      </c>
      <c r="P38" s="75" t="str">
        <v>DR03/04 request requirements</v>
      </c>
    </row>
    <row r="39" ht="76" customHeight="1">
      <c r="A39" s="75" t="str">
        <v>G034</v>
      </c>
      <c r="B39" s="75" t="str">
        <v>DR02</v>
      </c>
      <c r="C39" s="75" t="str">
        <v>Client data needed</v>
      </c>
      <c r="D39" s="75" t="n">
        <v>1</v>
      </c>
      <c r="E39" s="75" t="str">
        <v>Terminal receipt and dispatch history</v>
      </c>
      <c r="F39" s="75" t="str">
        <v>No client monthly movement series in the master.</v>
      </c>
      <c r="G39" s="75" t="str">
        <v>Latest 36 complete months by site, product, customer, origin and destination; receipts and dispatches in m3.</v>
      </c>
      <c r="H39" s="75" t="str">
        <v>Current throughput and market share cannot be established.</v>
      </c>
      <c r="I39" s="75" t="str">
        <v>Reconcile monthly records to site reports, losses and stock movement.</v>
      </c>
      <c r="J39" s="75" t="str">
        <v>Nigel coordinates Vopak</v>
      </c>
      <c r="K39" s="75" t="str">
        <v>Before market share</v>
      </c>
      <c r="L39" s="81" t="str">
        <v>Market sizing!A5:J11</v>
      </c>
      <c r="M39" s="80" t="str">
        <v>Open</v>
      </c>
      <c r="N39" s="80" t="str"/>
      <c r="O39" s="75" t="str">
        <v>Existing client request expanded</v>
      </c>
      <c r="P39" s="75" t="str">
        <v>DR01-DR09 request register; sa_investment_bridge_2026_10_08.csv</v>
      </c>
    </row>
    <row r="40" ht="76" customHeight="1">
      <c r="A40" s="75" t="str">
        <v>G035</v>
      </c>
      <c r="B40" s="75" t="str">
        <v>DR02</v>
      </c>
      <c r="C40" s="75" t="str">
        <v>Client data needed</v>
      </c>
      <c r="D40" s="75" t="n">
        <v>1</v>
      </c>
      <c r="E40" s="75" t="str">
        <v>Linked Durban–Lesedi transfers</v>
      </c>
      <c r="F40" s="75" t="str">
        <v>Public sizing assumes shared flows.</v>
      </c>
      <c r="G40" s="75" t="str">
        <v>Shipment/batch/customer keys linking the same litres at both sites and final customer delivery flags.</v>
      </c>
      <c r="H40" s="75" t="str">
        <v>Adding sites can double-count unique demand.</v>
      </c>
      <c r="I40" s="75" t="str">
        <v>Reconcile linked transfers and calculate both unique-chain volume and billable services.</v>
      </c>
      <c r="J40" s="75" t="str">
        <v>Nigel coordinates Vopak</v>
      </c>
      <c r="K40" s="75" t="str">
        <v>Before market share</v>
      </c>
      <c r="L40" s="81" t="str">
        <v>Market sizing!A5:J11</v>
      </c>
      <c r="M40" s="80" t="str">
        <v>Open</v>
      </c>
      <c r="N40" s="80" t="str"/>
      <c r="O40" s="75" t="str">
        <v>Existing client request expanded</v>
      </c>
      <c r="P40" s="75" t="str">
        <v>DR01-DR09 request register; sa_investment_bridge_2026_10_08.csv</v>
      </c>
    </row>
    <row r="41" ht="76" customHeight="1">
      <c r="A41" s="75" t="str">
        <v>G036</v>
      </c>
      <c r="B41" s="75" t="str">
        <v>DR03</v>
      </c>
      <c r="C41" s="75" t="str">
        <v>Client data needed</v>
      </c>
      <c r="D41" s="75" t="n">
        <v>1</v>
      </c>
      <c r="E41" s="75" t="str">
        <v>Working tank inventory</v>
      </c>
      <c r="F41" s="75" t="str">
        <v>Public gross capacities and partial working estimates.</v>
      </c>
      <c r="G41" s="75" t="str">
        <v>Tank-by-product design, working, unavailable and committed capacity; product switching and minimum inventory.</v>
      </c>
      <c r="H41" s="75" t="str">
        <v>Gross tankage can overstate usable fuel capacity.</v>
      </c>
      <c r="I41" s="75" t="str">
        <v>Reconcile tank inventory to engineering and contract records.</v>
      </c>
      <c r="J41" s="75" t="str">
        <v>Nigel coordinates Vopak</v>
      </c>
      <c r="K41" s="75" t="str">
        <v>Before investment recommendation</v>
      </c>
      <c r="L41" s="81" t="str">
        <v>Market sizing!A16:J23</v>
      </c>
      <c r="M41" s="80" t="str">
        <v>Open</v>
      </c>
      <c r="N41" s="80" t="str"/>
      <c r="O41" s="75" t="str">
        <v>Existing client request expanded</v>
      </c>
      <c r="P41" s="75" t="str">
        <v>DR01-DR09 request register; sa_investment_bridge_2026_10_08.csv</v>
      </c>
    </row>
    <row r="42" ht="76" customHeight="1">
      <c r="A42" s="75" t="str">
        <v>G037</v>
      </c>
      <c r="B42" s="75" t="str">
        <v>DR03</v>
      </c>
      <c r="C42" s="75" t="str">
        <v>Client data needed</v>
      </c>
      <c r="D42" s="75" t="n">
        <v>1</v>
      </c>
      <c r="E42" s="75" t="str">
        <v>Actual turns and service bottlenecks</v>
      </c>
      <c r="F42" s="75" t="str">
        <v>Assumed turn sensitivities and some licence limits.</v>
      </c>
      <c r="G42" s="75" t="str">
        <v>Monthly actual turns, occupancy, stock levels, downtime, receipt/dispatch peaks, berth/pipeline/bay limits.</v>
      </c>
      <c r="H42" s="75" t="str">
        <v>Capacity and incremental headroom cannot be quantified.</v>
      </c>
      <c r="I42" s="75" t="str">
        <v>Match throughput and working-capacity periods; identify the binding constraint.</v>
      </c>
      <c r="J42" s="75" t="str">
        <v>Nigel coordinates Vopak</v>
      </c>
      <c r="K42" s="75" t="str">
        <v>Before investment recommendation</v>
      </c>
      <c r="L42" s="81" t="str">
        <v>Market sizing!A16:J23</v>
      </c>
      <c r="M42" s="80" t="str">
        <v>Open</v>
      </c>
      <c r="N42" s="80" t="str"/>
      <c r="O42" s="75" t="str">
        <v>Existing client request expanded</v>
      </c>
      <c r="P42" s="75" t="str">
        <v>DR01-DR09 request register; sa_investment_bridge_2026_10_08.csv</v>
      </c>
    </row>
    <row r="43" ht="76" customHeight="1">
      <c r="A43" s="75" t="str">
        <v>G038</v>
      </c>
      <c r="B43" s="75" t="str">
        <v>DR05</v>
      </c>
      <c r="C43" s="75" t="str">
        <v>Client data needed</v>
      </c>
      <c r="D43" s="75" t="n">
        <v>1</v>
      </c>
      <c r="E43" s="75" t="str">
        <v>Customer commitments and contestability</v>
      </c>
      <c r="F43" s="75" t="str">
        <v>No client customer-volume allocation in the master.</v>
      </c>
      <c r="G43" s="75" t="str">
        <v>Anonymised customer/product/destination volumes, contracted/contestable split, renewals, switching constraints and alternatives.</v>
      </c>
      <c r="H43" s="75" t="str">
        <v>Addressable flow cannot be converted to obtainable share.</v>
      </c>
      <c r="I43" s="75" t="str">
        <v>Create mutually exclusive customer pools with evidenced access and contract status.</v>
      </c>
      <c r="J43" s="75" t="str">
        <v>Nigel coordinates Vopak</v>
      </c>
      <c r="K43" s="75" t="str">
        <v>Before market share</v>
      </c>
      <c r="L43" s="81" t="str">
        <v>Market sizing!A5:J11</v>
      </c>
      <c r="M43" s="80" t="str">
        <v>Open</v>
      </c>
      <c r="N43" s="80" t="str"/>
      <c r="O43" s="75" t="str">
        <v>Existing client request expanded</v>
      </c>
      <c r="P43" s="75" t="str">
        <v>DR01-DR09 request register; sa_investment_bridge_2026_10_08.csv</v>
      </c>
    </row>
    <row r="44" ht="76" customHeight="1">
      <c r="A44" s="75" t="str">
        <v>G039</v>
      </c>
      <c r="B44" s="75" t="str">
        <v>DR05</v>
      </c>
      <c r="C44" s="75" t="str">
        <v>Client data needed</v>
      </c>
      <c r="D44" s="75" t="n">
        <v>1</v>
      </c>
      <c r="E44" s="75" t="str">
        <v>Capture and competitive response</v>
      </c>
      <c r="F44" s="75" t="str">
        <v>No calibrated win/retention assumptions.</v>
      </c>
      <c r="G44" s="75" t="str">
        <v>Tender pipeline, customer willingness to switch, service requirements, competitor response and ramp-up.</v>
      </c>
      <c r="H44" s="75" t="str">
        <v>Arbitrary capture percentages can dominate the investment result.</v>
      </c>
      <c r="I44" s="75" t="str">
        <v>Use evidenced customer scenarios; distinguish potential, proposed and secured volumes.</v>
      </c>
      <c r="J44" s="75" t="str">
        <v>Nigel coordinates Vopak</v>
      </c>
      <c r="K44" s="75" t="str">
        <v>Before market share</v>
      </c>
      <c r="L44" s="81" t="str">
        <v>Market sizing!A5:J11</v>
      </c>
      <c r="M44" s="80" t="str">
        <v>Open</v>
      </c>
      <c r="N44" s="80" t="str"/>
      <c r="O44" s="75" t="str">
        <v>Existing client request expanded</v>
      </c>
      <c r="P44" s="75" t="str">
        <v>DR01-DR09 request register; sa_investment_bridge_2026_10_08.csv</v>
      </c>
    </row>
    <row r="45" ht="76" customHeight="1">
      <c r="A45" s="75" t="str">
        <v>G040</v>
      </c>
      <c r="B45" s="75" t="str">
        <v>DR06</v>
      </c>
      <c r="C45" s="75" t="str">
        <v>Client data needed</v>
      </c>
      <c r="D45" s="75" t="n">
        <v>1</v>
      </c>
      <c r="E45" s="75" t="str">
        <v>Chargeable services and contract economics</v>
      </c>
      <c r="F45" s="75" t="str">
        <v>Illustrative storage and handling rates only.</v>
      </c>
      <c r="G45" s="75" t="str">
        <v>Actual storage rental, included/minimum throughput, excess handling, escalators and take-or-pay terms.</v>
      </c>
      <c r="H45" s="75" t="str">
        <v>More litres may not produce proportional incremental revenue.</v>
      </c>
      <c r="I45" s="75" t="str">
        <v>Calculate incremental billable services without counting included throughput twice.</v>
      </c>
      <c r="J45" s="75" t="str">
        <v>Nigel coordinates Vopak</v>
      </c>
      <c r="K45" s="75" t="str">
        <v>Before investment recommendation</v>
      </c>
      <c r="L45" s="81" t="str">
        <v>Market sizing!A5:J11</v>
      </c>
      <c r="M45" s="80" t="str">
        <v>Open</v>
      </c>
      <c r="N45" s="80" t="str"/>
      <c r="O45" s="75" t="str">
        <v>Existing client request expanded</v>
      </c>
      <c r="P45" s="75" t="str">
        <v>DR01-DR09 request register; sa_investment_bridge_2026_10_08.csv</v>
      </c>
    </row>
    <row r="46" ht="76" customHeight="1">
      <c r="A46" s="75" t="str">
        <v>G041</v>
      </c>
      <c r="B46" s="75" t="str">
        <v>DR06</v>
      </c>
      <c r="C46" s="75" t="str">
        <v>Client data needed</v>
      </c>
      <c r="D46" s="75" t="n">
        <v>1</v>
      </c>
      <c r="E46" s="75" t="str">
        <v>Operating costs and existing business effects</v>
      </c>
      <c r="F46" s="75" t="str">
        <v>Illustrative costs only.</v>
      </c>
      <c r="G46" s="75" t="str">
        <v>Incremental variable/fixed costs, energy, maintenance, labour, insurance, losses, demurrage and cannibalisation.</v>
      </c>
      <c r="H46" s="75" t="str">
        <v>Revenue market and profitable opportunity differ.</v>
      </c>
      <c r="I46" s="75" t="str">
        <v>Reconcile to site cost accounts and option-specific operating changes.</v>
      </c>
      <c r="J46" s="75" t="str">
        <v>Nigel coordinates Vopak</v>
      </c>
      <c r="K46" s="75" t="str">
        <v>Before investment recommendation</v>
      </c>
      <c r="L46" s="81" t="str">
        <v>Market sizing!A5:J11</v>
      </c>
      <c r="M46" s="80" t="str">
        <v>Open</v>
      </c>
      <c r="N46" s="80" t="str"/>
      <c r="O46" s="75" t="str">
        <v>Existing client request expanded</v>
      </c>
      <c r="P46" s="75" t="str">
        <v>DR01-DR09 request register; sa_investment_bridge_2026_10_08.csv</v>
      </c>
    </row>
    <row r="47" ht="76" customHeight="1">
      <c r="A47" s="75" t="str">
        <v>G042</v>
      </c>
      <c r="B47" s="75" t="str">
        <v>DR06</v>
      </c>
      <c r="C47" s="75" t="str">
        <v>Client data needed</v>
      </c>
      <c r="D47" s="75" t="n">
        <v>1</v>
      </c>
      <c r="E47" s="75" t="str">
        <v>Engineered options, capex and schedule</v>
      </c>
      <c r="F47" s="75" t="str">
        <v>Authored debottleneck and tank options in story.</v>
      </c>
      <c r="G47" s="75" t="str">
        <v>Engineering scope, quotations, contingencies, permits, construction outages, completion and ramp-up.</v>
      </c>
      <c r="H47" s="75" t="str">
        <v>Tank size and capital commitments are not supported.</v>
      </c>
      <c r="I47" s="75" t="str">
        <v>Compare existing assets, targeted improvement and expansion on common scope.</v>
      </c>
      <c r="J47" s="75" t="str">
        <v>Nigel coordinates Vopak</v>
      </c>
      <c r="K47" s="75" t="str">
        <v>Before investment recommendation</v>
      </c>
      <c r="L47" s="81" t="str">
        <v>Market sizing!A5:J11</v>
      </c>
      <c r="M47" s="80" t="str">
        <v>Open</v>
      </c>
      <c r="N47" s="80" t="str"/>
      <c r="O47" s="75" t="str">
        <v>Existing client request expanded</v>
      </c>
      <c r="P47" s="75" t="str">
        <v>DR01-DR09 request register; sa_investment_bridge_2026_10_08.csv</v>
      </c>
    </row>
    <row r="48" ht="76" customHeight="1">
      <c r="A48" s="75" t="str">
        <v>G043</v>
      </c>
      <c r="B48" s="75" t="str">
        <v>DR06</v>
      </c>
      <c r="C48" s="75" t="str">
        <v>Client data needed</v>
      </c>
      <c r="D48" s="75" t="n">
        <v>1</v>
      </c>
      <c r="E48" s="75" t="str">
        <v>Cash-flow basis and investment criteria</v>
      </c>
      <c r="F48" s="75" t="str">
        <v>Illustrative pre-tax 20-year case with authored hurdle.</v>
      </c>
      <c r="G48" s="75" t="str">
        <v>Tax, working capital, maintenance capex, life, residual value, inflation, FX, hurdle and ownership basis.</v>
      </c>
      <c r="H48" s="75" t="str">
        <v>Illustrative NPV is not a project investment appraisal.</v>
      </c>
      <c r="I48" s="75" t="str">
        <v>Agree real/nominal and 100% site/equity bases; calculate full incremental cash flows.</v>
      </c>
      <c r="J48" s="75" t="str">
        <v>Nigel coordinates Vopak</v>
      </c>
      <c r="K48" s="75" t="str">
        <v>Before investment recommendation</v>
      </c>
      <c r="L48" s="81" t="str">
        <v>Market sizing!A5:J11</v>
      </c>
      <c r="M48" s="80" t="str">
        <v>Open</v>
      </c>
      <c r="N48" s="80" t="str"/>
      <c r="O48" s="75" t="str">
        <v>Existing client request expanded</v>
      </c>
      <c r="P48" s="75" t="str">
        <v>DR01-DR09 request register; sa_investment_bridge_2026_10_08.csv</v>
      </c>
    </row>
    <row r="49" ht="76" customHeight="1">
      <c r="A49" s="75" t="str">
        <v>G044</v>
      </c>
      <c r="B49" s="75" t="str">
        <v>DR07</v>
      </c>
      <c r="C49" s="75" t="str">
        <v>Model decision</v>
      </c>
      <c r="D49" s="75" t="n">
        <v>1</v>
      </c>
      <c r="E49" s="75" t="str">
        <v>Power baseline and notional stations</v>
      </c>
      <c r="F49" s="75" t="str">
        <v>Engine includes new_1/new_2 totalling 3,000MW; model power demand exceeds reported/estimated burn.</v>
      </c>
      <c r="G49" s="75" t="str">
        <v>Confirm actual fleet and joint road/power recalibration; adopted annual dispatch paths.</v>
      </c>
      <c r="H49" s="75" t="str">
        <v>Offsetting errors can make total demand look calibrated.</v>
      </c>
      <c r="I49" s="75" t="str">
        <v>Agree replacements or removal with Nigel, align historical fleet and periods, then rerun full demand.</v>
      </c>
      <c r="J49" s="75" t="str">
        <v>Nigel / Manish; Henry review</v>
      </c>
      <c r="K49" s="75" t="str">
        <v>Before forecast rerun</v>
      </c>
      <c r="L49" s="81" t="str">
        <v>DR07 demand evidence!A7:L11</v>
      </c>
      <c r="M49" s="80" t="str">
        <v>Open</v>
      </c>
      <c r="N49" s="80" t="str"/>
      <c r="O49" s="75" t="str">
        <v>Audit finding</v>
      </c>
      <c r="P49" s="75" t="str">
        <v>generation.yaml; demand_by_use_calibration_2026-10-09.md</v>
      </c>
    </row>
    <row r="50" ht="76" customHeight="1">
      <c r="A50" s="75" t="str">
        <v>G045</v>
      </c>
      <c r="B50" s="75" t="str">
        <v>DR07</v>
      </c>
      <c r="C50" s="75" t="str">
        <v>Reconciliation</v>
      </c>
      <c r="D50" s="75" t="n">
        <v>1</v>
      </c>
      <c r="E50" s="75" t="str">
        <v>Power units, fuels and periods</v>
      </c>
      <c r="F50" s="75" t="str">
        <v>Eskom reported fuel, generation-based IPP estimates and fiscal years.</v>
      </c>
      <c r="G50" s="75" t="str">
        <v>Calendar alignment; diesel versus kerosene; measured IPP litres; separate private backup.</v>
      </c>
      <c r="H50" s="75" t="str">
        <v>Mixed scopes can distort baseline and peaking forecast.</v>
      </c>
      <c r="I50" s="75" t="str">
        <v>Record conversions and coverage; calibrate litres to compatible generation and plant scope.</v>
      </c>
      <c r="J50" s="75" t="str">
        <v>Manish</v>
      </c>
      <c r="K50" s="75" t="str">
        <v>Before power baseline adoption</v>
      </c>
      <c r="L50" s="81" t="str">
        <v>DR07 demand evidence!A7:L11</v>
      </c>
      <c r="M50" s="80" t="str">
        <v>Open</v>
      </c>
      <c r="N50" s="80" t="str"/>
      <c r="O50" s="75" t="str">
        <v>Audit finding</v>
      </c>
      <c r="P50" s="75" t="str">
        <v>DR07 evidence and power calibration note</v>
      </c>
    </row>
    <row r="51" ht="76" customHeight="1">
      <c r="A51" s="75" t="str">
        <v>G046</v>
      </c>
      <c r="B51" s="75" t="str">
        <v>DR07</v>
      </c>
      <c r="C51" s="75" t="str">
        <v>Estimate to review</v>
      </c>
      <c r="D51" s="75" t="n">
        <v>1</v>
      </c>
      <c r="E51" s="75" t="str">
        <v>Vehicle stock, use and replacement calibration</v>
      </c>
      <c r="F51" s="75" t="str">
        <v>Observed stocks/sales and inferred fuel splits; model mileage, scrappage and sales mix differ.</v>
      </c>
      <c r="G51" s="75" t="str">
        <v>Fuel/class/age allocation, vehicle activity and consumption calibrated to road residual with uncertainty.</v>
      </c>
      <c r="H51" s="75" t="str">
        <v>Vehicle demand may offset excess power demand.</v>
      </c>
      <c r="I51" s="75" t="str">
        <v>Reconcile classes and parameters jointly; do not treat inferred retirements as measured scrappage.</v>
      </c>
      <c r="J51" s="75" t="str">
        <v>Manish; Nigel decides</v>
      </c>
      <c r="K51" s="75" t="str">
        <v>Before road forecast adoption</v>
      </c>
      <c r="L51" s="81" t="str">
        <v>DR07 fleet by province!A4:J27</v>
      </c>
      <c r="M51" s="80" t="str">
        <v>Open</v>
      </c>
      <c r="N51" s="80" t="str"/>
      <c r="O51" s="75" t="str">
        <v>Audit finding</v>
      </c>
      <c r="P51" s="75" t="str">
        <v>manish_handback_2026-10-07.md; vehicle_inference.py</v>
      </c>
    </row>
    <row r="52" ht="76" customHeight="1">
      <c r="A52" s="75" t="str">
        <v>G047</v>
      </c>
      <c r="B52" s="75" t="str">
        <v>DR07</v>
      </c>
      <c r="C52" s="75" t="str">
        <v>Model decision</v>
      </c>
      <c r="D52" s="75" t="n">
        <v>2</v>
      </c>
      <c r="E52" s="75" t="str">
        <v>EV, hybrid and efficiency combination</v>
      </c>
      <c r="F52" s="75" t="str">
        <v>EV/efficiency combination tested; hybrids not separately modelled.</v>
      </c>
      <c r="G52" s="75" t="str">
        <v>Agree combustion-only efficiency, hybrid savings and annual fleet replacement implementation.</v>
      </c>
      <c r="H52" s="75" t="str">
        <v>Adding a hybrid term to blended efficiency may double-count savings.</v>
      </c>
      <c r="I52" s="75" t="str">
        <v>Adopt documented multiplicative rules and calibrate drivetrain-specific effects.</v>
      </c>
      <c r="J52" s="75" t="str">
        <v>Manish; Nigel/Henry review</v>
      </c>
      <c r="K52" s="75" t="str">
        <v>Before demand cases integrated</v>
      </c>
      <c r="L52" s="81" t="str">
        <v>DR07 demand evidence!A1</v>
      </c>
      <c r="M52" s="80" t="str">
        <v>Open</v>
      </c>
      <c r="N52" s="80" t="str"/>
      <c r="O52" s="75" t="str">
        <v>Audit finding</v>
      </c>
      <c r="P52" s="75" t="str">
        <v>dr07_lever_double_count_check_2026-10-09.md</v>
      </c>
    </row>
    <row r="53" ht="76" customHeight="1">
      <c r="A53" s="75" t="str">
        <v>G048</v>
      </c>
      <c r="B53" s="75" t="str">
        <v>DR07</v>
      </c>
      <c r="C53" s="75" t="str">
        <v>Model decision</v>
      </c>
      <c r="D53" s="75" t="n">
        <v>2</v>
      </c>
      <c r="E53" s="75" t="str">
        <v>Freight activity and rail diversion combination</v>
      </c>
      <c r="F53" s="75" t="str">
        <v>Payload evidence and rail-friendly freight snapshot; annual road tonne-km missing.</v>
      </c>
      <c r="G53" s="75" t="str">
        <v>Common total freight baseline, route/commodity transferability, rail traction and diesel intensity.</v>
      </c>
      <c r="H53" s="75" t="str">
        <v>Road activity and rail shifts can remove the same litres twice.</v>
      </c>
      <c r="I53" s="75" t="str">
        <v>Apply diversion once and constrain by transferable freight and deliverable rail service.</v>
      </c>
      <c r="J53" s="75" t="str">
        <v>Manish; Nigel/Henry review</v>
      </c>
      <c r="K53" s="75" t="str">
        <v>Before rail scenarios integrated</v>
      </c>
      <c r="L53" s="81" t="str">
        <v>DR07 demand evidence!A172:L177</v>
      </c>
      <c r="M53" s="80" t="str">
        <v>Open</v>
      </c>
      <c r="N53" s="80" t="str"/>
      <c r="O53" s="75" t="str">
        <v>Audit finding</v>
      </c>
      <c r="P53" s="75" t="str">
        <v>dr07_lever_double_count_check_2026-10-09.md</v>
      </c>
    </row>
    <row r="54" ht="76" customHeight="1">
      <c r="A54" s="75" t="str">
        <v>G049</v>
      </c>
      <c r="B54" s="75" t="str">
        <v>DR07</v>
      </c>
      <c r="C54" s="75" t="str">
        <v>Model decision</v>
      </c>
      <c r="D54" s="75" t="n">
        <v>1</v>
      </c>
      <c r="E54" s="75" t="str">
        <v>Macro history and scenario annual paths</v>
      </c>
      <c r="F54" s="75" t="str">
        <v>Stats SA history staged; engine GDP still reads legacy workbook series.</v>
      </c>
      <c r="G54" s="75" t="str">
        <v>Resolve apparent repeated 2007 GDP value, revisions, Treasury horizon and post-horizon assumptions.</v>
      </c>
      <c r="H54" s="75" t="str">
        <v>New source collection has not updated the demand driver.</v>
      </c>
      <c r="I54" s="75" t="str">
        <v>Compare history, approve replacement, register it and implement consistent annual scenarios.</v>
      </c>
      <c r="J54" s="75" t="str">
        <v>Manish; Nigel decides</v>
      </c>
      <c r="K54" s="75" t="str">
        <v>Before forecast rerun</v>
      </c>
      <c r="L54" s="81" t="str">
        <v>Contents!A2</v>
      </c>
      <c r="M54" s="80" t="str">
        <v>Open</v>
      </c>
      <c r="N54" s="80" t="str"/>
      <c r="O54" s="75" t="str">
        <v>Audit finding</v>
      </c>
      <c r="P54" s="75" t="str">
        <v>manish_handback_2026-10-07.md; assumptions/2026/macro.yaml</v>
      </c>
    </row>
    <row r="55" ht="76" customHeight="1">
      <c r="A55" s="75" t="str">
        <v>G050</v>
      </c>
      <c r="B55" s="75" t="str">
        <v>DR07</v>
      </c>
      <c r="C55" s="75" t="str">
        <v>Estimate to review</v>
      </c>
      <c r="D55" s="75" t="n">
        <v>2</v>
      </c>
      <c r="E55" s="75" t="str">
        <v>Generation timing and future diesel dispatch</v>
      </c>
      <c r="F55" s="75" t="str">
        <v>Project, gas and PPA evidence plus proposed cases.</v>
      </c>
      <c r="G55" s="75" t="str">
        <v>Funded/committed dates, PPA renewals, dependable capacity, gas availability and coherent dispatch balance.</v>
      </c>
      <c r="H55" s="75" t="str">
        <v>A project announcement or PPA end does not imply an operating change.</v>
      </c>
      <c r="I55" s="75" t="str">
        <v>Constrain scenarios by system balance; keep gas/coal-site assumptions labelled.</v>
      </c>
      <c r="J55" s="75" t="str">
        <v>Manish; Nigel/Henry review</v>
      </c>
      <c r="K55" s="75" t="str">
        <v>Before power scenario acceptance</v>
      </c>
      <c r="L55" s="81" t="str">
        <v>DR07 demand evidence!A1</v>
      </c>
      <c r="M55" s="80" t="str">
        <v>Open</v>
      </c>
      <c r="N55" s="80" t="str"/>
      <c r="O55" s="75" t="str">
        <v>Audit finding</v>
      </c>
      <c r="P55" s="75" t="str">
        <v>DR07 evidence and lever cases</v>
      </c>
    </row>
    <row r="56" ht="76" customHeight="1">
      <c r="A56" s="75" t="str">
        <v>G051</v>
      </c>
      <c r="B56" s="75" t="str">
        <v>DR08</v>
      </c>
      <c r="C56" s="75" t="str">
        <v>Estimate to review</v>
      </c>
      <c r="D56" s="75" t="n">
        <v>1</v>
      </c>
      <c r="E56" s="75" t="str">
        <v>Product yields and all-product conversions</v>
      </c>
      <c r="F56" s="75" t="str">
        <v>Natref estimates, Secunda fuels/chemicals totals, Astron energy output and assumed 50/50 split.</v>
      </c>
      <c r="G56" s="75" t="str">
        <v>Compatible output bases, product-specific yields/densities and operator confirmation.</v>
      </c>
      <c r="H56" s="75" t="str">
        <v>Capacity and all-product energy output cannot directly supply the petrol/diesel balance.</v>
      </c>
      <c r="I56" s="75" t="str">
        <v>Separate measured, derived and assumed values; reconcile feedstock, yields and utilisation.</v>
      </c>
      <c r="J56" s="75" t="str">
        <v>Manish; Nigel coordinates operators</v>
      </c>
      <c r="K56" s="75" t="str">
        <v>Before supply adoption</v>
      </c>
      <c r="L56" s="81" t="str">
        <v>DR08 refinery supply!A43:M83</v>
      </c>
      <c r="M56" s="80" t="str">
        <v>Open</v>
      </c>
      <c r="N56" s="80" t="str"/>
      <c r="O56" s="75" t="str">
        <v>Audit finding</v>
      </c>
      <c r="P56" s="75" t="str">
        <v>dr08_refinery_evidence_2026-10-08.md</v>
      </c>
    </row>
    <row r="57" ht="76" customHeight="1">
      <c r="A57" s="75" t="str">
        <v>G052</v>
      </c>
      <c r="B57" s="75" t="str">
        <v>DR08</v>
      </c>
      <c r="C57" s="75" t="str">
        <v>Reconciliation</v>
      </c>
      <c r="D57" s="75" t="n">
        <v>1</v>
      </c>
      <c r="E57" s="75" t="str">
        <v>Natref ownership and FY2026 production basis</v>
      </c>
      <c r="F57" s="75" t="str">
        <v>Earlier Sasol figures cover a 63.64% share; FY2026 includes co-owner capacity.</v>
      </c>
      <c r="G57" s="75" t="str">
        <v>Consistent whole-refinery scale and calendar mapping without blind share gross-up.</v>
      </c>
      <c r="H57" s="75" t="str">
        <v>A fixed scaling factor would overstate current output.</v>
      </c>
      <c r="I57" s="75" t="str">
        <v>Document the ownership/operating basis separately for each year.</v>
      </c>
      <c r="J57" s="75" t="str">
        <v>Manish</v>
      </c>
      <c r="K57" s="75" t="str">
        <v>Before refinery output forecast</v>
      </c>
      <c r="L57" s="81" t="str">
        <v>DR08 refinery supply!A44:M47</v>
      </c>
      <c r="M57" s="80" t="str">
        <v>Open</v>
      </c>
      <c r="N57" s="80" t="str"/>
      <c r="O57" s="75" t="str">
        <v>Audit finding</v>
      </c>
      <c r="P57" s="75" t="str">
        <v>dr08_refinery_evidence_2026-10-08.md</v>
      </c>
    </row>
    <row r="58" ht="76" customHeight="1">
      <c r="A58" s="75" t="str">
        <v>G053</v>
      </c>
      <c r="B58" s="75" t="str">
        <v>DR08</v>
      </c>
      <c r="C58" s="75" t="str">
        <v>Model decision</v>
      </c>
      <c r="D58" s="75" t="n">
        <v>1</v>
      </c>
      <c r="E58" s="75" t="str">
        <v>Refinery availability and restart paths</v>
      </c>
      <c r="F58" s="75" t="str">
        <v>Plant status and proposals; SAPREF phases and PetroSA tender lack firm dates.</v>
      </c>
      <c r="G58" s="75" t="str">
        <v>Funding/FID, commissioning/ramp, product yields, outages and Secunda gas/MRG fuel penalty.</v>
      </c>
      <c r="H58" s="75" t="str">
        <v>Import requirements depend on output paths that remain uncalibrated.</v>
      </c>
      <c r="I58" s="75" t="str">
        <v>Separate import-terminal competition from refinery restart; adopt dated scenario assumptions.</v>
      </c>
      <c r="J58" s="75" t="str">
        <v>Nigel / Manish; Henry review</v>
      </c>
      <c r="K58" s="75" t="str">
        <v>Before supply-world acceptance</v>
      </c>
      <c r="L58" s="81" t="str">
        <v>DR08 refinery supply!A89:M92</v>
      </c>
      <c r="M58" s="80" t="str">
        <v>Open</v>
      </c>
      <c r="N58" s="80" t="str"/>
      <c r="O58" s="75" t="str">
        <v>Audit finding</v>
      </c>
      <c r="P58" s="75" t="str">
        <v>DR08 refinery evidence; review_supply_worlds.yaml</v>
      </c>
    </row>
    <row r="59" ht="76" customHeight="1">
      <c r="A59" s="75" t="str">
        <v>G054</v>
      </c>
      <c r="B59" s="75" t="str">
        <v>Sizing</v>
      </c>
      <c r="C59" s="75" t="str">
        <v>Definition to correct</v>
      </c>
      <c r="D59" s="75" t="n">
        <v>1</v>
      </c>
      <c r="E59" s="75" t="str">
        <v>Durban and Lesedi low–high ranges</v>
      </c>
      <c r="F59" s="75" t="str">
        <v>Durban 4.3–13.2 compares KZN sales to gateway imports; Lesedi 6.8–12.0 compares catchments.</v>
      </c>
      <c r="G59" s="75" t="str">
        <v>Same measure, year, product and access definition for any scenario range.</v>
      </c>
      <c r="H59" s="75" t="str">
        <v>Current endpoints are not low/high estimates of an addressable market.</v>
      </c>
      <c r="I59" s="75" t="str">
        <v>Relabel as demand/gateway context; build destination and customer filters separately.</v>
      </c>
      <c r="J59" s="75" t="str">
        <v>Manish; Nigel review</v>
      </c>
      <c r="K59" s="75" t="str">
        <v>Before market-size publication</v>
      </c>
      <c r="L59" s="81" t="str">
        <v>Market sizing!A5:J9</v>
      </c>
      <c r="M59" s="80" t="str">
        <v>Open</v>
      </c>
      <c r="N59" s="80" t="str"/>
      <c r="O59" s="75" t="str">
        <v>Audit finding</v>
      </c>
      <c r="P59" s="75" t="str">
        <v>build_market_sizing.py; sizing method note</v>
      </c>
    </row>
    <row r="60" ht="76" customHeight="1">
      <c r="A60" s="75" t="str">
        <v>G055</v>
      </c>
      <c r="B60" s="75" t="str">
        <v>Sizing</v>
      </c>
      <c r="C60" s="75" t="str">
        <v>Definition to correct</v>
      </c>
      <c r="D60" s="75" t="n">
        <v>1</v>
      </c>
      <c r="E60" s="75" t="str">
        <v>Inland flow and road/rail residuals</v>
      </c>
      <c r="F60" s="75" t="str">
        <v>8.876bn L equals 2025 Durban imports less 2022 KZN sales.</v>
      </c>
      <c r="G60" s="75" t="str">
        <v>Same-year supply, use, stocks, exports, redistribution and compatible modal product scope.</v>
      </c>
      <c r="H60" s="75" t="str">
        <v>Residual does not establish inland flow, modal volumes or a shortage.</v>
      </c>
      <c r="I60" s="75" t="str">
        <v>Keep calculation only as an unvalidated diagnostic; obtain a matched flow balance.</v>
      </c>
      <c r="J60" s="75" t="str">
        <v>Manish</v>
      </c>
      <c r="K60" s="75" t="str">
        <v>Before flow or capacity-shortfall claims</v>
      </c>
      <c r="L60" s="81" t="str">
        <v>Market sizing!A7:J15</v>
      </c>
      <c r="M60" s="80" t="str">
        <v>Open</v>
      </c>
      <c r="N60" s="80" t="str"/>
      <c r="O60" s="75" t="str">
        <v>Audit finding</v>
      </c>
      <c r="P60" s="75" t="str">
        <v>build_market_sizing.py</v>
      </c>
    </row>
    <row r="61" ht="76" customHeight="1">
      <c r="A61" s="75" t="str">
        <v>G056</v>
      </c>
      <c r="B61" s="75" t="str">
        <v>Sizing</v>
      </c>
      <c r="C61" s="75" t="str">
        <v>Definition to correct</v>
      </c>
      <c r="D61" s="75" t="n">
        <v>1</v>
      </c>
      <c r="E61" s="75" t="str">
        <v>Combined unique market and services</v>
      </c>
      <c r="F61" s="75" t="str">
        <v>Combined line equals all Durban imports by assumption.</v>
      </c>
      <c r="G61" s="75" t="str">
        <v>Actual overlap and other Lesedi source flows, plus boundary between unique litres and chargeable services.</v>
      </c>
      <c r="H61" s="75" t="str">
        <v>Portfolio unique demand can be misstated.</v>
      </c>
      <c r="I61" s="75" t="str">
        <v>Use site volumes minus linked overlap; count legitimate services separately for revenue.</v>
      </c>
      <c r="J61" s="75" t="str">
        <v>Manish; Nigel / Vopak</v>
      </c>
      <c r="K61" s="75" t="str">
        <v>Before combined market share</v>
      </c>
      <c r="L61" s="81" t="str">
        <v>Market sizing!A11:J11</v>
      </c>
      <c r="M61" s="80" t="str">
        <v>Open</v>
      </c>
      <c r="N61" s="80" t="str"/>
      <c r="O61" s="75" t="str">
        <v>Audit finding</v>
      </c>
      <c r="P61" s="75" t="str">
        <v>build_market_sizing.py; DR02/05</v>
      </c>
    </row>
    <row r="62" ht="76" customHeight="1">
      <c r="A62" s="75" t="str">
        <v>G057</v>
      </c>
      <c r="B62" s="75" t="str">
        <v>Sizing</v>
      </c>
      <c r="C62" s="75" t="str">
        <v>Estimate to review</v>
      </c>
      <c r="D62" s="75" t="n">
        <v>1</v>
      </c>
      <c r="E62" s="75" t="str">
        <v>Fuel working tankage status</v>
      </c>
      <c r="F62" s="75" t="str">
        <v>Durban 146,000m3 estimated; Lesedi 124,000 includes 36,000 estimated.</v>
      </c>
      <c r="G62" s="75" t="str">
        <v>Complete fuel tank inventory and verified operational capacity at each site.</v>
      </c>
      <c r="H62" s="75" t="str">
        <v>Lesedi is labelled observed although part is assumed; Durban is an identified subset.</v>
      </c>
      <c r="I62" s="75" t="str">
        <v>Correct interpretation and validate against client records before using as total capacity.</v>
      </c>
      <c r="J62" s="75" t="str">
        <v>Manish; Nigel / Vopak</v>
      </c>
      <c r="K62" s="75" t="str">
        <v>Before capacity adoption</v>
      </c>
      <c r="L62" s="81" t="str">
        <v>Market sizing!A16:J20</v>
      </c>
      <c r="M62" s="80" t="str">
        <v>Open</v>
      </c>
      <c r="N62" s="80" t="str"/>
      <c r="O62" s="75" t="str">
        <v>Audit finding</v>
      </c>
      <c r="P62" s="75" t="str">
        <v>terminal_site_assumptions.csv</v>
      </c>
    </row>
    <row r="63" ht="76" customHeight="1">
      <c r="A63" s="75" t="str">
        <v>G058</v>
      </c>
      <c r="B63" s="75" t="str">
        <v>Sizing</v>
      </c>
      <c r="C63" s="75" t="str">
        <v>Estimate to review</v>
      </c>
      <c r="D63" s="75" t="n">
        <v>1</v>
      </c>
      <c r="E63" s="75" t="str">
        <v>Turns, throughput and spare capacity</v>
      </c>
      <c r="F63" s="75" t="str">
        <v>Illustrative 1/2/3 monthly turns; Lesedi high 2.4.</v>
      </c>
      <c r="G63" s="75" t="str">
        <v>Observed sustainable turns, peaks, commitments and achievable receipt/dispatch.</v>
      </c>
      <c r="H63" s="75" t="str">
        <v>The sensitivity is neither measured throughput nor a guaranteed engineering ceiling.</v>
      </c>
      <c r="I63" s="75" t="str">
        <v>Use min of tank/turn, service and accessible-customer constraints; deduct existing commitments.</v>
      </c>
      <c r="J63" s="75" t="str">
        <v>Nigel / Vopak; Manish models</v>
      </c>
      <c r="K63" s="75" t="str">
        <v>Before headroom or investment sizing</v>
      </c>
      <c r="L63" s="81" t="str">
        <v>Market sizing!A17:J23</v>
      </c>
      <c r="M63" s="80" t="str">
        <v>Open</v>
      </c>
      <c r="N63" s="80" t="str"/>
      <c r="O63" s="75" t="str">
        <v>Audit finding</v>
      </c>
      <c r="P63" s="75" t="str">
        <v>terminal_site_assumptions.csv; DR03</v>
      </c>
    </row>
    <row r="64" ht="76" customHeight="1">
      <c r="A64" s="75" t="str">
        <v>G059</v>
      </c>
      <c r="B64" s="75" t="str">
        <v>Sizing</v>
      </c>
      <c r="C64" s="75" t="str">
        <v>Reconciliation</v>
      </c>
      <c r="D64" s="75" t="n">
        <v>1</v>
      </c>
      <c r="E64" s="75" t="str">
        <v>Consistent operating and commercial assumptions</v>
      </c>
      <c r="F64" s="75" t="str">
        <v>Story investment illustration uses different working fraction and turns.</v>
      </c>
      <c r="G64" s="75" t="str">
        <v>One versioned agreed basis for sizing, operating limits and all nine worlds.</v>
      </c>
      <c r="H64" s="75" t="str">
        <v>Different assumptions can reverse tank versus debottleneck decisions.</v>
      </c>
      <c r="I64" s="75" t="str">
        <v>Reconcile the illustration to adopted operational inputs; retain scenario sensitivity.</v>
      </c>
      <c r="J64" s="75" t="str">
        <v>Nigel / Manish</v>
      </c>
      <c r="K64" s="75" t="str">
        <v>Before investment recommendation</v>
      </c>
      <c r="L64" s="81" t="str">
        <v>Market sizing!A17:J23</v>
      </c>
      <c r="M64" s="80" t="str">
        <v>Open</v>
      </c>
      <c r="N64" s="80" t="str"/>
      <c r="O64" s="75" t="str">
        <v>Audit finding</v>
      </c>
      <c r="P64" s="75" t="str">
        <v>vopak_investment_illustration.yaml; sa_market_story_v27_2026_10_08.json</v>
      </c>
    </row>
    <row r="65" ht="76" customHeight="1">
      <c r="A65" s="75" t="str">
        <v>G060</v>
      </c>
      <c r="B65" s="75" t="str">
        <v>DR09</v>
      </c>
      <c r="C65" s="75" t="str">
        <v>Separate scope</v>
      </c>
      <c r="D65" s="75" t="n">
        <v>2</v>
      </c>
      <c r="E65" s="75" t="str">
        <v>EV or other adjacent investment case</v>
      </c>
      <c r="F65" s="75" t="str">
        <v>DR09 request exists outside this master.</v>
      </c>
      <c r="G65" s="75" t="str">
        <v>Customer energy demand, power access, utilisation, capex, tariffs, partnership and mandate.</v>
      </c>
      <c r="H65" s="75" t="str">
        <v>Lower fuel demand does not establish an attractive adjacent business.</v>
      </c>
      <c r="I65" s="75" t="str">
        <v>Confirm scope first; if pursued, build a separate customer and cash-flow case.</v>
      </c>
      <c r="J65" s="75" t="str">
        <v>Nigel / Vopak strategy</v>
      </c>
      <c r="K65" s="75" t="str">
        <v>Before adjacency screening</v>
      </c>
      <c r="L65" s="81" t="str">
        <v>Contents!A2</v>
      </c>
      <c r="M65" s="80" t="str">
        <v>Open</v>
      </c>
      <c r="N65" s="80" t="str"/>
      <c r="O65" s="75" t="str">
        <v>Audit finding</v>
      </c>
      <c r="P65" s="75" t="str">
        <v>DR09 request register</v>
      </c>
    </row>
    <row r="66" ht="76" customHeight="1">
      <c r="A66" s="75" t="str">
        <v>G061</v>
      </c>
      <c r="B66" s="75" t="str">
        <v>Governance</v>
      </c>
      <c r="C66" s="75" t="str">
        <v>Publication issue</v>
      </c>
      <c r="D66" s="75" t="n">
        <v>2</v>
      </c>
      <c r="E66" s="75" t="str">
        <v>Formula results in distributed workbook</v>
      </c>
      <c r="F66" s="75" t="str">
        <v>All 251 original formula cells had no cached results on inspection.</v>
      </c>
      <c r="G66" s="75" t="str">
        <v>Recalculated saved values and error check in the new copy; preserve formulas.</v>
      </c>
      <c r="H66" s="75" t="str">
        <v>Data-only readers see blanks even when formulas are present.</v>
      </c>
      <c r="I66" s="75" t="str">
        <v>Recalculate and verify cached results, representative totals and dependent estimates.</v>
      </c>
      <c r="J66" s="75" t="str">
        <v>Workbook builder; Manish refresh owner</v>
      </c>
      <c r="K66" s="75" t="str">
        <v>Before workbook delivery</v>
      </c>
      <c r="L66" s="81" t="str">
        <v>Contents!A2</v>
      </c>
      <c r="M66" s="80" t="str">
        <v>Open</v>
      </c>
      <c r="N66" s="80" t="str"/>
      <c r="O66" s="75" t="str">
        <v>Audit finding</v>
      </c>
      <c r="P66" s="75" t="str">
        <v>audit_evidence.json</v>
      </c>
    </row>
    <row r="67" ht="76" customHeight="1">
      <c r="A67" s="75" t="str">
        <v>G062</v>
      </c>
      <c r="B67" s="75" t="str">
        <v>Governance</v>
      </c>
      <c r="C67" s="75" t="str">
        <v>Publication issue</v>
      </c>
      <c r="D67" s="75" t="n">
        <v>2</v>
      </c>
      <c r="E67" s="75" t="str">
        <v>Request receipt and completed-task status</v>
      </c>
      <c r="F67" s="75" t="str">
        <v>Public handback exists; request register still says prepared/not sent.</v>
      </c>
      <c r="G67" s="75" t="str">
        <v>Distinguish received, reviewed, adopted and unresolved; update old pack tasks/links.</v>
      </c>
      <c r="H67" s="75" t="str">
        <v>Reader cannot tell which work is complete.</v>
      </c>
      <c r="I67" s="75" t="str">
        <v>Record public evidence receipt; do not infer client receipt or business acceptance.</v>
      </c>
      <c r="J67" s="75" t="str">
        <v>Manish; Nigel reviews</v>
      </c>
      <c r="K67" s="75" t="str">
        <v>Before next pack issue</v>
      </c>
      <c r="L67" s="81" t="str">
        <v>Contents!A5:E16</v>
      </c>
      <c r="M67" s="80" t="str">
        <v>Open</v>
      </c>
      <c r="N67" s="80" t="str"/>
      <c r="O67" s="75" t="str">
        <v>Audit finding</v>
      </c>
      <c r="P67" s="75" t="str">
        <v>data_request.csv; v1900 delivered pack</v>
      </c>
    </row>
    <row r="68" ht="76" customHeight="1">
      <c r="A68" s="75" t="str">
        <v>G063</v>
      </c>
      <c r="B68" s="75" t="str">
        <v>Governance</v>
      </c>
      <c r="C68" s="75" t="str">
        <v>Review required</v>
      </c>
      <c r="D68" s="75" t="n">
        <v>1</v>
      </c>
      <c r="E68" s="75" t="str">
        <v>Evidence acceptance and model integration</v>
      </c>
      <c r="F68" s="75" t="str">
        <v>Coverage check passes; 57 open exceptions; register remains unreviewed.</v>
      </c>
      <c r="G68" s="75" t="str">
        <v>Source review, decisions, engine adoption trace and independent review.</v>
      </c>
      <c r="H68" s="75" t="str">
        <v>Passing tests does not establish comprehensive or approved data.</v>
      </c>
      <c r="I68" s="75" t="str">
        <v>Track each adopted input to source, reviewer and scenario version; retain open limitations.</v>
      </c>
      <c r="J68" s="75" t="str">
        <v>Nigel / Manish; Henry review</v>
      </c>
      <c r="K68" s="75" t="str">
        <v>Before formal use</v>
      </c>
      <c r="L68" s="81" t="str">
        <v>Contents!A2</v>
      </c>
      <c r="M68" s="80" t="str">
        <v>Open</v>
      </c>
      <c r="N68" s="80" t="str"/>
      <c r="O68" s="75" t="str">
        <v>Audit finding</v>
      </c>
      <c r="P68" s="75" t="str">
        <v>GATE_CHECKLIST.md; assumption_register.csv; exception_log.csv</v>
      </c>
    </row>
  </sheetData>
  <mergeCells>
    <mergeCell ref="A2:P3"/>
  </mergeCells>
  <conditionalFormatting sqref="M6:M68">
    <cfRule type="containsText" dxfId="0" priority="1" operator="containsText" text="Resolved"/>
  </conditionalFormatting>
  <conditionalFormatting sqref="D6:D68">
    <cfRule type="cellIs" dxfId="1" priority="2" operator="equal">
      <formula>1</formula>
    </cfRule>
  </conditionalFormatting>
  <dataValidations count="1">
    <dataValidation type="list" sqref="M6:M68">
      <formula1>"Open,In progress,Decision agreed,Resolved,Not in scope"</formula1>
    </dataValidation>
  </dataValidations>
  <hyperlinks>
    <hyperlink ref="L6" location="'DR01 national balance'!J8" display="DR01 national balance!J8:M8" tooltip="Open the linked workbook evidence or review item"/>
    <hyperlink ref="L7" location="'DR01 national balance'!L7" display="DR01 national balance!L7:M7" tooltip="Open the linked workbook evidence or review item"/>
    <hyperlink ref="L8" location="'DR01 national balance'!B11" display="DR01 national balance!B11:M11" tooltip="Open the linked workbook evidence or review item"/>
    <hyperlink ref="L9" location="'DR04 routes and access'!A27" display="DR04 routes and access!A27" tooltip="Open the linked workbook evidence or review item"/>
    <hyperlink ref="L10" location="'DR04 routes and access'!A54" display="DR04 routes and access!A54" tooltip="Open the linked workbook evidence or review item"/>
    <hyperlink ref="L11" location="'DR04 routes and access'!A55" display="DR04 routes and access!A55" tooltip="Open the linked workbook evidence or review item"/>
    <hyperlink ref="L12" location="'DR04 routes and access'!A86" display="DR04 routes and access!A86" tooltip="Open the linked workbook evidence or review item"/>
    <hyperlink ref="L13" location="'DR04 routes and access'!A116" display="DR04 routes and access!A116" tooltip="Open the linked workbook evidence or review item"/>
    <hyperlink ref="L14" location="'DR04 routes and access'!A117" display="DR04 routes and access!A117" tooltip="Open the linked workbook evidence or review item"/>
    <hyperlink ref="L15" location="'DR04 routes and access'!A56" display="DR04 routes and access!A56" tooltip="Open the linked workbook evidence or review item"/>
    <hyperlink ref="L16" location="'DR07 demand evidence'!A14" display="DR07 demand evidence!A14" tooltip="Open the linked workbook evidence or review item"/>
    <hyperlink ref="L17" location="'DR07 demand evidence'!A113" display="DR07 demand evidence!A113" tooltip="Open the linked workbook evidence or review item"/>
    <hyperlink ref="L18" location="'DR07 demand evidence'!A137" display="DR07 demand evidence!A137" tooltip="Open the linked workbook evidence or review item"/>
    <hyperlink ref="L19" location="'DR07 demand evidence'!A156" display="DR07 demand evidence!A156" tooltip="Open the linked workbook evidence or review item"/>
    <hyperlink ref="L20" location="'DR07 demand evidence'!A176" display="DR07 demand evidence!A176" tooltip="Open the linked workbook evidence or review item"/>
    <hyperlink ref="L21" location="'DR08 refinery supply'!A52" display="DR08 refinery supply!A52" tooltip="Open the linked workbook evidence or review item"/>
    <hyperlink ref="L22" location="'DR08 refinery supply'!A64" display="DR08 refinery supply!A64" tooltip="Open the linked workbook evidence or review item"/>
    <hyperlink ref="L23" location="'DR01 national balance'!K7" display="DR01 national balance!K7:M21" tooltip="Open the linked workbook evidence or review item"/>
    <hyperlink ref="L24" location="'DR01 sales by province'!K7" display="DR01 sales by province!K7:N31" tooltip="Open the linked workbook evidence or review item"/>
    <hyperlink ref="L25" location="'DR01 sales by province'!C16" display="DR01 sales by province!C16:G17" tooltip="Open the linked workbook evidence or review item"/>
    <hyperlink ref="L26" location="'DR01 national balance'!I7" display="DR01 national balance!I7:I21" tooltip="Open the linked workbook evidence or review item"/>
    <hyperlink ref="L27" location="'DR01 national balance'!K7" display="DR01 national balance!K7:M16" tooltip="Open the linked workbook evidence or review item"/>
    <hyperlink ref="L28" location="'Contents'!A2" display="Contents!A2" tooltip="Open the linked workbook evidence or review item"/>
    <hyperlink ref="L29" location="'DR01 sector activity'!K9" display="DR01 sector activity!K9:N21" tooltip="Open the linked workbook evidence or review item"/>
    <hyperlink ref="L30" location="'DR01 demand by sector'!A5" display="DR01 demand by sector!A5:K28" tooltip="Open the linked workbook evidence or review item"/>
    <hyperlink ref="L31" location="'DR04 routes and access'!A7" display="DR04 routes and access!A7:M13" tooltip="Open the linked workbook evidence or review item"/>
    <hyperlink ref="L32" location="'DR04 routes and access'!A7" display="DR04 routes and access!A7:M16" tooltip="Open the linked workbook evidence or review item"/>
    <hyperlink ref="L33" location="'DR04 entry points'!A4" display="DR04 entry points!A4:P39" tooltip="Open the linked workbook evidence or review item"/>
    <hyperlink ref="L34" location="'DR04 routes and access'!A94" display="DR04 routes and access!A94:M103" tooltip="Open the linked workbook evidence or review item"/>
    <hyperlink ref="L35" location="'DR04 transport cost'!A5" display="DR04 transport cost!A5:H14" tooltip="Open the linked workbook evidence or review item"/>
    <hyperlink ref="L36" location="'DR04 routes and access'!A74" display="DR04 routes and access!A74:M86" tooltip="Open the linked workbook evidence or review item"/>
    <hyperlink ref="L37" location="'DR04 routes and access'!A108" display="DR04 routes and access!A108:M117" tooltip="Open the linked workbook evidence or review item"/>
    <hyperlink ref="L38" location="'DR04 routes and access'!A90" display="DR04 routes and access!A90:M103" tooltip="Open the linked workbook evidence or review item"/>
    <hyperlink ref="L39" location="'Market sizing'!A5" display="Market sizing!A5:J11" tooltip="Open the linked workbook evidence or review item"/>
    <hyperlink ref="L40" location="'Market sizing'!A5" display="Market sizing!A5:J11" tooltip="Open the linked workbook evidence or review item"/>
    <hyperlink ref="L41" location="'Market sizing'!A16" display="Market sizing!A16:J23" tooltip="Open the linked workbook evidence or review item"/>
    <hyperlink ref="L42" location="'Market sizing'!A16" display="Market sizing!A16:J23" tooltip="Open the linked workbook evidence or review item"/>
    <hyperlink ref="L43" location="'Market sizing'!A5" display="Market sizing!A5:J11" tooltip="Open the linked workbook evidence or review item"/>
    <hyperlink ref="L44" location="'Market sizing'!A5" display="Market sizing!A5:J11" tooltip="Open the linked workbook evidence or review item"/>
    <hyperlink ref="L45" location="'Market sizing'!A5" display="Market sizing!A5:J11" tooltip="Open the linked workbook evidence or review item"/>
    <hyperlink ref="L46" location="'Market sizing'!A5" display="Market sizing!A5:J11" tooltip="Open the linked workbook evidence or review item"/>
    <hyperlink ref="L47" location="'Market sizing'!A5" display="Market sizing!A5:J11" tooltip="Open the linked workbook evidence or review item"/>
    <hyperlink ref="L48" location="'Market sizing'!A5" display="Market sizing!A5:J11" tooltip="Open the linked workbook evidence or review item"/>
    <hyperlink ref="L49" location="'DR07 demand evidence'!A7" display="DR07 demand evidence!A7:L11" tooltip="Open the linked workbook evidence or review item"/>
    <hyperlink ref="L50" location="'DR07 demand evidence'!A7" display="DR07 demand evidence!A7:L11" tooltip="Open the linked workbook evidence or review item"/>
    <hyperlink ref="L51" location="'DR07 fleet by province'!A4" display="DR07 fleet by province!A4:J27" tooltip="Open the linked workbook evidence or review item"/>
    <hyperlink ref="L52" location="'DR07 demand evidence'!A1" display="DR07 demand evidence!A1" tooltip="Open the linked workbook evidence or review item"/>
    <hyperlink ref="L53" location="'DR07 demand evidence'!A172" display="DR07 demand evidence!A172:L177" tooltip="Open the linked workbook evidence or review item"/>
    <hyperlink ref="L54" location="'Contents'!A2" display="Contents!A2" tooltip="Open the linked workbook evidence or review item"/>
    <hyperlink ref="L55" location="'DR07 demand evidence'!A1" display="DR07 demand evidence!A1" tooltip="Open the linked workbook evidence or review item"/>
    <hyperlink ref="L56" location="'DR08 refinery supply'!A43" display="DR08 refinery supply!A43:M83" tooltip="Open the linked workbook evidence or review item"/>
    <hyperlink ref="L57" location="'DR08 refinery supply'!A44" display="DR08 refinery supply!A44:M47" tooltip="Open the linked workbook evidence or review item"/>
    <hyperlink ref="L58" location="'DR08 refinery supply'!A89" display="DR08 refinery supply!A89:M92" tooltip="Open the linked workbook evidence or review item"/>
    <hyperlink ref="L59" location="'Market sizing'!A5" display="Market sizing!A5:J9" tooltip="Open the linked workbook evidence or review item"/>
    <hyperlink ref="L60" location="'Market sizing'!A7" display="Market sizing!A7:J15" tooltip="Open the linked workbook evidence or review item"/>
    <hyperlink ref="L61" location="'Market sizing'!A11" display="Market sizing!A11:J11" tooltip="Open the linked workbook evidence or review item"/>
    <hyperlink ref="L62" location="'Market sizing'!A16" display="Market sizing!A16:J20" tooltip="Open the linked workbook evidence or review item"/>
    <hyperlink ref="L63" location="'Market sizing'!A17" display="Market sizing!A17:J23" tooltip="Open the linked workbook evidence or review item"/>
    <hyperlink ref="L64" location="'Market sizing'!A17" display="Market sizing!A17:J23" tooltip="Open the linked workbook evidence or review item"/>
    <hyperlink ref="L65" location="'Contents'!A2" display="Contents!A2" tooltip="Open the linked workbook evidence or review item"/>
    <hyperlink ref="L66" location="'Contents'!A2" display="Contents!A2" tooltip="Open the linked workbook evidence or review item"/>
    <hyperlink ref="L67" location="'Contents'!A5" display="Contents!A5:E16" tooltip="Open the linked workbook evidence or review item"/>
    <hyperlink ref="L68" location="'Contents'!A2" display="Contents!A2" tooltip="Open the linked workbook evidence or review item"/>
  </hyperlinks>
  <pageMargins left="0.7" right="0.7" top="0.75" bottom="0.75" header="0.3" footer="0.3"/>
  <tableParts count="1">
    <tablePart r:id="R3e7486805b1341ec"/>
  </tableParts>
</worksheet>
</file>

<file path=xl/worksheets/sheet17.xml><?xml version="1.0" encoding="utf-8"?>
<worksheet xmlns="http://schemas.openxmlformats.org/spreadsheetml/2006/main" xmlns:r="http://schemas.openxmlformats.org/officeDocument/2006/relationships">
  <sheetPr>
    <tabColor rgb="FF66849C"/>
  </sheetPr>
  <sheetViews>
    <sheetView showGridLines="0" workbookViewId="0" tabSelected="0">
      <pane ySplit="5" topLeftCell="A6" activePane="bottomLeft" state="frozen"/>
    </sheetView>
  </sheetViews>
  <sheetFormatPr defaultRowHeight="15"/>
  <cols>
    <col min="1" max="1" width="33" hidden="0" customWidth="1"/>
    <col min="2" max="2" width="45" hidden="0" customWidth="1"/>
    <col min="3" max="3" width="30" hidden="0" customWidth="1"/>
    <col min="4" max="4" width="54" hidden="0" customWidth="1"/>
    <col min="5" max="5" width="53" hidden="0" customWidth="1"/>
    <col min="6" max="6" width="34" hidden="0" customWidth="1"/>
    <col min="7" max="7" width="20" hidden="0" customWidth="1"/>
    <col min="8" max="8" width="13" hidden="0" customWidth="1"/>
  </cols>
  <sheetData>
    <row r="1" ht="30" customHeight="1">
      <c r="A1" s="74" t="str">
        <v>Series dates, scope and coverage</v>
      </c>
      <c r="B1" s="73"/>
      <c r="C1" s="73"/>
      <c r="D1" s="73"/>
      <c r="E1" s="73"/>
      <c r="F1" s="73"/>
      <c r="G1" s="73"/>
      <c r="H1" s="73"/>
    </row>
    <row r="2" ht="24" customHeight="1">
      <c r="A2" s="76" t="str">
        <v>This covers 24 decision-relevant data areas. Latest available means evidence inspected in this review, not an exhaustive search of all publishers. Fiscal, calendar and snapshot dates remain distinct.</v>
      </c>
      <c r="B2" s="76"/>
      <c r="C2" s="76"/>
      <c r="D2" s="76"/>
      <c r="E2" s="76"/>
      <c r="F2" s="76"/>
      <c r="G2" s="76"/>
      <c r="H2" s="76"/>
    </row>
    <row r="3" ht="18" customHeight="1">
      <c r="A3" s="76"/>
      <c r="B3" s="76"/>
      <c r="C3" s="76"/>
      <c r="D3" s="76"/>
      <c r="E3" s="76"/>
      <c r="F3" s="76"/>
      <c r="G3" s="76"/>
      <c r="H3" s="76"/>
    </row>
    <row r="4">
      <c r="A4" s="73"/>
      <c r="B4" s="73"/>
      <c r="C4" s="73"/>
      <c r="D4" s="73"/>
      <c r="E4" s="73"/>
      <c r="F4" s="73"/>
      <c r="G4" s="73"/>
      <c r="H4" s="73"/>
    </row>
    <row r="5" ht="32" customHeight="1">
      <c r="A5" s="79" t="str">
        <v>Data area</v>
      </c>
      <c r="B5" s="79" t="str">
        <v>History or coverage</v>
      </c>
      <c r="C5" s="79" t="str">
        <v>Latest evidence held</v>
      </c>
      <c r="D5" s="79" t="str">
        <v>Remaining requirement</v>
      </c>
      <c r="E5" s="79" t="str">
        <v>Definition / comparability</v>
      </c>
      <c r="F5" s="79" t="str">
        <v>Workbook sheet</v>
      </c>
      <c r="G5" s="79" t="str">
        <v>Cells</v>
      </c>
      <c r="H5" s="79" t="str">
        <v>Request</v>
      </c>
    </row>
    <row r="6" ht="58" customHeight="1">
      <c r="A6" s="75" t="str">
        <v>National sales</v>
      </c>
      <c r="B6" s="75" t="str">
        <v>2005–2023 source; master 2014–2025</v>
      </c>
      <c r="C6" s="75" t="str">
        <v>2023 observed</v>
      </c>
      <c r="D6" s="75" t="str">
        <v>2024–2025 absent</v>
      </c>
      <c r="E6" s="75" t="str">
        <v>Calendar year; petrol/diesel litres</v>
      </c>
      <c r="F6" s="81" t="str">
        <v>DR01 national balance</v>
      </c>
      <c r="G6" s="75" t="str">
        <v>K7:M16</v>
      </c>
      <c r="H6" s="75" t="str">
        <v>DR01</v>
      </c>
    </row>
    <row r="7" ht="58" customHeight="1">
      <c r="A7" s="75" t="str">
        <v>Provincial sales</v>
      </c>
      <c r="B7" s="75" t="str">
        <v>2013–2022 observed; 2023 estimate</v>
      </c>
      <c r="C7" s="75" t="str">
        <v>2022 full year</v>
      </c>
      <c r="D7" s="75" t="str">
        <v>2023 estimated; 2024–2025 absent</v>
      </c>
      <c r="E7" s="75" t="str">
        <v>Do not mix province estimates with observations</v>
      </c>
      <c r="F7" s="81" t="str">
        <v>DR01 sales by province</v>
      </c>
      <c r="G7" s="75" t="str">
        <v>K7:N31</v>
      </c>
      <c r="H7" s="75" t="str">
        <v>DR01</v>
      </c>
    </row>
    <row r="8" ht="58" customHeight="1">
      <c r="A8" s="75" t="str">
        <v>Product production</v>
      </c>
      <c r="B8" s="75" t="str">
        <v>2007–2021 source; master from 2014</v>
      </c>
      <c r="C8" s="75" t="str">
        <v>2021 observed</v>
      </c>
      <c r="D8" s="75" t="str">
        <v>2022 onward absent on adopted basis</v>
      </c>
      <c r="E8" s="75" t="str">
        <v>Calendar years; litres by product</v>
      </c>
      <c r="F8" s="81" t="str">
        <v>DR01 national balance</v>
      </c>
      <c r="G8" s="75" t="str">
        <v>I8:M17</v>
      </c>
      <c r="H8" s="75" t="str">
        <v>DR01</v>
      </c>
    </row>
    <row r="9" ht="58" customHeight="1">
      <c r="A9" s="75" t="str">
        <v>National imports/exports</v>
      </c>
      <c r="B9" s="75" t="str">
        <v>2014–2025 full selected litre series</v>
      </c>
      <c r="C9" s="75" t="str">
        <v>2025 observed</v>
      </c>
      <c r="D9" s="75" t="str">
        <v>2026 partial kept separately in source</v>
      </c>
      <c r="E9" s="75" t="str">
        <v>Gross imports differ from net imports</v>
      </c>
      <c r="F9" s="81" t="str">
        <v>DR01 national balance</v>
      </c>
      <c r="G9" s="75" t="str">
        <v>M9:M19</v>
      </c>
      <c r="H9" s="75" t="str">
        <v>DR01</v>
      </c>
    </row>
    <row r="10" ht="58" customHeight="1">
      <c r="A10" s="75" t="str">
        <v>Customs by office</v>
      </c>
      <c r="B10" s="75" t="str">
        <v>2014–2025 in master</v>
      </c>
      <c r="C10" s="75" t="str">
        <v>2025 observed</v>
      </c>
      <c r="D10" s="75" t="str">
        <v>Terminal and destination allocation absent</v>
      </c>
      <c r="E10" s="75" t="str">
        <v>Office/mode is not a final-customer record</v>
      </c>
      <c r="F10" s="81" t="str">
        <v>DR04 entry points</v>
      </c>
      <c r="G10" s="75" t="str">
        <v>A4:P39</v>
      </c>
      <c r="H10" s="75" t="str">
        <v>DR04</v>
      </c>
    </row>
    <row r="11" ht="58" customHeight="1">
      <c r="A11" s="75" t="str">
        <v>Stock changes</v>
      </c>
      <c r="B11" s="75" t="str">
        <v>No adopted observations</v>
      </c>
      <c r="C11" s="75" t="str">
        <v>Absent</v>
      </c>
      <c r="D11" s="75" t="str">
        <v>All matched years</v>
      </c>
      <c r="E11" s="75" t="str">
        <v>Blank is not zero</v>
      </c>
      <c r="F11" s="81" t="str">
        <v>DR01 national balance</v>
      </c>
      <c r="G11" s="75" t="str">
        <v>B11:M11</v>
      </c>
      <c r="H11" s="75" t="str">
        <v>DR01</v>
      </c>
    </row>
    <row r="12" ht="58" customHeight="1">
      <c r="A12" s="75" t="str">
        <v>Fuel by sector</v>
      </c>
      <c r="B12" s="75" t="str">
        <v>2014–2021 in master</v>
      </c>
      <c r="C12" s="75" t="str">
        <v>2021 observed</v>
      </c>
      <c r="D12" s="75" t="str">
        <v>Post-2021 activity-based estimates</v>
      </c>
      <c r="E12" s="75" t="str">
        <v>Industry includes mining; avoid summing parent and child</v>
      </c>
      <c r="F12" s="81" t="str">
        <v>DR01 demand by sector</v>
      </c>
      <c r="G12" s="75" t="str">
        <v>A5:K28</v>
      </c>
      <c r="H12" s="75" t="str">
        <v>DR01</v>
      </c>
    </row>
    <row r="13" ht="58" customHeight="1">
      <c r="A13" s="75" t="str">
        <v>Sector activity</v>
      </c>
      <c r="B13" s="75" t="str">
        <v>2014–2025 in master</v>
      </c>
      <c r="C13" s="75" t="str">
        <v>2025 observed activity</v>
      </c>
      <c r="D13" s="75" t="str">
        <v>Intensity and attribution need acceptance</v>
      </c>
      <c r="E13" s="75" t="str">
        <v>Mining/manufacturing indices; agriculture real GVA</v>
      </c>
      <c r="F13" s="81" t="str">
        <v>DR01 sector activity</v>
      </c>
      <c r="G13" s="75" t="str">
        <v>C7:N21</v>
      </c>
      <c r="H13" s="75" t="str">
        <v>DR07</v>
      </c>
    </row>
    <row r="14" ht="58" customHeight="1">
      <c r="A14" s="75" t="str">
        <v>Power fuel and generation</v>
      </c>
      <c r="B14" s="75" t="str">
        <v>Historical fiscal-year evidence</v>
      </c>
      <c r="C14" s="75" t="str">
        <v>See original row years</v>
      </c>
      <c r="D14" s="75" t="str">
        <v>Calendar/fuel scope; IPP conversion; private backup</v>
      </c>
      <c r="E14" s="75" t="str">
        <v>Reported Eskom and estimated IPP litres differ</v>
      </c>
      <c r="F14" s="81" t="str">
        <v>DR07 demand evidence</v>
      </c>
      <c r="G14" s="75" t="str">
        <v>A7:L11</v>
      </c>
      <c r="H14" s="75" t="str">
        <v>DR07</v>
      </c>
    </row>
    <row r="15" ht="58" customHeight="1">
      <c r="A15" s="75" t="str">
        <v>Vehicle class by province</v>
      </c>
      <c r="B15" s="75" t="str">
        <v>June 2026 snapshot</v>
      </c>
      <c r="C15" s="75" t="str">
        <v>2026-06 stock</v>
      </c>
      <c r="D15" s="75" t="str">
        <v>Age, use and within-class fuel detail</v>
      </c>
      <c r="E15" s="75" t="str">
        <v>Registered stock is not annual new sales</v>
      </c>
      <c r="F15" s="81" t="str">
        <v>DR07 fleet by province</v>
      </c>
      <c r="G15" s="75" t="str">
        <v>A4:J14</v>
      </c>
      <c r="H15" s="75" t="str">
        <v>DR07</v>
      </c>
    </row>
    <row r="16" ht="58" customHeight="1">
      <c r="A16" s="75" t="str">
        <v>Vehicle fuel by province</v>
      </c>
      <c r="B16" s="75" t="str">
        <v>December 2023 snapshot</v>
      </c>
      <c r="C16" s="75" t="str">
        <v>2023-12 stock</v>
      </c>
      <c r="D16" s="75" t="str">
        <v>Later fuel shares and class-level detail</v>
      </c>
      <c r="E16" s="75" t="str">
        <v>Keep snapshot date visible</v>
      </c>
      <c r="F16" s="81" t="str">
        <v>DR07 fleet by province</v>
      </c>
      <c r="G16" s="75" t="str">
        <v>A16:J27</v>
      </c>
      <c r="H16" s="75" t="str">
        <v>DR07</v>
      </c>
    </row>
    <row r="17" ht="58" customHeight="1">
      <c r="A17" s="75" t="str">
        <v>EV and efficiency drivers</v>
      </c>
      <c r="B17" s="75" t="str">
        <v>History plus proposed 2030/2035 cases</v>
      </c>
      <c r="C17" s="75" t="str">
        <v>Mixed observed and assumed</v>
      </c>
      <c r="D17" s="75" t="str">
        <v>Annual cohort implementation and acceptance</v>
      </c>
      <c r="E17" s="75" t="str">
        <v>Do not count hybrid/efficiency savings twice</v>
      </c>
      <c r="F17" s="81" t="str">
        <v>DR07 demand evidence</v>
      </c>
      <c r="G17" s="75" t="str">
        <v>A1</v>
      </c>
      <c r="H17" s="75" t="str">
        <v>DR07</v>
      </c>
    </row>
    <row r="18" ht="58" customHeight="1">
      <c r="A18" s="75" t="str">
        <v>Road and rail activity</v>
      </c>
      <c r="B18" s="75" t="str">
        <v>History plus tonne-km snapshots</v>
      </c>
      <c r="C18" s="75" t="str">
        <v>Mixed series vintages</v>
      </c>
      <c r="D18" s="75" t="str">
        <v>Annual transferable tonne-km and fuel intensity</v>
      </c>
      <c r="E18" s="75" t="str">
        <v>Tonnes alone do not measure transport work</v>
      </c>
      <c r="F18" s="81" t="str">
        <v>DR07 demand evidence</v>
      </c>
      <c r="G18" s="75" t="str">
        <v>A172:L177</v>
      </c>
      <c r="H18" s="75" t="str">
        <v>DR07</v>
      </c>
    </row>
    <row r="19" ht="58" customHeight="1">
      <c r="A19" s="75" t="str">
        <v>Macro history and growth</v>
      </c>
      <c r="B19" s="75" t="str">
        <v>Staged Stats SA; legacy engine history</v>
      </c>
      <c r="C19" s="75" t="str">
        <v>Not fully consolidated here</v>
      </c>
      <c r="D19" s="75" t="str">
        <v>Adopt source and annual post-official paths</v>
      </c>
      <c r="E19" s="75" t="str">
        <v>Source staging is not engine integration</v>
      </c>
      <c r="F19" s="81" t="str">
        <v>Contents</v>
      </c>
      <c r="G19" s="75" t="str">
        <v>A2</v>
      </c>
      <c r="H19" s="75" t="str">
        <v>DR07</v>
      </c>
    </row>
    <row r="20" ht="58" customHeight="1">
      <c r="A20" s="75" t="str">
        <v>Refinery output and status</v>
      </c>
      <c r="B20" s="75" t="str">
        <v>Status 2026; output period differs by plant</v>
      </c>
      <c r="C20" s="75" t="str">
        <v>FY2026 for selected operator data</v>
      </c>
      <c r="D20" s="75" t="str">
        <v>Product split, calendar conversion, ownership basis</v>
      </c>
      <c r="E20" s="75" t="str">
        <v>All-product barrels/Btu differ from product litres</v>
      </c>
      <c r="F20" s="81" t="str">
        <v>DR08 refinery supply</v>
      </c>
      <c r="G20" s="75" t="str">
        <v>A43:M51</v>
      </c>
      <c r="H20" s="75" t="str">
        <v>DR08</v>
      </c>
    </row>
    <row r="21" ht="58" customHeight="1">
      <c r="A21" s="75" t="str">
        <v>Refinery yield and utilisation</v>
      </c>
      <c r="B21" s="75" t="str">
        <v>Historical/operator and assumed values</v>
      </c>
      <c r="C21" s="75" t="str">
        <v>Mixed vintages</v>
      </c>
      <c r="D21" s="75" t="str">
        <v>Plant-specific current yields and outage paths</v>
      </c>
      <c r="E21" s="75" t="str">
        <v>Astron 50/50 is an assumption</v>
      </c>
      <c r="F21" s="81" t="str">
        <v>DR08 refinery supply</v>
      </c>
      <c r="G21" s="75" t="str">
        <v>A68:M85</v>
      </c>
      <c r="H21" s="75" t="str">
        <v>DR08</v>
      </c>
    </row>
    <row r="22" ht="58" customHeight="1">
      <c r="A22" s="75" t="str">
        <v>Trunk-line use</v>
      </c>
      <c r="B22" s="75" t="str">
        <v>FY2024 in sizing; FY2025 found in review</v>
      </c>
      <c r="C22" s="75" t="str">
        <v>FY2025: 105Ml/week</v>
      </c>
      <c r="D22" s="75" t="str">
        <v>Adoption and product/shipper allocation</v>
      </c>
      <c r="E22" s="75" t="str">
        <v>New source is on New evidence sheet</v>
      </c>
      <c r="F22" s="81" t="str">
        <v>DR04 routes and access</v>
      </c>
      <c r="G22" s="75" t="str">
        <v>A7:M13</v>
      </c>
      <c r="H22" s="75" t="str">
        <v>DR04</v>
      </c>
    </row>
    <row r="23" ht="58" customHeight="1">
      <c r="A23" s="75" t="str">
        <v>Transport costs</v>
      </c>
      <c r="B23" s="75" t="str">
        <v>Historic allowances; selected 2026 figures</v>
      </c>
      <c r="C23" s="75" t="str">
        <v>Mixed dates and bases</v>
      </c>
      <c r="D23" s="75" t="str">
        <v>Commercial dated quotes and full components</v>
      </c>
      <c r="E23" s="75" t="str">
        <v>Allowance is not a customer quote</v>
      </c>
      <c r="F23" s="81" t="str">
        <v>DR04 transport cost</v>
      </c>
      <c r="G23" s="75" t="str">
        <v>A5:H14</v>
      </c>
      <c r="H23" s="75" t="str">
        <v>DR04</v>
      </c>
    </row>
    <row r="24" ht="58" customHeight="1">
      <c r="A24" s="75" t="str">
        <v>Competitor and port inventory</v>
      </c>
      <c r="B24" s="75" t="str">
        <v>Public operator list and selected facilities</v>
      </c>
      <c r="C24" s="75" t="str">
        <v>Partial</v>
      </c>
      <c r="D24" s="75" t="str">
        <v>Eligible capacity, committed volumes and future projects</v>
      </c>
      <c r="E24" s="75" t="str">
        <v>A lease holder list is not a fuel-share denominator</v>
      </c>
      <c r="F24" s="81" t="str">
        <v>DR04 routes and access</v>
      </c>
      <c r="G24" s="75" t="str">
        <v>A74:M86</v>
      </c>
      <c r="H24" s="75" t="str">
        <v>DR04</v>
      </c>
    </row>
    <row r="25" ht="58" customHeight="1">
      <c r="A25" s="75" t="str">
        <v>Vopak movements and customers</v>
      </c>
      <c r="B25" s="75" t="str">
        <v>No client series in master</v>
      </c>
      <c r="C25" s="75" t="str">
        <v>Absent</v>
      </c>
      <c r="D25" s="75" t="str">
        <v>Latest 36 complete months and linked transfers</v>
      </c>
      <c r="E25" s="75" t="str">
        <v>Needed for current and obtainable share</v>
      </c>
      <c r="F25" s="81" t="str">
        <v>Market sizing</v>
      </c>
      <c r="G25" s="75" t="str">
        <v>A5:J11</v>
      </c>
      <c r="H25" s="75" t="str">
        <v>DR02</v>
      </c>
    </row>
    <row r="26" ht="58" customHeight="1">
      <c r="A26" s="75" t="str">
        <v>Working tanks and performance</v>
      </c>
      <c r="B26" s="75" t="str">
        <v>Public capacities and estimates</v>
      </c>
      <c r="C26" s="75" t="str">
        <v>Unverified operations</v>
      </c>
      <c r="D26" s="75" t="str">
        <v>Actual working/committed tanks and constraints</v>
      </c>
      <c r="E26" s="75" t="str">
        <v>Turns are operating assumptions</v>
      </c>
      <c r="F26" s="81" t="str">
        <v>Market sizing</v>
      </c>
      <c r="G26" s="75" t="str">
        <v>A16:J23</v>
      </c>
      <c r="H26" s="75" t="str">
        <v>DR03</v>
      </c>
    </row>
    <row r="27" ht="58" customHeight="1">
      <c r="A27" s="75" t="str">
        <v>Customer commitments</v>
      </c>
      <c r="B27" s="75" t="str">
        <v>No client allocation in master</v>
      </c>
      <c r="C27" s="75" t="str">
        <v>Absent</v>
      </c>
      <c r="D27" s="75" t="str">
        <v>Annual product/destination pool and renewals</v>
      </c>
      <c r="E27" s="75" t="str">
        <v>Potential and secured are different</v>
      </c>
      <c r="F27" s="81" t="str">
        <v>Market sizing</v>
      </c>
      <c r="G27" s="75" t="str">
        <v>A5:J11</v>
      </c>
      <c r="H27" s="75" t="str">
        <v>DR05</v>
      </c>
    </row>
    <row r="28" ht="58" customHeight="1">
      <c r="A28" s="75" t="str">
        <v>Commercial and project inputs</v>
      </c>
      <c r="B28" s="75" t="str">
        <v>Illustrative values outside master</v>
      </c>
      <c r="C28" s="75" t="str">
        <v>Uncalibrated</v>
      </c>
      <c r="D28" s="75" t="str">
        <v>Contracts, costs, capex and cash-flow assumptions</v>
      </c>
      <c r="E28" s="75" t="str">
        <v>Cannot turn fuel market value into Vopak revenue</v>
      </c>
      <c r="F28" s="81" t="str">
        <v>Contents</v>
      </c>
      <c r="G28" s="75" t="str">
        <v>A2</v>
      </c>
      <c r="H28" s="75" t="str">
        <v>DR06</v>
      </c>
    </row>
    <row r="29" ht="58" customHeight="1">
      <c r="A29" s="75" t="str">
        <v>EV adjacent business</v>
      </c>
      <c r="B29" s="75" t="str">
        <v>Separate request only</v>
      </c>
      <c r="C29" s="75" t="str">
        <v>Outside fuel sizing</v>
      </c>
      <c r="D29" s="75" t="str">
        <v>Customer, power and standalone economics</v>
      </c>
      <c r="E29" s="75" t="str">
        <v>Include only if scope is confirmed</v>
      </c>
      <c r="F29" s="81" t="str">
        <v>Contents</v>
      </c>
      <c r="G29" s="75" t="str">
        <v>A2</v>
      </c>
      <c r="H29" s="75" t="str">
        <v>DR09</v>
      </c>
    </row>
  </sheetData>
  <mergeCells>
    <mergeCell ref="A2:H3"/>
  </mergeCells>
  <hyperlinks>
    <hyperlink ref="F6" location="'DR01 national balance'!K7" display="DR01 national balance" tooltip="Open the linked workbook evidence or review item"/>
    <hyperlink ref="F7" location="'DR01 sales by province'!K7" display="DR01 sales by province" tooltip="Open the linked workbook evidence or review item"/>
    <hyperlink ref="F8" location="'DR01 national balance'!I8" display="DR01 national balance" tooltip="Open the linked workbook evidence or review item"/>
    <hyperlink ref="F9" location="'DR01 national balance'!M9" display="DR01 national balance" tooltip="Open the linked workbook evidence or review item"/>
    <hyperlink ref="F10" location="'DR04 entry points'!A4" display="DR04 entry points" tooltip="Open the linked workbook evidence or review item"/>
    <hyperlink ref="F11" location="'DR01 national balance'!B11" display="DR01 national balance" tooltip="Open the linked workbook evidence or review item"/>
    <hyperlink ref="F12" location="'DR01 demand by sector'!A5" display="DR01 demand by sector" tooltip="Open the linked workbook evidence or review item"/>
    <hyperlink ref="F13" location="'DR01 sector activity'!C7" display="DR01 sector activity" tooltip="Open the linked workbook evidence or review item"/>
    <hyperlink ref="F14" location="'DR07 demand evidence'!A7" display="DR07 demand evidence" tooltip="Open the linked workbook evidence or review item"/>
    <hyperlink ref="F15" location="'DR07 fleet by province'!A4" display="DR07 fleet by province" tooltip="Open the linked workbook evidence or review item"/>
    <hyperlink ref="F16" location="'DR07 fleet by province'!A16" display="DR07 fleet by province" tooltip="Open the linked workbook evidence or review item"/>
    <hyperlink ref="F17" location="'DR07 demand evidence'!A1" display="DR07 demand evidence" tooltip="Open the linked workbook evidence or review item"/>
    <hyperlink ref="F18" location="'DR07 demand evidence'!A172" display="DR07 demand evidence" tooltip="Open the linked workbook evidence or review item"/>
    <hyperlink ref="F19" location="'Contents'!A2" display="Contents" tooltip="Open the linked workbook evidence or review item"/>
    <hyperlink ref="F20" location="'DR08 refinery supply'!A43" display="DR08 refinery supply" tooltip="Open the linked workbook evidence or review item"/>
    <hyperlink ref="F21" location="'DR08 refinery supply'!A68" display="DR08 refinery supply" tooltip="Open the linked workbook evidence or review item"/>
    <hyperlink ref="F22" location="'DR04 routes and access'!A7" display="DR04 routes and access" tooltip="Open the linked workbook evidence or review item"/>
    <hyperlink ref="F23" location="'DR04 transport cost'!A5" display="DR04 transport cost" tooltip="Open the linked workbook evidence or review item"/>
    <hyperlink ref="F24" location="'DR04 routes and access'!A74" display="DR04 routes and access" tooltip="Open the linked workbook evidence or review item"/>
    <hyperlink ref="F25" location="'Market sizing'!A5" display="Market sizing" tooltip="Open the linked workbook evidence or review item"/>
    <hyperlink ref="F26" location="'Market sizing'!A16" display="Market sizing" tooltip="Open the linked workbook evidence or review item"/>
    <hyperlink ref="F27" location="'Market sizing'!A5" display="Market sizing" tooltip="Open the linked workbook evidence or review item"/>
    <hyperlink ref="F28" location="'Contents'!A2" display="Contents" tooltip="Open the linked workbook evidence or review item"/>
    <hyperlink ref="F29" location="'Contents'!A2" display="Contents" tooltip="Open the linked workbook evidence or review item"/>
  </hyperlinks>
  <pageMargins left="0.7" right="0.7" top="0.75" bottom="0.75" header="0.3" footer="0.3"/>
  <tableParts count="1">
    <tablePart r:id="Rb57cfa4ebb0d4412"/>
  </tableParts>
</worksheet>
</file>

<file path=xl/worksheets/sheet18.xml><?xml version="1.0" encoding="utf-8"?>
<worksheet xmlns="http://schemas.openxmlformats.org/spreadsheetml/2006/main" xmlns:r="http://schemas.openxmlformats.org/officeDocument/2006/relationships">
  <sheetPr>
    <tabColor rgb="FF66849C"/>
  </sheetPr>
  <sheetViews>
    <sheetView showGridLines="0" workbookViewId="0" tabSelected="0">
      <pane ySplit="5" topLeftCell="A6" activePane="bottomLeft" state="frozen"/>
    </sheetView>
  </sheetViews>
  <sheetFormatPr defaultRowHeight="15"/>
  <cols>
    <col min="1" max="1" width="43" hidden="0" customWidth="1"/>
    <col min="2" max="2" width="20" hidden="0" customWidth="1"/>
    <col min="3" max="3" width="22" hidden="0" customWidth="1"/>
    <col min="4" max="4" width="56" hidden="0" customWidth="1"/>
    <col min="5" max="5" width="42" hidden="0" customWidth="1"/>
    <col min="6" max="6" width="19" hidden="0" customWidth="1"/>
  </cols>
  <sheetData>
    <row r="1" ht="30" customHeight="1">
      <c r="A1" s="74" t="str">
        <v>Market demand, access and Vopak capture</v>
      </c>
      <c r="B1" s="73"/>
      <c r="C1" s="73"/>
      <c r="D1" s="73"/>
      <c r="E1" s="73"/>
      <c r="F1" s="73"/>
    </row>
    <row r="2" ht="24" customHeight="1">
      <c r="A2" s="76" t="str">
        <v>Petrol and diesel only. Figures have different dates and boundaries and must not be added. This sheet explains what can be stated now and what still requires evidence.</v>
      </c>
      <c r="B2" s="76"/>
      <c r="C2" s="76"/>
      <c r="D2" s="76"/>
      <c r="E2" s="76"/>
      <c r="F2" s="76"/>
    </row>
    <row r="3" ht="18" customHeight="1">
      <c r="A3" s="76"/>
      <c r="B3" s="76"/>
      <c r="C3" s="76"/>
      <c r="D3" s="76"/>
      <c r="E3" s="76"/>
      <c r="F3" s="76"/>
    </row>
    <row r="4">
      <c r="A4" s="73"/>
      <c r="B4" s="73"/>
      <c r="C4" s="73"/>
      <c r="D4" s="73"/>
      <c r="E4" s="73"/>
      <c r="F4" s="73"/>
    </row>
    <row r="5" ht="32" customHeight="1">
      <c r="A5" s="79" t="str">
        <v>Measure</v>
      </c>
      <c r="B5" s="79" t="str">
        <v>bn litres/year</v>
      </c>
      <c r="C5" s="79" t="str">
        <v>Period / basis</v>
      </c>
      <c r="D5" s="79" t="str">
        <v>Meaning and current limitation</v>
      </c>
      <c r="E5" s="79" t="str">
        <v>What closes the gap</v>
      </c>
      <c r="F5" s="79" t="str">
        <v>Evidence</v>
      </c>
    </row>
    <row r="6" ht="55" customHeight="1">
      <c r="A6" s="75" t="str">
        <v>South Africa recorded sales</v>
      </c>
      <c r="B6" s="85" t="n">
        <f>'DR01 national balance'!K7+'DR01 national balance'!K16</f>
        <v>21.944450079</v>
      </c>
      <c r="C6" s="75" t="str">
        <v>2023</v>
      </c>
      <c r="D6" s="75" t="str">
        <v>National demand context; wider than a terminal market.</v>
      </c>
      <c r="E6" s="75" t="str">
        <v>Adopt a current matched demand baseline.</v>
      </c>
      <c r="F6" s="81" t="str">
        <v>Open source</v>
      </c>
    </row>
    <row r="7" ht="55" customHeight="1">
      <c r="A7" s="75" t="str">
        <v>National gross imports</v>
      </c>
      <c r="B7" s="85" t="n">
        <f>'DR01 national balance'!M9+'DR01 national balance'!M18</f>
        <v>16.70219144</v>
      </c>
      <c r="C7" s="75" t="str">
        <v>2025</v>
      </c>
      <c r="D7" s="75" t="str">
        <v>Import-handling context; excludes domestic production.</v>
      </c>
      <c r="E7" s="75" t="str">
        <v>Allocate physically and commercially to routes.</v>
      </c>
      <c r="F7" s="81" t="str">
        <v>Open source</v>
      </c>
    </row>
    <row r="8" ht="55" customHeight="1">
      <c r="A8" s="75" t="str">
        <v>National net imports</v>
      </c>
      <c r="B8" s="85" t="n">
        <f>B7-'DR01 national balance'!M10-'DR01 national balance'!M19</f>
        <v>15.153728764</v>
      </c>
      <c r="C8" s="75" t="str">
        <v>2025</v>
      </c>
      <c r="D8" s="75" t="str">
        <v>Gross imports less exports; not domestic consumption.</v>
      </c>
      <c r="E8" s="75" t="str">
        <v>Close production and stock balance.</v>
      </c>
      <c r="F8" s="81" t="str">
        <v>Open source</v>
      </c>
    </row>
    <row r="9" ht="55" customHeight="1">
      <c r="A9" s="75" t="str">
        <v>Durban customs gateway</v>
      </c>
      <c r="B9" s="85" t="n">
        <f>'Market sizing'!E5</f>
        <v>13.161</v>
      </c>
      <c r="C9" s="75" t="str">
        <v>2025</v>
      </c>
      <c r="D9" s="75" t="str">
        <v>Starting gateway proxy; not all contestable by Vopak.</v>
      </c>
      <c r="E9" s="75" t="str">
        <v>Terminal/customer allocation and competing supply.</v>
      </c>
      <c r="F9" s="81" t="str">
        <v>Open source</v>
      </c>
    </row>
    <row r="10" ht="55" customHeight="1">
      <c r="A10" s="75" t="str">
        <v>KZN recorded sales</v>
      </c>
      <c r="B10" s="85" t="n">
        <f>'Market sizing'!E6</f>
        <v>4.284</v>
      </c>
      <c r="C10" s="75" t="str">
        <v>2022</v>
      </c>
      <c r="D10" s="75" t="str">
        <v>Local demand context; not a lower bound for Vopak.</v>
      </c>
      <c r="E10" s="75" t="str">
        <v>Same-year destination and source allocation.</v>
      </c>
      <c r="F10" s="81" t="str">
        <v>Open source</v>
      </c>
    </row>
    <row r="11" ht="55" customHeight="1">
      <c r="A11" s="75" t="str">
        <v>Gauteng recorded sales</v>
      </c>
      <c r="B11" s="85" t="n">
        <f>'Market sizing'!E8</f>
        <v>6.809</v>
      </c>
      <c r="C11" s="75" t="str">
        <v>2022</v>
      </c>
      <c r="D11" s="75" t="str">
        <v>Core geographic context for Lesedi; includes competing sources.</v>
      </c>
      <c r="E11" s="75" t="str">
        <v>Accessible destinations, domestic supply and contracts.</v>
      </c>
      <c r="F11" s="81" t="str">
        <v>Open source</v>
      </c>
    </row>
    <row r="12" ht="55" customHeight="1">
      <c r="A12" s="75" t="str">
        <v>Six inland provinces</v>
      </c>
      <c r="B12" s="85" t="n">
        <f>'Market sizing'!E9</f>
        <v>11.951</v>
      </c>
      <c r="C12" s="75" t="str">
        <v>2022</v>
      </c>
      <c r="D12" s="75" t="str">
        <v>Wider geographic context; not a proven Lesedi market.</v>
      </c>
      <c r="E12" s="75" t="str">
        <v>Route/cost/service eligibility by destination.</v>
      </c>
      <c r="F12" s="81" t="str">
        <v>Open source</v>
      </c>
    </row>
    <row r="13" ht="55" customHeight="1">
      <c r="A13" s="75" t="str">
        <v>Vopak accessible terminal market</v>
      </c>
      <c r="B13" s="75" t="str">
        <v>Not established</v>
      </c>
      <c r="C13" s="75" t="str">
        <v>Common-year, by product</v>
      </c>
      <c r="D13" s="75" t="str">
        <v>Filter destination demand by feasible competitive access.</v>
      </c>
      <c r="E13" s="75" t="str">
        <v>DR01 / DR04 / DR08 and customer boundaries.</v>
      </c>
      <c r="F13" s="81" t="str">
        <v>Review gaps</v>
      </c>
    </row>
    <row r="14" ht="55" customHeight="1">
      <c r="A14" s="75" t="str">
        <v>Vopak obtainable annual throughput</v>
      </c>
      <c r="B14" s="75" t="str">
        <v>Not established</v>
      </c>
      <c r="C14" s="75" t="str">
        <v>By site and product</v>
      </c>
      <c r="D14" s="75" t="str">
        <v>Constrain accessible flows by customer commitments and operations.</v>
      </c>
      <c r="E14" s="75" t="str">
        <v>DR02 / DR03 / DR05.</v>
      </c>
      <c r="F14" s="81" t="str">
        <v>Review gaps</v>
      </c>
    </row>
    <row r="15" ht="55" customHeight="1">
      <c r="A15" s="75" t="str">
        <v>Incremental profitable opportunity</v>
      </c>
      <c r="B15" s="75" t="str">
        <v>Not established</v>
      </c>
      <c r="C15" s="75" t="str">
        <v>Versus existing business</v>
      </c>
      <c r="D15" s="75" t="str">
        <v>New chargeable volume/storage less current commitments and costs.</v>
      </c>
      <c r="E15" s="75" t="str">
        <v>DR02–06 and full incremental cash flows.</v>
      </c>
      <c r="F15" s="81" t="str">
        <v>Review gaps</v>
      </c>
    </row>
    <row r="16">
      <c r="A16" s="73"/>
      <c r="B16" s="73"/>
      <c r="C16" s="73"/>
      <c r="D16" s="73"/>
      <c r="E16" s="73"/>
      <c r="F16" s="73"/>
    </row>
    <row r="17">
      <c r="A17" s="73"/>
      <c r="B17" s="73"/>
      <c r="C17" s="73"/>
      <c r="D17" s="73"/>
      <c r="E17" s="73"/>
      <c r="F17" s="73"/>
    </row>
    <row r="18">
      <c r="A18" s="86" t="str">
        <v>Operating sensitivities — these are not market size or actual throughput</v>
      </c>
      <c r="B18" s="86"/>
      <c r="C18" s="86"/>
      <c r="D18" s="86"/>
      <c r="E18" s="86"/>
      <c r="F18" s="86"/>
    </row>
    <row r="19">
      <c r="A19" s="73"/>
      <c r="B19" s="73"/>
      <c r="C19" s="73"/>
      <c r="D19" s="73"/>
      <c r="E19" s="73"/>
      <c r="F19" s="73"/>
    </row>
    <row r="20" ht="30" customHeight="1">
      <c r="A20" s="79" t="str">
        <v>Site</v>
      </c>
      <c r="B20" s="79" t="str">
        <v>Working m3 used</v>
      </c>
      <c r="C20" s="79" t="str">
        <v>Monthly turns</v>
      </c>
      <c r="D20" s="79" t="str">
        <v>bn litres/year</v>
      </c>
      <c r="E20" s="79" t="str">
        <v>Qualification</v>
      </c>
      <c r="F20" s="79" t="str">
        <v>Evidence</v>
      </c>
    </row>
    <row r="21" ht="60" customHeight="1">
      <c r="A21" s="75" t="str">
        <v>Durban</v>
      </c>
      <c r="B21" s="87" t="n">
        <f>'Market sizing'!E16*1000000</f>
        <v>146000</v>
      </c>
      <c r="C21" s="80" t="n">
        <v>2</v>
      </c>
      <c r="D21" s="82" t="n">
        <f>B21*C21*12/1000000</f>
        <v>3.504</v>
      </c>
      <c r="E21" s="75" t="str">
        <v>Estimated capacity subset and target turns; client confirmation needed.</v>
      </c>
      <c r="F21" s="81" t="str">
        <v>Original sensitivity</v>
      </c>
    </row>
    <row r="22" ht="60" customHeight="1">
      <c r="A22" s="75" t="str">
        <v>Lesedi</v>
      </c>
      <c r="B22" s="87" t="n">
        <f>'Market sizing'!E20*1000000</f>
        <v>124000</v>
      </c>
      <c r="C22" s="80" t="n">
        <v>2</v>
      </c>
      <c r="D22" s="82" t="n">
        <f>B22*C22*12/1000000</f>
        <v>2.976</v>
      </c>
      <c r="E22" s="75" t="str">
        <v>Working capacity includes 36,000m3 estimated for newer tanks.</v>
      </c>
      <c r="F22" s="81" t="str">
        <v>Original sensitivity</v>
      </c>
    </row>
    <row r="23">
      <c r="A23" s="73"/>
      <c r="B23" s="73"/>
      <c r="C23" s="73"/>
      <c r="D23" s="73"/>
      <c r="E23" s="73"/>
      <c r="F23" s="73"/>
    </row>
    <row r="24">
      <c r="A24" s="73"/>
      <c r="B24" s="73"/>
      <c r="C24" s="73"/>
      <c r="D24" s="73"/>
      <c r="E24" s="73"/>
      <c r="F24" s="73"/>
    </row>
    <row r="25">
      <c r="A25" s="80" t="str">
        <v>Unique portfolio litres = Durban deliveries + Lesedi deliveries − linked flows handled at both sites. Actual site volumes and overlap are missing. The current 8.88bn L inland residual mixes 2025 imports and 2022 sales; it does not establish a measured inland or road/rail flow.</v>
      </c>
      <c r="B25" s="80"/>
      <c r="C25" s="80"/>
      <c r="D25" s="80"/>
      <c r="E25" s="80"/>
      <c r="F25" s="80"/>
    </row>
    <row r="26">
      <c r="A26" s="80"/>
      <c r="B26" s="80"/>
      <c r="C26" s="80"/>
      <c r="D26" s="80"/>
      <c r="E26" s="80"/>
      <c r="F26" s="80"/>
    </row>
    <row r="27">
      <c r="A27" s="80"/>
      <c r="B27" s="80"/>
      <c r="C27" s="80"/>
      <c r="D27" s="80"/>
      <c r="E27" s="80"/>
      <c r="F27" s="80"/>
    </row>
    <row r="28">
      <c r="A28" s="73"/>
      <c r="B28" s="73"/>
      <c r="C28" s="73"/>
      <c r="D28" s="73"/>
      <c r="E28" s="73"/>
      <c r="F28" s="73"/>
    </row>
    <row r="29">
      <c r="A29" s="73"/>
      <c r="B29" s="73"/>
      <c r="C29" s="73"/>
      <c r="D29" s="73"/>
      <c r="E29" s="73"/>
      <c r="F29" s="73"/>
    </row>
    <row r="30">
      <c r="A30" s="73"/>
      <c r="B30" s="73"/>
      <c r="C30" s="73"/>
      <c r="D30" s="73"/>
      <c r="E30" s="73"/>
      <c r="F30" s="73"/>
    </row>
    <row r="31">
      <c r="A31" s="73"/>
      <c r="B31" s="73"/>
      <c r="C31" s="73"/>
      <c r="D31" s="73"/>
      <c r="E31" s="73"/>
      <c r="F31" s="73"/>
    </row>
    <row r="32">
      <c r="A32" s="73"/>
      <c r="B32" s="73"/>
      <c r="C32" s="73"/>
      <c r="D32" s="73"/>
      <c r="E32" s="73"/>
      <c r="F32" s="73"/>
    </row>
  </sheetData>
  <mergeCells>
    <mergeCell ref="A2:F3"/>
    <mergeCell ref="A18:F18"/>
    <mergeCell ref="A25:F27"/>
  </mergeCells>
  <hyperlinks>
    <hyperlink ref="F6" location="'DR01 national balance'!K7" display="Open source" tooltip="Open the linked workbook evidence or review item"/>
    <hyperlink ref="F7" location="'DR01 national balance'!M9" display="Open source" tooltip="Open the linked workbook evidence or review item"/>
    <hyperlink ref="F8" location="'DR01 national balance'!M10" display="Open source" tooltip="Open the linked workbook evidence or review item"/>
    <hyperlink ref="F9" location="'Market sizing'!E5" display="Open source" tooltip="Open the linked workbook evidence or review item"/>
    <hyperlink ref="F10" location="'Market sizing'!E6" display="Open source" tooltip="Open the linked workbook evidence or review item"/>
    <hyperlink ref="F11" location="'Market sizing'!E8" display="Open source" tooltip="Open the linked workbook evidence or review item"/>
    <hyperlink ref="F12" location="'Market sizing'!E9" display="Open source" tooltip="Open the linked workbook evidence or review item"/>
    <hyperlink ref="F13" location="'Gap register'!A6" display="Review gaps" tooltip="Open the linked workbook evidence or review item"/>
    <hyperlink ref="F14" location="'Gap register'!A6" display="Review gaps" tooltip="Open the linked workbook evidence or review item"/>
    <hyperlink ref="F15" location="'Gap register'!A6" display="Review gaps" tooltip="Open the linked workbook evidence or review item"/>
    <hyperlink ref="F21" location="'Market sizing'!E18" display="Original sensitivity" tooltip="Open the linked workbook evidence or review item"/>
    <hyperlink ref="F22" location="'Market sizing'!E22" display="Original sensitivity" tooltip="Open the linked workbook evidence or review item"/>
  </hyperlinks>
  <pageMargins left="0.7" right="0.7" top="0.75" bottom="0.75" header="0.3" footer="0.3"/>
  <tableParts count="1">
    <tablePart r:id="R2350782ac06644b8"/>
  </tableParts>
</worksheet>
</file>

<file path=xl/worksheets/sheet19.xml><?xml version="1.0" encoding="utf-8"?>
<worksheet xmlns="http://schemas.openxmlformats.org/spreadsheetml/2006/main">
  <sheetPr>
    <tabColor rgb="FF66849C"/>
  </sheetPr>
  <sheetViews>
    <sheetView showGridLines="0" workbookViewId="0" tabSelected="0"/>
  </sheetViews>
  <sheetFormatPr defaultRowHeight="15"/>
  <cols>
    <col min="1" max="1" width="43" hidden="0" customWidth="1"/>
    <col min="2" max="2" width="19" hidden="0" customWidth="1"/>
    <col min="3" max="3" width="19" hidden="0" customWidth="1"/>
    <col min="4" max="4" width="21" hidden="0" customWidth="1"/>
    <col min="5" max="5" width="54" hidden="0" customWidth="1"/>
    <col min="6" max="6" width="42" hidden="0" customWidth="1"/>
  </cols>
  <sheetData>
    <row r="1" ht="30" customHeight="1">
      <c r="A1" s="74" t="str">
        <v>Pipeline evidence found on 10 October</v>
      </c>
      <c r="B1" s="73"/>
      <c r="C1" s="73"/>
      <c r="D1" s="73"/>
      <c r="E1" s="73"/>
      <c r="F1" s="73"/>
    </row>
    <row r="2" ht="24" customHeight="1">
      <c r="A2" s="76" t="str">
        <v>Proposed replacement for the older reference. Preserved source: Transnet Pipelines 2025, printed page 8. These are shared-line figures; they do not establish Vopak access or spare terminal capacity.</v>
      </c>
      <c r="B2" s="76"/>
      <c r="C2" s="76"/>
      <c r="D2" s="76"/>
      <c r="E2" s="76"/>
      <c r="F2" s="76"/>
    </row>
    <row r="3" ht="18" customHeight="1">
      <c r="A3" s="76"/>
      <c r="B3" s="76"/>
      <c r="C3" s="76"/>
      <c r="D3" s="76"/>
      <c r="E3" s="76"/>
      <c r="F3" s="76"/>
    </row>
    <row r="4">
      <c r="A4" s="73"/>
      <c r="B4" s="73"/>
      <c r="C4" s="73"/>
      <c r="D4" s="73"/>
      <c r="E4" s="73"/>
      <c r="F4" s="73"/>
    </row>
    <row r="5" ht="30" customHeight="1">
      <c r="A5" s="79" t="str">
        <v>Metric</v>
      </c>
      <c r="B5" s="79" t="str">
        <v>Master reference</v>
      </c>
      <c r="C5" s="79" t="str">
        <v>Review evidence</v>
      </c>
      <c r="D5" s="79" t="str">
        <v>Unit</v>
      </c>
      <c r="E5" s="79" t="str">
        <v>Period / interpretation</v>
      </c>
      <c r="F5" s="79" t="str">
        <v>Source</v>
      </c>
    </row>
    <row r="6" ht="58" customHeight="1">
      <c r="A6" s="75" t="str">
        <v>Average trunk-line use</v>
      </c>
      <c r="B6" s="75" t="n">
        <v>97</v>
      </c>
      <c r="C6" s="80" t="n">
        <v>105</v>
      </c>
      <c r="D6" s="75" t="str">
        <v>million litres/week</v>
      </c>
      <c r="E6" s="75" t="str">
        <v>FY2024 versus FY2025 actual; all carried products</v>
      </c>
      <c r="F6" s="75" t="str">
        <v>https://www.transnet.net/getFile.ashx?id=6121</v>
      </c>
    </row>
    <row r="7" ht="58" customHeight="1">
      <c r="A7" s="75" t="str">
        <v>Stated trunk capacity</v>
      </c>
      <c r="B7" s="75" t="n">
        <v>148</v>
      </c>
      <c r="C7" s="80" t="n">
        <v>148</v>
      </c>
      <c r="D7" s="75" t="str">
        <v>million litres/week</v>
      </c>
      <c r="E7" s="75" t="str">
        <v>Same capacity statement; not a Vopak allocation</v>
      </c>
      <c r="F7" s="75" t="str">
        <v>Same report, printed page 8</v>
      </c>
    </row>
    <row r="8" ht="58" customHeight="1">
      <c r="A8" s="75" t="str">
        <v>Annualisation convention</v>
      </c>
      <c r="B8" s="75" t="n">
        <v>52</v>
      </c>
      <c r="C8" s="75" t="n">
        <v>52</v>
      </c>
      <c r="D8" s="75" t="str">
        <v>weeks/year</v>
      </c>
      <c r="E8" s="75" t="str">
        <v>Convention used in existing sizing calculation</v>
      </c>
      <c r="F8" s="75" t="str">
        <v>Existing sizing method</v>
      </c>
    </row>
    <row r="9" ht="58" customHeight="1">
      <c r="A9" s="75" t="str">
        <v>Annualised use</v>
      </c>
      <c r="B9" s="82" t="n">
        <f>B6*B8/1000</f>
        <v>5.044</v>
      </c>
      <c r="C9" s="82" t="n">
        <f>C6*C8/1000</f>
        <v>5.46</v>
      </c>
      <c r="D9" s="75" t="str">
        <v>billion litres/year</v>
      </c>
      <c r="E9" s="75" t="str">
        <v>Average weekly rate x 52; not separately reported annual petrol/diesel</v>
      </c>
      <c r="F9" s="75" t="str">
        <v>Calculated from rows 6 and 8</v>
      </c>
    </row>
    <row r="10" ht="58" customHeight="1">
      <c r="A10" s="75" t="str">
        <v>Annualised capacity</v>
      </c>
      <c r="B10" s="82" t="n">
        <f>B7*B8/1000</f>
        <v>7.696</v>
      </c>
      <c r="C10" s="82" t="n">
        <f>C7*C8/1000</f>
        <v>7.696</v>
      </c>
      <c r="D10" s="75" t="str">
        <v>billion litres/year</v>
      </c>
      <c r="E10" s="75" t="str">
        <v>All shippers/products; theoretical annualisation</v>
      </c>
      <c r="F10" s="75" t="str">
        <v>Calculated from rows 7 and 8</v>
      </c>
    </row>
    <row r="11" ht="58" customHeight="1">
      <c r="A11" s="75" t="str">
        <v>Use / capacity</v>
      </c>
      <c r="B11" s="83" t="n">
        <f>B6/B7</f>
        <v>0.6554054054054054</v>
      </c>
      <c r="C11" s="83" t="n">
        <f>C6/C7</f>
        <v>0.7094594594594594</v>
      </c>
      <c r="D11" s="75" t="str">
        <v>fraction</v>
      </c>
      <c r="E11" s="75" t="str">
        <v>Average physical utilisation, not contractual availability</v>
      </c>
      <c r="F11" s="75" t="str">
        <v>Calculated from rows 6 and 7</v>
      </c>
    </row>
    <row r="12" ht="58" customHeight="1">
      <c r="A12" s="75" t="str">
        <v>Arithmetic unused capacity</v>
      </c>
      <c r="B12" s="82" t="n">
        <f>B10-B9</f>
        <v>2.652</v>
      </c>
      <c r="C12" s="82" t="n">
        <f>C10-C9</f>
        <v>2.2359999999999998</v>
      </c>
      <c r="D12" s="75" t="str">
        <v>billion litres/year</v>
      </c>
      <c r="E12" s="75" t="str">
        <v>Does not measure operationally or commercially available capacity</v>
      </c>
      <c r="F12" s="75" t="str">
        <v>Calculated capacity less use</v>
      </c>
    </row>
    <row r="13">
      <c r="A13" s="73"/>
      <c r="B13" s="73"/>
      <c r="C13" s="73"/>
      <c r="D13" s="73"/>
      <c r="E13" s="73"/>
      <c r="F13" s="73"/>
    </row>
    <row r="14">
      <c r="A14" s="73"/>
      <c r="B14" s="73"/>
      <c r="C14" s="73"/>
      <c r="D14" s="73"/>
      <c r="E14" s="73"/>
      <c r="F14" s="73"/>
    </row>
    <row r="15" ht="26" customHeight="1">
      <c r="A15" s="75" t="str">
        <v>Decision needed: Manish stages and registers the source; Nigel reviews adoption. Original source-sheet values are retained so the change can be compared. No new refinery or demand assumption is adopted by this workbook.</v>
      </c>
      <c r="B15" s="75"/>
      <c r="C15" s="75"/>
      <c r="D15" s="75"/>
      <c r="E15" s="75"/>
      <c r="F15" s="75"/>
    </row>
    <row r="16" ht="26" customHeight="1">
      <c r="A16" s="75"/>
      <c r="B16" s="75"/>
      <c r="C16" s="75"/>
      <c r="D16" s="75"/>
      <c r="E16" s="75"/>
      <c r="F16" s="75"/>
    </row>
    <row r="17">
      <c r="A17" s="73"/>
      <c r="B17" s="73"/>
      <c r="C17" s="73"/>
      <c r="D17" s="73"/>
      <c r="E17" s="73"/>
      <c r="F17" s="73"/>
    </row>
    <row r="18">
      <c r="A18" s="84" t="str">
        <v>Open original pipeline evidence</v>
      </c>
      <c r="B18" s="73"/>
      <c r="C18" s="73"/>
      <c r="D18" s="73"/>
      <c r="E18" s="73"/>
      <c r="F18" s="73"/>
    </row>
    <row r="19">
      <c r="A19" s="73"/>
      <c r="B19" s="73"/>
      <c r="C19" s="73"/>
      <c r="D19" s="73"/>
      <c r="E19" s="73"/>
      <c r="F19" s="73"/>
    </row>
    <row r="20">
      <c r="A20" s="84" t="str">
        <v>Open original annualised use</v>
      </c>
      <c r="B20" s="73"/>
      <c r="C20" s="73"/>
      <c r="D20" s="73"/>
      <c r="E20" s="73"/>
      <c r="F20" s="73"/>
    </row>
    <row r="21">
      <c r="A21" s="73"/>
      <c r="B21" s="73"/>
      <c r="C21" s="73"/>
      <c r="D21" s="73"/>
      <c r="E21" s="73"/>
      <c r="F21" s="73"/>
    </row>
    <row r="22">
      <c r="A22" s="73"/>
      <c r="B22" s="73"/>
      <c r="C22" s="73"/>
      <c r="D22" s="73"/>
      <c r="E22" s="73"/>
      <c r="F22" s="73"/>
    </row>
  </sheetData>
  <mergeCells>
    <mergeCell ref="A2:F3"/>
    <mergeCell ref="A15:F16"/>
  </mergeCells>
  <hyperlinks>
    <hyperlink ref="A18" location="'DR04 routes and access'!A7" display="Open original pipeline evidence" tooltip="Open the linked workbook evidence or review item"/>
    <hyperlink ref="A20" location="'Market sizing'!E13" display="Open original annualised use" tooltip="Open the linked workbook evidence or review item"/>
  </hyperlinks>
  <pageMargins left="0.7" right="0.7" top="0.75" bottom="0.75" header="0.3" footer="0.3"/>
</worksheet>
</file>

<file path=xl/worksheets/sheet20.xml><?xml version="1.0" encoding="utf-8"?>
<worksheet xmlns="http://schemas.openxmlformats.org/spreadsheetml/2006/main">
  <sheetPr>
    <tabColor rgb="FF66849C"/>
  </sheetPr>
  <sheetViews>
    <sheetView showGridLines="0" workbookViewId="0" tabSelected="0"/>
  </sheetViews>
  <sheetFormatPr defaultRowHeight="15"/>
  <cols>
    <col min="1" max="1" width="34" hidden="0" customWidth="1"/>
    <col min="2" max="2" width="90" hidden="0" customWidth="1"/>
    <col min="3" max="3" width="34" hidden="0" customWidth="1"/>
    <col min="4" max="4" width="29" hidden="0" customWidth="1"/>
  </cols>
  <sheetData>
    <row r="1" ht="30" customHeight="1">
      <c r="A1" s="74" t="str">
        <v>Version notes and source preservation</v>
      </c>
      <c r="B1" s="73"/>
      <c r="C1" s="73"/>
      <c r="D1" s="73"/>
    </row>
    <row r="2" ht="24" customHeight="1">
      <c r="A2" s="76" t="str">
        <v>Separate review copy of Manish’s workbook. Original sheets keep their nonblank values and formulas. Review additions are navigation, annotations and seven new sheets; none constitutes model adoption.</v>
      </c>
      <c r="B2" s="76"/>
      <c r="C2" s="76"/>
      <c r="D2" s="76"/>
    </row>
    <row r="3" ht="18" customHeight="1">
      <c r="A3" s="76"/>
      <c r="B3" s="76"/>
      <c r="C3" s="76"/>
      <c r="D3" s="76"/>
    </row>
    <row r="4">
      <c r="A4" s="73"/>
      <c r="B4" s="73"/>
      <c r="C4" s="73"/>
      <c r="D4" s="73"/>
    </row>
    <row r="5" ht="35" customHeight="1">
      <c r="A5" s="75" t="str">
        <v>Source file</v>
      </c>
      <c r="B5" s="75" t="str">
        <v>Master_data_book.xlsx</v>
      </c>
      <c r="C5" s="73"/>
      <c r="D5" s="73"/>
    </row>
    <row r="6" ht="35" customHeight="1">
      <c r="A6" s="75" t="str">
        <v>Source location</v>
      </c>
      <c r="B6" s="75" t="str">
        <v>output/delivered/</v>
      </c>
      <c r="C6" s="73"/>
      <c r="D6" s="73"/>
    </row>
    <row r="7" ht="35" customHeight="1">
      <c r="A7" s="75" t="str">
        <v>Source Git commit</v>
      </c>
      <c r="B7" s="75" t="str">
        <v>55a9f23</v>
      </c>
      <c r="C7" s="73"/>
      <c r="D7" s="73"/>
    </row>
    <row r="8" ht="35" customHeight="1">
      <c r="A8" s="75" t="str">
        <v>Source SHA-256</v>
      </c>
      <c r="B8" s="75" t="str">
        <v>8ad9aa1f1345ee96ed64adf5e652ac2124b952596a6cea85a48f8f39b2c93901</v>
      </c>
      <c r="C8" s="73"/>
      <c r="D8" s="73"/>
    </row>
    <row r="9" ht="35" customHeight="1">
      <c r="A9" s="75" t="str">
        <v>Review date</v>
      </c>
      <c r="B9" s="75" t="str">
        <v>2026-10-10</v>
      </c>
      <c r="C9" s="73"/>
      <c r="D9" s="73"/>
    </row>
    <row r="10" ht="35" customHeight="1">
      <c r="A10" s="75" t="str">
        <v>Review scope</v>
      </c>
      <c r="B10" s="75" t="str">
        <v>All 9 requests; 63 review items; 24 series/decision areas</v>
      </c>
      <c r="C10" s="73"/>
      <c r="D10" s="73"/>
    </row>
    <row r="11" ht="35" customHeight="1">
      <c r="A11" s="75" t="str">
        <v>New evidence</v>
      </c>
      <c r="B11" s="75" t="str">
        <v>Transnet Pipelines 2025 p8; proposal pending registered adoption</v>
      </c>
      <c r="C11" s="73"/>
      <c r="D11" s="73"/>
    </row>
    <row r="12" ht="35" customHeight="1">
      <c r="A12" s="75" t="str">
        <v>Calculation note</v>
      </c>
      <c r="B12" s="75" t="str">
        <v>Formulas retained; cached outputs and representative totals checked in this copy.</v>
      </c>
      <c r="C12" s="73"/>
      <c r="D12" s="73"/>
    </row>
    <row r="13">
      <c r="A13" s="73"/>
      <c r="B13" s="73"/>
      <c r="C13" s="73"/>
      <c r="D13" s="73"/>
    </row>
    <row r="14">
      <c r="A14" s="73"/>
      <c r="B14" s="73"/>
      <c r="C14" s="73"/>
      <c r="D14" s="73"/>
    </row>
    <row r="15" ht="28" customHeight="1">
      <c r="A15" s="78" t="str">
        <v>Original sheet</v>
      </c>
      <c r="B15" s="78" t="str">
        <v>Original row</v>
      </c>
      <c r="C15" s="78" t="str">
        <v>Review IDs</v>
      </c>
      <c r="D15" s="78" t="str">
        <v>Added annotation cells</v>
      </c>
    </row>
    <row r="16" ht="28" customHeight="1">
      <c r="A16" s="75" t="str">
        <v>Contents</v>
      </c>
      <c r="B16" s="75" t="n">
        <v>5</v>
      </c>
      <c r="C16" s="75" t="str">
        <v>G062</v>
      </c>
      <c r="D16" s="75" t="str">
        <v>G5:I5</v>
      </c>
    </row>
    <row r="17" ht="28" customHeight="1">
      <c r="A17" s="75" t="str">
        <v>DR01 national balance</v>
      </c>
      <c r="B17" s="75" t="n">
        <v>8</v>
      </c>
      <c r="C17" s="75" t="str">
        <v>G001</v>
      </c>
      <c r="D17" s="75" t="str">
        <v>Q8:S8</v>
      </c>
    </row>
    <row r="18" ht="28" customHeight="1">
      <c r="A18" s="75" t="str">
        <v>DR01 national balance</v>
      </c>
      <c r="B18" s="75" t="n">
        <v>7</v>
      </c>
      <c r="C18" s="75" t="str">
        <v>G002, G018, G021, G022</v>
      </c>
      <c r="D18" s="75" t="str">
        <v>Q7:S7</v>
      </c>
    </row>
    <row r="19" ht="28" customHeight="1">
      <c r="A19" s="75" t="str">
        <v>DR01 national balance</v>
      </c>
      <c r="B19" s="75" t="n">
        <v>11</v>
      </c>
      <c r="C19" s="75" t="str">
        <v>G003</v>
      </c>
      <c r="D19" s="75" t="str">
        <v>Q11:S11</v>
      </c>
    </row>
    <row r="20" ht="28" customHeight="1">
      <c r="A20" s="75" t="str">
        <v>DR01 sales by province</v>
      </c>
      <c r="B20" s="75" t="n">
        <v>7</v>
      </c>
      <c r="C20" s="75" t="str">
        <v>G019</v>
      </c>
      <c r="D20" s="75" t="str">
        <v>R7:T7</v>
      </c>
    </row>
    <row r="21" ht="28" customHeight="1">
      <c r="A21" s="75" t="str">
        <v>DR01 sales by province</v>
      </c>
      <c r="B21" s="75" t="n">
        <v>16</v>
      </c>
      <c r="C21" s="75" t="str">
        <v>G020</v>
      </c>
      <c r="D21" s="75" t="str">
        <v>R16:T16</v>
      </c>
    </row>
    <row r="22" ht="28" customHeight="1">
      <c r="A22" s="75" t="str">
        <v>DR01 demand by sector</v>
      </c>
      <c r="B22" s="75" t="n">
        <v>5</v>
      </c>
      <c r="C22" s="75" t="str">
        <v>G025</v>
      </c>
      <c r="D22" s="75" t="str">
        <v>M5:O5</v>
      </c>
    </row>
    <row r="23" ht="28" customHeight="1">
      <c r="A23" s="75" t="str">
        <v>DR01 sector activity</v>
      </c>
      <c r="B23" s="75" t="n">
        <v>9</v>
      </c>
      <c r="C23" s="75" t="str">
        <v>G024</v>
      </c>
      <c r="D23" s="75" t="str">
        <v>R9:T9</v>
      </c>
    </row>
    <row r="24" ht="28" customHeight="1">
      <c r="A24" s="75" t="str">
        <v>DR04 routes and access</v>
      </c>
      <c r="B24" s="75" t="n">
        <v>27</v>
      </c>
      <c r="C24" s="75" t="str">
        <v>G004</v>
      </c>
      <c r="D24" s="75" t="str">
        <v>Y27:AA27</v>
      </c>
    </row>
    <row r="25" ht="28" customHeight="1">
      <c r="A25" s="75" t="str">
        <v>DR04 routes and access</v>
      </c>
      <c r="B25" s="75" t="n">
        <v>54</v>
      </c>
      <c r="C25" s="75" t="str">
        <v>G005</v>
      </c>
      <c r="D25" s="75" t="str">
        <v>Y54:AA54</v>
      </c>
    </row>
    <row r="26" ht="28" customHeight="1">
      <c r="A26" s="75" t="str">
        <v>DR04 routes and access</v>
      </c>
      <c r="B26" s="75" t="n">
        <v>55</v>
      </c>
      <c r="C26" s="75" t="str">
        <v>G006</v>
      </c>
      <c r="D26" s="75" t="str">
        <v>Y55:AA55</v>
      </c>
    </row>
    <row r="27" ht="28" customHeight="1">
      <c r="A27" s="75" t="str">
        <v>DR04 routes and access</v>
      </c>
      <c r="B27" s="75" t="n">
        <v>86</v>
      </c>
      <c r="C27" s="75" t="str">
        <v>G007</v>
      </c>
      <c r="D27" s="75" t="str">
        <v>Y86:AA86</v>
      </c>
    </row>
    <row r="28" ht="28" customHeight="1">
      <c r="A28" s="75" t="str">
        <v>DR04 routes and access</v>
      </c>
      <c r="B28" s="75" t="n">
        <v>116</v>
      </c>
      <c r="C28" s="75" t="str">
        <v>G008</v>
      </c>
      <c r="D28" s="75" t="str">
        <v>Y116:AA116</v>
      </c>
    </row>
    <row r="29" ht="28" customHeight="1">
      <c r="A29" s="75" t="str">
        <v>DR04 routes and access</v>
      </c>
      <c r="B29" s="75" t="n">
        <v>117</v>
      </c>
      <c r="C29" s="75" t="str">
        <v>G009</v>
      </c>
      <c r="D29" s="75" t="str">
        <v>Y117:AA117</v>
      </c>
    </row>
    <row r="30" ht="28" customHeight="1">
      <c r="A30" s="75" t="str">
        <v>DR04 routes and access</v>
      </c>
      <c r="B30" s="75" t="n">
        <v>56</v>
      </c>
      <c r="C30" s="75" t="str">
        <v>G010</v>
      </c>
      <c r="D30" s="75" t="str">
        <v>Y56:AA56</v>
      </c>
    </row>
    <row r="31" ht="28" customHeight="1">
      <c r="A31" s="75" t="str">
        <v>DR04 routes and access</v>
      </c>
      <c r="B31" s="75" t="n">
        <v>7</v>
      </c>
      <c r="C31" s="75" t="str">
        <v>G026, G027</v>
      </c>
      <c r="D31" s="75" t="str">
        <v>Y7:AA7</v>
      </c>
    </row>
    <row r="32" ht="28" customHeight="1">
      <c r="A32" s="75" t="str">
        <v>DR04 routes and access</v>
      </c>
      <c r="B32" s="75" t="n">
        <v>94</v>
      </c>
      <c r="C32" s="75" t="str">
        <v>G029</v>
      </c>
      <c r="D32" s="75" t="str">
        <v>Y94:AA94</v>
      </c>
    </row>
    <row r="33" ht="28" customHeight="1">
      <c r="A33" s="75" t="str">
        <v>DR04 routes and access</v>
      </c>
      <c r="B33" s="75" t="n">
        <v>74</v>
      </c>
      <c r="C33" s="75" t="str">
        <v>G031</v>
      </c>
      <c r="D33" s="75" t="str">
        <v>Y74:AA74</v>
      </c>
    </row>
    <row r="34" ht="28" customHeight="1">
      <c r="A34" s="75" t="str">
        <v>DR04 routes and access</v>
      </c>
      <c r="B34" s="75" t="n">
        <v>108</v>
      </c>
      <c r="C34" s="75" t="str">
        <v>G032</v>
      </c>
      <c r="D34" s="75" t="str">
        <v>Y108:AA108</v>
      </c>
    </row>
    <row r="35" ht="28" customHeight="1">
      <c r="A35" s="75" t="str">
        <v>DR04 routes and access</v>
      </c>
      <c r="B35" s="75" t="n">
        <v>90</v>
      </c>
      <c r="C35" s="75" t="str">
        <v>G033</v>
      </c>
      <c r="D35" s="75" t="str">
        <v>Y90:AA90</v>
      </c>
    </row>
    <row r="36" ht="28" customHeight="1">
      <c r="A36" s="75" t="str">
        <v>DR04 transport cost</v>
      </c>
      <c r="B36" s="75" t="n">
        <v>5</v>
      </c>
      <c r="C36" s="75" t="str">
        <v>G030</v>
      </c>
      <c r="D36" s="75" t="str">
        <v>J5:L5</v>
      </c>
    </row>
    <row r="37" ht="28" customHeight="1">
      <c r="A37" s="75" t="str">
        <v>DR07 demand evidence</v>
      </c>
      <c r="B37" s="75" t="n">
        <v>14</v>
      </c>
      <c r="C37" s="75" t="str">
        <v>G011</v>
      </c>
      <c r="D37" s="75" t="str">
        <v>V14:X14</v>
      </c>
    </row>
    <row r="38" ht="28" customHeight="1">
      <c r="A38" s="75" t="str">
        <v>DR07 demand evidence</v>
      </c>
      <c r="B38" s="75" t="n">
        <v>113</v>
      </c>
      <c r="C38" s="75" t="str">
        <v>G012</v>
      </c>
      <c r="D38" s="75" t="str">
        <v>V113:X113</v>
      </c>
    </row>
    <row r="39" ht="28" customHeight="1">
      <c r="A39" s="75" t="str">
        <v>DR07 demand evidence</v>
      </c>
      <c r="B39" s="75" t="n">
        <v>137</v>
      </c>
      <c r="C39" s="75" t="str">
        <v>G013</v>
      </c>
      <c r="D39" s="75" t="str">
        <v>V137:X137</v>
      </c>
    </row>
    <row r="40" ht="28" customHeight="1">
      <c r="A40" s="75" t="str">
        <v>DR07 demand evidence</v>
      </c>
      <c r="B40" s="75" t="n">
        <v>156</v>
      </c>
      <c r="C40" s="75" t="str">
        <v>G014</v>
      </c>
      <c r="D40" s="75" t="str">
        <v>V156:X156</v>
      </c>
    </row>
    <row r="41" ht="28" customHeight="1">
      <c r="A41" s="75" t="str">
        <v>DR07 demand evidence</v>
      </c>
      <c r="B41" s="75" t="n">
        <v>176</v>
      </c>
      <c r="C41" s="75" t="str">
        <v>G015</v>
      </c>
      <c r="D41" s="75" t="str">
        <v>V176:X176</v>
      </c>
    </row>
    <row r="42" ht="28" customHeight="1">
      <c r="A42" s="75" t="str">
        <v>DR07 demand evidence</v>
      </c>
      <c r="B42" s="75" t="n">
        <v>7</v>
      </c>
      <c r="C42" s="75" t="str">
        <v>G044, G045</v>
      </c>
      <c r="D42" s="75" t="str">
        <v>V7:X7</v>
      </c>
    </row>
    <row r="43" ht="28" customHeight="1">
      <c r="A43" s="75" t="str">
        <v>DR07 demand evidence</v>
      </c>
      <c r="B43" s="75" t="n">
        <v>172</v>
      </c>
      <c r="C43" s="75" t="str">
        <v>G048</v>
      </c>
      <c r="D43" s="75" t="str">
        <v>V172:X172</v>
      </c>
    </row>
    <row r="44" ht="28" customHeight="1">
      <c r="A44" s="75" t="str">
        <v>DR08 refinery supply</v>
      </c>
      <c r="B44" s="75" t="n">
        <v>52</v>
      </c>
      <c r="C44" s="75" t="str">
        <v>G016</v>
      </c>
      <c r="D44" s="75" t="str">
        <v>V52:X52</v>
      </c>
    </row>
    <row r="45" ht="28" customHeight="1">
      <c r="A45" s="75" t="str">
        <v>DR08 refinery supply</v>
      </c>
      <c r="B45" s="75" t="n">
        <v>64</v>
      </c>
      <c r="C45" s="75" t="str">
        <v>G017</v>
      </c>
      <c r="D45" s="75" t="str">
        <v>V64:X64</v>
      </c>
    </row>
    <row r="46" ht="28" customHeight="1">
      <c r="A46" s="75" t="str">
        <v>DR08 refinery supply</v>
      </c>
      <c r="B46" s="75" t="n">
        <v>43</v>
      </c>
      <c r="C46" s="75" t="str">
        <v>G051</v>
      </c>
      <c r="D46" s="75" t="str">
        <v>V43:X43</v>
      </c>
    </row>
    <row r="47" ht="28" customHeight="1">
      <c r="A47" s="75" t="str">
        <v>DR08 refinery supply</v>
      </c>
      <c r="B47" s="75" t="n">
        <v>44</v>
      </c>
      <c r="C47" s="75" t="str">
        <v>G052</v>
      </c>
      <c r="D47" s="75" t="str">
        <v>V44:X44</v>
      </c>
    </row>
    <row r="48" ht="28" customHeight="1">
      <c r="A48" s="75" t="str">
        <v>DR08 refinery supply</v>
      </c>
      <c r="B48" s="75" t="n">
        <v>89</v>
      </c>
      <c r="C48" s="75" t="str">
        <v>G053</v>
      </c>
      <c r="D48" s="75" t="str">
        <v>V89:X89</v>
      </c>
    </row>
    <row r="49" ht="28" customHeight="1">
      <c r="A49" s="75" t="str">
        <v>Market sizing</v>
      </c>
      <c r="B49" s="75" t="n">
        <v>5</v>
      </c>
      <c r="C49" s="75" t="str">
        <v>G034, G035, G038, G039, G040, G041, G042, G043, G054</v>
      </c>
      <c r="D49" s="75" t="str">
        <v>L5:N5</v>
      </c>
    </row>
    <row r="50" ht="28" customHeight="1">
      <c r="A50" s="75" t="str">
        <v>Market sizing</v>
      </c>
      <c r="B50" s="75" t="n">
        <v>16</v>
      </c>
      <c r="C50" s="75" t="str">
        <v>G036, G037, G057</v>
      </c>
      <c r="D50" s="75" t="str">
        <v>L16:N16</v>
      </c>
    </row>
    <row r="51" ht="28" customHeight="1">
      <c r="A51" s="75" t="str">
        <v>Market sizing</v>
      </c>
      <c r="B51" s="75" t="n">
        <v>7</v>
      </c>
      <c r="C51" s="75" t="str">
        <v>G055</v>
      </c>
      <c r="D51" s="75" t="str">
        <v>L7:N7</v>
      </c>
    </row>
    <row r="52" ht="28" customHeight="1">
      <c r="A52" s="75" t="str">
        <v>Market sizing</v>
      </c>
      <c r="B52" s="75" t="n">
        <v>11</v>
      </c>
      <c r="C52" s="75" t="str">
        <v>G056</v>
      </c>
      <c r="D52" s="75" t="str">
        <v>L11:N11</v>
      </c>
    </row>
    <row r="53" ht="28" customHeight="1">
      <c r="A53" s="75" t="str">
        <v>Market sizing</v>
      </c>
      <c r="B53" s="75" t="n">
        <v>17</v>
      </c>
      <c r="C53" s="75" t="str">
        <v>G058, G059</v>
      </c>
      <c r="D53" s="75" t="str">
        <v>L17:N17</v>
      </c>
    </row>
    <row r="54" ht="28" customHeight="1">
      <c r="A54" s="75" t="str">
        <v>Not available</v>
      </c>
      <c r="B54" s="75" t="n">
        <v>5</v>
      </c>
      <c r="C54" s="75" t="str">
        <v>G001</v>
      </c>
      <c r="D54" s="75" t="str">
        <v>F5:H5</v>
      </c>
    </row>
    <row r="55" ht="28" customHeight="1">
      <c r="A55" s="75" t="str">
        <v>Not available</v>
      </c>
      <c r="B55" s="75" t="n">
        <v>6</v>
      </c>
      <c r="C55" s="75" t="str">
        <v>G002</v>
      </c>
      <c r="D55" s="75" t="str">
        <v>F6:H6</v>
      </c>
    </row>
    <row r="56" ht="28" customHeight="1">
      <c r="A56" s="75" t="str">
        <v>Not available</v>
      </c>
      <c r="B56" s="75" t="n">
        <v>7</v>
      </c>
      <c r="C56" s="75" t="str">
        <v>G003</v>
      </c>
      <c r="D56" s="75" t="str">
        <v>F7:H7</v>
      </c>
    </row>
    <row r="57" ht="28" customHeight="1">
      <c r="A57" s="75" t="str">
        <v>Not available</v>
      </c>
      <c r="B57" s="75" t="n">
        <v>8</v>
      </c>
      <c r="C57" s="75" t="str">
        <v>G004</v>
      </c>
      <c r="D57" s="75" t="str">
        <v>F8:H8</v>
      </c>
    </row>
    <row r="58" ht="28" customHeight="1">
      <c r="A58" s="75" t="str">
        <v>Not available</v>
      </c>
      <c r="B58" s="75" t="n">
        <v>9</v>
      </c>
      <c r="C58" s="75" t="str">
        <v>G005</v>
      </c>
      <c r="D58" s="75" t="str">
        <v>F9:H9</v>
      </c>
    </row>
    <row r="59" ht="28" customHeight="1">
      <c r="A59" s="75" t="str">
        <v>Not available</v>
      </c>
      <c r="B59" s="75" t="n">
        <v>10</v>
      </c>
      <c r="C59" s="75" t="str">
        <v>G006</v>
      </c>
      <c r="D59" s="75" t="str">
        <v>F10:H10</v>
      </c>
    </row>
    <row r="60" ht="28" customHeight="1">
      <c r="A60" s="75" t="str">
        <v>Not available</v>
      </c>
      <c r="B60" s="75" t="n">
        <v>11</v>
      </c>
      <c r="C60" s="75" t="str">
        <v>G007</v>
      </c>
      <c r="D60" s="75" t="str">
        <v>F11:H11</v>
      </c>
    </row>
    <row r="61" ht="28" customHeight="1">
      <c r="A61" s="75" t="str">
        <v>Not available</v>
      </c>
      <c r="B61" s="75" t="n">
        <v>12</v>
      </c>
      <c r="C61" s="75" t="str">
        <v>G008</v>
      </c>
      <c r="D61" s="75" t="str">
        <v>F12:H12</v>
      </c>
    </row>
    <row r="62" ht="28" customHeight="1">
      <c r="A62" s="75" t="str">
        <v>Not available</v>
      </c>
      <c r="B62" s="75" t="n">
        <v>13</v>
      </c>
      <c r="C62" s="75" t="str">
        <v>G009</v>
      </c>
      <c r="D62" s="75" t="str">
        <v>F13:H13</v>
      </c>
    </row>
    <row r="63" ht="28" customHeight="1">
      <c r="A63" s="75" t="str">
        <v>Not available</v>
      </c>
      <c r="B63" s="75" t="n">
        <v>14</v>
      </c>
      <c r="C63" s="75" t="str">
        <v>G010</v>
      </c>
      <c r="D63" s="75" t="str">
        <v>F14:H14</v>
      </c>
    </row>
    <row r="64" ht="28" customHeight="1">
      <c r="A64" s="75" t="str">
        <v>Not available</v>
      </c>
      <c r="B64" s="75" t="n">
        <v>15</v>
      </c>
      <c r="C64" s="75" t="str">
        <v>G011</v>
      </c>
      <c r="D64" s="75" t="str">
        <v>F15:H15</v>
      </c>
    </row>
    <row r="65" ht="28" customHeight="1">
      <c r="A65" s="75" t="str">
        <v>Not available</v>
      </c>
      <c r="B65" s="75" t="n">
        <v>16</v>
      </c>
      <c r="C65" s="75" t="str">
        <v>G012</v>
      </c>
      <c r="D65" s="75" t="str">
        <v>F16:H16</v>
      </c>
    </row>
    <row r="66" ht="28" customHeight="1">
      <c r="A66" s="75" t="str">
        <v>Not available</v>
      </c>
      <c r="B66" s="75" t="n">
        <v>17</v>
      </c>
      <c r="C66" s="75" t="str">
        <v>G013</v>
      </c>
      <c r="D66" s="75" t="str">
        <v>F17:H17</v>
      </c>
    </row>
    <row r="67" ht="28" customHeight="1">
      <c r="A67" s="75" t="str">
        <v>Not available</v>
      </c>
      <c r="B67" s="75" t="n">
        <v>18</v>
      </c>
      <c r="C67" s="75" t="str">
        <v>G014</v>
      </c>
      <c r="D67" s="75" t="str">
        <v>F18:H18</v>
      </c>
    </row>
    <row r="68" ht="28" customHeight="1">
      <c r="A68" s="75" t="str">
        <v>Not available</v>
      </c>
      <c r="B68" s="75" t="n">
        <v>19</v>
      </c>
      <c r="C68" s="75" t="str">
        <v>G015</v>
      </c>
      <c r="D68" s="75" t="str">
        <v>F19:H19</v>
      </c>
    </row>
    <row r="69" ht="28" customHeight="1">
      <c r="A69" s="75" t="str">
        <v>Not available</v>
      </c>
      <c r="B69" s="75" t="n">
        <v>20</v>
      </c>
      <c r="C69" s="75" t="str">
        <v>G016</v>
      </c>
      <c r="D69" s="75" t="str">
        <v>F20:H20</v>
      </c>
    </row>
    <row r="70" ht="28" customHeight="1">
      <c r="A70" s="75" t="str">
        <v>Not available</v>
      </c>
      <c r="B70" s="75" t="n">
        <v>21</v>
      </c>
      <c r="C70" s="75" t="str">
        <v>G017</v>
      </c>
      <c r="D70" s="75" t="str">
        <v>F21:H21</v>
      </c>
    </row>
    <row r="71">
      <c r="A71" s="73"/>
      <c r="B71" s="73"/>
      <c r="C71" s="73"/>
      <c r="D71" s="73"/>
    </row>
    <row r="72">
      <c r="A72" s="73"/>
      <c r="B72" s="73"/>
      <c r="C72" s="73"/>
      <c r="D72" s="73"/>
    </row>
  </sheetData>
  <mergeCells>
    <mergeCell ref="A2:D3"/>
  </mergeCells>
  <pageMargins left="0.7" right="0.7" top="0.75" bottom="0.75" header="0.3" footer="0.3"/>
</worksheet>
</file>