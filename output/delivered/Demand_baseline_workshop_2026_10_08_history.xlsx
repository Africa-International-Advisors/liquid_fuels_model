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ports" sheetId="23" state="visible" r:id="rId23"/>
    <sheet xmlns:r="http://schemas.openxmlformats.org/officeDocument/2006/relationships" name="Power fleet" sheetId="24" state="visible" r:id="rId24"/>
    <sheet xmlns:r="http://schemas.openxmlformats.org/officeDocument/2006/relationships" name="Vehicle history" sheetId="25" state="visible" r:id="rId25"/>
    <sheet xmlns:r="http://schemas.openxmlformats.org/officeDocument/2006/relationships" name="HML response" sheetId="26" state="visible" r:id="rId26"/>
    <sheet xmlns:r="http://schemas.openxmlformats.org/officeDocument/2006/relationships" name="Gap status" sheetId="27" state="visible" r:id="rId27"/>
    <sheet xmlns:r="http://schemas.openxmlformats.org/officeDocument/2006/relationships" name="Checks" sheetId="28" state="visible" r:id="rId28"/>
    <sheet xmlns:r="http://schemas.openxmlformats.org/officeDocument/2006/relationships" name="History sources" sheetId="29" state="visible" r:id="rId29"/>
  </sheets>
  <definedNames/>
</workbook>
</file>

<file path=xl/styles.xml><?xml version="1.0" encoding="utf-8"?>
<styleSheet xmlns="http://schemas.openxmlformats.org/spreadsheetml/2006/main">
  <numFmts count="7">
    <numFmt numFmtId="164" formatCode="#,##0.0"/>
    <numFmt numFmtId="165" formatCode="0.0%"/>
    <numFmt numFmtId="166" formatCode="0.0000"/>
    <numFmt numFmtId="167" formatCode="#,##0.0000"/>
    <numFmt numFmtId="168" formatCode="0.0"/>
    <numFmt numFmtId="169" formatCode="[&gt;=0.005]0.00;[&lt;=-0.005]-0.00;0.00"/>
    <numFmt numFmtId="170"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95">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5" fillId="18" borderId="0" applyAlignment="1" pivotButton="0" quotePrefix="0" xfId="0">
      <alignment horizontal="left" vertical="top"/>
    </xf>
    <xf numFmtId="2" fontId="1" fillId="18" borderId="0" applyAlignment="1" pivotButton="0" quotePrefix="0" xfId="0">
      <alignment horizontal="right" vertical="top"/>
    </xf>
    <xf numFmtId="2" fontId="1" fillId="15"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70"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The 0.31 factor awaits review.</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45 facts read from original documents, 2 calculated, 8 still open (yellow). Each row gives its source and page.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1">
      <c r="A11" s="152" t="inlineStr">
        <is>
          <t>Network length</t>
        </is>
      </c>
      <c r="B11" s="152" t="inlineStr">
        <is>
          <t>All Transnet pipelines</t>
        </is>
      </c>
      <c r="C11" s="152" t="inlineStr">
        <is>
          <t>3116</t>
        </is>
      </c>
      <c r="D11" s="152" t="inlineStr">
        <is>
          <t>kilometres</t>
        </is>
      </c>
      <c r="E11" s="152" t="inlineStr">
        <is>
          <t>2020</t>
        </is>
      </c>
      <c r="F11" s="152" t="inlineStr">
        <is>
          <t>observed</t>
        </is>
      </c>
      <c r="G11" s="152" t="inlineStr">
        <is>
          <t>Transnet Pipelines 2020 report</t>
        </is>
      </c>
      <c r="H11" s="152" t="inlineStr">
        <is>
          <t>PDF p.3</t>
        </is>
      </c>
      <c r="I11" s="152" t="inlineStr">
        <is>
          <t>Includes crude and gas lines.</t>
        </is>
      </c>
    </row>
    <row r="13">
      <c r="A13" s="151" t="inlineStr">
        <is>
          <t>Pipeline use</t>
        </is>
      </c>
      <c r="B13" s="151" t="n"/>
      <c r="C13" s="151" t="n"/>
      <c r="D13" s="151" t="n"/>
      <c r="E13" s="151" t="n"/>
      <c r="F13" s="151" t="n"/>
      <c r="G13" s="151" t="n"/>
      <c r="H13" s="151" t="n"/>
      <c r="I13" s="151" t="n"/>
    </row>
    <row r="14">
      <c r="A14" s="152" t="inlineStr">
        <is>
          <t>Petroleum volumes transported</t>
        </is>
      </c>
      <c r="B14" s="152" t="inlineStr">
        <is>
          <t>All Transnet petroleum pipelines</t>
        </is>
      </c>
      <c r="C14" s="152" t="inlineStr">
        <is>
          <t>17.8</t>
        </is>
      </c>
      <c r="D14" s="152" t="inlineStr">
        <is>
          <t>billion litres</t>
        </is>
      </c>
      <c r="E14" s="152" t="inlineStr">
        <is>
          <t>year to March 2020</t>
        </is>
      </c>
      <c r="F14" s="152" t="inlineStr">
        <is>
          <t>observed</t>
        </is>
      </c>
      <c r="G14" s="152" t="inlineStr">
        <is>
          <t>Transnet Pipelines 2020 report</t>
        </is>
      </c>
      <c r="H14" s="152" t="inlineStr">
        <is>
          <t>PDF p.3</t>
        </is>
      </c>
      <c r="I14" s="152" t="inlineStr">
        <is>
          <t>Includes crude oil to Natref; refined products not split out.</t>
        </is>
      </c>
    </row>
    <row r="15">
      <c r="A15" s="152" t="inlineStr">
        <is>
          <t>Petroleum volumes transported</t>
        </is>
      </c>
      <c r="B15" s="152" t="inlineStr">
        <is>
          <t>All Transnet petroleum pipelines</t>
        </is>
      </c>
      <c r="C15" s="152" t="inlineStr">
        <is>
          <t>15.190</t>
        </is>
      </c>
      <c r="D15" s="152" t="inlineStr">
        <is>
          <t>billion litres</t>
        </is>
      </c>
      <c r="E15" s="152" t="inlineStr">
        <is>
          <t>year to March 2024</t>
        </is>
      </c>
      <c r="F15" s="152" t="inlineStr">
        <is>
          <t>observed</t>
        </is>
      </c>
      <c r="G15" s="152" t="inlineStr">
        <is>
          <t>Transnet Integrated Report 2025</t>
        </is>
      </c>
      <c r="H15" s="152" t="inlineStr">
        <is>
          <t>PDF p.26</t>
        </is>
      </c>
      <c r="I15" s="152" t="inlineStr">
        <is>
          <t>Includes crude oil to Natref; refined products not split out.</t>
        </is>
      </c>
    </row>
    <row r="16">
      <c r="A16" s="152" t="inlineStr">
        <is>
          <t>Petroleum volumes transported</t>
        </is>
      </c>
      <c r="B16" s="152" t="inlineStr">
        <is>
          <t>All Transnet petroleum pipelines</t>
        </is>
      </c>
      <c r="C16" s="152" t="inlineStr">
        <is>
          <t>13.372</t>
        </is>
      </c>
      <c r="D16" s="152" t="inlineStr">
        <is>
          <t>billion litres</t>
        </is>
      </c>
      <c r="E16" s="152" t="inlineStr">
        <is>
          <t>year to March 2025</t>
        </is>
      </c>
      <c r="F16" s="152" t="inlineStr">
        <is>
          <t>observed</t>
        </is>
      </c>
      <c r="G16" s="152" t="inlineStr">
        <is>
          <t>Transnet Integrated Report 2025</t>
        </is>
      </c>
      <c r="H16" s="152" t="inlineStr">
        <is>
          <t>PDF p.26</t>
        </is>
      </c>
      <c r="I16" s="152" t="inlineStr">
        <is>
          <t>Down 12%. Includes crude oil to Natref; no split by line or product.</t>
        </is>
      </c>
    </row>
    <row r="17">
      <c r="A17" s="152" t="inlineStr">
        <is>
          <t>Share of inland refined products moved by pipeline</t>
        </is>
      </c>
      <c r="B17" s="152" t="inlineStr">
        <is>
          <t>Inland market</t>
        </is>
      </c>
      <c r="C17" s="152" t="inlineStr">
        <is>
          <t>More than 70</t>
        </is>
      </c>
      <c r="D17" s="152" t="inlineStr">
        <is>
          <t>%</t>
        </is>
      </c>
      <c r="E17" s="152" t="inlineStr">
        <is>
          <t>as stated in 2020</t>
        </is>
      </c>
      <c r="F17" s="152" t="inlineStr">
        <is>
          <t>observed</t>
        </is>
      </c>
      <c r="G17" s="152" t="inlineStr">
        <is>
          <t>Transnet Pipelines 2020 report</t>
        </is>
      </c>
      <c r="H17" s="152" t="inlineStr">
        <is>
          <t>PDF p.3</t>
        </is>
      </c>
      <c r="I17" s="152" t="inlineStr">
        <is>
          <t>No later figure found; the rest moves by road and rail.</t>
        </is>
      </c>
    </row>
    <row r="19">
      <c r="A19" s="151" t="inlineStr">
        <is>
          <t>Pipeline cost</t>
        </is>
      </c>
      <c r="B19" s="151" t="n"/>
      <c r="C19" s="151" t="n"/>
      <c r="D19" s="151" t="n"/>
      <c r="E19" s="151" t="n"/>
      <c r="F19" s="151" t="n"/>
      <c r="G19" s="151" t="n"/>
      <c r="H19" s="151" t="n"/>
      <c r="I19" s="151" t="n"/>
    </row>
    <row r="20">
      <c r="A20" s="152" t="inlineStr">
        <is>
          <t>Allowable revenue set by the regulator</t>
        </is>
      </c>
      <c r="B20" s="152" t="inlineStr">
        <is>
          <t>Transnet petroleum pipelines system</t>
        </is>
      </c>
      <c r="C20" s="152" t="inlineStr">
        <is>
          <t>7212.32; 7842.01; 8290.04</t>
        </is>
      </c>
      <c r="D20" s="152" t="inlineStr">
        <is>
          <t>R million</t>
        </is>
      </c>
      <c r="E20" s="152" t="inlineStr">
        <is>
          <t>2024/25; 2025/26; 2026/27</t>
        </is>
      </c>
      <c r="F20" s="152" t="inlineStr">
        <is>
          <t>observed</t>
        </is>
      </c>
      <c r="G20" s="152" t="inlineStr">
        <is>
          <t>NERSA media statement, 15 April 2025</t>
        </is>
      </c>
      <c r="H20" s="152" t="inlineStr">
        <is>
          <t>p.1</t>
        </is>
      </c>
      <c r="I20" s="152" t="inlineStr"/>
    </row>
    <row r="21">
      <c r="A21" s="152" t="inlineStr">
        <is>
          <t>Effect of the tariff decision on the fuel price</t>
        </is>
      </c>
      <c r="B21" s="152" t="inlineStr">
        <is>
          <t>Durban to Johannesburg proxy</t>
        </is>
      </c>
      <c r="C21" s="152" t="inlineStr">
        <is>
          <t>+5.23; +3.80</t>
        </is>
      </c>
      <c r="D21" s="152" t="inlineStr">
        <is>
          <t>cents a litre</t>
        </is>
      </c>
      <c r="E21" s="152" t="inlineStr">
        <is>
          <t>2025/26; 2026/27</t>
        </is>
      </c>
      <c r="F21" s="152" t="inlineStr">
        <is>
          <t>observed</t>
        </is>
      </c>
      <c r="G21" s="152" t="inlineStr">
        <is>
          <t>NERSA media statement, 15 April 2025</t>
        </is>
      </c>
      <c r="H21" s="152" t="inlineStr">
        <is>
          <t>p.1</t>
        </is>
      </c>
      <c r="I21" s="152" t="inlineStr">
        <is>
          <t>This is the change, not the tariff. The tariff by route is in the reasons for decision, not yet obtained.</t>
        </is>
      </c>
    </row>
    <row r="22">
      <c r="A22" s="162" t="inlineStr">
        <is>
          <t>Tariff level, Durban to Alrode and other routes</t>
        </is>
      </c>
      <c r="B22" s="162" t="inlineStr">
        <is>
          <t>By route</t>
        </is>
      </c>
      <c r="C22" s="162" t="inlineStr">
        <is>
          <t>Not available</t>
        </is>
      </c>
      <c r="D22" s="162" t="inlineStr">
        <is>
          <t>cents a litre</t>
        </is>
      </c>
      <c r="E22" s="162" t="inlineStr">
        <is>
          <t>2026/27</t>
        </is>
      </c>
      <c r="F22" s="162" t="inlineStr">
        <is>
          <t>not available</t>
        </is>
      </c>
      <c r="G22" s="162" t="inlineStr">
        <is>
          <t>NERSA reasons for decision (not obtained)</t>
        </is>
      </c>
      <c r="H22" s="162" t="inlineStr"/>
      <c r="I22" s="162" t="inlineStr">
        <is>
          <t>Needed for a matched delivered cost. Owner: Manish.</t>
        </is>
      </c>
    </row>
    <row r="24">
      <c r="A24" s="151" t="inlineStr">
        <is>
          <t>Delivered cost</t>
        </is>
      </c>
      <c r="B24" s="151" t="n"/>
      <c r="C24" s="151" t="n"/>
      <c r="D24" s="151" t="n"/>
      <c r="E24" s="151" t="n"/>
      <c r="F24" s="151" t="n"/>
      <c r="G24" s="151" t="n"/>
      <c r="H24" s="151" t="n"/>
      <c r="I24" s="151" t="n"/>
    </row>
    <row r="25">
      <c r="A25" s="152" t="inlineStr">
        <is>
          <t>Regulated price difference, inland less coast, diesel wholesale</t>
        </is>
      </c>
      <c r="B25" s="152" t="inlineStr">
        <is>
          <t>Gauteng less coast</t>
        </is>
      </c>
      <c r="C25" s="152" t="inlineStr">
        <is>
          <t>79.0; 83.3; 83.3</t>
        </is>
      </c>
      <c r="D25" s="152" t="inlineStr">
        <is>
          <t>cents a litre</t>
        </is>
      </c>
      <c r="E25" s="152" t="inlineStr">
        <is>
          <t>July 2024; July 2025; November 2025</t>
        </is>
      </c>
      <c r="F25" s="152" t="inlineStr">
        <is>
          <t>observed</t>
        </is>
      </c>
      <c r="G25" s="152" t="inlineStr">
        <is>
          <t>Department of Mineral and Petroleum Resources, regulated fuel prices</t>
        </is>
      </c>
      <c r="H25" s="152" t="inlineStr"/>
      <c r="I25" s="152" t="inlineStr">
        <is>
          <t>The regulated allowance for moving fuel inland, not an operator's actual cost. Coast series held ends November 2025.</t>
        </is>
      </c>
    </row>
    <row r="26">
      <c r="A26" s="162" t="inlineStr">
        <is>
          <t>Road tanker rate, Durban to Gauteng</t>
        </is>
      </c>
      <c r="B26" s="162" t="inlineStr">
        <is>
          <t>Road</t>
        </is>
      </c>
      <c r="C26" s="162" t="inlineStr">
        <is>
          <t>Not available</t>
        </is>
      </c>
      <c r="D26" s="162" t="inlineStr">
        <is>
          <t>cents a litre</t>
        </is>
      </c>
      <c r="E26" s="162" t="inlineStr"/>
      <c r="F26" s="162" t="inlineStr">
        <is>
          <t>not available</t>
        </is>
      </c>
      <c r="G26" s="162" t="inlineStr">
        <is>
          <t>None public</t>
        </is>
      </c>
      <c r="H26" s="162" t="inlineStr"/>
      <c r="I26" s="162" t="inlineStr">
        <is>
          <t>Hauliers' rates are commercial. Needs Vopak or a haulier quote.</t>
        </is>
      </c>
    </row>
    <row r="27">
      <c r="A27" s="162" t="inlineStr">
        <is>
          <t>Rail tariff, Durban to Gauteng</t>
        </is>
      </c>
      <c r="B27" s="162" t="inlineStr">
        <is>
          <t>Rail</t>
        </is>
      </c>
      <c r="C27" s="162" t="inlineStr">
        <is>
          <t>Not available</t>
        </is>
      </c>
      <c r="D27" s="162" t="inlineStr">
        <is>
          <t>cents a litre</t>
        </is>
      </c>
      <c r="E27" s="162" t="inlineStr"/>
      <c r="F27" s="162" t="inlineStr">
        <is>
          <t>not available</t>
        </is>
      </c>
      <c r="G27" s="162" t="inlineStr">
        <is>
          <t>None public</t>
        </is>
      </c>
      <c r="H27" s="162" t="inlineStr"/>
      <c r="I27" s="162" t="inlineStr">
        <is>
          <t>Transnet Freight Rail tariffs are not published by commodity.</t>
        </is>
      </c>
    </row>
    <row r="29">
      <c r="A29" s="151" t="inlineStr">
        <is>
          <t>Port use</t>
        </is>
      </c>
      <c r="B29" s="151" t="n"/>
      <c r="C29" s="151" t="n"/>
      <c r="D29" s="151" t="n"/>
      <c r="E29" s="151" t="n"/>
      <c r="F29" s="151" t="n"/>
      <c r="G29" s="151" t="n"/>
      <c r="H29" s="151" t="n"/>
      <c r="I29" s="151" t="n"/>
    </row>
    <row r="30">
      <c r="A30" s="152" t="inlineStr">
        <is>
          <t>Petrol and diesel imports cleared</t>
        </is>
      </c>
      <c r="B30" s="152" t="inlineStr">
        <is>
          <t>Durban customs office</t>
        </is>
      </c>
      <c r="C30" s="152" t="inlineStr">
        <is>
          <t>11.84; 13.16</t>
        </is>
      </c>
      <c r="D30" s="152" t="inlineStr">
        <is>
          <t>billion litres</t>
        </is>
      </c>
      <c r="E30" s="152" t="inlineStr">
        <is>
          <t>2024; 2025</t>
        </is>
      </c>
      <c r="F30" s="152" t="inlineStr">
        <is>
          <t>observed</t>
        </is>
      </c>
      <c r="G30" s="152" t="inlineStr">
        <is>
          <t>SARS customs, by office</t>
        </is>
      </c>
      <c r="H30" s="152" t="inlineStr"/>
      <c r="I30" s="152" t="inlineStr">
        <is>
          <t>Customs office of clearance: the nearest public record of entry port, not a berth or terminal record.</t>
        </is>
      </c>
    </row>
    <row r="31">
      <c r="A31" s="152" t="inlineStr">
        <is>
          <t>Durban share of petrol and diesel imports</t>
        </is>
      </c>
      <c r="B31" s="152" t="inlineStr">
        <is>
          <t>Durban customs office</t>
        </is>
      </c>
      <c r="C31" s="152" t="inlineStr">
        <is>
          <t>80.0; 78.8</t>
        </is>
      </c>
      <c r="D31" s="152" t="inlineStr">
        <is>
          <t>%</t>
        </is>
      </c>
      <c r="E31" s="152" t="inlineStr">
        <is>
          <t>2024; 2025</t>
        </is>
      </c>
      <c r="F31" s="152" t="inlineStr">
        <is>
          <t>observed</t>
        </is>
      </c>
      <c r="G31" s="152" t="inlineStr">
        <is>
          <t>SARS customs, by office</t>
        </is>
      </c>
      <c r="H31" s="152" t="inlineStr"/>
      <c r="I31" s="152" t="inlineStr"/>
    </row>
    <row r="32">
      <c r="A32" s="152" t="inlineStr">
        <is>
          <t>Petrol and diesel imports cleared</t>
        </is>
      </c>
      <c r="B32" s="152" t="inlineStr">
        <is>
          <t>Richards Bay customs office</t>
        </is>
      </c>
      <c r="C32" s="152" t="inlineStr">
        <is>
          <t>0.39; 0.66</t>
        </is>
      </c>
      <c r="D32" s="152" t="inlineStr">
        <is>
          <t>billion litres</t>
        </is>
      </c>
      <c r="E32" s="152" t="inlineStr">
        <is>
          <t>2024; 2025</t>
        </is>
      </c>
      <c r="F32" s="152" t="inlineStr">
        <is>
          <t>observed</t>
        </is>
      </c>
      <c r="G32" s="152" t="inlineStr">
        <is>
          <t>SARS customs, by office</t>
        </is>
      </c>
      <c r="H32" s="152" t="inlineStr"/>
      <c r="I32" s="152" t="inlineStr"/>
    </row>
    <row r="33">
      <c r="A33" s="152" t="inlineStr">
        <is>
          <t>Petrol and diesel imports cleared</t>
        </is>
      </c>
      <c r="B33" s="152" t="inlineStr">
        <is>
          <t>Cape Town customs office</t>
        </is>
      </c>
      <c r="C33" s="152" t="inlineStr">
        <is>
          <t>1.09; 1.52</t>
        </is>
      </c>
      <c r="D33" s="152" t="inlineStr">
        <is>
          <t>billion litres</t>
        </is>
      </c>
      <c r="E33" s="152" t="inlineStr">
        <is>
          <t>2024; 2025</t>
        </is>
      </c>
      <c r="F33" s="152" t="inlineStr">
        <is>
          <t>observed</t>
        </is>
      </c>
      <c r="G33" s="152" t="inlineStr">
        <is>
          <t>SARS customs, by office</t>
        </is>
      </c>
      <c r="H33" s="152" t="inlineStr"/>
      <c r="I33" s="152" t="inlineStr"/>
    </row>
    <row r="34">
      <c r="A34" s="152" t="inlineStr">
        <is>
          <t>Petrol and diesel imports by road from Mozambique</t>
        </is>
      </c>
      <c r="B34" s="152" t="inlineStr">
        <is>
          <t>Komatipoort customs office</t>
        </is>
      </c>
      <c r="C34" s="152" t="inlineStr">
        <is>
          <t>0.19; 0.09</t>
        </is>
      </c>
      <c r="D34" s="152" t="inlineStr">
        <is>
          <t>billion litres</t>
        </is>
      </c>
      <c r="E34" s="152" t="inlineStr">
        <is>
          <t>2024; 2025</t>
        </is>
      </c>
      <c r="F34" s="152" t="inlineStr">
        <is>
          <t>observed</t>
        </is>
      </c>
      <c r="G34" s="152" t="inlineStr">
        <is>
          <t>SARS customs, by office</t>
        </is>
      </c>
      <c r="H34" s="152" t="inlineStr"/>
      <c r="I34" s="152" t="inlineStr">
        <is>
          <t>The only recorded entry from the Maputo and Matola side.</t>
        </is>
      </c>
    </row>
    <row r="35">
      <c r="A35" s="152" t="inlineStr">
        <is>
          <t>Liquid bulk handled, all ports</t>
        </is>
      </c>
      <c r="B35" s="152" t="inlineStr">
        <is>
          <t>All South African ports</t>
        </is>
      </c>
      <c r="C35" s="152" t="inlineStr">
        <is>
          <t>41.9; 41.8; 38.1</t>
        </is>
      </c>
      <c r="D35" s="152" t="inlineStr">
        <is>
          <t>million kilolitres</t>
        </is>
      </c>
      <c r="E35" s="152" t="inlineStr">
        <is>
          <t>years to March 2020; 2021; 2022</t>
        </is>
      </c>
      <c r="F35" s="152" t="inlineStr">
        <is>
          <t>observed</t>
        </is>
      </c>
      <c r="G35" s="152" t="inlineStr">
        <is>
          <t>Transnet National Ports Authority report 2023</t>
        </is>
      </c>
      <c r="H35" s="152" t="inlineStr">
        <is>
          <t>PDF p.9</t>
        </is>
      </c>
      <c r="I35" s="152" t="inlineStr">
        <is>
          <t>All eight ports and all liquids together (crude, fuels, chemicals). No split by port or product. The report prints the unit as 'million kilometres', read as kilolitres.</t>
        </is>
      </c>
    </row>
    <row r="36">
      <c r="A36" s="152" t="inlineStr">
        <is>
          <t>Liquid bulk handled, all ports</t>
        </is>
      </c>
      <c r="B36" s="152" t="inlineStr">
        <is>
          <t>All South African ports</t>
        </is>
      </c>
      <c r="C36" s="152" t="inlineStr">
        <is>
          <t>35.5; 38.9</t>
        </is>
      </c>
      <c r="D36" s="152" t="inlineStr">
        <is>
          <t>million kilolitres</t>
        </is>
      </c>
      <c r="E36" s="152" t="inlineStr">
        <is>
          <t>years to March 2023; 2024</t>
        </is>
      </c>
      <c r="F36" s="152" t="inlineStr">
        <is>
          <t>observed</t>
        </is>
      </c>
      <c r="G36" s="152" t="inlineStr">
        <is>
          <t>Transnet National Ports Authority report 2024</t>
        </is>
      </c>
      <c r="H36" s="152" t="inlineStr">
        <is>
          <t>PDF p.9</t>
        </is>
      </c>
      <c r="I36" s="152" t="inlineStr">
        <is>
          <t>All eight ports and all liquids together (crude, fuels, chemicals). No split by port or product. The report prints the unit as 'million kilometres', read as kilolitres. The 2023 report gives 35.0 for the year to March 2023.</t>
        </is>
      </c>
    </row>
    <row r="37">
      <c r="A37" s="152" t="inlineStr">
        <is>
          <t>Liquid bulk target, all ports</t>
        </is>
      </c>
      <c r="B37" s="152" t="inlineStr">
        <is>
          <t>All South African ports</t>
        </is>
      </c>
      <c r="C37" s="152" t="inlineStr">
        <is>
          <t>34.6</t>
        </is>
      </c>
      <c r="D37" s="152" t="inlineStr">
        <is>
          <t>million kilolitres</t>
        </is>
      </c>
      <c r="E37" s="152" t="inlineStr">
        <is>
          <t>year to March 2025 (target)</t>
        </is>
      </c>
      <c r="F37" s="152" t="inlineStr">
        <is>
          <t>observed</t>
        </is>
      </c>
      <c r="G37" s="152" t="inlineStr">
        <is>
          <t>Transnet National Ports Authority report 2024</t>
        </is>
      </c>
      <c r="H37" s="152" t="inlineStr">
        <is>
          <t>PDF p.9</t>
        </is>
      </c>
      <c r="I37" s="152" t="inlineStr">
        <is>
          <t>A target, not an outcome.</t>
        </is>
      </c>
    </row>
    <row r="38">
      <c r="A38" s="152" t="inlineStr">
        <is>
          <t>Liquid bulk landed (imports)</t>
        </is>
      </c>
      <c r="B38" s="152" t="inlineStr">
        <is>
          <t>Durban</t>
        </is>
      </c>
      <c r="C38" s="152" t="inlineStr">
        <is>
          <t>19.88; 20.70</t>
        </is>
      </c>
      <c r="D38" s="152" t="inlineStr">
        <is>
          <t>million tons</t>
        </is>
      </c>
      <c r="E38" s="152" t="inlineStr">
        <is>
          <t>2024; 2025</t>
        </is>
      </c>
      <c r="F38" s="152" t="inlineStr">
        <is>
          <t>observed</t>
        </is>
      </c>
      <c r="G38" s="152" t="inlineStr">
        <is>
          <t>Transnet National Ports Authority, port statistics, cargo handled (calendar year)</t>
        </is>
      </c>
      <c r="H38" s="152" t="inlineStr">
        <is>
          <t>p.1</t>
        </is>
      </c>
      <c r="I38" s="152" t="inlineStr">
        <is>
          <t>Metric tons of all liquids: crude oil, fuels, gas and chemicals together. Not litres and not split by product.</t>
        </is>
      </c>
    </row>
    <row r="39">
      <c r="A39" s="152" t="inlineStr">
        <is>
          <t>Liquid bulk handled, all movements</t>
        </is>
      </c>
      <c r="B39" s="152" t="inlineStr">
        <is>
          <t>Durban</t>
        </is>
      </c>
      <c r="C39" s="152" t="inlineStr">
        <is>
          <t>21.60; 22.42</t>
        </is>
      </c>
      <c r="D39" s="152" t="inlineStr">
        <is>
          <t>million tons</t>
        </is>
      </c>
      <c r="E39" s="152" t="inlineStr">
        <is>
          <t>2024; 2025</t>
        </is>
      </c>
      <c r="F39" s="152" t="inlineStr">
        <is>
          <t>observed</t>
        </is>
      </c>
      <c r="G39" s="152" t="inlineStr">
        <is>
          <t>Transnet National Ports Authority, port statistics, cargo handled (calendar year)</t>
        </is>
      </c>
      <c r="H39" s="152" t="inlineStr">
        <is>
          <t>p.1</t>
        </is>
      </c>
      <c r="I39" s="152" t="inlineStr">
        <is>
          <t>Imports, exports, coastwise and transhipment. Metric tons of all liquids: crude oil, fuels, gas and chemicals together. Not litres and not split by product.</t>
        </is>
      </c>
    </row>
    <row r="40">
      <c r="A40" s="152" t="inlineStr">
        <is>
          <t>Liquid bulk landed (imports)</t>
        </is>
      </c>
      <c r="B40" s="152" t="inlineStr">
        <is>
          <t>Richards Bay</t>
        </is>
      </c>
      <c r="C40" s="152" t="inlineStr">
        <is>
          <t>1.76; 2.16</t>
        </is>
      </c>
      <c r="D40" s="152" t="inlineStr">
        <is>
          <t>million tons</t>
        </is>
      </c>
      <c r="E40" s="152" t="inlineStr">
        <is>
          <t>2024; 2025</t>
        </is>
      </c>
      <c r="F40" s="152" t="inlineStr">
        <is>
          <t>observed</t>
        </is>
      </c>
      <c r="G40" s="152" t="inlineStr">
        <is>
          <t>Transnet National Ports Authority, port statistics, cargo handled (calendar year)</t>
        </is>
      </c>
      <c r="H40" s="152" t="inlineStr">
        <is>
          <t>p.1</t>
        </is>
      </c>
      <c r="I40" s="152" t="inlineStr">
        <is>
          <t>Metric tons of all liquids: crude oil, fuels, gas and chemicals together. Not litres and not split by product.</t>
        </is>
      </c>
    </row>
    <row r="41">
      <c r="A41" s="152" t="inlineStr">
        <is>
          <t>Liquid bulk handled, all movements</t>
        </is>
      </c>
      <c r="B41" s="152" t="inlineStr">
        <is>
          <t>Richards Bay</t>
        </is>
      </c>
      <c r="C41" s="152" t="inlineStr">
        <is>
          <t>2.99; 3.51</t>
        </is>
      </c>
      <c r="D41" s="152" t="inlineStr">
        <is>
          <t>million tons</t>
        </is>
      </c>
      <c r="E41" s="152" t="inlineStr">
        <is>
          <t>2024; 2025</t>
        </is>
      </c>
      <c r="F41" s="152" t="inlineStr">
        <is>
          <t>observed</t>
        </is>
      </c>
      <c r="G41" s="152" t="inlineStr">
        <is>
          <t>Transnet National Ports Authority, port statistics, cargo handled (calendar year)</t>
        </is>
      </c>
      <c r="H41" s="152" t="inlineStr">
        <is>
          <t>p.1</t>
        </is>
      </c>
      <c r="I41" s="152" t="inlineStr">
        <is>
          <t>Imports, exports, coastwise and transhipment. Metric tons of all liquids: crude oil, fuels, gas and chemicals together. Not litres and not split by product.</t>
        </is>
      </c>
    </row>
    <row r="42">
      <c r="A42" s="152" t="inlineStr">
        <is>
          <t>Liquid bulk landed (imports)</t>
        </is>
      </c>
      <c r="B42" s="152" t="inlineStr">
        <is>
          <t>Cape Town</t>
        </is>
      </c>
      <c r="C42" s="152" t="inlineStr">
        <is>
          <t>1.43; 1.90</t>
        </is>
      </c>
      <c r="D42" s="152" t="inlineStr">
        <is>
          <t>million tons</t>
        </is>
      </c>
      <c r="E42" s="152" t="inlineStr">
        <is>
          <t>2024; 2025</t>
        </is>
      </c>
      <c r="F42" s="152" t="inlineStr">
        <is>
          <t>observed</t>
        </is>
      </c>
      <c r="G42" s="152" t="inlineStr">
        <is>
          <t>Transnet National Ports Authority, port statistics, cargo handled (calendar year)</t>
        </is>
      </c>
      <c r="H42" s="152" t="inlineStr">
        <is>
          <t>p.1</t>
        </is>
      </c>
      <c r="I42" s="152" t="inlineStr">
        <is>
          <t>Metric tons of all liquids: crude oil, fuels, gas and chemicals together. Not litres and not split by product.</t>
        </is>
      </c>
    </row>
    <row r="43">
      <c r="A43" s="152" t="inlineStr">
        <is>
          <t>Liquid bulk handled, all movements</t>
        </is>
      </c>
      <c r="B43" s="152" t="inlineStr">
        <is>
          <t>Cape Town</t>
        </is>
      </c>
      <c r="C43" s="152" t="inlineStr">
        <is>
          <t>3.05; 3.49</t>
        </is>
      </c>
      <c r="D43" s="152" t="inlineStr">
        <is>
          <t>million tons</t>
        </is>
      </c>
      <c r="E43" s="152" t="inlineStr">
        <is>
          <t>2024; 2025</t>
        </is>
      </c>
      <c r="F43" s="152" t="inlineStr">
        <is>
          <t>observed</t>
        </is>
      </c>
      <c r="G43" s="152" t="inlineStr">
        <is>
          <t>Transnet National Ports Authority, port statistics, cargo handled (calendar year)</t>
        </is>
      </c>
      <c r="H43" s="152" t="inlineStr">
        <is>
          <t>p.1</t>
        </is>
      </c>
      <c r="I43" s="152" t="inlineStr">
        <is>
          <t>Imports, exports, coastwise and transhipment. Metric tons of all liquids: crude oil, fuels, gas and chemicals together. Not litres and not split by product.</t>
        </is>
      </c>
    </row>
    <row r="44">
      <c r="A44" s="152" t="inlineStr">
        <is>
          <t>Liquid bulk landed (imports)</t>
        </is>
      </c>
      <c r="B44" s="152" t="inlineStr">
        <is>
          <t>Saldanha</t>
        </is>
      </c>
      <c r="C44" s="152" t="inlineStr">
        <is>
          <t>5.31; 5.12</t>
        </is>
      </c>
      <c r="D44" s="152" t="inlineStr">
        <is>
          <t>million tons</t>
        </is>
      </c>
      <c r="E44" s="152" t="inlineStr">
        <is>
          <t>2024; 2025</t>
        </is>
      </c>
      <c r="F44" s="152" t="inlineStr">
        <is>
          <t>observed</t>
        </is>
      </c>
      <c r="G44" s="152" t="inlineStr">
        <is>
          <t>Transnet National Ports Authority, port statistics, cargo handled (calendar year)</t>
        </is>
      </c>
      <c r="H44" s="152" t="inlineStr">
        <is>
          <t>p.1</t>
        </is>
      </c>
      <c r="I44" s="152" t="inlineStr">
        <is>
          <t>Metric tons of all liquids: crude oil, fuels, gas and chemicals together. Not litres and not split by product.</t>
        </is>
      </c>
    </row>
    <row r="45">
      <c r="A45" s="152" t="inlineStr">
        <is>
          <t>Liquid bulk handled, all movements</t>
        </is>
      </c>
      <c r="B45" s="152" t="inlineStr">
        <is>
          <t>Saldanha</t>
        </is>
      </c>
      <c r="C45" s="152" t="inlineStr">
        <is>
          <t>5.73; 5.12</t>
        </is>
      </c>
      <c r="D45" s="152" t="inlineStr">
        <is>
          <t>million tons</t>
        </is>
      </c>
      <c r="E45" s="152" t="inlineStr">
        <is>
          <t>2024; 2025</t>
        </is>
      </c>
      <c r="F45" s="152" t="inlineStr">
        <is>
          <t>observed</t>
        </is>
      </c>
      <c r="G45" s="152" t="inlineStr">
        <is>
          <t>Transnet National Ports Authority, port statistics, cargo handled (calendar year)</t>
        </is>
      </c>
      <c r="H45" s="152" t="inlineStr">
        <is>
          <t>p.1</t>
        </is>
      </c>
      <c r="I45" s="152" t="inlineStr">
        <is>
          <t>Imports, exports, coastwise and transhipment. Metric tons of all liquids: crude oil, fuels, gas and chemicals together. Not litres and not split by product.</t>
        </is>
      </c>
    </row>
    <row r="46">
      <c r="A46" s="152" t="inlineStr">
        <is>
          <t>Liquid bulk landed (imports)</t>
        </is>
      </c>
      <c r="B46" s="152" t="inlineStr">
        <is>
          <t>All eight ports</t>
        </is>
      </c>
      <c r="C46" s="152" t="inlineStr">
        <is>
          <t>29.84; 31.27</t>
        </is>
      </c>
      <c r="D46" s="152" t="inlineStr">
        <is>
          <t>million tons</t>
        </is>
      </c>
      <c r="E46" s="152" t="inlineStr">
        <is>
          <t>2024; 2025</t>
        </is>
      </c>
      <c r="F46" s="152" t="inlineStr">
        <is>
          <t>observed</t>
        </is>
      </c>
      <c r="G46" s="152" t="inlineStr">
        <is>
          <t>Transnet National Ports Authority, port statistics, cargo handled (calendar year)</t>
        </is>
      </c>
      <c r="H46" s="152" t="inlineStr">
        <is>
          <t>p.1</t>
        </is>
      </c>
      <c r="I46" s="152" t="inlineStr">
        <is>
          <t>Metric tons of all liquids: crude oil, fuels, gas and chemicals together. Not litres and not split by product.</t>
        </is>
      </c>
    </row>
    <row r="47">
      <c r="A47" s="152" t="inlineStr">
        <is>
          <t>Liquid bulk handled, all movements</t>
        </is>
      </c>
      <c r="B47" s="152" t="inlineStr">
        <is>
          <t>All eight ports</t>
        </is>
      </c>
      <c r="C47" s="152" t="inlineStr">
        <is>
          <t>35.85; 37.19</t>
        </is>
      </c>
      <c r="D47" s="152" t="inlineStr">
        <is>
          <t>million tons</t>
        </is>
      </c>
      <c r="E47" s="152" t="inlineStr">
        <is>
          <t>2024; 2025</t>
        </is>
      </c>
      <c r="F47" s="152" t="inlineStr">
        <is>
          <t>observed</t>
        </is>
      </c>
      <c r="G47" s="152" t="inlineStr">
        <is>
          <t>Transnet National Ports Authority, port statistics, cargo handled (calendar year)</t>
        </is>
      </c>
      <c r="H47" s="152" t="inlineStr">
        <is>
          <t>p.1</t>
        </is>
      </c>
      <c r="I47" s="152" t="inlineStr">
        <is>
          <t>Imports, exports, coastwise and transhipment. Metric tons of all liquids: crude oil, fuels, gas and chemicals together. Not litres and not split by product.</t>
        </is>
      </c>
    </row>
    <row r="48">
      <c r="A48" s="156" t="inlineStr">
        <is>
          <t>Durban share of liquid bulk landed</t>
        </is>
      </c>
      <c r="B48" s="156" t="inlineStr">
        <is>
          <t>Durban</t>
        </is>
      </c>
      <c r="C48" s="156" t="inlineStr">
        <is>
          <t>66.6; 66.2</t>
        </is>
      </c>
      <c r="D48" s="156" t="inlineStr">
        <is>
          <t>%</t>
        </is>
      </c>
      <c r="E48" s="156" t="inlineStr">
        <is>
          <t>2024; 2025</t>
        </is>
      </c>
      <c r="F48" s="156" t="inlineStr">
        <is>
          <t>inferred</t>
        </is>
      </c>
      <c r="G48" s="156" t="inlineStr">
        <is>
          <t>Calculated from the port statistics</t>
        </is>
      </c>
      <c r="H48" s="156" t="inlineStr">
        <is>
          <t>p.1</t>
        </is>
      </c>
      <c r="I48" s="156" t="inlineStr">
        <is>
          <t>By weight, all liquids.</t>
        </is>
      </c>
    </row>
    <row r="49">
      <c r="A49" s="152" t="inlineStr">
        <is>
          <t>Liquid bulk shipped coastwise from or to Durban</t>
        </is>
      </c>
      <c r="B49" s="152" t="inlineStr">
        <is>
          <t>Durban</t>
        </is>
      </c>
      <c r="C49" s="152" t="inlineStr">
        <is>
          <t>1.14; 1.23</t>
        </is>
      </c>
      <c r="D49" s="152" t="inlineStr">
        <is>
          <t>million tons</t>
        </is>
      </c>
      <c r="E49" s="152" t="inlineStr">
        <is>
          <t>2024; 2025</t>
        </is>
      </c>
      <c r="F49" s="152" t="inlineStr">
        <is>
          <t>observed</t>
        </is>
      </c>
      <c r="G49" s="152" t="inlineStr">
        <is>
          <t>Transnet National Ports Authority, port statistics, cargo handled (calendar year)</t>
        </is>
      </c>
      <c r="H49" s="152" t="inlineStr">
        <is>
          <t>p.1</t>
        </is>
      </c>
      <c r="I49" s="152" t="inlineStr">
        <is>
          <t>Product moved by sea between South African ports. Metric tons of all liquids: crude oil, fuels, gas and chemicals together. Not litres and not split by product.</t>
        </is>
      </c>
    </row>
    <row r="50">
      <c r="A50" s="152" t="inlineStr">
        <is>
          <t>Liquid bulk landed, by month</t>
        </is>
      </c>
      <c r="B50" s="152" t="inlineStr">
        <is>
          <t>Durban</t>
        </is>
      </c>
      <c r="C50" s="152" t="inlineStr">
        <is>
          <t>1.23 to 2.46; average 1.69</t>
        </is>
      </c>
      <c r="D50" s="152" t="inlineStr">
        <is>
          <t>million tons a month</t>
        </is>
      </c>
      <c r="E50" s="152" t="inlineStr">
        <is>
          <t>2024-07 to 2026-08, 25 months</t>
        </is>
      </c>
      <c r="F50" s="152" t="inlineStr">
        <is>
          <t>observed</t>
        </is>
      </c>
      <c r="G50" s="152" t="inlineStr">
        <is>
          <t>Transnet National Ports Authority, port statistics, monthly cargo summaries</t>
        </is>
      </c>
      <c r="H50" s="152" t="inlineStr">
        <is>
          <t>p.1 of each file</t>
        </is>
      </c>
      <c r="I50" s="152" t="inlineStr">
        <is>
          <t>January 2025 is missing: the publisher's link leads to a container report. April and May 2026 carry a note on the heading. Series is on the DR04 ports sheet.</t>
        </is>
      </c>
    </row>
    <row r="52">
      <c r="A52" s="151" t="inlineStr">
        <is>
          <t>Port limit</t>
        </is>
      </c>
      <c r="B52" s="151" t="n"/>
      <c r="C52" s="151" t="n"/>
      <c r="D52" s="151" t="n"/>
      <c r="E52" s="151" t="n"/>
      <c r="F52" s="151" t="n"/>
      <c r="G52" s="151" t="n"/>
      <c r="H52" s="151" t="n"/>
      <c r="I52" s="151" t="n"/>
    </row>
    <row r="53">
      <c r="A53" s="152" t="inlineStr">
        <is>
          <t>Berths</t>
        </is>
      </c>
      <c r="B53" s="152" t="inlineStr">
        <is>
          <t>Durban</t>
        </is>
      </c>
      <c r="C53" s="152" t="inlineStr">
        <is>
          <t>58 berths, 41 in operation, of which 8 liquid bulk</t>
        </is>
      </c>
      <c r="D53" s="152" t="inlineStr"/>
      <c r="E53" s="152" t="inlineStr">
        <is>
          <t>as on the page, read 8 October 2026</t>
        </is>
      </c>
      <c r="F53" s="152" t="inlineStr">
        <is>
          <t>observed</t>
        </is>
      </c>
      <c r="G53" s="152" t="inlineStr">
        <is>
          <t>Transnet National Ports Authority, Our Ports page</t>
        </is>
      </c>
      <c r="H53" s="152" t="inlineStr">
        <is>
          <t>Port of Durban, Fast Fact</t>
        </is>
      </c>
      <c r="I53" s="152" t="inlineStr">
        <is>
          <t>No capacity in kilolitres is given on the page.</t>
        </is>
      </c>
    </row>
    <row r="54">
      <c r="A54" s="152" t="inlineStr">
        <is>
          <t>Berths</t>
        </is>
      </c>
      <c r="B54" s="152" t="inlineStr">
        <is>
          <t>Richards Bay</t>
        </is>
      </c>
      <c r="C54" s="152" t="inlineStr">
        <is>
          <t>22 berths, of which 2 liquid bulk</t>
        </is>
      </c>
      <c r="D54" s="152" t="inlineStr"/>
      <c r="E54" s="152" t="inlineStr">
        <is>
          <t>as on the page, read 8 October 2026</t>
        </is>
      </c>
      <c r="F54" s="152" t="inlineStr">
        <is>
          <t>observed</t>
        </is>
      </c>
      <c r="G54" s="152" t="inlineStr">
        <is>
          <t>Transnet National Ports Authority, Our Ports page</t>
        </is>
      </c>
      <c r="H54" s="152" t="inlineStr">
        <is>
          <t>Port of Richards Bay, Fast Fact</t>
        </is>
      </c>
      <c r="I54" s="152" t="inlineStr">
        <is>
          <t>No capacity in kilolitres is given on the page.</t>
        </is>
      </c>
    </row>
    <row r="55">
      <c r="A55" s="162" t="inlineStr">
        <is>
          <t>Liquid bulk capacity planned, all ports</t>
        </is>
      </c>
      <c r="B55" s="162" t="inlineStr">
        <is>
          <t>All South African ports</t>
        </is>
      </c>
      <c r="C55" s="162" t="inlineStr">
        <is>
          <t>109; 112; 123</t>
        </is>
      </c>
      <c r="D55" s="162" t="inlineStr">
        <is>
          <t>as printed: 'Kilolitres 000s'</t>
        </is>
      </c>
      <c r="E55" s="162" t="inlineStr">
        <is>
          <t>2026/27; 2027/28; 2028/29</t>
        </is>
      </c>
      <c r="F55" s="162" t="inlineStr">
        <is>
          <t>observed, unit unclear</t>
        </is>
      </c>
      <c r="G55" s="162" t="inlineStr">
        <is>
          <t>Port authority tariff application slides, 2 September 2025</t>
        </is>
      </c>
      <c r="H55" s="162" t="inlineStr">
        <is>
          <t>PDF p.30</t>
        </is>
      </c>
      <c r="I55" s="162" t="inlineStr">
        <is>
          <t>Read from a chart. Probably million kilolitres a year; the slide's label is ambiguous. Not by port.</t>
        </is>
      </c>
    </row>
    <row r="56">
      <c r="A56" s="152" t="inlineStr">
        <is>
          <t>Planned berth changes at Island View</t>
        </is>
      </c>
      <c r="B56" s="152" t="inlineStr">
        <is>
          <t>Durban, Island View</t>
        </is>
      </c>
      <c r="C56" s="152" t="inlineStr">
        <is>
          <t>Berth 1 to be rebuilt (2026); Berth 3 to convert from dry bulk to liquid bulk (2026)</t>
        </is>
      </c>
      <c r="D56" s="152" t="inlineStr"/>
      <c r="E56" s="152" t="inlineStr">
        <is>
          <t>port framework plan 2022-2032</t>
        </is>
      </c>
      <c r="F56" s="152" t="inlineStr">
        <is>
          <t>observed</t>
        </is>
      </c>
      <c r="G56" s="152" t="inlineStr">
        <is>
          <t>Port authority tariff application slides, 2 September 2025</t>
        </is>
      </c>
      <c r="H56" s="152" t="inlineStr">
        <is>
          <t>PDF p.14</t>
        </is>
      </c>
      <c r="I56" s="152" t="inlineStr">
        <is>
          <t>Whether either is delivered is shown only by colour on the slide, which the text does not carry.</t>
        </is>
      </c>
    </row>
    <row r="57">
      <c r="A57" s="152" t="inlineStr">
        <is>
          <t>Planned liquid bulk berth at Richards Bay</t>
        </is>
      </c>
      <c r="B57" s="152" t="inlineStr">
        <is>
          <t>Richards Bay</t>
        </is>
      </c>
      <c r="C57" s="152" t="inlineStr">
        <is>
          <t>New liquid bulk berth 210 (2025); South Dunes liquid bulk development (2024)</t>
        </is>
      </c>
      <c r="D57" s="152" t="inlineStr"/>
      <c r="E57" s="152" t="inlineStr">
        <is>
          <t>port framework plan 2022-2032</t>
        </is>
      </c>
      <c r="F57" s="152" t="inlineStr">
        <is>
          <t>observed</t>
        </is>
      </c>
      <c r="G57" s="152" t="inlineStr">
        <is>
          <t>Port authority tariff application slides, 2 September 2025</t>
        </is>
      </c>
      <c r="H57" s="152" t="inlineStr">
        <is>
          <t>PDF pp.11-12</t>
        </is>
      </c>
      <c r="I57" s="152" t="inlineStr">
        <is>
          <t>Delivery status not readable from the text.</t>
        </is>
      </c>
    </row>
    <row r="58">
      <c r="A58" s="162" t="inlineStr">
        <is>
          <t>Liquid bulk capacity and tankage</t>
        </is>
      </c>
      <c r="B58" s="162" t="inlineStr">
        <is>
          <t>Durban, Island View</t>
        </is>
      </c>
      <c r="C58" s="162" t="inlineStr">
        <is>
          <t>Not available</t>
        </is>
      </c>
      <c r="D58" s="162" t="inlineStr">
        <is>
          <t>kilolitres a year; berths; m3</t>
        </is>
      </c>
      <c r="E58" s="162" t="inlineStr"/>
      <c r="F58" s="162" t="inlineStr">
        <is>
          <t>not verified</t>
        </is>
      </c>
      <c r="G58" s="162" t="inlineStr">
        <is>
          <t>Transnet National Ports Authority, Port of Durban brochure (not opened)</t>
        </is>
      </c>
      <c r="H58" s="162" t="inlineStr"/>
      <c r="I58" s="162" t="inlineStr">
        <is>
          <t>Search summaries quote 19.5 million kilolitres a year and 962 tanks of 1,845,762 m3, and 10 berths where the port authority's page says 8. The brochure could not be opened, so these are not used.</t>
        </is>
      </c>
    </row>
    <row r="59">
      <c r="A59" s="162" t="inlineStr">
        <is>
          <t>Liquid bulk capacity</t>
        </is>
      </c>
      <c r="B59" s="162" t="inlineStr">
        <is>
          <t>Richards Bay</t>
        </is>
      </c>
      <c r="C59" s="162" t="inlineStr">
        <is>
          <t>Not available</t>
        </is>
      </c>
      <c r="D59" s="162" t="inlineStr">
        <is>
          <t>kilolitres a year; berths</t>
        </is>
      </c>
      <c r="E59" s="162" t="inlineStr"/>
      <c r="F59" s="162" t="inlineStr">
        <is>
          <t>not verified</t>
        </is>
      </c>
      <c r="G59" s="162" t="inlineStr">
        <is>
          <t>Transnet National Ports Authority (not opened)</t>
        </is>
      </c>
      <c r="H59" s="162" t="inlineStr"/>
      <c r="I59" s="162" t="inlineStr">
        <is>
          <t>Search summaries quote 3 million kilolitres a year. Source document not opened; not used. The two berths are confirmed on the port authority's page.</t>
        </is>
      </c>
    </row>
    <row r="61">
      <c r="A61" s="151" t="inlineStr">
        <is>
          <t>Port cost</t>
        </is>
      </c>
      <c r="B61" s="151" t="n"/>
      <c r="C61" s="151" t="n"/>
      <c r="D61" s="151" t="n"/>
      <c r="E61" s="151" t="n"/>
      <c r="F61" s="151" t="n"/>
      <c r="G61" s="151" t="n"/>
      <c r="H61" s="151" t="n"/>
      <c r="I61" s="151" t="n"/>
    </row>
    <row r="62">
      <c r="A62" s="152" t="inlineStr">
        <is>
          <t>Port authority revenue from liquid bulk</t>
        </is>
      </c>
      <c r="B62" s="152" t="inlineStr">
        <is>
          <t>All South African ports</t>
        </is>
      </c>
      <c r="C62" s="152" t="inlineStr">
        <is>
          <t>750.2; 878.4; 1033.6</t>
        </is>
      </c>
      <c r="D62" s="152" t="inlineStr">
        <is>
          <t>R million</t>
        </is>
      </c>
      <c r="E62" s="152" t="inlineStr">
        <is>
          <t>years to March 2022; 2023; 2024</t>
        </is>
      </c>
      <c r="F62" s="152" t="inlineStr">
        <is>
          <t>observed</t>
        </is>
      </c>
      <c r="G62" s="152" t="inlineStr">
        <is>
          <t>Transnet National Ports Authority reports 2023 and 2024</t>
        </is>
      </c>
      <c r="H62" s="152" t="inlineStr">
        <is>
          <t>PDF p.10</t>
        </is>
      </c>
      <c r="I62" s="152" t="inlineStr">
        <is>
          <t>Cargo dues and related charges on all liquids; not a tariff per litre.</t>
        </is>
      </c>
    </row>
    <row r="64">
      <c r="A64" s="151" t="inlineStr">
        <is>
          <t>Access</t>
        </is>
      </c>
      <c r="B64" s="151" t="n"/>
      <c r="C64" s="151" t="n"/>
      <c r="D64" s="151" t="n"/>
      <c r="E64" s="151" t="n"/>
      <c r="F64" s="151" t="n"/>
      <c r="G64" s="151" t="n"/>
      <c r="H64" s="151" t="n"/>
      <c r="I64" s="151" t="n"/>
    </row>
    <row r="65">
      <c r="A65" s="152" t="inlineStr">
        <is>
          <t>Lesedi connection to the pipeline</t>
        </is>
      </c>
      <c r="B65" s="152" t="inlineStr">
        <is>
          <t>Vopak Lesedi, Jameson Park</t>
        </is>
      </c>
      <c r="C65" s="152" t="inlineStr">
        <is>
          <t>Four pipelines to the Transnet system at Jameson Park; intake from the Transnet pipeline</t>
        </is>
      </c>
      <c r="D65" s="152" t="inlineStr"/>
      <c r="E65" s="152" t="inlineStr">
        <is>
          <t>licence of 26 August 2020</t>
        </is>
      </c>
      <c r="F65" s="152" t="inlineStr">
        <is>
          <t>observed</t>
        </is>
      </c>
      <c r="G65" s="152" t="inlineStr">
        <is>
          <t>NERSA reasons for decision, Vopak licence amendment</t>
        </is>
      </c>
      <c r="H65" s="152" t="inlineStr">
        <is>
          <t>PDF p.6</t>
        </is>
      </c>
      <c r="I65" s="152" t="inlineStr"/>
    </row>
    <row r="66">
      <c r="A66" s="152" t="inlineStr">
        <is>
          <t>Lesedi dispatch</t>
        </is>
      </c>
      <c r="B66" s="152" t="inlineStr">
        <is>
          <t>Vopak Lesedi, Jameson Park</t>
        </is>
      </c>
      <c r="C66" s="152" t="inlineStr">
        <is>
          <t>8</t>
        </is>
      </c>
      <c r="D66" s="152" t="inlineStr">
        <is>
          <t>road loading bays</t>
        </is>
      </c>
      <c r="E66" s="152" t="inlineStr">
        <is>
          <t>2025</t>
        </is>
      </c>
      <c r="F66" s="152" t="inlineStr">
        <is>
          <t>observed</t>
        </is>
      </c>
      <c r="G66" s="152" t="inlineStr">
        <is>
          <t>NERSA reasons for decision, Vopak licence amendment</t>
        </is>
      </c>
      <c r="H66" s="152" t="inlineStr">
        <is>
          <t>PDF p.7</t>
        </is>
      </c>
      <c r="I66" s="152" t="inlineStr">
        <is>
          <t>Dispatch is by road only; no rail or outbound pipeline is mentioned.</t>
        </is>
      </c>
    </row>
    <row r="67">
      <c r="A67" s="152" t="inlineStr">
        <is>
          <t>Lesedi licensed capacity</t>
        </is>
      </c>
      <c r="B67" s="152" t="inlineStr">
        <is>
          <t>Vopak Lesedi, Jameson Park</t>
        </is>
      </c>
      <c r="C67" s="152" t="inlineStr">
        <is>
          <t>100000 rising to 140000</t>
        </is>
      </c>
      <c r="D67" s="152" t="inlineStr">
        <is>
          <t>m3</t>
        </is>
      </c>
      <c r="E67" s="152" t="inlineStr">
        <is>
          <t>2020; after the 2025 expansion</t>
        </is>
      </c>
      <c r="F67" s="152" t="inlineStr">
        <is>
          <t>observed</t>
        </is>
      </c>
      <c r="G67" s="152" t="inlineStr">
        <is>
          <t>NERSA reasons for decision, Vopak licence amendment</t>
        </is>
      </c>
      <c r="H67" s="152" t="inlineStr">
        <is>
          <t>PDF p.6</t>
        </is>
      </c>
      <c r="I67" s="152" t="inlineStr">
        <is>
          <t>Design capacity. Six tanks (three diesel, three petrol) plus two diesel tanks.</t>
        </is>
      </c>
    </row>
    <row r="68">
      <c r="A68" s="152" t="inlineStr">
        <is>
          <t>Who ships to Lesedi</t>
        </is>
      </c>
      <c r="B68" s="152" t="inlineStr">
        <is>
          <t>Durban to Jameson Park</t>
        </is>
      </c>
      <c r="C68" s="152" t="inlineStr">
        <is>
          <t>Lesedi's contracted customers are shippers on the Transnet pipeline from Durban, with one exception</t>
        </is>
      </c>
      <c r="D68" s="152" t="inlineStr"/>
      <c r="E68" s="152" t="inlineStr">
        <is>
          <t>2024/25</t>
        </is>
      </c>
      <c r="F68" s="152" t="inlineStr">
        <is>
          <t>observed</t>
        </is>
      </c>
      <c r="G68" s="152" t="inlineStr">
        <is>
          <t>NERSA reasons for decision, Vopak licence amendment</t>
        </is>
      </c>
      <c r="H68" s="152" t="inlineStr">
        <is>
          <t>PDF p.9</t>
        </is>
      </c>
      <c r="I68" s="152" t="inlineStr">
        <is>
          <t>Customer names are redacted.</t>
        </is>
      </c>
    </row>
    <row r="69">
      <c r="A69" s="152" t="inlineStr">
        <is>
          <t>Durban terminal receipt</t>
        </is>
      </c>
      <c r="B69" s="152" t="inlineStr">
        <is>
          <t>Vopak Terminal Durban, Island View</t>
        </is>
      </c>
      <c r="C69" s="152" t="inlineStr">
        <is>
          <t>By ship (own lines at jetties 1, 2 and 4; industry lines at berths 6, 7 and 8) and by pipeline transfer from neighbouring companies</t>
        </is>
      </c>
      <c r="D69" s="152" t="inlineStr"/>
      <c r="E69" s="152" t="inlineStr">
        <is>
          <t>undated allocation mechanism</t>
        </is>
      </c>
      <c r="F69" s="152" t="inlineStr">
        <is>
          <t>observed</t>
        </is>
      </c>
      <c r="G69" s="152" t="inlineStr">
        <is>
          <t>Vopak Terminal Durban allocation mechanism filed with NERSA</t>
        </is>
      </c>
      <c r="H69" s="152" t="inlineStr">
        <is>
          <t>p.5</t>
        </is>
      </c>
      <c r="I69" s="152" t="inlineStr">
        <is>
          <t>The document is old: it gives 18,091 m3 of petroleum storage, far below today's. Berth access needs confirming with Vopak.</t>
        </is>
      </c>
    </row>
    <row r="70">
      <c r="A70" s="152" t="inlineStr">
        <is>
          <t>Durban terminal dispatch</t>
        </is>
      </c>
      <c r="B70" s="152" t="inlineStr">
        <is>
          <t>Vopak Terminal Durban, Island View</t>
        </is>
      </c>
      <c r="C70" s="152" t="inlineStr">
        <is>
          <t>Mainly road; also ship or barge loading and pipeline transfer</t>
        </is>
      </c>
      <c r="D70" s="152" t="inlineStr"/>
      <c r="E70" s="152" t="inlineStr">
        <is>
          <t>undated allocation mechanism</t>
        </is>
      </c>
      <c r="F70" s="152" t="inlineStr">
        <is>
          <t>observed</t>
        </is>
      </c>
      <c r="G70" s="152" t="inlineStr">
        <is>
          <t>Vopak Terminal Durban allocation mechanism filed with NERSA</t>
        </is>
      </c>
      <c r="H70" s="152" t="inlineStr">
        <is>
          <t>pp.4, 6</t>
        </is>
      </c>
      <c r="I70" s="152" t="inlineStr">
        <is>
          <t>Whether Vopak Durban injects directly into the Transnet trunk line is not stated in this document.</t>
        </is>
      </c>
    </row>
    <row r="71">
      <c r="A71" s="152" t="inlineStr">
        <is>
          <t>Notice periods at Durban</t>
        </is>
      </c>
      <c r="B71" s="152" t="inlineStr">
        <is>
          <t>Vopak Terminal Durban</t>
        </is>
      </c>
      <c r="C71" s="152" t="inlineStr">
        <is>
          <t>Two weeks for a vessel; one week for a pipeline transfer; two days for road loading</t>
        </is>
      </c>
      <c r="D71" s="152" t="inlineStr"/>
      <c r="E71" s="152" t="inlineStr">
        <is>
          <t>undated allocation mechanism</t>
        </is>
      </c>
      <c r="F71" s="152" t="inlineStr">
        <is>
          <t>observed</t>
        </is>
      </c>
      <c r="G71" s="152" t="inlineStr">
        <is>
          <t>Vopak Terminal Durban allocation mechanism filed with NERSA</t>
        </is>
      </c>
      <c r="H71" s="152" t="inlineStr">
        <is>
          <t>p.3</t>
        </is>
      </c>
      <c r="I71" s="152" t="inlineStr">
        <is>
          <t>Old document; confirm with Vopak.</t>
        </is>
      </c>
    </row>
    <row r="73">
      <c r="A73" s="151" t="inlineStr">
        <is>
          <t>Competing routes</t>
        </is>
      </c>
      <c r="B73" s="151" t="n"/>
      <c r="C73" s="151" t="n"/>
      <c r="D73" s="151" t="n"/>
      <c r="E73" s="151" t="n"/>
      <c r="F73" s="151" t="n"/>
      <c r="G73" s="151" t="n"/>
      <c r="H73" s="151" t="n"/>
      <c r="I73" s="151" t="n"/>
    </row>
    <row r="74">
      <c r="A74" s="162" t="inlineStr">
        <is>
          <t>Maputo and Matola terminals, pipeline and road to Gauteng</t>
        </is>
      </c>
      <c r="B74" s="162" t="inlineStr">
        <is>
          <t>Mozambique</t>
        </is>
      </c>
      <c r="C74" s="162" t="inlineStr">
        <is>
          <t>Not available</t>
        </is>
      </c>
      <c r="D74" s="162" t="inlineStr"/>
      <c r="E74" s="162" t="inlineStr"/>
      <c r="F74" s="162" t="inlineStr">
        <is>
          <t>not started</t>
        </is>
      </c>
      <c r="G74" s="162" t="inlineStr">
        <is>
          <t>None found</t>
        </is>
      </c>
      <c r="H74" s="162" t="inlineStr"/>
      <c r="I74" s="162" t="inlineStr">
        <is>
          <t>Capacity, tariffs and border costs not yet collected.</t>
        </is>
      </c>
    </row>
    <row r="75">
      <c r="A75" s="162" t="inlineStr">
        <is>
          <t>Walvis Bay road corridor</t>
        </is>
      </c>
      <c r="B75" s="162" t="inlineStr">
        <is>
          <t>Namibia</t>
        </is>
      </c>
      <c r="C75" s="162" t="inlineStr">
        <is>
          <t>Not available</t>
        </is>
      </c>
      <c r="D75" s="162" t="inlineStr"/>
      <c r="E75" s="162" t="inlineStr"/>
      <c r="F75" s="162" t="inlineStr">
        <is>
          <t>not started</t>
        </is>
      </c>
      <c r="G75" s="162" t="inlineStr">
        <is>
          <t>None found</t>
        </is>
      </c>
      <c r="H75" s="162" t="inlineStr"/>
      <c r="I75" s="162" t="inlineStr">
        <is>
          <t>Not yet collected.</t>
        </is>
      </c>
    </row>
    <row r="76">
      <c r="A76" s="162" t="inlineStr">
        <is>
          <t>Inland supply from Natref and Secunda</t>
        </is>
      </c>
      <c r="B76" s="162" t="inlineStr">
        <is>
          <t>Sasolburg and Secunda</t>
        </is>
      </c>
      <c r="C76" s="162" t="inlineStr">
        <is>
          <t>Not available</t>
        </is>
      </c>
      <c r="D76" s="162" t="inlineStr"/>
      <c r="E76" s="162" t="inlineStr"/>
      <c r="F76" s="162" t="inlineStr">
        <is>
          <t>not started</t>
        </is>
      </c>
      <c r="G76" s="162" t="inlineStr">
        <is>
          <t>None found</t>
        </is>
      </c>
      <c r="H76" s="162" t="inlineStr"/>
      <c r="I76" s="162" t="inlineStr">
        <is>
          <t>Belongs with DR08 (plant output) and the inland pipeline lines.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2" customWidth="1" min="11" max="11"/>
    <col width="14" customWidth="1" min="12" max="12"/>
    <col width="46" customWidth="1" min="13" max="13"/>
    <col width="44" customWidth="1" min="14" max="14"/>
  </cols>
  <sheetData>
    <row r="1">
      <c r="A1" s="149" t="inlineStr">
        <is>
          <t>DR04 Liquid bulk landed at each port</t>
        </is>
      </c>
    </row>
    <row r="2">
      <c r="A2" s="1" t="inlineStr">
        <is>
          <t>Million tons of all liquids together (crude oil, fuels, gas and chemicals); not litres and not fuel by product. Transnet National Ports Authority, port statistics, transnet.net/TNPA. Blank month: not published.</t>
        </is>
      </c>
    </row>
    <row r="4">
      <c r="A4" s="150" t="inlineStr">
        <is>
          <t>Period</t>
        </is>
      </c>
      <c r="B4" s="150" t="inlineStr">
        <is>
          <t>Durban</t>
        </is>
      </c>
      <c r="C4" s="150" t="inlineStr">
        <is>
          <t>Richards Bay</t>
        </is>
      </c>
      <c r="D4" s="150" t="inlineStr">
        <is>
          <t>Cape Town</t>
        </is>
      </c>
      <c r="E4" s="150" t="inlineStr">
        <is>
          <t>Saldanha</t>
        </is>
      </c>
      <c r="F4" s="150" t="inlineStr">
        <is>
          <t>East London</t>
        </is>
      </c>
      <c r="G4" s="150" t="inlineStr">
        <is>
          <t>Mossel Bay</t>
        </is>
      </c>
      <c r="H4" s="150" t="inlineStr">
        <is>
          <t>Port Elizabeth</t>
        </is>
      </c>
      <c r="I4" s="150" t="inlineStr">
        <is>
          <t>Ngqura</t>
        </is>
      </c>
      <c r="J4" s="150" t="inlineStr">
        <is>
          <t>All ports</t>
        </is>
      </c>
      <c r="K4" s="150" t="inlineStr">
        <is>
          <t>Durban share</t>
        </is>
      </c>
      <c r="L4" s="150" t="inlineStr">
        <is>
          <t>Durban, all movements</t>
        </is>
      </c>
      <c r="M4" s="150" t="inlineStr">
        <is>
          <t>Note</t>
        </is>
      </c>
      <c r="N4" s="150" t="inlineStr">
        <is>
          <t>Source file</t>
        </is>
      </c>
    </row>
    <row r="5">
      <c r="A5" s="151" t="inlineStr">
        <is>
          <t>Calendar years</t>
        </is>
      </c>
      <c r="B5" s="151" t="n"/>
      <c r="C5" s="151" t="n"/>
      <c r="D5" s="151" t="n"/>
      <c r="E5" s="151" t="n"/>
      <c r="F5" s="151" t="n"/>
      <c r="G5" s="151" t="n"/>
      <c r="H5" s="151" t="n"/>
      <c r="I5" s="151" t="n"/>
      <c r="J5" s="151" t="n"/>
      <c r="K5" s="151" t="n"/>
      <c r="L5" s="151" t="n"/>
      <c r="M5" s="151" t="n"/>
      <c r="N5" s="151" t="n"/>
    </row>
    <row r="6">
      <c r="A6" s="185" t="inlineStr">
        <is>
          <t>2024</t>
        </is>
      </c>
      <c r="B6" s="186" t="n">
        <v>19.879892</v>
      </c>
      <c r="C6" s="186" t="n">
        <v>1.7563</v>
      </c>
      <c r="D6" s="186" t="n">
        <v>1.432265</v>
      </c>
      <c r="E6" s="186" t="n">
        <v>5.31171</v>
      </c>
      <c r="F6" s="186" t="n">
        <v>0.574973</v>
      </c>
      <c r="G6" s="186" t="n">
        <v>0.686366</v>
      </c>
      <c r="H6" s="186" t="n">
        <v>0.159063</v>
      </c>
      <c r="I6" s="186" t="n">
        <v>0.040208</v>
      </c>
      <c r="J6" s="186" t="n">
        <v>29.840777</v>
      </c>
      <c r="K6" s="184">
        <f>IF(COUNT(B6,J6)&lt;2,"",B6/J6)</f>
        <v/>
      </c>
      <c r="L6" s="186" t="n">
        <v>21.599516</v>
      </c>
      <c r="M6" s="172" t="inlineStr"/>
      <c r="N6" s="172" t="inlineStr">
        <is>
          <t>tnpa-cargo-summary-2024-12-calendar-year.pdf</t>
        </is>
      </c>
    </row>
    <row r="7">
      <c r="A7" s="185" t="inlineStr">
        <is>
          <t>2025</t>
        </is>
      </c>
      <c r="B7" s="186" t="n">
        <v>20.700632</v>
      </c>
      <c r="C7" s="186" t="n">
        <v>2.159449</v>
      </c>
      <c r="D7" s="186" t="n">
        <v>1.901482</v>
      </c>
      <c r="E7" s="186" t="n">
        <v>5.1241</v>
      </c>
      <c r="F7" s="186" t="n">
        <v>0.516448</v>
      </c>
      <c r="G7" s="186" t="n">
        <v>0.49419</v>
      </c>
      <c r="H7" s="186" t="n">
        <v>0.318665</v>
      </c>
      <c r="I7" s="186" t="n">
        <v>0.057156</v>
      </c>
      <c r="J7" s="186" t="n">
        <v>31.272124</v>
      </c>
      <c r="K7" s="184">
        <f>IF(COUNT(B7,J7)&lt;2,"",B7/J7)</f>
        <v/>
      </c>
      <c r="L7" s="186" t="n">
        <v>22.418885</v>
      </c>
      <c r="M7" s="172" t="inlineStr"/>
      <c r="N7" s="172" t="inlineStr">
        <is>
          <t>tnpa-cargo-summary-2025-12-calendar-year.pdf</t>
        </is>
      </c>
    </row>
    <row r="9">
      <c r="A9" s="151" t="inlineStr">
        <is>
          <t>Months</t>
        </is>
      </c>
      <c r="B9" s="151" t="n"/>
      <c r="C9" s="151" t="n"/>
      <c r="D9" s="151" t="n"/>
      <c r="E9" s="151" t="n"/>
      <c r="F9" s="151" t="n"/>
      <c r="G9" s="151" t="n"/>
      <c r="H9" s="151" t="n"/>
      <c r="I9" s="151" t="n"/>
      <c r="J9" s="151" t="n"/>
      <c r="K9" s="151" t="n"/>
      <c r="L9" s="151" t="n"/>
      <c r="M9" s="151" t="n"/>
      <c r="N9" s="151" t="n"/>
    </row>
    <row r="10">
      <c r="A10" s="170" t="inlineStr">
        <is>
          <t>2024-07</t>
        </is>
      </c>
      <c r="B10" s="186" t="n">
        <v>1.661183</v>
      </c>
      <c r="C10" s="186" t="n">
        <v>0.173638</v>
      </c>
      <c r="D10" s="186" t="n">
        <v>0.09483900000000001</v>
      </c>
      <c r="E10" s="186" t="n">
        <v>0.392731</v>
      </c>
      <c r="F10" s="186" t="n">
        <v>0.03658</v>
      </c>
      <c r="G10" s="186" t="n">
        <v>0</v>
      </c>
      <c r="H10" s="186" t="n">
        <v>0</v>
      </c>
      <c r="I10" s="186" t="n">
        <v>0</v>
      </c>
      <c r="J10" s="186" t="n">
        <v>2.358971</v>
      </c>
      <c r="K10" s="184">
        <f>IF(COUNT(B10,J10)&lt;2,"",B10/J10)</f>
        <v/>
      </c>
      <c r="L10" s="186" t="n">
        <v>1.844167</v>
      </c>
      <c r="M10" s="172" t="inlineStr"/>
      <c r="N10" s="172" t="inlineStr">
        <is>
          <t>tnpa-cargo-summary-2024-07.pdf</t>
        </is>
      </c>
    </row>
    <row r="11">
      <c r="A11" s="170" t="inlineStr">
        <is>
          <t>2024-08</t>
        </is>
      </c>
      <c r="B11" s="186" t="n">
        <v>1.550897</v>
      </c>
      <c r="C11" s="186" t="n">
        <v>0.19598</v>
      </c>
      <c r="D11" s="186" t="n">
        <v>0.051538</v>
      </c>
      <c r="E11" s="186" t="n">
        <v>0.404451</v>
      </c>
      <c r="F11" s="186" t="n">
        <v>0.031373</v>
      </c>
      <c r="G11" s="186" t="n">
        <v>0</v>
      </c>
      <c r="H11" s="186" t="n">
        <v>0</v>
      </c>
      <c r="I11" s="186" t="n">
        <v>0.02736</v>
      </c>
      <c r="J11" s="186" t="n">
        <v>2.2616</v>
      </c>
      <c r="K11" s="184">
        <f>IF(COUNT(B11,J11)&lt;2,"",B11/J11)</f>
        <v/>
      </c>
      <c r="L11" s="186" t="n">
        <v>1.713976</v>
      </c>
      <c r="M11" s="172" t="inlineStr"/>
      <c r="N11" s="172" t="inlineStr">
        <is>
          <t>tnpa-cargo-summary-2024-08.pdf</t>
        </is>
      </c>
    </row>
    <row r="12">
      <c r="A12" s="170" t="inlineStr">
        <is>
          <t>2024-09</t>
        </is>
      </c>
      <c r="B12" s="186" t="n">
        <v>1.760206</v>
      </c>
      <c r="C12" s="186" t="n">
        <v>0.136499</v>
      </c>
      <c r="D12" s="186" t="n">
        <v>0.119591</v>
      </c>
      <c r="E12" s="186" t="n">
        <v>0.526436</v>
      </c>
      <c r="F12" s="186" t="n">
        <v>0.06335</v>
      </c>
      <c r="G12" s="186" t="n">
        <v>0.058441</v>
      </c>
      <c r="H12" s="186" t="n">
        <v>0</v>
      </c>
      <c r="I12" s="186" t="n">
        <v>0</v>
      </c>
      <c r="J12" s="186" t="n">
        <v>2.664522</v>
      </c>
      <c r="K12" s="184">
        <f>IF(COUNT(B12,J12)&lt;2,"",B12/J12)</f>
        <v/>
      </c>
      <c r="L12" s="186" t="n">
        <v>1.981594</v>
      </c>
      <c r="M12" s="172" t="inlineStr"/>
      <c r="N12" s="172" t="inlineStr">
        <is>
          <t>tnpa-cargo-summary-2024-09.pdf</t>
        </is>
      </c>
    </row>
    <row r="13">
      <c r="A13" s="170" t="inlineStr">
        <is>
          <t>2024-10</t>
        </is>
      </c>
      <c r="B13" s="186" t="n">
        <v>1.49629</v>
      </c>
      <c r="C13" s="186" t="n">
        <v>0.168026</v>
      </c>
      <c r="D13" s="186" t="n">
        <v>0.097209</v>
      </c>
      <c r="E13" s="186" t="n">
        <v>0.321036</v>
      </c>
      <c r="F13" s="186" t="n">
        <v>0.031917</v>
      </c>
      <c r="G13" s="186" t="n">
        <v>0.08766</v>
      </c>
      <c r="H13" s="186" t="n">
        <v>0</v>
      </c>
      <c r="I13" s="186" t="n">
        <v>0</v>
      </c>
      <c r="J13" s="186" t="n">
        <v>2.202138</v>
      </c>
      <c r="K13" s="184">
        <f>IF(COUNT(B13,J13)&lt;2,"",B13/J13)</f>
        <v/>
      </c>
      <c r="L13" s="186" t="n">
        <v>1.59336</v>
      </c>
      <c r="M13" s="172" t="inlineStr"/>
      <c r="N13" s="172" t="inlineStr">
        <is>
          <t>tnpa-cargo-summary-2024-10.pdf</t>
        </is>
      </c>
    </row>
    <row r="14">
      <c r="A14" s="170" t="inlineStr">
        <is>
          <t>2024-11</t>
        </is>
      </c>
      <c r="B14" s="186" t="n">
        <v>1.982472</v>
      </c>
      <c r="C14" s="186" t="n">
        <v>0.144883</v>
      </c>
      <c r="D14" s="186" t="n">
        <v>0.122055</v>
      </c>
      <c r="E14" s="186" t="n">
        <v>0.560134</v>
      </c>
      <c r="F14" s="186" t="n">
        <v>0.087324</v>
      </c>
      <c r="G14" s="186" t="n">
        <v>0.075179</v>
      </c>
      <c r="H14" s="186" t="n">
        <v>0</v>
      </c>
      <c r="I14" s="186" t="n">
        <v>0</v>
      </c>
      <c r="J14" s="186" t="n">
        <v>2.972047</v>
      </c>
      <c r="K14" s="184">
        <f>IF(COUNT(B14,J14)&lt;2,"",B14/J14)</f>
        <v/>
      </c>
      <c r="L14" s="186" t="n">
        <v>2.091151</v>
      </c>
      <c r="M14" s="172" t="inlineStr"/>
      <c r="N14" s="172" t="inlineStr">
        <is>
          <t>tnpa-cargo-summary-2024-11.pdf</t>
        </is>
      </c>
    </row>
    <row r="15">
      <c r="A15" s="170" t="inlineStr">
        <is>
          <t>2024-12</t>
        </is>
      </c>
      <c r="B15" s="186" t="n">
        <v>1.547478</v>
      </c>
      <c r="C15" s="186" t="n">
        <v>0.16204</v>
      </c>
      <c r="D15" s="186" t="n">
        <v>0.165966</v>
      </c>
      <c r="E15" s="186" t="n">
        <v>0.299978</v>
      </c>
      <c r="F15" s="186" t="n">
        <v>0.059404</v>
      </c>
      <c r="G15" s="186" t="n">
        <v>0.019656</v>
      </c>
      <c r="H15" s="186" t="n">
        <v>0</v>
      </c>
      <c r="I15" s="186" t="n">
        <v>0</v>
      </c>
      <c r="J15" s="186" t="n">
        <v>2.254521</v>
      </c>
      <c r="K15" s="184">
        <f>IF(COUNT(B15,J15)&lt;2,"",B15/J15)</f>
        <v/>
      </c>
      <c r="L15" s="186" t="n">
        <v>1.688858</v>
      </c>
      <c r="M15" s="172" t="inlineStr"/>
      <c r="N15" s="172" t="inlineStr">
        <is>
          <t>tnpa-cargo-summary-2024-12.pdf</t>
        </is>
      </c>
    </row>
    <row r="16">
      <c r="A16" s="181" t="inlineStr">
        <is>
          <t>2025-01</t>
        </is>
      </c>
      <c r="B16" s="187" t="n"/>
      <c r="C16" s="187" t="n"/>
      <c r="D16" s="187" t="n"/>
      <c r="E16" s="187" t="n"/>
      <c r="F16" s="187" t="n"/>
      <c r="G16" s="187" t="n"/>
      <c r="H16" s="187" t="n"/>
      <c r="I16" s="187" t="n"/>
      <c r="J16" s="187" t="n"/>
      <c r="K16" s="184">
        <f>IF(COUNT(B16,J16)&lt;2,"",B16/J16)</f>
        <v/>
      </c>
      <c r="L16" s="187" t="n"/>
      <c r="M16" s="183" t="inlineStr">
        <is>
          <t>Not published: the port authority's link for this month leads to another report</t>
        </is>
      </c>
      <c r="N16" s="183" t="inlineStr">
        <is>
          <t>None</t>
        </is>
      </c>
    </row>
    <row r="17">
      <c r="A17" s="170" t="inlineStr">
        <is>
          <t>2025-02</t>
        </is>
      </c>
      <c r="B17" s="186" t="n">
        <v>1.586763</v>
      </c>
      <c r="C17" s="186" t="n">
        <v>0.136657</v>
      </c>
      <c r="D17" s="186" t="n">
        <v>0.136384</v>
      </c>
      <c r="E17" s="186" t="n">
        <v>0.495869</v>
      </c>
      <c r="F17" s="186" t="n">
        <v>0.043592</v>
      </c>
      <c r="G17" s="186" t="n">
        <v>0.072813</v>
      </c>
      <c r="H17" s="186" t="n">
        <v>0.021745</v>
      </c>
      <c r="I17" s="186" t="n">
        <v>0</v>
      </c>
      <c r="J17" s="186" t="n">
        <v>2.493824</v>
      </c>
      <c r="K17" s="184">
        <f>IF(COUNT(B17,J17)&lt;2,"",B17/J17)</f>
        <v/>
      </c>
      <c r="L17" s="186" t="n">
        <v>1.772898</v>
      </c>
      <c r="M17" s="172" t="inlineStr"/>
      <c r="N17" s="172" t="inlineStr">
        <is>
          <t>tnpa-cargo-summary-2025-02.pdf</t>
        </is>
      </c>
    </row>
    <row r="18">
      <c r="A18" s="170" t="inlineStr">
        <is>
          <t>2025-03</t>
        </is>
      </c>
      <c r="B18" s="186" t="n">
        <v>2.034462</v>
      </c>
      <c r="C18" s="186" t="n">
        <v>0.187154</v>
      </c>
      <c r="D18" s="186" t="n">
        <v>0.226693</v>
      </c>
      <c r="E18" s="186" t="n">
        <v>0.466095</v>
      </c>
      <c r="F18" s="186" t="n">
        <v>0.042088</v>
      </c>
      <c r="G18" s="186" t="n">
        <v>0.147323</v>
      </c>
      <c r="H18" s="186" t="n">
        <v>0.043613</v>
      </c>
      <c r="I18" s="186" t="n">
        <v>0.030139</v>
      </c>
      <c r="J18" s="186" t="n">
        <v>3.177567</v>
      </c>
      <c r="K18" s="184">
        <f>IF(COUNT(B18,J18)&lt;2,"",B18/J18)</f>
        <v/>
      </c>
      <c r="L18" s="186" t="n">
        <v>2.22439</v>
      </c>
      <c r="M18" s="172" t="inlineStr"/>
      <c r="N18" s="172" t="inlineStr">
        <is>
          <t>tnpa-cargo-summary-2025-03.pdf</t>
        </is>
      </c>
    </row>
    <row r="19">
      <c r="A19" s="170" t="inlineStr">
        <is>
          <t>2025-04</t>
        </is>
      </c>
      <c r="B19" s="186" t="n">
        <v>1.52157</v>
      </c>
      <c r="C19" s="186" t="n">
        <v>0.124859</v>
      </c>
      <c r="D19" s="186" t="n">
        <v>0.244096</v>
      </c>
      <c r="E19" s="186" t="n">
        <v>0.321322</v>
      </c>
      <c r="F19" s="186" t="n">
        <v>0.060272</v>
      </c>
      <c r="G19" s="186" t="n">
        <v>0</v>
      </c>
      <c r="H19" s="186" t="n">
        <v>0.033188</v>
      </c>
      <c r="I19" s="186" t="n">
        <v>0</v>
      </c>
      <c r="J19" s="186" t="n">
        <v>2.305306</v>
      </c>
      <c r="K19" s="184">
        <f>IF(COUNT(B19,J19)&lt;2,"",B19/J19)</f>
        <v/>
      </c>
      <c r="L19" s="186" t="n">
        <v>1.591993</v>
      </c>
      <c r="M19" s="172" t="inlineStr"/>
      <c r="N19" s="172" t="inlineStr">
        <is>
          <t>tnpa-cargo-summary-2025-04.pdf</t>
        </is>
      </c>
    </row>
    <row r="20">
      <c r="A20" s="170" t="inlineStr">
        <is>
          <t>2025-05</t>
        </is>
      </c>
      <c r="B20" s="186" t="n">
        <v>1.621996</v>
      </c>
      <c r="C20" s="186" t="n">
        <v>0.183039</v>
      </c>
      <c r="D20" s="186" t="n">
        <v>0.153446</v>
      </c>
      <c r="E20" s="186" t="n">
        <v>0.354927</v>
      </c>
      <c r="F20" s="186" t="n">
        <v>0.046354</v>
      </c>
      <c r="G20" s="186" t="n">
        <v>0.049893</v>
      </c>
      <c r="H20" s="186" t="n">
        <v>0.036835</v>
      </c>
      <c r="I20" s="186" t="n">
        <v>0</v>
      </c>
      <c r="J20" s="186" t="n">
        <v>2.44649</v>
      </c>
      <c r="K20" s="184">
        <f>IF(COUNT(B20,J20)&lt;2,"",B20/J20)</f>
        <v/>
      </c>
      <c r="L20" s="186" t="n">
        <v>1.789963</v>
      </c>
      <c r="M20" s="172" t="inlineStr"/>
      <c r="N20" s="172" t="inlineStr">
        <is>
          <t>tnpa-cargo-summary-2025-05.pdf</t>
        </is>
      </c>
    </row>
    <row r="21">
      <c r="A21" s="170" t="inlineStr">
        <is>
          <t>2025-06</t>
        </is>
      </c>
      <c r="B21" s="186" t="n">
        <v>1.468651</v>
      </c>
      <c r="C21" s="186" t="n">
        <v>0.189497</v>
      </c>
      <c r="D21" s="186" t="n">
        <v>0.17572</v>
      </c>
      <c r="E21" s="186" t="n">
        <v>0.330047</v>
      </c>
      <c r="F21" s="186" t="n">
        <v>0.026853</v>
      </c>
      <c r="G21" s="186" t="n">
        <v>0</v>
      </c>
      <c r="H21" s="186" t="n">
        <v>0.030128</v>
      </c>
      <c r="I21" s="186" t="n">
        <v>0</v>
      </c>
      <c r="J21" s="186" t="n">
        <v>2.220896</v>
      </c>
      <c r="K21" s="184">
        <f>IF(COUNT(B21,J21)&lt;2,"",B21/J21)</f>
        <v/>
      </c>
      <c r="L21" s="186" t="n">
        <v>1.633475</v>
      </c>
      <c r="M21" s="172" t="inlineStr"/>
      <c r="N21" s="172" t="inlineStr">
        <is>
          <t>tnpa-cargo-summary-2025-06.pdf</t>
        </is>
      </c>
    </row>
    <row r="22">
      <c r="A22" s="170" t="inlineStr">
        <is>
          <t>2025-07</t>
        </is>
      </c>
      <c r="B22" s="186" t="n">
        <v>1.603955</v>
      </c>
      <c r="C22" s="186" t="n">
        <v>0.165931</v>
      </c>
      <c r="D22" s="186" t="n">
        <v>0.238467</v>
      </c>
      <c r="E22" s="186" t="n">
        <v>0.475101</v>
      </c>
      <c r="F22" s="186" t="n">
        <v>0.035337</v>
      </c>
      <c r="G22" s="186" t="n">
        <v>0.048609</v>
      </c>
      <c r="H22" s="186" t="n">
        <v>0.026809</v>
      </c>
      <c r="I22" s="186" t="n">
        <v>0</v>
      </c>
      <c r="J22" s="186" t="n">
        <v>2.594209</v>
      </c>
      <c r="K22" s="184">
        <f>IF(COUNT(B22,J22)&lt;2,"",B22/J22)</f>
        <v/>
      </c>
      <c r="L22" s="186" t="n">
        <v>1.749818</v>
      </c>
      <c r="M22" s="172" t="inlineStr"/>
      <c r="N22" s="172" t="inlineStr">
        <is>
          <t>tnpa-cargo-summary-2025-07.pdf</t>
        </is>
      </c>
    </row>
    <row r="23">
      <c r="A23" s="170" t="inlineStr">
        <is>
          <t>2025-08</t>
        </is>
      </c>
      <c r="B23" s="186" t="n">
        <v>1.615866</v>
      </c>
      <c r="C23" s="186" t="n">
        <v>0.2749</v>
      </c>
      <c r="D23" s="186" t="n">
        <v>0.079587</v>
      </c>
      <c r="E23" s="186" t="n">
        <v>0.313968</v>
      </c>
      <c r="F23" s="186" t="n">
        <v>0.044733</v>
      </c>
      <c r="G23" s="186" t="n">
        <v>0.048609</v>
      </c>
      <c r="H23" s="186" t="n">
        <v>0.033293</v>
      </c>
      <c r="I23" s="186" t="n">
        <v>0</v>
      </c>
      <c r="J23" s="186" t="n">
        <v>2.410957</v>
      </c>
      <c r="K23" s="184">
        <f>IF(COUNT(B23,J23)&lt;2,"",B23/J23)</f>
        <v/>
      </c>
      <c r="L23" s="186" t="n">
        <v>1.715896</v>
      </c>
      <c r="M23" s="172" t="inlineStr"/>
      <c r="N23" s="172" t="inlineStr">
        <is>
          <t>tnpa-cargo-summary-2025-08.pdf</t>
        </is>
      </c>
    </row>
    <row r="24">
      <c r="A24" s="170" t="inlineStr">
        <is>
          <t>2025-09</t>
        </is>
      </c>
      <c r="B24" s="186" t="n">
        <v>2.457135</v>
      </c>
      <c r="C24" s="186" t="n">
        <v>0.184359</v>
      </c>
      <c r="D24" s="186" t="n">
        <v>0.140851</v>
      </c>
      <c r="E24" s="186" t="n">
        <v>0.626508</v>
      </c>
      <c r="F24" s="186" t="n">
        <v>0.049261</v>
      </c>
      <c r="G24" s="186" t="n">
        <v>0.025629</v>
      </c>
      <c r="H24" s="186" t="n">
        <v>0.046311</v>
      </c>
      <c r="I24" s="186" t="n">
        <v>0.027017</v>
      </c>
      <c r="J24" s="186" t="n">
        <v>3.55707</v>
      </c>
      <c r="K24" s="184">
        <f>IF(COUNT(B24,J24)&lt;2,"",B24/J24)</f>
        <v/>
      </c>
      <c r="L24" s="186" t="n">
        <v>2.592992</v>
      </c>
      <c r="M24" s="172" t="inlineStr"/>
      <c r="N24" s="172" t="inlineStr">
        <is>
          <t>tnpa-cargo-summary-2025-09.pdf</t>
        </is>
      </c>
    </row>
    <row r="25">
      <c r="A25" s="170" t="inlineStr">
        <is>
          <t>2025-10</t>
        </is>
      </c>
      <c r="B25" s="186" t="n">
        <v>1.526118</v>
      </c>
      <c r="C25" s="186" t="n">
        <v>0.177187</v>
      </c>
      <c r="D25" s="186" t="n">
        <v>0.08458300000000001</v>
      </c>
      <c r="E25" s="186" t="n">
        <v>0.360071</v>
      </c>
      <c r="F25" s="186" t="n">
        <v>0.036981</v>
      </c>
      <c r="G25" s="186" t="n">
        <v>0.051142</v>
      </c>
      <c r="H25" s="186" t="n">
        <v>0.037921</v>
      </c>
      <c r="I25" s="186" t="n">
        <v>0</v>
      </c>
      <c r="J25" s="186" t="n">
        <v>2.274002</v>
      </c>
      <c r="K25" s="184">
        <f>IF(COUNT(B25,J25)&lt;2,"",B25/J25)</f>
        <v/>
      </c>
      <c r="L25" s="186" t="n">
        <v>1.635186</v>
      </c>
      <c r="M25" s="172" t="inlineStr"/>
      <c r="N25" s="172" t="inlineStr">
        <is>
          <t>tnpa-cargo-summary-2025-10.pdf</t>
        </is>
      </c>
    </row>
    <row r="26">
      <c r="A26" s="170" t="inlineStr">
        <is>
          <t>2025-11</t>
        </is>
      </c>
      <c r="B26" s="186" t="n">
        <v>1.425437</v>
      </c>
      <c r="C26" s="186" t="n">
        <v>0.224621</v>
      </c>
      <c r="D26" s="186" t="n">
        <v>0.103075</v>
      </c>
      <c r="E26" s="186" t="n">
        <v>0.582832</v>
      </c>
      <c r="F26" s="186" t="n">
        <v>0.026686</v>
      </c>
      <c r="G26" s="186" t="n">
        <v>0</v>
      </c>
      <c r="H26" s="186" t="n">
        <v>-0.007429</v>
      </c>
      <c r="I26" s="186" t="n">
        <v>0</v>
      </c>
      <c r="J26" s="186" t="n">
        <v>2.355222</v>
      </c>
      <c r="K26" s="184">
        <f>IF(COUNT(B26,J26)&lt;2,"",B26/J26)</f>
        <v/>
      </c>
      <c r="L26" s="186" t="n">
        <v>1.538981</v>
      </c>
      <c r="M26" s="172" t="inlineStr"/>
      <c r="N26" s="172" t="inlineStr">
        <is>
          <t>tnpa-cargo-summary-2025-11.pdf</t>
        </is>
      </c>
    </row>
    <row r="27">
      <c r="A27" s="170" t="inlineStr">
        <is>
          <t>2025-12</t>
        </is>
      </c>
      <c r="B27" s="186" t="n">
        <v>1.930507</v>
      </c>
      <c r="C27" s="186" t="n">
        <v>0.155091</v>
      </c>
      <c r="D27" s="186" t="n">
        <v>0.184385</v>
      </c>
      <c r="E27" s="186" t="n">
        <v>0.1742</v>
      </c>
      <c r="F27" s="186" t="n">
        <v>0.072435</v>
      </c>
      <c r="G27" s="186" t="n">
        <v>0</v>
      </c>
      <c r="H27" s="186" t="n">
        <v>0.016251</v>
      </c>
      <c r="I27" s="186" t="n">
        <v>0</v>
      </c>
      <c r="J27" s="186" t="n">
        <v>2.532869</v>
      </c>
      <c r="K27" s="184">
        <f>IF(COUNT(B27,J27)&lt;2,"",B27/J27)</f>
        <v/>
      </c>
      <c r="L27" s="186" t="n">
        <v>2.065725</v>
      </c>
      <c r="M27" s="172" t="inlineStr"/>
      <c r="N27" s="172" t="inlineStr">
        <is>
          <t>tnpa-cargo-summary-2025-12.pdf</t>
        </is>
      </c>
    </row>
    <row r="28">
      <c r="A28" s="170" t="inlineStr">
        <is>
          <t>2026-01</t>
        </is>
      </c>
      <c r="B28" s="186" t="n">
        <v>1.680115</v>
      </c>
      <c r="C28" s="186" t="n">
        <v>0.218487</v>
      </c>
      <c r="D28" s="186" t="n">
        <v>0.147978</v>
      </c>
      <c r="E28" s="186" t="n">
        <v>0.494689</v>
      </c>
      <c r="F28" s="186" t="n">
        <v>0.015986</v>
      </c>
      <c r="G28" s="186" t="n">
        <v>0</v>
      </c>
      <c r="H28" s="186" t="n">
        <v>0.042604</v>
      </c>
      <c r="I28" s="186" t="n">
        <v>0</v>
      </c>
      <c r="J28" s="186" t="n">
        <v>2.599858</v>
      </c>
      <c r="K28" s="184">
        <f>IF(COUNT(B28,J28)&lt;2,"",B28/J28)</f>
        <v/>
      </c>
      <c r="L28" s="186" t="n">
        <v>1.874212</v>
      </c>
      <c r="M28" s="172" t="inlineStr"/>
      <c r="N28" s="172" t="inlineStr">
        <is>
          <t>tnpa-cargo-summary-2026-01.pdf</t>
        </is>
      </c>
    </row>
    <row r="29">
      <c r="A29" s="170" t="inlineStr">
        <is>
          <t>2026-02</t>
        </is>
      </c>
      <c r="B29" s="186" t="n">
        <v>1.568126</v>
      </c>
      <c r="C29" s="186" t="n">
        <v>0.14195</v>
      </c>
      <c r="D29" s="186" t="n">
        <v>0.12207</v>
      </c>
      <c r="E29" s="186" t="n">
        <v>0.322584</v>
      </c>
      <c r="F29" s="186" t="n">
        <v>0.038699</v>
      </c>
      <c r="G29" s="186" t="n">
        <v>0.03361</v>
      </c>
      <c r="H29" s="186" t="n">
        <v>0.031717</v>
      </c>
      <c r="I29" s="186" t="n">
        <v>0</v>
      </c>
      <c r="J29" s="186" t="n">
        <v>2.258755</v>
      </c>
      <c r="K29" s="184">
        <f>IF(COUNT(B29,J29)&lt;2,"",B29/J29)</f>
        <v/>
      </c>
      <c r="L29" s="186" t="n">
        <v>1.692907</v>
      </c>
      <c r="M29" s="172" t="inlineStr"/>
      <c r="N29" s="172" t="inlineStr">
        <is>
          <t>tnpa-cargo-summary-2026-02.pdf</t>
        </is>
      </c>
    </row>
    <row r="30">
      <c r="A30" s="170" t="inlineStr">
        <is>
          <t>2026-03</t>
        </is>
      </c>
      <c r="B30" s="186" t="n">
        <v>2.057631</v>
      </c>
      <c r="C30" s="186" t="n">
        <v>0.169314</v>
      </c>
      <c r="D30" s="186" t="n">
        <v>0.427167</v>
      </c>
      <c r="E30" s="186" t="n">
        <v>0.014486</v>
      </c>
      <c r="F30" s="186" t="n">
        <v>0.031908</v>
      </c>
      <c r="G30" s="186" t="n">
        <v>0</v>
      </c>
      <c r="H30" s="186" t="n">
        <v>0.039539</v>
      </c>
      <c r="I30" s="186" t="n">
        <v>0</v>
      </c>
      <c r="J30" s="186" t="n">
        <v>2.740045</v>
      </c>
      <c r="K30" s="184">
        <f>IF(COUNT(B30,J30)&lt;2,"",B30/J30)</f>
        <v/>
      </c>
      <c r="L30" s="186" t="n">
        <v>2.23123</v>
      </c>
      <c r="M30" s="172" t="inlineStr"/>
      <c r="N30" s="172" t="inlineStr">
        <is>
          <t>tnpa-cargo-summary-2026-03.pdf</t>
        </is>
      </c>
    </row>
    <row r="31">
      <c r="A31" s="170" t="inlineStr">
        <is>
          <t>2026-04</t>
        </is>
      </c>
      <c r="B31" s="186" t="n">
        <v>1.281786</v>
      </c>
      <c r="C31" s="186" t="n">
        <v>0.213581</v>
      </c>
      <c r="D31" s="186" t="n">
        <v>0.362156</v>
      </c>
      <c r="E31" s="186" t="n">
        <v>0.017452</v>
      </c>
      <c r="F31" s="186" t="n">
        <v>0.02356</v>
      </c>
      <c r="G31" s="186" t="n">
        <v>0.051706</v>
      </c>
      <c r="H31" s="186" t="n">
        <v>0.020147</v>
      </c>
      <c r="I31" s="186" t="n">
        <v>0</v>
      </c>
      <c r="J31" s="186" t="n">
        <v>1.970388</v>
      </c>
      <c r="K31" s="184">
        <f>IF(COUNT(B31,J31)&lt;2,"",B31/J31)</f>
        <v/>
      </c>
      <c r="L31" s="186" t="n">
        <v>1.397062</v>
      </c>
      <c r="M31" s="172" t="inlineStr">
        <is>
          <t>heading says cargo invoiced, not handled</t>
        </is>
      </c>
      <c r="N31" s="172" t="inlineStr">
        <is>
          <t>tnpa-cargo-summary-2026-04.pdf</t>
        </is>
      </c>
    </row>
    <row r="32">
      <c r="A32" s="170" t="inlineStr">
        <is>
          <t>2026-05</t>
        </is>
      </c>
      <c r="B32" s="186" t="n">
        <v>2.254843</v>
      </c>
      <c r="C32" s="186" t="n">
        <v>0.178569</v>
      </c>
      <c r="D32" s="186" t="n">
        <v>0.249864</v>
      </c>
      <c r="E32" s="186" t="n">
        <v>0.508805</v>
      </c>
      <c r="F32" s="186" t="n">
        <v>0.03925</v>
      </c>
      <c r="G32" s="186" t="n">
        <v>0</v>
      </c>
      <c r="H32" s="186" t="n">
        <v>0.031386</v>
      </c>
      <c r="I32" s="186" t="n">
        <v>0</v>
      </c>
      <c r="J32" s="186" t="n">
        <v>3.262716</v>
      </c>
      <c r="K32" s="184">
        <f>IF(COUNT(B32,J32)&lt;2,"",B32/J32)</f>
        <v/>
      </c>
      <c r="L32" s="186" t="n">
        <v>2.421598</v>
      </c>
      <c r="M32" s="172" t="inlineStr">
        <is>
          <t>heading says 2025-05; the page lists it as 2026-05 and the figures differ from 2025-05</t>
        </is>
      </c>
      <c r="N32" s="172" t="inlineStr">
        <is>
          <t>tnpa-cargo-summary-2026-05.pdf</t>
        </is>
      </c>
    </row>
    <row r="33">
      <c r="A33" s="170" t="inlineStr">
        <is>
          <t>2026-06</t>
        </is>
      </c>
      <c r="B33" s="186" t="n">
        <v>1.713074</v>
      </c>
      <c r="C33" s="186" t="n">
        <v>0.297127</v>
      </c>
      <c r="D33" s="186" t="n">
        <v>0.087191</v>
      </c>
      <c r="E33" s="186" t="n">
        <v>0.510304</v>
      </c>
      <c r="F33" s="186" t="n">
        <v>0.030225</v>
      </c>
      <c r="G33" s="186" t="n">
        <v>0.026574</v>
      </c>
      <c r="H33" s="186" t="n">
        <v>0.024747</v>
      </c>
      <c r="I33" s="186" t="n">
        <v>0.014324</v>
      </c>
      <c r="J33" s="186" t="n">
        <v>2.703566</v>
      </c>
      <c r="K33" s="184">
        <f>IF(COUNT(B33,J33)&lt;2,"",B33/J33)</f>
        <v/>
      </c>
      <c r="L33" s="186" t="n">
        <v>1.819726</v>
      </c>
      <c r="M33" s="172" t="inlineStr"/>
      <c r="N33" s="172" t="inlineStr">
        <is>
          <t>tnpa-cargo-summary-2026-06.pdf</t>
        </is>
      </c>
    </row>
    <row r="34">
      <c r="A34" s="170" t="inlineStr">
        <is>
          <t>2026-07</t>
        </is>
      </c>
      <c r="B34" s="186" t="n">
        <v>1.742768</v>
      </c>
      <c r="C34" s="186" t="n">
        <v>0.232065</v>
      </c>
      <c r="D34" s="186" t="n">
        <v>0.05971</v>
      </c>
      <c r="E34" s="186" t="n">
        <v>0.170331</v>
      </c>
      <c r="F34" s="186" t="n">
        <v>0.027655</v>
      </c>
      <c r="G34" s="186" t="n">
        <v>0.037061</v>
      </c>
      <c r="H34" s="186" t="n">
        <v>0.017704</v>
      </c>
      <c r="I34" s="186" t="n">
        <v>0</v>
      </c>
      <c r="J34" s="186" t="n">
        <v>2.287294</v>
      </c>
      <c r="K34" s="184">
        <f>IF(COUNT(B34,J34)&lt;2,"",B34/J34)</f>
        <v/>
      </c>
      <c r="L34" s="186" t="n">
        <v>1.8606</v>
      </c>
      <c r="M34" s="172" t="inlineStr"/>
      <c r="N34" s="172" t="inlineStr">
        <is>
          <t>tnpa-cargo-summary-2026-07.pdf</t>
        </is>
      </c>
    </row>
    <row r="35">
      <c r="A35" s="170" t="inlineStr">
        <is>
          <t>2026-08</t>
        </is>
      </c>
      <c r="B35" s="186" t="n">
        <v>1.22718</v>
      </c>
      <c r="C35" s="186" t="n">
        <v>0.238425</v>
      </c>
      <c r="D35" s="186" t="n">
        <v>0.084428</v>
      </c>
      <c r="E35" s="186" t="n">
        <v>0.489669</v>
      </c>
      <c r="F35" s="186" t="n">
        <v>0.002104</v>
      </c>
      <c r="G35" s="186" t="n">
        <v>0</v>
      </c>
      <c r="H35" s="186" t="n">
        <v>0.02701</v>
      </c>
      <c r="I35" s="186" t="n">
        <v>0</v>
      </c>
      <c r="J35" s="186" t="n">
        <v>2.068816</v>
      </c>
      <c r="K35" s="184">
        <f>IF(COUNT(B35,J35)&lt;2,"",B35/J35)</f>
        <v/>
      </c>
      <c r="L35" s="186" t="n">
        <v>1.319488</v>
      </c>
      <c r="M35" s="172" t="inlineStr"/>
      <c r="N35" s="172" t="inlineStr">
        <is>
          <t>tnpa-cargo-summary-2026-08.pdf</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88" t="n">
        <v>0.31</v>
      </c>
      <c r="E6" s="162" t="inlineStr">
        <is>
          <t>Reported Eskom burn over generation in three years. A proposal awaiting review.</t>
        </is>
      </c>
      <c r="F6" s="188" t="n"/>
      <c r="G6" s="188" t="n"/>
      <c r="H6" s="188" t="n"/>
      <c r="I6" s="188" t="n"/>
      <c r="J6" s="188" t="n"/>
      <c r="K6" s="188" t="n"/>
      <c r="L6" s="188" t="n"/>
      <c r="M6" s="188" t="n"/>
      <c r="N6" s="188" t="n"/>
      <c r="O6" s="188" t="n"/>
      <c r="P6" s="188" t="n"/>
      <c r="Q6" s="188" t="n"/>
      <c r="R6" s="188" t="n"/>
      <c r="S6" s="188"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89" t="n">
        <v>10</v>
      </c>
      <c r="E7" s="162" t="inlineStr">
        <is>
          <t>Diesel as the backup fuel of a station whose main fuel is gas. NO SOURCE: Eskom's tender says only that gas will be 'supplemented by diesel as and when it's required'.</t>
        </is>
      </c>
      <c r="F7" s="189" t="n"/>
      <c r="G7" s="189" t="n"/>
      <c r="H7" s="189" t="n"/>
      <c r="I7" s="189" t="n"/>
      <c r="J7" s="189" t="n"/>
      <c r="K7" s="189" t="n"/>
      <c r="L7" s="189" t="n"/>
      <c r="M7" s="189" t="n"/>
      <c r="N7" s="189" t="n"/>
      <c r="O7" s="189" t="n"/>
      <c r="P7" s="189" t="n"/>
      <c r="Q7" s="189" t="n"/>
      <c r="R7" s="189" t="n"/>
      <c r="S7" s="189"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189" t="n">
        <v>40</v>
      </c>
      <c r="E8" s="162" t="inlineStr">
        <is>
          <t>NO SOURCE. Eskom describes the gas it needs as dispatchable baseload, so well above a peaker.</t>
        </is>
      </c>
      <c r="F8" s="189" t="n"/>
      <c r="G8" s="189" t="n"/>
      <c r="H8" s="189" t="n"/>
      <c r="I8" s="189" t="n"/>
      <c r="J8" s="189" t="n"/>
      <c r="K8" s="189" t="n"/>
      <c r="L8" s="189" t="n"/>
      <c r="M8" s="189" t="n"/>
      <c r="N8" s="189" t="n"/>
      <c r="O8" s="189" t="n"/>
      <c r="P8" s="189" t="n"/>
      <c r="Q8" s="189" t="n"/>
      <c r="R8" s="189" t="n"/>
      <c r="S8" s="189"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90" t="n"/>
      <c r="E21" s="156" t="inlineStr">
        <is>
          <t>Generation divided by what all six stations would produce running all year.</t>
        </is>
      </c>
      <c r="F21" s="190">
        <f>IF(ISNUMBER(F20),F20/((F15+F16+F17)*8.76)*100,"")</f>
        <v/>
      </c>
      <c r="G21" s="190">
        <f>IF(ISNUMBER(G20),G20/((G15+G16+G17)*8.76)*100,"")</f>
        <v/>
      </c>
      <c r="H21" s="190">
        <f>IF(ISNUMBER(H20),H20/((H15+H16+H17)*8.76)*100,"")</f>
        <v/>
      </c>
      <c r="I21" s="190">
        <f>IF(ISNUMBER(I20),I20/((I15+I16+I17)*8.76)*100,"")</f>
        <v/>
      </c>
      <c r="J21" s="190">
        <f>IF(ISNUMBER(J20),J20/((J15+J16+J17)*8.76)*100,"")</f>
        <v/>
      </c>
      <c r="K21" s="190">
        <f>IF(ISNUMBER(K20),K20/((K15+K16+K17)*8.76)*100,"")</f>
        <v/>
      </c>
      <c r="L21" s="190">
        <f>IF(ISNUMBER(L20),L20/((L15+L16+L17)*8.76)*100,"")</f>
        <v/>
      </c>
      <c r="M21" s="190">
        <f>IF(ISNUMBER(M20),M20/((M15+M16+M17)*8.76)*100,"")</f>
        <v/>
      </c>
      <c r="N21" s="190">
        <f>IF(ISNUMBER(N20),N20/((N15+N16+N17)*8.76)*100,"")</f>
        <v/>
      </c>
      <c r="O21" s="190">
        <f>IF(ISNUMBER(O20),O20/((O15+O16+O17)*8.76)*100,"")</f>
        <v/>
      </c>
      <c r="P21" s="190">
        <f>IF(ISNUMBER(P20),P20/((P15+P16+P17)*8.76)*100,"")</f>
        <v/>
      </c>
      <c r="Q21" s="190">
        <f>IF(ISNUMBER(Q20),Q20/((Q15+Q16+Q17)*8.76)*100,"")</f>
        <v/>
      </c>
      <c r="R21" s="190">
        <f>IF(ISNUMBER(R20),R20/((R15+R16+R17)*8.76)*100,"")</f>
        <v/>
      </c>
      <c r="S21" s="190">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91" t="n"/>
      <c r="E39" s="162" t="inlineStr">
        <is>
          <t>Each to the last full year of its agreement (Dedisa 2029, Avon 2030), then zero.</t>
        </is>
      </c>
      <c r="F39" s="191" t="n">
        <v>1005</v>
      </c>
      <c r="G39" s="191" t="n">
        <v>1005</v>
      </c>
      <c r="H39" s="191" t="n">
        <v>1005</v>
      </c>
      <c r="I39" s="191" t="n">
        <v>1005</v>
      </c>
      <c r="J39" s="191" t="n">
        <v>1005</v>
      </c>
      <c r="K39" s="191" t="n">
        <v>1005</v>
      </c>
      <c r="L39" s="191" t="n">
        <v>1005</v>
      </c>
      <c r="M39" s="191" t="n">
        <v>1005</v>
      </c>
      <c r="N39" s="191" t="n">
        <v>670</v>
      </c>
      <c r="O39" s="191" t="n">
        <v>0</v>
      </c>
      <c r="P39" s="191" t="n">
        <v>0</v>
      </c>
      <c r="Q39" s="191" t="n">
        <v>0</v>
      </c>
      <c r="R39" s="191" t="n">
        <v>0</v>
      </c>
      <c r="S39" s="191"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89" t="n"/>
      <c r="E40" s="162" t="inlineStr">
        <is>
          <t>100% until Eskom's stated gas switch in December 2027, then the backup share.</t>
        </is>
      </c>
      <c r="F40" s="189">
        <f>100</f>
        <v/>
      </c>
      <c r="G40" s="189">
        <f>100</f>
        <v/>
      </c>
      <c r="H40" s="189">
        <f>100</f>
        <v/>
      </c>
      <c r="I40" s="189">
        <f>100</f>
        <v/>
      </c>
      <c r="J40" s="189">
        <f>100</f>
        <v/>
      </c>
      <c r="K40" s="189">
        <f>100</f>
        <v/>
      </c>
      <c r="L40" s="189">
        <f>$D$7</f>
        <v/>
      </c>
      <c r="M40" s="189">
        <f>$D$7</f>
        <v/>
      </c>
      <c r="N40" s="189">
        <f>$D$7</f>
        <v/>
      </c>
      <c r="O40" s="189">
        <f>$D$7</f>
        <v/>
      </c>
      <c r="P40" s="189">
        <f>$D$7</f>
        <v/>
      </c>
      <c r="Q40" s="189">
        <f>$D$7</f>
        <v/>
      </c>
      <c r="R40" s="189">
        <f>$D$7</f>
        <v/>
      </c>
      <c r="S40" s="189">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91" t="n"/>
      <c r="E41" s="162" t="inlineStr">
        <is>
          <t>From 2030, when Camden, Grootvlei, Hendrina, Arnot and Kriel are due to stop. Which sites, and how large, is not decided; the national gas requirement is used as a stand-in.</t>
        </is>
      </c>
      <c r="F41" s="191" t="n">
        <v>0</v>
      </c>
      <c r="G41" s="191" t="n">
        <v>0</v>
      </c>
      <c r="H41" s="191" t="n">
        <v>0</v>
      </c>
      <c r="I41" s="191" t="n">
        <v>0</v>
      </c>
      <c r="J41" s="191" t="n">
        <v>0</v>
      </c>
      <c r="K41" s="191" t="n">
        <v>0</v>
      </c>
      <c r="L41" s="191" t="n">
        <v>0</v>
      </c>
      <c r="M41" s="191" t="n">
        <v>0</v>
      </c>
      <c r="N41" s="191" t="n">
        <v>0</v>
      </c>
      <c r="O41" s="191" t="n">
        <v>0</v>
      </c>
      <c r="P41" s="191" t="n">
        <v>0</v>
      </c>
      <c r="Q41" s="191" t="n">
        <v>0</v>
      </c>
      <c r="R41" s="191" t="n">
        <v>0</v>
      </c>
      <c r="S41" s="191"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91" t="n"/>
      <c r="E47" s="162" t="inlineStr">
        <is>
          <t>Both stations to 2035.</t>
        </is>
      </c>
      <c r="F47" s="191" t="n">
        <v>1005</v>
      </c>
      <c r="G47" s="191" t="n">
        <v>1005</v>
      </c>
      <c r="H47" s="191" t="n">
        <v>1005</v>
      </c>
      <c r="I47" s="191" t="n">
        <v>1005</v>
      </c>
      <c r="J47" s="191" t="n">
        <v>1005</v>
      </c>
      <c r="K47" s="191" t="n">
        <v>1005</v>
      </c>
      <c r="L47" s="191" t="n">
        <v>1005</v>
      </c>
      <c r="M47" s="191" t="n">
        <v>1005</v>
      </c>
      <c r="N47" s="191" t="n">
        <v>1005</v>
      </c>
      <c r="O47" s="191" t="n">
        <v>1005</v>
      </c>
      <c r="P47" s="191" t="n">
        <v>1005</v>
      </c>
      <c r="Q47" s="191" t="n">
        <v>1005</v>
      </c>
      <c r="R47" s="191" t="n">
        <v>1005</v>
      </c>
      <c r="S47" s="191"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89" t="n"/>
      <c r="E48" s="162" t="inlineStr">
        <is>
          <t>100% until Eskom's stated gas switch in December 2027, then the backup share.</t>
        </is>
      </c>
      <c r="F48" s="189">
        <f>100</f>
        <v/>
      </c>
      <c r="G48" s="189">
        <f>100</f>
        <v/>
      </c>
      <c r="H48" s="189">
        <f>100</f>
        <v/>
      </c>
      <c r="I48" s="189">
        <f>100</f>
        <v/>
      </c>
      <c r="J48" s="189">
        <f>100</f>
        <v/>
      </c>
      <c r="K48" s="189">
        <f>100</f>
        <v/>
      </c>
      <c r="L48" s="189">
        <f>$D$7</f>
        <v/>
      </c>
      <c r="M48" s="189">
        <f>$D$7</f>
        <v/>
      </c>
      <c r="N48" s="189">
        <f>$D$7</f>
        <v/>
      </c>
      <c r="O48" s="189">
        <f>$D$7</f>
        <v/>
      </c>
      <c r="P48" s="189">
        <f>$D$7</f>
        <v/>
      </c>
      <c r="Q48" s="189">
        <f>$D$7</f>
        <v/>
      </c>
      <c r="R48" s="189">
        <f>$D$7</f>
        <v/>
      </c>
      <c r="S48" s="189">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91" t="n"/>
      <c r="E49" s="162" t="inlineStr">
        <is>
          <t>From 2030, when Camden, Grootvlei, Hendrina, Arnot and Kriel are due to stop. Which sites, and how large, is not decided; the national gas requirement is used as a stand-in.</t>
        </is>
      </c>
      <c r="F49" s="191" t="n">
        <v>0</v>
      </c>
      <c r="G49" s="191" t="n">
        <v>0</v>
      </c>
      <c r="H49" s="191" t="n">
        <v>0</v>
      </c>
      <c r="I49" s="191" t="n">
        <v>0</v>
      </c>
      <c r="J49" s="191" t="n">
        <v>0</v>
      </c>
      <c r="K49" s="191" t="n">
        <v>0</v>
      </c>
      <c r="L49" s="191" t="n">
        <v>0</v>
      </c>
      <c r="M49" s="191" t="n">
        <v>0</v>
      </c>
      <c r="N49" s="191" t="n">
        <v>3000</v>
      </c>
      <c r="O49" s="191" t="n">
        <v>3000</v>
      </c>
      <c r="P49" s="191" t="n">
        <v>3000</v>
      </c>
      <c r="Q49" s="191" t="n">
        <v>3000</v>
      </c>
      <c r="R49" s="191" t="n">
        <v>3000</v>
      </c>
      <c r="S49" s="191"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91" t="n"/>
      <c r="E55" s="162" t="inlineStr">
        <is>
          <t>Both stations to 2035.</t>
        </is>
      </c>
      <c r="F55" s="191" t="n">
        <v>1005</v>
      </c>
      <c r="G55" s="191" t="n">
        <v>1005</v>
      </c>
      <c r="H55" s="191" t="n">
        <v>1005</v>
      </c>
      <c r="I55" s="191" t="n">
        <v>1005</v>
      </c>
      <c r="J55" s="191" t="n">
        <v>1005</v>
      </c>
      <c r="K55" s="191" t="n">
        <v>1005</v>
      </c>
      <c r="L55" s="191" t="n">
        <v>1005</v>
      </c>
      <c r="M55" s="191" t="n">
        <v>1005</v>
      </c>
      <c r="N55" s="191" t="n">
        <v>1005</v>
      </c>
      <c r="O55" s="191" t="n">
        <v>1005</v>
      </c>
      <c r="P55" s="191" t="n">
        <v>1005</v>
      </c>
      <c r="Q55" s="191" t="n">
        <v>1005</v>
      </c>
      <c r="R55" s="191" t="n">
        <v>1005</v>
      </c>
      <c r="S55" s="191"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89" t="n"/>
      <c r="E56" s="162" t="inlineStr">
        <is>
          <t>100% throughout: the gas supply does not arrive.</t>
        </is>
      </c>
      <c r="F56" s="189">
        <f>100</f>
        <v/>
      </c>
      <c r="G56" s="189">
        <f>100</f>
        <v/>
      </c>
      <c r="H56" s="189">
        <f>100</f>
        <v/>
      </c>
      <c r="I56" s="189">
        <f>100</f>
        <v/>
      </c>
      <c r="J56" s="189">
        <f>100</f>
        <v/>
      </c>
      <c r="K56" s="189">
        <f>100</f>
        <v/>
      </c>
      <c r="L56" s="189">
        <f>100</f>
        <v/>
      </c>
      <c r="M56" s="189">
        <f>100</f>
        <v/>
      </c>
      <c r="N56" s="189">
        <f>100</f>
        <v/>
      </c>
      <c r="O56" s="189">
        <f>100</f>
        <v/>
      </c>
      <c r="P56" s="189">
        <f>100</f>
        <v/>
      </c>
      <c r="Q56" s="189">
        <f>100</f>
        <v/>
      </c>
      <c r="R56" s="189">
        <f>100</f>
        <v/>
      </c>
      <c r="S56" s="189">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91" t="n"/>
      <c r="E57" s="162" t="inlineStr">
        <is>
          <t>From 2030, when Camden, Grootvlei, Hendrina, Arnot and Kriel are due to stop. Which sites, and how large, is not decided; the national gas requirement is used as a stand-in.</t>
        </is>
      </c>
      <c r="F57" s="191" t="n">
        <v>0</v>
      </c>
      <c r="G57" s="191" t="n">
        <v>0</v>
      </c>
      <c r="H57" s="191" t="n">
        <v>0</v>
      </c>
      <c r="I57" s="191" t="n">
        <v>0</v>
      </c>
      <c r="J57" s="191" t="n">
        <v>0</v>
      </c>
      <c r="K57" s="191" t="n">
        <v>0</v>
      </c>
      <c r="L57" s="191" t="n">
        <v>0</v>
      </c>
      <c r="M57" s="191" t="n">
        <v>0</v>
      </c>
      <c r="N57" s="191" t="n">
        <v>6000</v>
      </c>
      <c r="O57" s="191" t="n">
        <v>6000</v>
      </c>
      <c r="P57" s="191" t="n">
        <v>6000</v>
      </c>
      <c r="Q57" s="191" t="n">
        <v>6000</v>
      </c>
      <c r="R57" s="191" t="n">
        <v>6000</v>
      </c>
      <c r="S57" s="191"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90" t="n">
        <v>78</v>
      </c>
      <c r="E18" s="156" t="inlineStr">
        <is>
          <t>Observed share. Column D is the model's fixed split of new vehicles.</t>
        </is>
      </c>
      <c r="F18" s="190">
        <f>IF(COUNT(F14,F17)&lt;2,"",F14/F17*100)</f>
        <v/>
      </c>
      <c r="G18" s="190">
        <f>IF(COUNT(G14,G17)&lt;2,"",G14/G17*100)</f>
        <v/>
      </c>
      <c r="H18" s="190">
        <f>IF(COUNT(H14,H17)&lt;2,"",H14/H17*100)</f>
        <v/>
      </c>
      <c r="I18" s="190">
        <f>IF(COUNT(I14,I17)&lt;2,"",I14/I17*100)</f>
        <v/>
      </c>
      <c r="J18" s="190">
        <f>IF(COUNT(J14,J17)&lt;2,"",J14/J17*100)</f>
        <v/>
      </c>
      <c r="K18" s="190">
        <f>IF(COUNT(K14,K17)&lt;2,"",K14/K17*100)</f>
        <v/>
      </c>
      <c r="L18" s="190">
        <f>IF(COUNT(L14,L17)&lt;2,"",L14/L17*100)</f>
        <v/>
      </c>
      <c r="M18" s="190">
        <f>IF(COUNT(M14,M17)&lt;2,"",M14/M17*100)</f>
        <v/>
      </c>
      <c r="N18" s="190">
        <f>IF(COUNT(N14,N17)&lt;2,"",N14/N17*100)</f>
        <v/>
      </c>
      <c r="O18" s="190">
        <f>IF(COUNT(O14,O17)&lt;2,"",O14/O17*100)</f>
        <v/>
      </c>
      <c r="P18" s="190">
        <f>IF(COUNT(P14,P17)&lt;2,"",P14/P17*100)</f>
        <v/>
      </c>
      <c r="Q18" s="190">
        <f>IF(COUNT(Q14,Q17)&lt;2,"",Q14/Q17*100)</f>
        <v/>
      </c>
      <c r="R18" s="190">
        <f>IF(COUNT(R14,R17)&lt;2,"",R14/R17*100)</f>
        <v/>
      </c>
      <c r="S18" s="190">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90" t="n">
        <v>18</v>
      </c>
      <c r="E19" s="156" t="inlineStr">
        <is>
          <t>Observed share. Column D is the model's fixed split of new vehicles.</t>
        </is>
      </c>
      <c r="F19" s="190">
        <f>IF(COUNT(F15,F17)&lt;2,"",F15/F17*100)</f>
        <v/>
      </c>
      <c r="G19" s="190">
        <f>IF(COUNT(G15,G17)&lt;2,"",G15/G17*100)</f>
        <v/>
      </c>
      <c r="H19" s="190">
        <f>IF(COUNT(H15,H17)&lt;2,"",H15/H17*100)</f>
        <v/>
      </c>
      <c r="I19" s="190">
        <f>IF(COUNT(I15,I17)&lt;2,"",I15/I17*100)</f>
        <v/>
      </c>
      <c r="J19" s="190">
        <f>IF(COUNT(J15,J17)&lt;2,"",J15/J17*100)</f>
        <v/>
      </c>
      <c r="K19" s="190">
        <f>IF(COUNT(K15,K17)&lt;2,"",K15/K17*100)</f>
        <v/>
      </c>
      <c r="L19" s="190">
        <f>IF(COUNT(L15,L17)&lt;2,"",L15/L17*100)</f>
        <v/>
      </c>
      <c r="M19" s="190">
        <f>IF(COUNT(M15,M17)&lt;2,"",M15/M17*100)</f>
        <v/>
      </c>
      <c r="N19" s="190">
        <f>IF(COUNT(N15,N17)&lt;2,"",N15/N17*100)</f>
        <v/>
      </c>
      <c r="O19" s="190">
        <f>IF(COUNT(O15,O17)&lt;2,"",O15/O17*100)</f>
        <v/>
      </c>
      <c r="P19" s="190">
        <f>IF(COUNT(P15,P17)&lt;2,"",P15/P17*100)</f>
        <v/>
      </c>
      <c r="Q19" s="190">
        <f>IF(COUNT(Q15,Q17)&lt;2,"",Q15/Q17*100)</f>
        <v/>
      </c>
      <c r="R19" s="190">
        <f>IF(COUNT(R15,R17)&lt;2,"",R15/R17*100)</f>
        <v/>
      </c>
      <c r="S19" s="190">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90" t="n">
        <v>4</v>
      </c>
      <c r="E20" s="156" t="inlineStr">
        <is>
          <t>Observed share. Column D is the model's fixed split of new vehicles.</t>
        </is>
      </c>
      <c r="F20" s="190">
        <f>IF(COUNT(F16,F17)&lt;2,"",F16/F17*100)</f>
        <v/>
      </c>
      <c r="G20" s="190">
        <f>IF(COUNT(G16,G17)&lt;2,"",G16/G17*100)</f>
        <v/>
      </c>
      <c r="H20" s="190">
        <f>IF(COUNT(H16,H17)&lt;2,"",H16/H17*100)</f>
        <v/>
      </c>
      <c r="I20" s="190">
        <f>IF(COUNT(I16,I17)&lt;2,"",I16/I17*100)</f>
        <v/>
      </c>
      <c r="J20" s="190">
        <f>IF(COUNT(J16,J17)&lt;2,"",J16/J17*100)</f>
        <v/>
      </c>
      <c r="K20" s="190">
        <f>IF(COUNT(K16,K17)&lt;2,"",K16/K17*100)</f>
        <v/>
      </c>
      <c r="L20" s="190">
        <f>IF(COUNT(L16,L17)&lt;2,"",L16/L17*100)</f>
        <v/>
      </c>
      <c r="M20" s="190">
        <f>IF(COUNT(M16,M17)&lt;2,"",M16/M17*100)</f>
        <v/>
      </c>
      <c r="N20" s="190">
        <f>IF(COUNT(N16,N17)&lt;2,"",N16/N17*100)</f>
        <v/>
      </c>
      <c r="O20" s="190">
        <f>IF(COUNT(O16,O17)&lt;2,"",O16/O17*100)</f>
        <v/>
      </c>
      <c r="P20" s="190">
        <f>IF(COUNT(P16,P17)&lt;2,"",P16/P17*100)</f>
        <v/>
      </c>
      <c r="Q20" s="190">
        <f>IF(COUNT(Q16,Q17)&lt;2,"",Q16/Q17*100)</f>
        <v/>
      </c>
      <c r="R20" s="190">
        <f>IF(COUNT(R16,R17)&lt;2,"",R16/R17*100)</f>
        <v/>
      </c>
      <c r="S20" s="190">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190" t="n">
        <v>4</v>
      </c>
      <c r="E24" s="156" t="inlineStr">
        <is>
          <t>Retired divided by last December's stock. Column D is the model's scrappage rate.</t>
        </is>
      </c>
      <c r="F24" s="190" t="n"/>
      <c r="G24" s="190">
        <f>IF(ISNUMBER(G23),G23/F6*100,"")</f>
        <v/>
      </c>
      <c r="H24" s="190">
        <f>IF(ISNUMBER(H23),H23/G6*100,"")</f>
        <v/>
      </c>
      <c r="I24" s="190">
        <f>IF(ISNUMBER(I23),I23/H6*100,"")</f>
        <v/>
      </c>
      <c r="J24" s="190">
        <f>IF(ISNUMBER(J23),J23/I6*100,"")</f>
        <v/>
      </c>
      <c r="K24" s="190">
        <f>IF(ISNUMBER(K23),K23/J6*100,"")</f>
        <v/>
      </c>
      <c r="L24" s="190">
        <f>IF(ISNUMBER(L23),L23/K6*100,"")</f>
        <v/>
      </c>
      <c r="M24" s="190">
        <f>IF(ISNUMBER(M23),M23/L6*100,"")</f>
        <v/>
      </c>
      <c r="N24" s="190">
        <f>IF(ISNUMBER(N23),N23/M6*100,"")</f>
        <v/>
      </c>
      <c r="O24" s="190">
        <f>IF(ISNUMBER(O23),O23/N6*100,"")</f>
        <v/>
      </c>
      <c r="P24" s="190">
        <f>IF(ISNUMBER(P23),P23/O6*100,"")</f>
        <v/>
      </c>
      <c r="Q24" s="190">
        <f>IF(ISNUMBER(Q23),Q23/P6*100,"")</f>
        <v/>
      </c>
      <c r="R24" s="190">
        <f>IF(ISNUMBER(R23),R23/Q6*100,"")</f>
        <v/>
      </c>
      <c r="S24" s="190">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190" t="n">
        <v>5</v>
      </c>
      <c r="E26" s="156" t="inlineStr">
        <is>
          <t>Retired divided by last December's stock. Column D is the model's scrappage rate.</t>
        </is>
      </c>
      <c r="F26" s="190" t="n"/>
      <c r="G26" s="190">
        <f>IF(ISNUMBER(G25),G25/F7*100,"")</f>
        <v/>
      </c>
      <c r="H26" s="190">
        <f>IF(ISNUMBER(H25),H25/G7*100,"")</f>
        <v/>
      </c>
      <c r="I26" s="190">
        <f>IF(ISNUMBER(I25),I25/H7*100,"")</f>
        <v/>
      </c>
      <c r="J26" s="190">
        <f>IF(ISNUMBER(J25),J25/I7*100,"")</f>
        <v/>
      </c>
      <c r="K26" s="190">
        <f>IF(ISNUMBER(K25),K25/J7*100,"")</f>
        <v/>
      </c>
      <c r="L26" s="190">
        <f>IF(ISNUMBER(L25),L25/K7*100,"")</f>
        <v/>
      </c>
      <c r="M26" s="190">
        <f>IF(ISNUMBER(M25),M25/L7*100,"")</f>
        <v/>
      </c>
      <c r="N26" s="190">
        <f>IF(ISNUMBER(N25),N25/M7*100,"")</f>
        <v/>
      </c>
      <c r="O26" s="190">
        <f>IF(ISNUMBER(O25),O25/N7*100,"")</f>
        <v/>
      </c>
      <c r="P26" s="190">
        <f>IF(ISNUMBER(P25),P25/O7*100,"")</f>
        <v/>
      </c>
      <c r="Q26" s="190">
        <f>IF(ISNUMBER(Q25),Q25/P7*100,"")</f>
        <v/>
      </c>
      <c r="R26" s="190">
        <f>IF(ISNUMBER(R25),R25/Q7*100,"")</f>
        <v/>
      </c>
      <c r="S26" s="190">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190" t="n">
        <v>6</v>
      </c>
      <c r="E28" s="156" t="inlineStr">
        <is>
          <t>Retired divided by last December's stock. Column D is the model's scrappage rate.</t>
        </is>
      </c>
      <c r="F28" s="190" t="n"/>
      <c r="G28" s="190">
        <f>IF(ISNUMBER(G27),G27/F8*100,"")</f>
        <v/>
      </c>
      <c r="H28" s="190">
        <f>IF(ISNUMBER(H27),H27/G8*100,"")</f>
        <v/>
      </c>
      <c r="I28" s="190">
        <f>IF(ISNUMBER(I27),I27/H8*100,"")</f>
        <v/>
      </c>
      <c r="J28" s="190">
        <f>IF(ISNUMBER(J27),J27/I8*100,"")</f>
        <v/>
      </c>
      <c r="K28" s="190">
        <f>IF(ISNUMBER(K27),K27/J8*100,"")</f>
        <v/>
      </c>
      <c r="L28" s="190">
        <f>IF(ISNUMBER(L27),L27/K8*100,"")</f>
        <v/>
      </c>
      <c r="M28" s="190">
        <f>IF(ISNUMBER(M27),M27/L8*100,"")</f>
        <v/>
      </c>
      <c r="N28" s="190">
        <f>IF(ISNUMBER(N27),N27/M8*100,"")</f>
        <v/>
      </c>
      <c r="O28" s="190">
        <f>IF(ISNUMBER(O27),O27/N8*100,"")</f>
        <v/>
      </c>
      <c r="P28" s="190">
        <f>IF(ISNUMBER(P27),P27/O8*100,"")</f>
        <v/>
      </c>
      <c r="Q28" s="190">
        <f>IF(ISNUMBER(Q27),Q27/P8*100,"")</f>
        <v/>
      </c>
      <c r="R28" s="190">
        <f>IF(ISNUMBER(R27),R27/Q8*100,"")</f>
        <v/>
      </c>
      <c r="S28" s="190">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92" t="inlineStr">
        <is>
          <t>diesel</t>
        </is>
      </c>
      <c r="B5" s="192" t="inlineStr">
        <is>
          <t>road_activity</t>
        </is>
      </c>
      <c r="C5" s="192" t="inlineStr">
        <is>
          <t>index_2024_100</t>
        </is>
      </c>
      <c r="D5" s="192" t="inlineStr">
        <is>
          <t>100</t>
        </is>
      </c>
      <c r="E5" s="192" t="inlineStr">
        <is>
          <t>road freight payload 980 Mt in 2024 (Stats SA P7162)</t>
        </is>
      </c>
      <c r="F5" s="192" t="inlineStr">
        <is>
          <t>95 / 115 / 135</t>
        </is>
      </c>
      <c r="G5" s="192" t="inlineStr">
        <is>
          <t>95 / 115 / 135</t>
        </is>
      </c>
      <c r="H5" s="192" t="inlineStr">
        <is>
          <t>95 / 135 / 175</t>
        </is>
      </c>
      <c r="I5" s="192" t="inlineStr">
        <is>
          <t>95 / 135 / 150</t>
        </is>
      </c>
      <c r="J5" s="192" t="inlineStr">
        <is>
          <t>replacement proposed</t>
        </is>
      </c>
      <c r="K5" s="192"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92" t="inlineStr">
        <is>
          <t>diesel</t>
        </is>
      </c>
      <c r="B6" s="192" t="inlineStr">
        <is>
          <t>rail_diversion</t>
        </is>
      </c>
      <c r="C6" s="192" t="inlineStr">
        <is>
          <t>percent</t>
        </is>
      </c>
      <c r="D6" s="192" t="inlineStr">
        <is>
          <t>0</t>
        </is>
      </c>
      <c r="E6" s="192" t="inlineStr">
        <is>
          <t>rail 161 Mt and road 980 Mt in 2024 (Stats SA P7162)</t>
        </is>
      </c>
      <c r="F6" s="192" t="inlineStr">
        <is>
          <t>0 / 10 / 20</t>
        </is>
      </c>
      <c r="G6" s="192" t="inlineStr">
        <is>
          <t>0 / 3 / 9</t>
        </is>
      </c>
      <c r="H6" s="192" t="inlineStr">
        <is>
          <t>0 / 20 / 35</t>
        </is>
      </c>
      <c r="I6" s="192" t="inlineStr">
        <is>
          <t>0 / 7 / 13</t>
        </is>
      </c>
      <c r="J6" s="192" t="inlineStr">
        <is>
          <t>replacement proposed</t>
        </is>
      </c>
      <c r="K6" s="192"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92" t="inlineStr">
        <is>
          <t>diesel</t>
        </is>
      </c>
      <c r="B7" s="192" t="inlineStr">
        <is>
          <t>ocgt_generation</t>
        </is>
      </c>
      <c r="C7" s="192" t="inlineStr">
        <is>
          <t>index_FY2024_100</t>
        </is>
      </c>
      <c r="D7" s="192" t="inlineStr">
        <is>
          <t>100</t>
        </is>
      </c>
      <c r="E7" s="192" t="inlineStr">
        <is>
          <t>Eskom and independent OCGT output 5,143 GWh, year to March 2024</t>
        </is>
      </c>
      <c r="F7" s="192" t="inlineStr">
        <is>
          <t>10 / 25 / 60</t>
        </is>
      </c>
      <c r="G7" s="192" t="inlineStr">
        <is>
          <t>10 / 25 / 60</t>
        </is>
      </c>
      <c r="H7" s="192" t="inlineStr">
        <is>
          <t>5 / 15 / 50</t>
        </is>
      </c>
      <c r="I7" s="192" t="inlineStr">
        <is>
          <t>5 / 15 / 50</t>
        </is>
      </c>
      <c r="J7" s="192" t="inlineStr">
        <is>
          <t>no change</t>
        </is>
      </c>
      <c r="K7" s="192" t="inlineStr">
        <is>
          <t>Year to March 2025 is 55 and year to March 2026 is 21 on this index, so the medium of 25 in 2030 holds today's level. Reported burn is 0.31 litres per kWh in three years. No change proposed.</t>
        </is>
      </c>
    </row>
    <row r="8">
      <c r="A8" s="192" t="inlineStr">
        <is>
          <t>diesel</t>
        </is>
      </c>
      <c r="B8" s="192" t="inlineStr">
        <is>
          <t>new_cohort_efficiency</t>
        </is>
      </c>
      <c r="C8" s="192" t="inlineStr">
        <is>
          <t>percent_per_year</t>
        </is>
      </c>
      <c r="D8" s="192" t="inlineStr">
        <is>
          <t>0.5 to 1.0</t>
        </is>
      </c>
      <c r="E8" s="192" t="inlineStr">
        <is>
          <t>registered diesel efficiency paths (low and high demand cases)</t>
        </is>
      </c>
      <c r="F8" s="192" t="inlineStr">
        <is>
          <t>0.5 / 0.75 / 1</t>
        </is>
      </c>
      <c r="G8" s="192" t="inlineStr">
        <is>
          <t>0.5 / 0.75 / 1</t>
        </is>
      </c>
      <c r="H8" s="192" t="inlineStr">
        <is>
          <t>0.5 / 0.75 / 1</t>
        </is>
      </c>
      <c r="I8" s="192" t="inlineStr">
        <is>
          <t>0.5 / 0.75 / 1</t>
        </is>
      </c>
      <c r="J8" s="192" t="inlineStr">
        <is>
          <t>no change</t>
        </is>
      </c>
      <c r="K8" s="192" t="inlineStr">
        <is>
          <t>Low and high equal the registered endpoints. Neither has a source. No change proposed.</t>
        </is>
      </c>
    </row>
    <row r="9">
      <c r="A9" s="192" t="inlineStr">
        <is>
          <t>diesel</t>
        </is>
      </c>
      <c r="B9" s="192" t="inlineStr">
        <is>
          <t>plant_utilisation</t>
        </is>
      </c>
      <c r="C9" s="192" t="inlineStr">
        <is>
          <t>percent</t>
        </is>
      </c>
      <c r="D9" s="192" t="inlineStr">
        <is>
          <t>67</t>
        </is>
      </c>
      <c r="E9" s="192" t="inlineStr">
        <is>
          <t>reported 2024 output over reported capacity, three plants; indicative</t>
        </is>
      </c>
      <c r="F9" s="192" t="inlineStr">
        <is>
          <t>60 / 75 / 90</t>
        </is>
      </c>
      <c r="G9" s="192" t="inlineStr">
        <is>
          <t>60 / 75 / 90</t>
        </is>
      </c>
      <c r="H9" s="192" t="inlineStr">
        <is>
          <t>60 / 75 / 90</t>
        </is>
      </c>
      <c r="I9" s="192" t="inlineStr">
        <is>
          <t>60 / 75 / 90</t>
        </is>
      </c>
      <c r="J9" s="192" t="inlineStr">
        <is>
          <t>no change</t>
        </is>
      </c>
      <c r="K9" s="192"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92" t="inlineStr">
        <is>
          <t>diesel</t>
        </is>
      </c>
      <c r="B10" s="192" t="inlineStr">
        <is>
          <t>product_yield</t>
        </is>
      </c>
      <c r="C10" s="192" t="inlineStr">
        <is>
          <t>percent</t>
        </is>
      </c>
      <c r="D10" s="192" t="inlineStr">
        <is>
          <t>29</t>
        </is>
      </c>
      <c r="E10" s="192" t="inlineStr">
        <is>
          <t>diesel share of refinery output in 2024 (JODI; lowest reliability)</t>
        </is>
      </c>
      <c r="F10" s="192" t="inlineStr">
        <is>
          <t>20 / 25 / 30</t>
        </is>
      </c>
      <c r="G10" s="192" t="inlineStr">
        <is>
          <t>25 / 30 / 40</t>
        </is>
      </c>
      <c r="H10" s="192" t="inlineStr">
        <is>
          <t>20 / 25 / 30</t>
        </is>
      </c>
      <c r="I10" s="192" t="inlineStr">
        <is>
          <t>25 / 30 / 40</t>
        </is>
      </c>
      <c r="J10" s="192" t="inlineStr">
        <is>
          <t>replacement proposed</t>
        </is>
      </c>
      <c r="K10" s="192"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92" t="inlineStr">
        <is>
          <t>diesel</t>
        </is>
      </c>
      <c r="B11" s="192" t="inlineStr">
        <is>
          <t>restart_capacity</t>
        </is>
      </c>
      <c r="C11" s="192" t="inlineStr">
        <is>
          <t>thousand_bbl_per_day</t>
        </is>
      </c>
      <c r="D11" s="192" t="inlineStr">
        <is>
          <t>0</t>
        </is>
      </c>
      <c r="E11" s="192" t="inlineStr">
        <is>
          <t>no committed addition</t>
        </is>
      </c>
      <c r="F11" s="192" t="inlineStr">
        <is>
          <t>0 / 0 / 0</t>
        </is>
      </c>
      <c r="G11" s="192" t="inlineStr">
        <is>
          <t>0 / 0 / 0</t>
        </is>
      </c>
      <c r="H11" s="192" t="inlineStr">
        <is>
          <t>0 / 0 / 400</t>
        </is>
      </c>
      <c r="I11" s="192" t="inlineStr">
        <is>
          <t>0 / 0 / 400</t>
        </is>
      </c>
      <c r="J11" s="192" t="inlineStr">
        <is>
          <t>no change</t>
        </is>
      </c>
      <c r="K11" s="192" t="inlineStr">
        <is>
          <t>Existing conditional illustration; no investment decision, timing or product slate is sourced.</t>
        </is>
      </c>
    </row>
    <row r="12">
      <c r="A12" s="192" t="inlineStr">
        <is>
          <t>jet</t>
        </is>
      </c>
      <c r="B12" s="192" t="inlineStr">
        <is>
          <t>aircraft_movements</t>
        </is>
      </c>
      <c r="C12" s="192" t="inlineStr">
        <is>
          <t>index_2024_100</t>
        </is>
      </c>
      <c r="D12" s="192" t="inlineStr">
        <is>
          <t>100</t>
        </is>
      </c>
      <c r="E12" s="192" t="inlineStr">
        <is>
          <t>456,214 movements at ACSA airports in 2024</t>
        </is>
      </c>
      <c r="F12" s="192" t="inlineStr">
        <is>
          <t>100 / 120 / 140</t>
        </is>
      </c>
      <c r="G12" s="192" t="inlineStr">
        <is>
          <t>100 / 110 / 125</t>
        </is>
      </c>
      <c r="H12" s="192" t="inlineStr">
        <is>
          <t>100 / 145 / 190</t>
        </is>
      </c>
      <c r="I12" s="192" t="inlineStr">
        <is>
          <t>100 / 120 / 140</t>
        </is>
      </c>
      <c r="J12" s="192" t="inlineStr">
        <is>
          <t>replacement proposed</t>
        </is>
      </c>
      <c r="K12" s="192"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92" t="inlineStr">
        <is>
          <t>jet</t>
        </is>
      </c>
      <c r="B13" s="192" t="inlineStr">
        <is>
          <t>fuel_burn_per_movement</t>
        </is>
      </c>
      <c r="C13" s="192" t="inlineStr">
        <is>
          <t>index_2024_100</t>
        </is>
      </c>
      <c r="D13" s="192" t="inlineStr">
        <is>
          <t>100</t>
        </is>
      </c>
      <c r="E13" s="192" t="inlineStr">
        <is>
          <t>4,090 litres of jet sold per movement in 2024</t>
        </is>
      </c>
      <c r="F13" s="192" t="inlineStr">
        <is>
          <t>80 / 90 / 100</t>
        </is>
      </c>
      <c r="G13" s="192" t="inlineStr">
        <is>
          <t>80 / 90 / 113</t>
        </is>
      </c>
      <c r="H13" s="192" t="inlineStr">
        <is>
          <t>65 / 80 / 100</t>
        </is>
      </c>
      <c r="I13" s="192" t="inlineStr">
        <is>
          <t>65 / 80 / 113</t>
        </is>
      </c>
      <c r="J13" s="192" t="inlineStr">
        <is>
          <t>replacement proposed</t>
        </is>
      </c>
      <c r="K13" s="192"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92" t="inlineStr">
        <is>
          <t>jet</t>
        </is>
      </c>
      <c r="B14" s="192" t="inlineStr">
        <is>
          <t>saf_volume_share</t>
        </is>
      </c>
      <c r="C14" s="192" t="inlineStr">
        <is>
          <t>percent</t>
        </is>
      </c>
      <c r="D14" s="192" t="inlineStr">
        <is>
          <t>0</t>
        </is>
      </c>
      <c r="E14" s="192" t="inlineStr">
        <is>
          <t>no sustainable aviation fuel supply recorded in the sources held; unsourced</t>
        </is>
      </c>
      <c r="F14" s="192" t="inlineStr">
        <is>
          <t>0 / 2 / 5</t>
        </is>
      </c>
      <c r="G14" s="192" t="inlineStr">
        <is>
          <t>0 / 2 / 5</t>
        </is>
      </c>
      <c r="H14" s="192" t="inlineStr">
        <is>
          <t>0 / 5 / 10</t>
        </is>
      </c>
      <c r="I14" s="192" t="inlineStr">
        <is>
          <t>0 / 5 / 10</t>
        </is>
      </c>
      <c r="J14" s="192" t="inlineStr">
        <is>
          <t>no change</t>
        </is>
      </c>
      <c r="K14" s="192" t="inlineStr">
        <is>
          <t>No South African blend requirement is sourced. No change proposed.</t>
        </is>
      </c>
    </row>
    <row r="15">
      <c r="A15" s="192" t="inlineStr">
        <is>
          <t>jet</t>
        </is>
      </c>
      <c r="B15" s="192" t="inlineStr">
        <is>
          <t>plant_utilisation</t>
        </is>
      </c>
      <c r="C15" s="192" t="inlineStr">
        <is>
          <t>percent</t>
        </is>
      </c>
      <c r="D15" s="192" t="inlineStr">
        <is>
          <t>67</t>
        </is>
      </c>
      <c r="E15" s="192" t="inlineStr">
        <is>
          <t>reported 2024 output over reported capacity, three plants; indicative</t>
        </is>
      </c>
      <c r="F15" s="192" t="inlineStr">
        <is>
          <t>60 / 75 / 90</t>
        </is>
      </c>
      <c r="G15" s="192" t="inlineStr">
        <is>
          <t>60 / 75 / 90</t>
        </is>
      </c>
      <c r="H15" s="192" t="inlineStr">
        <is>
          <t>60 / 75 / 90</t>
        </is>
      </c>
      <c r="I15" s="192" t="inlineStr">
        <is>
          <t>60 / 75 / 90</t>
        </is>
      </c>
      <c r="J15" s="192" t="inlineStr">
        <is>
          <t>no change</t>
        </is>
      </c>
      <c r="K15" s="192"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92" t="inlineStr">
        <is>
          <t>jet</t>
        </is>
      </c>
      <c r="B16" s="192" t="inlineStr">
        <is>
          <t>product_yield</t>
        </is>
      </c>
      <c r="C16" s="192" t="inlineStr">
        <is>
          <t>percent</t>
        </is>
      </c>
      <c r="D16" s="192" t="inlineStr">
        <is>
          <t>10</t>
        </is>
      </c>
      <c r="E16" s="192" t="inlineStr">
        <is>
          <t>registered legacy yield for capable plants</t>
        </is>
      </c>
      <c r="F16" s="192" t="inlineStr">
        <is>
          <t>5 / 10 / 15</t>
        </is>
      </c>
      <c r="G16" s="192" t="inlineStr">
        <is>
          <t>5 / 10 / 15</t>
        </is>
      </c>
      <c r="H16" s="192" t="inlineStr">
        <is>
          <t>5 / 10 / 15</t>
        </is>
      </c>
      <c r="I16" s="192" t="inlineStr">
        <is>
          <t>5 / 10 / 15</t>
        </is>
      </c>
      <c r="J16" s="192" t="inlineStr">
        <is>
          <t>no change</t>
        </is>
      </c>
      <c r="K16" s="192" t="inlineStr">
        <is>
          <t>Jet was 5 to 8% of the five fuels produced in the 2017-2021 energy balances, consistent with the range. No change proposed.</t>
        </is>
      </c>
    </row>
    <row r="17">
      <c r="A17" s="192" t="inlineStr">
        <is>
          <t>jet</t>
        </is>
      </c>
      <c r="B17" s="192" t="inlineStr">
        <is>
          <t>restart_capacity</t>
        </is>
      </c>
      <c r="C17" s="192" t="inlineStr">
        <is>
          <t>thousand_bbl_per_day</t>
        </is>
      </c>
      <c r="D17" s="192" t="inlineStr">
        <is>
          <t>0</t>
        </is>
      </c>
      <c r="E17" s="192" t="inlineStr">
        <is>
          <t>no committed addition</t>
        </is>
      </c>
      <c r="F17" s="192" t="inlineStr">
        <is>
          <t>0 / 0 / 0</t>
        </is>
      </c>
      <c r="G17" s="192" t="inlineStr">
        <is>
          <t>0 / 0 / 0</t>
        </is>
      </c>
      <c r="H17" s="192" t="inlineStr">
        <is>
          <t>0 / 0 / 400</t>
        </is>
      </c>
      <c r="I17" s="192" t="inlineStr">
        <is>
          <t>0 / 0 / 400</t>
        </is>
      </c>
      <c r="J17" s="192" t="inlineStr">
        <is>
          <t>no change</t>
        </is>
      </c>
      <c r="K17" s="192" t="inlineStr">
        <is>
          <t>Existing conditional illustration; no investment decision, timing or product slate is sourced.</t>
        </is>
      </c>
    </row>
    <row r="18">
      <c r="A18" s="192" t="inlineStr">
        <is>
          <t>petrol</t>
        </is>
      </c>
      <c r="B18" s="192" t="inlineStr">
        <is>
          <t>passenger_mileage</t>
        </is>
      </c>
      <c r="C18" s="192" t="inlineStr">
        <is>
          <t>km_per_vehicle_year</t>
        </is>
      </c>
      <c r="D18" s="192" t="inlineStr">
        <is>
          <t>17000</t>
        </is>
      </c>
      <c r="E18" s="192" t="inlineStr">
        <is>
          <t>registered placeholder; not an observation</t>
        </is>
      </c>
      <c r="F18" s="192" t="inlineStr">
        <is>
          <t>13600 / 17000 / 20400</t>
        </is>
      </c>
      <c r="G18" s="192" t="inlineStr">
        <is>
          <t>12900 / 14500 / 17000</t>
        </is>
      </c>
      <c r="H18" s="192" t="inlineStr">
        <is>
          <t>13600 / 17000 / 20400</t>
        </is>
      </c>
      <c r="I18" s="192" t="inlineStr">
        <is>
          <t>12900 / 14500 / 17000</t>
        </is>
      </c>
      <c r="J18" s="192" t="inlineStr">
        <is>
          <t>replacement proposed</t>
        </is>
      </c>
      <c r="K18" s="192"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92" t="inlineStr">
        <is>
          <t>petrol</t>
        </is>
      </c>
      <c r="B19" s="192" t="inlineStr">
        <is>
          <t>gdp_growth</t>
        </is>
      </c>
      <c r="C19" s="192" t="inlineStr">
        <is>
          <t>percent_per_year</t>
        </is>
      </c>
      <c r="D19" s="192" t="inlineStr">
        <is>
          <t>0.5</t>
        </is>
      </c>
      <c r="E19" s="192" t="inlineStr">
        <is>
          <t>real GDP growth in 2024 (Stats SA P0441)</t>
        </is>
      </c>
      <c r="F19" s="192" t="inlineStr">
        <is>
          <t>1 / 2 / 3</t>
        </is>
      </c>
      <c r="G19" s="192" t="inlineStr">
        <is>
          <t>0.7 / 1.6 / 2</t>
        </is>
      </c>
      <c r="H19" s="192" t="inlineStr">
        <is>
          <t>1 / 2 / 3</t>
        </is>
      </c>
      <c r="I19" s="192" t="inlineStr">
        <is>
          <t>0.7 / 1.6 / 2</t>
        </is>
      </c>
      <c r="J19" s="192" t="inlineStr">
        <is>
          <t>replacement proposed</t>
        </is>
      </c>
      <c r="K19" s="192"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92" t="inlineStr">
        <is>
          <t>petrol</t>
        </is>
      </c>
      <c r="B20" s="192" t="inlineStr">
        <is>
          <t>bev_new_sales_share</t>
        </is>
      </c>
      <c r="C20" s="192" t="inlineStr">
        <is>
          <t>percent</t>
        </is>
      </c>
      <c r="D20" s="192" t="inlineStr">
        <is>
          <t>0.2</t>
        </is>
      </c>
      <c r="E20" s="192" t="inlineStr">
        <is>
          <t>1,088 battery electric vehicles sold in 2025, share of all new vehicles (naamsa)</t>
        </is>
      </c>
      <c r="F20" s="192" t="inlineStr">
        <is>
          <t>5 / 15 / 30</t>
        </is>
      </c>
      <c r="G20" s="192" t="inlineStr">
        <is>
          <t>0.5 / 4 / 20</t>
        </is>
      </c>
      <c r="H20" s="192" t="inlineStr">
        <is>
          <t>15 / 35 / 60</t>
        </is>
      </c>
      <c r="I20" s="192" t="inlineStr">
        <is>
          <t>2 / 15 / 40</t>
        </is>
      </c>
      <c r="J20" s="192" t="inlineStr">
        <is>
          <t>replacement proposed</t>
        </is>
      </c>
      <c r="K20" s="192"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92" t="inlineStr">
        <is>
          <t>petrol</t>
        </is>
      </c>
      <c r="B21" s="192" t="inlineStr">
        <is>
          <t>new_cohort_efficiency</t>
        </is>
      </c>
      <c r="C21" s="192" t="inlineStr">
        <is>
          <t>percent_per_year</t>
        </is>
      </c>
      <c r="D21" s="192" t="inlineStr">
        <is>
          <t>1.0 to 1.5</t>
        </is>
      </c>
      <c r="E21" s="192" t="inlineStr">
        <is>
          <t>registered petrol efficiency paths (low and high demand cases)</t>
        </is>
      </c>
      <c r="F21" s="192" t="inlineStr">
        <is>
          <t>1 / 1.25 / 1.5</t>
        </is>
      </c>
      <c r="G21" s="192" t="inlineStr">
        <is>
          <t>1 / 1.25 / 1.5</t>
        </is>
      </c>
      <c r="H21" s="192" t="inlineStr">
        <is>
          <t>1 / 1.25 / 1.5</t>
        </is>
      </c>
      <c r="I21" s="192" t="inlineStr">
        <is>
          <t>1 / 1.25 / 1.5</t>
        </is>
      </c>
      <c r="J21" s="192" t="inlineStr">
        <is>
          <t>no change</t>
        </is>
      </c>
      <c r="K21" s="192" t="inlineStr">
        <is>
          <t>Low and high equal the registered endpoints. Neither has a source. No change proposed.</t>
        </is>
      </c>
    </row>
    <row r="22">
      <c r="A22" s="192" t="inlineStr">
        <is>
          <t>petrol</t>
        </is>
      </c>
      <c r="B22" s="192" t="inlineStr">
        <is>
          <t>plant_utilisation</t>
        </is>
      </c>
      <c r="C22" s="192" t="inlineStr">
        <is>
          <t>percent</t>
        </is>
      </c>
      <c r="D22" s="192" t="inlineStr">
        <is>
          <t>67</t>
        </is>
      </c>
      <c r="E22" s="192" t="inlineStr">
        <is>
          <t>reported 2024 output over reported capacity, three plants; indicative</t>
        </is>
      </c>
      <c r="F22" s="192" t="inlineStr">
        <is>
          <t>60 / 75 / 90</t>
        </is>
      </c>
      <c r="G22" s="192" t="inlineStr">
        <is>
          <t>60 / 75 / 90</t>
        </is>
      </c>
      <c r="H22" s="192" t="inlineStr">
        <is>
          <t>60 / 75 / 90</t>
        </is>
      </c>
      <c r="I22" s="192" t="inlineStr">
        <is>
          <t>60 / 75 / 90</t>
        </is>
      </c>
      <c r="J22" s="192" t="inlineStr">
        <is>
          <t>no change</t>
        </is>
      </c>
      <c r="K22" s="192"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92" t="inlineStr">
        <is>
          <t>petrol</t>
        </is>
      </c>
      <c r="B23" s="192" t="inlineStr">
        <is>
          <t>product_yield</t>
        </is>
      </c>
      <c r="C23" s="192" t="inlineStr">
        <is>
          <t>percent</t>
        </is>
      </c>
      <c r="D23" s="192" t="inlineStr">
        <is>
          <t>54</t>
        </is>
      </c>
      <c r="E23" s="192" t="inlineStr">
        <is>
          <t>petrol share of refinery output in 2024 (JODI; lowest reliability)</t>
        </is>
      </c>
      <c r="F23" s="192" t="inlineStr">
        <is>
          <t>35 / 45 / 55</t>
        </is>
      </c>
      <c r="G23" s="192" t="inlineStr">
        <is>
          <t>45 / 50 / 55</t>
        </is>
      </c>
      <c r="H23" s="192" t="inlineStr">
        <is>
          <t>35 / 45 / 55</t>
        </is>
      </c>
      <c r="I23" s="192" t="inlineStr">
        <is>
          <t>45 / 50 / 55</t>
        </is>
      </c>
      <c r="J23" s="192" t="inlineStr">
        <is>
          <t>replacement proposed</t>
        </is>
      </c>
      <c r="K23" s="192"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92" t="inlineStr">
        <is>
          <t>petrol</t>
        </is>
      </c>
      <c r="B24" s="192" t="inlineStr">
        <is>
          <t>restart_capacity</t>
        </is>
      </c>
      <c r="C24" s="192" t="inlineStr">
        <is>
          <t>thousand_bbl_per_day</t>
        </is>
      </c>
      <c r="D24" s="192" t="inlineStr">
        <is>
          <t>0</t>
        </is>
      </c>
      <c r="E24" s="192" t="inlineStr">
        <is>
          <t>no committed addition</t>
        </is>
      </c>
      <c r="F24" s="192" t="inlineStr">
        <is>
          <t>0 / 0 / 0</t>
        </is>
      </c>
      <c r="G24" s="192" t="inlineStr">
        <is>
          <t>0 / 0 / 0</t>
        </is>
      </c>
      <c r="H24" s="192" t="inlineStr">
        <is>
          <t>0 / 0 / 400</t>
        </is>
      </c>
      <c r="I24" s="192" t="inlineStr">
        <is>
          <t>0 / 0 / 400</t>
        </is>
      </c>
      <c r="J24" s="192" t="inlineStr">
        <is>
          <t>no change</t>
        </is>
      </c>
      <c r="K24" s="192" t="inlineStr">
        <is>
          <t>Existing conditional illustration; no investment decision, timing or product slate is sourced.</t>
        </is>
      </c>
    </row>
    <row r="25">
      <c r="A25" s="192" t="inlineStr">
        <is>
          <t>diesel</t>
        </is>
      </c>
      <c r="B25" s="192" t="inlineStr">
        <is>
          <t>real_fuel_price</t>
        </is>
      </c>
      <c r="C25" s="192" t="inlineStr">
        <is>
          <t>index_2024_100</t>
        </is>
      </c>
      <c r="D25" s="192" t="inlineStr">
        <is>
          <t>100</t>
        </is>
      </c>
      <c r="E25" s="192" t="inlineStr">
        <is>
          <t>regulated inland price deflated by headline CPI, 2024 average</t>
        </is>
      </c>
      <c r="F25" s="192" t="inlineStr">
        <is>
          <t>- / - / -</t>
        </is>
      </c>
      <c r="G25" s="192" t="inlineStr">
        <is>
          <t>80 / 100 / 140</t>
        </is>
      </c>
      <c r="H25" s="192" t="inlineStr">
        <is>
          <t>- / - / -</t>
        </is>
      </c>
      <c r="I25" s="192" t="inlineStr">
        <is>
          <t>80 / 100 / 140</t>
        </is>
      </c>
      <c r="J25" s="192" t="inlineStr">
        <is>
          <t>added lever</t>
        </is>
      </c>
      <c r="K25" s="192"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92" t="inlineStr">
        <is>
          <t>diesel</t>
        </is>
      </c>
      <c r="B26" s="192" t="inlineStr">
        <is>
          <t>private_backup_generation</t>
        </is>
      </c>
      <c r="C26" s="192" t="inlineStr">
        <is>
          <t>bn_litres_per_year</t>
        </is>
      </c>
      <c r="D26" s="192" t="inlineStr">
        <is>
          <t>not measured</t>
        </is>
      </c>
      <c r="E26" s="192" t="inlineStr">
        <is>
          <t>no measured volume exists</t>
        </is>
      </c>
      <c r="F26" s="192" t="inlineStr">
        <is>
          <t>- / - / -</t>
        </is>
      </c>
      <c r="G26" s="192" t="inlineStr">
        <is>
          <t>0 / 0 / 0.5</t>
        </is>
      </c>
      <c r="H26" s="192" t="inlineStr">
        <is>
          <t>- / - / -</t>
        </is>
      </c>
      <c r="I26" s="192" t="inlineStr">
        <is>
          <t>0 / 0 / 0.5</t>
        </is>
      </c>
      <c r="J26" s="192" t="inlineStr">
        <is>
          <t>added lever</t>
        </is>
      </c>
      <c r="K26" s="192"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92" t="inlineStr">
        <is>
          <t>diesel</t>
        </is>
      </c>
      <c r="B27" s="192" t="inlineStr">
        <is>
          <t>electric_share_of_new_truck_sales</t>
        </is>
      </c>
      <c r="C27" s="192" t="inlineStr">
        <is>
          <t>percent</t>
        </is>
      </c>
      <c r="D27" s="192" t="inlineStr">
        <is>
          <t>not reported</t>
        </is>
      </c>
      <c r="E27" s="192" t="inlineStr">
        <is>
          <t>naamsa reports electrified sales for the whole market only; assumed close to zero</t>
        </is>
      </c>
      <c r="F27" s="192" t="inlineStr">
        <is>
          <t>- / - / -</t>
        </is>
      </c>
      <c r="G27" s="192" t="inlineStr">
        <is>
          <t>0 / 0.4 / 3</t>
        </is>
      </c>
      <c r="H27" s="192" t="inlineStr">
        <is>
          <t>- / - / -</t>
        </is>
      </c>
      <c r="I27" s="192" t="inlineStr">
        <is>
          <t>0 / 3 / 9</t>
        </is>
      </c>
      <c r="J27" s="192" t="inlineStr">
        <is>
          <t>added lever</t>
        </is>
      </c>
      <c r="K27" s="192"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92" t="inlineStr">
        <is>
          <t>diesel</t>
        </is>
      </c>
      <c r="B28" s="192" t="inlineStr">
        <is>
          <t>electric_share_of_new_light_commercial_sales</t>
        </is>
      </c>
      <c r="C28" s="192" t="inlineStr">
        <is>
          <t>percent</t>
        </is>
      </c>
      <c r="D28" s="192" t="inlineStr">
        <is>
          <t>not reported</t>
        </is>
      </c>
      <c r="E28" s="192" t="inlineStr">
        <is>
          <t>naamsa reports electrified sales for the whole market only; assumed close to zero</t>
        </is>
      </c>
      <c r="F28" s="192" t="inlineStr">
        <is>
          <t>- / - / -</t>
        </is>
      </c>
      <c r="G28" s="192" t="inlineStr">
        <is>
          <t>0 / 1 / 5</t>
        </is>
      </c>
      <c r="H28" s="192" t="inlineStr">
        <is>
          <t>- / - / -</t>
        </is>
      </c>
      <c r="I28" s="192" t="inlineStr">
        <is>
          <t>0 / 5 / 10</t>
        </is>
      </c>
      <c r="J28" s="192" t="inlineStr">
        <is>
          <t>added lever</t>
        </is>
      </c>
      <c r="K28" s="192"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92" t="inlineStr">
        <is>
          <t>petrol</t>
        </is>
      </c>
      <c r="B29" s="192" t="inlineStr">
        <is>
          <t>real_fuel_price</t>
        </is>
      </c>
      <c r="C29" s="192" t="inlineStr">
        <is>
          <t>index_2024_100</t>
        </is>
      </c>
      <c r="D29" s="192" t="inlineStr">
        <is>
          <t>100</t>
        </is>
      </c>
      <c r="E29" s="192" t="inlineStr">
        <is>
          <t>regulated inland price deflated by headline CPI, 2024 average</t>
        </is>
      </c>
      <c r="F29" s="192" t="inlineStr">
        <is>
          <t>- / - / -</t>
        </is>
      </c>
      <c r="G29" s="192" t="inlineStr">
        <is>
          <t>80 / 100 / 120</t>
        </is>
      </c>
      <c r="H29" s="192" t="inlineStr">
        <is>
          <t>- / - / -</t>
        </is>
      </c>
      <c r="I29" s="192" t="inlineStr">
        <is>
          <t>80 / 100 / 120</t>
        </is>
      </c>
      <c r="J29" s="192" t="inlineStr">
        <is>
          <t>added lever</t>
        </is>
      </c>
      <c r="K29" s="192"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92" t="inlineStr">
        <is>
          <t>petrol</t>
        </is>
      </c>
      <c r="B30" s="192" t="inlineStr">
        <is>
          <t>plug_in_hybrid_new_sales_share</t>
        </is>
      </c>
      <c r="C30" s="192" t="inlineStr">
        <is>
          <t>percent</t>
        </is>
      </c>
      <c r="D30" s="192" t="inlineStr">
        <is>
          <t>0.5</t>
        </is>
      </c>
      <c r="E30" s="192" t="inlineStr">
        <is>
          <t>share of all new vehicles in 2025 (naamsa)</t>
        </is>
      </c>
      <c r="F30" s="192" t="inlineStr">
        <is>
          <t>- / - / -</t>
        </is>
      </c>
      <c r="G30" s="192" t="inlineStr">
        <is>
          <t>0.5 / 1.2 / 2.1</t>
        </is>
      </c>
      <c r="H30" s="192" t="inlineStr">
        <is>
          <t>- / - / -</t>
        </is>
      </c>
      <c r="I30" s="192" t="inlineStr">
        <is>
          <t>0.5 / 2 / 3.7</t>
        </is>
      </c>
      <c r="J30" s="192" t="inlineStr">
        <is>
          <t>added lever</t>
        </is>
      </c>
      <c r="K30" s="192"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92" t="inlineStr">
        <is>
          <t>petrol</t>
        </is>
      </c>
      <c r="B31" s="192" t="inlineStr">
        <is>
          <t>conventional_hybrid_new_sales_share</t>
        </is>
      </c>
      <c r="C31" s="192" t="inlineStr">
        <is>
          <t>percent</t>
        </is>
      </c>
      <c r="D31" s="192" t="inlineStr">
        <is>
          <t>2.1</t>
        </is>
      </c>
      <c r="E31" s="192" t="inlineStr">
        <is>
          <t>share of all new vehicles in 2025 (naamsa)</t>
        </is>
      </c>
      <c r="F31" s="192" t="inlineStr">
        <is>
          <t>- / - / -</t>
        </is>
      </c>
      <c r="G31" s="192" t="inlineStr">
        <is>
          <t>2.1 / 4.4 / 6.7</t>
        </is>
      </c>
      <c r="H31" s="192" t="inlineStr">
        <is>
          <t>- / - / -</t>
        </is>
      </c>
      <c r="I31" s="192" t="inlineStr">
        <is>
          <t>2.1 / 6.7 / 11.3</t>
        </is>
      </c>
      <c r="J31" s="192" t="inlineStr">
        <is>
          <t>added lever</t>
        </is>
      </c>
      <c r="K31" s="192"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92" t="inlineStr">
        <is>
          <t>petrol</t>
        </is>
      </c>
      <c r="B32" s="192" t="inlineStr">
        <is>
          <t>rail_passenger_journeys</t>
        </is>
      </c>
      <c r="C32" s="192" t="inlineStr">
        <is>
          <t>million_per_year</t>
        </is>
      </c>
      <c r="D32" s="192" t="inlineStr">
        <is>
          <t>74</t>
        </is>
      </c>
      <c r="E32" s="192" t="inlineStr">
        <is>
          <t>rail passenger journeys in 2024 (Stats SA P7162)</t>
        </is>
      </c>
      <c r="F32" s="192" t="inlineStr">
        <is>
          <t>- / - / -</t>
        </is>
      </c>
      <c r="G32" s="192" t="inlineStr">
        <is>
          <t>100 / 180 / 320</t>
        </is>
      </c>
      <c r="H32" s="192" t="inlineStr">
        <is>
          <t>- / - / -</t>
        </is>
      </c>
      <c r="I32" s="192" t="inlineStr">
        <is>
          <t>100 / 250 / 320</t>
        </is>
      </c>
      <c r="J32" s="192" t="inlineStr">
        <is>
          <t>added lever</t>
        </is>
      </c>
      <c r="K32" s="192"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92" t="inlineStr">
        <is>
          <t>throughput</t>
        </is>
      </c>
      <c r="B33" s="192" t="inlineStr">
        <is>
          <t>exports_to_neighbours</t>
        </is>
      </c>
      <c r="C33" s="192" t="inlineStr">
        <is>
          <t>bn_litres_per_year</t>
        </is>
      </c>
      <c r="D33" s="192" t="inlineStr">
        <is>
          <t>1.48</t>
        </is>
      </c>
      <c r="E33" s="192" t="inlineStr">
        <is>
          <t>petrol and diesel exported to nine neighbouring countries in 2024 (SARS customs)</t>
        </is>
      </c>
      <c r="F33" s="192" t="inlineStr">
        <is>
          <t>- / - / -</t>
        </is>
      </c>
      <c r="G33" s="192" t="inlineStr">
        <is>
          <t>0.7 / 1.4 / 1.7</t>
        </is>
      </c>
      <c r="H33" s="192" t="inlineStr">
        <is>
          <t>- / - / -</t>
        </is>
      </c>
      <c r="I33" s="192" t="inlineStr">
        <is>
          <t>0.7 / 1.4 / 1.7</t>
        </is>
      </c>
      <c r="J33" s="192" t="inlineStr">
        <is>
          <t>added lever</t>
        </is>
      </c>
      <c r="K33" s="192"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92" t="inlineStr">
        <is>
          <t>G01</t>
        </is>
      </c>
      <c r="B5" s="192" t="inlineStr">
        <is>
          <t>National fuel balance</t>
        </is>
      </c>
      <c r="C5" s="192" t="inlineStr">
        <is>
          <t>Narrowed</t>
        </is>
      </c>
      <c r="D5" s="192" t="inlineStr">
        <is>
          <t>Balance rebuilt on customs trade for 2014-2025; Road Accident Fund levy found as an independent count.</t>
        </is>
      </c>
      <c r="E5" s="192" t="inlineStr">
        <is>
          <t>No sales after 2023; no production after 2021 (the last energy balance); no stock series.</t>
        </is>
      </c>
      <c r="F5" s="192" t="inlineStr">
        <is>
          <t>History, sections 2-5</t>
        </is>
      </c>
    </row>
    <row r="6">
      <c r="A6" s="192" t="inlineStr">
        <is>
          <t>G02</t>
        </is>
      </c>
      <c r="B6" s="192" t="inlineStr">
        <is>
          <t>Fleet and new sales</t>
        </is>
      </c>
      <c r="C6" s="192" t="inlineStr">
        <is>
          <t>Narrowed</t>
        </is>
      </c>
      <c r="D6" s="192" t="inlineStr">
        <is>
          <t>Registered vehicles by class 2021-2025, new sales 2017-2025 and apparent retirements lined up against the model.</t>
        </is>
      </c>
      <c r="E6" s="192" t="inlineStr">
        <is>
          <t>Stock by age and by fuel within each class is in no source held.</t>
        </is>
      </c>
      <c r="F6" s="192" t="inlineStr">
        <is>
          <t>Vehicle history</t>
        </is>
      </c>
    </row>
    <row r="7">
      <c r="A7" s="192" t="inlineStr">
        <is>
          <t>G03</t>
        </is>
      </c>
      <c r="B7" s="192" t="inlineStr">
        <is>
          <t>Passenger electrification</t>
        </is>
      </c>
      <c r="C7" s="192" t="inlineStr">
        <is>
          <t>Narrowed</t>
        </is>
      </c>
      <c r="D7" s="192" t="inlineStr">
        <is>
          <t>Battery electric, plug-in and conventional hybrid sales and shares, 2019-2025.</t>
        </is>
      </c>
      <c r="E7" s="192" t="inlineStr">
        <is>
          <t>Passenger-only denominators; electric vehicles in the fleet after 2023; fuel saved by hybrids.</t>
        </is>
      </c>
      <c r="F7" s="192" t="inlineStr">
        <is>
          <t>Vehicle history, section 4</t>
        </is>
      </c>
    </row>
    <row r="8">
      <c r="A8" s="192" t="inlineStr">
        <is>
          <t>G04</t>
        </is>
      </c>
      <c r="B8" s="192" t="inlineStr">
        <is>
          <t>Road freight activity</t>
        </is>
      </c>
      <c r="C8" s="192" t="inlineStr">
        <is>
          <t>Narrowed</t>
        </is>
      </c>
      <c r="D8" s="192" t="inlineStr">
        <is>
          <t>Heavy vehicle diesel is estimated for every year and set against road freight tonnes, giving litres per tonne. Stats SA fuel purchases by road freight firms give a floor of about 2.9 bn litres (2019) and 3.2 bn (2023).</t>
        </is>
      </c>
      <c r="E8" s="192" t="inlineStr">
        <is>
          <t>An annual tonne-kilometre series (only 2013 is published); distance, payload and empty running; light commercial freight scope.</t>
        </is>
      </c>
      <c r="F8" s="192" t="inlineStr">
        <is>
          <t>Diesel by use, sections 3, 3b and 4</t>
        </is>
      </c>
    </row>
    <row r="9">
      <c r="A9" s="192" t="inlineStr">
        <is>
          <t>G05</t>
        </is>
      </c>
      <c r="B9" s="192" t="inlineStr">
        <is>
          <t>Freight electrification</t>
        </is>
      </c>
      <c r="C9" s="192" t="inlineStr">
        <is>
          <t>Proposed</t>
        </is>
      </c>
      <c r="D9" s="192"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92" t="inlineStr">
        <is>
          <t>South African sales of electric trucks by size; duty cycles that could switch first; charging at depots.</t>
        </is>
      </c>
      <c r="F9" s="192" t="inlineStr">
        <is>
          <t>HML response</t>
        </is>
      </c>
    </row>
    <row r="10">
      <c r="A10" s="192" t="inlineStr">
        <is>
          <t>G06</t>
        </is>
      </c>
      <c r="B10" s="192" t="inlineStr">
        <is>
          <t>Manufacturing</t>
        </is>
      </c>
      <c r="C10" s="192" t="inlineStr">
        <is>
          <t>Narrowed</t>
        </is>
      </c>
      <c r="D10" s="192" t="inlineStr">
        <is>
          <t>Manufacturing and other industry diesel by difference, 2016-2021 (0.16-0.23 bn litres), with litres per index point.</t>
        </is>
      </c>
      <c r="E10" s="192" t="inlineStr">
        <is>
          <t>Sub-sector detail; the balance has no manufacturing lines before 2016.</t>
        </is>
      </c>
      <c r="F10" s="192" t="inlineStr">
        <is>
          <t>Sector history</t>
        </is>
      </c>
    </row>
    <row r="11">
      <c r="A11" s="192" t="inlineStr">
        <is>
          <t>G07</t>
        </is>
      </c>
      <c r="B11" s="192" t="inlineStr">
        <is>
          <t>Mining and construction</t>
        </is>
      </c>
      <c r="C11" s="192" t="inlineStr">
        <is>
          <t>Narrowed</t>
        </is>
      </c>
      <c r="D11" s="192" t="inlineStr">
        <is>
          <t>Mining diesel 2012-2021 with litres per index point (11-17 million); indicative 2022-2025.</t>
        </is>
      </c>
      <c r="E11" s="192" t="inlineStr">
        <is>
          <t>Observed fuel after 2021; site and commodity split; on-road boundary.</t>
        </is>
      </c>
      <c r="F11" s="192" t="inlineStr">
        <is>
          <t>Sector history</t>
        </is>
      </c>
    </row>
    <row r="12">
      <c r="A12" s="192" t="inlineStr">
        <is>
          <t>G08</t>
        </is>
      </c>
      <c r="B12" s="192" t="inlineStr">
        <is>
          <t>Agriculture</t>
        </is>
      </c>
      <c r="C12" s="192" t="inlineStr">
        <is>
          <t>Narrowed</t>
        </is>
      </c>
      <c r="D12" s="192" t="inlineStr">
        <is>
          <t>Agriculture diesel 2012-2021 with litres per rand of value added; indicative 2022-2025. Rebated diesel across all rebate sectors is 1.46 bn litres (year to March 2025).</t>
        </is>
      </c>
      <c r="E12" s="192" t="inlineStr">
        <is>
          <t>A fuel baseline after 2021; crop and irrigation activity.</t>
        </is>
      </c>
      <c r="F12" s="192" t="inlineStr">
        <is>
          <t>Sector history</t>
        </is>
      </c>
    </row>
    <row r="13">
      <c r="A13" s="192" t="inlineStr">
        <is>
          <t>G09</t>
        </is>
      </c>
      <c r="B13" s="192" t="inlineStr">
        <is>
          <t>Generation</t>
        </is>
      </c>
      <c r="C13" s="192" t="inlineStr">
        <is>
          <t>Narrowed</t>
        </is>
      </c>
      <c r="D13" s="192" t="inlineStr">
        <is>
          <t>Generation to the year ending March 2026; 0.31 litres per kWh in three reported years. The model's 2024 figure (3.58 bn litres) is at least 2 bn above reported burn.</t>
        </is>
      </c>
      <c r="E13" s="192" t="inlineStr">
        <is>
          <t>Matched fuel burn by calendar year; private backup generation has no measured volume.</t>
        </is>
      </c>
      <c r="F13" s="192" t="inlineStr">
        <is>
          <t>Diesel by use, section 1</t>
        </is>
      </c>
    </row>
    <row r="14">
      <c r="A14" s="192" t="inlineStr">
        <is>
          <t>G10</t>
        </is>
      </c>
      <c r="B14" s="192" t="inlineStr">
        <is>
          <t>Aviation</t>
        </is>
      </c>
      <c r="C14" s="192" t="inlineStr">
        <is>
          <t>Narrowed</t>
        </is>
      </c>
      <c r="D14" s="192" t="inlineStr">
        <is>
          <t>Jet sales, trade, production and aircraft movements lined up; jet sold per movement computed.</t>
        </is>
      </c>
      <c r="E14" s="192" t="inlineStr">
        <is>
          <t>Cargo, aircraft and route mix; airports outside ACSA; jet by airport.</t>
        </is>
      </c>
      <c r="F14" s="192" t="inlineStr">
        <is>
          <t>History, section 7</t>
        </is>
      </c>
    </row>
    <row r="15">
      <c r="A15" s="192" t="inlineStr">
        <is>
          <t>G11</t>
        </is>
      </c>
      <c r="B15" s="192" t="inlineStr">
        <is>
          <t>Provincial demand</t>
        </is>
      </c>
      <c r="C15" s="192" t="inlineStr">
        <is>
          <t>Narrowed</t>
        </is>
      </c>
      <c r="D15" s="192" t="inlineStr">
        <is>
          <t>2013-2022 observed; 2023 estimated with the best of six methods back-tested; 2024 blank (no national total).</t>
        </is>
      </c>
      <c r="E15" s="192" t="inlineStr">
        <is>
          <t>District data after 2023 quarter 1, which the department has not published; 2025 national total.</t>
        </is>
      </c>
      <c r="F15" s="192" t="inlineStr">
        <is>
          <t>History, sections 1 and 6</t>
        </is>
      </c>
    </row>
    <row r="16">
      <c r="A16" s="192" t="inlineStr">
        <is>
          <t>G12</t>
        </is>
      </c>
      <c r="B16" s="192" t="inlineStr">
        <is>
          <t>Marine and other coverage</t>
        </is>
      </c>
      <c r="C16" s="192" t="inlineStr">
        <is>
          <t>Open</t>
        </is>
      </c>
      <c r="D16" s="192" t="inlineStr">
        <is>
          <t>Nothing new. The model's marine placeholder equals the 2007 balance figure.</t>
        </is>
      </c>
      <c r="E16" s="192" t="inlineStr">
        <is>
          <t>Everything listed.</t>
        </is>
      </c>
      <c r="F16" s="192" t="inlineStr"/>
    </row>
    <row r="17">
      <c r="A17" s="192" t="inlineStr">
        <is>
          <t>G13</t>
        </is>
      </c>
      <c r="B17" s="192" t="inlineStr">
        <is>
          <t>Ranges and annual forecast paths</t>
        </is>
      </c>
      <c r="C17" s="192" t="inlineStr">
        <is>
          <t>Proposed</t>
        </is>
      </c>
      <c r="D17" s="192" t="inlineStr">
        <is>
          <t>Baseline, rationale and source for all 20 levers; 39 of 120 values with a proposed replacement; nine levers added.</t>
        </is>
      </c>
      <c r="E17" s="192" t="inlineStr">
        <is>
          <t>Agreement on the reference case and annual paths.</t>
        </is>
      </c>
      <c r="F17" s="192" t="inlineStr">
        <is>
          <t>HML response</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93" t="inlineStr">
        <is>
          <t>Evidence row</t>
        </is>
      </c>
      <c r="B4" s="193" t="inlineStr">
        <is>
          <t>Series</t>
        </is>
      </c>
      <c r="C4" s="193" t="inlineStr">
        <is>
          <t>Year</t>
        </is>
      </c>
      <c r="D4" s="193" t="inlineStr">
        <is>
          <t>Workbook value</t>
        </is>
      </c>
      <c r="E4" s="193" t="inlineStr">
        <is>
          <t>Recomputed from inputs</t>
        </is>
      </c>
      <c r="F4" s="193" t="inlineStr">
        <is>
          <t>Result</t>
        </is>
      </c>
      <c r="G4" s="193" t="inlineStr">
        <is>
          <t>Input file</t>
        </is>
      </c>
    </row>
    <row r="5">
      <c r="A5" s="1" t="inlineStr">
        <is>
          <t>F5</t>
        </is>
      </c>
      <c r="B5" s="1" t="inlineStr">
        <is>
          <t>sales_petrol</t>
        </is>
      </c>
      <c r="C5" s="1" t="n">
        <v>2022</v>
      </c>
      <c r="D5" s="194" t="n">
        <v>9185</v>
      </c>
      <c r="E5" s="194" t="n">
        <v>9185</v>
      </c>
      <c r="F5" s="1" t="inlineStr">
        <is>
          <t>matches</t>
        </is>
      </c>
      <c r="G5" s="1" t="inlineStr">
        <is>
          <t>fuel_sales_fiasa.csv</t>
        </is>
      </c>
    </row>
    <row r="6">
      <c r="A6" s="1" t="inlineStr">
        <is>
          <t>G5</t>
        </is>
      </c>
      <c r="B6" s="1" t="inlineStr">
        <is>
          <t>sales_petrol</t>
        </is>
      </c>
      <c r="C6" s="1" t="n">
        <v>2023</v>
      </c>
      <c r="D6" s="194" t="n">
        <v>9037</v>
      </c>
      <c r="E6" s="194" t="n">
        <v>9037</v>
      </c>
      <c r="F6" s="1" t="inlineStr">
        <is>
          <t>matches</t>
        </is>
      </c>
      <c r="G6" s="1" t="inlineStr">
        <is>
          <t>fuel_sales_fiasa.csv</t>
        </is>
      </c>
    </row>
    <row r="7">
      <c r="A7" s="1" t="inlineStr">
        <is>
          <t>H5</t>
        </is>
      </c>
      <c r="B7" s="1" t="inlineStr">
        <is>
          <t>sales_petrol</t>
        </is>
      </c>
      <c r="C7" s="1" t="n">
        <v>2024</v>
      </c>
      <c r="D7" s="194" t="n">
        <v>9029</v>
      </c>
      <c r="E7" s="194" t="n">
        <v>9029</v>
      </c>
      <c r="F7" s="1" t="inlineStr">
        <is>
          <t>matches</t>
        </is>
      </c>
      <c r="G7" s="1" t="inlineStr">
        <is>
          <t>fuel_sales_fiasa.csv</t>
        </is>
      </c>
    </row>
    <row r="8">
      <c r="A8" s="1" t="inlineStr">
        <is>
          <t>F6</t>
        </is>
      </c>
      <c r="B8" s="1" t="inlineStr">
        <is>
          <t>dept_petrol</t>
        </is>
      </c>
      <c r="C8" s="1" t="n">
        <v>2022</v>
      </c>
      <c r="D8" s="194" t="n">
        <v>9184.869915572999</v>
      </c>
      <c r="E8" s="194" t="n">
        <v>9184.869915572999</v>
      </c>
      <c r="F8" s="1" t="inlineStr">
        <is>
          <t>matches</t>
        </is>
      </c>
      <c r="G8" s="1" t="inlineStr">
        <is>
          <t>fuel_sales_department.csv</t>
        </is>
      </c>
    </row>
    <row r="9">
      <c r="A9" s="1" t="inlineStr">
        <is>
          <t>G6</t>
        </is>
      </c>
      <c r="B9" s="1" t="inlineStr">
        <is>
          <t>dept_petrol</t>
        </is>
      </c>
      <c r="C9" s="1" t="n">
        <v>2023</v>
      </c>
      <c r="D9" s="194" t="n">
        <v>9036.950113492001</v>
      </c>
      <c r="E9" s="194" t="n">
        <v>9036.950113492001</v>
      </c>
      <c r="F9" s="1" t="inlineStr">
        <is>
          <t>matches</t>
        </is>
      </c>
      <c r="G9" s="1" t="inlineStr">
        <is>
          <t>fuel_sales_department.csv</t>
        </is>
      </c>
    </row>
    <row r="10">
      <c r="A10" s="1" t="inlineStr">
        <is>
          <t>F7</t>
        </is>
      </c>
      <c r="B10" s="1" t="inlineStr">
        <is>
          <t>sales_diesel</t>
        </is>
      </c>
      <c r="C10" s="1" t="n">
        <v>2022</v>
      </c>
      <c r="D10" s="194" t="n">
        <v>12717</v>
      </c>
      <c r="E10" s="194" t="n">
        <v>12717</v>
      </c>
      <c r="F10" s="1" t="inlineStr">
        <is>
          <t>matches</t>
        </is>
      </c>
      <c r="G10" s="1" t="inlineStr">
        <is>
          <t>fuel_sales_fiasa.csv</t>
        </is>
      </c>
    </row>
    <row r="11">
      <c r="A11" s="1" t="inlineStr">
        <is>
          <t>G7</t>
        </is>
      </c>
      <c r="B11" s="1" t="inlineStr">
        <is>
          <t>sales_diesel</t>
        </is>
      </c>
      <c r="C11" s="1" t="n">
        <v>2023</v>
      </c>
      <c r="D11" s="194" t="n">
        <v>12907</v>
      </c>
      <c r="E11" s="194" t="n">
        <v>12907</v>
      </c>
      <c r="F11" s="1" t="inlineStr">
        <is>
          <t>matches</t>
        </is>
      </c>
      <c r="G11" s="1" t="inlineStr">
        <is>
          <t>fuel_sales_fiasa.csv</t>
        </is>
      </c>
    </row>
    <row r="12">
      <c r="A12" s="1" t="inlineStr">
        <is>
          <t>H7</t>
        </is>
      </c>
      <c r="B12" s="1" t="inlineStr">
        <is>
          <t>sales_diesel</t>
        </is>
      </c>
      <c r="C12" s="1" t="n">
        <v>2024</v>
      </c>
      <c r="D12" s="194" t="n">
        <v>11734</v>
      </c>
      <c r="E12" s="194" t="n">
        <v>11734</v>
      </c>
      <c r="F12" s="1" t="inlineStr">
        <is>
          <t>matches</t>
        </is>
      </c>
      <c r="G12" s="1" t="inlineStr">
        <is>
          <t>fuel_sales_fiasa.csv</t>
        </is>
      </c>
    </row>
    <row r="13">
      <c r="A13" s="1" t="inlineStr">
        <is>
          <t>F8</t>
        </is>
      </c>
      <c r="B13" s="1" t="inlineStr">
        <is>
          <t>dept_diesel</t>
        </is>
      </c>
      <c r="C13" s="1" t="n">
        <v>2022</v>
      </c>
      <c r="D13" s="194" t="n">
        <v>12717.326319019</v>
      </c>
      <c r="E13" s="194" t="n">
        <v>12717.326319019</v>
      </c>
      <c r="F13" s="1" t="inlineStr">
        <is>
          <t>matches</t>
        </is>
      </c>
      <c r="G13" s="1" t="inlineStr">
        <is>
          <t>fuel_sales_department.csv</t>
        </is>
      </c>
    </row>
    <row r="14">
      <c r="A14" s="1" t="inlineStr">
        <is>
          <t>G8</t>
        </is>
      </c>
      <c r="B14" s="1" t="inlineStr">
        <is>
          <t>dept_diesel</t>
        </is>
      </c>
      <c r="C14" s="1" t="n">
        <v>2023</v>
      </c>
      <c r="D14" s="194" t="n">
        <v>12907.499965808</v>
      </c>
      <c r="E14" s="194" t="n">
        <v>12907.499965808</v>
      </c>
      <c r="F14" s="1" t="inlineStr">
        <is>
          <t>matches</t>
        </is>
      </c>
      <c r="G14" s="1" t="inlineStr">
        <is>
          <t>fuel_sales_department.csv</t>
        </is>
      </c>
    </row>
    <row r="15">
      <c r="A15" s="1" t="inlineStr">
        <is>
          <t>F9</t>
        </is>
      </c>
      <c r="B15" s="1" t="inlineStr">
        <is>
          <t>sales_jet</t>
        </is>
      </c>
      <c r="C15" s="1" t="n">
        <v>2022</v>
      </c>
      <c r="D15" s="194" t="n">
        <v>1478</v>
      </c>
      <c r="E15" s="194" t="n">
        <v>1478</v>
      </c>
      <c r="F15" s="1" t="inlineStr">
        <is>
          <t>matches</t>
        </is>
      </c>
      <c r="G15" s="1" t="inlineStr">
        <is>
          <t>fuel_sales_fiasa.csv</t>
        </is>
      </c>
    </row>
    <row r="16">
      <c r="A16" s="1" t="inlineStr">
        <is>
          <t>G9</t>
        </is>
      </c>
      <c r="B16" s="1" t="inlineStr">
        <is>
          <t>sales_jet</t>
        </is>
      </c>
      <c r="C16" s="1" t="n">
        <v>2023</v>
      </c>
      <c r="D16" s="194" t="n">
        <v>1844</v>
      </c>
      <c r="E16" s="194" t="n">
        <v>1844</v>
      </c>
      <c r="F16" s="1" t="inlineStr">
        <is>
          <t>matches</t>
        </is>
      </c>
      <c r="G16" s="1" t="inlineStr">
        <is>
          <t>fuel_sales_fiasa.csv</t>
        </is>
      </c>
    </row>
    <row r="17">
      <c r="A17" s="1" t="inlineStr">
        <is>
          <t>H9</t>
        </is>
      </c>
      <c r="B17" s="1" t="inlineStr">
        <is>
          <t>sales_jet</t>
        </is>
      </c>
      <c r="C17" s="1" t="n">
        <v>2024</v>
      </c>
      <c r="D17" s="194" t="n">
        <v>1955</v>
      </c>
      <c r="E17" s="194" t="n">
        <v>1955</v>
      </c>
      <c r="F17" s="1" t="inlineStr">
        <is>
          <t>matches</t>
        </is>
      </c>
      <c r="G17" s="1" t="inlineStr">
        <is>
          <t>fuel_sales_fiasa.csv</t>
        </is>
      </c>
    </row>
    <row r="18">
      <c r="A18" s="1" t="inlineStr">
        <is>
          <t>F10</t>
        </is>
      </c>
      <c r="B18" s="1" t="inlineStr">
        <is>
          <t>dept_jet</t>
        </is>
      </c>
      <c r="C18" s="1" t="n">
        <v>2022</v>
      </c>
      <c r="D18" s="194" t="n">
        <v>1478.149852603</v>
      </c>
      <c r="E18" s="194" t="n">
        <v>1478.149852603</v>
      </c>
      <c r="F18" s="1" t="inlineStr">
        <is>
          <t>matches</t>
        </is>
      </c>
      <c r="G18" s="1" t="inlineStr">
        <is>
          <t>fuel_sales_department.csv</t>
        </is>
      </c>
    </row>
    <row r="19">
      <c r="A19" s="1" t="inlineStr">
        <is>
          <t>G10</t>
        </is>
      </c>
      <c r="B19" s="1" t="inlineStr">
        <is>
          <t>dept_jet</t>
        </is>
      </c>
      <c r="C19" s="1" t="n">
        <v>2023</v>
      </c>
      <c r="D19" s="194" t="n">
        <v>1843.971762465</v>
      </c>
      <c r="E19" s="194" t="n">
        <v>1843.971762465</v>
      </c>
      <c r="F19" s="1" t="inlineStr">
        <is>
          <t>matches</t>
        </is>
      </c>
      <c r="G19" s="1" t="inlineStr">
        <is>
          <t>fuel_sales_department.csv</t>
        </is>
      </c>
    </row>
    <row r="20">
      <c r="A20" s="1" t="inlineStr">
        <is>
          <t>F11</t>
        </is>
      </c>
      <c r="B20" s="1" t="inlineStr">
        <is>
          <t>sales_fuel_oil</t>
        </is>
      </c>
      <c r="C20" s="1" t="n">
        <v>2022</v>
      </c>
      <c r="D20" s="194" t="n">
        <v>594</v>
      </c>
      <c r="E20" s="194" t="n">
        <v>594</v>
      </c>
      <c r="F20" s="1" t="inlineStr">
        <is>
          <t>matches</t>
        </is>
      </c>
      <c r="G20" s="1" t="inlineStr">
        <is>
          <t>fuel_sales_fiasa.csv</t>
        </is>
      </c>
    </row>
    <row r="21">
      <c r="A21" s="1" t="inlineStr">
        <is>
          <t>G11</t>
        </is>
      </c>
      <c r="B21" s="1" t="inlineStr">
        <is>
          <t>sales_fuel_oil</t>
        </is>
      </c>
      <c r="C21" s="1" t="n">
        <v>2023</v>
      </c>
      <c r="D21" s="194" t="n">
        <v>658</v>
      </c>
      <c r="E21" s="194" t="n">
        <v>658</v>
      </c>
      <c r="F21" s="1" t="inlineStr">
        <is>
          <t>matches</t>
        </is>
      </c>
      <c r="G21" s="1" t="inlineStr">
        <is>
          <t>fuel_sales_fiasa.csv</t>
        </is>
      </c>
    </row>
    <row r="22">
      <c r="A22" s="1" t="inlineStr">
        <is>
          <t>H11</t>
        </is>
      </c>
      <c r="B22" s="1" t="inlineStr">
        <is>
          <t>sales_fuel_oil</t>
        </is>
      </c>
      <c r="C22" s="1" t="n">
        <v>2024</v>
      </c>
      <c r="D22" s="194" t="n">
        <v>441</v>
      </c>
      <c r="E22" s="194" t="n">
        <v>441</v>
      </c>
      <c r="F22" s="1" t="inlineStr">
        <is>
          <t>matches</t>
        </is>
      </c>
      <c r="G22" s="1" t="inlineStr">
        <is>
          <t>fuel_sales_fiasa.csv</t>
        </is>
      </c>
    </row>
    <row r="23">
      <c r="A23" s="1" t="inlineStr">
        <is>
          <t>F12</t>
        </is>
      </c>
      <c r="B23" s="1" t="inlineStr">
        <is>
          <t>dept_fuel_oil</t>
        </is>
      </c>
      <c r="C23" s="1" t="n">
        <v>2022</v>
      </c>
      <c r="D23" s="194" t="n">
        <v>594.0401649620001</v>
      </c>
      <c r="E23" s="194" t="n">
        <v>594.0401649620001</v>
      </c>
      <c r="F23" s="1" t="inlineStr">
        <is>
          <t>matches</t>
        </is>
      </c>
      <c r="G23" s="1" t="inlineStr">
        <is>
          <t>fuel_sales_department.csv</t>
        </is>
      </c>
    </row>
    <row r="24">
      <c r="A24" s="1" t="inlineStr">
        <is>
          <t>G12</t>
        </is>
      </c>
      <c r="B24" s="1" t="inlineStr">
        <is>
          <t>dept_fuel_oil</t>
        </is>
      </c>
      <c r="C24" s="1" t="n">
        <v>2023</v>
      </c>
      <c r="D24" s="194" t="n">
        <v>658.0930416160001</v>
      </c>
      <c r="E24" s="194" t="n">
        <v>658.0930416160001</v>
      </c>
      <c r="F24" s="1" t="inlineStr">
        <is>
          <t>matches</t>
        </is>
      </c>
      <c r="G24" s="1" t="inlineStr">
        <is>
          <t>fuel_sales_department.csv</t>
        </is>
      </c>
    </row>
    <row r="25">
      <c r="A25" s="1" t="inlineStr">
        <is>
          <t>F25</t>
        </is>
      </c>
      <c r="B25" s="1" t="inlineStr">
        <is>
          <t>macro_gdp_per_capita</t>
        </is>
      </c>
      <c r="C25" s="1" t="n">
        <v>2022</v>
      </c>
      <c r="D25" s="194" t="n">
        <v>76055.06748983047</v>
      </c>
      <c r="E25" s="194" t="n">
        <v>76055.06748983047</v>
      </c>
      <c r="F25" s="1" t="inlineStr">
        <is>
          <t>matches</t>
        </is>
      </c>
      <c r="G25" s="1" t="inlineStr">
        <is>
          <t>macro_statssa.csv</t>
        </is>
      </c>
    </row>
    <row r="26">
      <c r="A26" s="1" t="inlineStr">
        <is>
          <t>G25</t>
        </is>
      </c>
      <c r="B26" s="1" t="inlineStr">
        <is>
          <t>macro_gdp_per_capita</t>
        </is>
      </c>
      <c r="C26" s="1" t="n">
        <v>2023</v>
      </c>
      <c r="D26" s="194" t="n">
        <v>75781.52071231291</v>
      </c>
      <c r="E26" s="194" t="n">
        <v>75781.52071231291</v>
      </c>
      <c r="F26" s="1" t="inlineStr">
        <is>
          <t>matches</t>
        </is>
      </c>
      <c r="G26" s="1" t="inlineStr">
        <is>
          <t>macro_statssa.csv</t>
        </is>
      </c>
    </row>
    <row r="27">
      <c r="A27" s="1" t="inlineStr">
        <is>
          <t>H25</t>
        </is>
      </c>
      <c r="B27" s="1" t="inlineStr">
        <is>
          <t>macro_gdp_per_capita</t>
        </is>
      </c>
      <c r="C27" s="1" t="n">
        <v>2024</v>
      </c>
      <c r="D27" s="194" t="n">
        <v>75255.62912098455</v>
      </c>
      <c r="E27" s="194" t="n">
        <v>75255.62912098455</v>
      </c>
      <c r="F27" s="1" t="inlineStr">
        <is>
          <t>matches</t>
        </is>
      </c>
      <c r="G27" s="1" t="inlineStr">
        <is>
          <t>macro_statssa.csv</t>
        </is>
      </c>
    </row>
    <row r="28">
      <c r="A28" s="1" t="inlineStr">
        <is>
          <t>I25</t>
        </is>
      </c>
      <c r="B28" s="1" t="inlineStr">
        <is>
          <t>macro_gdp_per_capita</t>
        </is>
      </c>
      <c r="C28" s="1" t="n">
        <v>2025</v>
      </c>
      <c r="D28" s="194" t="n">
        <v>75149.98563223911</v>
      </c>
      <c r="E28" s="194" t="n">
        <v>75149.98563223911</v>
      </c>
      <c r="F28" s="1" t="inlineStr">
        <is>
          <t>matches</t>
        </is>
      </c>
      <c r="G28" s="1" t="inlineStr">
        <is>
          <t>macro_statssa.csv</t>
        </is>
      </c>
    </row>
    <row r="29">
      <c r="A29" s="1" t="inlineStr">
        <is>
          <t>F26</t>
        </is>
      </c>
      <c r="B29" s="1" t="inlineStr">
        <is>
          <t>macro_agriculture_forestry_and_fishing</t>
        </is>
      </c>
      <c r="C29" s="1" t="n">
        <v>2022</v>
      </c>
      <c r="D29" s="194" t="n">
        <v>131.7706421450265</v>
      </c>
      <c r="E29" s="194" t="n">
        <v>131.7706421450265</v>
      </c>
      <c r="F29" s="1" t="inlineStr">
        <is>
          <t>matches</t>
        </is>
      </c>
      <c r="G29" s="1" t="inlineStr">
        <is>
          <t>macro_statssa.csv</t>
        </is>
      </c>
    </row>
    <row r="30">
      <c r="A30" s="1" t="inlineStr">
        <is>
          <t>G26</t>
        </is>
      </c>
      <c r="B30" s="1" t="inlineStr">
        <is>
          <t>macro_agriculture_forestry_and_fishing</t>
        </is>
      </c>
      <c r="C30" s="1" t="n">
        <v>2023</v>
      </c>
      <c r="D30" s="194" t="n">
        <v>125.7466421450265</v>
      </c>
      <c r="E30" s="194" t="n">
        <v>125.7466421450265</v>
      </c>
      <c r="F30" s="1" t="inlineStr">
        <is>
          <t>matches</t>
        </is>
      </c>
      <c r="G30" s="1" t="inlineStr">
        <is>
          <t>macro_statssa.csv</t>
        </is>
      </c>
    </row>
    <row r="31">
      <c r="A31" s="1" t="inlineStr">
        <is>
          <t>H26</t>
        </is>
      </c>
      <c r="B31" s="1" t="inlineStr">
        <is>
          <t>macro_agriculture_forestry_and_fishing</t>
        </is>
      </c>
      <c r="C31" s="1" t="n">
        <v>2024</v>
      </c>
      <c r="D31" s="194" t="n">
        <v>114.7916421450265</v>
      </c>
      <c r="E31" s="194" t="n">
        <v>114.7916421450265</v>
      </c>
      <c r="F31" s="1" t="inlineStr">
        <is>
          <t>matches</t>
        </is>
      </c>
      <c r="G31" s="1" t="inlineStr">
        <is>
          <t>macro_statssa.csv</t>
        </is>
      </c>
    </row>
    <row r="32">
      <c r="A32" s="1" t="inlineStr">
        <is>
          <t>I26</t>
        </is>
      </c>
      <c r="B32" s="1" t="inlineStr">
        <is>
          <t>macro_agriculture_forestry_and_fishing</t>
        </is>
      </c>
      <c r="C32" s="1" t="n">
        <v>2025</v>
      </c>
      <c r="D32" s="194" t="n">
        <v>134.7967469817132</v>
      </c>
      <c r="E32" s="194" t="n">
        <v>134.7967469817132</v>
      </c>
      <c r="F32" s="1" t="inlineStr">
        <is>
          <t>matches</t>
        </is>
      </c>
      <c r="G32" s="1" t="inlineStr">
        <is>
          <t>macro_statssa.csv</t>
        </is>
      </c>
    </row>
    <row r="33">
      <c r="A33" s="1" t="inlineStr">
        <is>
          <t>F27</t>
        </is>
      </c>
      <c r="B33" s="1" t="inlineStr">
        <is>
          <t>macro_manufacturing</t>
        </is>
      </c>
      <c r="C33" s="1" t="n">
        <v>2022</v>
      </c>
      <c r="D33" s="194" t="n">
        <v>523.0907540648606</v>
      </c>
      <c r="E33" s="194" t="n">
        <v>523.0907540648606</v>
      </c>
      <c r="F33" s="1" t="inlineStr">
        <is>
          <t>matches</t>
        </is>
      </c>
      <c r="G33" s="1" t="inlineStr">
        <is>
          <t>macro_statssa.csv</t>
        </is>
      </c>
    </row>
    <row r="34">
      <c r="A34" s="1" t="inlineStr">
        <is>
          <t>G27</t>
        </is>
      </c>
      <c r="B34" s="1" t="inlineStr">
        <is>
          <t>macro_manufacturing</t>
        </is>
      </c>
      <c r="C34" s="1" t="n">
        <v>2023</v>
      </c>
      <c r="D34" s="194" t="n">
        <v>524.9937540648609</v>
      </c>
      <c r="E34" s="194" t="n">
        <v>524.9937540648609</v>
      </c>
      <c r="F34" s="1" t="inlineStr">
        <is>
          <t>matches</t>
        </is>
      </c>
      <c r="G34" s="1" t="inlineStr">
        <is>
          <t>macro_statssa.csv</t>
        </is>
      </c>
    </row>
    <row r="35">
      <c r="A35" s="1" t="inlineStr">
        <is>
          <t>H27</t>
        </is>
      </c>
      <c r="B35" s="1" t="inlineStr">
        <is>
          <t>macro_manufacturing</t>
        </is>
      </c>
      <c r="C35" s="1" t="n">
        <v>2024</v>
      </c>
      <c r="D35" s="194" t="n">
        <v>523.150754064861</v>
      </c>
      <c r="E35" s="194" t="n">
        <v>523.150754064861</v>
      </c>
      <c r="F35" s="1" t="inlineStr">
        <is>
          <t>matches</t>
        </is>
      </c>
      <c r="G35" s="1" t="inlineStr">
        <is>
          <t>macro_statssa.csv</t>
        </is>
      </c>
    </row>
    <row r="36">
      <c r="A36" s="1" t="inlineStr">
        <is>
          <t>I27</t>
        </is>
      </c>
      <c r="B36" s="1" t="inlineStr">
        <is>
          <t>macro_manufacturing</t>
        </is>
      </c>
      <c r="C36" s="1" t="n">
        <v>2025</v>
      </c>
      <c r="D36" s="194" t="n">
        <v>516.9856529750193</v>
      </c>
      <c r="E36" s="194" t="n">
        <v>516.9856529750193</v>
      </c>
      <c r="F36" s="1" t="inlineStr">
        <is>
          <t>matches</t>
        </is>
      </c>
      <c r="G36" s="1" t="inlineStr">
        <is>
          <t>macro_statssa.csv</t>
        </is>
      </c>
    </row>
    <row r="37">
      <c r="A37" s="1" t="inlineStr">
        <is>
          <t>F28</t>
        </is>
      </c>
      <c r="B37" s="1" t="inlineStr">
        <is>
          <t>macro_mining_and_quarrying</t>
        </is>
      </c>
      <c r="C37" s="1" t="n">
        <v>2022</v>
      </c>
      <c r="D37" s="194" t="n">
        <v>204.4529227196744</v>
      </c>
      <c r="E37" s="194" t="n">
        <v>204.4529227196744</v>
      </c>
      <c r="F37" s="1" t="inlineStr">
        <is>
          <t>matches</t>
        </is>
      </c>
      <c r="G37" s="1" t="inlineStr">
        <is>
          <t>macro_statssa.csv</t>
        </is>
      </c>
    </row>
    <row r="38">
      <c r="A38" s="1" t="inlineStr">
        <is>
          <t>G28</t>
        </is>
      </c>
      <c r="B38" s="1" t="inlineStr">
        <is>
          <t>macro_mining_and_quarrying</t>
        </is>
      </c>
      <c r="C38" s="1" t="n">
        <v>2023</v>
      </c>
      <c r="D38" s="194" t="n">
        <v>204.2286999662737</v>
      </c>
      <c r="E38" s="194" t="n">
        <v>204.2286999662738</v>
      </c>
      <c r="F38" s="1" t="inlineStr">
        <is>
          <t>matches</t>
        </is>
      </c>
      <c r="G38" s="1" t="inlineStr">
        <is>
          <t>macro_statssa.csv</t>
        </is>
      </c>
    </row>
    <row r="39">
      <c r="A39" s="1" t="inlineStr">
        <is>
          <t>H28</t>
        </is>
      </c>
      <c r="B39" s="1" t="inlineStr">
        <is>
          <t>macro_mining_and_quarrying</t>
        </is>
      </c>
      <c r="C39" s="1" t="n">
        <v>2024</v>
      </c>
      <c r="D39" s="194" t="n">
        <v>205.1258295918731</v>
      </c>
      <c r="E39" s="194" t="n">
        <v>205.1258295918731</v>
      </c>
      <c r="F39" s="1" t="inlineStr">
        <is>
          <t>matches</t>
        </is>
      </c>
      <c r="G39" s="1" t="inlineStr">
        <is>
          <t>macro_statssa.csv</t>
        </is>
      </c>
    </row>
    <row r="40">
      <c r="A40" s="1" t="inlineStr">
        <is>
          <t>I28</t>
        </is>
      </c>
      <c r="B40" s="1" t="inlineStr">
        <is>
          <t>macro_mining_and_quarrying</t>
        </is>
      </c>
      <c r="C40" s="1" t="n">
        <v>2025</v>
      </c>
      <c r="D40" s="194" t="n">
        <v>205.4648860142573</v>
      </c>
      <c r="E40" s="194" t="n">
        <v>205.4648860142574</v>
      </c>
      <c r="F40" s="1" t="inlineStr">
        <is>
          <t>matches</t>
        </is>
      </c>
      <c r="G40" s="1" t="inlineStr">
        <is>
          <t>macro_statssa.csv</t>
        </is>
      </c>
    </row>
    <row r="41">
      <c r="A41" s="1" t="inlineStr">
        <is>
          <t>F29</t>
        </is>
      </c>
      <c r="B41" s="1" t="inlineStr">
        <is>
          <t>macro_construction</t>
        </is>
      </c>
      <c r="C41" s="1" t="n">
        <v>2022</v>
      </c>
      <c r="D41" s="194" t="n">
        <v>110.0650907489087</v>
      </c>
      <c r="E41" s="194" t="n">
        <v>110.0650907489087</v>
      </c>
      <c r="F41" s="1" t="inlineStr">
        <is>
          <t>matches</t>
        </is>
      </c>
      <c r="G41" s="1" t="inlineStr">
        <is>
          <t>macro_statssa.csv</t>
        </is>
      </c>
    </row>
    <row r="42">
      <c r="A42" s="1" t="inlineStr">
        <is>
          <t>G29</t>
        </is>
      </c>
      <c r="B42" s="1" t="inlineStr">
        <is>
          <t>macro_construction</t>
        </is>
      </c>
      <c r="C42" s="1" t="n">
        <v>2023</v>
      </c>
      <c r="D42" s="194" t="n">
        <v>109.5650907489087</v>
      </c>
      <c r="E42" s="194" t="n">
        <v>109.5650907489087</v>
      </c>
      <c r="F42" s="1" t="inlineStr">
        <is>
          <t>matches</t>
        </is>
      </c>
      <c r="G42" s="1" t="inlineStr">
        <is>
          <t>macro_statssa.csv</t>
        </is>
      </c>
    </row>
    <row r="43">
      <c r="A43" s="1" t="inlineStr">
        <is>
          <t>H29</t>
        </is>
      </c>
      <c r="B43" s="1" t="inlineStr">
        <is>
          <t>macro_construction</t>
        </is>
      </c>
      <c r="C43" s="1" t="n">
        <v>2024</v>
      </c>
      <c r="D43" s="194" t="n">
        <v>103.6250907489087</v>
      </c>
      <c r="E43" s="194" t="n">
        <v>103.6250907489087</v>
      </c>
      <c r="F43" s="1" t="inlineStr">
        <is>
          <t>matches</t>
        </is>
      </c>
      <c r="G43" s="1" t="inlineStr">
        <is>
          <t>macro_statssa.csv</t>
        </is>
      </c>
    </row>
    <row r="44">
      <c r="A44" s="1" t="inlineStr">
        <is>
          <t>I29</t>
        </is>
      </c>
      <c r="B44" s="1" t="inlineStr">
        <is>
          <t>macro_construction</t>
        </is>
      </c>
      <c r="C44" s="1" t="n">
        <v>2025</v>
      </c>
      <c r="D44" s="194" t="n">
        <v>99.09852067977131</v>
      </c>
      <c r="E44" s="194" t="n">
        <v>99.09852067977131</v>
      </c>
      <c r="F44" s="1" t="inlineStr">
        <is>
          <t>matches</t>
        </is>
      </c>
      <c r="G44" s="1" t="inlineStr">
        <is>
          <t>macro_statssa.csv</t>
        </is>
      </c>
    </row>
    <row r="45">
      <c r="A45" s="1" t="inlineStr">
        <is>
          <t>F30</t>
        </is>
      </c>
      <c r="B45" s="1" t="inlineStr">
        <is>
          <t>manufacturing_volume_total</t>
        </is>
      </c>
      <c r="C45" s="1" t="n">
        <v>2022</v>
      </c>
      <c r="D45" s="194" t="n">
        <v>93.14166666666667</v>
      </c>
      <c r="E45" s="194" t="n">
        <v>93.14166666666667</v>
      </c>
      <c r="F45" s="1" t="inlineStr">
        <is>
          <t>matches</t>
        </is>
      </c>
      <c r="G45" s="1" t="inlineStr">
        <is>
          <t>activity_statssa_monthly.csv</t>
        </is>
      </c>
    </row>
    <row r="46">
      <c r="A46" s="1" t="inlineStr">
        <is>
          <t>G30</t>
        </is>
      </c>
      <c r="B46" s="1" t="inlineStr">
        <is>
          <t>manufacturing_volume_total</t>
        </is>
      </c>
      <c r="C46" s="1" t="n">
        <v>2023</v>
      </c>
      <c r="D46" s="194" t="n">
        <v>93.71666666666665</v>
      </c>
      <c r="E46" s="194" t="n">
        <v>93.71666666666665</v>
      </c>
      <c r="F46" s="1" t="inlineStr">
        <is>
          <t>matches</t>
        </is>
      </c>
      <c r="G46" s="1" t="inlineStr">
        <is>
          <t>activity_statssa_monthly.csv</t>
        </is>
      </c>
    </row>
    <row r="47">
      <c r="A47" s="1" t="inlineStr">
        <is>
          <t>H30</t>
        </is>
      </c>
      <c r="B47" s="1" t="inlineStr">
        <is>
          <t>manufacturing_volume_total</t>
        </is>
      </c>
      <c r="C47" s="1" t="n">
        <v>2024</v>
      </c>
      <c r="D47" s="194" t="n">
        <v>93.33333333333333</v>
      </c>
      <c r="E47" s="194" t="n">
        <v>93.33333333333333</v>
      </c>
      <c r="F47" s="1" t="inlineStr">
        <is>
          <t>matches</t>
        </is>
      </c>
      <c r="G47" s="1" t="inlineStr">
        <is>
          <t>activity_statssa_monthly.csv</t>
        </is>
      </c>
    </row>
    <row r="48">
      <c r="A48" s="1" t="inlineStr">
        <is>
          <t>I30</t>
        </is>
      </c>
      <c r="B48" s="1" t="inlineStr">
        <is>
          <t>manufacturing_volume_total</t>
        </is>
      </c>
      <c r="C48" s="1" t="n">
        <v>2025</v>
      </c>
      <c r="D48" s="194" t="n">
        <v>92.14166666666665</v>
      </c>
      <c r="E48" s="194" t="n">
        <v>92.14166666666667</v>
      </c>
      <c r="F48" s="1" t="inlineStr">
        <is>
          <t>matches</t>
        </is>
      </c>
      <c r="G48" s="1" t="inlineStr">
        <is>
          <t>activity_statssa_monthly.csv</t>
        </is>
      </c>
    </row>
    <row r="49">
      <c r="A49" s="1" t="inlineStr">
        <is>
          <t>F31</t>
        </is>
      </c>
      <c r="B49" s="1" t="inlineStr">
        <is>
          <t>mining_volume_total</t>
        </is>
      </c>
      <c r="C49" s="1" t="n">
        <v>2022</v>
      </c>
      <c r="D49" s="194" t="n">
        <v>93.00833333333334</v>
      </c>
      <c r="E49" s="194" t="n">
        <v>93.00833333333333</v>
      </c>
      <c r="F49" s="1" t="inlineStr">
        <is>
          <t>matches</t>
        </is>
      </c>
      <c r="G49" s="1" t="inlineStr">
        <is>
          <t>activity_statssa_monthly.csv</t>
        </is>
      </c>
    </row>
    <row r="50">
      <c r="A50" s="1" t="inlineStr">
        <is>
          <t>G31</t>
        </is>
      </c>
      <c r="B50" s="1" t="inlineStr">
        <is>
          <t>mining_volume_total</t>
        </is>
      </c>
      <c r="C50" s="1" t="n">
        <v>2023</v>
      </c>
      <c r="D50" s="194" t="n">
        <v>93.01666666666667</v>
      </c>
      <c r="E50" s="194" t="n">
        <v>93.01666666666667</v>
      </c>
      <c r="F50" s="1" t="inlineStr">
        <is>
          <t>matches</t>
        </is>
      </c>
      <c r="G50" s="1" t="inlineStr">
        <is>
          <t>activity_statssa_monthly.csv</t>
        </is>
      </c>
    </row>
    <row r="51">
      <c r="A51" s="1" t="inlineStr">
        <is>
          <t>H31</t>
        </is>
      </c>
      <c r="B51" s="1" t="inlineStr">
        <is>
          <t>mining_volume_total</t>
        </is>
      </c>
      <c r="C51" s="1" t="n">
        <v>2024</v>
      </c>
      <c r="D51" s="194" t="n">
        <v>93.53333333333332</v>
      </c>
      <c r="E51" s="194" t="n">
        <v>93.53333333333335</v>
      </c>
      <c r="F51" s="1" t="inlineStr">
        <is>
          <t>matches</t>
        </is>
      </c>
      <c r="G51" s="1" t="inlineStr">
        <is>
          <t>activity_statssa_monthly.csv</t>
        </is>
      </c>
    </row>
    <row r="52">
      <c r="A52" s="1" t="inlineStr">
        <is>
          <t>I31</t>
        </is>
      </c>
      <c r="B52" s="1" t="inlineStr">
        <is>
          <t>mining_volume_total</t>
        </is>
      </c>
      <c r="C52" s="1" t="n">
        <v>2025</v>
      </c>
      <c r="D52" s="194" t="n">
        <v>93.70833333333333</v>
      </c>
      <c r="E52" s="194" t="n">
        <v>93.70833333333333</v>
      </c>
      <c r="F52" s="1" t="inlineStr">
        <is>
          <t>matches</t>
        </is>
      </c>
      <c r="G52" s="1" t="inlineStr">
        <is>
          <t>activity_statssa_monthly.csv</t>
        </is>
      </c>
    </row>
    <row r="53">
      <c r="A53" s="1" t="inlineStr">
        <is>
          <t>F43</t>
        </is>
      </c>
      <c r="B53" s="1" t="inlineStr">
        <is>
          <t>Provincial: EC petrol / million L/year</t>
        </is>
      </c>
      <c r="C53" s="1" t="n">
        <v>2022</v>
      </c>
      <c r="D53" s="194" t="n">
        <v>703.1324447169991</v>
      </c>
      <c r="E53" s="194" t="n">
        <v>703.132444716999</v>
      </c>
      <c r="F53" s="1" t="inlineStr">
        <is>
          <t>matches</t>
        </is>
      </c>
      <c r="G53" s="1" t="inlineStr">
        <is>
          <t>fuel_sales_department_by_province.csv</t>
        </is>
      </c>
    </row>
    <row r="54">
      <c r="A54" s="1" t="inlineStr">
        <is>
          <t>F44</t>
        </is>
      </c>
      <c r="B54" s="1" t="inlineStr">
        <is>
          <t>Provincial: FS petrol / million L/year</t>
        </is>
      </c>
      <c r="C54" s="1" t="n">
        <v>2022</v>
      </c>
      <c r="D54" s="194" t="n">
        <v>587.4580081820001</v>
      </c>
      <c r="E54" s="194" t="n">
        <v>587.4580081820001</v>
      </c>
      <c r="F54" s="1" t="inlineStr">
        <is>
          <t>matches</t>
        </is>
      </c>
      <c r="G54" s="1" t="inlineStr">
        <is>
          <t>fuel_sales_department_by_province.csv</t>
        </is>
      </c>
    </row>
    <row r="55">
      <c r="A55" s="1" t="inlineStr">
        <is>
          <t>F45</t>
        </is>
      </c>
      <c r="B55" s="1" t="inlineStr">
        <is>
          <t>Provincial: GP petrol / million L/year</t>
        </is>
      </c>
      <c r="C55" s="1" t="n">
        <v>2022</v>
      </c>
      <c r="D55" s="194" t="n">
        <v>3530.440256933996</v>
      </c>
      <c r="E55" s="194" t="n">
        <v>3530.440256933996</v>
      </c>
      <c r="F55" s="1" t="inlineStr">
        <is>
          <t>matches</t>
        </is>
      </c>
      <c r="G55" s="1" t="inlineStr">
        <is>
          <t>fuel_sales_department_by_province.csv</t>
        </is>
      </c>
    </row>
    <row r="56">
      <c r="A56" s="1" t="inlineStr">
        <is>
          <t>F46</t>
        </is>
      </c>
      <c r="B56" s="1" t="inlineStr">
        <is>
          <t>Provincial: KZN petrol / million L/year</t>
        </is>
      </c>
      <c r="C56" s="1" t="n">
        <v>2022</v>
      </c>
      <c r="D56" s="194" t="n">
        <v>1498.937893394999</v>
      </c>
      <c r="E56" s="194" t="n">
        <v>1498.937893394999</v>
      </c>
      <c r="F56" s="1" t="inlineStr">
        <is>
          <t>matches</t>
        </is>
      </c>
      <c r="G56" s="1" t="inlineStr">
        <is>
          <t>fuel_sales_department_by_province.csv</t>
        </is>
      </c>
    </row>
    <row r="57">
      <c r="A57" s="1" t="inlineStr">
        <is>
          <t>F47</t>
        </is>
      </c>
      <c r="B57" s="1" t="inlineStr">
        <is>
          <t>Provincial: LP petrol / million L/year</t>
        </is>
      </c>
      <c r="C57" s="1" t="n">
        <v>2022</v>
      </c>
      <c r="D57" s="194" t="n">
        <v>273.644045045999</v>
      </c>
      <c r="E57" s="194" t="n">
        <v>273.644045045999</v>
      </c>
      <c r="F57" s="1" t="inlineStr">
        <is>
          <t>matches</t>
        </is>
      </c>
      <c r="G57" s="1" t="inlineStr">
        <is>
          <t>fuel_sales_department_by_province.csv</t>
        </is>
      </c>
    </row>
    <row r="58">
      <c r="A58" s="1" t="inlineStr">
        <is>
          <t>F48</t>
        </is>
      </c>
      <c r="B58" s="1" t="inlineStr">
        <is>
          <t>Provincial: MP petrol / million L/year</t>
        </is>
      </c>
      <c r="C58" s="1" t="n">
        <v>2022</v>
      </c>
      <c r="D58" s="194" t="n">
        <v>612.2656460789989</v>
      </c>
      <c r="E58" s="194" t="n">
        <v>612.2656460789989</v>
      </c>
      <c r="F58" s="1" t="inlineStr">
        <is>
          <t>matches</t>
        </is>
      </c>
      <c r="G58" s="1" t="inlineStr">
        <is>
          <t>fuel_sales_department_by_province.csv</t>
        </is>
      </c>
    </row>
    <row r="59">
      <c r="A59" s="1" t="inlineStr">
        <is>
          <t>F49</t>
        </is>
      </c>
      <c r="B59" s="1" t="inlineStr">
        <is>
          <t>Provincial: NC petrol / million L/year</t>
        </is>
      </c>
      <c r="C59" s="1" t="n">
        <v>2022</v>
      </c>
      <c r="D59" s="194" t="n">
        <v>99.82992901300001</v>
      </c>
      <c r="E59" s="194" t="n">
        <v>99.829929013</v>
      </c>
      <c r="F59" s="1" t="inlineStr">
        <is>
          <t>matches</t>
        </is>
      </c>
      <c r="G59" s="1" t="inlineStr">
        <is>
          <t>fuel_sales_department_by_province.csv</t>
        </is>
      </c>
    </row>
    <row r="60">
      <c r="A60" s="1" t="inlineStr">
        <is>
          <t>F50</t>
        </is>
      </c>
      <c r="B60" s="1" t="inlineStr">
        <is>
          <t>Provincial: NW petrol / million L/year</t>
        </is>
      </c>
      <c r="C60" s="1" t="n">
        <v>2022</v>
      </c>
      <c r="D60" s="194" t="n">
        <v>448.1562321239999</v>
      </c>
      <c r="E60" s="194" t="n">
        <v>448.1562321239999</v>
      </c>
      <c r="F60" s="1" t="inlineStr">
        <is>
          <t>matches</t>
        </is>
      </c>
      <c r="G60" s="1" t="inlineStr">
        <is>
          <t>fuel_sales_department_by_province.csv</t>
        </is>
      </c>
    </row>
    <row r="61">
      <c r="A61" s="1" t="inlineStr">
        <is>
          <t>F51</t>
        </is>
      </c>
      <c r="B61" s="1" t="inlineStr">
        <is>
          <t>Provincial: WC petrol / million L/year</t>
        </is>
      </c>
      <c r="C61" s="1" t="n">
        <v>2022</v>
      </c>
      <c r="D61" s="194" t="n">
        <v>1431.005460082997</v>
      </c>
      <c r="E61" s="194" t="n">
        <v>1431.005460082997</v>
      </c>
      <c r="F61" s="1" t="inlineStr">
        <is>
          <t>matches</t>
        </is>
      </c>
      <c r="G61" s="1" t="inlineStr">
        <is>
          <t>fuel_sales_department_by_province.csv</t>
        </is>
      </c>
    </row>
    <row r="62">
      <c r="A62" s="1" t="inlineStr">
        <is>
          <t>F52</t>
        </is>
      </c>
      <c r="B62" s="1" t="inlineStr">
        <is>
          <t>Provincial: EC diesel / million L/year</t>
        </is>
      </c>
      <c r="C62" s="1" t="n">
        <v>2022</v>
      </c>
      <c r="D62" s="194" t="n">
        <v>1032.35218272</v>
      </c>
      <c r="E62" s="194" t="n">
        <v>1032.35218272</v>
      </c>
      <c r="F62" s="1" t="inlineStr">
        <is>
          <t>matches</t>
        </is>
      </c>
      <c r="G62" s="1" t="inlineStr">
        <is>
          <t>fuel_sales_department_by_province.csv</t>
        </is>
      </c>
    </row>
    <row r="63">
      <c r="A63" s="1" t="inlineStr">
        <is>
          <t>F53</t>
        </is>
      </c>
      <c r="B63" s="1" t="inlineStr">
        <is>
          <t>Provincial: FS diesel / million L/year</t>
        </is>
      </c>
      <c r="C63" s="1" t="n">
        <v>2022</v>
      </c>
      <c r="D63" s="194" t="n">
        <v>781.8611598310002</v>
      </c>
      <c r="E63" s="194" t="n">
        <v>781.8611598310002</v>
      </c>
      <c r="F63" s="1" t="inlineStr">
        <is>
          <t>matches</t>
        </is>
      </c>
      <c r="G63" s="1" t="inlineStr">
        <is>
          <t>fuel_sales_department_by_province.csv</t>
        </is>
      </c>
    </row>
    <row r="64">
      <c r="A64" s="1" t="inlineStr">
        <is>
          <t>F54</t>
        </is>
      </c>
      <c r="B64" s="1" t="inlineStr">
        <is>
          <t>Provincial: GP diesel / million L/year</t>
        </is>
      </c>
      <c r="C64" s="1" t="n">
        <v>2022</v>
      </c>
      <c r="D64" s="194" t="n">
        <v>3278.990501961999</v>
      </c>
      <c r="E64" s="194" t="n">
        <v>3278.990501961999</v>
      </c>
      <c r="F64" s="1" t="inlineStr">
        <is>
          <t>matches</t>
        </is>
      </c>
      <c r="G64" s="1" t="inlineStr">
        <is>
          <t>fuel_sales_department_by_province.csv</t>
        </is>
      </c>
    </row>
    <row r="65">
      <c r="A65" s="1" t="inlineStr">
        <is>
          <t>F55</t>
        </is>
      </c>
      <c r="B65" s="1" t="inlineStr">
        <is>
          <t>Provincial: KZN diesel / million L/year</t>
        </is>
      </c>
      <c r="C65" s="1" t="n">
        <v>2022</v>
      </c>
      <c r="D65" s="194" t="n">
        <v>2785.554802503</v>
      </c>
      <c r="E65" s="194" t="n">
        <v>2785.554802503</v>
      </c>
      <c r="F65" s="1" t="inlineStr">
        <is>
          <t>matches</t>
        </is>
      </c>
      <c r="G65" s="1" t="inlineStr">
        <is>
          <t>fuel_sales_department_by_province.csv</t>
        </is>
      </c>
    </row>
    <row r="66">
      <c r="A66" s="1" t="inlineStr">
        <is>
          <t>F56</t>
        </is>
      </c>
      <c r="B66" s="1" t="inlineStr">
        <is>
          <t>Provincial: LP diesel / million L/year</t>
        </is>
      </c>
      <c r="C66" s="1" t="n">
        <v>2022</v>
      </c>
      <c r="D66" s="194" t="n">
        <v>221.987440248</v>
      </c>
      <c r="E66" s="194" t="n">
        <v>221.987440248</v>
      </c>
      <c r="F66" s="1" t="inlineStr">
        <is>
          <t>matches</t>
        </is>
      </c>
      <c r="G66" s="1" t="inlineStr">
        <is>
          <t>fuel_sales_department_by_province.csv</t>
        </is>
      </c>
    </row>
    <row r="67">
      <c r="A67" s="1" t="inlineStr">
        <is>
          <t>F57</t>
        </is>
      </c>
      <c r="B67" s="1" t="inlineStr">
        <is>
          <t>Provincial: MP diesel / million L/year</t>
        </is>
      </c>
      <c r="C67" s="1" t="n">
        <v>2022</v>
      </c>
      <c r="D67" s="194" t="n">
        <v>1144.924075864997</v>
      </c>
      <c r="E67" s="194" t="n">
        <v>1144.924075864997</v>
      </c>
      <c r="F67" s="1" t="inlineStr">
        <is>
          <t>matches</t>
        </is>
      </c>
      <c r="G67" s="1" t="inlineStr">
        <is>
          <t>fuel_sales_department_by_province.csv</t>
        </is>
      </c>
    </row>
    <row r="68">
      <c r="A68" s="1" t="inlineStr">
        <is>
          <t>F58</t>
        </is>
      </c>
      <c r="B68" s="1" t="inlineStr">
        <is>
          <t>Provincial: NC diesel / million L/year</t>
        </is>
      </c>
      <c r="C68" s="1" t="n">
        <v>2022</v>
      </c>
      <c r="D68" s="194" t="n">
        <v>351.9801199100001</v>
      </c>
      <c r="E68" s="194" t="n">
        <v>351.9801199100001</v>
      </c>
      <c r="F68" s="1" t="inlineStr">
        <is>
          <t>matches</t>
        </is>
      </c>
      <c r="G68" s="1" t="inlineStr">
        <is>
          <t>fuel_sales_department_by_province.csv</t>
        </is>
      </c>
    </row>
    <row r="69">
      <c r="A69" s="1" t="inlineStr">
        <is>
          <t>F59</t>
        </is>
      </c>
      <c r="B69" s="1" t="inlineStr">
        <is>
          <t>Provincial: NW diesel / million L/year</t>
        </is>
      </c>
      <c r="C69" s="1" t="n">
        <v>2022</v>
      </c>
      <c r="D69" s="194" t="n">
        <v>619.906488913</v>
      </c>
      <c r="E69" s="194" t="n">
        <v>619.906488913</v>
      </c>
      <c r="F69" s="1" t="inlineStr">
        <is>
          <t>matches</t>
        </is>
      </c>
      <c r="G69" s="1" t="inlineStr">
        <is>
          <t>fuel_sales_department_by_province.csv</t>
        </is>
      </c>
    </row>
    <row r="70">
      <c r="A70" s="1" t="inlineStr">
        <is>
          <t>F60</t>
        </is>
      </c>
      <c r="B70" s="1" t="inlineStr">
        <is>
          <t>Provincial: WC diesel / million L/year</t>
        </is>
      </c>
      <c r="C70" s="1" t="n">
        <v>2022</v>
      </c>
      <c r="D70" s="194" t="n">
        <v>2499.769547067</v>
      </c>
      <c r="E70" s="194"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ports, Power fleet, Vehicle history, HML response, Gap status, Checks, History sources. No other cell changed.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93" t="inlineStr">
        <is>
          <t>Used for</t>
        </is>
      </c>
      <c r="B4" s="193" t="inlineStr">
        <is>
          <t>Publisher</t>
        </is>
      </c>
      <c r="C4" s="193" t="inlineStr">
        <is>
          <t>Link</t>
        </is>
      </c>
      <c r="D4" s="193" t="inlineStr">
        <is>
          <t>Original file</t>
        </is>
      </c>
      <c r="E4" s="193" t="inlineStr">
        <is>
          <t>Where the original is kept</t>
        </is>
      </c>
      <c r="F4" s="193" t="inlineStr">
        <is>
          <t>Extract in the repository</t>
        </is>
      </c>
      <c r="G4" s="193" t="inlineStr">
        <is>
          <t>Refresh command</t>
        </is>
      </c>
      <c r="H4" s="193" t="inlineStr">
        <is>
          <t>Periods</t>
        </is>
      </c>
      <c r="I4" s="193" t="inlineStr">
        <is>
          <t>Limits</t>
        </is>
      </c>
    </row>
    <row r="5">
      <c r="A5" s="192" t="inlineStr">
        <is>
          <t>History sections 1 and 4: national sales</t>
        </is>
      </c>
      <c r="B5" s="192" t="inlineStr">
        <is>
          <t>Department of Mineral and Petroleum Resources (energy department)</t>
        </is>
      </c>
      <c r="C5" s="192" t="inlineStr">
        <is>
          <t>https://www.dmpr.gov.za/Portals/0/Energy_Website/files/media/SA FUEL SALES VOLUME/</t>
        </is>
      </c>
      <c r="D5" s="192" t="inlineStr">
        <is>
          <t>&lt;year&gt;-...-FSV....xls(x), national annual workbooks 2005-2023</t>
        </is>
      </c>
      <c r="E5" s="192" t="inlineStr">
        <is>
          <t>local to Manish and Nigel; not on main</t>
        </is>
      </c>
      <c r="F5" s="192" t="inlineStr">
        <is>
          <t>assumptions/2026/timeseries/fuel_sales_department.csv</t>
        </is>
      </c>
      <c r="G5" s="192" t="inlineStr">
        <is>
          <t>python -m lfm.scripts.fetch_energy_dept --vintage 2026</t>
        </is>
      </c>
      <c r="H5" s="192" t="inlineStr">
        <is>
          <t>2005-2023</t>
        </is>
      </c>
      <c r="I5" s="192" t="inlineStr">
        <is>
          <t>2013 corrected on manish-branch (published sheet). Series ends 2023.</t>
        </is>
      </c>
    </row>
    <row r="6">
      <c r="A6" s="192" t="inlineStr">
        <is>
          <t>History section 1: sales by province</t>
        </is>
      </c>
      <c r="B6" s="192" t="inlineStr">
        <is>
          <t>Department of Mineral and Petroleum Resources (energy department)</t>
        </is>
      </c>
      <c r="C6" s="192" t="inlineStr">
        <is>
          <t>https://www.dmpr.gov.za/Portals/0/Energy_Website/files/media/SA FUEL SALES VOLUME/</t>
        </is>
      </c>
      <c r="D6" s="192" t="inlineStr">
        <is>
          <t>&lt;year&gt;-...-Magisterial-Districts-data.xlsx, quarterly sheets</t>
        </is>
      </c>
      <c r="E6" s="192" t="inlineStr">
        <is>
          <t>local to Manish and Nigel; not on main (2013 annual workbook on manish-branch)</t>
        </is>
      </c>
      <c r="F6" s="192" t="inlineStr">
        <is>
          <t>assumptions/2026/timeseries/fuel_sales_department_by_province.csv</t>
        </is>
      </c>
      <c r="G6" s="192" t="inlineStr">
        <is>
          <t>python -m lfm.scripts.fetch_energy_dept --vintage 2026</t>
        </is>
      </c>
      <c r="H6" s="192" t="inlineStr">
        <is>
          <t>2013-2022</t>
        </is>
      </c>
      <c r="I6" s="192" t="inlineStr">
        <is>
          <t>Ends 2022. 2018 understated about 1.8% (district Q1 sheet incomplete). 2014-Q3 differs from national file.</t>
        </is>
      </c>
    </row>
    <row r="7">
      <c r="A7" s="192" t="inlineStr">
        <is>
          <t>History section 2: imports and exports</t>
        </is>
      </c>
      <c r="B7" s="192" t="inlineStr">
        <is>
          <t>South African Revenue Service, trade statistics</t>
        </is>
      </c>
      <c r="C7" s="192" t="inlineStr">
        <is>
          <t>https://tools.sars.gov.za/tradestatsportal/data_download.aspx</t>
        </is>
      </c>
      <c r="D7" s="192" t="inlineStr">
        <is>
          <t>sars-&lt;imports|exports&gt;-chapter27-fuels-&lt;year&gt;.xlsx, 2010-2026</t>
        </is>
      </c>
      <c r="E7" s="192" t="inlineStr">
        <is>
          <t>on manish-branch (external/data/raw/sars/)</t>
        </is>
      </c>
      <c r="F7" s="192" t="inlineStr">
        <is>
          <t>assumptions/2026/timeseries/fuel_trade_sars.csv</t>
        </is>
      </c>
      <c r="G7" s="192" t="inlineStr">
        <is>
          <t>python -m lfm.scripts.fetch_sars --vintage 2026</t>
        </is>
      </c>
      <c r="H7" s="192" t="inlineStr">
        <is>
          <t>2010-2026</t>
        </is>
      </c>
      <c r="I7" s="192" t="inlineStr">
        <is>
          <t>Primary record of imports and exports from 2014. Kilograms to 2012, litres from 2014, both in 2013.</t>
        </is>
      </c>
    </row>
    <row r="8">
      <c r="A8" s="192" t="inlineStr">
        <is>
          <t>History section 2: FIASA comparison rows</t>
        </is>
      </c>
      <c r="B8" s="192" t="inlineStr">
        <is>
          <t>Fuels Industry Association of South Africa (from customs data)</t>
        </is>
      </c>
      <c r="C8" s="192" t="inlineStr">
        <is>
          <t>https://fuelsindustry.org.za/publications/annual-reports/</t>
        </is>
      </c>
      <c r="D8" s="192" t="inlineStr">
        <is>
          <t>annual-report-&lt;year&gt;.pdf; 2025 edition pp.47-49</t>
        </is>
      </c>
      <c r="E8" s="192" t="inlineStr">
        <is>
          <t>local to Manish and Nigel; not on main; 2025 edition on main</t>
        </is>
      </c>
      <c r="F8" s="192" t="inlineStr">
        <is>
          <t>assumptions/2026/timeseries/fuel_trade_fiasa.csv</t>
        </is>
      </c>
      <c r="G8" s="192" t="inlineStr">
        <is>
          <t>python -m lfm.scripts.fetch_fuel_sales --vintage 2026</t>
        </is>
      </c>
      <c r="H8" s="192" t="inlineStr">
        <is>
          <t>2009-2025</t>
        </is>
      </c>
      <c r="I8" s="192" t="inlineStr">
        <is>
          <t>Cross-check, and the record before 2014; SARS is primary from 2014. 'Kerosene' is jet plus paraffin. Its 2024 diesel import figure is 4.000 bn L above customs.</t>
        </is>
      </c>
    </row>
    <row r="9">
      <c r="A9" s="192" t="inlineStr">
        <is>
          <t>History section 4: FIASA comparison row</t>
        </is>
      </c>
      <c r="B9" s="192" t="inlineStr">
        <is>
          <t>Fuels Industry Association of South Africa</t>
        </is>
      </c>
      <c r="C9" s="192" t="inlineStr">
        <is>
          <t>https://fuelsindustry.org.za/publications/annual-reports/</t>
        </is>
      </c>
      <c r="D9" s="192" t="inlineStr">
        <is>
          <t>annual-report-&lt;year&gt;.pdf, 2021-2025 editions</t>
        </is>
      </c>
      <c r="E9" s="192" t="inlineStr">
        <is>
          <t>local to Manish and Nigel; not on main; 2025 edition on main</t>
        </is>
      </c>
      <c r="F9" s="192" t="inlineStr">
        <is>
          <t>assumptions/2026/timeseries/fuel_sales_fiasa.csv</t>
        </is>
      </c>
      <c r="G9" s="192" t="inlineStr">
        <is>
          <t>python -m lfm.scripts.fetch_fuel_sales --vintage 2026</t>
        </is>
      </c>
      <c r="H9" s="192" t="inlineStr">
        <is>
          <t>2009-2024</t>
        </is>
      </c>
      <c r="I9" s="192" t="inlineStr">
        <is>
          <t>Used for 2024 only. Its 2013 figures equal the department's superseded sheet.</t>
        </is>
      </c>
    </row>
    <row r="10">
      <c r="A10" s="192" t="inlineStr">
        <is>
          <t>History section 3 and Sector history: production and diesel by sector</t>
        </is>
      </c>
      <c r="B10" s="192" t="inlineStr">
        <is>
          <t>Department of Mineral and Petroleum Resources (energy department)</t>
        </is>
      </c>
      <c r="C10" s="192" t="inlineStr">
        <is>
          <t>https://www.dmpr.gov.za/Portals/0/Energy_Website/files/media/Energy_Balances.html</t>
        </is>
      </c>
      <c r="D10" s="192" t="inlineStr">
        <is>
          <t>&lt;year&gt;-Commodity-Flow-and-Energy-Balance.xlsx, 2007-2021</t>
        </is>
      </c>
      <c r="E10" s="192" t="inlineStr">
        <is>
          <t>local to Manish and Nigel; not on main</t>
        </is>
      </c>
      <c r="F10" s="192" t="inlineStr">
        <is>
          <t>assumptions/2026/timeseries/energy_balance_department.csv</t>
        </is>
      </c>
      <c r="G10" s="192" t="inlineStr">
        <is>
          <t>python -m lfm.scripts.fetch_energy_dept --vintage 2026</t>
        </is>
      </c>
      <c r="H10" s="192" t="inlineStr">
        <is>
          <t>2007-2021</t>
        </is>
      </c>
      <c r="I10" s="192" t="inlineStr">
        <is>
          <t>Ends 2021. Sector definitions shift in 2016. Fuel oil not extracted.</t>
        </is>
      </c>
    </row>
    <row r="11">
      <c r="A11" s="192" t="inlineStr">
        <is>
          <t>History section 3: refinery output reported to JODI (comparison only, not used)</t>
        </is>
      </c>
      <c r="B11" s="192" t="inlineStr">
        <is>
          <t>JODI oil database (South Africa's submissions)</t>
        </is>
      </c>
      <c r="C11" s="192" t="inlineStr">
        <is>
          <t>https://www.jodidata.org/oil/database/data-downloads.aspx</t>
        </is>
      </c>
      <c r="D11" s="192" t="inlineStr">
        <is>
          <t>jodi-secondary-zaf-2017-2022.csv; jodi-secondary-zaf-2023-2025.csv</t>
        </is>
      </c>
      <c r="E11" s="192" t="inlineStr">
        <is>
          <t>on manish-branch (external/data/raw/jodi/)</t>
        </is>
      </c>
      <c r="F11" s="192" t="inlineStr">
        <is>
          <t>assumptions/2026/timeseries/oil_balance_jodi.csv</t>
        </is>
      </c>
      <c r="G11" s="192" t="inlineStr">
        <is>
          <t>python -m lfm.scripts.stage_jodi --vintage 2026</t>
        </is>
      </c>
      <c r="H11" s="192" t="inlineStr">
        <is>
          <t>2017-2024</t>
        </is>
      </c>
      <c r="I11" s="192" t="inlineStr">
        <is>
          <t>Lowest JODI assessment code throughout. Diesel refinery output agrees with the energy balance within 4% for 2017-2021; petrol is 12-24% higher. Imports, demand and stocks are not usable.</t>
        </is>
      </c>
    </row>
    <row r="12">
      <c r="A12" s="192" t="inlineStr">
        <is>
          <t>DR04 ports: liquid bulk landed at each port, by month and calendar year</t>
        </is>
      </c>
      <c r="B12" s="192" t="inlineStr">
        <is>
          <t>Transnet National Ports Authority</t>
        </is>
      </c>
      <c r="C12" s="192" t="inlineStr">
        <is>
          <t>https://www.transnet.net/SubsiteRender.aspx?id=24332214</t>
        </is>
      </c>
      <c r="D12" s="192" t="inlineStr">
        <is>
          <t>tnpa-cargo-summary-&lt;period&gt;.pdf, July 2024 to August 2026; calendar years 2024 and 2025</t>
        </is>
      </c>
      <c r="E12" s="192" t="inlineStr">
        <is>
          <t>on manish-branch (external/data/raw/tnpa/)</t>
        </is>
      </c>
      <c r="F12" s="192" t="inlineStr">
        <is>
          <t>assumptions/2026/timeseries/port_liquid_bulk_tnpa.csv</t>
        </is>
      </c>
      <c r="G12" s="192" t="inlineStr">
        <is>
          <t>python -m lfm.scripts.stage_tnpa --vintage 2026 --fetch</t>
        </is>
      </c>
      <c r="H12" s="192" t="inlineStr">
        <is>
          <t>2024-2026-08</t>
        </is>
      </c>
      <c r="I12" s="192" t="inlineStr">
        <is>
          <t>Tons of all liquids, not fuel by product. Two months carry a note on the publisher's heading.</t>
        </is>
      </c>
    </row>
    <row r="13">
      <c r="A13" s="192" t="inlineStr">
        <is>
          <t>History section 3: operators' reported output</t>
        </is>
      </c>
      <c r="B13" s="192" t="inlineStr">
        <is>
          <t>Sasol (production and sales metrics); Glencore (annual reports)</t>
        </is>
      </c>
      <c r="C13" s="192" t="inlineStr">
        <is>
          <t>https://www.sasol.com/</t>
        </is>
      </c>
      <c r="D13" s="192" t="inlineStr">
        <is>
          <t>sasol-metrics-fy2022/2025/2026.pdf, p.4; GLEN-2023/2024/2025-Annual-Report.pdf</t>
        </is>
      </c>
      <c r="E13" s="192" t="inlineStr">
        <is>
          <t>Sasol files on manish-branch (external/data/raw/sasol/); Glencore reports by link only</t>
        </is>
      </c>
      <c r="F13" s="192" t="inlineStr">
        <is>
          <t>assumptions/2026/reference/refinery_output_operators.csv</t>
        </is>
      </c>
      <c r="G13" s="192" t="inlineStr">
        <is>
          <t>none</t>
        </is>
      </c>
      <c r="H13" s="192" t="inlineStr">
        <is>
          <t>2020-2026</t>
        </is>
      </c>
      <c r="I13" s="192" t="inlineStr">
        <is>
          <t>All refined products, no product split; fiscal and calendar years; Astron as energy content.</t>
        </is>
      </c>
    </row>
    <row r="14">
      <c r="A14" s="192" t="inlineStr">
        <is>
          <t>History section 5: litres levied</t>
        </is>
      </c>
      <c r="B14" s="192" t="inlineStr">
        <is>
          <t>Road Accident Fund</t>
        </is>
      </c>
      <c r="C14" s="192" t="inlineStr">
        <is>
          <t>https://static.pmg.org.za/RAF_Annual_Report_2025.pdf</t>
        </is>
      </c>
      <c r="D14" s="192" t="inlineStr">
        <is>
          <t>raf-annual-report-2024-25.pdf, note 16 (p.183)</t>
        </is>
      </c>
      <c r="E14" s="192" t="inlineStr">
        <is>
          <t>on manish-branch (external/data/raw/raf/)</t>
        </is>
      </c>
      <c r="F14" s="192" t="inlineStr">
        <is>
          <t>assumptions/2026/reference/fuel_levy_revenue_raf.csv</t>
        </is>
      </c>
      <c r="G14" s="192" t="inlineStr">
        <is>
          <t>none</t>
        </is>
      </c>
      <c r="H14" s="192" t="inlineStr">
        <is>
          <t>2024-2025</t>
        </is>
      </c>
      <c r="I14" s="192" t="inlineStr">
        <is>
          <t>Gross levies and diesel rebate in rand; litres derived in the balance note. Fiscal years; petrol and diesel together.</t>
        </is>
      </c>
    </row>
    <row r="15">
      <c r="A15" s="192" t="inlineStr">
        <is>
          <t>Sector history: mining and manufacturing volume indices</t>
        </is>
      </c>
      <c r="B15" s="192" t="inlineStr">
        <is>
          <t>Statistics South Africa (P2041 mining, P3041.2 manufacturing, P7162 land transport, P0141 CPI)</t>
        </is>
      </c>
      <c r="C15" s="192" t="inlineStr">
        <is>
          <t>https://www.statssa.gov.za/?page_id=1847</t>
        </is>
      </c>
      <c r="D15" s="192" t="inlineStr">
        <is>
          <t>release zips, July and August 2026</t>
        </is>
      </c>
      <c r="E15" s="192" t="inlineStr">
        <is>
          <t>on manish-branch (external/data/raw/statssa/)</t>
        </is>
      </c>
      <c r="F15" s="192" t="inlineStr">
        <is>
          <t>assumptions/2026/timeseries/activity_statssa_monthly.csv</t>
        </is>
      </c>
      <c r="G15" s="192" t="inlineStr">
        <is>
          <t>python -m lfm.scripts.fetch_statssa_monthly --vintage 2026</t>
        </is>
      </c>
      <c r="H15" s="192" t="inlineStr">
        <is>
          <t>1998-01-2026-08</t>
        </is>
      </c>
      <c r="I15" s="192" t="inlineStr">
        <is>
          <t>Activity measures, not fuel volumes. Not seasonally adjusted. Tonnes, not tonne-kilometres.</t>
        </is>
      </c>
    </row>
    <row r="16">
      <c r="A16" s="192" t="inlineStr">
        <is>
          <t>Sector history: agriculture real value added</t>
        </is>
      </c>
      <c r="B16" s="192" t="inlineStr">
        <is>
          <t>Statistics South Africa (P0441 GDP; P0302 mid-year population)</t>
        </is>
      </c>
      <c r="C16" s="192" t="inlineStr">
        <is>
          <t>https://www.statssa.gov.za/?page_id=1854&amp;PPN=P0441</t>
        </is>
      </c>
      <c r="D16" s="192" t="inlineStr">
        <is>
          <t>GDP P0441 - GDP Time series Q2 2026.xlsx (Annual sheet); Country projection ... (2002-2026).xlsx</t>
        </is>
      </c>
      <c r="E16" s="192" t="inlineStr">
        <is>
          <t>on manish-branch (external/data/raw/statssa/)</t>
        </is>
      </c>
      <c r="F16" s="192" t="inlineStr">
        <is>
          <t>assumptions/2026/timeseries/macro_statssa.csv</t>
        </is>
      </c>
      <c r="G16" s="192" t="inlineStr">
        <is>
          <t>python -m lfm.scripts.fetch_economy --vintage 2026</t>
        </is>
      </c>
      <c r="H16" s="192" t="inlineStr">
        <is>
          <t>1993-2050</t>
        </is>
      </c>
      <c r="I16" s="192" t="inlineStr">
        <is>
          <t>Manual placement each release. Years after 2026 are projections, not observations.</t>
        </is>
      </c>
    </row>
    <row r="17">
      <c r="A17" s="192" t="inlineStr">
        <is>
          <t>History section 7: aircraft movements</t>
        </is>
      </c>
      <c r="B17" s="192" t="inlineStr">
        <is>
          <t>Airports Company South Africa</t>
        </is>
      </c>
      <c r="C17" s="192" t="inlineStr">
        <is>
          <t>https://www.airports.co.za/StatisticsLib/</t>
        </is>
      </c>
      <c r="D17" s="192" t="inlineStr">
        <is>
          <t>derived from the monthly file</t>
        </is>
      </c>
      <c r="E17" s="192" t="inlineStr">
        <is>
          <t>derived</t>
        </is>
      </c>
      <c r="F17" s="192" t="inlineStr">
        <is>
          <t>assumptions/2026/timeseries/air_traffic_acsa_annual.csv</t>
        </is>
      </c>
      <c r="G17" s="192" t="inlineStr">
        <is>
          <t>python -m lfm.scripts.fetch_acsa --vintage 2026</t>
        </is>
      </c>
      <c r="H17" s="192" t="inlineStr">
        <is>
          <t>2013-2025</t>
        </is>
      </c>
      <c r="I17" s="192" t="inlineStr"/>
    </row>
    <row r="18">
      <c r="A18" s="192" t="inlineStr">
        <is>
          <t>History section 6: quarter 1 2023 provincial shares</t>
        </is>
      </c>
      <c r="B18" s="192" t="inlineStr">
        <is>
          <t>Department of Mineral and Petroleum Resources (energy department)</t>
        </is>
      </c>
      <c r="C18" s="192" t="inlineStr">
        <is>
          <t>https://www.dmpr.gov.za/Portals/0/Energy_Website/files/media/SA FUEL SALES VOLUME/</t>
        </is>
      </c>
      <c r="D18" s="192" t="inlineStr">
        <is>
          <t>same workbooks; source_file column names each one</t>
        </is>
      </c>
      <c r="E18" s="192" t="inlineStr">
        <is>
          <t>local to Manish and Nigel; not on main</t>
        </is>
      </c>
      <c r="F18" s="192" t="inlineStr">
        <is>
          <t>assumptions/2026/timeseries/fuel_sales_department_by_province_quarterly.csv</t>
        </is>
      </c>
      <c r="G18" s="192" t="inlineStr">
        <is>
          <t>python -m lfm.scripts.fetch_energy_dept --vintage 2026</t>
        </is>
      </c>
      <c r="H18" s="192" t="inlineStr">
        <is>
          <t>2013-Q1-2023-Q1</t>
        </is>
      </c>
      <c r="I18" s="192" t="inlineStr">
        <is>
          <t>26 province/product years have blank quarters in the source (none petrol or diesel).</t>
        </is>
      </c>
    </row>
    <row r="19">
      <c r="A19" s="192" t="inlineStr">
        <is>
          <t>History section 6: provincial GDP used to move the 2024 shares</t>
        </is>
      </c>
      <c r="B19" s="192" t="inlineStr">
        <is>
          <t>Statistics South Africa (P0441.2 Provincial GDP)</t>
        </is>
      </c>
      <c r="C19" s="192" t="inlineStr">
        <is>
          <t>https://www.statssa.gov.za/?page_id=1847</t>
        </is>
      </c>
      <c r="D19" s="192" t="inlineStr">
        <is>
          <t>P0441.2  Provincial Gross Domestic Product(2024).zip, Tables 2-10, block c</t>
        </is>
      </c>
      <c r="E19" s="192" t="inlineStr">
        <is>
          <t>on manish-branch (external/data/raw/statssa/)</t>
        </is>
      </c>
      <c r="F19" s="192" t="inlineStr">
        <is>
          <t>assumptions/2026/timeseries/gdp_by_province_statssa.csv</t>
        </is>
      </c>
      <c r="G19" s="192" t="inlineStr">
        <is>
          <t>python -m lfm.scripts.fetch_economy --vintage 2026</t>
        </is>
      </c>
      <c r="H19" s="192" t="inlineStr">
        <is>
          <t>2013-2024</t>
        </is>
      </c>
      <c r="I19" s="192" t="inlineStr">
        <is>
          <t>Annual, 2013-2024. Economic activity by province, not fuel litres.</t>
        </is>
      </c>
    </row>
    <row r="20">
      <c r="A20" s="192" t="inlineStr">
        <is>
          <t>Diesel by use and Power fleet: power generation</t>
        </is>
      </c>
      <c r="B20" s="192" t="inlineStr">
        <is>
          <t>Eskom integrated reports</t>
        </is>
      </c>
      <c r="C20" s="192" t="inlineStr">
        <is>
          <t>https://www.eskom.co.za/investors/integrated-results/</t>
        </is>
      </c>
      <c r="D20" s="192" t="inlineStr">
        <is>
          <t>integrated report PDFs, years to March 2022-2026</t>
        </is>
      </c>
      <c r="E20" s="192" t="inlineStr">
        <is>
          <t>local to Manish and Nigel; not on main</t>
        </is>
      </c>
      <c r="F20" s="192" t="inlineStr">
        <is>
          <t>assumptions/2026/timeseries/ocgt_generation_eskom.csv</t>
        </is>
      </c>
      <c r="G20" s="192" t="inlineStr">
        <is>
          <t>python -m lfm.scripts.fetch_eskom --vintage 2026</t>
        </is>
      </c>
      <c r="H20" s="192" t="inlineStr">
        <is>
          <t>2022-2026</t>
        </is>
      </c>
      <c r="I20" s="192" t="inlineStr">
        <is>
          <t>GWh for financial years; diesel litres not reported in the extract.</t>
        </is>
      </c>
    </row>
    <row r="21">
      <c r="A21" s="192" t="inlineStr">
        <is>
          <t>Power fleet: stations, capacities and retirement dates</t>
        </is>
      </c>
      <c r="B21" s="192" t="inlineStr">
        <is>
          <t>Eskom; press reports</t>
        </is>
      </c>
      <c r="C21" s="192" t="inlineStr">
        <is>
          <t>https://www.eskom.co.za/eskom-divisions/gx/peaking-power-stations/</t>
        </is>
      </c>
      <c r="D21" s="192" t="inlineStr">
        <is>
          <t>eskom-gx0001-generation-plant-mix-rev29.pdf</t>
        </is>
      </c>
      <c r="E21" s="192" t="inlineStr">
        <is>
          <t>on manish-branch (external/data/raw/eskom/)</t>
        </is>
      </c>
      <c r="F21" s="192" t="inlineStr">
        <is>
          <t>assumptions/2026/infrastructure/power_fleet_diesel.csv</t>
        </is>
      </c>
      <c r="G21" s="192" t="inlineStr">
        <is>
          <t>none</t>
        </is>
      </c>
      <c r="H21" s="192" t="inlineStr">
        <is>
          <t>-</t>
        </is>
      </c>
      <c r="I21" s="192" t="inlineStr">
        <is>
          <t>Diesel peaking stations and coal stations being retired, with capacities and dates. Three rows are marked to confirm.</t>
        </is>
      </c>
    </row>
    <row r="22">
      <c r="A22" s="192" t="inlineStr">
        <is>
          <t>Diesel by use: the 0.31 litres per kWh factor</t>
        </is>
      </c>
      <c r="B22" s="192" t="inlineStr">
        <is>
          <t>Parliament (replies by the Ministers of Public Enterprises and of Electricity and Energy)</t>
        </is>
      </c>
      <c r="C22" s="192" t="inlineStr">
        <is>
          <t>https://pmg.org.za/committee-question/30686/</t>
        </is>
      </c>
      <c r="D22" s="192" t="inlineStr">
        <is>
          <t>reply NW1980 (2025); press reports for 2022 and 2023</t>
        </is>
      </c>
      <c r="E22" s="192" t="inlineStr">
        <is>
          <t>by link only</t>
        </is>
      </c>
      <c r="F22" s="192" t="inlineStr">
        <is>
          <t>assumptions/2026/reference/ocgt_diesel_burn_reported.csv</t>
        </is>
      </c>
      <c r="G22" s="192" t="inlineStr">
        <is>
          <t>none</t>
        </is>
      </c>
      <c r="H22" s="192" t="inlineStr">
        <is>
          <t>2022-2025</t>
        </is>
      </c>
      <c r="I22" s="192" t="inlineStr">
        <is>
          <t>Three years; none for the year to March 2024. Implies 0.31 litres per kWh; not adopted in the model.</t>
        </is>
      </c>
    </row>
    <row r="23">
      <c r="A23" s="192" t="inlineStr">
        <is>
          <t>Diesel by use: price used to convert road freight fuel spending to litres</t>
        </is>
      </c>
      <c r="B23" s="192" t="inlineStr">
        <is>
          <t>Department of Mineral and Petroleum Resources (energy department)</t>
        </is>
      </c>
      <c r="C23" s="192" t="inlineStr">
        <is>
          <t>https://www.dmpr.gov.za/Portals/0/Energy_Website/files/media/</t>
        </is>
      </c>
      <c r="D23" s="192" t="inlineStr">
        <is>
          <t>fuel-price-history-&lt;year&gt;.pdf, 2011-2025; price-breakdown-&lt;year&gt;-&lt;month&gt;.pdf to February 2026; cef-daily-&lt;date&gt;.pdf from February 2026 (Central Energy Fund)</t>
        </is>
      </c>
      <c r="E23" s="192" t="inlineStr">
        <is>
          <t>local to Manish and Nigel; not on main</t>
        </is>
      </c>
      <c r="F23" s="192" t="inlineStr">
        <is>
          <t>assumptions/2026/timeseries/fuel_prices_department.csv</t>
        </is>
      </c>
      <c r="G23" s="192" t="inlineStr">
        <is>
          <t>python -m lfm.scripts.fetch_energy_dept --vintage 2026</t>
        </is>
      </c>
      <c r="H23" s="192" t="inlineStr">
        <is>
          <t>2011-01-2026-10</t>
        </is>
      </c>
      <c r="I23" s="192" t="inlineStr">
        <is>
          <t>Runs to October 2026. Department to February 2026, then CEF daily sheets, which give inland prices only: coastal diesel has no value from December 2025, coastal petrol and paraffin none from March 2026.</t>
        </is>
      </c>
    </row>
    <row r="24">
      <c r="A24" s="192" t="inlineStr">
        <is>
          <t>Diesel by use and Vehicle history: vehicle classes, distance and fuel use</t>
        </is>
      </c>
      <c r="B24" s="192" t="inlineStr">
        <is>
          <t>Stone, Merven, Maseela and Moonsamy (2018), J. Energy in Southern Africa 29(2), and supplement</t>
        </is>
      </c>
      <c r="C24" s="192" t="inlineStr">
        <is>
          <t>https://www.scielo.org.za/pdf/jesa/v29n2/06.pdf</t>
        </is>
      </c>
      <c r="D24" s="192" t="inlineStr">
        <is>
          <t>stone-2018-vehicle-parc-model-jesa-29-2.pdf; stone-2018-supplementary.pdf</t>
        </is>
      </c>
      <c r="E24" s="192" t="inlineStr">
        <is>
          <t>on manish-branch (external/data/raw/literature/)</t>
        </is>
      </c>
      <c r="F24" s="192" t="inlineStr">
        <is>
          <t>assumptions/2026/reference/vehicle_parameters_stone2018.csv</t>
        </is>
      </c>
      <c r="G24" s="192" t="inlineStr">
        <is>
          <t>none</t>
        </is>
      </c>
      <c r="H24" s="192" t="inlineStr">
        <is>
          <t>-</t>
        </is>
      </c>
      <c r="I24" s="192" t="inlineStr">
        <is>
          <t>Values are for 2014. Transcription not independently re-checked.</t>
        </is>
      </c>
    </row>
    <row r="25">
      <c r="A25" s="192" t="inlineStr">
        <is>
          <t>Vehicle history: registered vehicles by class</t>
        </is>
      </c>
      <c r="B25" s="192" t="inlineStr">
        <is>
          <t>NaTIS (Road Traffic Management Corporation)</t>
        </is>
      </c>
      <c r="C25" s="192" t="inlineStr">
        <is>
          <t>https://www.natis.gov.za/</t>
        </is>
      </c>
      <c r="D25" s="192" t="inlineStr">
        <is>
          <t>monthly live vehicle population PDFs</t>
        </is>
      </c>
      <c r="E25" s="192" t="inlineStr">
        <is>
          <t>local to Manish and Nigel; not on main</t>
        </is>
      </c>
      <c r="F25" s="192" t="inlineStr">
        <is>
          <t>assumptions/2026/timeseries/vehicle_population_natis.csv</t>
        </is>
      </c>
      <c r="G25" s="192" t="inlineStr">
        <is>
          <t>python -m lfm.scripts.fetch_natis --vintage 2026</t>
        </is>
      </c>
      <c r="H25" s="192" t="inlineStr">
        <is>
          <t>2021-02-2026-06</t>
        </is>
      </c>
      <c r="I25" s="192" t="inlineStr">
        <is>
          <t>All fuels together; no petrol/diesel split.</t>
        </is>
      </c>
    </row>
    <row r="26">
      <c r="A26" s="192" t="inlineStr">
        <is>
          <t>Vehicle history: new sales by segment</t>
        </is>
      </c>
      <c r="B26" s="192" t="inlineStr">
        <is>
          <t>naamsa, quarterly review of business conditions</t>
        </is>
      </c>
      <c r="C26" s="192" t="inlineStr">
        <is>
          <t>https://naamsa.net/quarterly-reviews/</t>
        </is>
      </c>
      <c r="D26" s="192" t="inlineStr">
        <is>
          <t>quarterly review PDFs</t>
        </is>
      </c>
      <c r="E26" s="192" t="inlineStr">
        <is>
          <t>local to Manish and Nigel; not on main</t>
        </is>
      </c>
      <c r="F26" s="192" t="inlineStr">
        <is>
          <t>assumptions/2026/timeseries/new_vehicle_market_naamsa.csv</t>
        </is>
      </c>
      <c r="G26" s="192" t="inlineStr">
        <is>
          <t>python -m lfm.scripts.fetch_naamsa --vintage 2026</t>
        </is>
      </c>
      <c r="H26" s="192" t="inlineStr">
        <is>
          <t>2015-2027</t>
        </is>
      </c>
      <c r="I26" s="192" t="inlineStr">
        <is>
          <t>2026-2027 are naamsa's own outlook, not observations.</t>
        </is>
      </c>
    </row>
    <row r="27">
      <c r="A27" s="192" t="inlineStr">
        <is>
          <t>Vehicle history: electrified new sales</t>
        </is>
      </c>
      <c r="B27" s="192" t="inlineStr">
        <is>
          <t>naamsa, quarterly review of business conditions</t>
        </is>
      </c>
      <c r="C27" s="192" t="inlineStr">
        <is>
          <t>https://naamsa.net/quarterly-reviews/</t>
        </is>
      </c>
      <c r="D27" s="192" t="inlineStr">
        <is>
          <t>quarterly review PDFs</t>
        </is>
      </c>
      <c r="E27" s="192" t="inlineStr">
        <is>
          <t>local to Manish and Nigel; not on main</t>
        </is>
      </c>
      <c r="F27" s="192" t="inlineStr">
        <is>
          <t>assumptions/2026/timeseries/nev_sales_naamsa.csv</t>
        </is>
      </c>
      <c r="G27" s="192" t="inlineStr">
        <is>
          <t>python -m lfm.scripts.fetch_naamsa --vintage 2026</t>
        </is>
      </c>
      <c r="H27" s="192" t="inlineStr">
        <is>
          <t>2019-2025</t>
        </is>
      </c>
      <c r="I27" s="192" t="inlineStr">
        <is>
          <t>New sales, not fleet. Audit logged parser warnings on the 5 October refresh.</t>
        </is>
      </c>
    </row>
    <row r="28">
      <c r="A28" s="192" t="inlineStr">
        <is>
          <t>Vehicle history: fuel split of the registered fleet</t>
        </is>
      </c>
      <c r="B28" s="192" t="inlineStr">
        <is>
          <t>Department of Transport, Transport Statistics Bulletin 2023, Table 2.8 (source: RTMC)</t>
        </is>
      </c>
      <c r="C28" s="192" t="inlineStr">
        <is>
          <t>https://www.transport.gov.za/wp-content/uploads/2023/02/Transport-Statistics-Bulletin-2023.pdf</t>
        </is>
      </c>
      <c r="D28" s="192" t="inlineStr">
        <is>
          <t>dot-transport-statistics-bulletin-2023.pdf, p.40</t>
        </is>
      </c>
      <c r="E28" s="192" t="inlineStr">
        <is>
          <t>on manish-branch (external/data/raw/literature/)</t>
        </is>
      </c>
      <c r="F28" s="192" t="inlineStr">
        <is>
          <t>assumptions/2026/reference/vehicle_population_by_fuel_dot2023.csv</t>
        </is>
      </c>
      <c r="G28" s="192" t="inlineStr">
        <is>
          <t>none</t>
        </is>
      </c>
      <c r="H28" s="192" t="inlineStr">
        <is>
          <t>2023-12-2023-12</t>
        </is>
      </c>
      <c r="I28" s="192" t="inlineStr">
        <is>
          <t>One date only (December 2023). No later edition found.</t>
        </is>
      </c>
    </row>
    <row r="29">
      <c r="A29" s="192" t="inlineStr">
        <is>
          <t>Diesel by use: fuel bought by road freight businesses</t>
        </is>
      </c>
      <c r="B29" s="192" t="inlineStr">
        <is>
          <t>Statistics South Africa</t>
        </is>
      </c>
      <c r="C29" s="192" t="inlineStr">
        <is>
          <t>https://www.statssa.gov.za/?page_id=1854&amp;PPN=Report-71-02-01</t>
        </is>
      </c>
      <c r="D29" s="192" t="inlineStr">
        <is>
          <t>Report-71-02-012023.pdf, Table 20 (p.33)</t>
        </is>
      </c>
      <c r="E29" s="192" t="inlineStr">
        <is>
          <t>on manish-branch (external/data/raw/statssa/statssa-transport-and-storage-industry-2023.pdf)</t>
        </is>
      </c>
      <c r="F29" s="192" t="inlineStr">
        <is>
          <t>typed into build_demand_baseline_workbook.py (ROAD_FREIGHT_FUEL_RAND)</t>
        </is>
      </c>
      <c r="G29" s="192" t="inlineStr">
        <is>
          <t>none</t>
        </is>
      </c>
      <c r="H29" s="192" t="inlineStr">
        <is>
          <t>2019, 2023</t>
        </is>
      </c>
      <c r="I29" s="192" t="inlineStr">
        <is>
          <t>Hire-and-reward operators only; 2023 preliminary</t>
        </is>
      </c>
    </row>
    <row r="30">
      <c r="A30" s="192" t="inlineStr">
        <is>
          <t>Diesel by use: land freight share of diesel</t>
        </is>
      </c>
      <c r="B30" s="192" t="inlineStr">
        <is>
          <t>Merven, Hartley and Ahjum (2019), SA-TIED Working Paper 60</t>
        </is>
      </c>
      <c r="C30" s="192" t="inlineStr">
        <is>
          <t>https://sa-tied.wider.unu.edu/sites/default/files/pdf/SATIED_WP60_Merven_Hartley_Ahjum_April_2019.pdf</t>
        </is>
      </c>
      <c r="D30" s="192" t="inlineStr">
        <is>
          <t>p.10</t>
        </is>
      </c>
      <c r="E30" s="192" t="inlineStr">
        <is>
          <t>on manish-branch (external/data/raw/literature/)</t>
        </is>
      </c>
      <c r="F30" s="192" t="inlineStr">
        <is>
          <t>quoted on the sheet</t>
        </is>
      </c>
      <c r="G30" s="192" t="inlineStr">
        <is>
          <t>none</t>
        </is>
      </c>
      <c r="H30" s="192" t="inlineStr">
        <is>
          <t>2012</t>
        </is>
      </c>
      <c r="I30" s="192" t="inlineStr">
        <is>
          <t>Modelled; same research group as the vehicle study</t>
        </is>
      </c>
    </row>
    <row r="31">
      <c r="A31" s="192" t="inlineStr">
        <is>
          <t>Vehicle history and Diesel by use: the model's settings</t>
        </is>
      </c>
      <c r="B31" s="192" t="inlineStr">
        <is>
          <t>AIA (Reatile workbook, March 2025)</t>
        </is>
      </c>
      <c r="C31" s="192" t="inlineStr"/>
      <c r="D31" s="192" t="inlineStr">
        <is>
          <t>assumptions/2026/vehicles.yaml</t>
        </is>
      </c>
      <c r="E31" s="192" t="inlineStr">
        <is>
          <t>in the repository</t>
        </is>
      </c>
      <c r="F31" s="192" t="inlineStr">
        <is>
          <t>assumptions/2026/vehicles.yaml</t>
        </is>
      </c>
      <c r="G31" s="192" t="inlineStr">
        <is>
          <t>none</t>
        </is>
      </c>
      <c r="H31" s="192" t="inlineStr"/>
      <c r="I31" s="192" t="inlineStr">
        <is>
          <t>Placeholders without a published source</t>
        </is>
      </c>
    </row>
    <row r="32">
      <c r="A32" s="192" t="inlineStr">
        <is>
          <t>HML response</t>
        </is>
      </c>
      <c r="B32" s="192" t="inlineStr">
        <is>
          <t>AIA (analyst), from the sources named in each row</t>
        </is>
      </c>
      <c r="C32" s="192" t="inlineStr"/>
      <c r="D32" s="192" t="inlineStr">
        <is>
          <t>workstreams/WS2_model_development/fuel_lever_response_2026-10-07.csv</t>
        </is>
      </c>
      <c r="E32" s="192" t="inlineStr">
        <is>
          <t>in the repository</t>
        </is>
      </c>
      <c r="F32" s="192" t="inlineStr">
        <is>
          <t>same file</t>
        </is>
      </c>
      <c r="G32" s="192" t="inlineStr">
        <is>
          <t>python -m lfm.scripts.build_fuel_lever_response --vintage 2026</t>
        </is>
      </c>
      <c r="H32" s="192" t="inlineStr">
        <is>
          <t>2030, 2035</t>
        </is>
      </c>
      <c r="I32" s="192"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2026-10-08T15:58:49Z</dcterms:created>
  <dcterms:modified xmlns:dcterms="http://purl.org/dc/terms/" xmlns:xsi="http://www.w3.org/2001/XMLSchema-instance" xsi:type="dcterms:W3CDTF">2026-10-08T15:58:51Z</dcterms:modified>
</cp:coreProperties>
</file>