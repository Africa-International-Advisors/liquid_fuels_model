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7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t>
        </is>
      </c>
    </row>
    <row r="71">
      <c r="A71" s="162" t="inlineStr">
        <is>
          <t>Petrol and diesel storage at Matola</t>
        </is>
      </c>
      <c r="B71" s="162" t="inlineStr">
        <is>
          <t>Other Matola terminals</t>
        </is>
      </c>
      <c r="C71" s="162" t="inlineStr">
        <is>
          <t>Not available</t>
        </is>
      </c>
      <c r="D71" s="162" t="inlineStr">
        <is>
          <t>m3</t>
        </is>
      </c>
      <c r="E71" s="162" t="inlineStr"/>
      <c r="F71" s="162" t="inlineStr">
        <is>
          <t>not available</t>
        </is>
      </c>
      <c r="G71" s="162" t="inlineStr">
        <is>
          <t>None for petrol and diesel alone</t>
        </is>
      </c>
      <c r="H71" s="162" t="inlineStr"/>
      <c r="I71" s="162" t="inlineStr">
        <is>
          <t>One terminal is in the row above. Capacity by product was not found for the others; a 2015 report on another operator includes bitumen.</t>
        </is>
      </c>
    </row>
    <row r="72">
      <c r="A72" s="162" t="inlineStr">
        <is>
          <t>Road rate and border cost, Matola to Gauteng</t>
        </is>
      </c>
      <c r="B72" s="162" t="inlineStr">
        <is>
          <t>Maputo and Matola, through Komatipoort</t>
        </is>
      </c>
      <c r="C72" s="162" t="inlineStr">
        <is>
          <t>Not available</t>
        </is>
      </c>
      <c r="D72" s="162" t="inlineStr">
        <is>
          <t>cents a litre</t>
        </is>
      </c>
      <c r="E72" s="162" t="inlineStr"/>
      <c r="F72" s="162" t="inlineStr">
        <is>
          <t>not available</t>
        </is>
      </c>
      <c r="G72" s="162" t="inlineStr">
        <is>
          <t>None public</t>
        </is>
      </c>
      <c r="H72" s="162" t="inlineStr"/>
      <c r="I72" s="162" t="inlineStr">
        <is>
          <t>Needed for a matched delivered cost. Needs a haulier or Vopak.</t>
        </is>
      </c>
    </row>
    <row r="73">
      <c r="A73" s="162" t="inlineStr">
        <is>
          <t>Petrol and diesel supplied inland by Natref and Secunda</t>
        </is>
      </c>
      <c r="B73" s="162" t="inlineStr">
        <is>
          <t>Sasolburg and Secunda</t>
        </is>
      </c>
      <c r="C73" s="162" t="inlineStr">
        <is>
          <t>Not available</t>
        </is>
      </c>
      <c r="D73" s="162" t="inlineStr">
        <is>
          <t>billion litres</t>
        </is>
      </c>
      <c r="E73" s="162" t="inlineStr"/>
      <c r="F73" s="162" t="inlineStr">
        <is>
          <t>not started</t>
        </is>
      </c>
      <c r="G73" s="162" t="inlineStr">
        <is>
          <t>None found</t>
        </is>
      </c>
      <c r="H73" s="162" t="inlineStr"/>
      <c r="I73"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69A</t>
        </is>
      </c>
      <c r="B62" s="172" t="inlineStr">
        <is>
          <t>Northern Cape</t>
        </is>
      </c>
      <c r="C62" s="190" t="n">
        <v>1</v>
      </c>
      <c r="D62" s="172" t="inlineStr">
        <is>
          <t>Kenhardt (west of 20o longitude)</t>
        </is>
      </c>
      <c r="E62" s="191" t="n">
        <v>106.6</v>
      </c>
      <c r="F62" s="191" t="n">
        <v>167.3</v>
      </c>
      <c r="G62" s="192">
        <f>IF(COUNT(E62,F62)&lt;2,"",F62-E62)</f>
        <v/>
      </c>
      <c r="H62" s="172" t="inlineStr">
        <is>
          <t>Department of Mineral and Petroleum Resources, zone lists effective 2 April 2014 and 3 April 2024</t>
        </is>
      </c>
    </row>
    <row r="63">
      <c r="A63" s="170" t="inlineStr">
        <is>
          <t>19A</t>
        </is>
      </c>
      <c r="B63" s="172" t="inlineStr">
        <is>
          <t>Northern Cape</t>
        </is>
      </c>
      <c r="C63" s="190" t="n">
        <v>1</v>
      </c>
      <c r="D63" s="172" t="inlineStr">
        <is>
          <t>Gordonia (north of 27o30' latitude)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42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t>
        </is>
      </c>
    </row>
    <row r="30">
      <c r="A30" s="162" t="inlineStr">
        <is>
          <t>New gas plant: firm commissioning date for any project</t>
        </is>
      </c>
      <c r="B30" s="162" t="inlineStr">
        <is>
          <t>Independent producers and Eskom</t>
        </is>
      </c>
      <c r="C30" s="162" t="inlineStr">
        <is>
          <t>Not available</t>
        </is>
      </c>
      <c r="D30" s="162" t="inlineStr"/>
      <c r="E30" s="162" t="inlineStr"/>
      <c r="F30" s="162" t="inlineStr">
        <is>
          <t>not available</t>
        </is>
      </c>
      <c r="G30" s="162" t="inlineStr">
        <is>
          <t>None exists</t>
        </is>
      </c>
      <c r="H30" s="162" t="inlineStr"/>
      <c r="I30" s="162" t="inlineStr">
        <is>
          <t>No gas project has a bidder appointed or is in construction, so no firm date exists to find.</t>
        </is>
      </c>
    </row>
    <row r="32">
      <c r="A32" s="151" t="inlineStr">
        <is>
          <t>Vehicle fleet</t>
        </is>
      </c>
      <c r="B32" s="151" t="n"/>
      <c r="C32" s="151" t="n"/>
      <c r="D32" s="151" t="n"/>
      <c r="E32" s="151" t="n"/>
      <c r="F32" s="151" t="n"/>
      <c r="G32" s="151" t="n"/>
      <c r="H32" s="151" t="n"/>
      <c r="I32" s="151" t="n"/>
    </row>
    <row r="33">
      <c r="A33" s="152" t="inlineStr">
        <is>
          <t>Registered vehicles by class</t>
        </is>
      </c>
      <c r="B33" s="152" t="inlineStr">
        <is>
          <t>South Africa</t>
        </is>
      </c>
      <c r="C33" s="152" t="inlineStr">
        <is>
          <t>cars 8,340,592; light commercial 2,816,547; trucks 409,049; buses 66,872; minibuses 356,997</t>
        </is>
      </c>
      <c r="D33" s="152" t="inlineStr">
        <is>
          <t>vehicles</t>
        </is>
      </c>
      <c r="E33" s="152" t="inlineStr">
        <is>
          <t>2026-06</t>
        </is>
      </c>
      <c r="F33" s="152" t="inlineStr">
        <is>
          <t>observed</t>
        </is>
      </c>
      <c r="G33" s="152" t="inlineStr">
        <is>
          <t>eNaTIS live vehicle population by class and province</t>
        </is>
      </c>
      <c r="H33" s="152" t="inlineStr"/>
      <c r="I33" s="152" t="inlineStr">
        <is>
          <t>By province on the DR07 fleet by province sheet. Monthly from February 2021.</t>
        </is>
      </c>
    </row>
    <row r="34">
      <c r="A34" s="156" t="inlineStr">
        <is>
          <t>Largest provinces, share of registered vehicles</t>
        </is>
      </c>
      <c r="B34" s="156" t="inlineStr">
        <is>
          <t>Gauteng; Western Cape; KwaZulu-Natal</t>
        </is>
      </c>
      <c r="C34" s="156" t="inlineStr">
        <is>
          <t>39.0; 16.3; 14.1</t>
        </is>
      </c>
      <c r="D34" s="156" t="inlineStr">
        <is>
          <t>%</t>
        </is>
      </c>
      <c r="E34" s="156" t="inlineStr">
        <is>
          <t>2026-06</t>
        </is>
      </c>
      <c r="F34" s="156" t="inlineStr">
        <is>
          <t>inferred</t>
        </is>
      </c>
      <c r="G34" s="156" t="inlineStr">
        <is>
          <t>Calculated from eNaTIS</t>
        </is>
      </c>
      <c r="H34" s="156" t="inlineStr"/>
      <c r="I34" s="156" t="inlineStr"/>
    </row>
    <row r="35">
      <c r="A35" s="152" t="inlineStr">
        <is>
          <t>Registered vehicles by fuel</t>
        </is>
      </c>
      <c r="B35" s="152" t="inlineStr">
        <is>
          <t>South Africa</t>
        </is>
      </c>
      <c r="C35" s="152" t="inlineStr">
        <is>
          <t>petrol 8,555,772; diesel 3,335,546</t>
        </is>
      </c>
      <c r="D35" s="152" t="inlineStr">
        <is>
          <t>vehicles</t>
        </is>
      </c>
      <c r="E35" s="152" t="inlineStr">
        <is>
          <t>December 2023</t>
        </is>
      </c>
      <c r="F35" s="152" t="inlineStr">
        <is>
          <t>observed</t>
        </is>
      </c>
      <c r="G35" s="152" t="inlineStr">
        <is>
          <t>Department of Transport, Transport Statistics Bulletin 2023</t>
        </is>
      </c>
      <c r="H35" s="152" t="inlineStr"/>
      <c r="I35" s="152" t="inlineStr">
        <is>
          <t>National only, and not split by class. No later edition found.</t>
        </is>
      </c>
    </row>
    <row r="36">
      <c r="A36" s="152" t="inlineStr">
        <is>
          <t>Diesel vehicles by province</t>
        </is>
      </c>
      <c r="B36" s="152" t="inlineStr">
        <is>
          <t>Gauteng; Western Cape; KwaZulu-Natal</t>
        </is>
      </c>
      <c r="C36" s="152" t="inlineStr">
        <is>
          <t>1,142,275; 507,006; 459,888</t>
        </is>
      </c>
      <c r="D36" s="152" t="inlineStr">
        <is>
          <t>vehicles</t>
        </is>
      </c>
      <c r="E36" s="152" t="inlineStr">
        <is>
          <t>December 2023</t>
        </is>
      </c>
      <c r="F36" s="152" t="inlineStr">
        <is>
          <t>observed</t>
        </is>
      </c>
      <c r="G36" s="152" t="inlineStr">
        <is>
          <t>Department of Transport, Transport Statistics Bulletin 2023, Table 2.8</t>
        </is>
      </c>
      <c r="H36" s="152" t="inlineStr">
        <is>
          <t>PDF p.40</t>
        </is>
      </c>
      <c r="I36" s="152" t="inlineStr">
        <is>
          <t>All nine provinces, petrol and diesel, are on the DR07 fleet by province sheet.</t>
        </is>
      </c>
    </row>
    <row r="37">
      <c r="A37" s="156" t="inlineStr">
        <is>
          <t>Diesel share of petrol and diesel vehicles, by province</t>
        </is>
      </c>
      <c r="B37" s="156" t="inlineStr">
        <is>
          <t>Highest; lowest</t>
        </is>
      </c>
      <c r="C37" s="156" t="inlineStr">
        <is>
          <t>Northern Cape 38.0; Gauteng 24.8</t>
        </is>
      </c>
      <c r="D37" s="156" t="inlineStr">
        <is>
          <t>%</t>
        </is>
      </c>
      <c r="E37" s="156" t="inlineStr">
        <is>
          <t>December 2023</t>
        </is>
      </c>
      <c r="F37" s="156" t="inlineStr">
        <is>
          <t>inferred</t>
        </is>
      </c>
      <c r="G37" s="156" t="inlineStr">
        <is>
          <t>Calculated from the bulletin</t>
        </is>
      </c>
      <c r="H37" s="156" t="inlineStr"/>
      <c r="I37" s="156" t="inlineStr"/>
    </row>
    <row r="38">
      <c r="A38" s="162" t="inlineStr">
        <is>
          <t>Vehicles by fuel within each class</t>
        </is>
      </c>
      <c r="B38" s="162" t="inlineStr">
        <is>
          <t>South Africa</t>
        </is>
      </c>
      <c r="C38" s="162" t="inlineStr">
        <is>
          <t>Not available</t>
        </is>
      </c>
      <c r="D38" s="162" t="inlineStr">
        <is>
          <t>vehicles</t>
        </is>
      </c>
      <c r="E38" s="162" t="inlineStr"/>
      <c r="F38" s="162" t="inlineStr">
        <is>
          <t>not available</t>
        </is>
      </c>
      <c r="G38" s="162" t="inlineStr">
        <is>
          <t>None found</t>
        </is>
      </c>
      <c r="H38" s="162" t="inlineStr"/>
      <c r="I38" s="162" t="inlineStr">
        <is>
          <t>The bulletin splits fuel by province and the register splits class by province; nothing published crosses fuel with class.</t>
        </is>
      </c>
    </row>
    <row r="39">
      <c r="A39" s="152" t="inlineStr">
        <is>
          <t>Average age of vehicles</t>
        </is>
      </c>
      <c r="B39" s="152" t="inlineStr">
        <is>
          <t>All vehicles and passenger vehicles</t>
        </is>
      </c>
      <c r="C39" s="152" t="inlineStr">
        <is>
          <t>10.5</t>
        </is>
      </c>
      <c r="D39" s="152" t="inlineStr">
        <is>
          <t>years</t>
        </is>
      </c>
      <c r="E39" s="152" t="inlineStr">
        <is>
          <t>2022</t>
        </is>
      </c>
      <c r="F39" s="152" t="inlineStr">
        <is>
          <t>observed</t>
        </is>
      </c>
      <c r="G39" s="152" t="inlineStr">
        <is>
          <t>Lightstone Auto Insights, April 2022</t>
        </is>
      </c>
      <c r="H39" s="152" t="inlineStr"/>
      <c r="I39" s="152" t="inlineStr">
        <is>
          <t>Ten years and six months, up from nine years and four months for passenger vehicles in 2014 and 2015.</t>
        </is>
      </c>
    </row>
    <row r="40">
      <c r="A40" s="162" t="inlineStr">
        <is>
          <t>Vehicles by year of age</t>
        </is>
      </c>
      <c r="B40" s="162" t="inlineStr">
        <is>
          <t>South Africa</t>
        </is>
      </c>
      <c r="C40" s="162" t="inlineStr">
        <is>
          <t>Not available</t>
        </is>
      </c>
      <c r="D40" s="162" t="inlineStr">
        <is>
          <t>vehicles</t>
        </is>
      </c>
      <c r="E40" s="162" t="inlineStr"/>
      <c r="F40" s="162" t="inlineStr">
        <is>
          <t>not available</t>
        </is>
      </c>
      <c r="G40" s="162" t="inlineStr">
        <is>
          <t>None published</t>
        </is>
      </c>
      <c r="H40" s="162" t="inlineStr"/>
      <c r="I40" s="162" t="inlineStr">
        <is>
          <t>Lightstone holds the age profile and sells it; the register does not publish it. Only apparent retirements can be calculated.</t>
        </is>
      </c>
    </row>
    <row r="42">
      <c r="A42" s="151" t="inlineStr">
        <is>
          <t>New vehicles and electric share</t>
        </is>
      </c>
      <c r="B42" s="151" t="n"/>
      <c r="C42" s="151" t="n"/>
      <c r="D42" s="151" t="n"/>
      <c r="E42" s="151" t="n"/>
      <c r="F42" s="151" t="n"/>
      <c r="G42" s="151" t="n"/>
      <c r="H42" s="151" t="n"/>
      <c r="I42" s="151" t="n"/>
    </row>
    <row r="43">
      <c r="A43" s="152" t="inlineStr">
        <is>
          <t>New vehicles sold, by segment</t>
        </is>
      </c>
      <c r="B43" s="152" t="inlineStr">
        <is>
          <t>South Africa</t>
        </is>
      </c>
      <c r="C43" s="152" t="inlineStr">
        <is>
          <t>cars 422,463; light commercial 143,964; medium and heavy commercial 30,911</t>
        </is>
      </c>
      <c r="D43" s="152" t="inlineStr">
        <is>
          <t>vehicles</t>
        </is>
      </c>
      <c r="E43" s="152" t="inlineStr">
        <is>
          <t>2025</t>
        </is>
      </c>
      <c r="F43" s="152" t="inlineStr">
        <is>
          <t>observed</t>
        </is>
      </c>
      <c r="G43" s="152" t="inlineStr">
        <is>
          <t>naamsa, industry vehicle sales</t>
        </is>
      </c>
      <c r="H43" s="152" t="inlineStr"/>
      <c r="I43" s="152" t="inlineStr"/>
    </row>
    <row r="44">
      <c r="A44" s="152" t="inlineStr">
        <is>
          <t>Electric and hybrid vehicles sold</t>
        </is>
      </c>
      <c r="B44" s="152" t="inlineStr">
        <is>
          <t>South Africa</t>
        </is>
      </c>
      <c r="C44" s="152" t="inlineStr">
        <is>
          <t>battery electric 1,088; plug-in hybrid 2,810; conventional hybrid 12,818</t>
        </is>
      </c>
      <c r="D44" s="152" t="inlineStr">
        <is>
          <t>vehicles</t>
        </is>
      </c>
      <c r="E44" s="152" t="inlineStr">
        <is>
          <t>2025</t>
        </is>
      </c>
      <c r="F44" s="152" t="inlineStr">
        <is>
          <t>observed</t>
        </is>
      </c>
      <c r="G44" s="152" t="inlineStr">
        <is>
          <t>naamsa, new energy vehicle sales</t>
        </is>
      </c>
      <c r="H44" s="152" t="inlineStr"/>
      <c r="I44" s="152" t="inlineStr"/>
    </row>
    <row r="45">
      <c r="A45" s="156" t="inlineStr">
        <is>
          <t>Share of new vehicles sold</t>
        </is>
      </c>
      <c r="B45" s="156" t="inlineStr">
        <is>
          <t>South Africa</t>
        </is>
      </c>
      <c r="C45" s="156" t="inlineStr">
        <is>
          <t>battery electric 0.18; plug-in hybrid 0.47; conventional hybrid 2.15</t>
        </is>
      </c>
      <c r="D45" s="156" t="inlineStr">
        <is>
          <t>%</t>
        </is>
      </c>
      <c r="E45" s="156" t="inlineStr">
        <is>
          <t>2025</t>
        </is>
      </c>
      <c r="F45" s="156" t="inlineStr">
        <is>
          <t>inferred</t>
        </is>
      </c>
      <c r="G45" s="156" t="inlineStr">
        <is>
          <t>Calculated from the two naamsa series</t>
        </is>
      </c>
      <c r="H45" s="156" t="inlineStr"/>
      <c r="I45" s="156" t="inlineStr">
        <is>
          <t>Battery electric sales fell from 2024 to 2025.</t>
        </is>
      </c>
    </row>
    <row r="46">
      <c r="A46" s="152" t="inlineStr">
        <is>
          <t>Diesel share of new light vehicles sold</t>
        </is>
      </c>
      <c r="B46" s="152" t="inlineStr">
        <is>
          <t>New light-duty vehicles</t>
        </is>
      </c>
      <c r="C46" s="152" t="inlineStr">
        <is>
          <t>35</t>
        </is>
      </c>
      <c r="D46" s="152" t="inlineStr">
        <is>
          <t>%</t>
        </is>
      </c>
      <c r="E46" s="152" t="inlineStr">
        <is>
          <t>2019</t>
        </is>
      </c>
      <c r="F46" s="152" t="inlineStr">
        <is>
          <t>observed</t>
        </is>
      </c>
      <c r="G46" s="152" t="inlineStr">
        <is>
          <t>IEA, Fuel economy in South Africa (Global Fuel Economy Initiative 2021)</t>
        </is>
      </c>
      <c r="H46" s="152" t="inlineStr"/>
      <c r="I46" s="152" t="inlineStr">
        <is>
          <t>No later figure found.</t>
        </is>
      </c>
    </row>
    <row r="47">
      <c r="A47" s="162" t="inlineStr">
        <is>
          <t>Electric trucks and electric light commercial vehicles sold</t>
        </is>
      </c>
      <c r="B47" s="162" t="inlineStr">
        <is>
          <t>South Africa</t>
        </is>
      </c>
      <c r="C47" s="162" t="inlineStr">
        <is>
          <t>Not available</t>
        </is>
      </c>
      <c r="D47" s="162" t="inlineStr">
        <is>
          <t>vehicles</t>
        </is>
      </c>
      <c r="E47" s="162" t="inlineStr"/>
      <c r="F47" s="162" t="inlineStr">
        <is>
          <t>not available</t>
        </is>
      </c>
      <c r="G47" s="162" t="inlineStr">
        <is>
          <t>None published</t>
        </is>
      </c>
      <c r="H47" s="162" t="inlineStr"/>
      <c r="I47" s="162" t="inlineStr">
        <is>
          <t>naamsa reports electric sales by drivetrain, not by segment (checked its fourth-quarter 2025 review). Benchmarks from other countries are on the HML response sheet.</t>
        </is>
      </c>
    </row>
    <row r="49">
      <c r="A49" s="151" t="inlineStr">
        <is>
          <t>Vehicle efficiency and distance</t>
        </is>
      </c>
      <c r="B49" s="151" t="n"/>
      <c r="C49" s="151" t="n"/>
      <c r="D49" s="151" t="n"/>
      <c r="E49" s="151" t="n"/>
      <c r="F49" s="151" t="n"/>
      <c r="G49" s="151" t="n"/>
      <c r="H49" s="151" t="n"/>
      <c r="I49" s="151" t="n"/>
    </row>
    <row r="50">
      <c r="A50" s="152" t="inlineStr">
        <is>
          <t>Fuel use and distance, petrol cars</t>
        </is>
      </c>
      <c r="B50" s="152" t="inlineStr">
        <is>
          <t>Petrol cars</t>
        </is>
      </c>
      <c r="C50" s="152" t="inlineStr">
        <is>
          <t>8.2 fleet average; 7.8 new; 14,457 km a year</t>
        </is>
      </c>
      <c r="D50" s="152" t="inlineStr">
        <is>
          <t>litres per 100 km; km</t>
        </is>
      </c>
      <c r="E50" s="152" t="inlineStr">
        <is>
          <t>2010 fleet</t>
        </is>
      </c>
      <c r="F50" s="152" t="inlineStr">
        <is>
          <t>observed</t>
        </is>
      </c>
      <c r="G50" s="152" t="inlineStr">
        <is>
          <t>Stone et al. (2018), vehicle parc model</t>
        </is>
      </c>
      <c r="H50" s="152" t="inlineStr"/>
      <c r="I50" s="152" t="inlineStr">
        <is>
          <t>One year only. All 24 vehicle types are in the file and on the Vehicle history sheet.</t>
        </is>
      </c>
    </row>
    <row r="51">
      <c r="A51" s="152" t="inlineStr">
        <is>
          <t>Fuel use and distance, diesel cars</t>
        </is>
      </c>
      <c r="B51" s="152" t="inlineStr">
        <is>
          <t>Diesel cars</t>
        </is>
      </c>
      <c r="C51" s="152" t="inlineStr">
        <is>
          <t>8.1 fleet average; 7.4 new; 16,748 km a year</t>
        </is>
      </c>
      <c r="D51" s="152" t="inlineStr">
        <is>
          <t>litres per 100 km; km</t>
        </is>
      </c>
      <c r="E51" s="152" t="inlineStr">
        <is>
          <t>2010 fleet</t>
        </is>
      </c>
      <c r="F51" s="152" t="inlineStr">
        <is>
          <t>observed</t>
        </is>
      </c>
      <c r="G51" s="152" t="inlineStr">
        <is>
          <t>Stone et al. (2018), vehicle parc model</t>
        </is>
      </c>
      <c r="H51" s="152" t="inlineStr"/>
      <c r="I51" s="152" t="inlineStr">
        <is>
          <t>One year only. All 24 vehicle types are in the file and on the Vehicle history sheet.</t>
        </is>
      </c>
    </row>
    <row r="52">
      <c r="A52" s="152" t="inlineStr">
        <is>
          <t>Fuel use of new light vehicles, by year</t>
        </is>
      </c>
      <c r="B52" s="152" t="inlineStr">
        <is>
          <t>New cars and light commercial vehicles</t>
        </is>
      </c>
      <c r="C52" s="152" t="inlineStr">
        <is>
          <t>8.8; 8.6; 7.8; 7.4</t>
        </is>
      </c>
      <c r="D52" s="152" t="inlineStr">
        <is>
          <t>litres of petrol equivalent per 100 km</t>
        </is>
      </c>
      <c r="E52" s="152" t="inlineStr">
        <is>
          <t>2005; 2010; 2015; 2019</t>
        </is>
      </c>
      <c r="F52" s="152" t="inlineStr">
        <is>
          <t>observed</t>
        </is>
      </c>
      <c r="G52" s="152" t="inlineStr">
        <is>
          <t>IEA and Global Fuel Economy Initiative (Working Paper 15, 2017; country page, 2021)</t>
        </is>
      </c>
      <c r="H52" s="152" t="inlineStr">
        <is>
          <t>PDF p.119</t>
        </is>
      </c>
      <c r="I52" s="152" t="inlineStr">
        <is>
          <t>Nine years between 2005 and 2019 are on the DR07 efficiency and rail sheet. Nothing after 2019 was found.</t>
        </is>
      </c>
    </row>
    <row r="53">
      <c r="A53" s="152" t="inlineStr">
        <is>
          <t>Fuel use of new light vehicles: average change</t>
        </is>
      </c>
      <c r="B53" s="152" t="inlineStr">
        <is>
          <t>New light-duty vehicles</t>
        </is>
      </c>
      <c r="C53" s="152" t="inlineStr">
        <is>
          <t>-1.3</t>
        </is>
      </c>
      <c r="D53" s="152" t="inlineStr">
        <is>
          <t>% a year</t>
        </is>
      </c>
      <c r="E53" s="152" t="inlineStr">
        <is>
          <t>2005-2019</t>
        </is>
      </c>
      <c r="F53" s="152" t="inlineStr">
        <is>
          <t>observed</t>
        </is>
      </c>
      <c r="G53" s="152" t="inlineStr">
        <is>
          <t>IEA, Fuel economy in South Africa (Global Fuel Economy Initiative 2021)</t>
        </is>
      </c>
      <c r="H53" s="152" t="inlineStr"/>
      <c r="I53" s="152" t="inlineStr">
        <is>
          <t>The model assumes 0.5 to 1.5% a year, so the observed rate sits inside the model's range.</t>
        </is>
      </c>
    </row>
    <row r="54">
      <c r="A54" s="152" t="inlineStr">
        <is>
          <t>Fuel use of new passenger cars</t>
        </is>
      </c>
      <c r="B54" s="152" t="inlineStr">
        <is>
          <t>New passenger cars</t>
        </is>
      </c>
      <c r="C54" s="152" t="inlineStr">
        <is>
          <t>6.3</t>
        </is>
      </c>
      <c r="D54" s="152" t="inlineStr">
        <is>
          <t>litres per 100 km</t>
        </is>
      </c>
      <c r="E54" s="152" t="inlineStr">
        <is>
          <t>2015</t>
        </is>
      </c>
      <c r="F54" s="152" t="inlineStr">
        <is>
          <t>observed</t>
        </is>
      </c>
      <c r="G54" s="152" t="inlineStr">
        <is>
          <t>ICCT white paper, South Africa's new passenger vehicle CO2 emission standards (January 2018)</t>
        </is>
      </c>
      <c r="H54" s="152" t="inlineStr">
        <is>
          <t>PDF p.5</t>
        </is>
      </c>
      <c r="I54" s="152" t="inlineStr">
        <is>
          <t>148 g CO2 per km on the older European test cycle, which reads lower than the worldwide cycle. From naamsa data.</t>
        </is>
      </c>
    </row>
    <row r="55">
      <c r="A55" s="152" t="inlineStr">
        <is>
          <t>Fuel use of trucks, lightest to heaviest class</t>
        </is>
      </c>
      <c r="B55" s="152" t="inlineStr">
        <is>
          <t>Diesel trucks (classes 1, 3, 6 and 9 of nine)</t>
        </is>
      </c>
      <c r="C55" s="152" t="inlineStr">
        <is>
          <t>17.3; 24.6; 44.9; 51.6</t>
        </is>
      </c>
      <c r="D55" s="152" t="inlineStr">
        <is>
          <t>litres per 100 km, fleet average</t>
        </is>
      </c>
      <c r="E55" s="152" t="inlineStr">
        <is>
          <t>2010 fleet</t>
        </is>
      </c>
      <c r="F55" s="152" t="inlineStr">
        <is>
          <t>observed</t>
        </is>
      </c>
      <c r="G55" s="152" t="inlineStr">
        <is>
          <t>Stone et al. (2018), vehicle parc model</t>
        </is>
      </c>
      <c r="H55" s="152" t="inlineStr"/>
      <c r="I55" s="152" t="inlineStr">
        <is>
          <t>One year only. Light commercial diesel vehicles use 12.4 and buses 32.6.</t>
        </is>
      </c>
    </row>
    <row r="56">
      <c r="A56" s="152" t="inlineStr">
        <is>
          <t>Fuel use of new light vehicles: figure in use</t>
        </is>
      </c>
      <c r="B56" s="152" t="inlineStr">
        <is>
          <t>New cars and light commercial vehicles</t>
        </is>
      </c>
      <c r="C56" s="152" t="inlineStr">
        <is>
          <t>7.4</t>
        </is>
      </c>
      <c r="D56" s="152" t="inlineStr">
        <is>
          <t>litres of petrol equivalent per 100 km</t>
        </is>
      </c>
      <c r="E56" s="152" t="inlineStr">
        <is>
          <t>2019, used for later years</t>
        </is>
      </c>
      <c r="F56" s="152" t="inlineStr">
        <is>
          <t>observed</t>
        </is>
      </c>
      <c r="G56" s="152" t="inlineStr">
        <is>
          <t>IEA, Fuel economy in South Africa (Global Fuel Economy Initiative 2021)</t>
        </is>
      </c>
      <c r="H56" s="152" t="inlineStr"/>
      <c r="I56" s="152" t="inlineStr">
        <is>
          <t>The latest published figure. Used as it stands for the years after 2019 (Manish, 8 October).</t>
        </is>
      </c>
    </row>
    <row r="57">
      <c r="A57" s="162" t="inlineStr">
        <is>
          <t>Fuel use of trucks, by year</t>
        </is>
      </c>
      <c r="B57" s="162" t="inlineStr">
        <is>
          <t>South Africa</t>
        </is>
      </c>
      <c r="C57" s="162" t="inlineStr">
        <is>
          <t>Not available</t>
        </is>
      </c>
      <c r="D57" s="162" t="inlineStr">
        <is>
          <t>litres per 100 km</t>
        </is>
      </c>
      <c r="E57" s="162" t="inlineStr"/>
      <c r="F57" s="162" t="inlineStr">
        <is>
          <t>not available</t>
        </is>
      </c>
      <c r="G57" s="162" t="inlineStr">
        <is>
          <t>None found</t>
        </is>
      </c>
      <c r="H57" s="162" t="inlineStr"/>
      <c r="I57" s="162" t="inlineStr">
        <is>
          <t>Only the 2010 fleet figures above exist. No truck series by year was found.</t>
        </is>
      </c>
    </row>
    <row r="58">
      <c r="A58" s="152" t="inlineStr">
        <is>
          <t>Efficiency gain assumed in the model</t>
        </is>
      </c>
      <c r="B58" s="152" t="inlineStr">
        <is>
          <t>New diesel and petrol vehicles</t>
        </is>
      </c>
      <c r="C58" s="152" t="inlineStr">
        <is>
          <t>diesel 0.5 (high demand); diesel 1.0 (low demand); petrol 1.0 (high demand); petrol 1.5 (low demand)</t>
        </is>
      </c>
      <c r="D58" s="152" t="inlineStr">
        <is>
          <t>% a year</t>
        </is>
      </c>
      <c r="E58" s="152" t="inlineStr">
        <is>
          <t>2030</t>
        </is>
      </c>
      <c r="F58" s="152" t="inlineStr">
        <is>
          <t>observed</t>
        </is>
      </c>
      <c r="G58" s="152" t="inlineStr">
        <is>
          <t>Reatile workbook (model input)</t>
        </is>
      </c>
      <c r="H58" s="152" t="inlineStr"/>
      <c r="I58" s="152" t="inlineStr">
        <is>
          <t>A model setting with no source behind it. Nothing was found to confirm or replace it.</t>
        </is>
      </c>
    </row>
    <row r="60">
      <c r="A60" s="151" t="inlineStr">
        <is>
          <t>Freight and rail</t>
        </is>
      </c>
      <c r="B60" s="151" t="n"/>
      <c r="C60" s="151" t="n"/>
      <c r="D60" s="151" t="n"/>
      <c r="E60" s="151" t="n"/>
      <c r="F60" s="151" t="n"/>
      <c r="G60" s="151" t="n"/>
      <c r="H60" s="151" t="n"/>
      <c r="I60" s="151" t="n"/>
    </row>
    <row r="61">
      <c r="A61" s="152" t="inlineStr">
        <is>
          <t>Freight carried by road</t>
        </is>
      </c>
      <c r="B61" s="152" t="inlineStr">
        <is>
          <t>South Africa</t>
        </is>
      </c>
      <c r="C61" s="152" t="inlineStr">
        <is>
          <t>980; 976</t>
        </is>
      </c>
      <c r="D61" s="152" t="inlineStr">
        <is>
          <t>million tonnes</t>
        </is>
      </c>
      <c r="E61" s="152" t="inlineStr">
        <is>
          <t>2024; 2025</t>
        </is>
      </c>
      <c r="F61" s="152" t="inlineStr">
        <is>
          <t>observed</t>
        </is>
      </c>
      <c r="G61" s="152" t="inlineStr">
        <is>
          <t>Statistics South Africa, Land transport survey (P7162), December 2025</t>
        </is>
      </c>
      <c r="H61" s="152" t="inlineStr">
        <is>
          <t>PDF p.7</t>
        </is>
      </c>
      <c r="I61" s="152" t="inlineStr">
        <is>
          <t>Tonnes, not tonne-kilometres.</t>
        </is>
      </c>
    </row>
    <row r="62">
      <c r="A62" s="152" t="inlineStr">
        <is>
          <t>Freight carried by rail</t>
        </is>
      </c>
      <c r="B62" s="152" t="inlineStr">
        <is>
          <t>South Africa</t>
        </is>
      </c>
      <c r="C62" s="152" t="inlineStr">
        <is>
          <t>161; 168</t>
        </is>
      </c>
      <c r="D62" s="152" t="inlineStr">
        <is>
          <t>million tonnes</t>
        </is>
      </c>
      <c r="E62" s="152" t="inlineStr">
        <is>
          <t>2024; 2025</t>
        </is>
      </c>
      <c r="F62" s="152" t="inlineStr">
        <is>
          <t>observed</t>
        </is>
      </c>
      <c r="G62" s="152" t="inlineStr">
        <is>
          <t>Statistics South Africa, Land transport survey (P7162), December 2025</t>
        </is>
      </c>
      <c r="H62" s="152" t="inlineStr">
        <is>
          <t>PDF p.7</t>
        </is>
      </c>
      <c r="I62" s="152" t="inlineStr">
        <is>
          <t>Tonnes, not tonne-kilometres.</t>
        </is>
      </c>
    </row>
    <row r="63">
      <c r="A63" s="156" t="inlineStr">
        <is>
          <t>Rail's share of road and rail tonnes</t>
        </is>
      </c>
      <c r="B63" s="156" t="inlineStr">
        <is>
          <t>South Africa</t>
        </is>
      </c>
      <c r="C63" s="156" t="inlineStr">
        <is>
          <t>14.1; 14.7</t>
        </is>
      </c>
      <c r="D63" s="156" t="inlineStr">
        <is>
          <t>%</t>
        </is>
      </c>
      <c r="E63" s="156" t="inlineStr">
        <is>
          <t>2024; 2025</t>
        </is>
      </c>
      <c r="F63" s="156" t="inlineStr">
        <is>
          <t>inferred</t>
        </is>
      </c>
      <c r="G63" s="156" t="inlineStr">
        <is>
          <t>Calculated from the survey</t>
        </is>
      </c>
      <c r="H63" s="156" t="inlineStr"/>
      <c r="I63" s="156" t="inlineStr"/>
    </row>
    <row r="64">
      <c r="A64" s="152" t="inlineStr">
        <is>
          <t>Freight carried by Transnet Freight Rail</t>
        </is>
      </c>
      <c r="B64" s="152" t="inlineStr">
        <is>
          <t>Transnet Freight Rail, all freight</t>
        </is>
      </c>
      <c r="C64" s="152" t="inlineStr">
        <is>
          <t>226.3; 215.1; 212.4; 183.3; 173.1; 149.5; 151.7; 160.1</t>
        </is>
      </c>
      <c r="D64" s="152" t="inlineStr">
        <is>
          <t>million tonnes</t>
        </is>
      </c>
      <c r="E64" s="152" t="inlineStr">
        <is>
          <t>years to March 2018; 2019; 2020; 2021; 2022; 2023; 2024; 2025</t>
        </is>
      </c>
      <c r="F64" s="152" t="inlineStr">
        <is>
          <t>observed</t>
        </is>
      </c>
      <c r="G64" s="152" t="inlineStr">
        <is>
          <t>Transnet annual results 2025, presentation</t>
        </is>
      </c>
      <c r="H64" s="152" t="inlineStr">
        <is>
          <t>PDF p.14</t>
        </is>
      </c>
      <c r="I64" s="152" t="inlineStr">
        <is>
          <t>Fell by a third from 2018 to 2023 and has risen since. Export iron ore, export coal and general freight together.</t>
        </is>
      </c>
    </row>
    <row r="65">
      <c r="A65" s="152" t="inlineStr">
        <is>
          <t>Transnet's rail target</t>
        </is>
      </c>
      <c r="B65" s="152" t="inlineStr">
        <is>
          <t>Transnet</t>
        </is>
      </c>
      <c r="C65" s="152" t="inlineStr">
        <is>
          <t>250</t>
        </is>
      </c>
      <c r="D65" s="152" t="inlineStr">
        <is>
          <t>million tonnes</t>
        </is>
      </c>
      <c r="E65" s="152" t="inlineStr">
        <is>
          <t>target</t>
        </is>
      </c>
      <c r="F65" s="152" t="inlineStr">
        <is>
          <t>observed</t>
        </is>
      </c>
      <c r="G65" s="152" t="inlineStr">
        <is>
          <t>Transnet annual results 2025, presentation</t>
        </is>
      </c>
      <c r="H65" s="152" t="inlineStr">
        <is>
          <t>PDF p.36</t>
        </is>
      </c>
      <c r="I65" s="152" t="inlineStr">
        <is>
          <t>Transnet 'aims to grow its capacity to handle 250 million tons'. The slide gives no year; Nigel cited 2030.</t>
        </is>
      </c>
    </row>
    <row r="66">
      <c r="A66" s="156" t="inlineStr">
        <is>
          <t>Extra rail freight if the target is met</t>
        </is>
      </c>
      <c r="B66" s="156" t="inlineStr">
        <is>
          <t>Transnet Freight Rail</t>
        </is>
      </c>
      <c r="C66" s="156" t="inlineStr">
        <is>
          <t>90</t>
        </is>
      </c>
      <c r="D66" s="156" t="inlineStr">
        <is>
          <t>million tonnes</t>
        </is>
      </c>
      <c r="E66" s="156" t="inlineStr">
        <is>
          <t>target less the year to March 2025</t>
        </is>
      </c>
      <c r="F66" s="156" t="inlineStr">
        <is>
          <t>inferred</t>
        </is>
      </c>
      <c r="G66" s="156" t="inlineStr">
        <is>
          <t>Calculated from the two rows above</t>
        </is>
      </c>
      <c r="H66" s="156" t="inlineStr"/>
      <c r="I66" s="156" t="inlineStr">
        <is>
          <t>About 9% of road freight tonnes. Not all of it would come from road.</t>
        </is>
      </c>
    </row>
    <row r="67">
      <c r="A67" s="152" t="inlineStr">
        <is>
          <t>Freight in tonne-kilometres</t>
        </is>
      </c>
      <c r="B67" s="152" t="inlineStr">
        <is>
          <t>All freight; rail-friendly freight; carried by rail</t>
        </is>
      </c>
      <c r="C67" s="152" t="inlineStr">
        <is>
          <t>446; 181; 141</t>
        </is>
      </c>
      <c r="D67" s="152" t="inlineStr">
        <is>
          <t>billion tonne-km</t>
        </is>
      </c>
      <c r="E67" s="152" t="inlineStr">
        <is>
          <t>2019</t>
        </is>
      </c>
      <c r="F67" s="152" t="inlineStr">
        <is>
          <t>observed</t>
        </is>
      </c>
      <c r="G67" s="152" t="inlineStr">
        <is>
          <t>Havenga et al., A proposed freight and passenger road-to-rail strategy for South Africa (SA-TIED)</t>
        </is>
      </c>
      <c r="H67" s="152" t="inlineStr">
        <is>
          <t>PDF pp.17, 25</t>
        </is>
      </c>
      <c r="I67" s="152" t="inlineStr">
        <is>
          <t>Line haul 305, last mile 132, pipelines and conveyors 9.</t>
        </is>
      </c>
    </row>
    <row r="68">
      <c r="A68" s="152" t="inlineStr">
        <is>
          <t>General freight that rail should carry but does not</t>
        </is>
      </c>
      <c r="B68" s="152" t="inlineStr">
        <is>
          <t>Rail-friendly general freight on road</t>
        </is>
      </c>
      <c r="C68" s="152" t="inlineStr">
        <is>
          <t>30</t>
        </is>
      </c>
      <c r="D68" s="152" t="inlineStr">
        <is>
          <t>billion tonne-km</t>
        </is>
      </c>
      <c r="E68" s="152" t="inlineStr">
        <is>
          <t>2019</t>
        </is>
      </c>
      <c r="F68" s="152" t="inlineStr">
        <is>
          <t>observed</t>
        </is>
      </c>
      <c r="G68" s="152" t="inlineStr">
        <is>
          <t>Havenga et al., A proposed freight and passenger road-to-rail strategy for South Africa (SA-TIED)</t>
        </is>
      </c>
      <c r="H68" s="152" t="inlineStr">
        <is>
          <t>PDF p.26</t>
        </is>
      </c>
      <c r="I68" s="152" t="inlineStr">
        <is>
          <t>As the source states it: rail should have carried 47 and carried 18. This is the freight that a road-to-rail shift would move.</t>
        </is>
      </c>
    </row>
    <row r="69">
      <c r="A69" s="162" t="inlineStr">
        <is>
          <t>Road freight in tonne-kilometres, by year</t>
        </is>
      </c>
      <c r="B69" s="162" t="inlineStr">
        <is>
          <t>South Africa</t>
        </is>
      </c>
      <c r="C69" s="162" t="inlineStr">
        <is>
          <t>Not available</t>
        </is>
      </c>
      <c r="D69" s="162" t="inlineStr">
        <is>
          <t>billion tonne-km</t>
        </is>
      </c>
      <c r="E69" s="162" t="inlineStr"/>
      <c r="F69" s="162" t="inlineStr">
        <is>
          <t>not available</t>
        </is>
      </c>
      <c r="G69" s="162" t="inlineStr">
        <is>
          <t>None published as numbers</t>
        </is>
      </c>
      <c r="H69" s="162" t="inlineStr"/>
      <c r="I69" s="162" t="inlineStr">
        <is>
          <t>The research group that models it (GAIN, Stellenbosch) shows yearly charts but publishes figures for single years only.</t>
        </is>
      </c>
    </row>
    <row r="70">
      <c r="A70" s="152" t="inlineStr">
        <is>
          <t>Fuel used by Transnet, all divisions</t>
        </is>
      </c>
      <c r="B70" s="152" t="inlineStr">
        <is>
          <t>Transnet, all divisions</t>
        </is>
      </c>
      <c r="C70" s="152" t="inlineStr">
        <is>
          <t>190; 199</t>
        </is>
      </c>
      <c r="D70" s="152" t="inlineStr">
        <is>
          <t>million litres</t>
        </is>
      </c>
      <c r="E70" s="152" t="inlineStr">
        <is>
          <t>years to March 2024; 2025</t>
        </is>
      </c>
      <c r="F70" s="152" t="inlineStr">
        <is>
          <t>observed</t>
        </is>
      </c>
      <c r="G70" s="152" t="inlineStr">
        <is>
          <t>Transnet Integrated Report 2025</t>
        </is>
      </c>
      <c r="H70" s="152" t="inlineStr">
        <is>
          <t>PDF p.73</t>
        </is>
      </c>
      <c r="I70" s="152" t="inlineStr">
        <is>
          <t>Up 4.37%, mainly an 8.49% rise in fuel for traction.</t>
        </is>
      </c>
    </row>
    <row r="71">
      <c r="A71" s="156" t="inlineStr">
        <is>
          <t>Diesel used by rail locomotives</t>
        </is>
      </c>
      <c r="B71" s="156" t="inlineStr">
        <is>
          <t>Transnet Freight Rail</t>
        </is>
      </c>
      <c r="C71" s="156" t="inlineStr">
        <is>
          <t>138</t>
        </is>
      </c>
      <c r="D71" s="156" t="inlineStr">
        <is>
          <t>million litres</t>
        </is>
      </c>
      <c r="E71" s="156" t="inlineStr">
        <is>
          <t>year to March 2025</t>
        </is>
      </c>
      <c r="F71" s="156" t="inlineStr">
        <is>
          <t>inferred</t>
        </is>
      </c>
      <c r="G71" s="156" t="inlineStr">
        <is>
          <t>199 million litres x 69.2% used for diesel traction (both from the Transnet report)</t>
        </is>
      </c>
      <c r="H71" s="156" t="inlineStr">
        <is>
          <t>PDF p.73</t>
        </is>
      </c>
      <c r="I71" s="156" t="inlineStr">
        <is>
          <t>About 1% of diesel sales. So freight moving to rail saves nearly all the road diesel it displaces. The rest is generators 13.8%, vehicle fleets 10.2%, marine diesel 6.7%, jet fuel 0.1%.</t>
        </is>
      </c>
    </row>
    <row r="73">
      <c r="A73" s="151" t="inlineStr">
        <is>
          <t>Sector activity</t>
        </is>
      </c>
      <c r="B73" s="151" t="n"/>
      <c r="C73" s="151" t="n"/>
      <c r="D73" s="151" t="n"/>
      <c r="E73" s="151" t="n"/>
      <c r="F73" s="151" t="n"/>
      <c r="G73" s="151" t="n"/>
      <c r="H73" s="151" t="n"/>
      <c r="I73" s="151" t="n"/>
    </row>
    <row r="74">
      <c r="A74" s="152" t="inlineStr">
        <is>
          <t>Mining, manufacturing and agriculture: activity and diesel per unit</t>
        </is>
      </c>
      <c r="B74" s="152" t="inlineStr">
        <is>
          <t>South Africa</t>
        </is>
      </c>
      <c r="C74" s="152" t="inlineStr">
        <is>
          <t>On the Sector history sheet</t>
        </is>
      </c>
      <c r="D74" s="152" t="inlineStr"/>
      <c r="E74" s="152" t="inlineStr">
        <is>
          <t>2012-2025</t>
        </is>
      </c>
      <c r="F74" s="152" t="inlineStr">
        <is>
          <t>observed</t>
        </is>
      </c>
      <c r="G74" s="152" t="inlineStr">
        <is>
          <t>Statistics South Africa (P2041, P3041.2, P0441); department energy balances</t>
        </is>
      </c>
      <c r="H74" s="152" t="inlineStr"/>
      <c r="I74"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40 facts read from sources, 8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6" t="inlineStr">
        <is>
          <t>Capacity in operation</t>
        </is>
      </c>
      <c r="B18" s="156" t="inlineStr">
        <is>
          <t>Secunda, Natref and Astron Energy</t>
        </is>
      </c>
      <c r="C18" s="156" t="inlineStr">
        <is>
          <t>358,000</t>
        </is>
      </c>
      <c r="D18" s="156" t="inlineStr">
        <is>
          <t>barrels a day, crude equivalent</t>
        </is>
      </c>
      <c r="E18" s="156" t="inlineStr">
        <is>
          <t>2023 onward</t>
        </is>
      </c>
      <c r="F18" s="156" t="inlineStr">
        <is>
          <t>inferred</t>
        </is>
      </c>
      <c r="G18" s="156" t="inlineStr">
        <is>
          <t>Sum of the three plants operating</t>
        </is>
      </c>
      <c r="H18" s="156" t="inlineStr"/>
      <c r="I18" s="156" t="inlineStr">
        <is>
          <t>Half of the 718,000 published in 2021. Sapref is still listed at 180,000 by the department although it is not refining.</t>
        </is>
      </c>
    </row>
    <row r="20">
      <c r="A20" s="151" t="inlineStr">
        <is>
          <t>Status and dates</t>
        </is>
      </c>
      <c r="B20" s="151" t="n"/>
      <c r="C20" s="151" t="n"/>
      <c r="D20" s="151" t="n"/>
      <c r="E20" s="151" t="n"/>
      <c r="F20" s="151" t="n"/>
      <c r="G20" s="151" t="n"/>
      <c r="H20" s="151" t="n"/>
      <c r="I20" s="151" t="n"/>
    </row>
    <row r="21">
      <c r="A21" s="152" t="inlineStr">
        <is>
          <t>Status</t>
        </is>
      </c>
      <c r="B21" s="152" t="inlineStr">
        <is>
          <t>Astron Energy</t>
        </is>
      </c>
      <c r="C21" s="152" t="inlineStr">
        <is>
          <t>Restarted after a multi-year rebuild</t>
        </is>
      </c>
      <c r="D21" s="152" t="inlineStr"/>
      <c r="E21" s="152" t="inlineStr">
        <is>
          <t>early 2023</t>
        </is>
      </c>
      <c r="F21" s="152" t="inlineStr">
        <is>
          <t>observed</t>
        </is>
      </c>
      <c r="G21" s="152" t="inlineStr">
        <is>
          <t>Glencore Annual Report 2023</t>
        </is>
      </c>
      <c r="H21" s="152" t="inlineStr">
        <is>
          <t>PDF pp.101, 106</t>
        </is>
      </c>
      <c r="I21" s="152" t="inlineStr">
        <is>
          <t>It had not operated since a 2020 incident; the department's 2023 report still describes it as not operating.</t>
        </is>
      </c>
    </row>
    <row r="22">
      <c r="A22" s="152" t="inlineStr">
        <is>
          <t>Status</t>
        </is>
      </c>
      <c r="B22" s="152" t="inlineStr">
        <is>
          <t>Enref (Engen)</t>
        </is>
      </c>
      <c r="C22" s="152" t="inlineStr">
        <is>
          <t>Not operating after a major fire; capacity shown as nil</t>
        </is>
      </c>
      <c r="D22" s="152" t="inlineStr"/>
      <c r="E22" s="152" t="inlineStr">
        <is>
          <t>as at 2023</t>
        </is>
      </c>
      <c r="F22" s="152" t="inlineStr">
        <is>
          <t>observed</t>
        </is>
      </c>
      <c r="G22" s="152" t="inlineStr">
        <is>
          <t>Department of Mineral Resources and Energy, South African Energy Sector Report 2023</t>
        </is>
      </c>
      <c r="H22" s="152" t="inlineStr">
        <is>
          <t>PDF p.17</t>
        </is>
      </c>
      <c r="I22" s="152" t="inlineStr">
        <is>
          <t>The fire and the decision to close are dated in the two rows below.</t>
        </is>
      </c>
    </row>
    <row r="23">
      <c r="A23" s="152" t="inlineStr">
        <is>
          <t>Status</t>
        </is>
      </c>
      <c r="B23" s="152" t="inlineStr">
        <is>
          <t>PetroSA (Mossel Bay)</t>
        </is>
      </c>
      <c r="C23" s="152" t="inlineStr">
        <is>
          <t>Not operating: no feedstock</t>
        </is>
      </c>
      <c r="D23" s="152" t="inlineStr"/>
      <c r="E23" s="152" t="inlineStr">
        <is>
          <t>since December 2020</t>
        </is>
      </c>
      <c r="F23" s="152" t="inlineStr">
        <is>
          <t>observed</t>
        </is>
      </c>
      <c r="G23" s="152" t="inlineStr">
        <is>
          <t>PetroSA tender scope of work; department's 2023 report</t>
        </is>
      </c>
      <c r="H23" s="152" t="inlineStr">
        <is>
          <t>department PDF p.17</t>
        </is>
      </c>
      <c r="I23" s="152" t="inlineStr">
        <is>
          <t>PetroSA's tender proposes restarting the liquids refinery without the offshore gas sections.</t>
        </is>
      </c>
    </row>
    <row r="24">
      <c r="A24" s="152" t="inlineStr">
        <is>
          <t>Status</t>
        </is>
      </c>
      <c r="B24" s="152" t="inlineStr">
        <is>
          <t>Sapref</t>
        </is>
      </c>
      <c r="C24" s="152" t="inlineStr">
        <is>
          <t>Not refining; acquired by the Central Energy Fund</t>
        </is>
      </c>
      <c r="D24" s="152" t="inlineStr"/>
      <c r="E24" s="152" t="inlineStr">
        <is>
          <t>as at September 2026</t>
        </is>
      </c>
      <c r="F24" s="152" t="inlineStr">
        <is>
          <t>observed</t>
        </is>
      </c>
      <c r="G24" s="152" t="inlineStr">
        <is>
          <t>Central Energy Fund statements, September 2026</t>
        </is>
      </c>
      <c r="H24" s="152" t="inlineStr"/>
      <c r="I24" s="152" t="inlineStr">
        <is>
          <t>The two statements confirm the acquisition and that the site is not refining. The pause is dated in the Shell release below.</t>
        </is>
      </c>
    </row>
    <row r="25">
      <c r="A25" s="152" t="inlineStr">
        <is>
          <t>Status</t>
        </is>
      </c>
      <c r="B25" s="152" t="inlineStr">
        <is>
          <t>Natref</t>
        </is>
      </c>
      <c r="C25" s="152" t="inlineStr">
        <is>
          <t>A downstream unit outage alongside a planned shutdown</t>
        </is>
      </c>
      <c r="D25" s="152" t="inlineStr"/>
      <c r="E25" s="152" t="inlineStr">
        <is>
          <t>August to September 2026</t>
        </is>
      </c>
      <c r="F25" s="152" t="inlineStr">
        <is>
          <t>observed</t>
        </is>
      </c>
      <c r="G25" s="152" t="inlineStr">
        <is>
          <t>Sasol, Natref operational update, 1 September 2026</t>
        </is>
      </c>
      <c r="H25" s="152" t="inlineStr"/>
      <c r="I25" s="152" t="inlineStr">
        <is>
          <t>An operating risk, not a closure.</t>
        </is>
      </c>
    </row>
    <row r="26">
      <c r="A26" s="152" t="inlineStr">
        <is>
          <t>Status</t>
        </is>
      </c>
      <c r="B26" s="152" t="inlineStr">
        <is>
          <t>Three crude refineries</t>
        </is>
      </c>
      <c r="C26" s="152" t="inlineStr">
        <is>
          <t>Not in operation for the past two years</t>
        </is>
      </c>
      <c r="D26" s="152" t="inlineStr"/>
      <c r="E26" s="152" t="inlineStr">
        <is>
          <t>as at 2023</t>
        </is>
      </c>
      <c r="F26" s="152" t="inlineStr">
        <is>
          <t>observed</t>
        </is>
      </c>
      <c r="G26" s="152" t="inlineStr">
        <is>
          <t>Department of Mineral Resources and Energy, South African Energy Sector Report 2023</t>
        </is>
      </c>
      <c r="H26" s="152" t="inlineStr">
        <is>
          <t>PDF p.17</t>
        </is>
      </c>
      <c r="I26" s="152" t="inlineStr">
        <is>
          <t>The department's wording; it does not name them in that sentence.</t>
        </is>
      </c>
    </row>
    <row r="27">
      <c r="A27" s="152" t="inlineStr">
        <is>
          <t>Status</t>
        </is>
      </c>
      <c r="B27" s="152" t="inlineStr">
        <is>
          <t>Enref (Engen)</t>
        </is>
      </c>
      <c r="C27" s="152" t="inlineStr">
        <is>
          <t>Fire and explosion at 07:08 in Unit 44; the refinery was shut</t>
        </is>
      </c>
      <c r="D27" s="152" t="inlineStr"/>
      <c r="E27" s="152" t="inlineStr">
        <is>
          <t>4 December 2020</t>
        </is>
      </c>
      <c r="F27" s="152" t="inlineStr">
        <is>
          <t>observed</t>
        </is>
      </c>
      <c r="G27" s="152" t="inlineStr">
        <is>
          <t>Engen's account to Parliament's Portfolio Committee on Environment, Forestry and Fisheries, 8 December 2020 (Parliamentary Monitoring Group record)</t>
        </is>
      </c>
      <c r="H27" s="152" t="inlineStr"/>
      <c r="I27" s="152" t="inlineStr">
        <is>
          <t>It did not refine again: see the next row.</t>
        </is>
      </c>
    </row>
    <row r="28">
      <c r="A28" s="152" t="inlineStr">
        <is>
          <t>Status</t>
        </is>
      </c>
      <c r="B28" s="152" t="inlineStr">
        <is>
          <t>Enref (Engen)</t>
        </is>
      </c>
      <c r="C28" s="152" t="inlineStr">
        <is>
          <t>Engen announced it would shut the refinery and convert the site to an import terminal by the end of 2023</t>
        </is>
      </c>
      <c r="D28" s="152" t="inlineStr"/>
      <c r="E28" s="152" t="inlineStr">
        <is>
          <t>23 April 2021</t>
        </is>
      </c>
      <c r="F28" s="152" t="inlineStr">
        <is>
          <t>observed</t>
        </is>
      </c>
      <c r="G28" s="152" t="inlineStr">
        <is>
          <t>Engineering News, 23 April 2021, reporting Engen's statement</t>
        </is>
      </c>
      <c r="H28" s="152" t="inlineStr"/>
      <c r="I28" s="152" t="inlineStr">
        <is>
          <t>A press report of Engen's statement; the statement itself is not held. Engen gives nameplate capacity as 120,000 barrels a day, against 135,000 in the department's table.</t>
        </is>
      </c>
    </row>
    <row r="29">
      <c r="A29" s="152" t="inlineStr">
        <is>
          <t>Status</t>
        </is>
      </c>
      <c r="B29" s="152" t="inlineStr">
        <is>
          <t>Sapref</t>
        </is>
      </c>
      <c r="C29" s="152" t="inlineStr">
        <is>
          <t>Shell and bp announced a spend freeze and a pause of refinery operations no later than the end of March 2022, for an indefinite period</t>
        </is>
      </c>
      <c r="D29" s="152" t="inlineStr"/>
      <c r="E29" s="152" t="inlineStr">
        <is>
          <t>10 February 2022</t>
        </is>
      </c>
      <c r="F29" s="152" t="inlineStr">
        <is>
          <t>observed</t>
        </is>
      </c>
      <c r="G29" s="152" t="inlineStr">
        <is>
          <t>Shell South Africa media release, SAPREF to pause refinery operations</t>
        </is>
      </c>
      <c r="H29" s="152" t="inlineStr"/>
      <c r="I29" s="152" t="inlineStr">
        <is>
          <t>Gives the latest date for the pause, not the day the last unit stopped.</t>
        </is>
      </c>
    </row>
    <row r="31">
      <c r="A31" s="151" t="inlineStr">
        <is>
          <t>Output by plant</t>
        </is>
      </c>
      <c r="B31" s="151" t="n"/>
      <c r="C31" s="151" t="n"/>
      <c r="D31" s="151" t="n"/>
      <c r="E31" s="151" t="n"/>
      <c r="F31" s="151" t="n"/>
      <c r="G31" s="151" t="n"/>
      <c r="H31" s="151" t="n"/>
      <c r="I31" s="151" t="n"/>
    </row>
    <row r="32">
      <c r="A32" s="152" t="inlineStr">
        <is>
          <t>Output reported by the operator</t>
        </is>
      </c>
      <c r="B32" s="152" t="inlineStr">
        <is>
          <t>Secunda, all refined products</t>
        </is>
      </c>
      <c r="C32" s="152" t="inlineStr">
        <is>
          <t>31.2; 32.1; 29.2; 29.9; 29.1; 27.6; 30.6</t>
        </is>
      </c>
      <c r="D32" s="152" t="inlineStr">
        <is>
          <t>million barrels</t>
        </is>
      </c>
      <c r="E32" s="152" t="inlineStr">
        <is>
          <t>years to June 2020; 2021; 2022; 2023; 2024; 2025; 2026</t>
        </is>
      </c>
      <c r="F32" s="152" t="inlineStr">
        <is>
          <t>observed</t>
        </is>
      </c>
      <c r="G32" s="152" t="inlineStr">
        <is>
          <t>Sasol production and sales metrics</t>
        </is>
      </c>
      <c r="H32" s="152" t="inlineStr"/>
      <c r="I32" s="152" t="inlineStr">
        <is>
          <t>All products together. No operator reports petrol and diesel separately.</t>
        </is>
      </c>
    </row>
    <row r="33">
      <c r="A33" s="152" t="inlineStr">
        <is>
          <t>Output reported by the operator</t>
        </is>
      </c>
      <c r="B33" s="152" t="inlineStr">
        <is>
          <t>Natref, Sasol's share</t>
        </is>
      </c>
      <c r="C33" s="152" t="inlineStr">
        <is>
          <t>16.8; 17.7; 18.9; 17.2; 17.8; 14.7; 25.8</t>
        </is>
      </c>
      <c r="D33" s="152" t="inlineStr">
        <is>
          <t>million barrels</t>
        </is>
      </c>
      <c r="E33" s="152" t="inlineStr">
        <is>
          <t>years to June 2020; 2021; 2022; 2023; 2024; 2025; 2026</t>
        </is>
      </c>
      <c r="F33" s="152" t="inlineStr">
        <is>
          <t>observed</t>
        </is>
      </c>
      <c r="G33" s="152" t="inlineStr">
        <is>
          <t>Sasol production and sales metrics</t>
        </is>
      </c>
      <c r="H33" s="152" t="inlineStr"/>
      <c r="I33" s="152" t="inlineStr">
        <is>
          <t>All products together. No operator reports petrol and diesel separately. Sasol's 63.64% share only; the year to June 2026 includes output above that share.</t>
        </is>
      </c>
    </row>
    <row r="34">
      <c r="A34" s="152" t="inlineStr">
        <is>
          <t>Output reported by the operator</t>
        </is>
      </c>
      <c r="B34" s="152" t="inlineStr">
        <is>
          <t>Astron Energy, all refined products</t>
        </is>
      </c>
      <c r="C34" s="152" t="inlineStr">
        <is>
          <t>136,665; 166,204; 164,365</t>
        </is>
      </c>
      <c r="D34" s="152" t="inlineStr">
        <is>
          <t>billion Btu</t>
        </is>
      </c>
      <c r="E34" s="152" t="inlineStr">
        <is>
          <t>2023; 2024; 2025</t>
        </is>
      </c>
      <c r="F34" s="152" t="inlineStr">
        <is>
          <t>observed</t>
        </is>
      </c>
      <c r="G34" s="152" t="inlineStr">
        <is>
          <t>Glencore annual reports</t>
        </is>
      </c>
      <c r="H34" s="152" t="inlineStr"/>
      <c r="I34" s="152" t="inlineStr">
        <is>
          <t>All products together. No operator reports petrol and diesel separately. Reported as energy content, not volume.</t>
        </is>
      </c>
    </row>
    <row r="35">
      <c r="A35" s="152" t="inlineStr">
        <is>
          <t>Secunda fuels output</t>
        </is>
      </c>
      <c r="B35" s="152" t="inlineStr">
        <is>
          <t>Secunda, fuels (white and black products)</t>
        </is>
      </c>
      <c r="C35" s="152" t="inlineStr">
        <is>
          <t>3472</t>
        </is>
      </c>
      <c r="D35" s="152" t="inlineStr">
        <is>
          <t>thousand tonnes</t>
        </is>
      </c>
      <c r="E35" s="152" t="inlineStr">
        <is>
          <t>year to June 2024</t>
        </is>
      </c>
      <c r="F35" s="152" t="inlineStr">
        <is>
          <t>observed</t>
        </is>
      </c>
      <c r="G35" s="152" t="inlineStr">
        <is>
          <t>Sasol business performance metrics, 30 June 2026</t>
        </is>
      </c>
      <c r="H35" s="152" t="inlineStr">
        <is>
          <t>PDF p.4</t>
        </is>
      </c>
      <c r="I35" s="152" t="inlineStr">
        <is>
          <t>Of total Secunda production of 6,990, 6,721 and 7,260 thousand tonnes; the rest is chemicals and other products.</t>
        </is>
      </c>
    </row>
    <row r="36">
      <c r="A36" s="152" t="inlineStr">
        <is>
          <t>Secunda fuels output</t>
        </is>
      </c>
      <c r="B36" s="152" t="inlineStr">
        <is>
          <t>Secunda, fuels (white and black products)</t>
        </is>
      </c>
      <c r="C36" s="152" t="inlineStr">
        <is>
          <t>3293</t>
        </is>
      </c>
      <c r="D36" s="152" t="inlineStr">
        <is>
          <t>thousand tonnes</t>
        </is>
      </c>
      <c r="E36" s="152" t="inlineStr">
        <is>
          <t>year to June 2025</t>
        </is>
      </c>
      <c r="F36" s="152" t="inlineStr">
        <is>
          <t>observed</t>
        </is>
      </c>
      <c r="G36" s="152" t="inlineStr">
        <is>
          <t>Sasol business performance metrics, 30 June 2026</t>
        </is>
      </c>
      <c r="H36" s="152" t="inlineStr">
        <is>
          <t>PDF p.4</t>
        </is>
      </c>
      <c r="I36" s="152" t="inlineStr">
        <is>
          <t>Of total Secunda production of 6,990, 6,721 and 7,260 thousand tonnes; the rest is chemicals and other products.</t>
        </is>
      </c>
    </row>
    <row r="37">
      <c r="A37" s="152" t="inlineStr">
        <is>
          <t>Secunda fuels output</t>
        </is>
      </c>
      <c r="B37" s="152" t="inlineStr">
        <is>
          <t>Secunda, fuels (white and black products)</t>
        </is>
      </c>
      <c r="C37" s="152" t="inlineStr">
        <is>
          <t>3634</t>
        </is>
      </c>
      <c r="D37" s="152" t="inlineStr">
        <is>
          <t>thousand tonnes</t>
        </is>
      </c>
      <c r="E37" s="152" t="inlineStr">
        <is>
          <t>year to June 2026</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6" t="inlineStr">
        <is>
          <t>Petrol output, estimated</t>
        </is>
      </c>
      <c r="B38" s="156" t="inlineStr">
        <is>
          <t>Natref, whole refinery</t>
        </is>
      </c>
      <c r="C38" s="156" t="inlineStr">
        <is>
          <t>1.22 to 1.34; 1.28 to 1.41; 1.37 to 1.51; 1.25 to 1.38; 1.29 to 1.42; 1.06 to 1.18</t>
        </is>
      </c>
      <c r="D38" s="156" t="inlineStr">
        <is>
          <t>billion litres</t>
        </is>
      </c>
      <c r="E38" s="156" t="inlineStr">
        <is>
          <t>years to June 2020; 2021; 2022; 2023; 2024; 2025</t>
        </is>
      </c>
      <c r="F38" s="156" t="inlineStr">
        <is>
          <t>inferred</t>
        </is>
      </c>
      <c r="G38" s="156" t="inlineStr">
        <is>
          <t>Sasol's reported Natref production, scaled to the whole refinery, times Sasol's stated product split</t>
        </is>
      </c>
      <c r="H38" s="156" t="inlineStr"/>
      <c r="I38" s="156" t="inlineStr">
        <is>
          <t>An estimate: the split is a range Sasol stated in April 2021, applied to every year. The year to June 2026 is left out.</t>
        </is>
      </c>
    </row>
    <row r="39">
      <c r="A39" s="156" t="inlineStr">
        <is>
          <t>Diesel output, estimated</t>
        </is>
      </c>
      <c r="B39" s="156" t="inlineStr">
        <is>
          <t>Natref, whole refinery</t>
        </is>
      </c>
      <c r="C39" s="156" t="inlineStr">
        <is>
          <t>1.30 to 1.55; 1.37 to 1.64; 1.46 to 1.75; 1.33 to 1.59; 1.38 to 1.65; 1.14 to 1.36</t>
        </is>
      </c>
      <c r="D39" s="156" t="inlineStr">
        <is>
          <t>billion litres</t>
        </is>
      </c>
      <c r="E39" s="156" t="inlineStr">
        <is>
          <t>years to June 2020; 2021; 2022; 2023; 2024; 2025</t>
        </is>
      </c>
      <c r="F39" s="156" t="inlineStr">
        <is>
          <t>inferred</t>
        </is>
      </c>
      <c r="G39" s="156" t="inlineStr">
        <is>
          <t>Sasol's reported Natref production, scaled to the whole refinery, times Sasol's stated product split</t>
        </is>
      </c>
      <c r="H39" s="156" t="inlineStr"/>
      <c r="I39" s="156" t="inlineStr">
        <is>
          <t>An estimate: the split is a range Sasol stated in April 2021, applied to every year. The year to June 2026 is left out.</t>
        </is>
      </c>
    </row>
    <row r="40">
      <c r="A40" s="162" t="inlineStr">
        <is>
          <t>Petrol and diesel output by plant</t>
        </is>
      </c>
      <c r="B40" s="162" t="inlineStr">
        <is>
          <t>Secunda and Astron Energy</t>
        </is>
      </c>
      <c r="C40" s="162" t="inlineStr">
        <is>
          <t>Not available</t>
        </is>
      </c>
      <c r="D40" s="162" t="inlineStr">
        <is>
          <t>litres</t>
        </is>
      </c>
      <c r="E40" s="162" t="inlineStr"/>
      <c r="F40" s="162" t="inlineStr">
        <is>
          <t>not available</t>
        </is>
      </c>
      <c r="G40" s="162" t="inlineStr">
        <is>
          <t>None published</t>
        </is>
      </c>
      <c r="H40" s="162" t="inlineStr"/>
      <c r="I40" s="162" t="inlineStr">
        <is>
          <t>Sasol states Secunda's split (65% petrol, 35% diesel) but not the total it applies to. Glencore publishes no split for Astron. Needs the operators.</t>
        </is>
      </c>
    </row>
    <row r="41">
      <c r="A41" s="156" t="inlineStr">
        <is>
          <t>Output of Sapref, Enref and PetroSA</t>
        </is>
      </c>
      <c r="B41" s="156" t="inlineStr">
        <is>
          <t>Plants not operating</t>
        </is>
      </c>
      <c r="C41" s="156" t="inlineStr">
        <is>
          <t>0</t>
        </is>
      </c>
      <c r="D41" s="156" t="inlineStr"/>
      <c r="E41" s="156" t="inlineStr">
        <is>
          <t>while not operating</t>
        </is>
      </c>
      <c r="F41" s="156" t="inlineStr">
        <is>
          <t>inferred</t>
        </is>
      </c>
      <c r="G41" s="156" t="inlineStr">
        <is>
          <t>From the status rows</t>
        </is>
      </c>
      <c r="H41" s="156" t="inlineStr"/>
      <c r="I41" s="156" t="inlineStr">
        <is>
          <t>Enref since the fire of 4 December 2020; PetroSA since December 2020; Sapref since the pause at the end of March 2022.</t>
        </is>
      </c>
    </row>
    <row r="43">
      <c r="A43" s="151" t="inlineStr">
        <is>
          <t>National output by product</t>
        </is>
      </c>
      <c r="B43" s="151" t="n"/>
      <c r="C43" s="151" t="n"/>
      <c r="D43" s="151" t="n"/>
      <c r="E43" s="151" t="n"/>
      <c r="F43" s="151" t="n"/>
      <c r="G43" s="151" t="n"/>
      <c r="H43" s="151" t="n"/>
      <c r="I43" s="151" t="n"/>
    </row>
    <row r="44">
      <c r="A44" s="152" t="inlineStr">
        <is>
          <t>Petrol produced, all plants</t>
        </is>
      </c>
      <c r="B44" s="152" t="inlineStr">
        <is>
          <t>South Africa</t>
        </is>
      </c>
      <c r="C44" s="152" t="inlineStr">
        <is>
          <t>10.83; 10.46; 10.39; 9.43; 9.97; 10.42; 7.89; 6.35</t>
        </is>
      </c>
      <c r="D44" s="152" t="inlineStr">
        <is>
          <t>billion litres</t>
        </is>
      </c>
      <c r="E44" s="152" t="inlineStr">
        <is>
          <t>2014; 2015; 2016; 2017; 2018; 2019; 2020; 2021</t>
        </is>
      </c>
      <c r="F44" s="152" t="inlineStr">
        <is>
          <t>observed</t>
        </is>
      </c>
      <c r="G44" s="152" t="inlineStr">
        <is>
          <t>Department of Mineral and Petroleum Resources, energy balances</t>
        </is>
      </c>
      <c r="H44" s="152" t="inlineStr"/>
      <c r="I44" s="152" t="inlineStr">
        <is>
          <t>The only output by product. Ends at 2021, the last balance published.</t>
        </is>
      </c>
    </row>
    <row r="45">
      <c r="A45" s="152" t="inlineStr">
        <is>
          <t>Diesel produced, all plants</t>
        </is>
      </c>
      <c r="B45" s="152" t="inlineStr">
        <is>
          <t>South Africa</t>
        </is>
      </c>
      <c r="C45" s="152" t="inlineStr">
        <is>
          <t>9.59; 9.37; 9.01; 7.92; 8.43; 9.08; 6.45; 5.31</t>
        </is>
      </c>
      <c r="D45" s="152" t="inlineStr">
        <is>
          <t>billion litres</t>
        </is>
      </c>
      <c r="E45" s="152" t="inlineStr">
        <is>
          <t>2014; 2015; 2016; 2017; 2018; 2019; 2020; 2021</t>
        </is>
      </c>
      <c r="F45" s="152" t="inlineStr">
        <is>
          <t>observed</t>
        </is>
      </c>
      <c r="G45" s="152" t="inlineStr">
        <is>
          <t>Department of Mineral and Petroleum Resources, energy balances</t>
        </is>
      </c>
      <c r="H45" s="152" t="inlineStr"/>
      <c r="I45" s="152" t="inlineStr">
        <is>
          <t>The only output by product. Ends at 2021, the last balance published.</t>
        </is>
      </c>
    </row>
    <row r="46">
      <c r="A46" s="152" t="inlineStr">
        <is>
          <t>Petrol produced, United Nations series (not used)</t>
        </is>
      </c>
      <c r="B46" s="152" t="inlineStr">
        <is>
          <t>South Africa</t>
        </is>
      </c>
      <c r="C46" s="152" t="inlineStr">
        <is>
          <t>5,030; 3,491; 2,488; 1,323; 1,827</t>
        </is>
      </c>
      <c r="D46" s="152" t="inlineStr">
        <is>
          <t>thousand tonnes</t>
        </is>
      </c>
      <c r="E46" s="152" t="inlineStr">
        <is>
          <t>2019; 2020; 2021; 2022; 2023</t>
        </is>
      </c>
      <c r="F46" s="152" t="inlineStr">
        <is>
          <t>observed</t>
        </is>
      </c>
      <c r="G46" s="152" t="inlineStr">
        <is>
          <t>United Nations Statistics Division, Energy Statistics Database (retrieved 8 October 2026)</t>
        </is>
      </c>
      <c r="H46" s="152" t="inlineStr">
        <is>
          <t>transaction 013, production from refineries</t>
        </is>
      </c>
      <c r="I46" s="152" t="inlineStr">
        <is>
          <t>Comparison only, not used. It does not match the department in the years they share: set against the department's litres it implies 0.39 to 0.48 kg a litre, and petrol weighs about 0.75.</t>
        </is>
      </c>
    </row>
    <row r="47">
      <c r="A47" s="152" t="inlineStr">
        <is>
          <t>Diesel produced, United Nations series (not used)</t>
        </is>
      </c>
      <c r="B47" s="152" t="inlineStr">
        <is>
          <t>South Africa</t>
        </is>
      </c>
      <c r="C47" s="152" t="inlineStr">
        <is>
          <t>7,535; 4,676; 4,282; 2,383; 2,222</t>
        </is>
      </c>
      <c r="D47" s="152" t="inlineStr">
        <is>
          <t>thousand tonnes</t>
        </is>
      </c>
      <c r="E47" s="152" t="inlineStr">
        <is>
          <t>2019; 2020; 2021; 2022; 2023</t>
        </is>
      </c>
      <c r="F47" s="152" t="inlineStr">
        <is>
          <t>observed</t>
        </is>
      </c>
      <c r="G47" s="152" t="inlineStr">
        <is>
          <t>United Nations Statistics Division, Energy Statistics Database (retrieved 8 October 2026)</t>
        </is>
      </c>
      <c r="H47" s="152" t="inlineStr">
        <is>
          <t>transaction 013, production from refineries</t>
        </is>
      </c>
      <c r="I47" s="152" t="inlineStr">
        <is>
          <t>Comparison only, not used. Close to the department in 2019 and 2021 (0.83 and 0.81 kg a litre implied, against about 0.84) but low in 2020 (0.73). The petrol series from the same source does not match, so neither is relied on.</t>
        </is>
      </c>
    </row>
    <row r="48">
      <c r="A48" s="162" t="inlineStr">
        <is>
          <t>Petrol and diesel produced after 2021, on the department's basis</t>
        </is>
      </c>
      <c r="B48" s="162" t="inlineStr">
        <is>
          <t>South Africa</t>
        </is>
      </c>
      <c r="C48" s="162" t="inlineStr">
        <is>
          <t>Not available</t>
        </is>
      </c>
      <c r="D48" s="162" t="inlineStr">
        <is>
          <t>billion litres</t>
        </is>
      </c>
      <c r="E48" s="162" t="inlineStr">
        <is>
          <t>2022 onward</t>
        </is>
      </c>
      <c r="F48" s="162" t="inlineStr">
        <is>
          <t>not available</t>
        </is>
      </c>
      <c r="G48" s="162" t="inlineStr">
        <is>
          <t>None published</t>
        </is>
      </c>
      <c r="H48" s="162" t="inlineStr"/>
      <c r="I48" s="162" t="inlineStr">
        <is>
          <t>The department has published no balance after 2021. The United Nations series runs to 2023 but does not match the department in the years they share.</t>
        </is>
      </c>
    </row>
    <row r="50">
      <c r="A50" s="151" t="inlineStr">
        <is>
          <t>Yields</t>
        </is>
      </c>
      <c r="B50" s="151" t="n"/>
      <c r="C50" s="151" t="n"/>
      <c r="D50" s="151" t="n"/>
      <c r="E50" s="151" t="n"/>
      <c r="F50" s="151" t="n"/>
      <c r="G50" s="151" t="n"/>
      <c r="H50" s="151" t="n"/>
      <c r="I50" s="151" t="n"/>
    </row>
    <row r="51">
      <c r="A51" s="156" t="inlineStr">
        <is>
          <t>Petrol share of the four main fuels produced</t>
        </is>
      </c>
      <c r="B51" s="156" t="inlineStr">
        <is>
          <t>South Africa, all plants</t>
        </is>
      </c>
      <c r="C51" s="156" t="inlineStr">
        <is>
          <t>46.1; 44.8; 45.0; 48.1; 48.8; 49.5; 50.3; 50.6</t>
        </is>
      </c>
      <c r="D51" s="156" t="inlineStr">
        <is>
          <t>% of petrol, diesel, jet and paraffin</t>
        </is>
      </c>
      <c r="E51" s="156" t="inlineStr">
        <is>
          <t>2014; 2015; 2016; 2017; 2018; 2019; 2020; 2021</t>
        </is>
      </c>
      <c r="F51" s="156" t="inlineStr">
        <is>
          <t>inferred</t>
        </is>
      </c>
      <c r="G51" s="156" t="inlineStr">
        <is>
          <t>Calculated from the energy balances</t>
        </is>
      </c>
      <c r="H51" s="156" t="inlineStr"/>
      <c r="I51" s="156" t="inlineStr">
        <is>
          <t>A national mix, not a plant yield. It will have shifted since the Durban refineries closed.</t>
        </is>
      </c>
    </row>
    <row r="52">
      <c r="A52" s="156" t="inlineStr">
        <is>
          <t>Diesel share of the four main fuels produced</t>
        </is>
      </c>
      <c r="B52" s="156" t="inlineStr">
        <is>
          <t>South Africa, all plants</t>
        </is>
      </c>
      <c r="C52" s="156" t="inlineStr">
        <is>
          <t>40.8; 40.1; 39.0; 40.4; 41.2; 43.1; 41.1; 42.3</t>
        </is>
      </c>
      <c r="D52" s="156" t="inlineStr">
        <is>
          <t>% of petrol, diesel, jet and paraffin</t>
        </is>
      </c>
      <c r="E52" s="156" t="inlineStr">
        <is>
          <t>2014; 2015; 2016; 2017; 2018; 2019; 2020; 2021</t>
        </is>
      </c>
      <c r="F52" s="156" t="inlineStr">
        <is>
          <t>inferred</t>
        </is>
      </c>
      <c r="G52" s="156" t="inlineStr">
        <is>
          <t>Calculated from the energy balances</t>
        </is>
      </c>
      <c r="H52" s="156" t="inlineStr"/>
      <c r="I52" s="156" t="inlineStr">
        <is>
          <t>A national mix, not a plant yield. It will have shifted since the Durban refineries closed.</t>
        </is>
      </c>
    </row>
    <row r="53">
      <c r="A53" s="152" t="inlineStr">
        <is>
          <t>Natref white product yield</t>
        </is>
      </c>
      <c r="B53" s="152" t="inlineStr">
        <is>
          <t>Natref</t>
        </is>
      </c>
      <c r="C53" s="152" t="inlineStr">
        <is>
          <t>89.4; 88.5; 87.3; 88.1; 87.5</t>
        </is>
      </c>
      <c r="D53" s="152" t="inlineStr">
        <is>
          <t>% of crude processed</t>
        </is>
      </c>
      <c r="E53" s="152" t="inlineStr">
        <is>
          <t>years to June 2020; 2021; 2022; 2023; 2024</t>
        </is>
      </c>
      <c r="F53" s="152" t="inlineStr">
        <is>
          <t>observed</t>
        </is>
      </c>
      <c r="G53" s="152" t="inlineStr">
        <is>
          <t>Sasol production and sales metrics, June 2022 and June 2024</t>
        </is>
      </c>
      <c r="H53" s="152" t="inlineStr">
        <is>
          <t>2022 PDF p.4; 2024 PDF p.5</t>
        </is>
      </c>
      <c r="I53" s="152" t="inlineStr">
        <is>
          <t>White products are petrol, diesel, jet and other light products together. Total yield was 97 to 98%. Not reported in the 2025 and 2026 metrics.</t>
        </is>
      </c>
    </row>
    <row r="54">
      <c r="A54" s="152" t="inlineStr">
        <is>
          <t>Petrol share of output</t>
        </is>
      </c>
      <c r="B54" s="152" t="inlineStr">
        <is>
          <t>Natref</t>
        </is>
      </c>
      <c r="C54" s="152" t="inlineStr">
        <is>
          <t>29 to 32</t>
        </is>
      </c>
      <c r="D54" s="152" t="inlineStr">
        <is>
          <t>% of production</t>
        </is>
      </c>
      <c r="E54" s="152" t="inlineStr">
        <is>
          <t>as stated April 2021</t>
        </is>
      </c>
      <c r="F54" s="152" t="inlineStr">
        <is>
          <t>observed</t>
        </is>
      </c>
      <c r="G54" s="152" t="inlineStr">
        <is>
          <t>Sasol Limited, Business Overview, April 2021</t>
        </is>
      </c>
      <c r="H54" s="152" t="inlineStr">
        <is>
          <t>PDF p.12</t>
        </is>
      </c>
      <c r="I54" s="152" t="inlineStr">
        <is>
          <t>A stated range, not a yearly figure. Jet is 9 to 21% and black products 5 to 8%.</t>
        </is>
      </c>
    </row>
    <row r="55">
      <c r="A55" s="152" t="inlineStr">
        <is>
          <t>Diesel share of output</t>
        </is>
      </c>
      <c r="B55" s="152" t="inlineStr">
        <is>
          <t>Natref</t>
        </is>
      </c>
      <c r="C55" s="152" t="inlineStr">
        <is>
          <t>31 to 37</t>
        </is>
      </c>
      <c r="D55" s="152" t="inlineStr">
        <is>
          <t>% of production</t>
        </is>
      </c>
      <c r="E55" s="152" t="inlineStr">
        <is>
          <t>as stated April 2021</t>
        </is>
      </c>
      <c r="F55" s="152" t="inlineStr">
        <is>
          <t>observed</t>
        </is>
      </c>
      <c r="G55" s="152" t="inlineStr">
        <is>
          <t>Sasol Limited, Business Overview, April 2021</t>
        </is>
      </c>
      <c r="H55" s="152" t="inlineStr">
        <is>
          <t>PDF p.12</t>
        </is>
      </c>
      <c r="I55" s="152" t="inlineStr">
        <is>
          <t>A stated range, not a yearly figure. Jet is 9 to 21% and black products 5 to 8%.</t>
        </is>
      </c>
    </row>
    <row r="56">
      <c r="A56" s="152" t="inlineStr">
        <is>
          <t>Petrol share of output</t>
        </is>
      </c>
      <c r="B56" s="152" t="inlineStr">
        <is>
          <t>Secunda</t>
        </is>
      </c>
      <c r="C56" s="152" t="inlineStr">
        <is>
          <t>65</t>
        </is>
      </c>
      <c r="D56" s="152" t="inlineStr">
        <is>
          <t>% of petrol and diesel</t>
        </is>
      </c>
      <c r="E56" s="152" t="inlineStr">
        <is>
          <t>as stated April 2021</t>
        </is>
      </c>
      <c r="F56" s="152" t="inlineStr">
        <is>
          <t>observed</t>
        </is>
      </c>
      <c r="G56" s="152" t="inlineStr">
        <is>
          <t>Sasol Limited, Business Overview, April 2021</t>
        </is>
      </c>
      <c r="H56" s="152" t="inlineStr">
        <is>
          <t>PDF p.12</t>
        </is>
      </c>
      <c r="I56" s="152" t="inlineStr">
        <is>
          <t>Sasol states the split as approximately 65% petrol, 35% diesel and does not say which total it applies to, so no volume is calculated.</t>
        </is>
      </c>
    </row>
    <row r="57">
      <c r="A57" s="152" t="inlineStr">
        <is>
          <t>Diesel share of output</t>
        </is>
      </c>
      <c r="B57" s="152" t="inlineStr">
        <is>
          <t>Secunda</t>
        </is>
      </c>
      <c r="C57" s="152" t="inlineStr">
        <is>
          <t>35</t>
        </is>
      </c>
      <c r="D57" s="152" t="inlineStr">
        <is>
          <t>% of petrol and diesel</t>
        </is>
      </c>
      <c r="E57" s="152" t="inlineStr">
        <is>
          <t>as stated April 2021</t>
        </is>
      </c>
      <c r="F57" s="152" t="inlineStr">
        <is>
          <t>observed</t>
        </is>
      </c>
      <c r="G57" s="152" t="inlineStr">
        <is>
          <t>Sasol Limited, Business Overview, April 2021</t>
        </is>
      </c>
      <c r="H57" s="152" t="inlineStr">
        <is>
          <t>PDF p.12</t>
        </is>
      </c>
      <c r="I57" s="152" t="inlineStr">
        <is>
          <t>Sasol states the split as approximately 65% petrol, 35% diesel and does not say which total it applies to, so no volume is calculated.</t>
        </is>
      </c>
    </row>
    <row r="58">
      <c r="A58" s="162" t="inlineStr">
        <is>
          <t>Yield by plant</t>
        </is>
      </c>
      <c r="B58" s="162" t="inlineStr">
        <is>
          <t>Astron Energy</t>
        </is>
      </c>
      <c r="C58" s="162" t="inlineStr">
        <is>
          <t>Not available</t>
        </is>
      </c>
      <c r="D58" s="162" t="inlineStr">
        <is>
          <t>%</t>
        </is>
      </c>
      <c r="E58" s="162" t="inlineStr"/>
      <c r="F58" s="162" t="inlineStr">
        <is>
          <t>not available</t>
        </is>
      </c>
      <c r="G58" s="162" t="inlineStr">
        <is>
          <t>None published</t>
        </is>
      </c>
      <c r="H58" s="162" t="inlineStr"/>
      <c r="I58" s="162" t="inlineStr">
        <is>
          <t>Nothing found for Astron. Natref and Secunda are as Sasol stated them in 2021; no plant publishes a split by year.</t>
        </is>
      </c>
    </row>
    <row r="60">
      <c r="A60" s="151" t="inlineStr">
        <is>
          <t>Utilisation</t>
        </is>
      </c>
      <c r="B60" s="151" t="n"/>
      <c r="C60" s="151" t="n"/>
      <c r="D60" s="151" t="n"/>
      <c r="E60" s="151" t="n"/>
      <c r="F60" s="151" t="n"/>
      <c r="G60" s="151" t="n"/>
      <c r="H60" s="151" t="n"/>
      <c r="I60" s="151" t="n"/>
    </row>
    <row r="61">
      <c r="A61" s="156" t="inlineStr">
        <is>
          <t>Output as a share of published capacity</t>
        </is>
      </c>
      <c r="B61" s="156" t="inlineStr">
        <is>
          <t>Secunda</t>
        </is>
      </c>
      <c r="C61" s="156" t="inlineStr">
        <is>
          <t>57; 59; 53; 55; 53; 50; 56</t>
        </is>
      </c>
      <c r="D61" s="156" t="inlineStr">
        <is>
          <t>%</t>
        </is>
      </c>
      <c r="E61" s="156" t="inlineStr">
        <is>
          <t>years to June 2020; 2021; 2022; 2023; 2024; 2025; 2026</t>
        </is>
      </c>
      <c r="F61" s="156" t="inlineStr">
        <is>
          <t>inferred</t>
        </is>
      </c>
      <c r="G61" s="156" t="inlineStr">
        <is>
          <t>Reported output over published capacity</t>
        </is>
      </c>
      <c r="H61" s="156" t="inlineStr"/>
      <c r="I61" s="156" t="inlineStr">
        <is>
          <t>Capacity is crude equivalent and output is refined product, so this understates how hard the plant runs.</t>
        </is>
      </c>
    </row>
    <row r="62">
      <c r="A62" s="156" t="inlineStr">
        <is>
          <t>Output as a share of published capacity</t>
        </is>
      </c>
      <c r="B62" s="156" t="inlineStr">
        <is>
          <t>Natref</t>
        </is>
      </c>
      <c r="C62" s="156" t="inlineStr">
        <is>
          <t>67; 71; 75; 69; 71; 59</t>
        </is>
      </c>
      <c r="D62" s="156" t="inlineStr">
        <is>
          <t>%</t>
        </is>
      </c>
      <c r="E62" s="156" t="inlineStr">
        <is>
          <t>years to June 2020; 2021; 2022; 2023; 2024; 2025</t>
        </is>
      </c>
      <c r="F62" s="156" t="inlineStr">
        <is>
          <t>inferred</t>
        </is>
      </c>
      <c r="G62" s="156" t="inlineStr">
        <is>
          <t>Reported output over published capacity, Sasol's share scaled to the whole refinery</t>
        </is>
      </c>
      <c r="H62" s="156" t="inlineStr"/>
      <c r="I62" s="156" t="inlineStr">
        <is>
          <t>Capacity is crude equivalent and output is refined product, so this understates how hard the plant runs. The year to June 2026 is left out because Sasol's figure includes output above its share.</t>
        </is>
      </c>
    </row>
    <row r="63">
      <c r="A63" s="162" t="inlineStr">
        <is>
          <t>Output as a share of capacity</t>
        </is>
      </c>
      <c r="B63" s="162" t="inlineStr">
        <is>
          <t>Astron Energy</t>
        </is>
      </c>
      <c r="C63" s="162" t="inlineStr">
        <is>
          <t>Not available</t>
        </is>
      </c>
      <c r="D63" s="162" t="inlineStr">
        <is>
          <t>%</t>
        </is>
      </c>
      <c r="E63" s="162" t="inlineStr"/>
      <c r="F63" s="162" t="inlineStr">
        <is>
          <t>not available</t>
        </is>
      </c>
      <c r="G63" s="162" t="inlineStr">
        <is>
          <t>Not calculable</t>
        </is>
      </c>
      <c r="H63" s="162" t="inlineStr"/>
      <c r="I63" s="162" t="inlineStr">
        <is>
          <t>Glencore reports energy content, not barrels, and no throughput in barrels was found. Converting needs an assumed energy content per barrel.</t>
        </is>
      </c>
    </row>
    <row r="65">
      <c r="A65" s="151" t="inlineStr">
        <is>
          <t>Outlook</t>
        </is>
      </c>
      <c r="B65" s="151" t="n"/>
      <c r="C65" s="151" t="n"/>
      <c r="D65" s="151" t="n"/>
      <c r="E65" s="151" t="n"/>
      <c r="F65" s="151" t="n"/>
      <c r="G65" s="151" t="n"/>
      <c r="H65" s="151" t="n"/>
      <c r="I65" s="151" t="n"/>
    </row>
    <row r="66">
      <c r="A66" s="152" t="inlineStr">
        <is>
          <t>Outlook</t>
        </is>
      </c>
      <c r="B66" s="152" t="inlineStr">
        <is>
          <t>Sapref site (Central Energy Fund)</t>
        </is>
      </c>
      <c r="C66" s="152" t="inlineStr">
        <is>
          <t>Three phases: imports through existing tanks; a refinery of about 400,000 barrels a day; then 400,000 to 650,000</t>
        </is>
      </c>
      <c r="D66" s="152" t="inlineStr"/>
      <c r="E66" s="152" t="inlineStr">
        <is>
          <t>no dates given</t>
        </is>
      </c>
      <c r="F66" s="152" t="inlineStr">
        <is>
          <t>observed</t>
        </is>
      </c>
      <c r="G66" s="152" t="inlineStr">
        <is>
          <t>Central Energy Fund, roadmap statement of 10 September 2026</t>
        </is>
      </c>
      <c r="H66" s="152" t="inlineStr"/>
      <c r="I66" s="152" t="inlineStr">
        <is>
          <t>No investment decision, dates or product slate. Phase one is an import terminal in Durban, which competes with existing terminals.</t>
        </is>
      </c>
    </row>
    <row r="67">
      <c r="A67" s="152" t="inlineStr">
        <is>
          <t>Outlook</t>
        </is>
      </c>
      <c r="B67" s="152" t="inlineStr">
        <is>
          <t>Secunda</t>
        </is>
      </c>
      <c r="C67" s="152" t="inlineStr">
        <is>
          <t>Sasol finds it technically feasible to supply Secunda's methane-rich gas to outside customers as Mozambican gas declines</t>
        </is>
      </c>
      <c r="D67" s="152" t="inlineStr"/>
      <c r="E67" s="152" t="inlineStr">
        <is>
          <t>July 2028 to June 2030</t>
        </is>
      </c>
      <c r="F67" s="152" t="inlineStr">
        <is>
          <t>observed</t>
        </is>
      </c>
      <c r="G67" s="152" t="inlineStr">
        <is>
          <t>Sasol media release, 6 November 2025</t>
        </is>
      </c>
      <c r="H67" s="152" t="inlineStr"/>
      <c r="I67" s="152" t="inlineStr">
        <is>
          <t>No liquid fuels penalty is quantified. Depends on approvals and investment.</t>
        </is>
      </c>
    </row>
    <row r="68">
      <c r="A68" s="152" t="inlineStr">
        <is>
          <t>Outlook</t>
        </is>
      </c>
      <c r="B68" s="152" t="inlineStr">
        <is>
          <t>PetroSA (Mossel Bay)</t>
        </is>
      </c>
      <c r="C68" s="152" t="inlineStr">
        <is>
          <t>Tender to recommission the liquids refinery and adapt the terminal to import finished products</t>
        </is>
      </c>
      <c r="D68" s="152" t="inlineStr"/>
      <c r="E68" s="152" t="inlineStr">
        <is>
          <t>no dates given</t>
        </is>
      </c>
      <c r="F68" s="152" t="inlineStr">
        <is>
          <t>observed</t>
        </is>
      </c>
      <c r="G68" s="152" t="inlineStr">
        <is>
          <t>PetroSA tender scope of work</t>
        </is>
      </c>
      <c r="H68" s="152" t="inlineStr"/>
      <c r="I68" s="152" t="inlineStr">
        <is>
          <t>No restart date or output.</t>
        </is>
      </c>
    </row>
    <row r="69">
      <c r="A69" s="152" t="inlineStr">
        <is>
          <t>Outlook</t>
        </is>
      </c>
      <c r="B69" s="152" t="inlineStr">
        <is>
          <t>Secunda</t>
        </is>
      </c>
      <c r="C69" s="152" t="inlineStr">
        <is>
          <t>Production 8% up and above guidance; Natref 76% up using a co-owner's capacity</t>
        </is>
      </c>
      <c r="D69" s="152" t="inlineStr"/>
      <c r="E69" s="152" t="inlineStr">
        <is>
          <t>year to June 2026</t>
        </is>
      </c>
      <c r="F69" s="152" t="inlineStr">
        <is>
          <t>observed</t>
        </is>
      </c>
      <c r="G69" s="152" t="inlineStr">
        <is>
          <t>Sasol business performance metrics, 30 June 2026</t>
        </is>
      </c>
      <c r="H69" s="152" t="inlineStr">
        <is>
          <t>PDF p.4</t>
        </is>
      </c>
      <c r="I69"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2026-10-09T07:17:46Z</dcterms:created>
  <dcterms:modified xmlns:dcterms="http://purl.org/dc/terms/" xmlns:xsi="http://www.w3.org/2001/XMLSchema-instance" xsi:type="dcterms:W3CDTF">2026-10-09T07:17:47Z</dcterms:modified>
</cp:coreProperties>
</file>