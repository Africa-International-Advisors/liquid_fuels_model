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DR01 balance" sheetId="18" state="visible" r:id="rId18"/>
    <sheet xmlns:r="http://schemas.openxmlformats.org/officeDocument/2006/relationships" name="Sector history" sheetId="19" state="visible" r:id="rId19"/>
    <sheet xmlns:r="http://schemas.openxmlformats.org/officeDocument/2006/relationships" name="Diesel by use" sheetId="20" state="visible" r:id="rId20"/>
    <sheet xmlns:r="http://schemas.openxmlformats.org/officeDocument/2006/relationships" name="Demand by use" sheetId="21" state="visible" r:id="rId21"/>
    <sheet xmlns:r="http://schemas.openxmlformats.org/officeDocument/2006/relationships" name="DR04 routes" sheetId="22" state="visible" r:id="rId22"/>
    <sheet xmlns:r="http://schemas.openxmlformats.org/officeDocument/2006/relationships" name="DR04 entry points" sheetId="23" state="visible" r:id="rId23"/>
    <sheet xmlns:r="http://schemas.openxmlformats.org/officeDocument/2006/relationships" name="DR04 transport cost" sheetId="24" state="visible" r:id="rId24"/>
    <sheet xmlns:r="http://schemas.openxmlformats.org/officeDocument/2006/relationships" name="DR07 evidence" sheetId="25" state="visible" r:id="rId25"/>
    <sheet xmlns:r="http://schemas.openxmlformats.org/officeDocument/2006/relationships" name="DR07 power diesel" sheetId="26" state="visible" r:id="rId26"/>
    <sheet xmlns:r="http://schemas.openxmlformats.org/officeDocument/2006/relationships" name="DR07 fleet by province" sheetId="27" state="visible" r:id="rId27"/>
    <sheet xmlns:r="http://schemas.openxmlformats.org/officeDocument/2006/relationships" name="DR07 efficiency and rail" sheetId="28" state="visible" r:id="rId28"/>
    <sheet xmlns:r="http://schemas.openxmlformats.org/officeDocument/2006/relationships" name="DR08 evidence" sheetId="29" state="visible" r:id="rId29"/>
    <sheet xmlns:r="http://schemas.openxmlformats.org/officeDocument/2006/relationships" name="DR08 refinery output" sheetId="30" state="visible" r:id="rId30"/>
    <sheet xmlns:r="http://schemas.openxmlformats.org/officeDocument/2006/relationships" name="Power fleet" sheetId="31" state="visible" r:id="rId31"/>
    <sheet xmlns:r="http://schemas.openxmlformats.org/officeDocument/2006/relationships" name="Vehicle history" sheetId="32" state="visible" r:id="rId32"/>
    <sheet xmlns:r="http://schemas.openxmlformats.org/officeDocument/2006/relationships" name="HML response" sheetId="33" state="visible" r:id="rId33"/>
    <sheet xmlns:r="http://schemas.openxmlformats.org/officeDocument/2006/relationships" name="Gap status" sheetId="34" state="visible" r:id="rId34"/>
    <sheet xmlns:r="http://schemas.openxmlformats.org/officeDocument/2006/relationships" name="Checks" sheetId="35" state="visible" r:id="rId35"/>
    <sheet xmlns:r="http://schemas.openxmlformats.org/officeDocument/2006/relationships" name="History sources" sheetId="36" state="visible" r:id="rId36"/>
  </sheets>
  <definedNames/>
</workbook>
</file>

<file path=xl/styles.xml><?xml version="1.0" encoding="utf-8"?>
<styleSheet xmlns="http://schemas.openxmlformats.org/spreadsheetml/2006/main">
  <numFmts count="8">
    <numFmt numFmtId="164" formatCode="#,##0.0"/>
    <numFmt numFmtId="165" formatCode="0.0%"/>
    <numFmt numFmtId="166" formatCode="0.0000"/>
    <numFmt numFmtId="167" formatCode="#,##0.0000"/>
    <numFmt numFmtId="168" formatCode="0.0"/>
    <numFmt numFmtId="169" formatCode="[&gt;=0.005]0.00;[&lt;=-0.005]-0.00;0.00"/>
    <numFmt numFmtId="170" formatCode="0.000"/>
    <numFmt numFmtId="171"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210">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0" fontId="4" fillId="19" borderId="0" applyAlignment="1" pivotButton="0" quotePrefix="0" xfId="0">
      <alignment horizontal="left" vertical="top"/>
    </xf>
    <xf numFmtId="0" fontId="4" fillId="19" borderId="0" applyAlignment="1" pivotButton="0" quotePrefix="0" xfId="0">
      <alignment horizontal="right" vertical="top"/>
    </xf>
    <xf numFmtId="0" fontId="1" fillId="18" borderId="0" applyAlignment="1" pivotButton="0" quotePrefix="0" xfId="0">
      <alignment horizontal="left" vertical="top"/>
    </xf>
    <xf numFmtId="169" fontId="1" fillId="18" borderId="0" applyAlignment="1" pivotButton="0" quotePrefix="0" xfId="0">
      <alignment horizontal="right" vertical="top"/>
    </xf>
    <xf numFmtId="0" fontId="1" fillId="18" borderId="0" applyAlignment="1" pivotButton="0" quotePrefix="0" xfId="0">
      <alignment horizontal="left" vertical="top" wrapText="1"/>
    </xf>
    <xf numFmtId="0" fontId="5" fillId="10" borderId="0" applyAlignment="1" pivotButton="0" quotePrefix="0" xfId="0">
      <alignment horizontal="left" vertical="top"/>
    </xf>
    <xf numFmtId="169" fontId="1" fillId="10" borderId="0" applyAlignment="1" pivotButton="0" quotePrefix="0" xfId="0">
      <alignment horizontal="right" vertical="top"/>
    </xf>
    <xf numFmtId="0" fontId="1" fillId="10" borderId="0" applyAlignment="1" pivotButton="0" quotePrefix="0" xfId="0">
      <alignment horizontal="left" vertical="top" wrapText="1"/>
    </xf>
    <xf numFmtId="0" fontId="1" fillId="10" borderId="0" applyAlignment="1" pivotButton="0" quotePrefix="0" xfId="0">
      <alignment horizontal="lef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0" fontId="1" fillId="15" borderId="0" applyAlignment="1" pivotButton="0" quotePrefix="0" xfId="0">
      <alignment horizontal="left" vertical="top"/>
    </xf>
    <xf numFmtId="169" fontId="7" fillId="15" borderId="0" applyAlignment="1" pivotButton="0" quotePrefix="0" xfId="0">
      <alignment horizontal="right" vertical="top"/>
    </xf>
    <xf numFmtId="0" fontId="1" fillId="15" borderId="0" applyAlignment="1" pivotButton="0" quotePrefix="0" xfId="0">
      <alignment horizontal="left" vertical="top" wrapText="1"/>
    </xf>
    <xf numFmtId="9" fontId="1" fillId="10" borderId="0" applyAlignment="1" pivotButton="0" quotePrefix="0" xfId="0">
      <alignment horizontal="right" vertical="top"/>
    </xf>
    <xf numFmtId="0" fontId="4" fillId="19" borderId="0" pivotButton="0" quotePrefix="0" xfId="0"/>
    <xf numFmtId="2" fontId="1" fillId="18" borderId="0" applyAlignment="1" pivotButton="0" quotePrefix="0" xfId="0">
      <alignment horizontal="right" vertical="top"/>
    </xf>
    <xf numFmtId="2" fontId="7" fillId="18" borderId="0" applyAlignment="1" pivotButton="0" quotePrefix="0" xfId="0">
      <alignment horizontal="right" vertical="top"/>
    </xf>
    <xf numFmtId="2" fontId="1" fillId="15" borderId="0" applyAlignment="1" pivotButton="0" quotePrefix="0" xfId="0">
      <alignment horizontal="right" vertical="top"/>
    </xf>
    <xf numFmtId="0" fontId="5" fillId="18" borderId="0" applyAlignment="1" pivotButton="0" quotePrefix="0" xfId="0">
      <alignment horizontal="left" vertical="top"/>
    </xf>
    <xf numFmtId="0" fontId="1" fillId="18" borderId="0" applyAlignment="1" pivotButton="0" quotePrefix="0" xfId="0">
      <alignment horizontal="right" vertical="top"/>
    </xf>
    <xf numFmtId="168" fontId="1" fillId="18" borderId="0" applyAlignment="1" pivotButton="0" quotePrefix="0" xfId="0">
      <alignment horizontal="right" vertical="top"/>
    </xf>
    <xf numFmtId="168" fontId="1" fillId="10" borderId="0" applyAlignment="1" pivotButton="0" quotePrefix="0" xfId="0">
      <alignment horizontal="right" vertical="top"/>
    </xf>
    <xf numFmtId="3" fontId="1" fillId="18" borderId="0" applyAlignment="1" pivotButton="0" quotePrefix="0" xfId="0">
      <alignment horizontal="right" vertical="top"/>
    </xf>
    <xf numFmtId="170" fontId="1" fillId="10" borderId="0" applyAlignment="1" pivotButton="0" quotePrefix="0" xfId="0">
      <alignment horizontal="right" vertical="top"/>
    </xf>
    <xf numFmtId="165" fontId="1" fillId="10" borderId="0" applyAlignment="1" pivotButton="0" quotePrefix="0" xfId="0">
      <alignment horizontal="right" vertical="top"/>
    </xf>
    <xf numFmtId="3" fontId="1" fillId="10" borderId="0" applyAlignment="1" pivotButton="0" quotePrefix="0" xfId="0">
      <alignment horizontal="right" vertical="top"/>
    </xf>
    <xf numFmtId="1" fontId="5" fillId="10" borderId="0" applyAlignment="1" pivotButton="0" quotePrefix="0" xfId="0">
      <alignment horizontal="right" vertical="top"/>
    </xf>
    <xf numFmtId="0" fontId="5" fillId="10" borderId="0" applyAlignment="1" pivotButton="0" quotePrefix="0" xfId="0">
      <alignment horizontal="left" vertical="top" wrapText="1"/>
    </xf>
    <xf numFmtId="0" fontId="1" fillId="10" borderId="0" applyAlignment="1" pivotButton="0" quotePrefix="0" xfId="0">
      <alignment horizontal="right" vertical="top"/>
    </xf>
    <xf numFmtId="0" fontId="1" fillId="20" borderId="0" applyAlignment="1" pivotButton="0" quotePrefix="0" xfId="0">
      <alignment horizontal="left" vertical="top" wrapText="1"/>
    </xf>
    <xf numFmtId="0" fontId="1" fillId="20" borderId="0" applyAlignment="1" pivotButton="0" quotePrefix="0" xfId="0">
      <alignment horizontal="left" vertical="top"/>
    </xf>
    <xf numFmtId="3" fontId="1" fillId="20" borderId="0" applyAlignment="1" pivotButton="0" quotePrefix="0" xfId="0">
      <alignment horizontal="right" vertical="top"/>
    </xf>
    <xf numFmtId="168" fontId="1" fillId="20" borderId="0" applyAlignment="1" pivotButton="0" quotePrefix="0" xfId="0">
      <alignment horizontal="righ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171"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 (yellow, italic) holds ESTIMATES from section 6, not department data; 2024 and 2025 are blank.</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IF(ISNUMBER(Q86),Q86,"")</f>
        <v/>
      </c>
      <c r="R6" s="155">
        <f>IF(ISNUMBER(R86),R86,"")</f>
        <v/>
      </c>
      <c r="S6" s="155">
        <f>IF(ISNUMBER(S86),S86,"")</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 (yellow, italic) holds ESTIMATES from section 6, not department data; 2024 and 2025 are blank.</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IF(ISNUMBER(Q87),Q87,"")</f>
        <v/>
      </c>
      <c r="R7" s="155">
        <f>IF(ISNUMBER(R87),R87,"")</f>
        <v/>
      </c>
      <c r="S7" s="155">
        <f>IF(ISNUMBER(S87),S87,"")</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 (yellow, italic) holds ESTIMATES from section 6, not department data; 2024 and 2025 are blank.</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IF(ISNUMBER(Q88),Q88,"")</f>
        <v/>
      </c>
      <c r="R8" s="155">
        <f>IF(ISNUMBER(R88),R88,"")</f>
        <v/>
      </c>
      <c r="S8" s="155">
        <f>IF(ISNUMBER(S88),S88,"")</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 (yellow, italic) holds ESTIMATES from section 6, not department data; 2024 and 2025 are blank.</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IF(ISNUMBER(Q89),Q89,"")</f>
        <v/>
      </c>
      <c r="R9" s="155">
        <f>IF(ISNUMBER(R89),R89,"")</f>
        <v/>
      </c>
      <c r="S9" s="155">
        <f>IF(ISNUMBER(S89),S89,"")</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 (yellow, italic) holds ESTIMATES from section 6, not department data; 2024 and 2025 are blank.</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IF(ISNUMBER(Q90),Q90,"")</f>
        <v/>
      </c>
      <c r="R10" s="155">
        <f>IF(ISNUMBER(R90),R90,"")</f>
        <v/>
      </c>
      <c r="S10" s="155">
        <f>IF(ISNUMBER(S90),S90,"")</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 (yellow, italic) holds ESTIMATES from section 6, not department data; 2024 and 2025 are blank.</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IF(ISNUMBER(Q91),Q91,"")</f>
        <v/>
      </c>
      <c r="R11" s="155">
        <f>IF(ISNUMBER(R91),R91,"")</f>
        <v/>
      </c>
      <c r="S11" s="155">
        <f>IF(ISNUMBER(S91),S91,"")</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 (yellow, italic) holds ESTIMATES from section 6, not department data; 2024 and 2025 are blank.</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IF(ISNUMBER(Q92),Q92,"")</f>
        <v/>
      </c>
      <c r="R12" s="155">
        <f>IF(ISNUMBER(R92),R92,"")</f>
        <v/>
      </c>
      <c r="S12" s="155">
        <f>IF(ISNUMBER(S92),S92,"")</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 (yellow, italic) holds ESTIMATES from section 6, not department data; 2024 and 2025 are blank.</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IF(ISNUMBER(Q93),Q93,"")</f>
        <v/>
      </c>
      <c r="R13" s="155">
        <f>IF(ISNUMBER(R93),R93,"")</f>
        <v/>
      </c>
      <c r="S13" s="155">
        <f>IF(ISNUMBER(S93),S93,"")</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 (yellow, italic) holds ESTIMATES from section 6, not department data; 2024 and 2025 are blank.</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IF(ISNUMBER(Q94),Q94,"")</f>
        <v/>
      </c>
      <c r="R14" s="155">
        <f>IF(ISNUMBER(R94),R94,"")</f>
        <v/>
      </c>
      <c r="S14" s="155">
        <f>IF(ISNUMBER(S94),S94,"")</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is>
          <t>Calculated in this workbook from the rows named in the definition</t>
        </is>
      </c>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Add 2024 and 2025 when the department publishes them</t>
        </is>
      </c>
    </row>
    <row r="17">
      <c r="A17" s="156" t="inlineStr">
        <is>
          <t>Provinces less national, petrol</t>
        </is>
      </c>
      <c r="B17" s="157" t="inlineStr">
        <is>
          <t>million L/year</t>
        </is>
      </c>
      <c r="C17" s="157" t="inlineStr">
        <is>
          <t>Reporting formula</t>
        </is>
      </c>
      <c r="D17" s="158" t="n"/>
      <c r="E17"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is>
          <t>Calculated in this workbook from the rows named in the definition</t>
        </is>
      </c>
      <c r="V17" s="156" t="inlineStr">
        <is>
          <t>See integrity_flag_log_2026-10-06.md</t>
        </is>
      </c>
    </row>
    <row r="18">
      <c r="A18" s="159" t="inlineStr">
        <is>
          <t>Why 2024 and 2025 are blank, petrol</t>
        </is>
      </c>
      <c r="B18" s="160" t="inlineStr"/>
      <c r="C18" s="160" t="inlineStr">
        <is>
          <t>Note</t>
        </is>
      </c>
      <c r="D18" s="161" t="n"/>
      <c r="E18" s="159" t="inlineStr">
        <is>
          <t>The department has published no petrol sales after 2023, by province or nationally, so there is no total to split. FIASA and JODI each have a national 2024 figure (9,029 and 10,138 million litres) but neither is reliable, so FIASA is not used and JODI is not used. FIASA: its 2024 and 2025 annual reports give different figures for 2024 (8,763 in the 2024 edition), its 2025 row is a copy of its 2024 row, and it attributes its sales to the department, which has published none. JODI: its demand was 2,648 and 3,035 million litres above department sales in 2022 and 2023, so it is not on the same basis, and every entry carries JODI's lowest reliability code. Neither has provincial data, and neither has a 2025 figure.</t>
        </is>
      </c>
      <c r="F18" s="161" t="n"/>
      <c r="G18" s="161" t="n"/>
      <c r="H18" s="161" t="n"/>
      <c r="I18" s="161" t="n"/>
      <c r="J18" s="161" t="n"/>
      <c r="K18" s="161" t="n"/>
      <c r="L18" s="161" t="n"/>
      <c r="M18" s="161" t="n"/>
      <c r="N18" s="161" t="n"/>
      <c r="O18" s="161" t="n"/>
      <c r="P18" s="161" t="n"/>
      <c r="Q18" s="161" t="n"/>
      <c r="R18" s="161" t="n"/>
      <c r="S18" s="161" t="n"/>
      <c r="T18" s="159" t="inlineStr">
        <is>
          <t>2024 and 2025 blank</t>
        </is>
      </c>
      <c r="U18" s="159" t="inlineStr">
        <is>
          <t>FIASA annual reports 2024 (p.32) and 2025 (p.47); JODI oil database; department sales volumes page</t>
        </is>
      </c>
      <c r="V18" s="159" t="inlineStr">
        <is>
          <t>Fill in when the department publishes</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 (yellow, italic) holds ESTIMATES from section 6, not department data; 2024 and 2025 are blank.</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IF(ISNUMBER(Q106),Q106,"")</f>
        <v/>
      </c>
      <c r="R21" s="155">
        <f>IF(ISNUMBER(R106),R106,"")</f>
        <v/>
      </c>
      <c r="S21" s="155">
        <f>IF(ISNUMBER(S106),S106,"")</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 (yellow, italic) holds ESTIMATES from section 6, not department data; 2024 and 2025 are blank.</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IF(ISNUMBER(Q107),Q107,"")</f>
        <v/>
      </c>
      <c r="R22" s="155">
        <f>IF(ISNUMBER(R107),R107,"")</f>
        <v/>
      </c>
      <c r="S22" s="155">
        <f>IF(ISNUMBER(S107),S107,"")</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 (yellow, italic) holds ESTIMATES from section 6, not department data; 2024 and 2025 are blank.</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IF(ISNUMBER(Q108),Q108,"")</f>
        <v/>
      </c>
      <c r="R23" s="155">
        <f>IF(ISNUMBER(R108),R108,"")</f>
        <v/>
      </c>
      <c r="S23" s="155">
        <f>IF(ISNUMBER(S108),S108,"")</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 (yellow, italic) holds ESTIMATES from section 6, not department data; 2024 and 2025 are blank.</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IF(ISNUMBER(Q109),Q109,"")</f>
        <v/>
      </c>
      <c r="R24" s="155">
        <f>IF(ISNUMBER(R109),R109,"")</f>
        <v/>
      </c>
      <c r="S24" s="155">
        <f>IF(ISNUMBER(S109),S109,"")</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 (yellow, italic) holds ESTIMATES from section 6, not department data; 2024 and 2025 are blank.</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IF(ISNUMBER(Q110),Q110,"")</f>
        <v/>
      </c>
      <c r="R25" s="155">
        <f>IF(ISNUMBER(R110),R110,"")</f>
        <v/>
      </c>
      <c r="S25" s="155">
        <f>IF(ISNUMBER(S110),S110,"")</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 (yellow, italic) holds ESTIMATES from section 6, not department data; 2024 and 2025 are blank.</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IF(ISNUMBER(Q111),Q111,"")</f>
        <v/>
      </c>
      <c r="R26" s="155">
        <f>IF(ISNUMBER(R111),R111,"")</f>
        <v/>
      </c>
      <c r="S26" s="155">
        <f>IF(ISNUMBER(S111),S111,"")</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 (yellow, italic) holds ESTIMATES from section 6, not department data; 2024 and 2025 are blank.</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IF(ISNUMBER(Q112),Q112,"")</f>
        <v/>
      </c>
      <c r="R27" s="155">
        <f>IF(ISNUMBER(R112),R112,"")</f>
        <v/>
      </c>
      <c r="S27" s="155">
        <f>IF(ISNUMBER(S112),S112,"")</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 (yellow, italic) holds ESTIMATES from section 6, not department data; 2024 and 2025 are blank.</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IF(ISNUMBER(Q113),Q113,"")</f>
        <v/>
      </c>
      <c r="R28" s="155">
        <f>IF(ISNUMBER(R113),R113,"")</f>
        <v/>
      </c>
      <c r="S28" s="155">
        <f>IF(ISNUMBER(S113),S113,"")</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 (yellow, italic) holds ESTIMATES from section 6, not department data; 2024 and 2025 are blank.</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IF(ISNUMBER(Q114),Q114,"")</f>
        <v/>
      </c>
      <c r="R29" s="155">
        <f>IF(ISNUMBER(R114),R114,"")</f>
        <v/>
      </c>
      <c r="S29" s="155">
        <f>IF(ISNUMBER(S114),S114,"")</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is>
          <t>Calculated in this workbook from the rows named in the definition</t>
        </is>
      </c>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Add 2024 and 2025 when the department publishes them</t>
        </is>
      </c>
    </row>
    <row r="32">
      <c r="A32" s="156" t="inlineStr">
        <is>
          <t>Provinces less national, diesel</t>
        </is>
      </c>
      <c r="B32" s="157" t="inlineStr">
        <is>
          <t>million L/year</t>
        </is>
      </c>
      <c r="C32" s="157" t="inlineStr">
        <is>
          <t>Reporting formula</t>
        </is>
      </c>
      <c r="D32" s="158" t="n"/>
      <c r="E32"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is>
          <t>Calculated in this workbook from the rows named in the definition</t>
        </is>
      </c>
      <c r="V32" s="156" t="inlineStr">
        <is>
          <t>See integrity_flag_log_2026-10-06.md</t>
        </is>
      </c>
    </row>
    <row r="33">
      <c r="A33" s="159" t="inlineStr">
        <is>
          <t>Why 2024 and 2025 are blank, diesel</t>
        </is>
      </c>
      <c r="B33" s="160" t="inlineStr"/>
      <c r="C33" s="160" t="inlineStr">
        <is>
          <t>Note</t>
        </is>
      </c>
      <c r="D33" s="161" t="n"/>
      <c r="E33" s="159" t="inlineStr">
        <is>
          <t>The department has published no diesel sales after 2023, by province or nationally, so there is no total to split. FIASA and JODI each have a national 2024 figure (11,734 and 10,038 million litres) but neither is reliable, so FIASA is not used and JODI is not used. FIASA: its 2024 and 2025 annual reports give different figures for 2024 (11,807 in the 2024 edition), its 2025 row is a copy of its 2024 row, and it attributes its sales to the department, which has published none. JODI: its demand was 945 and 1,464 million litres above department sales in 2022 and 2023, so it is not on the same basis, and every entry carries JODI's lowest reliability code. Neither has provincial data, and neither has a 2025 figure.</t>
        </is>
      </c>
      <c r="F33" s="161" t="n"/>
      <c r="G33" s="161" t="n"/>
      <c r="H33" s="161" t="n"/>
      <c r="I33" s="161" t="n"/>
      <c r="J33" s="161" t="n"/>
      <c r="K33" s="161" t="n"/>
      <c r="L33" s="161" t="n"/>
      <c r="M33" s="161" t="n"/>
      <c r="N33" s="161" t="n"/>
      <c r="O33" s="161" t="n"/>
      <c r="P33" s="161" t="n"/>
      <c r="Q33" s="161" t="n"/>
      <c r="R33" s="161" t="n"/>
      <c r="S33" s="161" t="n"/>
      <c r="T33" s="159" t="inlineStr">
        <is>
          <t>2024 and 2025 blank</t>
        </is>
      </c>
      <c r="U33" s="159" t="inlineStr">
        <is>
          <t>FIASA annual reports 2024 (p.32) and 2025 (p.47); JODI oil database; department sales volumes page</t>
        </is>
      </c>
      <c r="V33" s="159" t="inlineStr">
        <is>
          <t>Fill in when the department publishes</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is>
          <t>Calculated in this workbook from the rows named in the definition</t>
        </is>
      </c>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is>
          <t>Calculated in this workbook from the rows named in the definition</t>
        </is>
      </c>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is>
          <t>Calculated in this workbook from the rows named in the definition</t>
        </is>
      </c>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is>
          <t>Calculated in this workbook from the rows named in the definition</t>
        </is>
      </c>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is>
          <t>Calculated in this workbook from the rows named in the definition</t>
        </is>
      </c>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for that year.</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of Mineral and Petroleum Resources, &lt;year&gt;-Commodity-Flow-and-Energy-Balance.xlsx (2021: .xlsm); dmpr.gov.za/Portals/0/Energy_Website/files/media/Energy_Balances.html</t>
        </is>
      </c>
      <c r="V51" s="152" t="inlineStr">
        <is>
          <t>2022 onward: add when the department publishes a balance</t>
        </is>
      </c>
    </row>
    <row r="52">
      <c r="A52" s="159" t="inlineStr">
        <is>
          <t>Refinery output reported to JODI, petrol</t>
        </is>
      </c>
      <c r="B52" s="160" t="inlineStr">
        <is>
          <t>million L/year</t>
        </is>
      </c>
      <c r="C52" s="160" t="inlineStr">
        <is>
          <t>Comparison only</t>
        </is>
      </c>
      <c r="D52" s="161" t="n"/>
      <c r="E52" s="159" t="inlineStr">
        <is>
          <t>South Africa's monthly submissions to the JODI oil database, added over the calendar year. Not used.</t>
        </is>
      </c>
      <c r="F52" s="161" t="n"/>
      <c r="G52" s="161" t="n"/>
      <c r="H52" s="161" t="n"/>
      <c r="I52" s="161" t="n"/>
      <c r="J52" s="161" t="n"/>
      <c r="K52" s="161" t="n">
        <v>11731.6379</v>
      </c>
      <c r="L52" s="161" t="n">
        <v>11313.0354</v>
      </c>
      <c r="M52" s="161" t="n">
        <v>12109.8608</v>
      </c>
      <c r="N52" s="161" t="n">
        <v>8927.943300000001</v>
      </c>
      <c r="O52" s="161" t="n">
        <v>7124.3185</v>
      </c>
      <c r="P52" s="161" t="n">
        <v>6638.4163</v>
      </c>
      <c r="Q52" s="161" t="n">
        <v>8522.800800000001</v>
      </c>
      <c r="R52" s="161" t="n">
        <v>7341.0227</v>
      </c>
      <c r="S52" s="161" t="n"/>
      <c r="T52" s="159" t="inlineStr">
        <is>
          <t>Not used. 2017-2024; 12-24% above the energy balance in 2017-2021</t>
        </is>
      </c>
      <c r="U52" s="159" t="inlineStr">
        <is>
          <t>JODI oil database, secondary products, annual files; jodidata.org; lowest assessment code</t>
        </is>
      </c>
      <c r="V52" s="159" t="inlineStr"/>
    </row>
    <row r="53">
      <c r="A53" s="152" t="inlineStr">
        <is>
          <t>Production reported, diesel</t>
        </is>
      </c>
      <c r="B53" s="153" t="inlineStr">
        <is>
          <t>million L/year</t>
        </is>
      </c>
      <c r="C53" s="153" t="inlineStr">
        <is>
          <t>Source observation</t>
        </is>
      </c>
      <c r="D53" s="154" t="n"/>
      <c r="E53" s="152" t="inlineStr">
        <is>
          <t>National production line of the department's energy balance for that year.</t>
        </is>
      </c>
      <c r="F53" s="154" t="n">
        <v>9661.628000000001</v>
      </c>
      <c r="G53" s="154" t="n">
        <v>9380.035</v>
      </c>
      <c r="H53" s="154" t="n">
        <v>9587.74</v>
      </c>
      <c r="I53" s="154" t="n">
        <v>9368.482</v>
      </c>
      <c r="J53" s="154" t="n">
        <v>9014.190000000001</v>
      </c>
      <c r="K53" s="154" t="n">
        <v>7921.726</v>
      </c>
      <c r="L53" s="154" t="n">
        <v>8425.262000000001</v>
      </c>
      <c r="M53" s="154" t="n">
        <v>9080.357</v>
      </c>
      <c r="N53" s="154" t="n">
        <v>6447.8095</v>
      </c>
      <c r="O53" s="154" t="n">
        <v>5314.964285718001</v>
      </c>
      <c r="P53" s="154" t="n"/>
      <c r="Q53" s="154" t="n"/>
      <c r="R53" s="154" t="n"/>
      <c r="S53" s="154" t="n"/>
      <c r="T53" s="152" t="inlineStr">
        <is>
          <t>2012-2021; no balance published after 2021</t>
        </is>
      </c>
      <c r="U53" s="152" t="inlineStr">
        <is>
          <t>Department of Mineral and Petroleum Resources, &lt;year&gt;-Commodity-Flow-and-Energy-Balance.xlsx (2021: .xlsm); dmpr.gov.za/Portals/0/Energy_Website/files/media/Energy_Balances.html</t>
        </is>
      </c>
      <c r="V53" s="152" t="inlineStr">
        <is>
          <t>2022 onward: add when the department publishes a balance</t>
        </is>
      </c>
    </row>
    <row r="54">
      <c r="A54" s="159" t="inlineStr">
        <is>
          <t>Refinery output reported to JODI, diesel</t>
        </is>
      </c>
      <c r="B54" s="160" t="inlineStr">
        <is>
          <t>million L/year</t>
        </is>
      </c>
      <c r="C54" s="160" t="inlineStr">
        <is>
          <t>Comparison only</t>
        </is>
      </c>
      <c r="D54" s="161" t="n"/>
      <c r="E54" s="159" t="inlineStr">
        <is>
          <t>South Africa's monthly submissions to the JODI oil database, added over the calendar year. Not used.</t>
        </is>
      </c>
      <c r="F54" s="161" t="n"/>
      <c r="G54" s="161" t="n"/>
      <c r="H54" s="161" t="n"/>
      <c r="I54" s="161" t="n"/>
      <c r="J54" s="161" t="n"/>
      <c r="K54" s="161" t="n">
        <v>8062.9588</v>
      </c>
      <c r="L54" s="161" t="n">
        <v>8136.4744</v>
      </c>
      <c r="M54" s="161" t="n">
        <v>8889.4123</v>
      </c>
      <c r="N54" s="161" t="n">
        <v>6356.6947</v>
      </c>
      <c r="O54" s="161" t="n">
        <v>5295.4669</v>
      </c>
      <c r="P54" s="161" t="n">
        <v>4110.9234</v>
      </c>
      <c r="Q54" s="161" t="n">
        <v>5187.5654</v>
      </c>
      <c r="R54" s="161" t="n">
        <v>3892.7492</v>
      </c>
      <c r="S54" s="161" t="n"/>
      <c r="T54" s="159" t="inlineStr">
        <is>
          <t>Not used. 2017-2024; within 4% of the energy balance in 2017-2021</t>
        </is>
      </c>
      <c r="U54" s="159" t="inlineStr">
        <is>
          <t>JODI oil database, secondary products, annual files; jodidata.org; lowest assessment code</t>
        </is>
      </c>
      <c r="V54" s="159" t="inlineStr"/>
    </row>
    <row r="55">
      <c r="A55" s="159" t="inlineStr">
        <is>
          <t>Secunda, all refined products</t>
        </is>
      </c>
      <c r="B55" s="160" t="inlineStr">
        <is>
          <t>million barrels</t>
        </is>
      </c>
      <c r="C55" s="160" t="inlineStr">
        <is>
          <t>Reported units; not converted</t>
        </is>
      </c>
      <c r="D55" s="161" t="n"/>
      <c r="E55" s="159" t="inlineStr">
        <is>
          <t>As reported by the operator; year to 30 June. All products together, so not comparable with the rows above without assumptions.</t>
        </is>
      </c>
      <c r="F55" s="161" t="n"/>
      <c r="G55" s="161" t="n"/>
      <c r="H55" s="161" t="n"/>
      <c r="I55" s="161" t="n"/>
      <c r="J55" s="161" t="n"/>
      <c r="K55" s="161" t="n"/>
      <c r="L55" s="161" t="n"/>
      <c r="M55" s="161" t="n"/>
      <c r="N55" s="161" t="n">
        <v>31.2</v>
      </c>
      <c r="O55" s="161" t="n">
        <v>32.1</v>
      </c>
      <c r="P55" s="161" t="n">
        <v>29.2</v>
      </c>
      <c r="Q55" s="161" t="n">
        <v>29.9</v>
      </c>
      <c r="R55" s="161" t="n">
        <v>29.1</v>
      </c>
      <c r="S55" s="161" t="n">
        <v>27.6</v>
      </c>
      <c r="T55" s="159" t="inlineStr">
        <is>
          <t>Operator reports; no split by product</t>
        </is>
      </c>
      <c r="U55" s="159" t="inlineStr">
        <is>
          <t>Sasol production metrics; Glencore annual reports</t>
        </is>
      </c>
      <c r="V55" s="159" t="inlineStr"/>
    </row>
    <row r="56">
      <c r="A56" s="159" t="inlineStr">
        <is>
          <t>Natref, Sasol's 63.64% share</t>
        </is>
      </c>
      <c r="B56" s="160" t="inlineStr">
        <is>
          <t>million barrels</t>
        </is>
      </c>
      <c r="C56" s="160" t="inlineStr">
        <is>
          <t>Reported units; not converted</t>
        </is>
      </c>
      <c r="D56" s="161" t="n"/>
      <c r="E56" s="159" t="inlineStr">
        <is>
          <t>As reported by the operator; year to 30 June. All products together, so not comparable with the rows above without assumptions.</t>
        </is>
      </c>
      <c r="F56" s="161" t="n"/>
      <c r="G56" s="161" t="n"/>
      <c r="H56" s="161" t="n"/>
      <c r="I56" s="161" t="n"/>
      <c r="J56" s="161" t="n"/>
      <c r="K56" s="161" t="n"/>
      <c r="L56" s="161" t="n"/>
      <c r="M56" s="161" t="n"/>
      <c r="N56" s="161" t="n">
        <v>16.8</v>
      </c>
      <c r="O56" s="161" t="n">
        <v>17.7</v>
      </c>
      <c r="P56" s="161" t="n">
        <v>18.9</v>
      </c>
      <c r="Q56" s="161" t="n">
        <v>17.2</v>
      </c>
      <c r="R56" s="161" t="n">
        <v>17.8</v>
      </c>
      <c r="S56" s="161" t="n">
        <v>14.7</v>
      </c>
      <c r="T56" s="159" t="inlineStr">
        <is>
          <t>Operator reports; no split by product</t>
        </is>
      </c>
      <c r="U56" s="159" t="inlineStr">
        <is>
          <t>Sasol production metrics; Glencore annual reports</t>
        </is>
      </c>
      <c r="V56" s="159" t="inlineStr"/>
    </row>
    <row r="57">
      <c r="A57" s="159" t="inlineStr">
        <is>
          <t>Astron (Cape Town), all refined products</t>
        </is>
      </c>
      <c r="B57" s="160" t="inlineStr">
        <is>
          <t>billion Btu</t>
        </is>
      </c>
      <c r="C57" s="160" t="inlineStr">
        <is>
          <t>Reported units; not converted</t>
        </is>
      </c>
      <c r="D57" s="161" t="n"/>
      <c r="E57" s="159" t="inlineStr">
        <is>
          <t>As reported by the operator; calendar year. All products together, so not comparable with the rows above without assumptions.</t>
        </is>
      </c>
      <c r="F57" s="161" t="n"/>
      <c r="G57" s="161" t="n"/>
      <c r="H57" s="161" t="n"/>
      <c r="I57" s="161" t="n"/>
      <c r="J57" s="161" t="n"/>
      <c r="K57" s="161" t="n"/>
      <c r="L57" s="161" t="n"/>
      <c r="M57" s="161" t="n"/>
      <c r="N57" s="161" t="n"/>
      <c r="O57" s="161" t="n"/>
      <c r="P57" s="161" t="n"/>
      <c r="Q57" s="161" t="n">
        <v>136665</v>
      </c>
      <c r="R57" s="161" t="n">
        <v>166204</v>
      </c>
      <c r="S57" s="161" t="n">
        <v>164365</v>
      </c>
      <c r="T57" s="159" t="inlineStr">
        <is>
          <t>Operator reports; no split by product</t>
        </is>
      </c>
      <c r="U57" s="159" t="inlineStr">
        <is>
          <t>Sasol production metrics; Glencore annual reports</t>
        </is>
      </c>
      <c r="V57" s="159" t="inlineStr"/>
    </row>
    <row r="59">
      <c r="A59" s="151" t="inlineStr">
        <is>
          <t>4. Balance: consumption = imports - exports + production + stock change</t>
        </is>
      </c>
      <c r="B59" s="151" t="n"/>
      <c r="C59" s="151" t="n"/>
      <c r="D59" s="151" t="n"/>
      <c r="E59" s="151" t="n"/>
      <c r="F59" s="151" t="n"/>
      <c r="G59" s="151" t="n"/>
      <c r="H59" s="151" t="n"/>
      <c r="I59" s="151" t="n"/>
      <c r="J59" s="151" t="n"/>
      <c r="K59" s="151" t="n"/>
      <c r="L59" s="151" t="n"/>
      <c r="M59" s="151" t="n"/>
      <c r="N59" s="151" t="n"/>
      <c r="O59" s="151" t="n"/>
      <c r="P59" s="151" t="n"/>
      <c r="Q59" s="151" t="n"/>
      <c r="R59" s="151" t="n"/>
      <c r="S59" s="151" t="n"/>
      <c r="T59" s="151" t="n"/>
      <c r="U59" s="151" t="n"/>
      <c r="V59" s="151" t="n"/>
    </row>
    <row r="60">
      <c r="A60" s="159" t="inlineStr">
        <is>
          <t>FIASA sales, petrol</t>
        </is>
      </c>
      <c r="B60" s="160" t="inlineStr">
        <is>
          <t>million L/year</t>
        </is>
      </c>
      <c r="C60" s="160" t="inlineStr">
        <is>
          <t>Comparison only</t>
        </is>
      </c>
      <c r="D60" s="161" t="n"/>
      <c r="E60" s="159" t="inlineStr">
        <is>
          <t>FIASA annual report, latest edition. Attributed by FIASA to the department.</t>
        </is>
      </c>
      <c r="F60" s="161" t="n">
        <v>11714</v>
      </c>
      <c r="G60" s="161" t="n">
        <v>11153</v>
      </c>
      <c r="H60" s="161" t="n">
        <v>11344</v>
      </c>
      <c r="I60" s="161" t="n">
        <v>12072</v>
      </c>
      <c r="J60" s="161" t="n">
        <v>10160</v>
      </c>
      <c r="K60" s="161" t="n">
        <v>11174</v>
      </c>
      <c r="L60" s="161" t="n">
        <v>11142</v>
      </c>
      <c r="M60" s="161" t="n">
        <v>10773</v>
      </c>
      <c r="N60" s="161" t="n">
        <v>8761</v>
      </c>
      <c r="O60" s="161" t="n">
        <v>9302</v>
      </c>
      <c r="P60" s="161" t="n">
        <v>9185</v>
      </c>
      <c r="Q60" s="161" t="n">
        <v>9037</v>
      </c>
      <c r="R60" s="161" t="n">
        <v>9029</v>
      </c>
      <c r="S60" s="161" t="n"/>
      <c r="T60" s="159" t="inlineStr">
        <is>
          <t>Not used. 2024 differs between FIASA's 2024 and 2025 editions</t>
        </is>
      </c>
      <c r="U60" s="159" t="inlineStr">
        <is>
          <t>Fuels Industry Association of South Africa, annual reports</t>
        </is>
      </c>
      <c r="V60" s="159" t="inlineStr"/>
    </row>
    <row r="61">
      <c r="A61" s="156" t="inlineStr">
        <is>
          <t>Sales used, petrol</t>
        </is>
      </c>
      <c r="B61" s="157" t="inlineStr">
        <is>
          <t>million L/year</t>
        </is>
      </c>
      <c r="C61" s="157" t="inlineStr">
        <is>
          <t>Reporting formula</t>
        </is>
      </c>
      <c r="D61" s="158" t="n"/>
      <c r="E61" s="156" t="inlineStr">
        <is>
          <t>The sum of the nine provinces (section 1) where there is one; otherwise the department's national file. 2023 is the national total, which the provincial estimates add up to.</t>
        </is>
      </c>
      <c r="F61" s="158">
        <f>IF(ISNUMBER(F15),F15,IF(ISNUMBER(F16),F16,""))</f>
        <v/>
      </c>
      <c r="G61" s="158">
        <f>IF(ISNUMBER(G15),G15,IF(ISNUMBER(G16),G16,""))</f>
        <v/>
      </c>
      <c r="H61" s="158">
        <f>IF(ISNUMBER(H15),H15,IF(ISNUMBER(H16),H16,""))</f>
        <v/>
      </c>
      <c r="I61" s="158">
        <f>IF(ISNUMBER(I15),I15,IF(ISNUMBER(I16),I16,""))</f>
        <v/>
      </c>
      <c r="J61" s="158">
        <f>IF(ISNUMBER(J15),J15,IF(ISNUMBER(J16),J16,""))</f>
        <v/>
      </c>
      <c r="K61" s="158">
        <f>IF(ISNUMBER(K15),K15,IF(ISNUMBER(K16),K16,""))</f>
        <v/>
      </c>
      <c r="L61" s="158">
        <f>IF(ISNUMBER(L15),L15,IF(ISNUMBER(L16),L16,""))</f>
        <v/>
      </c>
      <c r="M61" s="158">
        <f>IF(ISNUMBER(M15),M15,IF(ISNUMBER(M16),M16,""))</f>
        <v/>
      </c>
      <c r="N61" s="158">
        <f>IF(ISNUMBER(N15),N15,IF(ISNUMBER(N16),N16,""))</f>
        <v/>
      </c>
      <c r="O61" s="158">
        <f>IF(ISNUMBER(O15),O15,IF(ISNUMBER(O16),O16,""))</f>
        <v/>
      </c>
      <c r="P61" s="158">
        <f>IF(ISNUMBER(P15),P15,IF(ISNUMBER(P16),P16,""))</f>
        <v/>
      </c>
      <c r="Q61" s="158">
        <f>IF(ISNUMBER(Q15),Q15,IF(ISNUMBER(Q16),Q16,""))</f>
        <v/>
      </c>
      <c r="R61" s="158">
        <f>IF(ISNUMBER(R15),R15,IF(ISNUMBER(R16),R16,""))</f>
        <v/>
      </c>
      <c r="S61" s="158">
        <f>IF(ISNUMBER(S15),S15,IF(ISNUMBER(S16),S16,""))</f>
        <v/>
      </c>
      <c r="T61" s="156" t="inlineStr">
        <is>
          <t>Provinces 2013-2023 (2023 estimated); national file 2012; blank for 2024 and 2025</t>
        </is>
      </c>
      <c r="U61" s="156" t="inlineStr">
        <is>
          <t>Department district sales summed to province; national file for 2012 and the 2023 total</t>
        </is>
      </c>
      <c r="V61" s="156" t="inlineStr"/>
    </row>
    <row r="62">
      <c r="A62" s="156" t="inlineStr">
        <is>
          <t>Net imports used, petrol</t>
        </is>
      </c>
      <c r="B62" s="157" t="inlineStr">
        <is>
          <t>million L/year</t>
        </is>
      </c>
      <c r="C62" s="157" t="inlineStr">
        <is>
          <t>Reporting formula</t>
        </is>
      </c>
      <c r="D62" s="158" t="n"/>
      <c r="E62" s="156" t="inlineStr">
        <is>
          <t>SARS customs from 2014 (section 2).</t>
        </is>
      </c>
      <c r="F62" s="158">
        <f>IF(ISNUMBER(F43),F43,"")</f>
        <v/>
      </c>
      <c r="G62" s="158">
        <f>IF(ISNUMBER(G43),G43,"")</f>
        <v/>
      </c>
      <c r="H62" s="158">
        <f>IF(ISNUMBER(H43),H43,"")</f>
        <v/>
      </c>
      <c r="I62" s="158">
        <f>IF(ISNUMBER(I43),I43,"")</f>
        <v/>
      </c>
      <c r="J62" s="158">
        <f>IF(ISNUMBER(J43),J43,"")</f>
        <v/>
      </c>
      <c r="K62" s="158">
        <f>IF(ISNUMBER(K43),K43,"")</f>
        <v/>
      </c>
      <c r="L62" s="158">
        <f>IF(ISNUMBER(L43),L43,"")</f>
        <v/>
      </c>
      <c r="M62" s="158">
        <f>IF(ISNUMBER(M43),M43,"")</f>
        <v/>
      </c>
      <c r="N62" s="158">
        <f>IF(ISNUMBER(N43),N43,"")</f>
        <v/>
      </c>
      <c r="O62" s="158">
        <f>IF(ISNUMBER(O43),O43,"")</f>
        <v/>
      </c>
      <c r="P62" s="158">
        <f>IF(ISNUMBER(P43),P43,"")</f>
        <v/>
      </c>
      <c r="Q62" s="158">
        <f>IF(ISNUMBER(Q43),Q43,"")</f>
        <v/>
      </c>
      <c r="R62" s="158">
        <f>IF(ISNUMBER(R43),R43,"")</f>
        <v/>
      </c>
      <c r="S62" s="158">
        <f>IF(ISNUMBER(S43),S43,"")</f>
        <v/>
      </c>
      <c r="T62" s="156" t="inlineStr"/>
      <c r="U62" s="156" t="inlineStr">
        <is>
          <t>Calculated in this workbook from the rows named in the definition</t>
        </is>
      </c>
      <c r="V62" s="156" t="inlineStr"/>
    </row>
    <row r="63">
      <c r="A63" s="156" t="inlineStr">
        <is>
          <t>Sales less net imports, petrol</t>
        </is>
      </c>
      <c r="B63" s="157" t="inlineStr">
        <is>
          <t>million L/year</t>
        </is>
      </c>
      <c r="C63" s="157" t="inlineStr">
        <is>
          <t>Reporting formula</t>
        </is>
      </c>
      <c r="D63" s="158" t="n"/>
      <c r="E63" s="156" t="inlineStr">
        <is>
          <t>What production, stock changes and gaps in sales coverage must together supply. Not a measurement of production.</t>
        </is>
      </c>
      <c r="F63" s="158">
        <f>IF(COUNT(F61,F62)&lt;2,"",F61-F62)</f>
        <v/>
      </c>
      <c r="G63" s="158">
        <f>IF(COUNT(G61,G62)&lt;2,"",G61-G62)</f>
        <v/>
      </c>
      <c r="H63" s="158">
        <f>IF(COUNT(H61,H62)&lt;2,"",H61-H62)</f>
        <v/>
      </c>
      <c r="I63" s="158">
        <f>IF(COUNT(I61,I62)&lt;2,"",I61-I62)</f>
        <v/>
      </c>
      <c r="J63" s="158">
        <f>IF(COUNT(J61,J62)&lt;2,"",J61-J62)</f>
        <v/>
      </c>
      <c r="K63" s="158">
        <f>IF(COUNT(K61,K62)&lt;2,"",K61-K62)</f>
        <v/>
      </c>
      <c r="L63" s="158">
        <f>IF(COUNT(L61,L62)&lt;2,"",L61-L62)</f>
        <v/>
      </c>
      <c r="M63" s="158">
        <f>IF(COUNT(M61,M62)&lt;2,"",M61-M62)</f>
        <v/>
      </c>
      <c r="N63" s="158">
        <f>IF(COUNT(N61,N62)&lt;2,"",N61-N62)</f>
        <v/>
      </c>
      <c r="O63" s="158">
        <f>IF(COUNT(O61,O62)&lt;2,"",O61-O62)</f>
        <v/>
      </c>
      <c r="P63" s="158">
        <f>IF(COUNT(P61,P62)&lt;2,"",P61-P62)</f>
        <v/>
      </c>
      <c r="Q63" s="158">
        <f>IF(COUNT(Q61,Q62)&lt;2,"",Q61-Q62)</f>
        <v/>
      </c>
      <c r="R63" s="158">
        <f>IF(COUNT(R61,R62)&lt;2,"",R61-R62)</f>
        <v/>
      </c>
      <c r="S63" s="158">
        <f>IF(COUNT(S61,S62)&lt;2,"",S61-S62)</f>
        <v/>
      </c>
      <c r="T63" s="156" t="inlineStr"/>
      <c r="U63" s="156" t="inlineStr">
        <is>
          <t>Calculated in this workbook from the rows named in the definition</t>
        </is>
      </c>
      <c r="V63" s="156" t="inlineStr"/>
    </row>
    <row r="64">
      <c r="A64" s="156" t="inlineStr">
        <is>
          <t>Unexplained after reported production, petrol</t>
        </is>
      </c>
      <c r="B64" s="157" t="inlineStr">
        <is>
          <t>million L/year</t>
        </is>
      </c>
      <c r="C64" s="157" t="inlineStr">
        <is>
          <t>Reporting formula</t>
        </is>
      </c>
      <c r="D64" s="158" t="n"/>
      <c r="E64" s="156" t="inlineStr">
        <is>
          <t>Sales less net imports less reported production: stock change plus anything the sources do not cover.</t>
        </is>
      </c>
      <c r="F64" s="158">
        <f>IF(COUNT(F63,F51)&lt;2,"",F63-F51)</f>
        <v/>
      </c>
      <c r="G64" s="158">
        <f>IF(COUNT(G63,G51)&lt;2,"",G63-G51)</f>
        <v/>
      </c>
      <c r="H64" s="158">
        <f>IF(COUNT(H63,H51)&lt;2,"",H63-H51)</f>
        <v/>
      </c>
      <c r="I64" s="158">
        <f>IF(COUNT(I63,I51)&lt;2,"",I63-I51)</f>
        <v/>
      </c>
      <c r="J64" s="158">
        <f>IF(COUNT(J63,J51)&lt;2,"",J63-J51)</f>
        <v/>
      </c>
      <c r="K64" s="158">
        <f>IF(COUNT(K63,K51)&lt;2,"",K63-K51)</f>
        <v/>
      </c>
      <c r="L64" s="158">
        <f>IF(COUNT(L63,L51)&lt;2,"",L63-L51)</f>
        <v/>
      </c>
      <c r="M64" s="158">
        <f>IF(COUNT(M63,M51)&lt;2,"",M63-M51)</f>
        <v/>
      </c>
      <c r="N64" s="158">
        <f>IF(COUNT(N63,N51)&lt;2,"",N63-N51)</f>
        <v/>
      </c>
      <c r="O64" s="158">
        <f>IF(COUNT(O63,O51)&lt;2,"",O63-O51)</f>
        <v/>
      </c>
      <c r="P64" s="158">
        <f>IF(COUNT(P63,P51)&lt;2,"",P63-P51)</f>
        <v/>
      </c>
      <c r="Q64" s="158">
        <f>IF(COUNT(Q63,Q51)&lt;2,"",Q63-Q51)</f>
        <v/>
      </c>
      <c r="R64" s="158">
        <f>IF(COUNT(R63,R51)&lt;2,"",R63-R51)</f>
        <v/>
      </c>
      <c r="S64" s="158">
        <f>IF(COUNT(S63,S51)&lt;2,"",S63-S51)</f>
        <v/>
      </c>
      <c r="T64" s="156" t="inlineStr">
        <is>
          <t>To 2021, the last energy balance. Negative means reported supply is above recorded sales</t>
        </is>
      </c>
      <c r="U64" s="156" t="inlineStr">
        <is>
          <t>Calculated in this workbook from the rows named in the definition</t>
        </is>
      </c>
      <c r="V64" s="156" t="inlineStr">
        <is>
          <t>No stock series is published</t>
        </is>
      </c>
    </row>
    <row r="65">
      <c r="A65" s="159" t="inlineStr">
        <is>
          <t>FIASA sales, diesel</t>
        </is>
      </c>
      <c r="B65" s="160" t="inlineStr">
        <is>
          <t>million L/year</t>
        </is>
      </c>
      <c r="C65" s="160" t="inlineStr">
        <is>
          <t>Comparison only</t>
        </is>
      </c>
      <c r="D65" s="161" t="n"/>
      <c r="E65" s="159" t="inlineStr">
        <is>
          <t>FIASA annual report, latest edition. Attributed by FIASA to the department.</t>
        </is>
      </c>
      <c r="F65" s="161" t="n">
        <v>11262</v>
      </c>
      <c r="G65" s="161" t="n">
        <v>11890</v>
      </c>
      <c r="H65" s="161" t="n">
        <v>13169</v>
      </c>
      <c r="I65" s="161" t="n">
        <v>14178</v>
      </c>
      <c r="J65" s="161" t="n">
        <v>10846</v>
      </c>
      <c r="K65" s="161" t="n">
        <v>12147</v>
      </c>
      <c r="L65" s="161" t="n">
        <v>12539</v>
      </c>
      <c r="M65" s="161" t="n">
        <v>12909</v>
      </c>
      <c r="N65" s="161" t="n">
        <v>11690</v>
      </c>
      <c r="O65" s="161" t="n">
        <v>12946</v>
      </c>
      <c r="P65" s="161" t="n">
        <v>12717</v>
      </c>
      <c r="Q65" s="161" t="n">
        <v>12907</v>
      </c>
      <c r="R65" s="161" t="n">
        <v>11734</v>
      </c>
      <c r="S65" s="161" t="n"/>
      <c r="T65" s="159" t="inlineStr">
        <is>
          <t>Not used. 2024 differs between FIASA's 2024 and 2025 editions</t>
        </is>
      </c>
      <c r="U65" s="159" t="inlineStr">
        <is>
          <t>Fuels Industry Association of South Africa, annual reports</t>
        </is>
      </c>
      <c r="V65" s="159" t="inlineStr"/>
    </row>
    <row r="66">
      <c r="A66" s="156" t="inlineStr">
        <is>
          <t>Sales used, diesel</t>
        </is>
      </c>
      <c r="B66" s="157" t="inlineStr">
        <is>
          <t>million L/year</t>
        </is>
      </c>
      <c r="C66" s="157" t="inlineStr">
        <is>
          <t>Reporting formula</t>
        </is>
      </c>
      <c r="D66" s="158" t="n"/>
      <c r="E66" s="156" t="inlineStr">
        <is>
          <t>The sum of the nine provinces (section 1) where there is one; otherwise the department's national file. 2023 is the national total, which the provincial estimates add up to.</t>
        </is>
      </c>
      <c r="F66" s="158">
        <f>IF(ISNUMBER(F30),F30,IF(ISNUMBER(F31),F31,""))</f>
        <v/>
      </c>
      <c r="G66" s="158">
        <f>IF(ISNUMBER(G30),G30,IF(ISNUMBER(G31),G31,""))</f>
        <v/>
      </c>
      <c r="H66" s="158">
        <f>IF(ISNUMBER(H30),H30,IF(ISNUMBER(H31),H31,""))</f>
        <v/>
      </c>
      <c r="I66" s="158">
        <f>IF(ISNUMBER(I30),I30,IF(ISNUMBER(I31),I31,""))</f>
        <v/>
      </c>
      <c r="J66" s="158">
        <f>IF(ISNUMBER(J30),J30,IF(ISNUMBER(J31),J31,""))</f>
        <v/>
      </c>
      <c r="K66" s="158">
        <f>IF(ISNUMBER(K30),K30,IF(ISNUMBER(K31),K31,""))</f>
        <v/>
      </c>
      <c r="L66" s="158">
        <f>IF(ISNUMBER(L30),L30,IF(ISNUMBER(L31),L31,""))</f>
        <v/>
      </c>
      <c r="M66" s="158">
        <f>IF(ISNUMBER(M30),M30,IF(ISNUMBER(M31),M31,""))</f>
        <v/>
      </c>
      <c r="N66" s="158">
        <f>IF(ISNUMBER(N30),N30,IF(ISNUMBER(N31),N31,""))</f>
        <v/>
      </c>
      <c r="O66" s="158">
        <f>IF(ISNUMBER(O30),O30,IF(ISNUMBER(O31),O31,""))</f>
        <v/>
      </c>
      <c r="P66" s="158">
        <f>IF(ISNUMBER(P30),P30,IF(ISNUMBER(P31),P31,""))</f>
        <v/>
      </c>
      <c r="Q66" s="158">
        <f>IF(ISNUMBER(Q30),Q30,IF(ISNUMBER(Q31),Q31,""))</f>
        <v/>
      </c>
      <c r="R66" s="158">
        <f>IF(ISNUMBER(R30),R30,IF(ISNUMBER(R31),R31,""))</f>
        <v/>
      </c>
      <c r="S66" s="158">
        <f>IF(ISNUMBER(S30),S30,IF(ISNUMBER(S31),S31,""))</f>
        <v/>
      </c>
      <c r="T66" s="156" t="inlineStr">
        <is>
          <t>Provinces 2013-2023 (2023 estimated); national file 2012; blank for 2024 and 2025</t>
        </is>
      </c>
      <c r="U66" s="156" t="inlineStr">
        <is>
          <t>Department district sales summed to province; national file for 2012 and the 2023 total</t>
        </is>
      </c>
      <c r="V66" s="156" t="inlineStr"/>
    </row>
    <row r="67">
      <c r="A67" s="156" t="inlineStr">
        <is>
          <t>Net imports used, diesel</t>
        </is>
      </c>
      <c r="B67" s="157" t="inlineStr">
        <is>
          <t>million L/year</t>
        </is>
      </c>
      <c r="C67" s="157" t="inlineStr">
        <is>
          <t>Reporting formula</t>
        </is>
      </c>
      <c r="D67" s="158" t="n"/>
      <c r="E67" s="156" t="inlineStr">
        <is>
          <t>SARS customs from 2014 (section 2).</t>
        </is>
      </c>
      <c r="F67" s="158">
        <f>IF(ISNUMBER(F42),F42,"")</f>
        <v/>
      </c>
      <c r="G67" s="158">
        <f>IF(ISNUMBER(G42),G42,"")</f>
        <v/>
      </c>
      <c r="H67" s="158">
        <f>IF(ISNUMBER(H42),H42,"")</f>
        <v/>
      </c>
      <c r="I67" s="158">
        <f>IF(ISNUMBER(I42),I42,"")</f>
        <v/>
      </c>
      <c r="J67" s="158">
        <f>IF(ISNUMBER(J42),J42,"")</f>
        <v/>
      </c>
      <c r="K67" s="158">
        <f>IF(ISNUMBER(K42),K42,"")</f>
        <v/>
      </c>
      <c r="L67" s="158">
        <f>IF(ISNUMBER(L42),L42,"")</f>
        <v/>
      </c>
      <c r="M67" s="158">
        <f>IF(ISNUMBER(M42),M42,"")</f>
        <v/>
      </c>
      <c r="N67" s="158">
        <f>IF(ISNUMBER(N42),N42,"")</f>
        <v/>
      </c>
      <c r="O67" s="158">
        <f>IF(ISNUMBER(O42),O42,"")</f>
        <v/>
      </c>
      <c r="P67" s="158">
        <f>IF(ISNUMBER(P42),P42,"")</f>
        <v/>
      </c>
      <c r="Q67" s="158">
        <f>IF(ISNUMBER(Q42),Q42,"")</f>
        <v/>
      </c>
      <c r="R67" s="158">
        <f>IF(ISNUMBER(R42),R42,"")</f>
        <v/>
      </c>
      <c r="S67" s="158">
        <f>IF(ISNUMBER(S42),S42,"")</f>
        <v/>
      </c>
      <c r="T67" s="156" t="inlineStr"/>
      <c r="U67" s="156" t="inlineStr">
        <is>
          <t>Calculated in this workbook from the rows named in the definition</t>
        </is>
      </c>
      <c r="V67" s="156" t="inlineStr"/>
    </row>
    <row r="68">
      <c r="A68" s="156" t="inlineStr">
        <is>
          <t>Sales less net imports, diesel</t>
        </is>
      </c>
      <c r="B68" s="157" t="inlineStr">
        <is>
          <t>million L/year</t>
        </is>
      </c>
      <c r="C68" s="157" t="inlineStr">
        <is>
          <t>Reporting formula</t>
        </is>
      </c>
      <c r="D68" s="158" t="n"/>
      <c r="E68" s="156" t="inlineStr">
        <is>
          <t>What production, stock changes and gaps in sales coverage must together supply. Not a measurement of production.</t>
        </is>
      </c>
      <c r="F68" s="158">
        <f>IF(COUNT(F66,F67)&lt;2,"",F66-F67)</f>
        <v/>
      </c>
      <c r="G68" s="158">
        <f>IF(COUNT(G66,G67)&lt;2,"",G66-G67)</f>
        <v/>
      </c>
      <c r="H68" s="158">
        <f>IF(COUNT(H66,H67)&lt;2,"",H66-H67)</f>
        <v/>
      </c>
      <c r="I68" s="158">
        <f>IF(COUNT(I66,I67)&lt;2,"",I66-I67)</f>
        <v/>
      </c>
      <c r="J68" s="158">
        <f>IF(COUNT(J66,J67)&lt;2,"",J66-J67)</f>
        <v/>
      </c>
      <c r="K68" s="158">
        <f>IF(COUNT(K66,K67)&lt;2,"",K66-K67)</f>
        <v/>
      </c>
      <c r="L68" s="158">
        <f>IF(COUNT(L66,L67)&lt;2,"",L66-L67)</f>
        <v/>
      </c>
      <c r="M68" s="158">
        <f>IF(COUNT(M66,M67)&lt;2,"",M66-M67)</f>
        <v/>
      </c>
      <c r="N68" s="158">
        <f>IF(COUNT(N66,N67)&lt;2,"",N66-N67)</f>
        <v/>
      </c>
      <c r="O68" s="158">
        <f>IF(COUNT(O66,O67)&lt;2,"",O66-O67)</f>
        <v/>
      </c>
      <c r="P68" s="158">
        <f>IF(COUNT(P66,P67)&lt;2,"",P66-P67)</f>
        <v/>
      </c>
      <c r="Q68" s="158">
        <f>IF(COUNT(Q66,Q67)&lt;2,"",Q66-Q67)</f>
        <v/>
      </c>
      <c r="R68" s="158">
        <f>IF(COUNT(R66,R67)&lt;2,"",R66-R67)</f>
        <v/>
      </c>
      <c r="S68" s="158">
        <f>IF(COUNT(S66,S67)&lt;2,"",S66-S67)</f>
        <v/>
      </c>
      <c r="T68" s="156" t="inlineStr"/>
      <c r="U68" s="156" t="inlineStr">
        <is>
          <t>Calculated in this workbook from the rows named in the definition</t>
        </is>
      </c>
      <c r="V68" s="156" t="inlineStr"/>
    </row>
    <row r="69">
      <c r="A69" s="156" t="inlineStr">
        <is>
          <t>Unexplained after reported production, diesel</t>
        </is>
      </c>
      <c r="B69" s="157" t="inlineStr">
        <is>
          <t>million L/year</t>
        </is>
      </c>
      <c r="C69" s="157" t="inlineStr">
        <is>
          <t>Reporting formula</t>
        </is>
      </c>
      <c r="D69" s="158" t="n"/>
      <c r="E69" s="156" t="inlineStr">
        <is>
          <t>Sales less net imports less reported production: stock change plus anything the sources do not cover.</t>
        </is>
      </c>
      <c r="F69" s="158">
        <f>IF(COUNT(F68,F53)&lt;2,"",F68-F53)</f>
        <v/>
      </c>
      <c r="G69" s="158">
        <f>IF(COUNT(G68,G53)&lt;2,"",G68-G53)</f>
        <v/>
      </c>
      <c r="H69" s="158">
        <f>IF(COUNT(H68,H53)&lt;2,"",H68-H53)</f>
        <v/>
      </c>
      <c r="I69" s="158">
        <f>IF(COUNT(I68,I53)&lt;2,"",I68-I53)</f>
        <v/>
      </c>
      <c r="J69" s="158">
        <f>IF(COUNT(J68,J53)&lt;2,"",J68-J53)</f>
        <v/>
      </c>
      <c r="K69" s="158">
        <f>IF(COUNT(K68,K53)&lt;2,"",K68-K53)</f>
        <v/>
      </c>
      <c r="L69" s="158">
        <f>IF(COUNT(L68,L53)&lt;2,"",L68-L53)</f>
        <v/>
      </c>
      <c r="M69" s="158">
        <f>IF(COUNT(M68,M53)&lt;2,"",M68-M53)</f>
        <v/>
      </c>
      <c r="N69" s="158">
        <f>IF(COUNT(N68,N53)&lt;2,"",N68-N53)</f>
        <v/>
      </c>
      <c r="O69" s="158">
        <f>IF(COUNT(O68,O53)&lt;2,"",O68-O53)</f>
        <v/>
      </c>
      <c r="P69" s="158">
        <f>IF(COUNT(P68,P53)&lt;2,"",P68-P53)</f>
        <v/>
      </c>
      <c r="Q69" s="158">
        <f>IF(COUNT(Q68,Q53)&lt;2,"",Q68-Q53)</f>
        <v/>
      </c>
      <c r="R69" s="158">
        <f>IF(COUNT(R68,R53)&lt;2,"",R68-R53)</f>
        <v/>
      </c>
      <c r="S69" s="158">
        <f>IF(COUNT(S68,S53)&lt;2,"",S68-S53)</f>
        <v/>
      </c>
      <c r="T69" s="156" t="inlineStr">
        <is>
          <t>To 2021, the last energy balance. Negative means reported supply is above recorded sales</t>
        </is>
      </c>
      <c r="U69" s="156" t="inlineStr">
        <is>
          <t>Calculated in this workbook from the rows named in the definition</t>
        </is>
      </c>
      <c r="V69" s="156" t="inlineStr">
        <is>
          <t>No stock series is published</t>
        </is>
      </c>
    </row>
    <row r="71">
      <c r="A71" s="151" t="inlineStr">
        <is>
          <t>5. Independent count of litres: Road Accident Fund levy (new evidence, 7 October)</t>
        </is>
      </c>
      <c r="B71" s="151" t="n"/>
      <c r="C71" s="151" t="n"/>
      <c r="D71" s="151" t="n"/>
      <c r="E71" s="151" t="n"/>
      <c r="F71" s="151" t="n"/>
      <c r="G71" s="151" t="n"/>
      <c r="H71" s="151" t="n"/>
      <c r="I71" s="151" t="n"/>
      <c r="J71" s="151" t="n"/>
      <c r="K71" s="151" t="n"/>
      <c r="L71" s="151" t="n"/>
      <c r="M71" s="151" t="n"/>
      <c r="N71" s="151" t="n"/>
      <c r="O71" s="151" t="n"/>
      <c r="P71" s="151" t="n"/>
      <c r="Q71" s="151" t="n"/>
      <c r="R71" s="151" t="n"/>
      <c r="S71" s="151" t="n"/>
      <c r="T71" s="151" t="n"/>
      <c r="U71" s="151" t="n"/>
      <c r="V71" s="151" t="n"/>
    </row>
    <row r="72">
      <c r="A72" s="159" t="inlineStr">
        <is>
          <t>Litres levied, petrol and diesel</t>
        </is>
      </c>
      <c r="B72" s="160" t="inlineStr">
        <is>
          <t>million L/year</t>
        </is>
      </c>
      <c r="C72" s="160" t="inlineStr">
        <is>
          <t>Comparison only</t>
        </is>
      </c>
      <c r="D72" s="161" t="n"/>
      <c r="E72" s="159" t="inlineStr">
        <is>
          <t>Gross levies divided by 218 cents a litre. Fiscal year to 31 March of the following year, shown under the calendar year it mostly covers.</t>
        </is>
      </c>
      <c r="F72" s="161" t="n"/>
      <c r="G72" s="161" t="n"/>
      <c r="H72" s="161" t="n"/>
      <c r="I72" s="161" t="n"/>
      <c r="J72" s="161" t="n"/>
      <c r="K72" s="161" t="n"/>
      <c r="L72" s="161" t="n"/>
      <c r="M72" s="161" t="n"/>
      <c r="N72" s="161" t="n"/>
      <c r="O72" s="161" t="n"/>
      <c r="P72" s="161" t="n"/>
      <c r="Q72" s="161" t="n">
        <v>24246.16513761468</v>
      </c>
      <c r="R72" s="161" t="n">
        <v>24424.24541284404</v>
      </c>
      <c r="S72" s="161" t="n"/>
      <c r="T72" s="159" t="inlineStr">
        <is>
          <t>Both fuels together; accrual basis; not reconciled with SARS's statement</t>
        </is>
      </c>
      <c r="U72" s="159" t="inlineStr">
        <is>
          <t>Road Accident Fund Annual Report 2024/25, note 16 (p.183)</t>
        </is>
      </c>
      <c r="V72" s="159" t="inlineStr"/>
    </row>
    <row r="73">
      <c r="A73" s="156" t="inlineStr">
        <is>
          <t>Recorded sales used, petrol and diesel</t>
        </is>
      </c>
      <c r="B73" s="157" t="inlineStr">
        <is>
          <t>million L/year</t>
        </is>
      </c>
      <c r="C73" s="157" t="inlineStr">
        <is>
          <t>Reporting formula</t>
        </is>
      </c>
      <c r="D73" s="158" t="n"/>
      <c r="E73" s="156" t="inlineStr">
        <is>
          <t>Sum of the two 'sales used' rows.</t>
        </is>
      </c>
      <c r="F73" s="158">
        <f>IF(COUNT(F61,F66)&lt;2,"",F61+F66)</f>
        <v/>
      </c>
      <c r="G73" s="158">
        <f>IF(COUNT(G61,G66)&lt;2,"",G61+G66)</f>
        <v/>
      </c>
      <c r="H73" s="158">
        <f>IF(COUNT(H61,H66)&lt;2,"",H61+H66)</f>
        <v/>
      </c>
      <c r="I73" s="158">
        <f>IF(COUNT(I61,I66)&lt;2,"",I61+I66)</f>
        <v/>
      </c>
      <c r="J73" s="158">
        <f>IF(COUNT(J61,J66)&lt;2,"",J61+J66)</f>
        <v/>
      </c>
      <c r="K73" s="158">
        <f>IF(COUNT(K61,K66)&lt;2,"",K61+K66)</f>
        <v/>
      </c>
      <c r="L73" s="158">
        <f>IF(COUNT(L61,L66)&lt;2,"",L61+L66)</f>
        <v/>
      </c>
      <c r="M73" s="158">
        <f>IF(COUNT(M61,M66)&lt;2,"",M61+M66)</f>
        <v/>
      </c>
      <c r="N73" s="158">
        <f>IF(COUNT(N61,N66)&lt;2,"",N61+N66)</f>
        <v/>
      </c>
      <c r="O73" s="158">
        <f>IF(COUNT(O61,O66)&lt;2,"",O61+O66)</f>
        <v/>
      </c>
      <c r="P73" s="158">
        <f>IF(COUNT(P61,P66)&lt;2,"",P61+P66)</f>
        <v/>
      </c>
      <c r="Q73" s="158">
        <f>IF(COUNT(Q61,Q66)&lt;2,"",Q61+Q66)</f>
        <v/>
      </c>
      <c r="R73" s="158">
        <f>IF(COUNT(R61,R66)&lt;2,"",R61+R66)</f>
        <v/>
      </c>
      <c r="S73" s="158">
        <f>IF(COUNT(S61,S66)&lt;2,"",S61+S66)</f>
        <v/>
      </c>
      <c r="T73" s="156" t="inlineStr"/>
      <c r="U73" s="156" t="inlineStr">
        <is>
          <t>Calculated in this workbook from the rows named in the definition</t>
        </is>
      </c>
      <c r="V73" s="156" t="inlineStr"/>
    </row>
    <row r="74">
      <c r="A74" s="156" t="inlineStr">
        <is>
          <t>Litres levied less recorded sales</t>
        </is>
      </c>
      <c r="B74" s="157" t="inlineStr">
        <is>
          <t>million L/year</t>
        </is>
      </c>
      <c r="C74" s="157" t="inlineStr">
        <is>
          <t>Reporting formula</t>
        </is>
      </c>
      <c r="D74" s="158" t="n"/>
      <c r="E74" s="156" t="inlineStr">
        <is>
          <t>An indication that recorded sales may undercount. A hypothesis to test; not added to demand.</t>
        </is>
      </c>
      <c r="F74" s="158">
        <f>IF(COUNT(F72,F73)&lt;2,"",F72-F73)</f>
        <v/>
      </c>
      <c r="G74" s="158">
        <f>IF(COUNT(G72,G73)&lt;2,"",G72-G73)</f>
        <v/>
      </c>
      <c r="H74" s="158">
        <f>IF(COUNT(H72,H73)&lt;2,"",H72-H73)</f>
        <v/>
      </c>
      <c r="I74" s="158">
        <f>IF(COUNT(I72,I73)&lt;2,"",I72-I73)</f>
        <v/>
      </c>
      <c r="J74" s="158">
        <f>IF(COUNT(J72,J73)&lt;2,"",J72-J73)</f>
        <v/>
      </c>
      <c r="K74" s="158">
        <f>IF(COUNT(K72,K73)&lt;2,"",K72-K73)</f>
        <v/>
      </c>
      <c r="L74" s="158">
        <f>IF(COUNT(L72,L73)&lt;2,"",L72-L73)</f>
        <v/>
      </c>
      <c r="M74" s="158">
        <f>IF(COUNT(M72,M73)&lt;2,"",M72-M73)</f>
        <v/>
      </c>
      <c r="N74" s="158">
        <f>IF(COUNT(N72,N73)&lt;2,"",N72-N73)</f>
        <v/>
      </c>
      <c r="O74" s="158">
        <f>IF(COUNT(O72,O73)&lt;2,"",O72-O73)</f>
        <v/>
      </c>
      <c r="P74" s="158">
        <f>IF(COUNT(P72,P73)&lt;2,"",P72-P73)</f>
        <v/>
      </c>
      <c r="Q74" s="158">
        <f>IF(COUNT(Q72,Q73)&lt;2,"",Q72-Q73)</f>
        <v/>
      </c>
      <c r="R74" s="158">
        <f>IF(COUNT(R72,R73)&lt;2,"",R72-R73)</f>
        <v/>
      </c>
      <c r="S74" s="158">
        <f>IF(COUNT(S72,S73)&lt;2,"",S72-S73)</f>
        <v/>
      </c>
      <c r="T74" s="156" t="inlineStr"/>
      <c r="U74" s="156" t="inlineStr">
        <is>
          <t>Calculated in this workbook from the rows named in the definition</t>
        </is>
      </c>
      <c r="V74" s="156" t="inlineStr"/>
    </row>
    <row r="76">
      <c r="A76" s="151" t="inlineStr">
        <is>
          <t>6. Estimated sales by province, 2023-2025: petrol (estimates, not observations)</t>
        </is>
      </c>
      <c r="B76" s="151" t="n"/>
      <c r="C76" s="151" t="n"/>
      <c r="D76" s="151" t="n"/>
      <c r="E76" s="151" t="n"/>
      <c r="F76" s="151" t="n"/>
      <c r="G76" s="151" t="n"/>
      <c r="H76" s="151" t="n"/>
      <c r="I76" s="151" t="n"/>
      <c r="J76" s="151" t="n"/>
      <c r="K76" s="151" t="n"/>
      <c r="L76" s="151" t="n"/>
      <c r="M76" s="151" t="n"/>
      <c r="N76" s="151" t="n"/>
      <c r="O76" s="151" t="n"/>
      <c r="P76" s="151" t="n"/>
      <c r="Q76" s="151" t="n"/>
      <c r="R76" s="151" t="n"/>
      <c r="S76" s="151" t="n"/>
      <c r="T76" s="151" t="n"/>
      <c r="U76" s="151" t="n"/>
      <c r="V76" s="151" t="n"/>
    </row>
    <row r="77">
      <c r="A77" s="162" t="inlineStr">
        <is>
          <t>Gauteng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38.29082808102595</v>
      </c>
      <c r="R77" s="164" t="n">
        <v>38.377262681276</v>
      </c>
      <c r="S77" s="164" t="n">
        <v>38.377262681276</v>
      </c>
      <c r="T77" s="162" t="inlineStr">
        <is>
          <t>Estimate</t>
        </is>
      </c>
      <c r="U77" s="162" t="inlineStr">
        <is>
          <t>Department district data, quarter 1 2023; Stats SA P0441.2</t>
        </is>
      </c>
      <c r="V77" s="162" t="inlineStr"/>
    </row>
    <row r="78">
      <c r="A78" s="162" t="inlineStr">
        <is>
          <t>KwaZulu-Natal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16.13082894316334</v>
      </c>
      <c r="R78" s="164" t="n">
        <v>16.11326672611471</v>
      </c>
      <c r="S78" s="164" t="n">
        <v>16.11326672611471</v>
      </c>
      <c r="T78" s="162" t="inlineStr">
        <is>
          <t>Estimate</t>
        </is>
      </c>
      <c r="U78" s="162" t="inlineStr">
        <is>
          <t>Department district data, quarter 1 2023; Stats SA P0441.2</t>
        </is>
      </c>
      <c r="V78" s="162" t="inlineStr"/>
    </row>
    <row r="79">
      <c r="A79" s="162" t="inlineStr">
        <is>
          <t>Western Cape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16.21627470314407</v>
      </c>
      <c r="R79" s="164" t="n">
        <v>16.24783009372781</v>
      </c>
      <c r="S79" s="164" t="n">
        <v>16.24783009372781</v>
      </c>
      <c r="T79" s="162" t="inlineStr">
        <is>
          <t>Estimate</t>
        </is>
      </c>
      <c r="U79" s="162" t="inlineStr">
        <is>
          <t>Department district data, quarter 1 2023; Stats SA P0441.2</t>
        </is>
      </c>
      <c r="V79" s="162" t="inlineStr"/>
    </row>
    <row r="80">
      <c r="A80" s="162" t="inlineStr">
        <is>
          <t>Eastern Cape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7.511233012378306</v>
      </c>
      <c r="R80" s="164" t="n">
        <v>7.458565493679201</v>
      </c>
      <c r="S80" s="164" t="n">
        <v>7.458565493679201</v>
      </c>
      <c r="T80" s="162" t="inlineStr">
        <is>
          <t>Estimate</t>
        </is>
      </c>
      <c r="U80" s="162" t="inlineStr">
        <is>
          <t>Department district data, quarter 1 2023; Stats SA P0441.2</t>
        </is>
      </c>
      <c r="V80" s="162" t="inlineStr"/>
    </row>
    <row r="81">
      <c r="A81" s="162" t="inlineStr">
        <is>
          <t>Mpumalanga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7.055371979667532</v>
      </c>
      <c r="R81" s="164" t="n">
        <v>7.040255181823918</v>
      </c>
      <c r="S81" s="164" t="n">
        <v>7.040255181823918</v>
      </c>
      <c r="T81" s="162" t="inlineStr">
        <is>
          <t>Estimate</t>
        </is>
      </c>
      <c r="U81" s="162" t="inlineStr">
        <is>
          <t>Department district data, quarter 1 2023; Stats SA P0441.2</t>
        </is>
      </c>
      <c r="V81" s="162" t="inlineStr"/>
    </row>
    <row r="82">
      <c r="A82" s="162" t="inlineStr">
        <is>
          <t>Free State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5.932159079461925</v>
      </c>
      <c r="R82" s="164" t="n">
        <v>5.927995171497546</v>
      </c>
      <c r="S82" s="164" t="n">
        <v>5.927995171497546</v>
      </c>
      <c r="T82" s="162" t="inlineStr">
        <is>
          <t>Estimate</t>
        </is>
      </c>
      <c r="U82" s="162" t="inlineStr">
        <is>
          <t>Department district data, quarter 1 2023; Stats SA P0441.2</t>
        </is>
      </c>
      <c r="V82" s="162" t="inlineStr"/>
    </row>
    <row r="83">
      <c r="A83" s="162" t="inlineStr">
        <is>
          <t>North West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4.766687274392559</v>
      </c>
      <c r="R83" s="164" t="n">
        <v>4.734315144837777</v>
      </c>
      <c r="S83" s="164" t="n">
        <v>4.734315144837777</v>
      </c>
      <c r="T83" s="162" t="inlineStr">
        <is>
          <t>Estimate</t>
        </is>
      </c>
      <c r="U83" s="162" t="inlineStr">
        <is>
          <t>Department district data, quarter 1 2023; Stats SA P0441.2</t>
        </is>
      </c>
      <c r="V83" s="162" t="inlineStr"/>
    </row>
    <row r="84">
      <c r="A84" s="162" t="inlineStr">
        <is>
          <t>Limpopo share of petrol</t>
        </is>
      </c>
      <c r="B84" s="163" t="inlineStr">
        <is>
          <t>% of national</t>
        </is>
      </c>
      <c r="C84" s="163" t="inlineStr">
        <is>
          <t>Proposed estimate</t>
        </is>
      </c>
      <c r="D84" s="164" t="n"/>
      <c r="E84" s="162" t="inlineStr">
        <is>
          <t>2023: the province's share of quarter 1 2023 sales, as observed. 2024: the 2023 share moved with the province's share of real GDP. 2025: 2024 held.</t>
        </is>
      </c>
      <c r="F84" s="164" t="n"/>
      <c r="G84" s="164" t="n"/>
      <c r="H84" s="164" t="n"/>
      <c r="I84" s="164" t="n"/>
      <c r="J84" s="164" t="n"/>
      <c r="K84" s="164" t="n"/>
      <c r="L84" s="164" t="n"/>
      <c r="M84" s="164" t="n"/>
      <c r="N84" s="164" t="n"/>
      <c r="O84" s="164" t="n"/>
      <c r="P84" s="164" t="n"/>
      <c r="Q84" s="164" t="n">
        <v>3.008852500759491</v>
      </c>
      <c r="R84" s="164" t="n">
        <v>3.01928993993442</v>
      </c>
      <c r="S84" s="164" t="n">
        <v>3.01928993993442</v>
      </c>
      <c r="T84" s="162" t="inlineStr">
        <is>
          <t>Estimate</t>
        </is>
      </c>
      <c r="U84" s="162" t="inlineStr">
        <is>
          <t>Department district data, quarter 1 2023; Stats SA P0441.2</t>
        </is>
      </c>
      <c r="V84" s="162" t="inlineStr"/>
    </row>
    <row r="85">
      <c r="A85" s="162" t="inlineStr">
        <is>
          <t>Northern Cape share of petrol</t>
        </is>
      </c>
      <c r="B85" s="163" t="inlineStr">
        <is>
          <t>% of national</t>
        </is>
      </c>
      <c r="C85" s="163" t="inlineStr">
        <is>
          <t>Proposed estimate</t>
        </is>
      </c>
      <c r="D85" s="164" t="n"/>
      <c r="E85" s="162" t="inlineStr">
        <is>
          <t>2023: the province's share of quarter 1 2023 sales, as observed. 2024: the 2023 share moved with the province's share of real GDP. 2025: 2024 held.</t>
        </is>
      </c>
      <c r="F85" s="164" t="n"/>
      <c r="G85" s="164" t="n"/>
      <c r="H85" s="164" t="n"/>
      <c r="I85" s="164" t="n"/>
      <c r="J85" s="164" t="n"/>
      <c r="K85" s="164" t="n"/>
      <c r="L85" s="164" t="n"/>
      <c r="M85" s="164" t="n"/>
      <c r="N85" s="164" t="n"/>
      <c r="O85" s="164" t="n"/>
      <c r="P85" s="164" t="n"/>
      <c r="Q85" s="164" t="n">
        <v>1.087764426006824</v>
      </c>
      <c r="R85" s="164" t="n">
        <v>1.081219567108614</v>
      </c>
      <c r="S85" s="164" t="n">
        <v>1.081219567108614</v>
      </c>
      <c r="T85" s="162" t="inlineStr">
        <is>
          <t>Estimate</t>
        </is>
      </c>
      <c r="U85" s="162" t="inlineStr">
        <is>
          <t>Department district data, quarter 1 2023; Stats SA P0441.2</t>
        </is>
      </c>
      <c r="V85" s="162" t="inlineStr"/>
    </row>
    <row r="86">
      <c r="A86" s="162" t="inlineStr">
        <is>
          <t>Gauteng petrol, estimated</t>
        </is>
      </c>
      <c r="B86" s="163" t="inlineStr">
        <is>
          <t>million L/year</t>
        </is>
      </c>
      <c r="C86" s="163" t="inlineStr">
        <is>
          <t>Proposed estimate</t>
        </is>
      </c>
      <c r="D86" s="165" t="n"/>
      <c r="E86" s="162" t="inlineStr">
        <is>
          <t>Estimated share times the department's national total (section 1). Blank where no national figure exists.</t>
        </is>
      </c>
      <c r="F86" s="165" t="n"/>
      <c r="G86" s="165" t="n"/>
      <c r="H86" s="165" t="n"/>
      <c r="I86" s="165" t="n"/>
      <c r="J86" s="165" t="n"/>
      <c r="K86" s="165" t="n"/>
      <c r="L86" s="165" t="n"/>
      <c r="M86" s="165" t="n"/>
      <c r="N86" s="165" t="n"/>
      <c r="O86" s="165" t="n"/>
      <c r="P86" s="165" t="n"/>
      <c r="Q86" s="165">
        <f>IF(COUNT(Q77,Q16)&lt;2,"",Q77/100*Q16)</f>
        <v/>
      </c>
      <c r="R86" s="165">
        <f>IF(COUNT(R77,R16)&lt;2,"",R77/100*R16)</f>
        <v/>
      </c>
      <c r="S86" s="165">
        <f>IF(COUNT(S77,S16)&lt;2,"",S77/100*S16)</f>
        <v/>
      </c>
      <c r="T86" s="162" t="inlineStr">
        <is>
          <t>Estimate; 2023 only, the last year with a national total</t>
        </is>
      </c>
      <c r="U86" s="162" t="inlineStr">
        <is>
          <t>Analyst estimate, calculated in this workbook; method in the definition</t>
        </is>
      </c>
      <c r="V86" s="162" t="inlineStr">
        <is>
          <t>Replace when the department publishes district data after 2023 quarter 1</t>
        </is>
      </c>
    </row>
    <row r="87">
      <c r="A87" s="162" t="inlineStr">
        <is>
          <t>KwaZulu-Natal petrol, estimated</t>
        </is>
      </c>
      <c r="B87" s="163" t="inlineStr">
        <is>
          <t>million L/year</t>
        </is>
      </c>
      <c r="C87" s="163" t="inlineStr">
        <is>
          <t>Proposed estimate</t>
        </is>
      </c>
      <c r="D87" s="165" t="n"/>
      <c r="E87" s="162" t="inlineStr">
        <is>
          <t>Estimated share times the department's national total (section 1). Blank where no national figure exists.</t>
        </is>
      </c>
      <c r="F87" s="165" t="n"/>
      <c r="G87" s="165" t="n"/>
      <c r="H87" s="165" t="n"/>
      <c r="I87" s="165" t="n"/>
      <c r="J87" s="165" t="n"/>
      <c r="K87" s="165" t="n"/>
      <c r="L87" s="165" t="n"/>
      <c r="M87" s="165" t="n"/>
      <c r="N87" s="165" t="n"/>
      <c r="O87" s="165" t="n"/>
      <c r="P87" s="165" t="n"/>
      <c r="Q87" s="165">
        <f>IF(COUNT(Q78,Q16)&lt;2,"",Q78/100*Q16)</f>
        <v/>
      </c>
      <c r="R87" s="165">
        <f>IF(COUNT(R78,R16)&lt;2,"",R78/100*R16)</f>
        <v/>
      </c>
      <c r="S87" s="165">
        <f>IF(COUNT(S78,S16)&lt;2,"",S78/100*S16)</f>
        <v/>
      </c>
      <c r="T87" s="162" t="inlineStr">
        <is>
          <t>Estimate; 2023 only, the last year with a national total</t>
        </is>
      </c>
      <c r="U87" s="162" t="inlineStr">
        <is>
          <t>Analyst estimate, calculated in this workbook; method in the definition</t>
        </is>
      </c>
      <c r="V87" s="162" t="inlineStr">
        <is>
          <t>Replace when the department publishes district data after 2023 quarter 1</t>
        </is>
      </c>
    </row>
    <row r="88">
      <c r="A88" s="162" t="inlineStr">
        <is>
          <t>Western Cape petrol, estimated</t>
        </is>
      </c>
      <c r="B88" s="163" t="inlineStr">
        <is>
          <t>million L/year</t>
        </is>
      </c>
      <c r="C88" s="163" t="inlineStr">
        <is>
          <t>Proposed estimate</t>
        </is>
      </c>
      <c r="D88" s="165" t="n"/>
      <c r="E88" s="162" t="inlineStr">
        <is>
          <t>Estimated share times the department's national total (section 1). Blank where no national figure exists.</t>
        </is>
      </c>
      <c r="F88" s="165" t="n"/>
      <c r="G88" s="165" t="n"/>
      <c r="H88" s="165" t="n"/>
      <c r="I88" s="165" t="n"/>
      <c r="J88" s="165" t="n"/>
      <c r="K88" s="165" t="n"/>
      <c r="L88" s="165" t="n"/>
      <c r="M88" s="165" t="n"/>
      <c r="N88" s="165" t="n"/>
      <c r="O88" s="165" t="n"/>
      <c r="P88" s="165" t="n"/>
      <c r="Q88" s="165">
        <f>IF(COUNT(Q79,Q16)&lt;2,"",Q79/100*Q16)</f>
        <v/>
      </c>
      <c r="R88" s="165">
        <f>IF(COUNT(R79,R16)&lt;2,"",R79/100*R16)</f>
        <v/>
      </c>
      <c r="S88" s="165">
        <f>IF(COUNT(S79,S16)&lt;2,"",S79/100*S16)</f>
        <v/>
      </c>
      <c r="T88" s="162" t="inlineStr">
        <is>
          <t>Estimate; 2023 only, the last year with a national total</t>
        </is>
      </c>
      <c r="U88" s="162" t="inlineStr">
        <is>
          <t>Analyst estimate, calculated in this workbook; method in the definition</t>
        </is>
      </c>
      <c r="V88" s="162" t="inlineStr">
        <is>
          <t>Replace when the department publishes district data after 2023 quarter 1</t>
        </is>
      </c>
    </row>
    <row r="89">
      <c r="A89" s="162" t="inlineStr">
        <is>
          <t>Eastern Cape petrol, estimated</t>
        </is>
      </c>
      <c r="B89" s="163" t="inlineStr">
        <is>
          <t>million L/year</t>
        </is>
      </c>
      <c r="C89" s="163" t="inlineStr">
        <is>
          <t>Proposed estimate</t>
        </is>
      </c>
      <c r="D89" s="165" t="n"/>
      <c r="E89" s="162" t="inlineStr">
        <is>
          <t>Estimated share times the department's national total (section 1). Blank where no national figure exists.</t>
        </is>
      </c>
      <c r="F89" s="165" t="n"/>
      <c r="G89" s="165" t="n"/>
      <c r="H89" s="165" t="n"/>
      <c r="I89" s="165" t="n"/>
      <c r="J89" s="165" t="n"/>
      <c r="K89" s="165" t="n"/>
      <c r="L89" s="165" t="n"/>
      <c r="M89" s="165" t="n"/>
      <c r="N89" s="165" t="n"/>
      <c r="O89" s="165" t="n"/>
      <c r="P89" s="165" t="n"/>
      <c r="Q89" s="165">
        <f>IF(COUNT(Q80,Q16)&lt;2,"",Q80/100*Q16)</f>
        <v/>
      </c>
      <c r="R89" s="165">
        <f>IF(COUNT(R80,R16)&lt;2,"",R80/100*R16)</f>
        <v/>
      </c>
      <c r="S89" s="165">
        <f>IF(COUNT(S80,S16)&lt;2,"",S80/100*S16)</f>
        <v/>
      </c>
      <c r="T89" s="162" t="inlineStr">
        <is>
          <t>Estimate; 2023 only, the last year with a national total</t>
        </is>
      </c>
      <c r="U89" s="162" t="inlineStr">
        <is>
          <t>Analyst estimate, calculated in this workbook; method in the definition</t>
        </is>
      </c>
      <c r="V89" s="162" t="inlineStr">
        <is>
          <t>Replace when the department publishes district data after 2023 quarter 1</t>
        </is>
      </c>
    </row>
    <row r="90">
      <c r="A90" s="162" t="inlineStr">
        <is>
          <t>Mpumalanga petrol, estimated</t>
        </is>
      </c>
      <c r="B90" s="163" t="inlineStr">
        <is>
          <t>million L/year</t>
        </is>
      </c>
      <c r="C90" s="163" t="inlineStr">
        <is>
          <t>Proposed estimate</t>
        </is>
      </c>
      <c r="D90" s="165" t="n"/>
      <c r="E90" s="162" t="inlineStr">
        <is>
          <t>Estimated share times the department's national total (section 1). Blank where no national figure exists.</t>
        </is>
      </c>
      <c r="F90" s="165" t="n"/>
      <c r="G90" s="165" t="n"/>
      <c r="H90" s="165" t="n"/>
      <c r="I90" s="165" t="n"/>
      <c r="J90" s="165" t="n"/>
      <c r="K90" s="165" t="n"/>
      <c r="L90" s="165" t="n"/>
      <c r="M90" s="165" t="n"/>
      <c r="N90" s="165" t="n"/>
      <c r="O90" s="165" t="n"/>
      <c r="P90" s="165" t="n"/>
      <c r="Q90" s="165">
        <f>IF(COUNT(Q81,Q16)&lt;2,"",Q81/100*Q16)</f>
        <v/>
      </c>
      <c r="R90" s="165">
        <f>IF(COUNT(R81,R16)&lt;2,"",R81/100*R16)</f>
        <v/>
      </c>
      <c r="S90" s="165">
        <f>IF(COUNT(S81,S16)&lt;2,"",S81/100*S16)</f>
        <v/>
      </c>
      <c r="T90" s="162" t="inlineStr">
        <is>
          <t>Estimate; 2023 only, the last year with a national total</t>
        </is>
      </c>
      <c r="U90" s="162" t="inlineStr">
        <is>
          <t>Analyst estimate, calculated in this workbook; method in the definition</t>
        </is>
      </c>
      <c r="V90" s="162" t="inlineStr">
        <is>
          <t>Replace when the department publishes district data after 2023 quarter 1</t>
        </is>
      </c>
    </row>
    <row r="91">
      <c r="A91" s="162" t="inlineStr">
        <is>
          <t>Free State petrol, estimated</t>
        </is>
      </c>
      <c r="B91" s="163" t="inlineStr">
        <is>
          <t>million L/year</t>
        </is>
      </c>
      <c r="C91" s="163" t="inlineStr">
        <is>
          <t>Proposed estimate</t>
        </is>
      </c>
      <c r="D91" s="165" t="n"/>
      <c r="E91" s="162" t="inlineStr">
        <is>
          <t>Estimated share times the department's national total (section 1). Blank where no national figure exists.</t>
        </is>
      </c>
      <c r="F91" s="165" t="n"/>
      <c r="G91" s="165" t="n"/>
      <c r="H91" s="165" t="n"/>
      <c r="I91" s="165" t="n"/>
      <c r="J91" s="165" t="n"/>
      <c r="K91" s="165" t="n"/>
      <c r="L91" s="165" t="n"/>
      <c r="M91" s="165" t="n"/>
      <c r="N91" s="165" t="n"/>
      <c r="O91" s="165" t="n"/>
      <c r="P91" s="165" t="n"/>
      <c r="Q91" s="165">
        <f>IF(COUNT(Q82,Q16)&lt;2,"",Q82/100*Q16)</f>
        <v/>
      </c>
      <c r="R91" s="165">
        <f>IF(COUNT(R82,R16)&lt;2,"",R82/100*R16)</f>
        <v/>
      </c>
      <c r="S91" s="165">
        <f>IF(COUNT(S82,S16)&lt;2,"",S82/100*S16)</f>
        <v/>
      </c>
      <c r="T91" s="162" t="inlineStr">
        <is>
          <t>Estimate; 2023 only, the last year with a national total</t>
        </is>
      </c>
      <c r="U91" s="162" t="inlineStr">
        <is>
          <t>Analyst estimate, calculated in this workbook; method in the definition</t>
        </is>
      </c>
      <c r="V91" s="162" t="inlineStr">
        <is>
          <t>Replace when the department publishes district data after 2023 quarter 1</t>
        </is>
      </c>
    </row>
    <row r="92">
      <c r="A92" s="162" t="inlineStr">
        <is>
          <t>North West petrol, estimated</t>
        </is>
      </c>
      <c r="B92" s="163" t="inlineStr">
        <is>
          <t>million L/year</t>
        </is>
      </c>
      <c r="C92" s="163" t="inlineStr">
        <is>
          <t>Proposed estimate</t>
        </is>
      </c>
      <c r="D92" s="165" t="n"/>
      <c r="E92" s="162" t="inlineStr">
        <is>
          <t>Estimated share times the department's national total (section 1). Blank where no national figure exists.</t>
        </is>
      </c>
      <c r="F92" s="165" t="n"/>
      <c r="G92" s="165" t="n"/>
      <c r="H92" s="165" t="n"/>
      <c r="I92" s="165" t="n"/>
      <c r="J92" s="165" t="n"/>
      <c r="K92" s="165" t="n"/>
      <c r="L92" s="165" t="n"/>
      <c r="M92" s="165" t="n"/>
      <c r="N92" s="165" t="n"/>
      <c r="O92" s="165" t="n"/>
      <c r="P92" s="165" t="n"/>
      <c r="Q92" s="165">
        <f>IF(COUNT(Q83,Q16)&lt;2,"",Q83/100*Q16)</f>
        <v/>
      </c>
      <c r="R92" s="165">
        <f>IF(COUNT(R83,R16)&lt;2,"",R83/100*R16)</f>
        <v/>
      </c>
      <c r="S92" s="165">
        <f>IF(COUNT(S83,S16)&lt;2,"",S83/100*S16)</f>
        <v/>
      </c>
      <c r="T92" s="162" t="inlineStr">
        <is>
          <t>Estimate; 2023 only, the last year with a national total</t>
        </is>
      </c>
      <c r="U92" s="162" t="inlineStr">
        <is>
          <t>Analyst estimate, calculated in this workbook; method in the definition</t>
        </is>
      </c>
      <c r="V92" s="162" t="inlineStr">
        <is>
          <t>Replace when the department publishes district data after 2023 quarter 1</t>
        </is>
      </c>
    </row>
    <row r="93">
      <c r="A93" s="162" t="inlineStr">
        <is>
          <t>Limpopo petrol, estimated</t>
        </is>
      </c>
      <c r="B93" s="163" t="inlineStr">
        <is>
          <t>million L/year</t>
        </is>
      </c>
      <c r="C93" s="163" t="inlineStr">
        <is>
          <t>Proposed estimate</t>
        </is>
      </c>
      <c r="D93" s="165" t="n"/>
      <c r="E93" s="162" t="inlineStr">
        <is>
          <t>Estimated share times the department's national total (section 1). Blank where no national figure exists.</t>
        </is>
      </c>
      <c r="F93" s="165" t="n"/>
      <c r="G93" s="165" t="n"/>
      <c r="H93" s="165" t="n"/>
      <c r="I93" s="165" t="n"/>
      <c r="J93" s="165" t="n"/>
      <c r="K93" s="165" t="n"/>
      <c r="L93" s="165" t="n"/>
      <c r="M93" s="165" t="n"/>
      <c r="N93" s="165" t="n"/>
      <c r="O93" s="165" t="n"/>
      <c r="P93" s="165" t="n"/>
      <c r="Q93" s="165">
        <f>IF(COUNT(Q84,Q16)&lt;2,"",Q84/100*Q16)</f>
        <v/>
      </c>
      <c r="R93" s="165">
        <f>IF(COUNT(R84,R16)&lt;2,"",R84/100*R16)</f>
        <v/>
      </c>
      <c r="S93" s="165">
        <f>IF(COUNT(S84,S16)&lt;2,"",S84/100*S16)</f>
        <v/>
      </c>
      <c r="T93" s="162" t="inlineStr">
        <is>
          <t>Estimate; 2023 only, the last year with a national total</t>
        </is>
      </c>
      <c r="U93" s="162" t="inlineStr">
        <is>
          <t>Analyst estimate, calculated in this workbook; method in the definition</t>
        </is>
      </c>
      <c r="V93" s="162" t="inlineStr">
        <is>
          <t>Replace when the department publishes district data after 2023 quarter 1</t>
        </is>
      </c>
    </row>
    <row r="94">
      <c r="A94" s="162" t="inlineStr">
        <is>
          <t>Northern Cape petrol, estimated</t>
        </is>
      </c>
      <c r="B94" s="163" t="inlineStr">
        <is>
          <t>million L/year</t>
        </is>
      </c>
      <c r="C94" s="163" t="inlineStr">
        <is>
          <t>Proposed estimate</t>
        </is>
      </c>
      <c r="D94" s="165" t="n"/>
      <c r="E94" s="162" t="inlineStr">
        <is>
          <t>Estimated share times the department's national total (section 1). Blank where no national figure exists.</t>
        </is>
      </c>
      <c r="F94" s="165" t="n"/>
      <c r="G94" s="165" t="n"/>
      <c r="H94" s="165" t="n"/>
      <c r="I94" s="165" t="n"/>
      <c r="J94" s="165" t="n"/>
      <c r="K94" s="165" t="n"/>
      <c r="L94" s="165" t="n"/>
      <c r="M94" s="165" t="n"/>
      <c r="N94" s="165" t="n"/>
      <c r="O94" s="165" t="n"/>
      <c r="P94" s="165" t="n"/>
      <c r="Q94" s="165">
        <f>IF(COUNT(Q85,Q16)&lt;2,"",Q85/100*Q16)</f>
        <v/>
      </c>
      <c r="R94" s="165">
        <f>IF(COUNT(R85,R16)&lt;2,"",R85/100*R16)</f>
        <v/>
      </c>
      <c r="S94" s="165">
        <f>IF(COUNT(S85,S16)&lt;2,"",S85/100*S16)</f>
        <v/>
      </c>
      <c r="T94" s="162" t="inlineStr">
        <is>
          <t>Estimate; 2023 only, the last year with a national total</t>
        </is>
      </c>
      <c r="U94" s="162" t="inlineStr">
        <is>
          <t>Analyst estimate, calculated in this workbook; method in the definition</t>
        </is>
      </c>
      <c r="V94" s="162" t="inlineStr">
        <is>
          <t>Replace when the department publishes district data after 2023 quarter 1</t>
        </is>
      </c>
    </row>
    <row r="96">
      <c r="A96" s="151" t="inlineStr">
        <is>
          <t>6. Estimated sales by province, 2023-2025: diesel (estimates, not observations)</t>
        </is>
      </c>
      <c r="B96" s="151" t="n"/>
      <c r="C96" s="151" t="n"/>
      <c r="D96" s="151" t="n"/>
      <c r="E96" s="151" t="n"/>
      <c r="F96" s="151" t="n"/>
      <c r="G96" s="151" t="n"/>
      <c r="H96" s="151" t="n"/>
      <c r="I96" s="151" t="n"/>
      <c r="J96" s="151" t="n"/>
      <c r="K96" s="151" t="n"/>
      <c r="L96" s="151" t="n"/>
      <c r="M96" s="151" t="n"/>
      <c r="N96" s="151" t="n"/>
      <c r="O96" s="151" t="n"/>
      <c r="P96" s="151" t="n"/>
      <c r="Q96" s="151" t="n"/>
      <c r="R96" s="151" t="n"/>
      <c r="S96" s="151" t="n"/>
      <c r="T96" s="151" t="n"/>
      <c r="U96" s="151" t="n"/>
      <c r="V96" s="151" t="n"/>
    </row>
    <row r="97">
      <c r="A97" s="162" t="inlineStr">
        <is>
          <t>Gauteng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25.95571268012436</v>
      </c>
      <c r="R97" s="164" t="n">
        <v>26.02351192632266</v>
      </c>
      <c r="S97" s="164" t="n">
        <v>26.02351192632266</v>
      </c>
      <c r="T97" s="162" t="inlineStr">
        <is>
          <t>Estimate</t>
        </is>
      </c>
      <c r="U97" s="162" t="inlineStr">
        <is>
          <t>Department district data, quarter 1 2023; Stats SA P0441.2</t>
        </is>
      </c>
      <c r="V97" s="162" t="inlineStr"/>
    </row>
    <row r="98">
      <c r="A98" s="162" t="inlineStr">
        <is>
          <t>KwaZulu-Natal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18.98574601235529</v>
      </c>
      <c r="R98" s="164" t="n">
        <v>18.97178908483028</v>
      </c>
      <c r="S98" s="164" t="n">
        <v>18.97178908483028</v>
      </c>
      <c r="T98" s="162" t="inlineStr">
        <is>
          <t>Estimate</t>
        </is>
      </c>
      <c r="U98" s="162" t="inlineStr">
        <is>
          <t>Department district data, quarter 1 2023; Stats SA P0441.2</t>
        </is>
      </c>
      <c r="V98" s="162" t="inlineStr"/>
    </row>
    <row r="99">
      <c r="A99" s="162" t="inlineStr">
        <is>
          <t>Western Cape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23.48567896125875</v>
      </c>
      <c r="R99" s="164" t="n">
        <v>23.53970993881584</v>
      </c>
      <c r="S99" s="164" t="n">
        <v>23.53970993881584</v>
      </c>
      <c r="T99" s="162" t="inlineStr">
        <is>
          <t>Estimate</t>
        </is>
      </c>
      <c r="U99" s="162" t="inlineStr">
        <is>
          <t>Department district data, quarter 1 2023; Stats SA P0441.2</t>
        </is>
      </c>
      <c r="V99" s="162" t="inlineStr"/>
    </row>
    <row r="100">
      <c r="A100" s="162" t="inlineStr">
        <is>
          <t>Eastern Cape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7.89067723132441</v>
      </c>
      <c r="R100" s="164" t="n">
        <v>7.83812278680507</v>
      </c>
      <c r="S100" s="164" t="n">
        <v>7.83812278680507</v>
      </c>
      <c r="T100" s="162" t="inlineStr">
        <is>
          <t>Estimate</t>
        </is>
      </c>
      <c r="U100" s="162" t="inlineStr">
        <is>
          <t>Department district data, quarter 1 2023; Stats SA P0441.2</t>
        </is>
      </c>
      <c r="V100" s="162" t="inlineStr"/>
    </row>
    <row r="101">
      <c r="A101" s="162" t="inlineStr">
        <is>
          <t>Mpumalanga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9.154016030764375</v>
      </c>
      <c r="R101" s="164" t="n">
        <v>9.137636223166661</v>
      </c>
      <c r="S101" s="164" t="n">
        <v>9.137636223166661</v>
      </c>
      <c r="T101" s="162" t="inlineStr">
        <is>
          <t>Estimate</t>
        </is>
      </c>
      <c r="U101" s="162" t="inlineStr">
        <is>
          <t>Department district data, quarter 1 2023; Stats SA P0441.2</t>
        </is>
      </c>
      <c r="V101" s="162" t="inlineStr"/>
    </row>
    <row r="102">
      <c r="A102" s="162" t="inlineStr">
        <is>
          <t>Free State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5.426397730797064</v>
      </c>
      <c r="R102" s="164" t="n">
        <v>5.42450839649958</v>
      </c>
      <c r="S102" s="164" t="n">
        <v>5.42450839649958</v>
      </c>
      <c r="T102" s="162" t="inlineStr">
        <is>
          <t>Estimate</t>
        </is>
      </c>
      <c r="U102" s="162" t="inlineStr">
        <is>
          <t>Department district data, quarter 1 2023; Stats SA P0441.2</t>
        </is>
      </c>
      <c r="V102" s="162" t="inlineStr"/>
    </row>
    <row r="103">
      <c r="A103" s="162" t="inlineStr">
        <is>
          <t>North West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4.4050379640929</v>
      </c>
      <c r="R103" s="164" t="n">
        <v>4.376670684154155</v>
      </c>
      <c r="S103" s="164" t="n">
        <v>4.376670684154155</v>
      </c>
      <c r="T103" s="162" t="inlineStr">
        <is>
          <t>Estimate</t>
        </is>
      </c>
      <c r="U103" s="162" t="inlineStr">
        <is>
          <t>Department district data, quarter 1 2023; Stats SA P0441.2</t>
        </is>
      </c>
      <c r="V103" s="162" t="inlineStr"/>
    </row>
    <row r="104">
      <c r="A104" s="162" t="inlineStr">
        <is>
          <t>Limpopo share of diesel</t>
        </is>
      </c>
      <c r="B104" s="163" t="inlineStr">
        <is>
          <t>% of national</t>
        </is>
      </c>
      <c r="C104" s="163" t="inlineStr">
        <is>
          <t>Proposed estimate</t>
        </is>
      </c>
      <c r="D104" s="164" t="n"/>
      <c r="E104" s="162" t="inlineStr">
        <is>
          <t>2023: the province's share of quarter 1 2023 sales, as observed. 2024: the 2023 share moved with the province's share of real GDP. 2025: 2024 held.</t>
        </is>
      </c>
      <c r="F104" s="164" t="n"/>
      <c r="G104" s="164" t="n"/>
      <c r="H104" s="164" t="n"/>
      <c r="I104" s="164" t="n"/>
      <c r="J104" s="164" t="n"/>
      <c r="K104" s="164" t="n"/>
      <c r="L104" s="164" t="n"/>
      <c r="M104" s="164" t="n"/>
      <c r="N104" s="164" t="n"/>
      <c r="O104" s="164" t="n"/>
      <c r="P104" s="164" t="n"/>
      <c r="Q104" s="164" t="n">
        <v>1.888937215844854</v>
      </c>
      <c r="R104" s="164" t="n">
        <v>1.896160763259574</v>
      </c>
      <c r="S104" s="164" t="n">
        <v>1.896160763259574</v>
      </c>
      <c r="T104" s="162" t="inlineStr">
        <is>
          <t>Estimate</t>
        </is>
      </c>
      <c r="U104" s="162" t="inlineStr">
        <is>
          <t>Department district data, quarter 1 2023; Stats SA P0441.2</t>
        </is>
      </c>
      <c r="V104" s="162" t="inlineStr"/>
    </row>
    <row r="105">
      <c r="A105" s="162" t="inlineStr">
        <is>
          <t>Northern Cape share of diesel</t>
        </is>
      </c>
      <c r="B105" s="163" t="inlineStr">
        <is>
          <t>% of national</t>
        </is>
      </c>
      <c r="C105" s="163" t="inlineStr">
        <is>
          <t>Proposed estimate</t>
        </is>
      </c>
      <c r="D105" s="164" t="n"/>
      <c r="E105" s="162" t="inlineStr">
        <is>
          <t>2023: the province's share of quarter 1 2023 sales, as observed. 2024: the 2023 share moved with the province's share of real GDP. 2025: 2024 held.</t>
        </is>
      </c>
      <c r="F105" s="164" t="n"/>
      <c r="G105" s="164" t="n"/>
      <c r="H105" s="164" t="n"/>
      <c r="I105" s="164" t="n"/>
      <c r="J105" s="164" t="n"/>
      <c r="K105" s="164" t="n"/>
      <c r="L105" s="164" t="n"/>
      <c r="M105" s="164" t="n"/>
      <c r="N105" s="164" t="n"/>
      <c r="O105" s="164" t="n"/>
      <c r="P105" s="164" t="n"/>
      <c r="Q105" s="164" t="n">
        <v>2.807796173437997</v>
      </c>
      <c r="R105" s="164" t="n">
        <v>2.791890196146183</v>
      </c>
      <c r="S105" s="164" t="n">
        <v>2.791890196146183</v>
      </c>
      <c r="T105" s="162" t="inlineStr">
        <is>
          <t>Estimate</t>
        </is>
      </c>
      <c r="U105" s="162" t="inlineStr">
        <is>
          <t>Department district data, quarter 1 2023; Stats SA P0441.2</t>
        </is>
      </c>
      <c r="V105" s="162" t="inlineStr"/>
    </row>
    <row r="106">
      <c r="A106" s="162" t="inlineStr">
        <is>
          <t>Gauteng diesel, estimated</t>
        </is>
      </c>
      <c r="B106" s="163" t="inlineStr">
        <is>
          <t>million L/year</t>
        </is>
      </c>
      <c r="C106" s="163" t="inlineStr">
        <is>
          <t>Proposed estimate</t>
        </is>
      </c>
      <c r="D106" s="165" t="n"/>
      <c r="E106" s="162" t="inlineStr">
        <is>
          <t>Estimated share times the department's national total (section 1). Blank where no national figure exists.</t>
        </is>
      </c>
      <c r="F106" s="165" t="n"/>
      <c r="G106" s="165" t="n"/>
      <c r="H106" s="165" t="n"/>
      <c r="I106" s="165" t="n"/>
      <c r="J106" s="165" t="n"/>
      <c r="K106" s="165" t="n"/>
      <c r="L106" s="165" t="n"/>
      <c r="M106" s="165" t="n"/>
      <c r="N106" s="165" t="n"/>
      <c r="O106" s="165" t="n"/>
      <c r="P106" s="165" t="n"/>
      <c r="Q106" s="165">
        <f>IF(COUNT(Q97,Q31)&lt;2,"",Q97/100*Q31)</f>
        <v/>
      </c>
      <c r="R106" s="165">
        <f>IF(COUNT(R97,R31)&lt;2,"",R97/100*R31)</f>
        <v/>
      </c>
      <c r="S106" s="165">
        <f>IF(COUNT(S97,S31)&lt;2,"",S97/100*S31)</f>
        <v/>
      </c>
      <c r="T106" s="162" t="inlineStr">
        <is>
          <t>Estimate; 2023 only, the last year with a national total</t>
        </is>
      </c>
      <c r="U106" s="162" t="inlineStr">
        <is>
          <t>Analyst estimate, calculated in this workbook; method in the definition</t>
        </is>
      </c>
      <c r="V106" s="162" t="inlineStr">
        <is>
          <t>Replace when the department publishes district data after 2023 quarter 1</t>
        </is>
      </c>
    </row>
    <row r="107">
      <c r="A107" s="162" t="inlineStr">
        <is>
          <t>KwaZulu-Natal diesel, estimated</t>
        </is>
      </c>
      <c r="B107" s="163" t="inlineStr">
        <is>
          <t>million L/year</t>
        </is>
      </c>
      <c r="C107" s="163" t="inlineStr">
        <is>
          <t>Proposed estimate</t>
        </is>
      </c>
      <c r="D107" s="165" t="n"/>
      <c r="E107" s="162" t="inlineStr">
        <is>
          <t>Estimated share times the department's national total (section 1). Blank where no national figure exists.</t>
        </is>
      </c>
      <c r="F107" s="165" t="n"/>
      <c r="G107" s="165" t="n"/>
      <c r="H107" s="165" t="n"/>
      <c r="I107" s="165" t="n"/>
      <c r="J107" s="165" t="n"/>
      <c r="K107" s="165" t="n"/>
      <c r="L107" s="165" t="n"/>
      <c r="M107" s="165" t="n"/>
      <c r="N107" s="165" t="n"/>
      <c r="O107" s="165" t="n"/>
      <c r="P107" s="165" t="n"/>
      <c r="Q107" s="165">
        <f>IF(COUNT(Q98,Q31)&lt;2,"",Q98/100*Q31)</f>
        <v/>
      </c>
      <c r="R107" s="165">
        <f>IF(COUNT(R98,R31)&lt;2,"",R98/100*R31)</f>
        <v/>
      </c>
      <c r="S107" s="165">
        <f>IF(COUNT(S98,S31)&lt;2,"",S98/100*S31)</f>
        <v/>
      </c>
      <c r="T107" s="162" t="inlineStr">
        <is>
          <t>Estimate; 2023 only, the last year with a national total</t>
        </is>
      </c>
      <c r="U107" s="162" t="inlineStr">
        <is>
          <t>Analyst estimate, calculated in this workbook; method in the definition</t>
        </is>
      </c>
      <c r="V107" s="162" t="inlineStr">
        <is>
          <t>Replace when the department publishes district data after 2023 quarter 1</t>
        </is>
      </c>
    </row>
    <row r="108">
      <c r="A108" s="162" t="inlineStr">
        <is>
          <t>Western Cape diesel, estimated</t>
        </is>
      </c>
      <c r="B108" s="163" t="inlineStr">
        <is>
          <t>million L/year</t>
        </is>
      </c>
      <c r="C108" s="163" t="inlineStr">
        <is>
          <t>Proposed estimate</t>
        </is>
      </c>
      <c r="D108" s="165" t="n"/>
      <c r="E108" s="162" t="inlineStr">
        <is>
          <t>Estimated share times the department's national total (section 1). Blank where no national figure exists.</t>
        </is>
      </c>
      <c r="F108" s="165" t="n"/>
      <c r="G108" s="165" t="n"/>
      <c r="H108" s="165" t="n"/>
      <c r="I108" s="165" t="n"/>
      <c r="J108" s="165" t="n"/>
      <c r="K108" s="165" t="n"/>
      <c r="L108" s="165" t="n"/>
      <c r="M108" s="165" t="n"/>
      <c r="N108" s="165" t="n"/>
      <c r="O108" s="165" t="n"/>
      <c r="P108" s="165" t="n"/>
      <c r="Q108" s="165">
        <f>IF(COUNT(Q99,Q31)&lt;2,"",Q99/100*Q31)</f>
        <v/>
      </c>
      <c r="R108" s="165">
        <f>IF(COUNT(R99,R31)&lt;2,"",R99/100*R31)</f>
        <v/>
      </c>
      <c r="S108" s="165">
        <f>IF(COUNT(S99,S31)&lt;2,"",S99/100*S31)</f>
        <v/>
      </c>
      <c r="T108" s="162" t="inlineStr">
        <is>
          <t>Estimate; 2023 only, the last year with a national total</t>
        </is>
      </c>
      <c r="U108" s="162" t="inlineStr">
        <is>
          <t>Analyst estimate, calculated in this workbook; method in the definition</t>
        </is>
      </c>
      <c r="V108" s="162" t="inlineStr">
        <is>
          <t>Replace when the department publishes district data after 2023 quarter 1</t>
        </is>
      </c>
    </row>
    <row r="109">
      <c r="A109" s="162" t="inlineStr">
        <is>
          <t>Eastern Cape diesel, estimated</t>
        </is>
      </c>
      <c r="B109" s="163" t="inlineStr">
        <is>
          <t>million L/year</t>
        </is>
      </c>
      <c r="C109" s="163" t="inlineStr">
        <is>
          <t>Proposed estimate</t>
        </is>
      </c>
      <c r="D109" s="165" t="n"/>
      <c r="E109" s="162" t="inlineStr">
        <is>
          <t>Estimated share times the department's national total (section 1). Blank where no national figure exists.</t>
        </is>
      </c>
      <c r="F109" s="165" t="n"/>
      <c r="G109" s="165" t="n"/>
      <c r="H109" s="165" t="n"/>
      <c r="I109" s="165" t="n"/>
      <c r="J109" s="165" t="n"/>
      <c r="K109" s="165" t="n"/>
      <c r="L109" s="165" t="n"/>
      <c r="M109" s="165" t="n"/>
      <c r="N109" s="165" t="n"/>
      <c r="O109" s="165" t="n"/>
      <c r="P109" s="165" t="n"/>
      <c r="Q109" s="165">
        <f>IF(COUNT(Q100,Q31)&lt;2,"",Q100/100*Q31)</f>
        <v/>
      </c>
      <c r="R109" s="165">
        <f>IF(COUNT(R100,R31)&lt;2,"",R100/100*R31)</f>
        <v/>
      </c>
      <c r="S109" s="165">
        <f>IF(COUNT(S100,S31)&lt;2,"",S100/100*S31)</f>
        <v/>
      </c>
      <c r="T109" s="162" t="inlineStr">
        <is>
          <t>Estimate; 2023 only, the last year with a national total</t>
        </is>
      </c>
      <c r="U109" s="162" t="inlineStr">
        <is>
          <t>Analyst estimate, calculated in this workbook; method in the definition</t>
        </is>
      </c>
      <c r="V109" s="162" t="inlineStr">
        <is>
          <t>Replace when the department publishes district data after 2023 quarter 1</t>
        </is>
      </c>
    </row>
    <row r="110">
      <c r="A110" s="162" t="inlineStr">
        <is>
          <t>Mpumalanga diesel, estimated</t>
        </is>
      </c>
      <c r="B110" s="163" t="inlineStr">
        <is>
          <t>million L/year</t>
        </is>
      </c>
      <c r="C110" s="163" t="inlineStr">
        <is>
          <t>Proposed estimate</t>
        </is>
      </c>
      <c r="D110" s="165" t="n"/>
      <c r="E110" s="162" t="inlineStr">
        <is>
          <t>Estimated share times the department's national total (section 1). Blank where no national figure exists.</t>
        </is>
      </c>
      <c r="F110" s="165" t="n"/>
      <c r="G110" s="165" t="n"/>
      <c r="H110" s="165" t="n"/>
      <c r="I110" s="165" t="n"/>
      <c r="J110" s="165" t="n"/>
      <c r="K110" s="165" t="n"/>
      <c r="L110" s="165" t="n"/>
      <c r="M110" s="165" t="n"/>
      <c r="N110" s="165" t="n"/>
      <c r="O110" s="165" t="n"/>
      <c r="P110" s="165" t="n"/>
      <c r="Q110" s="165">
        <f>IF(COUNT(Q101,Q31)&lt;2,"",Q101/100*Q31)</f>
        <v/>
      </c>
      <c r="R110" s="165">
        <f>IF(COUNT(R101,R31)&lt;2,"",R101/100*R31)</f>
        <v/>
      </c>
      <c r="S110" s="165">
        <f>IF(COUNT(S101,S31)&lt;2,"",S101/100*S31)</f>
        <v/>
      </c>
      <c r="T110" s="162" t="inlineStr">
        <is>
          <t>Estimate; 2023 only, the last year with a national total</t>
        </is>
      </c>
      <c r="U110" s="162" t="inlineStr">
        <is>
          <t>Analyst estimate, calculated in this workbook; method in the definition</t>
        </is>
      </c>
      <c r="V110" s="162" t="inlineStr">
        <is>
          <t>Replace when the department publishes district data after 2023 quarter 1</t>
        </is>
      </c>
    </row>
    <row r="111">
      <c r="A111" s="162" t="inlineStr">
        <is>
          <t>Free State diesel, estimated</t>
        </is>
      </c>
      <c r="B111" s="163" t="inlineStr">
        <is>
          <t>million L/year</t>
        </is>
      </c>
      <c r="C111" s="163" t="inlineStr">
        <is>
          <t>Proposed estimate</t>
        </is>
      </c>
      <c r="D111" s="165" t="n"/>
      <c r="E111" s="162" t="inlineStr">
        <is>
          <t>Estimated share times the department's national total (section 1). Blank where no national figure exists.</t>
        </is>
      </c>
      <c r="F111" s="165" t="n"/>
      <c r="G111" s="165" t="n"/>
      <c r="H111" s="165" t="n"/>
      <c r="I111" s="165" t="n"/>
      <c r="J111" s="165" t="n"/>
      <c r="K111" s="165" t="n"/>
      <c r="L111" s="165" t="n"/>
      <c r="M111" s="165" t="n"/>
      <c r="N111" s="165" t="n"/>
      <c r="O111" s="165" t="n"/>
      <c r="P111" s="165" t="n"/>
      <c r="Q111" s="165">
        <f>IF(COUNT(Q102,Q31)&lt;2,"",Q102/100*Q31)</f>
        <v/>
      </c>
      <c r="R111" s="165">
        <f>IF(COUNT(R102,R31)&lt;2,"",R102/100*R31)</f>
        <v/>
      </c>
      <c r="S111" s="165">
        <f>IF(COUNT(S102,S31)&lt;2,"",S102/100*S31)</f>
        <v/>
      </c>
      <c r="T111" s="162" t="inlineStr">
        <is>
          <t>Estimate; 2023 only, the last year with a national total</t>
        </is>
      </c>
      <c r="U111" s="162" t="inlineStr">
        <is>
          <t>Analyst estimate, calculated in this workbook; method in the definition</t>
        </is>
      </c>
      <c r="V111" s="162" t="inlineStr">
        <is>
          <t>Replace when the department publishes district data after 2023 quarter 1</t>
        </is>
      </c>
    </row>
    <row r="112">
      <c r="A112" s="162" t="inlineStr">
        <is>
          <t>North West diesel, estimated</t>
        </is>
      </c>
      <c r="B112" s="163" t="inlineStr">
        <is>
          <t>million L/year</t>
        </is>
      </c>
      <c r="C112" s="163" t="inlineStr">
        <is>
          <t>Proposed estimate</t>
        </is>
      </c>
      <c r="D112" s="165" t="n"/>
      <c r="E112" s="162" t="inlineStr">
        <is>
          <t>Estimated share times the department's national total (section 1). Blank where no national figure exists.</t>
        </is>
      </c>
      <c r="F112" s="165" t="n"/>
      <c r="G112" s="165" t="n"/>
      <c r="H112" s="165" t="n"/>
      <c r="I112" s="165" t="n"/>
      <c r="J112" s="165" t="n"/>
      <c r="K112" s="165" t="n"/>
      <c r="L112" s="165" t="n"/>
      <c r="M112" s="165" t="n"/>
      <c r="N112" s="165" t="n"/>
      <c r="O112" s="165" t="n"/>
      <c r="P112" s="165" t="n"/>
      <c r="Q112" s="165">
        <f>IF(COUNT(Q103,Q31)&lt;2,"",Q103/100*Q31)</f>
        <v/>
      </c>
      <c r="R112" s="165">
        <f>IF(COUNT(R103,R31)&lt;2,"",R103/100*R31)</f>
        <v/>
      </c>
      <c r="S112" s="165">
        <f>IF(COUNT(S103,S31)&lt;2,"",S103/100*S31)</f>
        <v/>
      </c>
      <c r="T112" s="162" t="inlineStr">
        <is>
          <t>Estimate; 2023 only, the last year with a national total</t>
        </is>
      </c>
      <c r="U112" s="162" t="inlineStr">
        <is>
          <t>Analyst estimate, calculated in this workbook; method in the definition</t>
        </is>
      </c>
      <c r="V112" s="162" t="inlineStr">
        <is>
          <t>Replace when the department publishes district data after 2023 quarter 1</t>
        </is>
      </c>
    </row>
    <row r="113">
      <c r="A113" s="162" t="inlineStr">
        <is>
          <t>Limpopo diesel, estimated</t>
        </is>
      </c>
      <c r="B113" s="163" t="inlineStr">
        <is>
          <t>million L/year</t>
        </is>
      </c>
      <c r="C113" s="163" t="inlineStr">
        <is>
          <t>Proposed estimate</t>
        </is>
      </c>
      <c r="D113" s="165" t="n"/>
      <c r="E113" s="162" t="inlineStr">
        <is>
          <t>Estimated share times the department's national total (section 1). Blank where no national figure exists.</t>
        </is>
      </c>
      <c r="F113" s="165" t="n"/>
      <c r="G113" s="165" t="n"/>
      <c r="H113" s="165" t="n"/>
      <c r="I113" s="165" t="n"/>
      <c r="J113" s="165" t="n"/>
      <c r="K113" s="165" t="n"/>
      <c r="L113" s="165" t="n"/>
      <c r="M113" s="165" t="n"/>
      <c r="N113" s="165" t="n"/>
      <c r="O113" s="165" t="n"/>
      <c r="P113" s="165" t="n"/>
      <c r="Q113" s="165">
        <f>IF(COUNT(Q104,Q31)&lt;2,"",Q104/100*Q31)</f>
        <v/>
      </c>
      <c r="R113" s="165">
        <f>IF(COUNT(R104,R31)&lt;2,"",R104/100*R31)</f>
        <v/>
      </c>
      <c r="S113" s="165">
        <f>IF(COUNT(S104,S31)&lt;2,"",S104/100*S31)</f>
        <v/>
      </c>
      <c r="T113" s="162" t="inlineStr">
        <is>
          <t>Estimate; 2023 only, the last year with a national total</t>
        </is>
      </c>
      <c r="U113" s="162" t="inlineStr">
        <is>
          <t>Analyst estimate, calculated in this workbook; method in the definition</t>
        </is>
      </c>
      <c r="V113" s="162" t="inlineStr">
        <is>
          <t>Replace when the department publishes district data after 2023 quarter 1</t>
        </is>
      </c>
    </row>
    <row r="114">
      <c r="A114" s="162" t="inlineStr">
        <is>
          <t>Northern Cape diesel, estimated</t>
        </is>
      </c>
      <c r="B114" s="163" t="inlineStr">
        <is>
          <t>million L/year</t>
        </is>
      </c>
      <c r="C114" s="163" t="inlineStr">
        <is>
          <t>Proposed estimate</t>
        </is>
      </c>
      <c r="D114" s="165" t="n"/>
      <c r="E114" s="162" t="inlineStr">
        <is>
          <t>Estimated share times the department's national total (section 1). Blank where no national figure exists.</t>
        </is>
      </c>
      <c r="F114" s="165" t="n"/>
      <c r="G114" s="165" t="n"/>
      <c r="H114" s="165" t="n"/>
      <c r="I114" s="165" t="n"/>
      <c r="J114" s="165" t="n"/>
      <c r="K114" s="165" t="n"/>
      <c r="L114" s="165" t="n"/>
      <c r="M114" s="165" t="n"/>
      <c r="N114" s="165" t="n"/>
      <c r="O114" s="165" t="n"/>
      <c r="P114" s="165" t="n"/>
      <c r="Q114" s="165">
        <f>IF(COUNT(Q105,Q31)&lt;2,"",Q105/100*Q31)</f>
        <v/>
      </c>
      <c r="R114" s="165">
        <f>IF(COUNT(R105,R31)&lt;2,"",R105/100*R31)</f>
        <v/>
      </c>
      <c r="S114" s="165">
        <f>IF(COUNT(S105,S31)&lt;2,"",S105/100*S31)</f>
        <v/>
      </c>
      <c r="T114" s="162" t="inlineStr">
        <is>
          <t>Estimate; 2023 only, the last year with a national total</t>
        </is>
      </c>
      <c r="U114" s="162" t="inlineStr">
        <is>
          <t>Analyst estimate, calculated in this workbook; method in the definition</t>
        </is>
      </c>
      <c r="V114" s="162" t="inlineStr">
        <is>
          <t>Replace when the department publishes district data after 2023 quarter 1</t>
        </is>
      </c>
    </row>
    <row r="116">
      <c r="A116" s="151" t="inlineStr">
        <is>
          <t>7. Jet fuel: sales, trade, production and aircraft movements</t>
        </is>
      </c>
      <c r="B116" s="151" t="n"/>
      <c r="C116" s="151" t="n"/>
      <c r="D116" s="151" t="n"/>
      <c r="E116" s="151" t="n"/>
      <c r="F116" s="151" t="n"/>
      <c r="G116" s="151" t="n"/>
      <c r="H116" s="151" t="n"/>
      <c r="I116" s="151" t="n"/>
      <c r="J116" s="151" t="n"/>
      <c r="K116" s="151" t="n"/>
      <c r="L116" s="151" t="n"/>
      <c r="M116" s="151" t="n"/>
      <c r="N116" s="151" t="n"/>
      <c r="O116" s="151" t="n"/>
      <c r="P116" s="151" t="n"/>
      <c r="Q116" s="151" t="n"/>
      <c r="R116" s="151" t="n"/>
      <c r="S116" s="151" t="n"/>
      <c r="T116" s="151" t="n"/>
      <c r="U116" s="151" t="n"/>
      <c r="V116" s="151" t="n"/>
    </row>
    <row r="117">
      <c r="A117" s="152" t="inlineStr">
        <is>
          <t>Department national file, jet</t>
        </is>
      </c>
      <c r="B117" s="153" t="inlineStr">
        <is>
          <t>million L/year</t>
        </is>
      </c>
      <c r="C117" s="153" t="inlineStr">
        <is>
          <t>Source observation</t>
        </is>
      </c>
      <c r="D117" s="154" t="n"/>
      <c r="E117" s="152" t="inlineStr">
        <is>
          <t>National annual workbook, years with four quarters reported.</t>
        </is>
      </c>
      <c r="F117" s="154" t="n">
        <v>2431.08548</v>
      </c>
      <c r="G117" s="154" t="n">
        <v>2305.651372</v>
      </c>
      <c r="H117" s="154" t="n">
        <v>2293.018714</v>
      </c>
      <c r="I117" s="154" t="n">
        <v>2457.95129655</v>
      </c>
      <c r="J117" s="154" t="n">
        <v>2598.760123418</v>
      </c>
      <c r="K117" s="154" t="n">
        <v>2712.662668234242</v>
      </c>
      <c r="L117" s="154" t="n">
        <v>2346.059526818</v>
      </c>
      <c r="M117" s="154" t="n">
        <v>2438.852598017</v>
      </c>
      <c r="N117" s="154" t="n">
        <v>1090.817659253</v>
      </c>
      <c r="O117" s="154" t="n">
        <v>1047.881004178</v>
      </c>
      <c r="P117" s="154" t="n">
        <v>1478.149852603</v>
      </c>
      <c r="Q117" s="154" t="n">
        <v>1843.971762465</v>
      </c>
      <c r="R117" s="154" t="n"/>
      <c r="S117" s="154" t="n"/>
      <c r="T117" s="152" t="inlineStr">
        <is>
          <t>2012-2023</t>
        </is>
      </c>
      <c r="U117" s="152" t="inlineStr">
        <is>
          <t>Department of Mineral and Petroleum Resources, sales volumes, national workbooks</t>
        </is>
      </c>
      <c r="V117" s="152" t="inlineStr"/>
    </row>
    <row r="118">
      <c r="A118" s="159" t="inlineStr">
        <is>
          <t>FIASA sales, jet</t>
        </is>
      </c>
      <c r="B118" s="160" t="inlineStr">
        <is>
          <t>million L/year</t>
        </is>
      </c>
      <c r="C118" s="160" t="inlineStr">
        <is>
          <t>Comparison only</t>
        </is>
      </c>
      <c r="D118" s="161" t="n"/>
      <c r="E118" s="159" t="inlineStr">
        <is>
          <t>FIASA annual report, latest edition.</t>
        </is>
      </c>
      <c r="F118" s="161" t="n">
        <v>2367</v>
      </c>
      <c r="G118" s="161" t="n">
        <v>2223</v>
      </c>
      <c r="H118" s="161" t="n">
        <v>2197</v>
      </c>
      <c r="I118" s="161" t="n">
        <v>2441</v>
      </c>
      <c r="J118" s="161" t="n">
        <v>2121</v>
      </c>
      <c r="K118" s="161" t="n">
        <v>2713</v>
      </c>
      <c r="L118" s="161" t="n">
        <v>2346</v>
      </c>
      <c r="M118" s="161" t="n">
        <v>2439</v>
      </c>
      <c r="N118" s="161" t="n">
        <v>1091</v>
      </c>
      <c r="O118" s="161" t="n">
        <v>1048</v>
      </c>
      <c r="P118" s="161" t="n">
        <v>1478</v>
      </c>
      <c r="Q118" s="161" t="n">
        <v>1844</v>
      </c>
      <c r="R118" s="161" t="n">
        <v>1955</v>
      </c>
      <c r="S118" s="161" t="n"/>
      <c r="T118" s="159" t="inlineStr">
        <is>
          <t>Not used. 2024: 1,754 in FIASA's 2024 edition, 1,955 in its 2025 edition</t>
        </is>
      </c>
      <c r="U118" s="159" t="inlineStr">
        <is>
          <t>Fuels Industry Association of South Africa, annual reports</t>
        </is>
      </c>
      <c r="V118" s="159" t="inlineStr"/>
    </row>
    <row r="119">
      <c r="A119" s="156" t="inlineStr">
        <is>
          <t>Sales used, jet</t>
        </is>
      </c>
      <c r="B119" s="157" t="inlineStr">
        <is>
          <t>million L/year</t>
        </is>
      </c>
      <c r="C119" s="157" t="inlineStr">
        <is>
          <t>Reporting formula</t>
        </is>
      </c>
      <c r="D119" s="158" t="n"/>
      <c r="E119" s="156" t="inlineStr">
        <is>
          <t>Department national file. Blank where not published.</t>
        </is>
      </c>
      <c r="F119" s="158">
        <f>IF(ISNUMBER(F117),F117,"")</f>
        <v/>
      </c>
      <c r="G119" s="158">
        <f>IF(ISNUMBER(G117),G117,"")</f>
        <v/>
      </c>
      <c r="H119" s="158">
        <f>IF(ISNUMBER(H117),H117,"")</f>
        <v/>
      </c>
      <c r="I119" s="158">
        <f>IF(ISNUMBER(I117),I117,"")</f>
        <v/>
      </c>
      <c r="J119" s="158">
        <f>IF(ISNUMBER(J117),J117,"")</f>
        <v/>
      </c>
      <c r="K119" s="158">
        <f>IF(ISNUMBER(K117),K117,"")</f>
        <v/>
      </c>
      <c r="L119" s="158">
        <f>IF(ISNUMBER(L117),L117,"")</f>
        <v/>
      </c>
      <c r="M119" s="158">
        <f>IF(ISNUMBER(M117),M117,"")</f>
        <v/>
      </c>
      <c r="N119" s="158">
        <f>IF(ISNUMBER(N117),N117,"")</f>
        <v/>
      </c>
      <c r="O119" s="158">
        <f>IF(ISNUMBER(O117),O117,"")</f>
        <v/>
      </c>
      <c r="P119" s="158">
        <f>IF(ISNUMBER(P117),P117,"")</f>
        <v/>
      </c>
      <c r="Q119" s="158">
        <f>IF(ISNUMBER(Q117),Q117,"")</f>
        <v/>
      </c>
      <c r="R119" s="158">
        <f>IF(ISNUMBER(R117),R117,"")</f>
        <v/>
      </c>
      <c r="S119" s="158">
        <f>IF(ISNUMBER(S117),S117,"")</f>
        <v/>
      </c>
      <c r="T119" s="156" t="inlineStr"/>
      <c r="U119" s="156" t="inlineStr">
        <is>
          <t>Calculated in this workbook from the rows named in the definition</t>
        </is>
      </c>
      <c r="V119" s="156" t="inlineStr"/>
    </row>
    <row r="120">
      <c r="A120" s="152" t="inlineStr">
        <is>
          <t>Imports, jet</t>
        </is>
      </c>
      <c r="B120" s="153" t="inlineStr">
        <is>
          <t>million L/year</t>
        </is>
      </c>
      <c r="C120" s="153" t="inlineStr">
        <is>
          <t>Source observation</t>
        </is>
      </c>
      <c r="D120" s="154" t="n"/>
      <c r="E120" s="152" t="inlineStr">
        <is>
          <t>Complete years reported in litres.</t>
        </is>
      </c>
      <c r="F120" s="154" t="n"/>
      <c r="G120" s="154" t="n"/>
      <c r="H120" s="154" t="n"/>
      <c r="I120" s="154" t="n"/>
      <c r="J120" s="154" t="n"/>
      <c r="K120" s="154" t="n">
        <v>418.603994</v>
      </c>
      <c r="L120" s="154" t="n">
        <v>341.60306375</v>
      </c>
      <c r="M120" s="154" t="n"/>
      <c r="N120" s="154" t="n">
        <v>587.4314575</v>
      </c>
      <c r="O120" s="154" t="n">
        <v>446.819487</v>
      </c>
      <c r="P120" s="154" t="n">
        <v>810.3529865</v>
      </c>
      <c r="Q120" s="154" t="n">
        <v>673.86142982</v>
      </c>
      <c r="R120" s="154" t="n">
        <v>718.0868890700001</v>
      </c>
      <c r="S120" s="154" t="n">
        <v>884.9844383200001</v>
      </c>
      <c r="T120" s="152" t="inlineStr">
        <is>
          <t>From 2014; 2019 blank because one month is missing</t>
        </is>
      </c>
      <c r="U120" s="152" t="inlineStr">
        <is>
          <t>South African Revenue Service, trade statistics by tariff line</t>
        </is>
      </c>
      <c r="V120" s="152" t="inlineStr"/>
    </row>
    <row r="121">
      <c r="A121" s="152" t="inlineStr">
        <is>
          <t>Exports, jet</t>
        </is>
      </c>
      <c r="B121" s="153" t="inlineStr">
        <is>
          <t>million L/year</t>
        </is>
      </c>
      <c r="C121" s="153" t="inlineStr">
        <is>
          <t>Source observation</t>
        </is>
      </c>
      <c r="D121" s="154" t="n"/>
      <c r="E121" s="152" t="inlineStr">
        <is>
          <t>Complete years reported in litres. Whether fuel loaded onto international flights is recorded as an export is not established.</t>
        </is>
      </c>
      <c r="F121" s="154" t="n"/>
      <c r="G121" s="154" t="n"/>
      <c r="H121" s="154" t="n">
        <v>114.794276</v>
      </c>
      <c r="I121" s="154" t="n">
        <v>821.0071333</v>
      </c>
      <c r="J121" s="154" t="n">
        <v>334.5899605</v>
      </c>
      <c r="K121" s="154" t="n">
        <v>348.7657881</v>
      </c>
      <c r="L121" s="154" t="n">
        <v>327.817396</v>
      </c>
      <c r="M121" s="154" t="n">
        <v>293.094467</v>
      </c>
      <c r="N121" s="154" t="n">
        <v>620.3165292</v>
      </c>
      <c r="O121" s="154" t="n">
        <v>98.7798698</v>
      </c>
      <c r="P121" s="154" t="n">
        <v>384.881163</v>
      </c>
      <c r="Q121" s="154" t="n">
        <v>451.76833507</v>
      </c>
      <c r="R121" s="154" t="n">
        <v>478.4344717</v>
      </c>
      <c r="S121" s="154" t="n">
        <v>471.98413936</v>
      </c>
      <c r="T121" s="152" t="inlineStr">
        <is>
          <t>From 2014</t>
        </is>
      </c>
      <c r="U121" s="152" t="inlineStr">
        <is>
          <t>South African Revenue Service, trade statistics by tariff line</t>
        </is>
      </c>
      <c r="V121" s="152" t="inlineStr"/>
    </row>
    <row r="122">
      <c r="A122" s="156" t="inlineStr">
        <is>
          <t>Net imports, jet</t>
        </is>
      </c>
      <c r="B122" s="157" t="inlineStr">
        <is>
          <t>million L/year</t>
        </is>
      </c>
      <c r="C122" s="157" t="inlineStr">
        <is>
          <t>Reporting formula</t>
        </is>
      </c>
      <c r="D122" s="158" t="n"/>
      <c r="E122" s="156" t="inlineStr">
        <is>
          <t>Imports less exports.</t>
        </is>
      </c>
      <c r="F122" s="158">
        <f>IF(COUNT(F120,F121)&lt;2,"",F120-F121)</f>
        <v/>
      </c>
      <c r="G122" s="158">
        <f>IF(COUNT(G120,G121)&lt;2,"",G120-G121)</f>
        <v/>
      </c>
      <c r="H122" s="158">
        <f>IF(COUNT(H120,H121)&lt;2,"",H120-H121)</f>
        <v/>
      </c>
      <c r="I122" s="158">
        <f>IF(COUNT(I120,I121)&lt;2,"",I120-I121)</f>
        <v/>
      </c>
      <c r="J122" s="158">
        <f>IF(COUNT(J120,J121)&lt;2,"",J120-J121)</f>
        <v/>
      </c>
      <c r="K122" s="158">
        <f>IF(COUNT(K120,K121)&lt;2,"",K120-K121)</f>
        <v/>
      </c>
      <c r="L122" s="158">
        <f>IF(COUNT(L120,L121)&lt;2,"",L120-L121)</f>
        <v/>
      </c>
      <c r="M122" s="158">
        <f>IF(COUNT(M120,M121)&lt;2,"",M120-M121)</f>
        <v/>
      </c>
      <c r="N122" s="158">
        <f>IF(COUNT(N120,N121)&lt;2,"",N120-N121)</f>
        <v/>
      </c>
      <c r="O122" s="158">
        <f>IF(COUNT(O120,O121)&lt;2,"",O120-O121)</f>
        <v/>
      </c>
      <c r="P122" s="158">
        <f>IF(COUNT(P120,P121)&lt;2,"",P120-P121)</f>
        <v/>
      </c>
      <c r="Q122" s="158">
        <f>IF(COUNT(Q120,Q121)&lt;2,"",Q120-Q121)</f>
        <v/>
      </c>
      <c r="R122" s="158">
        <f>IF(COUNT(R120,R121)&lt;2,"",R120-R121)</f>
        <v/>
      </c>
      <c r="S122" s="158">
        <f>IF(COUNT(S120,S121)&lt;2,"",S120-S121)</f>
        <v/>
      </c>
      <c r="T122" s="156" t="inlineStr"/>
      <c r="U122" s="156" t="inlineStr">
        <is>
          <t>Calculated in this workbook from the rows named in the definition</t>
        </is>
      </c>
      <c r="V122" s="156" t="inlineStr"/>
    </row>
    <row r="123">
      <c r="A123" s="152" t="inlineStr">
        <is>
          <t>Production reported, jet</t>
        </is>
      </c>
      <c r="B123" s="153" t="inlineStr">
        <is>
          <t>million L/year</t>
        </is>
      </c>
      <c r="C123" s="153" t="inlineStr">
        <is>
          <t>Source observation</t>
        </is>
      </c>
      <c r="D123" s="154" t="n"/>
      <c r="E123" s="152" t="inlineStr">
        <is>
          <t>National production line of the energy balance.</t>
        </is>
      </c>
      <c r="F123" s="154" t="n">
        <v>1100.507375</v>
      </c>
      <c r="G123" s="154" t="n">
        <v>1762.443875</v>
      </c>
      <c r="H123" s="154" t="n">
        <v>1715.08725</v>
      </c>
      <c r="I123" s="154" t="n">
        <v>2967.27825</v>
      </c>
      <c r="J123" s="154" t="n">
        <v>3047.4005</v>
      </c>
      <c r="K123" s="154" t="n">
        <v>1518.965125</v>
      </c>
      <c r="L123" s="154" t="n">
        <v>1543.192125</v>
      </c>
      <c r="M123" s="154" t="n">
        <v>1089.709875</v>
      </c>
      <c r="N123" s="154" t="n">
        <v>962.755625</v>
      </c>
      <c r="O123" s="154" t="n">
        <v>861.3591022420001</v>
      </c>
      <c r="P123" s="154" t="n"/>
      <c r="Q123" s="154" t="n"/>
      <c r="R123" s="154" t="n"/>
      <c r="S123" s="154" t="n"/>
      <c r="T123" s="152" t="inlineStr">
        <is>
          <t>2012-2021</t>
        </is>
      </c>
      <c r="U123" s="152" t="inlineStr">
        <is>
          <t>Department energy balances</t>
        </is>
      </c>
      <c r="V123" s="152" t="inlineStr"/>
    </row>
    <row r="124">
      <c r="A124" s="156" t="inlineStr">
        <is>
          <t>Sales less net imports, jet</t>
        </is>
      </c>
      <c r="B124" s="157" t="inlineStr">
        <is>
          <t>million L/year</t>
        </is>
      </c>
      <c r="C124" s="157" t="inlineStr">
        <is>
          <t>Reporting formula</t>
        </is>
      </c>
      <c r="D124" s="158" t="n"/>
      <c r="E124" s="156" t="inlineStr">
        <is>
          <t>What production and stock changes must supply. Not a measurement of production.</t>
        </is>
      </c>
      <c r="F124" s="158">
        <f>IF(COUNT(F119,F122)&lt;2,"",F119-F122)</f>
        <v/>
      </c>
      <c r="G124" s="158">
        <f>IF(COUNT(G119,G122)&lt;2,"",G119-G122)</f>
        <v/>
      </c>
      <c r="H124" s="158">
        <f>IF(COUNT(H119,H122)&lt;2,"",H119-H122)</f>
        <v/>
      </c>
      <c r="I124" s="158">
        <f>IF(COUNT(I119,I122)&lt;2,"",I119-I122)</f>
        <v/>
      </c>
      <c r="J124" s="158">
        <f>IF(COUNT(J119,J122)&lt;2,"",J119-J122)</f>
        <v/>
      </c>
      <c r="K124" s="158">
        <f>IF(COUNT(K119,K122)&lt;2,"",K119-K122)</f>
        <v/>
      </c>
      <c r="L124" s="158">
        <f>IF(COUNT(L119,L122)&lt;2,"",L119-L122)</f>
        <v/>
      </c>
      <c r="M124" s="158">
        <f>IF(COUNT(M119,M122)&lt;2,"",M119-M122)</f>
        <v/>
      </c>
      <c r="N124" s="158">
        <f>IF(COUNT(N119,N122)&lt;2,"",N119-N122)</f>
        <v/>
      </c>
      <c r="O124" s="158">
        <f>IF(COUNT(O119,O122)&lt;2,"",O119-O122)</f>
        <v/>
      </c>
      <c r="P124" s="158">
        <f>IF(COUNT(P119,P122)&lt;2,"",P119-P122)</f>
        <v/>
      </c>
      <c r="Q124" s="158">
        <f>IF(COUNT(Q119,Q122)&lt;2,"",Q119-Q122)</f>
        <v/>
      </c>
      <c r="R124" s="158">
        <f>IF(COUNT(R119,R122)&lt;2,"",R119-R122)</f>
        <v/>
      </c>
      <c r="S124" s="158">
        <f>IF(COUNT(S119,S122)&lt;2,"",S119-S122)</f>
        <v/>
      </c>
      <c r="T124" s="156" t="inlineStr"/>
      <c r="U124" s="156" t="inlineStr">
        <is>
          <t>Calculated in this workbook from the rows named in the definition</t>
        </is>
      </c>
      <c r="V124" s="156" t="inlineStr"/>
    </row>
    <row r="125">
      <c r="A125" s="156" t="inlineStr">
        <is>
          <t>Unexplained after reported production, jet</t>
        </is>
      </c>
      <c r="B125" s="157" t="inlineStr">
        <is>
          <t>million L/year</t>
        </is>
      </c>
      <c r="C125" s="157" t="inlineStr">
        <is>
          <t>Reporting formula</t>
        </is>
      </c>
      <c r="D125" s="158" t="n"/>
      <c r="E125" s="156" t="inlineStr">
        <is>
          <t>Sales less net imports less reported production.</t>
        </is>
      </c>
      <c r="F125" s="158">
        <f>IF(COUNT(F124,F123)&lt;2,"",F124-F123)</f>
        <v/>
      </c>
      <c r="G125" s="158">
        <f>IF(COUNT(G124,G123)&lt;2,"",G124-G123)</f>
        <v/>
      </c>
      <c r="H125" s="158">
        <f>IF(COUNT(H124,H123)&lt;2,"",H124-H123)</f>
        <v/>
      </c>
      <c r="I125" s="158">
        <f>IF(COUNT(I124,I123)&lt;2,"",I124-I123)</f>
        <v/>
      </c>
      <c r="J125" s="158">
        <f>IF(COUNT(J124,J123)&lt;2,"",J124-J123)</f>
        <v/>
      </c>
      <c r="K125" s="158">
        <f>IF(COUNT(K124,K123)&lt;2,"",K124-K123)</f>
        <v/>
      </c>
      <c r="L125" s="158">
        <f>IF(COUNT(L124,L123)&lt;2,"",L124-L123)</f>
        <v/>
      </c>
      <c r="M125" s="158">
        <f>IF(COUNT(M124,M123)&lt;2,"",M124-M123)</f>
        <v/>
      </c>
      <c r="N125" s="158">
        <f>IF(COUNT(N124,N123)&lt;2,"",N124-N123)</f>
        <v/>
      </c>
      <c r="O125" s="158">
        <f>IF(COUNT(O124,O123)&lt;2,"",O124-O123)</f>
        <v/>
      </c>
      <c r="P125" s="158">
        <f>IF(COUNT(P124,P123)&lt;2,"",P124-P123)</f>
        <v/>
      </c>
      <c r="Q125" s="158">
        <f>IF(COUNT(Q124,Q123)&lt;2,"",Q124-Q123)</f>
        <v/>
      </c>
      <c r="R125" s="158">
        <f>IF(COUNT(R124,R123)&lt;2,"",R124-R123)</f>
        <v/>
      </c>
      <c r="S125" s="158">
        <f>IF(COUNT(S124,S123)&lt;2,"",S124-S123)</f>
        <v/>
      </c>
      <c r="T125" s="156" t="inlineStr"/>
      <c r="U125" s="156" t="inlineStr">
        <is>
          <t>Calculated in this workbook from the rows named in the definition</t>
        </is>
      </c>
      <c r="V125" s="156" t="inlineStr"/>
    </row>
    <row r="126">
      <c r="A126" s="152" t="inlineStr">
        <is>
          <t>Aircraft movements at ACSA airports</t>
        </is>
      </c>
      <c r="B126" s="153" t="inlineStr">
        <is>
          <t>movements/year</t>
        </is>
      </c>
      <c r="C126" s="153" t="inlineStr">
        <is>
          <t>Source observation</t>
        </is>
      </c>
      <c r="D126" s="166" t="n"/>
      <c r="E126" s="152" t="inlineStr">
        <is>
          <t>Arrivals and departures, all flight types, nine ACSA airports. Non-ACSA airports (Lanseria and others) are not covered.</t>
        </is>
      </c>
      <c r="F126" s="166" t="n"/>
      <c r="G126" s="166" t="n">
        <v>514106</v>
      </c>
      <c r="H126" s="166" t="n">
        <v>541048</v>
      </c>
      <c r="I126" s="166" t="n">
        <v>565516</v>
      </c>
      <c r="J126" s="166" t="n">
        <v>568527</v>
      </c>
      <c r="K126" s="166" t="n">
        <v>530912</v>
      </c>
      <c r="L126" s="166" t="n">
        <v>519847</v>
      </c>
      <c r="M126" s="166" t="n">
        <v>512467</v>
      </c>
      <c r="N126" s="166" t="n">
        <v>236675</v>
      </c>
      <c r="O126" s="166" t="n">
        <v>316436</v>
      </c>
      <c r="P126" s="166" t="n">
        <v>416058</v>
      </c>
      <c r="Q126" s="166" t="n">
        <v>451317</v>
      </c>
      <c r="R126" s="166" t="n">
        <v>456214</v>
      </c>
      <c r="S126" s="166" t="n">
        <v>462123</v>
      </c>
      <c r="T126" s="152" t="inlineStr">
        <is>
          <t>2013-2025</t>
        </is>
      </c>
      <c r="U126" s="152" t="inlineStr">
        <is>
          <t>Airports Company South Africa, traffic statistics</t>
        </is>
      </c>
      <c r="V126" s="152" t="inlineStr"/>
    </row>
    <row r="127">
      <c r="A127" s="156" t="inlineStr">
        <is>
          <t>Jet sold per aircraft movement</t>
        </is>
      </c>
      <c r="B127" s="157" t="inlineStr">
        <is>
          <t>litres/movement</t>
        </is>
      </c>
      <c r="C127" s="157" t="inlineStr">
        <is>
          <t>Reporting formula</t>
        </is>
      </c>
      <c r="D127" s="167" t="n"/>
      <c r="E127" s="156" t="inlineStr">
        <is>
          <t>Sales used divided by movements. 4,086 litres in 2023 against 4,759 in 2019; the reason for the fall is not established. Driver proposed for jet: movements times this intensity.</t>
        </is>
      </c>
      <c r="F127" s="167">
        <f>IF(COUNT(F119,F126)&lt;2,"",F119*1000000/F126)</f>
        <v/>
      </c>
      <c r="G127" s="167">
        <f>IF(COUNT(G119,G126)&lt;2,"",G119*1000000/G126)</f>
        <v/>
      </c>
      <c r="H127" s="167">
        <f>IF(COUNT(H119,H126)&lt;2,"",H119*1000000/H126)</f>
        <v/>
      </c>
      <c r="I127" s="167">
        <f>IF(COUNT(I119,I126)&lt;2,"",I119*1000000/I126)</f>
        <v/>
      </c>
      <c r="J127" s="167">
        <f>IF(COUNT(J119,J126)&lt;2,"",J119*1000000/J126)</f>
        <v/>
      </c>
      <c r="K127" s="167">
        <f>IF(COUNT(K119,K126)&lt;2,"",K119*1000000/K126)</f>
        <v/>
      </c>
      <c r="L127" s="167">
        <f>IF(COUNT(L119,L126)&lt;2,"",L119*1000000/L126)</f>
        <v/>
      </c>
      <c r="M127" s="167">
        <f>IF(COUNT(M119,M126)&lt;2,"",M119*1000000/M126)</f>
        <v/>
      </c>
      <c r="N127" s="167">
        <f>IF(COUNT(N119,N126)&lt;2,"",N119*1000000/N126)</f>
        <v/>
      </c>
      <c r="O127" s="167">
        <f>IF(COUNT(O119,O126)&lt;2,"",O119*1000000/O126)</f>
        <v/>
      </c>
      <c r="P127" s="167">
        <f>IF(COUNT(P119,P126)&lt;2,"",P119*1000000/P126)</f>
        <v/>
      </c>
      <c r="Q127" s="167">
        <f>IF(COUNT(Q119,Q126)&lt;2,"",Q119*1000000/Q126)</f>
        <v/>
      </c>
      <c r="R127" s="167">
        <f>IF(COUNT(R119,R126)&lt;2,"",R119*1000000/R126)</f>
        <v/>
      </c>
      <c r="S127" s="167">
        <f>IF(COUNT(S119,S126)&lt;2,"",S119*1000000/S126)</f>
        <v/>
      </c>
      <c r="T127" s="156" t="inlineStr"/>
      <c r="U127" s="156" t="inlineStr">
        <is>
          <t>Calculated in this workbook from the rows named in the definition</t>
        </is>
      </c>
      <c r="V127"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52" customWidth="1" min="14" max="14"/>
    <col width="58" customWidth="1" min="15" max="15"/>
  </cols>
  <sheetData>
    <row r="1">
      <c r="A1" s="149" t="inlineStr">
        <is>
          <t>DR01 National balance: petrol and diesel</t>
        </is>
      </c>
    </row>
    <row r="2">
      <c r="A2" s="1" t="inlineStr">
        <is>
          <t>Billion litres, calendar years. Every number is a formula on the History sheet. Blank means not published. FIASA and JODI are not used.</t>
        </is>
      </c>
    </row>
    <row r="4">
      <c r="A4" s="168" t="inlineStr">
        <is>
          <t>Line</t>
        </is>
      </c>
      <c r="B4" s="169" t="n">
        <v>2014</v>
      </c>
      <c r="C4" s="169" t="n">
        <v>2015</v>
      </c>
      <c r="D4" s="169" t="n">
        <v>2016</v>
      </c>
      <c r="E4" s="169" t="n">
        <v>2017</v>
      </c>
      <c r="F4" s="169" t="n">
        <v>2018</v>
      </c>
      <c r="G4" s="169" t="n">
        <v>2019</v>
      </c>
      <c r="H4" s="169" t="n">
        <v>2020</v>
      </c>
      <c r="I4" s="169" t="n">
        <v>2021</v>
      </c>
      <c r="J4" s="169" t="n">
        <v>2022</v>
      </c>
      <c r="K4" s="169" t="n">
        <v>2023</v>
      </c>
      <c r="L4" s="169" t="n">
        <v>2024</v>
      </c>
      <c r="M4" s="169" t="n">
        <v>2025</v>
      </c>
      <c r="N4" s="168" t="inlineStr">
        <is>
          <t>Source</t>
        </is>
      </c>
      <c r="O4" s="168" t="inlineStr">
        <is>
          <t>Note</t>
        </is>
      </c>
    </row>
    <row r="5">
      <c r="A5" s="151" t="inlineStr">
        <is>
          <t>Diesel</t>
        </is>
      </c>
      <c r="B5" s="151" t="n"/>
      <c r="C5" s="151" t="n"/>
      <c r="D5" s="151" t="n"/>
      <c r="E5" s="151" t="n"/>
      <c r="F5" s="151" t="n"/>
      <c r="G5" s="151" t="n"/>
      <c r="H5" s="151" t="n"/>
      <c r="I5" s="151" t="n"/>
      <c r="J5" s="151" t="n"/>
      <c r="K5" s="151" t="n"/>
      <c r="L5" s="151" t="n"/>
      <c r="M5" s="151" t="n"/>
      <c r="N5" s="151" t="n"/>
      <c r="O5" s="151" t="n"/>
    </row>
    <row r="6">
      <c r="A6" s="170" t="inlineStr">
        <is>
          <t>Sales</t>
        </is>
      </c>
      <c r="B6" s="171">
        <f>IF(ISNUMBER(History!H66),History!H66/1000,"")</f>
        <v/>
      </c>
      <c r="C6" s="171">
        <f>IF(ISNUMBER(History!I66),History!I66/1000,"")</f>
        <v/>
      </c>
      <c r="D6" s="171">
        <f>IF(ISNUMBER(History!J66),History!J66/1000,"")</f>
        <v/>
      </c>
      <c r="E6" s="171">
        <f>IF(ISNUMBER(History!K66),History!K66/1000,"")</f>
        <v/>
      </c>
      <c r="F6" s="171">
        <f>IF(ISNUMBER(History!L66),History!L66/1000,"")</f>
        <v/>
      </c>
      <c r="G6" s="171">
        <f>IF(ISNUMBER(History!M66),History!M66/1000,"")</f>
        <v/>
      </c>
      <c r="H6" s="171">
        <f>IF(ISNUMBER(History!N66),History!N66/1000,"")</f>
        <v/>
      </c>
      <c r="I6" s="171">
        <f>IF(ISNUMBER(History!O66),History!O66/1000,"")</f>
        <v/>
      </c>
      <c r="J6" s="171">
        <f>IF(ISNUMBER(History!P66),History!P66/1000,"")</f>
        <v/>
      </c>
      <c r="K6" s="171">
        <f>IF(ISNUMBER(History!Q66),History!Q66/1000,"")</f>
        <v/>
      </c>
      <c r="L6" s="171">
        <f>IF(ISNUMBER(History!R66),History!R66/1000,"")</f>
        <v/>
      </c>
      <c r="M6" s="171">
        <f>IF(ISNUMBER(History!S66),History!S66/1000,"")</f>
        <v/>
      </c>
      <c r="N6" s="172" t="inlineStr">
        <is>
          <t>Department: sales by province added up (2013-2022); national total (2023)</t>
        </is>
      </c>
      <c r="O6" s="172" t="inlineStr">
        <is>
          <t>2023 by province is an estimate. Nothing published after 2023.</t>
        </is>
      </c>
    </row>
    <row r="7">
      <c r="A7" s="170" t="inlineStr">
        <is>
          <t>Production</t>
        </is>
      </c>
      <c r="B7" s="171">
        <f>IF(ISNUMBER(History!H53),History!H53/1000,"")</f>
        <v/>
      </c>
      <c r="C7" s="171">
        <f>IF(ISNUMBER(History!I53),History!I53/1000,"")</f>
        <v/>
      </c>
      <c r="D7" s="171">
        <f>IF(ISNUMBER(History!J53),History!J53/1000,"")</f>
        <v/>
      </c>
      <c r="E7" s="171">
        <f>IF(ISNUMBER(History!K53),History!K53/1000,"")</f>
        <v/>
      </c>
      <c r="F7" s="171">
        <f>IF(ISNUMBER(History!L53),History!L53/1000,"")</f>
        <v/>
      </c>
      <c r="G7" s="171">
        <f>IF(ISNUMBER(History!M53),History!M53/1000,"")</f>
        <v/>
      </c>
      <c r="H7" s="171">
        <f>IF(ISNUMBER(History!N53),History!N53/1000,"")</f>
        <v/>
      </c>
      <c r="I7" s="171">
        <f>IF(ISNUMBER(History!O53),History!O53/1000,"")</f>
        <v/>
      </c>
      <c r="J7" s="171">
        <f>IF(ISNUMBER(History!P53),History!P53/1000,"")</f>
        <v/>
      </c>
      <c r="K7" s="171">
        <f>IF(ISNUMBER(History!Q53),History!Q53/1000,"")</f>
        <v/>
      </c>
      <c r="L7" s="171">
        <f>IF(ISNUMBER(History!R53),History!R53/1000,"")</f>
        <v/>
      </c>
      <c r="M7" s="171">
        <f>IF(ISNUMBER(History!S53),History!S53/1000,"")</f>
        <v/>
      </c>
      <c r="N7" s="172" t="inlineStr">
        <is>
          <t>Department energy balances, one file a year</t>
        </is>
      </c>
      <c r="O7" s="172" t="inlineStr">
        <is>
          <t>Last balance published is 2021.</t>
        </is>
      </c>
    </row>
    <row r="8">
      <c r="A8" s="170" t="inlineStr">
        <is>
          <t>Imports</t>
        </is>
      </c>
      <c r="B8" s="171">
        <f>IF(ISNUMBER(History!H36),History!H36/1000,"")</f>
        <v/>
      </c>
      <c r="C8" s="171">
        <f>IF(ISNUMBER(History!I36),History!I36/1000,"")</f>
        <v/>
      </c>
      <c r="D8" s="171">
        <f>IF(ISNUMBER(History!J36),History!J36/1000,"")</f>
        <v/>
      </c>
      <c r="E8" s="171">
        <f>IF(ISNUMBER(History!K36),History!K36/1000,"")</f>
        <v/>
      </c>
      <c r="F8" s="171">
        <f>IF(ISNUMBER(History!L36),History!L36/1000,"")</f>
        <v/>
      </c>
      <c r="G8" s="171">
        <f>IF(ISNUMBER(History!M36),History!M36/1000,"")</f>
        <v/>
      </c>
      <c r="H8" s="171">
        <f>IF(ISNUMBER(History!N36),History!N36/1000,"")</f>
        <v/>
      </c>
      <c r="I8" s="171">
        <f>IF(ISNUMBER(History!O36),History!O36/1000,"")</f>
        <v/>
      </c>
      <c r="J8" s="171">
        <f>IF(ISNUMBER(History!P36),History!P36/1000,"")</f>
        <v/>
      </c>
      <c r="K8" s="171">
        <f>IF(ISNUMBER(History!Q36),History!Q36/1000,"")</f>
        <v/>
      </c>
      <c r="L8" s="171">
        <f>IF(ISNUMBER(History!R36),History!R36/1000,"")</f>
        <v/>
      </c>
      <c r="M8" s="171">
        <f>IF(ISNUMBER(History!S36),History!S36/1000,"")</f>
        <v/>
      </c>
      <c r="N8" s="172" t="inlineStr">
        <is>
          <t>SARS customs, by tariff line</t>
        </is>
      </c>
      <c r="O8" s="172" t="inlineStr">
        <is>
          <t>Complete calendar years in litres.</t>
        </is>
      </c>
    </row>
    <row r="9">
      <c r="A9" s="170" t="inlineStr">
        <is>
          <t>Exports</t>
        </is>
      </c>
      <c r="B9" s="171">
        <f>IF(ISNUMBER(History!H39),History!H39/1000,"")</f>
        <v/>
      </c>
      <c r="C9" s="171">
        <f>IF(ISNUMBER(History!I39),History!I39/1000,"")</f>
        <v/>
      </c>
      <c r="D9" s="171">
        <f>IF(ISNUMBER(History!J39),History!J39/1000,"")</f>
        <v/>
      </c>
      <c r="E9" s="171">
        <f>IF(ISNUMBER(History!K39),History!K39/1000,"")</f>
        <v/>
      </c>
      <c r="F9" s="171">
        <f>IF(ISNUMBER(History!L39),History!L39/1000,"")</f>
        <v/>
      </c>
      <c r="G9" s="171">
        <f>IF(ISNUMBER(History!M39),History!M39/1000,"")</f>
        <v/>
      </c>
      <c r="H9" s="171">
        <f>IF(ISNUMBER(History!N39),History!N39/1000,"")</f>
        <v/>
      </c>
      <c r="I9" s="171">
        <f>IF(ISNUMBER(History!O39),History!O39/1000,"")</f>
        <v/>
      </c>
      <c r="J9" s="171">
        <f>IF(ISNUMBER(History!P39),History!P39/1000,"")</f>
        <v/>
      </c>
      <c r="K9" s="171">
        <f>IF(ISNUMBER(History!Q39),History!Q39/1000,"")</f>
        <v/>
      </c>
      <c r="L9" s="171">
        <f>IF(ISNUMBER(History!R39),History!R39/1000,"")</f>
        <v/>
      </c>
      <c r="M9" s="171">
        <f>IF(ISNUMBER(History!S39),History!S39/1000,"")</f>
        <v/>
      </c>
      <c r="N9" s="172" t="inlineStr">
        <is>
          <t>SARS customs, by tariff line</t>
        </is>
      </c>
      <c r="O9" s="172" t="inlineStr"/>
    </row>
    <row r="10">
      <c r="A10" s="173" t="inlineStr">
        <is>
          <t>Supply</t>
        </is>
      </c>
      <c r="B10" s="174">
        <f>IF(COUNT(B7,B8,B9)&lt;3,"",B7+B8-B9)</f>
        <v/>
      </c>
      <c r="C10" s="174">
        <f>IF(COUNT(C7,C8,C9)&lt;3,"",C7+C8-C9)</f>
        <v/>
      </c>
      <c r="D10" s="174">
        <f>IF(COUNT(D7,D8,D9)&lt;3,"",D7+D8-D9)</f>
        <v/>
      </c>
      <c r="E10" s="174">
        <f>IF(COUNT(E7,E8,E9)&lt;3,"",E7+E8-E9)</f>
        <v/>
      </c>
      <c r="F10" s="174">
        <f>IF(COUNT(F7,F8,F9)&lt;3,"",F7+F8-F9)</f>
        <v/>
      </c>
      <c r="G10" s="174">
        <f>IF(COUNT(G7,G8,G9)&lt;3,"",G7+G8-G9)</f>
        <v/>
      </c>
      <c r="H10" s="174">
        <f>IF(COUNT(H7,H8,H9)&lt;3,"",H7+H8-H9)</f>
        <v/>
      </c>
      <c r="I10" s="174">
        <f>IF(COUNT(I7,I8,I9)&lt;3,"",I7+I8-I9)</f>
        <v/>
      </c>
      <c r="J10" s="174">
        <f>IF(COUNT(J7,J8,J9)&lt;3,"",J7+J8-J9)</f>
        <v/>
      </c>
      <c r="K10" s="174">
        <f>IF(COUNT(K7,K8,K9)&lt;3,"",K7+K8-K9)</f>
        <v/>
      </c>
      <c r="L10" s="174">
        <f>IF(COUNT(L7,L8,L9)&lt;3,"",L7+L8-L9)</f>
        <v/>
      </c>
      <c r="M10" s="174">
        <f>IF(COUNT(M7,M8,M9)&lt;3,"",M7+M8-M9)</f>
        <v/>
      </c>
      <c r="N10" s="175" t="inlineStr">
        <is>
          <t>Calculated: production + imports - exports</t>
        </is>
      </c>
      <c r="O10" s="175" t="inlineStr"/>
    </row>
    <row r="11">
      <c r="A11" s="170" t="inlineStr">
        <is>
          <t>Stock change</t>
        </is>
      </c>
      <c r="B11" s="171" t="n"/>
      <c r="C11" s="171" t="n"/>
      <c r="D11" s="171" t="n"/>
      <c r="E11" s="171" t="n"/>
      <c r="F11" s="171" t="n"/>
      <c r="G11" s="171" t="n"/>
      <c r="H11" s="171" t="n"/>
      <c r="I11" s="171" t="n"/>
      <c r="J11" s="171" t="n"/>
      <c r="K11" s="171" t="n"/>
      <c r="L11" s="171" t="n"/>
      <c r="M11" s="171" t="n"/>
      <c r="N11" s="172" t="inlineStr">
        <is>
          <t>None</t>
        </is>
      </c>
      <c r="O11" s="172" t="inlineStr">
        <is>
          <t>Not published by any source used.</t>
        </is>
      </c>
    </row>
    <row r="12">
      <c r="A12" s="173" t="inlineStr">
        <is>
          <t>Supply less sales</t>
        </is>
      </c>
      <c r="B12" s="174">
        <f>IF(COUNT(B10,B6)&lt;2,"",B10-B6)</f>
        <v/>
      </c>
      <c r="C12" s="174">
        <f>IF(COUNT(C10,C6)&lt;2,"",C10-C6)</f>
        <v/>
      </c>
      <c r="D12" s="174">
        <f>IF(COUNT(D10,D6)&lt;2,"",D10-D6)</f>
        <v/>
      </c>
      <c r="E12" s="174">
        <f>IF(COUNT(E10,E6)&lt;2,"",E10-E6)</f>
        <v/>
      </c>
      <c r="F12" s="174">
        <f>IF(COUNT(F10,F6)&lt;2,"",F10-F6)</f>
        <v/>
      </c>
      <c r="G12" s="174">
        <f>IF(COUNT(G10,G6)&lt;2,"",G10-G6)</f>
        <v/>
      </c>
      <c r="H12" s="174">
        <f>IF(COUNT(H10,H6)&lt;2,"",H10-H6)</f>
        <v/>
      </c>
      <c r="I12" s="174">
        <f>IF(COUNT(I10,I6)&lt;2,"",I10-I6)</f>
        <v/>
      </c>
      <c r="J12" s="174">
        <f>IF(COUNT(J10,J6)&lt;2,"",J10-J6)</f>
        <v/>
      </c>
      <c r="K12" s="174">
        <f>IF(COUNT(K10,K6)&lt;2,"",K10-K6)</f>
        <v/>
      </c>
      <c r="L12" s="174">
        <f>IF(COUNT(L10,L6)&lt;2,"",L10-L6)</f>
        <v/>
      </c>
      <c r="M12" s="174">
        <f>IF(COUNT(M10,M6)&lt;2,"",M10-M6)</f>
        <v/>
      </c>
      <c r="N12" s="175" t="inlineStr">
        <is>
          <t>Calculated: supply - sales</t>
        </is>
      </c>
      <c r="O12" s="175" t="inlineStr">
        <is>
          <t>Stock change and statistical difference together. Not production.</t>
        </is>
      </c>
    </row>
    <row r="14">
      <c r="A14" s="151" t="inlineStr">
        <is>
          <t>Petrol</t>
        </is>
      </c>
      <c r="B14" s="151" t="n"/>
      <c r="C14" s="151" t="n"/>
      <c r="D14" s="151" t="n"/>
      <c r="E14" s="151" t="n"/>
      <c r="F14" s="151" t="n"/>
      <c r="G14" s="151" t="n"/>
      <c r="H14" s="151" t="n"/>
      <c r="I14" s="151" t="n"/>
      <c r="J14" s="151" t="n"/>
      <c r="K14" s="151" t="n"/>
      <c r="L14" s="151" t="n"/>
      <c r="M14" s="151" t="n"/>
      <c r="N14" s="151" t="n"/>
      <c r="O14" s="151" t="n"/>
    </row>
    <row r="15">
      <c r="A15" s="170" t="inlineStr">
        <is>
          <t>Sales</t>
        </is>
      </c>
      <c r="B15" s="171">
        <f>IF(ISNUMBER(History!H61),History!H61/1000,"")</f>
        <v/>
      </c>
      <c r="C15" s="171">
        <f>IF(ISNUMBER(History!I61),History!I61/1000,"")</f>
        <v/>
      </c>
      <c r="D15" s="171">
        <f>IF(ISNUMBER(History!J61),History!J61/1000,"")</f>
        <v/>
      </c>
      <c r="E15" s="171">
        <f>IF(ISNUMBER(History!K61),History!K61/1000,"")</f>
        <v/>
      </c>
      <c r="F15" s="171">
        <f>IF(ISNUMBER(History!L61),History!L61/1000,"")</f>
        <v/>
      </c>
      <c r="G15" s="171">
        <f>IF(ISNUMBER(History!M61),History!M61/1000,"")</f>
        <v/>
      </c>
      <c r="H15" s="171">
        <f>IF(ISNUMBER(History!N61),History!N61/1000,"")</f>
        <v/>
      </c>
      <c r="I15" s="171">
        <f>IF(ISNUMBER(History!O61),History!O61/1000,"")</f>
        <v/>
      </c>
      <c r="J15" s="171">
        <f>IF(ISNUMBER(History!P61),History!P61/1000,"")</f>
        <v/>
      </c>
      <c r="K15" s="171">
        <f>IF(ISNUMBER(History!Q61),History!Q61/1000,"")</f>
        <v/>
      </c>
      <c r="L15" s="171">
        <f>IF(ISNUMBER(History!R61),History!R61/1000,"")</f>
        <v/>
      </c>
      <c r="M15" s="171">
        <f>IF(ISNUMBER(History!S61),History!S61/1000,"")</f>
        <v/>
      </c>
      <c r="N15" s="172" t="inlineStr">
        <is>
          <t>Department: sales by province added up (2013-2022); national total (2023)</t>
        </is>
      </c>
      <c r="O15" s="172" t="inlineStr">
        <is>
          <t>2023 by province is an estimate. Nothing published after 2023.</t>
        </is>
      </c>
    </row>
    <row r="16">
      <c r="A16" s="170" t="inlineStr">
        <is>
          <t>Production</t>
        </is>
      </c>
      <c r="B16" s="171">
        <f>IF(ISNUMBER(History!H51),History!H51/1000,"")</f>
        <v/>
      </c>
      <c r="C16" s="171">
        <f>IF(ISNUMBER(History!I51),History!I51/1000,"")</f>
        <v/>
      </c>
      <c r="D16" s="171">
        <f>IF(ISNUMBER(History!J51),History!J51/1000,"")</f>
        <v/>
      </c>
      <c r="E16" s="171">
        <f>IF(ISNUMBER(History!K51),History!K51/1000,"")</f>
        <v/>
      </c>
      <c r="F16" s="171">
        <f>IF(ISNUMBER(History!L51),History!L51/1000,"")</f>
        <v/>
      </c>
      <c r="G16" s="171">
        <f>IF(ISNUMBER(History!M51),History!M51/1000,"")</f>
        <v/>
      </c>
      <c r="H16" s="171">
        <f>IF(ISNUMBER(History!N51),History!N51/1000,"")</f>
        <v/>
      </c>
      <c r="I16" s="171">
        <f>IF(ISNUMBER(History!O51),History!O51/1000,"")</f>
        <v/>
      </c>
      <c r="J16" s="171">
        <f>IF(ISNUMBER(History!P51),History!P51/1000,"")</f>
        <v/>
      </c>
      <c r="K16" s="171">
        <f>IF(ISNUMBER(History!Q51),History!Q51/1000,"")</f>
        <v/>
      </c>
      <c r="L16" s="171">
        <f>IF(ISNUMBER(History!R51),History!R51/1000,"")</f>
        <v/>
      </c>
      <c r="M16" s="171">
        <f>IF(ISNUMBER(History!S51),History!S51/1000,"")</f>
        <v/>
      </c>
      <c r="N16" s="172" t="inlineStr">
        <is>
          <t>Department energy balances, one file a year</t>
        </is>
      </c>
      <c r="O16" s="172" t="inlineStr">
        <is>
          <t>Last balance published is 2021.</t>
        </is>
      </c>
    </row>
    <row r="17">
      <c r="A17" s="170" t="inlineStr">
        <is>
          <t>Imports</t>
        </is>
      </c>
      <c r="B17" s="171">
        <f>IF(ISNUMBER(History!H37),History!H37/1000,"")</f>
        <v/>
      </c>
      <c r="C17" s="171">
        <f>IF(ISNUMBER(History!I37),History!I37/1000,"")</f>
        <v/>
      </c>
      <c r="D17" s="171">
        <f>IF(ISNUMBER(History!J37),History!J37/1000,"")</f>
        <v/>
      </c>
      <c r="E17" s="171">
        <f>IF(ISNUMBER(History!K37),History!K37/1000,"")</f>
        <v/>
      </c>
      <c r="F17" s="171">
        <f>IF(ISNUMBER(History!L37),History!L37/1000,"")</f>
        <v/>
      </c>
      <c r="G17" s="171">
        <f>IF(ISNUMBER(History!M37),History!M37/1000,"")</f>
        <v/>
      </c>
      <c r="H17" s="171">
        <f>IF(ISNUMBER(History!N37),History!N37/1000,"")</f>
        <v/>
      </c>
      <c r="I17" s="171">
        <f>IF(ISNUMBER(History!O37),History!O37/1000,"")</f>
        <v/>
      </c>
      <c r="J17" s="171">
        <f>IF(ISNUMBER(History!P37),History!P37/1000,"")</f>
        <v/>
      </c>
      <c r="K17" s="171">
        <f>IF(ISNUMBER(History!Q37),History!Q37/1000,"")</f>
        <v/>
      </c>
      <c r="L17" s="171">
        <f>IF(ISNUMBER(History!R37),History!R37/1000,"")</f>
        <v/>
      </c>
      <c r="M17" s="171">
        <f>IF(ISNUMBER(History!S37),History!S37/1000,"")</f>
        <v/>
      </c>
      <c r="N17" s="172" t="inlineStr">
        <is>
          <t>SARS customs, by tariff line</t>
        </is>
      </c>
      <c r="O17" s="172" t="inlineStr">
        <is>
          <t>Complete calendar years in litres.</t>
        </is>
      </c>
    </row>
    <row r="18">
      <c r="A18" s="170" t="inlineStr">
        <is>
          <t>Exports</t>
        </is>
      </c>
      <c r="B18" s="171">
        <f>IF(ISNUMBER(History!H40),History!H40/1000,"")</f>
        <v/>
      </c>
      <c r="C18" s="171">
        <f>IF(ISNUMBER(History!I40),History!I40/1000,"")</f>
        <v/>
      </c>
      <c r="D18" s="171">
        <f>IF(ISNUMBER(History!J40),History!J40/1000,"")</f>
        <v/>
      </c>
      <c r="E18" s="171">
        <f>IF(ISNUMBER(History!K40),History!K40/1000,"")</f>
        <v/>
      </c>
      <c r="F18" s="171">
        <f>IF(ISNUMBER(History!L40),History!L40/1000,"")</f>
        <v/>
      </c>
      <c r="G18" s="171">
        <f>IF(ISNUMBER(History!M40),History!M40/1000,"")</f>
        <v/>
      </c>
      <c r="H18" s="171">
        <f>IF(ISNUMBER(History!N40),History!N40/1000,"")</f>
        <v/>
      </c>
      <c r="I18" s="171">
        <f>IF(ISNUMBER(History!O40),History!O40/1000,"")</f>
        <v/>
      </c>
      <c r="J18" s="171">
        <f>IF(ISNUMBER(History!P40),History!P40/1000,"")</f>
        <v/>
      </c>
      <c r="K18" s="171">
        <f>IF(ISNUMBER(History!Q40),History!Q40/1000,"")</f>
        <v/>
      </c>
      <c r="L18" s="171">
        <f>IF(ISNUMBER(History!R40),History!R40/1000,"")</f>
        <v/>
      </c>
      <c r="M18" s="171">
        <f>IF(ISNUMBER(History!S40),History!S40/1000,"")</f>
        <v/>
      </c>
      <c r="N18" s="172" t="inlineStr">
        <is>
          <t>SARS customs, by tariff line</t>
        </is>
      </c>
      <c r="O18" s="172" t="inlineStr"/>
    </row>
    <row r="19">
      <c r="A19" s="173" t="inlineStr">
        <is>
          <t>Supply</t>
        </is>
      </c>
      <c r="B19" s="174">
        <f>IF(COUNT(B16,B17,B18)&lt;3,"",B16+B17-B18)</f>
        <v/>
      </c>
      <c r="C19" s="174">
        <f>IF(COUNT(C16,C17,C18)&lt;3,"",C16+C17-C18)</f>
        <v/>
      </c>
      <c r="D19" s="174">
        <f>IF(COUNT(D16,D17,D18)&lt;3,"",D16+D17-D18)</f>
        <v/>
      </c>
      <c r="E19" s="174">
        <f>IF(COUNT(E16,E17,E18)&lt;3,"",E16+E17-E18)</f>
        <v/>
      </c>
      <c r="F19" s="174">
        <f>IF(COUNT(F16,F17,F18)&lt;3,"",F16+F17-F18)</f>
        <v/>
      </c>
      <c r="G19" s="174">
        <f>IF(COUNT(G16,G17,G18)&lt;3,"",G16+G17-G18)</f>
        <v/>
      </c>
      <c r="H19" s="174">
        <f>IF(COUNT(H16,H17,H18)&lt;3,"",H16+H17-H18)</f>
        <v/>
      </c>
      <c r="I19" s="174">
        <f>IF(COUNT(I16,I17,I18)&lt;3,"",I16+I17-I18)</f>
        <v/>
      </c>
      <c r="J19" s="174">
        <f>IF(COUNT(J16,J17,J18)&lt;3,"",J16+J17-J18)</f>
        <v/>
      </c>
      <c r="K19" s="174">
        <f>IF(COUNT(K16,K17,K18)&lt;3,"",K16+K17-K18)</f>
        <v/>
      </c>
      <c r="L19" s="174">
        <f>IF(COUNT(L16,L17,L18)&lt;3,"",L16+L17-L18)</f>
        <v/>
      </c>
      <c r="M19" s="174">
        <f>IF(COUNT(M16,M17,M18)&lt;3,"",M16+M17-M18)</f>
        <v/>
      </c>
      <c r="N19" s="175" t="inlineStr">
        <is>
          <t>Calculated: production + imports - exports</t>
        </is>
      </c>
      <c r="O19" s="175" t="inlineStr"/>
    </row>
    <row r="20">
      <c r="A20" s="170" t="inlineStr">
        <is>
          <t>Stock change</t>
        </is>
      </c>
      <c r="B20" s="171" t="n"/>
      <c r="C20" s="171" t="n"/>
      <c r="D20" s="171" t="n"/>
      <c r="E20" s="171" t="n"/>
      <c r="F20" s="171" t="n"/>
      <c r="G20" s="171" t="n"/>
      <c r="H20" s="171" t="n"/>
      <c r="I20" s="171" t="n"/>
      <c r="J20" s="171" t="n"/>
      <c r="K20" s="171" t="n"/>
      <c r="L20" s="171" t="n"/>
      <c r="M20" s="171" t="n"/>
      <c r="N20" s="172" t="inlineStr">
        <is>
          <t>None</t>
        </is>
      </c>
      <c r="O20" s="172" t="inlineStr">
        <is>
          <t>Not published by any source used.</t>
        </is>
      </c>
    </row>
    <row r="21">
      <c r="A21" s="173" t="inlineStr">
        <is>
          <t>Supply less sales</t>
        </is>
      </c>
      <c r="B21" s="174">
        <f>IF(COUNT(B19,B15)&lt;2,"",B19-B15)</f>
        <v/>
      </c>
      <c r="C21" s="174">
        <f>IF(COUNT(C19,C15)&lt;2,"",C19-C15)</f>
        <v/>
      </c>
      <c r="D21" s="174">
        <f>IF(COUNT(D19,D15)&lt;2,"",D19-D15)</f>
        <v/>
      </c>
      <c r="E21" s="174">
        <f>IF(COUNT(E19,E15)&lt;2,"",E19-E15)</f>
        <v/>
      </c>
      <c r="F21" s="174">
        <f>IF(COUNT(F19,F15)&lt;2,"",F19-F15)</f>
        <v/>
      </c>
      <c r="G21" s="174">
        <f>IF(COUNT(G19,G15)&lt;2,"",G19-G15)</f>
        <v/>
      </c>
      <c r="H21" s="174">
        <f>IF(COUNT(H19,H15)&lt;2,"",H19-H15)</f>
        <v/>
      </c>
      <c r="I21" s="174">
        <f>IF(COUNT(I19,I15)&lt;2,"",I19-I15)</f>
        <v/>
      </c>
      <c r="J21" s="174">
        <f>IF(COUNT(J19,J15)&lt;2,"",J19-J15)</f>
        <v/>
      </c>
      <c r="K21" s="174">
        <f>IF(COUNT(K19,K15)&lt;2,"",K19-K15)</f>
        <v/>
      </c>
      <c r="L21" s="174">
        <f>IF(COUNT(L19,L15)&lt;2,"",L19-L15)</f>
        <v/>
      </c>
      <c r="M21" s="174">
        <f>IF(COUNT(M19,M15)&lt;2,"",M19-M15)</f>
        <v/>
      </c>
      <c r="N21" s="175" t="inlineStr">
        <is>
          <t>Calculated: supply - sales</t>
        </is>
      </c>
      <c r="O21" s="175" t="inlineStr">
        <is>
          <t>Stock change and statistical difference together. Not production.</t>
        </is>
      </c>
    </row>
    <row r="23">
      <c r="A23" s="151" t="inlineStr">
        <is>
          <t>Diesel and petrol</t>
        </is>
      </c>
      <c r="B23" s="151" t="n"/>
      <c r="C23" s="151" t="n"/>
      <c r="D23" s="151" t="n"/>
      <c r="E23" s="151" t="n"/>
      <c r="F23" s="151" t="n"/>
      <c r="G23" s="151" t="n"/>
      <c r="H23" s="151" t="n"/>
      <c r="I23" s="151" t="n"/>
      <c r="J23" s="151" t="n"/>
      <c r="K23" s="151" t="n"/>
      <c r="L23" s="151" t="n"/>
      <c r="M23" s="151" t="n"/>
      <c r="N23" s="151" t="n"/>
      <c r="O23" s="151" t="n"/>
    </row>
    <row r="24">
      <c r="A24" s="176" t="inlineStr">
        <is>
          <t>Sales</t>
        </is>
      </c>
      <c r="B24" s="174">
        <f>IF(COUNT(B6,B15)&lt;2,"",B6+B15)</f>
        <v/>
      </c>
      <c r="C24" s="174">
        <f>IF(COUNT(C6,C15)&lt;2,"",C6+C15)</f>
        <v/>
      </c>
      <c r="D24" s="174">
        <f>IF(COUNT(D6,D15)&lt;2,"",D6+D15)</f>
        <v/>
      </c>
      <c r="E24" s="174">
        <f>IF(COUNT(E6,E15)&lt;2,"",E6+E15)</f>
        <v/>
      </c>
      <c r="F24" s="174">
        <f>IF(COUNT(F6,F15)&lt;2,"",F6+F15)</f>
        <v/>
      </c>
      <c r="G24" s="174">
        <f>IF(COUNT(G6,G15)&lt;2,"",G6+G15)</f>
        <v/>
      </c>
      <c r="H24" s="174">
        <f>IF(COUNT(H6,H15)&lt;2,"",H6+H15)</f>
        <v/>
      </c>
      <c r="I24" s="174">
        <f>IF(COUNT(I6,I15)&lt;2,"",I6+I15)</f>
        <v/>
      </c>
      <c r="J24" s="174">
        <f>IF(COUNT(J6,J15)&lt;2,"",J6+J15)</f>
        <v/>
      </c>
      <c r="K24" s="174">
        <f>IF(COUNT(K6,K15)&lt;2,"",K6+K15)</f>
        <v/>
      </c>
      <c r="L24" s="174">
        <f>IF(COUNT(L6,L15)&lt;2,"",L6+L15)</f>
        <v/>
      </c>
      <c r="M24" s="174">
        <f>IF(COUNT(M6,M15)&lt;2,"",M6+M15)</f>
        <v/>
      </c>
      <c r="N24" s="175" t="inlineStr">
        <is>
          <t>Sum of the diesel and petrol rows</t>
        </is>
      </c>
      <c r="O24" s="175" t="inlineStr">
        <is>
          <t>2023 by province is an estimate. Nothing published after 2023.</t>
        </is>
      </c>
    </row>
    <row r="25">
      <c r="A25" s="176" t="inlineStr">
        <is>
          <t>Production</t>
        </is>
      </c>
      <c r="B25" s="174">
        <f>IF(COUNT(B7,B16)&lt;2,"",B7+B16)</f>
        <v/>
      </c>
      <c r="C25" s="174">
        <f>IF(COUNT(C7,C16)&lt;2,"",C7+C16)</f>
        <v/>
      </c>
      <c r="D25" s="174">
        <f>IF(COUNT(D7,D16)&lt;2,"",D7+D16)</f>
        <v/>
      </c>
      <c r="E25" s="174">
        <f>IF(COUNT(E7,E16)&lt;2,"",E7+E16)</f>
        <v/>
      </c>
      <c r="F25" s="174">
        <f>IF(COUNT(F7,F16)&lt;2,"",F7+F16)</f>
        <v/>
      </c>
      <c r="G25" s="174">
        <f>IF(COUNT(G7,G16)&lt;2,"",G7+G16)</f>
        <v/>
      </c>
      <c r="H25" s="174">
        <f>IF(COUNT(H7,H16)&lt;2,"",H7+H16)</f>
        <v/>
      </c>
      <c r="I25" s="174">
        <f>IF(COUNT(I7,I16)&lt;2,"",I7+I16)</f>
        <v/>
      </c>
      <c r="J25" s="174">
        <f>IF(COUNT(J7,J16)&lt;2,"",J7+J16)</f>
        <v/>
      </c>
      <c r="K25" s="174">
        <f>IF(COUNT(K7,K16)&lt;2,"",K7+K16)</f>
        <v/>
      </c>
      <c r="L25" s="174">
        <f>IF(COUNT(L7,L16)&lt;2,"",L7+L16)</f>
        <v/>
      </c>
      <c r="M25" s="174">
        <f>IF(COUNT(M7,M16)&lt;2,"",M7+M16)</f>
        <v/>
      </c>
      <c r="N25" s="175" t="inlineStr">
        <is>
          <t>Sum of the diesel and petrol rows</t>
        </is>
      </c>
      <c r="O25" s="175" t="inlineStr">
        <is>
          <t>Last balance published is 2021.</t>
        </is>
      </c>
    </row>
    <row r="26">
      <c r="A26" s="176" t="inlineStr">
        <is>
          <t>Imports</t>
        </is>
      </c>
      <c r="B26" s="174">
        <f>IF(COUNT(B8,B17)&lt;2,"",B8+B17)</f>
        <v/>
      </c>
      <c r="C26" s="174">
        <f>IF(COUNT(C8,C17)&lt;2,"",C8+C17)</f>
        <v/>
      </c>
      <c r="D26" s="174">
        <f>IF(COUNT(D8,D17)&lt;2,"",D8+D17)</f>
        <v/>
      </c>
      <c r="E26" s="174">
        <f>IF(COUNT(E8,E17)&lt;2,"",E8+E17)</f>
        <v/>
      </c>
      <c r="F26" s="174">
        <f>IF(COUNT(F8,F17)&lt;2,"",F8+F17)</f>
        <v/>
      </c>
      <c r="G26" s="174">
        <f>IF(COUNT(G8,G17)&lt;2,"",G8+G17)</f>
        <v/>
      </c>
      <c r="H26" s="174">
        <f>IF(COUNT(H8,H17)&lt;2,"",H8+H17)</f>
        <v/>
      </c>
      <c r="I26" s="174">
        <f>IF(COUNT(I8,I17)&lt;2,"",I8+I17)</f>
        <v/>
      </c>
      <c r="J26" s="174">
        <f>IF(COUNT(J8,J17)&lt;2,"",J8+J17)</f>
        <v/>
      </c>
      <c r="K26" s="174">
        <f>IF(COUNT(K8,K17)&lt;2,"",K8+K17)</f>
        <v/>
      </c>
      <c r="L26" s="174">
        <f>IF(COUNT(L8,L17)&lt;2,"",L8+L17)</f>
        <v/>
      </c>
      <c r="M26" s="174">
        <f>IF(COUNT(M8,M17)&lt;2,"",M8+M17)</f>
        <v/>
      </c>
      <c r="N26" s="175" t="inlineStr">
        <is>
          <t>Sum of the diesel and petrol rows</t>
        </is>
      </c>
      <c r="O26" s="175" t="inlineStr">
        <is>
          <t>Complete calendar years in litres.</t>
        </is>
      </c>
    </row>
    <row r="27">
      <c r="A27" s="176" t="inlineStr">
        <is>
          <t>Exports</t>
        </is>
      </c>
      <c r="B27" s="174">
        <f>IF(COUNT(B9,B18)&lt;2,"",B9+B18)</f>
        <v/>
      </c>
      <c r="C27" s="174">
        <f>IF(COUNT(C9,C18)&lt;2,"",C9+C18)</f>
        <v/>
      </c>
      <c r="D27" s="174">
        <f>IF(COUNT(D9,D18)&lt;2,"",D9+D18)</f>
        <v/>
      </c>
      <c r="E27" s="174">
        <f>IF(COUNT(E9,E18)&lt;2,"",E9+E18)</f>
        <v/>
      </c>
      <c r="F27" s="174">
        <f>IF(COUNT(F9,F18)&lt;2,"",F9+F18)</f>
        <v/>
      </c>
      <c r="G27" s="174">
        <f>IF(COUNT(G9,G18)&lt;2,"",G9+G18)</f>
        <v/>
      </c>
      <c r="H27" s="174">
        <f>IF(COUNT(H9,H18)&lt;2,"",H9+H18)</f>
        <v/>
      </c>
      <c r="I27" s="174">
        <f>IF(COUNT(I9,I18)&lt;2,"",I9+I18)</f>
        <v/>
      </c>
      <c r="J27" s="174">
        <f>IF(COUNT(J9,J18)&lt;2,"",J9+J18)</f>
        <v/>
      </c>
      <c r="K27" s="174">
        <f>IF(COUNT(K9,K18)&lt;2,"",K9+K18)</f>
        <v/>
      </c>
      <c r="L27" s="174">
        <f>IF(COUNT(L9,L18)&lt;2,"",L9+L18)</f>
        <v/>
      </c>
      <c r="M27" s="174">
        <f>IF(COUNT(M9,M18)&lt;2,"",M9+M18)</f>
        <v/>
      </c>
      <c r="N27" s="175" t="inlineStr">
        <is>
          <t>Sum of the diesel and petrol rows</t>
        </is>
      </c>
      <c r="O27" s="175" t="inlineStr"/>
    </row>
    <row r="28">
      <c r="A28" s="173" t="inlineStr">
        <is>
          <t>Supply</t>
        </is>
      </c>
      <c r="B28" s="174">
        <f>IF(COUNT(B10,B19)&lt;2,"",B10+B19)</f>
        <v/>
      </c>
      <c r="C28" s="174">
        <f>IF(COUNT(C10,C19)&lt;2,"",C10+C19)</f>
        <v/>
      </c>
      <c r="D28" s="174">
        <f>IF(COUNT(D10,D19)&lt;2,"",D10+D19)</f>
        <v/>
      </c>
      <c r="E28" s="174">
        <f>IF(COUNT(E10,E19)&lt;2,"",E10+E19)</f>
        <v/>
      </c>
      <c r="F28" s="174">
        <f>IF(COUNT(F10,F19)&lt;2,"",F10+F19)</f>
        <v/>
      </c>
      <c r="G28" s="174">
        <f>IF(COUNT(G10,G19)&lt;2,"",G10+G19)</f>
        <v/>
      </c>
      <c r="H28" s="174">
        <f>IF(COUNT(H10,H19)&lt;2,"",H10+H19)</f>
        <v/>
      </c>
      <c r="I28" s="174">
        <f>IF(COUNT(I10,I19)&lt;2,"",I10+I19)</f>
        <v/>
      </c>
      <c r="J28" s="174">
        <f>IF(COUNT(J10,J19)&lt;2,"",J10+J19)</f>
        <v/>
      </c>
      <c r="K28" s="174">
        <f>IF(COUNT(K10,K19)&lt;2,"",K10+K19)</f>
        <v/>
      </c>
      <c r="L28" s="174">
        <f>IF(COUNT(L10,L19)&lt;2,"",L10+L19)</f>
        <v/>
      </c>
      <c r="M28" s="174">
        <f>IF(COUNT(M10,M19)&lt;2,"",M10+M19)</f>
        <v/>
      </c>
      <c r="N28" s="175" t="inlineStr">
        <is>
          <t>Sum of the diesel and petrol rows</t>
        </is>
      </c>
      <c r="O28" s="175" t="inlineStr"/>
    </row>
    <row r="29">
      <c r="A29" s="176" t="inlineStr">
        <is>
          <t>Stock change</t>
        </is>
      </c>
      <c r="B29" s="174" t="n"/>
      <c r="C29" s="174" t="n"/>
      <c r="D29" s="174" t="n"/>
      <c r="E29" s="174" t="n"/>
      <c r="F29" s="174" t="n"/>
      <c r="G29" s="174" t="n"/>
      <c r="H29" s="174" t="n"/>
      <c r="I29" s="174" t="n"/>
      <c r="J29" s="174" t="n"/>
      <c r="K29" s="174" t="n"/>
      <c r="L29" s="174" t="n"/>
      <c r="M29" s="174" t="n"/>
      <c r="N29" s="175" t="inlineStr">
        <is>
          <t>None</t>
        </is>
      </c>
      <c r="O29" s="175" t="inlineStr">
        <is>
          <t>Not published by any source used.</t>
        </is>
      </c>
    </row>
    <row r="30">
      <c r="A30" s="173" t="inlineStr">
        <is>
          <t>Supply less sales</t>
        </is>
      </c>
      <c r="B30" s="174">
        <f>IF(COUNT(B12,B21)&lt;2,"",B12+B21)</f>
        <v/>
      </c>
      <c r="C30" s="174">
        <f>IF(COUNT(C12,C21)&lt;2,"",C12+C21)</f>
        <v/>
      </c>
      <c r="D30" s="174">
        <f>IF(COUNT(D12,D21)&lt;2,"",D12+D21)</f>
        <v/>
      </c>
      <c r="E30" s="174">
        <f>IF(COUNT(E12,E21)&lt;2,"",E12+E21)</f>
        <v/>
      </c>
      <c r="F30" s="174">
        <f>IF(COUNT(F12,F21)&lt;2,"",F12+F21)</f>
        <v/>
      </c>
      <c r="G30" s="174">
        <f>IF(COUNT(G12,G21)&lt;2,"",G12+G21)</f>
        <v/>
      </c>
      <c r="H30" s="174">
        <f>IF(COUNT(H12,H21)&lt;2,"",H12+H21)</f>
        <v/>
      </c>
      <c r="I30" s="174">
        <f>IF(COUNT(I12,I21)&lt;2,"",I12+I21)</f>
        <v/>
      </c>
      <c r="J30" s="174">
        <f>IF(COUNT(J12,J21)&lt;2,"",J12+J21)</f>
        <v/>
      </c>
      <c r="K30" s="174">
        <f>IF(COUNT(K12,K21)&lt;2,"",K12+K21)</f>
        <v/>
      </c>
      <c r="L30" s="174">
        <f>IF(COUNT(L12,L21)&lt;2,"",L12+L21)</f>
        <v/>
      </c>
      <c r="M30" s="174">
        <f>IF(COUNT(M12,M21)&lt;2,"",M12+M21)</f>
        <v/>
      </c>
      <c r="N30" s="175" t="inlineStr">
        <is>
          <t>Sum of the diesel and petrol rows</t>
        </is>
      </c>
      <c r="O30" s="175" t="inlineStr">
        <is>
          <t>Stock change and statistical difference together. Not production.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77" t="n"/>
      <c r="E8" s="156" t="inlineStr">
        <is>
          <t>Diesel divided by the activity measure, each year both exist.</t>
        </is>
      </c>
      <c r="F8" s="177">
        <f>IF(COUNT(F6,F7)&lt;2,"",F6/F7)</f>
        <v/>
      </c>
      <c r="G8" s="177">
        <f>IF(COUNT(G6,G7)&lt;2,"",G6/G7)</f>
        <v/>
      </c>
      <c r="H8" s="177">
        <f>IF(COUNT(H6,H7)&lt;2,"",H6/H7)</f>
        <v/>
      </c>
      <c r="I8" s="177">
        <f>IF(COUNT(I6,I7)&lt;2,"",I6/I7)</f>
        <v/>
      </c>
      <c r="J8" s="177">
        <f>IF(COUNT(J6,J7)&lt;2,"",J6/J7)</f>
        <v/>
      </c>
      <c r="K8" s="177">
        <f>IF(COUNT(K6,K7)&lt;2,"",K6/K7)</f>
        <v/>
      </c>
      <c r="L8" s="177">
        <f>IF(COUNT(L6,L7)&lt;2,"",L6/L7)</f>
        <v/>
      </c>
      <c r="M8" s="177">
        <f>IF(COUNT(M6,M7)&lt;2,"",M6/M7)</f>
        <v/>
      </c>
      <c r="N8" s="177">
        <f>IF(COUNT(N6,N7)&lt;2,"",N6/N7)</f>
        <v/>
      </c>
      <c r="O8" s="177">
        <f>IF(COUNT(O6,O7)&lt;2,"",O6/O7)</f>
        <v/>
      </c>
      <c r="P8" s="177">
        <f>IF(COUNT(P6,P7)&lt;2,"",P6/P7)</f>
        <v/>
      </c>
      <c r="Q8" s="177">
        <f>IF(COUNT(Q6,Q7)&lt;2,"",Q6/Q7)</f>
        <v/>
      </c>
      <c r="R8" s="177">
        <f>IF(COUNT(R6,R7)&lt;2,"",R6/R7)</f>
        <v/>
      </c>
      <c r="S8" s="177">
        <f>IF(COUNT(S6,S7)&lt;2,"",S6/S7)</f>
        <v/>
      </c>
      <c r="T8" s="156" t="inlineStr"/>
      <c r="U8" s="156" t="inlineStr">
        <is>
          <t>Calculated in this workbook from the rows named in the definition</t>
        </is>
      </c>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is>
          <t>Analyst estimate, calculated in this workbook; method in the definition</t>
        </is>
      </c>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is>
          <t>Calculated in this workbook from the rows named in the definition</t>
        </is>
      </c>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77" t="n"/>
      <c r="E18" s="156" t="inlineStr">
        <is>
          <t>Diesel divided by the activity measure, each year both exist.</t>
        </is>
      </c>
      <c r="F18" s="177">
        <f>IF(COUNT(F16,F17)&lt;2,"",F16/F17)</f>
        <v/>
      </c>
      <c r="G18" s="177">
        <f>IF(COUNT(G16,G17)&lt;2,"",G16/G17)</f>
        <v/>
      </c>
      <c r="H18" s="177">
        <f>IF(COUNT(H16,H17)&lt;2,"",H16/H17)</f>
        <v/>
      </c>
      <c r="I18" s="177">
        <f>IF(COUNT(I16,I17)&lt;2,"",I16/I17)</f>
        <v/>
      </c>
      <c r="J18" s="177">
        <f>IF(COUNT(J16,J17)&lt;2,"",J16/J17)</f>
        <v/>
      </c>
      <c r="K18" s="177">
        <f>IF(COUNT(K16,K17)&lt;2,"",K16/K17)</f>
        <v/>
      </c>
      <c r="L18" s="177">
        <f>IF(COUNT(L16,L17)&lt;2,"",L16/L17)</f>
        <v/>
      </c>
      <c r="M18" s="177">
        <f>IF(COUNT(M16,M17)&lt;2,"",M16/M17)</f>
        <v/>
      </c>
      <c r="N18" s="177">
        <f>IF(COUNT(N16,N17)&lt;2,"",N16/N17)</f>
        <v/>
      </c>
      <c r="O18" s="177">
        <f>IF(COUNT(O16,O17)&lt;2,"",O16/O17)</f>
        <v/>
      </c>
      <c r="P18" s="177">
        <f>IF(COUNT(P16,P17)&lt;2,"",P16/P17)</f>
        <v/>
      </c>
      <c r="Q18" s="177">
        <f>IF(COUNT(Q16,Q17)&lt;2,"",Q16/Q17)</f>
        <v/>
      </c>
      <c r="R18" s="177">
        <f>IF(COUNT(R16,R17)&lt;2,"",R16/R17)</f>
        <v/>
      </c>
      <c r="S18" s="177">
        <f>IF(COUNT(S16,S17)&lt;2,"",S16/S17)</f>
        <v/>
      </c>
      <c r="T18" s="156" t="inlineStr"/>
      <c r="U18" s="156" t="inlineStr">
        <is>
          <t>Calculated in this workbook from the rows named in the definition</t>
        </is>
      </c>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is>
          <t>Analyst estimate, calculated in this workbook; method in the definition</t>
        </is>
      </c>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77" t="n"/>
      <c r="E24" s="156" t="inlineStr">
        <is>
          <t>Diesel divided by the activity measure, each year both exist.</t>
        </is>
      </c>
      <c r="F24" s="177">
        <f>IF(COUNT(F22,F23)&lt;2,"",F22/F23)</f>
        <v/>
      </c>
      <c r="G24" s="177">
        <f>IF(COUNT(G22,G23)&lt;2,"",G22/G23)</f>
        <v/>
      </c>
      <c r="H24" s="177">
        <f>IF(COUNT(H22,H23)&lt;2,"",H22/H23)</f>
        <v/>
      </c>
      <c r="I24" s="177">
        <f>IF(COUNT(I22,I23)&lt;2,"",I22/I23)</f>
        <v/>
      </c>
      <c r="J24" s="177">
        <f>IF(COUNT(J22,J23)&lt;2,"",J22/J23)</f>
        <v/>
      </c>
      <c r="K24" s="177">
        <f>IF(COUNT(K22,K23)&lt;2,"",K22/K23)</f>
        <v/>
      </c>
      <c r="L24" s="177">
        <f>IF(COUNT(L22,L23)&lt;2,"",L22/L23)</f>
        <v/>
      </c>
      <c r="M24" s="177">
        <f>IF(COUNT(M22,M23)&lt;2,"",M22/M23)</f>
        <v/>
      </c>
      <c r="N24" s="177">
        <f>IF(COUNT(N22,N23)&lt;2,"",N22/N23)</f>
        <v/>
      </c>
      <c r="O24" s="177">
        <f>IF(COUNT(O22,O23)&lt;2,"",O22/O23)</f>
        <v/>
      </c>
      <c r="P24" s="177">
        <f>IF(COUNT(P22,P23)&lt;2,"",P22/P23)</f>
        <v/>
      </c>
      <c r="Q24" s="177">
        <f>IF(COUNT(Q22,Q23)&lt;2,"",Q22/Q23)</f>
        <v/>
      </c>
      <c r="R24" s="177">
        <f>IF(COUNT(R22,R23)&lt;2,"",R22/R23)</f>
        <v/>
      </c>
      <c r="S24" s="177">
        <f>IF(COUNT(S22,S23)&lt;2,"",S22/S23)</f>
        <v/>
      </c>
      <c r="T24" s="156" t="inlineStr"/>
      <c r="U24" s="156" t="inlineStr">
        <is>
          <t>Calculated in this workbook from the rows named in the definition</t>
        </is>
      </c>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is>
          <t>Analyst estimate, calculated in this workbook; method in the definition</t>
        </is>
      </c>
      <c r="V25" s="162" t="inlineStr">
        <is>
          <t>Agree base year, driver and whether intensity is held constant (Nigel)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t>
        </is>
      </c>
      <c r="F6" s="158">
        <f>IF(ISNUMBER(History!F66),History!F66,"")</f>
        <v/>
      </c>
      <c r="G6" s="158">
        <f>IF(ISNUMBER(History!G66),History!G66,"")</f>
        <v/>
      </c>
      <c r="H6" s="158">
        <f>IF(ISNUMBER(History!H66),History!H66,"")</f>
        <v/>
      </c>
      <c r="I6" s="158">
        <f>IF(ISNUMBER(History!I66),History!I66,"")</f>
        <v/>
      </c>
      <c r="J6" s="158">
        <f>IF(ISNUMBER(History!J66),History!J66,"")</f>
        <v/>
      </c>
      <c r="K6" s="158">
        <f>IF(ISNUMBER(History!K66),History!K66,"")</f>
        <v/>
      </c>
      <c r="L6" s="158">
        <f>IF(ISNUMBER(History!L66),History!L66,"")</f>
        <v/>
      </c>
      <c r="M6" s="158">
        <f>IF(ISNUMBER(History!M66),History!M66,"")</f>
        <v/>
      </c>
      <c r="N6" s="158">
        <f>IF(ISNUMBER(History!N66),History!N66,"")</f>
        <v/>
      </c>
      <c r="O6" s="158">
        <f>IF(ISNUMBER(History!O66),History!O66,"")</f>
        <v/>
      </c>
      <c r="P6" s="158">
        <f>IF(ISNUMBER(History!P66),History!P66,"")</f>
        <v/>
      </c>
      <c r="Q6" s="158">
        <f>IF(ISNUMBER(History!Q66),History!Q66,"")</f>
        <v/>
      </c>
      <c r="R6" s="158">
        <f>IF(ISNUMBER(History!R66),History!R66,"")</f>
        <v/>
      </c>
      <c r="S6" s="158">
        <f>IF(ISNUMBER(History!S66),History!S66,"")</f>
        <v/>
      </c>
      <c r="T6" s="156" t="inlineStr">
        <is>
          <t>2012-2023</t>
        </is>
      </c>
      <c r="U6" s="156" t="inlineStr">
        <is>
          <t>Calculated in this workbook from the rows named in the definition</t>
        </is>
      </c>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77" t="n">
        <v>0.31</v>
      </c>
      <c r="E12" s="156" t="inlineStr">
        <is>
          <t>Energy balance to 2021; from 2022 generation times litres per kWh (column D). Driver: turbine output.</t>
        </is>
      </c>
      <c r="F12" s="177">
        <f>IF(ISNUMBER(F10),F10*$D$12,IF(ISNUMBER(F11),F11,""))</f>
        <v/>
      </c>
      <c r="G12" s="177">
        <f>IF(ISNUMBER(G10),G10*$D$12,IF(ISNUMBER(G11),G11,""))</f>
        <v/>
      </c>
      <c r="H12" s="177">
        <f>IF(ISNUMBER(H10),H10*$D$12,IF(ISNUMBER(H11),H11,""))</f>
        <v/>
      </c>
      <c r="I12" s="177">
        <f>IF(ISNUMBER(I10),I10*$D$12,IF(ISNUMBER(I11),I11,""))</f>
        <v/>
      </c>
      <c r="J12" s="177">
        <f>IF(ISNUMBER(J10),J10*$D$12,IF(ISNUMBER(J11),J11,""))</f>
        <v/>
      </c>
      <c r="K12" s="177">
        <f>IF(ISNUMBER(K10),K10*$D$12,IF(ISNUMBER(K11),K11,""))</f>
        <v/>
      </c>
      <c r="L12" s="177">
        <f>IF(ISNUMBER(L10),L10*$D$12,IF(ISNUMBER(L11),L11,""))</f>
        <v/>
      </c>
      <c r="M12" s="177">
        <f>IF(ISNUMBER(M10),M10*$D$12,IF(ISNUMBER(M11),M11,""))</f>
        <v/>
      </c>
      <c r="N12" s="177">
        <f>IF(ISNUMBER(N10),N10*$D$12,IF(ISNUMBER(N11),N11,""))</f>
        <v/>
      </c>
      <c r="O12" s="177">
        <f>IF(ISNUMBER(O10),O10*$D$12,IF(ISNUMBER(O11),O11,""))</f>
        <v/>
      </c>
      <c r="P12" s="177">
        <f>IF(ISNUMBER(P10),P10*$D$12,IF(ISNUMBER(P11),P11,""))</f>
        <v/>
      </c>
      <c r="Q12" s="177">
        <f>IF(ISNUMBER(Q10),Q10*$D$12,IF(ISNUMBER(Q11),Q11,""))</f>
        <v/>
      </c>
      <c r="R12" s="177">
        <f>IF(ISNUMBER(R10),R10*$D$12,IF(ISNUMBER(R11),R11,""))</f>
        <v/>
      </c>
      <c r="S12" s="177">
        <f>IF(ISNUMBER(S10),S10*$D$12,IF(ISNUMBER(S11),S11,""))</f>
        <v/>
      </c>
      <c r="T12" s="156" t="inlineStr">
        <is>
          <t>Estimated from 2022 at 0.31 litres per kWh</t>
        </is>
      </c>
      <c r="U12" s="156" t="inlineStr">
        <is>
          <t>Eskom; parliamentary replies on diesel burn</t>
        </is>
      </c>
      <c r="V12" s="156" t="inlineStr">
        <is>
          <t>0.31 is confirmed by Eskom's reported fuel and generation (DR07 power diesel sheet)</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is>
          <t>Calculated in this workbook from the rows named in the definition</t>
        </is>
      </c>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78" t="n"/>
      <c r="E24" s="156" t="inlineStr">
        <is>
          <t>Heavy vehicle diesel divided by road freight payload. This is the link from freight activity to litres: road freight grows or shifts to rail in tonnes, and diesel follows at this intensity.</t>
        </is>
      </c>
      <c r="F24" s="178">
        <f>IF(COUNT(F18,F23)&lt;2,"",F18/F23)</f>
        <v/>
      </c>
      <c r="G24" s="178">
        <f>IF(COUNT(G18,G23)&lt;2,"",G18/G23)</f>
        <v/>
      </c>
      <c r="H24" s="178">
        <f>IF(COUNT(H18,H23)&lt;2,"",H18/H23)</f>
        <v/>
      </c>
      <c r="I24" s="178">
        <f>IF(COUNT(I18,I23)&lt;2,"",I18/I23)</f>
        <v/>
      </c>
      <c r="J24" s="178">
        <f>IF(COUNT(J18,J23)&lt;2,"",J18/J23)</f>
        <v/>
      </c>
      <c r="K24" s="178">
        <f>IF(COUNT(K18,K23)&lt;2,"",K18/K23)</f>
        <v/>
      </c>
      <c r="L24" s="178">
        <f>IF(COUNT(L18,L23)&lt;2,"",L18/L23)</f>
        <v/>
      </c>
      <c r="M24" s="178">
        <f>IF(COUNT(M18,M23)&lt;2,"",M18/M23)</f>
        <v/>
      </c>
      <c r="N24" s="178">
        <f>IF(COUNT(N18,N23)&lt;2,"",N18/N23)</f>
        <v/>
      </c>
      <c r="O24" s="178">
        <f>IF(COUNT(O18,O23)&lt;2,"",O18/O23)</f>
        <v/>
      </c>
      <c r="P24" s="178">
        <f>IF(COUNT(P18,P23)&lt;2,"",P18/P23)</f>
        <v/>
      </c>
      <c r="Q24" s="178">
        <f>IF(COUNT(Q18,Q23)&lt;2,"",Q18/Q23)</f>
        <v/>
      </c>
      <c r="R24" s="178">
        <f>IF(COUNT(R18,R23)&lt;2,"",R18/R23)</f>
        <v/>
      </c>
      <c r="S24" s="178">
        <f>IF(COUNT(S18,S23)&lt;2,"",S18/S23)</f>
        <v/>
      </c>
      <c r="T24" s="156" t="inlineStr"/>
      <c r="U24" s="156" t="inlineStr">
        <is>
          <t>Calculated in this workbook from the rows named in the definition</t>
        </is>
      </c>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is>
          <t>Calculated in this workbook from the rows named in the definition</t>
        </is>
      </c>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is>
          <t>Calculated in this workbook from the rows named in the definition</t>
        </is>
      </c>
      <c r="V29" s="156" t="inlineStr"/>
    </row>
    <row r="30">
      <c r="A30" s="159" t="inlineStr">
        <is>
          <t>Land freight share of diesel in a second study</t>
        </is>
      </c>
      <c r="B30" s="160" t="inlineStr">
        <is>
          <t>% of diesel demand</t>
        </is>
      </c>
      <c r="C30" s="160" t="inlineStr">
        <is>
          <t>Comparison only</t>
        </is>
      </c>
      <c r="D30" s="179" t="n">
        <v>60.5</v>
      </c>
      <c r="E30" s="159" t="inlineStr">
        <is>
          <t>Merven, Hartley and Ahjum (2019): land freight took 60.5% of domestic diesel demand in 2012. Same research group as the vehicle study.</t>
        </is>
      </c>
      <c r="F30" s="179" t="n"/>
      <c r="G30" s="179" t="n"/>
      <c r="H30" s="179" t="n"/>
      <c r="I30" s="179" t="n"/>
      <c r="J30" s="179" t="n"/>
      <c r="K30" s="179" t="n"/>
      <c r="L30" s="179" t="n"/>
      <c r="M30" s="179" t="n"/>
      <c r="N30" s="179" t="n"/>
      <c r="O30" s="179" t="n"/>
      <c r="P30" s="179" t="n"/>
      <c r="Q30" s="179" t="n"/>
      <c r="R30" s="179" t="n"/>
      <c r="S30" s="179"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80" t="n">
        <v>4836.490501047</v>
      </c>
      <c r="E33" s="159" t="inlineStr">
        <is>
          <t>Diesel classes counted: HCV1Diesel, HCV2Diesel, HCV3Diesel, HCV4Diesel, HCV5Diesel, HCV6Diesel, HCV7Diesel, HCV8Diesel, HCV9Diesel. Other classes in the group, not diesel: HCV1Gasoline.</t>
        </is>
      </c>
      <c r="F33" s="180" t="n"/>
      <c r="G33" s="180" t="n"/>
      <c r="H33" s="180" t="n"/>
      <c r="I33" s="180" t="n"/>
      <c r="J33" s="180" t="n"/>
      <c r="K33" s="180" t="n"/>
      <c r="L33" s="180" t="n"/>
      <c r="M33" s="180" t="n"/>
      <c r="N33" s="180" t="n"/>
      <c r="O33" s="180" t="n"/>
      <c r="P33" s="180" t="n"/>
      <c r="Q33" s="180" t="n"/>
      <c r="R33" s="180" t="n"/>
      <c r="S33" s="180"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80" t="n">
        <v>2156.667657144</v>
      </c>
      <c r="E34" s="159" t="inlineStr">
        <is>
          <t>Diesel classes counted: LCVDiesel. Other classes in the group, not diesel: LCVGasoline.</t>
        </is>
      </c>
      <c r="F34" s="180" t="n"/>
      <c r="G34" s="180" t="n"/>
      <c r="H34" s="180" t="n"/>
      <c r="I34" s="180" t="n"/>
      <c r="J34" s="180" t="n"/>
      <c r="K34" s="180" t="n"/>
      <c r="L34" s="180" t="n"/>
      <c r="M34" s="180" t="n"/>
      <c r="N34" s="180" t="n"/>
      <c r="O34" s="180" t="n"/>
      <c r="P34" s="180" t="n"/>
      <c r="Q34" s="180" t="n"/>
      <c r="R34" s="180" t="n"/>
      <c r="S34" s="180"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80" t="n">
        <v>996.994409071</v>
      </c>
      <c r="E35" s="159" t="inlineStr">
        <is>
          <t>Diesel classes counted: CarDiesel, CarHybridDiesel, BusDiesel, MBTDiesel, SUVDiesel. Other classes in the group, not diesel: CarElectric, CarGasoline, CarHybridGasoline, MBTGasoline, MotoGasoline, SUVGasoline, SUVHybridGasoline.</t>
        </is>
      </c>
      <c r="F35" s="180" t="n"/>
      <c r="G35" s="180" t="n"/>
      <c r="H35" s="180" t="n"/>
      <c r="I35" s="180" t="n"/>
      <c r="J35" s="180" t="n"/>
      <c r="K35" s="180" t="n"/>
      <c r="L35" s="180" t="n"/>
      <c r="M35" s="180" t="n"/>
      <c r="N35" s="180" t="n"/>
      <c r="O35" s="180" t="n"/>
      <c r="P35" s="180" t="n"/>
      <c r="Q35" s="180" t="n"/>
      <c r="R35" s="180" t="n"/>
      <c r="S35" s="180"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is>
          <t>Described in the definition</t>
        </is>
      </c>
      <c r="V36" s="159"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30" customWidth="1" min="12" max="12"/>
    <col width="62" customWidth="1" min="13" max="13"/>
    <col width="44" customWidth="1" min="14" max="14"/>
  </cols>
  <sheetData>
    <row r="1">
      <c r="A1" s="149" t="inlineStr">
        <is>
          <t>Demand by use: who burns the diesel and petrol</t>
        </is>
      </c>
    </row>
    <row r="2">
      <c r="A2" s="1" t="inlineStr">
        <is>
          <t>Billion litres, calendar years. Every number is a formula on the Diesel by use and History sheets. Road diesel is what remains of sales after the four sourced uses, and includes rail, construction and ships' diesel.</t>
        </is>
      </c>
    </row>
    <row r="4">
      <c r="A4" s="168" t="inlineStr">
        <is>
          <t>Use</t>
        </is>
      </c>
      <c r="B4" s="169" t="n">
        <v>2014</v>
      </c>
      <c r="C4" s="169" t="n">
        <v>2015</v>
      </c>
      <c r="D4" s="169" t="n">
        <v>2016</v>
      </c>
      <c r="E4" s="169" t="n">
        <v>2017</v>
      </c>
      <c r="F4" s="169" t="n">
        <v>2018</v>
      </c>
      <c r="G4" s="169" t="n">
        <v>2019</v>
      </c>
      <c r="H4" s="169" t="n">
        <v>2020</v>
      </c>
      <c r="I4" s="169" t="n">
        <v>2021</v>
      </c>
      <c r="J4" s="169" t="n">
        <v>2022</v>
      </c>
      <c r="K4" s="169" t="n">
        <v>2023</v>
      </c>
      <c r="L4" s="168" t="inlineStr">
        <is>
          <t>Basis</t>
        </is>
      </c>
      <c r="M4" s="168" t="inlineStr">
        <is>
          <t>Source</t>
        </is>
      </c>
      <c r="N4" s="168" t="inlineStr">
        <is>
          <t>Note</t>
        </is>
      </c>
    </row>
    <row r="5">
      <c r="A5" s="151" t="inlineStr">
        <is>
          <t>Diesel</t>
        </is>
      </c>
      <c r="B5" s="151" t="n"/>
      <c r="C5" s="151" t="n"/>
      <c r="D5" s="151" t="n"/>
      <c r="E5" s="151" t="n"/>
      <c r="F5" s="151" t="n"/>
      <c r="G5" s="151" t="n"/>
      <c r="H5" s="151" t="n"/>
      <c r="I5" s="151" t="n"/>
      <c r="J5" s="151" t="n"/>
      <c r="K5" s="151" t="n"/>
      <c r="L5" s="151" t="n"/>
      <c r="M5" s="151" t="n"/>
      <c r="N5" s="151" t="n"/>
    </row>
    <row r="6">
      <c r="A6" s="170" t="inlineStr">
        <is>
          <t>Power generation</t>
        </is>
      </c>
      <c r="B6" s="171">
        <f>IF(ISNUMBER('Diesel by use'!H12),'Diesel by use'!H12/1000,"")</f>
        <v/>
      </c>
      <c r="C6" s="171">
        <f>IF(ISNUMBER('Diesel by use'!I12),'Diesel by use'!I12/1000,"")</f>
        <v/>
      </c>
      <c r="D6" s="171">
        <f>IF(ISNUMBER('Diesel by use'!J12),'Diesel by use'!J12/1000,"")</f>
        <v/>
      </c>
      <c r="E6" s="171">
        <f>IF(ISNUMBER('Diesel by use'!K12),'Diesel by use'!K12/1000,"")</f>
        <v/>
      </c>
      <c r="F6" s="171">
        <f>IF(ISNUMBER('Diesel by use'!L12),'Diesel by use'!L12/1000,"")</f>
        <v/>
      </c>
      <c r="G6" s="171">
        <f>IF(ISNUMBER('Diesel by use'!M12),'Diesel by use'!M12/1000,"")</f>
        <v/>
      </c>
      <c r="H6" s="171">
        <f>IF(ISNUMBER('Diesel by use'!N12),'Diesel by use'!N12/1000,"")</f>
        <v/>
      </c>
      <c r="I6" s="171">
        <f>IF(ISNUMBER('Diesel by use'!O12),'Diesel by use'!O12/1000,"")</f>
        <v/>
      </c>
      <c r="J6" s="171">
        <f>IF(ISNUMBER('Diesel by use'!P12),'Diesel by use'!P12/1000,"")</f>
        <v/>
      </c>
      <c r="K6" s="171">
        <f>IF(ISNUMBER('Diesel by use'!Q12),'Diesel by use'!Q12/1000,"")</f>
        <v/>
      </c>
      <c r="L6" s="172" t="inlineStr">
        <is>
          <t>Observed to 2021; estimated from 2022</t>
        </is>
      </c>
      <c r="M6" s="172" t="inlineStr">
        <is>
          <t>Department energy balances to 2021; Eskom generation x 0.31 litres per kWh from 2022</t>
        </is>
      </c>
      <c r="N6" s="172" t="inlineStr">
        <is>
          <t>Eskom and independent diesel turbines. The balance records almost none for 2017-2019 and nothing for 2020-2021; the Eskom generation data held starts in 2022. Eskom's reported litres are on the DR07 power diesel sheet.</t>
        </is>
      </c>
    </row>
    <row r="7">
      <c r="A7" s="170" t="inlineStr">
        <is>
          <t>Mining</t>
        </is>
      </c>
      <c r="B7" s="171">
        <f>IF(ISNUMBER('Diesel by use'!H7),'Diesel by use'!H7/1000,"")</f>
        <v/>
      </c>
      <c r="C7" s="171">
        <f>IF(ISNUMBER('Diesel by use'!I7),'Diesel by use'!I7/1000,"")</f>
        <v/>
      </c>
      <c r="D7" s="171">
        <f>IF(ISNUMBER('Diesel by use'!J7),'Diesel by use'!J7/1000,"")</f>
        <v/>
      </c>
      <c r="E7" s="171">
        <f>IF(ISNUMBER('Diesel by use'!K7),'Diesel by use'!K7/1000,"")</f>
        <v/>
      </c>
      <c r="F7" s="171">
        <f>IF(ISNUMBER('Diesel by use'!L7),'Diesel by use'!L7/1000,"")</f>
        <v/>
      </c>
      <c r="G7" s="171">
        <f>IF(ISNUMBER('Diesel by use'!M7),'Diesel by use'!M7/1000,"")</f>
        <v/>
      </c>
      <c r="H7" s="171">
        <f>IF(ISNUMBER('Diesel by use'!N7),'Diesel by use'!N7/1000,"")</f>
        <v/>
      </c>
      <c r="I7" s="171">
        <f>IF(ISNUMBER('Diesel by use'!O7),'Diesel by use'!O7/1000,"")</f>
        <v/>
      </c>
      <c r="J7" s="171">
        <f>IF(ISNUMBER('Diesel by use'!P7),'Diesel by use'!P7/1000,"")</f>
        <v/>
      </c>
      <c r="K7" s="171">
        <f>IF(ISNUMBER('Diesel by use'!Q7),'Diesel by use'!Q7/1000,"")</f>
        <v/>
      </c>
      <c r="L7" s="172" t="inlineStr">
        <is>
          <t>Observed to 2021; estimated from 2022</t>
        </is>
      </c>
      <c r="M7" s="172" t="inlineStr">
        <is>
          <t>Department energy balances; moved with the Stats SA mining volume index after 2021</t>
        </is>
      </c>
      <c r="N7" s="172" t="inlineStr"/>
    </row>
    <row r="8">
      <c r="A8" s="170" t="inlineStr">
        <is>
          <t>Manufacturing and other industry</t>
        </is>
      </c>
      <c r="B8" s="171">
        <f>IF(ISNUMBER('Diesel by use'!H8),'Diesel by use'!H8/1000,"")</f>
        <v/>
      </c>
      <c r="C8" s="171">
        <f>IF(ISNUMBER('Diesel by use'!I8),'Diesel by use'!I8/1000,"")</f>
        <v/>
      </c>
      <c r="D8" s="171">
        <f>IF(ISNUMBER('Diesel by use'!J8),'Diesel by use'!J8/1000,"")</f>
        <v/>
      </c>
      <c r="E8" s="171">
        <f>IF(ISNUMBER('Diesel by use'!K8),'Diesel by use'!K8/1000,"")</f>
        <v/>
      </c>
      <c r="F8" s="171">
        <f>IF(ISNUMBER('Diesel by use'!L8),'Diesel by use'!L8/1000,"")</f>
        <v/>
      </c>
      <c r="G8" s="171">
        <f>IF(ISNUMBER('Diesel by use'!M8),'Diesel by use'!M8/1000,"")</f>
        <v/>
      </c>
      <c r="H8" s="171">
        <f>IF(ISNUMBER('Diesel by use'!N8),'Diesel by use'!N8/1000,"")</f>
        <v/>
      </c>
      <c r="I8" s="171">
        <f>IF(ISNUMBER('Diesel by use'!O8),'Diesel by use'!O8/1000,"")</f>
        <v/>
      </c>
      <c r="J8" s="171">
        <f>IF(ISNUMBER('Diesel by use'!P8),'Diesel by use'!P8/1000,"")</f>
        <v/>
      </c>
      <c r="K8" s="171">
        <f>IF(ISNUMBER('Diesel by use'!Q8),'Diesel by use'!Q8/1000,"")</f>
        <v/>
      </c>
      <c r="L8" s="172" t="inlineStr">
        <is>
          <t>Observed to 2021; estimated from 2022</t>
        </is>
      </c>
      <c r="M8" s="172" t="inlineStr">
        <is>
          <t>Department energy balances; moved with the Stats SA manufacturing volume index after 2021</t>
        </is>
      </c>
      <c r="N8" s="172" t="inlineStr">
        <is>
          <t>Not reported separately before 2016.</t>
        </is>
      </c>
    </row>
    <row r="9">
      <c r="A9" s="170" t="inlineStr">
        <is>
          <t>Agriculture</t>
        </is>
      </c>
      <c r="B9" s="171">
        <f>IF(ISNUMBER('Diesel by use'!H9),'Diesel by use'!H9/1000,"")</f>
        <v/>
      </c>
      <c r="C9" s="171">
        <f>IF(ISNUMBER('Diesel by use'!I9),'Diesel by use'!I9/1000,"")</f>
        <v/>
      </c>
      <c r="D9" s="171">
        <f>IF(ISNUMBER('Diesel by use'!J9),'Diesel by use'!J9/1000,"")</f>
        <v/>
      </c>
      <c r="E9" s="171">
        <f>IF(ISNUMBER('Diesel by use'!K9),'Diesel by use'!K9/1000,"")</f>
        <v/>
      </c>
      <c r="F9" s="171">
        <f>IF(ISNUMBER('Diesel by use'!L9),'Diesel by use'!L9/1000,"")</f>
        <v/>
      </c>
      <c r="G9" s="171">
        <f>IF(ISNUMBER('Diesel by use'!M9),'Diesel by use'!M9/1000,"")</f>
        <v/>
      </c>
      <c r="H9" s="171">
        <f>IF(ISNUMBER('Diesel by use'!N9),'Diesel by use'!N9/1000,"")</f>
        <v/>
      </c>
      <c r="I9" s="171">
        <f>IF(ISNUMBER('Diesel by use'!O9),'Diesel by use'!O9/1000,"")</f>
        <v/>
      </c>
      <c r="J9" s="171">
        <f>IF(ISNUMBER('Diesel by use'!P9),'Diesel by use'!P9/1000,"")</f>
        <v/>
      </c>
      <c r="K9" s="171">
        <f>IF(ISNUMBER('Diesel by use'!Q9),'Diesel by use'!Q9/1000,"")</f>
        <v/>
      </c>
      <c r="L9" s="172" t="inlineStr">
        <is>
          <t>Observed to 2021; estimated from 2022</t>
        </is>
      </c>
      <c r="M9" s="172" t="inlineStr">
        <is>
          <t>Department energy balances; moved with agricultural real value added after 2021</t>
        </is>
      </c>
      <c r="N9" s="172" t="inlineStr"/>
    </row>
    <row r="10">
      <c r="A10" s="181" t="inlineStr">
        <is>
          <t>Heavy vehicles</t>
        </is>
      </c>
      <c r="B10" s="182">
        <f>IF(ISNUMBER('Diesel by use'!H18),'Diesel by use'!H18/1000,"")</f>
        <v/>
      </c>
      <c r="C10" s="182">
        <f>IF(ISNUMBER('Diesel by use'!I18),'Diesel by use'!I18/1000,"")</f>
        <v/>
      </c>
      <c r="D10" s="182">
        <f>IF(ISNUMBER('Diesel by use'!J18),'Diesel by use'!J18/1000,"")</f>
        <v/>
      </c>
      <c r="E10" s="182">
        <f>IF(ISNUMBER('Diesel by use'!K18),'Diesel by use'!K18/1000,"")</f>
        <v/>
      </c>
      <c r="F10" s="182">
        <f>IF(ISNUMBER('Diesel by use'!L18),'Diesel by use'!L18/1000,"")</f>
        <v/>
      </c>
      <c r="G10" s="182">
        <f>IF(ISNUMBER('Diesel by use'!M18),'Diesel by use'!M18/1000,"")</f>
        <v/>
      </c>
      <c r="H10" s="182">
        <f>IF(ISNUMBER('Diesel by use'!N18),'Diesel by use'!N18/1000,"")</f>
        <v/>
      </c>
      <c r="I10" s="182">
        <f>IF(ISNUMBER('Diesel by use'!O18),'Diesel by use'!O18/1000,"")</f>
        <v/>
      </c>
      <c r="J10" s="182">
        <f>IF(ISNUMBER('Diesel by use'!P18),'Diesel by use'!P18/1000,"")</f>
        <v/>
      </c>
      <c r="K10" s="182">
        <f>IF(ISNUMBER('Diesel by use'!Q18),'Diesel by use'!Q18/1000,"")</f>
        <v/>
      </c>
      <c r="L10" s="183" t="inlineStr">
        <is>
          <t>Estimate</t>
        </is>
      </c>
      <c r="M10" s="183" t="inlineStr">
        <is>
          <t>Road diesel x 60.5%, the share in Stone et al. (2018)</t>
        </is>
      </c>
      <c r="N10" s="183" t="inlineStr">
        <is>
          <t>Trucks and buses. Shares are for the 2010 fleet.</t>
        </is>
      </c>
    </row>
    <row r="11">
      <c r="A11" s="181" t="inlineStr">
        <is>
          <t>Light vehicles</t>
        </is>
      </c>
      <c r="B11" s="182">
        <f>IF(ISNUMBER('Diesel by use'!H19),'Diesel by use'!H19/1000,"")</f>
        <v/>
      </c>
      <c r="C11" s="182">
        <f>IF(ISNUMBER('Diesel by use'!I19),'Diesel by use'!I19/1000,"")</f>
        <v/>
      </c>
      <c r="D11" s="182">
        <f>IF(ISNUMBER('Diesel by use'!J19),'Diesel by use'!J19/1000,"")</f>
        <v/>
      </c>
      <c r="E11" s="182">
        <f>IF(ISNUMBER('Diesel by use'!K19),'Diesel by use'!K19/1000,"")</f>
        <v/>
      </c>
      <c r="F11" s="182">
        <f>IF(ISNUMBER('Diesel by use'!L19),'Diesel by use'!L19/1000,"")</f>
        <v/>
      </c>
      <c r="G11" s="182">
        <f>IF(ISNUMBER('Diesel by use'!M19),'Diesel by use'!M19/1000,"")</f>
        <v/>
      </c>
      <c r="H11" s="182">
        <f>IF(ISNUMBER('Diesel by use'!N19),'Diesel by use'!N19/1000,"")</f>
        <v/>
      </c>
      <c r="I11" s="182">
        <f>IF(ISNUMBER('Diesel by use'!O19),'Diesel by use'!O19/1000,"")</f>
        <v/>
      </c>
      <c r="J11" s="182">
        <f>IF(ISNUMBER('Diesel by use'!P19),'Diesel by use'!P19/1000,"")</f>
        <v/>
      </c>
      <c r="K11" s="182">
        <f>IF(ISNUMBER('Diesel by use'!Q19),'Diesel by use'!Q19/1000,"")</f>
        <v/>
      </c>
      <c r="L11" s="183" t="inlineStr">
        <is>
          <t>Estimate</t>
        </is>
      </c>
      <c r="M11" s="183" t="inlineStr">
        <is>
          <t>Road diesel x 27.0%, the share in Stone et al. (2018)</t>
        </is>
      </c>
      <c r="N11" s="183" t="inlineStr">
        <is>
          <t>Bakkies and minibuses.</t>
        </is>
      </c>
    </row>
    <row r="12">
      <c r="A12" s="181" t="inlineStr">
        <is>
          <t>Passenger vehicles</t>
        </is>
      </c>
      <c r="B12" s="182">
        <f>IF(ISNUMBER('Diesel by use'!H20),'Diesel by use'!H20/1000,"")</f>
        <v/>
      </c>
      <c r="C12" s="182">
        <f>IF(ISNUMBER('Diesel by use'!I20),'Diesel by use'!I20/1000,"")</f>
        <v/>
      </c>
      <c r="D12" s="182">
        <f>IF(ISNUMBER('Diesel by use'!J20),'Diesel by use'!J20/1000,"")</f>
        <v/>
      </c>
      <c r="E12" s="182">
        <f>IF(ISNUMBER('Diesel by use'!K20),'Diesel by use'!K20/1000,"")</f>
        <v/>
      </c>
      <c r="F12" s="182">
        <f>IF(ISNUMBER('Diesel by use'!L20),'Diesel by use'!L20/1000,"")</f>
        <v/>
      </c>
      <c r="G12" s="182">
        <f>IF(ISNUMBER('Diesel by use'!M20),'Diesel by use'!M20/1000,"")</f>
        <v/>
      </c>
      <c r="H12" s="182">
        <f>IF(ISNUMBER('Diesel by use'!N20),'Diesel by use'!N20/1000,"")</f>
        <v/>
      </c>
      <c r="I12" s="182">
        <f>IF(ISNUMBER('Diesel by use'!O20),'Diesel by use'!O20/1000,"")</f>
        <v/>
      </c>
      <c r="J12" s="182">
        <f>IF(ISNUMBER('Diesel by use'!P20),'Diesel by use'!P20/1000,"")</f>
        <v/>
      </c>
      <c r="K12" s="182">
        <f>IF(ISNUMBER('Diesel by use'!Q20),'Diesel by use'!Q20/1000,"")</f>
        <v/>
      </c>
      <c r="L12" s="183" t="inlineStr">
        <is>
          <t>Estimate</t>
        </is>
      </c>
      <c r="M12" s="183" t="inlineStr">
        <is>
          <t>Road diesel x 12.5%, the share in Stone et al. (2018)</t>
        </is>
      </c>
      <c r="N12" s="183" t="inlineStr">
        <is>
          <t>Cars and SUVs.</t>
        </is>
      </c>
    </row>
    <row r="13">
      <c r="A13" s="173" t="inlineStr">
        <is>
          <t>Diesel sales</t>
        </is>
      </c>
      <c r="B13" s="174">
        <f>IF(COUNT(B6:B12)&lt;6,"",SUM(B6:B12))</f>
        <v/>
      </c>
      <c r="C13" s="174">
        <f>IF(COUNT(C6:C12)&lt;6,"",SUM(C6:C12))</f>
        <v/>
      </c>
      <c r="D13" s="174">
        <f>IF(COUNT(D6:D12)&lt;6,"",SUM(D6:D12))</f>
        <v/>
      </c>
      <c r="E13" s="174">
        <f>IF(COUNT(E6:E12)&lt;6,"",SUM(E6:E12))</f>
        <v/>
      </c>
      <c r="F13" s="174">
        <f>IF(COUNT(F6:F12)&lt;6,"",SUM(F6:F12))</f>
        <v/>
      </c>
      <c r="G13" s="174">
        <f>IF(COUNT(G6:G12)&lt;6,"",SUM(G6:G12))</f>
        <v/>
      </c>
      <c r="H13" s="174">
        <f>IF(COUNT(H6:H12)&lt;6,"",SUM(H6:H12))</f>
        <v/>
      </c>
      <c r="I13" s="174">
        <f>IF(COUNT(I6:I12)&lt;6,"",SUM(I6:I12))</f>
        <v/>
      </c>
      <c r="J13" s="174">
        <f>IF(COUNT(J6:J12)&lt;6,"",SUM(J6:J12))</f>
        <v/>
      </c>
      <c r="K13" s="174">
        <f>IF(COUNT(K6:K12)&lt;6,"",SUM(K6:K12))</f>
        <v/>
      </c>
      <c r="L13" s="175" t="inlineStr">
        <is>
          <t>Sum of the rows above</t>
        </is>
      </c>
      <c r="M13" s="175" t="inlineStr">
        <is>
          <t>Equals department sales (provinces added up; national total for 2023)</t>
        </is>
      </c>
      <c r="N13" s="175" t="inlineStr">
        <is>
          <t>Nothing published after 2023.</t>
        </is>
      </c>
    </row>
    <row r="14">
      <c r="A14" s="176" t="inlineStr">
        <is>
          <t>Road vehicles, share of diesel</t>
        </is>
      </c>
      <c r="B14" s="184">
        <f>IF(ISNUMBER(B13),(B10+B11+B12)/B13,"")</f>
        <v/>
      </c>
      <c r="C14" s="184">
        <f>IF(ISNUMBER(C13),(C10+C11+C12)/C13,"")</f>
        <v/>
      </c>
      <c r="D14" s="184">
        <f>IF(ISNUMBER(D13),(D10+D11+D12)/D13,"")</f>
        <v/>
      </c>
      <c r="E14" s="184">
        <f>IF(ISNUMBER(E13),(E10+E11+E12)/E13,"")</f>
        <v/>
      </c>
      <c r="F14" s="184">
        <f>IF(ISNUMBER(F13),(F10+F11+F12)/F13,"")</f>
        <v/>
      </c>
      <c r="G14" s="184">
        <f>IF(ISNUMBER(G13),(G10+G11+G12)/G13,"")</f>
        <v/>
      </c>
      <c r="H14" s="184">
        <f>IF(ISNUMBER(H13),(H10+H11+H12)/H13,"")</f>
        <v/>
      </c>
      <c r="I14" s="184">
        <f>IF(ISNUMBER(I13),(I10+I11+I12)/I13,"")</f>
        <v/>
      </c>
      <c r="J14" s="184">
        <f>IF(ISNUMBER(J13),(J10+J11+J12)/J13,"")</f>
        <v/>
      </c>
      <c r="K14" s="184">
        <f>IF(ISNUMBER(K13),(K10+K11+K12)/K13,"")</f>
        <v/>
      </c>
      <c r="L14" s="175" t="inlineStr">
        <is>
          <t>Calculated</t>
        </is>
      </c>
      <c r="M14" s="175" t="inlineStr">
        <is>
          <t>Heavy, light and passenger vehicles over diesel sales</t>
        </is>
      </c>
      <c r="N14" s="175" t="inlineStr"/>
    </row>
    <row r="16">
      <c r="A16" s="151" t="inlineStr">
        <is>
          <t>Petrol</t>
        </is>
      </c>
      <c r="B16" s="151" t="n"/>
      <c r="C16" s="151" t="n"/>
      <c r="D16" s="151" t="n"/>
      <c r="E16" s="151" t="n"/>
      <c r="F16" s="151" t="n"/>
      <c r="G16" s="151" t="n"/>
      <c r="H16" s="151" t="n"/>
      <c r="I16" s="151" t="n"/>
      <c r="J16" s="151" t="n"/>
      <c r="K16" s="151" t="n"/>
      <c r="L16" s="151" t="n"/>
      <c r="M16" s="151" t="n"/>
      <c r="N16" s="151" t="n"/>
    </row>
    <row r="17">
      <c r="A17" s="170" t="inlineStr">
        <is>
          <t>Road vehicles</t>
        </is>
      </c>
      <c r="B17" s="171">
        <f>IF(ISNUMBER('History'!H61),'History'!H61/1000,"")</f>
        <v/>
      </c>
      <c r="C17" s="171">
        <f>IF(ISNUMBER('History'!I61),'History'!I61/1000,"")</f>
        <v/>
      </c>
      <c r="D17" s="171">
        <f>IF(ISNUMBER('History'!J61),'History'!J61/1000,"")</f>
        <v/>
      </c>
      <c r="E17" s="171">
        <f>IF(ISNUMBER('History'!K61),'History'!K61/1000,"")</f>
        <v/>
      </c>
      <c r="F17" s="171">
        <f>IF(ISNUMBER('History'!L61),'History'!L61/1000,"")</f>
        <v/>
      </c>
      <c r="G17" s="171">
        <f>IF(ISNUMBER('History'!M61),'History'!M61/1000,"")</f>
        <v/>
      </c>
      <c r="H17" s="171">
        <f>IF(ISNUMBER('History'!N61),'History'!N61/1000,"")</f>
        <v/>
      </c>
      <c r="I17" s="171">
        <f>IF(ISNUMBER('History'!O61),'History'!O61/1000,"")</f>
        <v/>
      </c>
      <c r="J17" s="171">
        <f>IF(ISNUMBER('History'!P61),'History'!P61/1000,"")</f>
        <v/>
      </c>
      <c r="K17" s="171">
        <f>IF(ISNUMBER('History'!Q61),'History'!Q61/1000,"")</f>
        <v/>
      </c>
      <c r="L17" s="172" t="inlineStr">
        <is>
          <t>Observed</t>
        </is>
      </c>
      <c r="M17" s="172" t="inlineStr">
        <is>
          <t>Department sales (provinces added up; national total for 2023)</t>
        </is>
      </c>
      <c r="N17" s="172" t="inlineStr">
        <is>
          <t>No source splits petrol by use; cars and light vehicles burn nearly all of it.</t>
        </is>
      </c>
    </row>
    <row r="18">
      <c r="A18" s="173" t="inlineStr">
        <is>
          <t>Petrol sales</t>
        </is>
      </c>
      <c r="B18" s="174">
        <f>IF(ISNUMBER(B17),B17,"")</f>
        <v/>
      </c>
      <c r="C18" s="174">
        <f>IF(ISNUMBER(C17),C17,"")</f>
        <v/>
      </c>
      <c r="D18" s="174">
        <f>IF(ISNUMBER(D17),D17,"")</f>
        <v/>
      </c>
      <c r="E18" s="174">
        <f>IF(ISNUMBER(E17),E17,"")</f>
        <v/>
      </c>
      <c r="F18" s="174">
        <f>IF(ISNUMBER(F17),F17,"")</f>
        <v/>
      </c>
      <c r="G18" s="174">
        <f>IF(ISNUMBER(G17),G17,"")</f>
        <v/>
      </c>
      <c r="H18" s="174">
        <f>IF(ISNUMBER(H17),H17,"")</f>
        <v/>
      </c>
      <c r="I18" s="174">
        <f>IF(ISNUMBER(I17),I17,"")</f>
        <v/>
      </c>
      <c r="J18" s="174">
        <f>IF(ISNUMBER(J17),J17,"")</f>
        <v/>
      </c>
      <c r="K18" s="174">
        <f>IF(ISNUMBER(K17),K17,"")</f>
        <v/>
      </c>
      <c r="L18" s="175" t="inlineStr">
        <is>
          <t>Sum of the row above</t>
        </is>
      </c>
      <c r="M18" s="175" t="inlineStr">
        <is>
          <t>Equals department sales</t>
        </is>
      </c>
      <c r="N18" s="175" t="inlineStr">
        <is>
          <t>Nothing published after 2023.</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7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DR04 Routes and access: what the documents establish</t>
        </is>
      </c>
    </row>
    <row r="2">
      <c r="A2" s="1" t="inlineStr">
        <is>
          <t>44 facts read from sources, 5 calculated, 6 not available (yellow). Each row gives its source. Petrol and diesel only: 27 facts that mix in other products are left out. Built from dr04_routes_access_evidence_2026-10-08.csv.</t>
        </is>
      </c>
    </row>
    <row r="4">
      <c r="A4" s="150" t="inlineStr">
        <is>
          <t>Item</t>
        </is>
      </c>
      <c r="B4" s="150" t="inlineStr">
        <is>
          <t>Asset or route</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Pipeline limit</t>
        </is>
      </c>
      <c r="B5" s="151" t="n"/>
      <c r="C5" s="151" t="n"/>
      <c r="D5" s="151" t="n"/>
      <c r="E5" s="151" t="n"/>
      <c r="F5" s="151" t="n"/>
      <c r="G5" s="151" t="n"/>
      <c r="H5" s="151" t="n"/>
      <c r="I5" s="151" t="n"/>
    </row>
    <row r="6">
      <c r="A6" s="152" t="inlineStr">
        <is>
          <t>Trunk line capacity</t>
        </is>
      </c>
      <c r="B6" s="152" t="inlineStr">
        <is>
          <t>Durban to Jameson Park, 24-inch multi-product line</t>
        </is>
      </c>
      <c r="C6" s="152" t="inlineStr">
        <is>
          <t>148</t>
        </is>
      </c>
      <c r="D6" s="152" t="inlineStr">
        <is>
          <t>million litres a week</t>
        </is>
      </c>
      <c r="E6" s="152" t="inlineStr">
        <is>
          <t>as stated in 2020</t>
        </is>
      </c>
      <c r="F6" s="152" t="inlineStr">
        <is>
          <t>observed</t>
        </is>
      </c>
      <c r="G6" s="152" t="inlineStr">
        <is>
          <t>Transnet Pipelines 2020 report</t>
        </is>
      </c>
      <c r="H6" s="152" t="inlineStr">
        <is>
          <t>PDF p.3</t>
        </is>
      </c>
      <c r="I6" s="152" t="inlineStr">
        <is>
          <t>Not confirmed as today's capacity; later phases and pump stations may have changed it.</t>
        </is>
      </c>
    </row>
    <row r="7">
      <c r="A7" s="156" t="inlineStr">
        <is>
          <t>Trunk line capacity, annualised</t>
        </is>
      </c>
      <c r="B7" s="156" t="inlineStr">
        <is>
          <t>Durban to Jameson Park, 24-inch multi-product line</t>
        </is>
      </c>
      <c r="C7" s="156" t="inlineStr">
        <is>
          <t>7.70</t>
        </is>
      </c>
      <c r="D7" s="156" t="inlineStr">
        <is>
          <t>billion litres a year</t>
        </is>
      </c>
      <c r="E7" s="156" t="inlineStr">
        <is>
          <t>as stated in 2020</t>
        </is>
      </c>
      <c r="F7" s="156" t="inlineStr">
        <is>
          <t>inferred</t>
        </is>
      </c>
      <c r="G7" s="156" t="inlineStr">
        <is>
          <t>148 million litres a week x 52</t>
        </is>
      </c>
      <c r="H7" s="156" t="inlineStr">
        <is>
          <t>PDF p.3</t>
        </is>
      </c>
      <c r="I7" s="156" t="inlineStr">
        <is>
          <t>Assumes every week at full rate; real annual capacity is lower.</t>
        </is>
      </c>
    </row>
    <row r="8">
      <c r="A8" s="152" t="inlineStr">
        <is>
          <t>Inland accumulation facility</t>
        </is>
      </c>
      <c r="B8" s="152" t="inlineStr">
        <is>
          <t>Jameson Park, Gauteng (Transnet's TM2)</t>
        </is>
      </c>
      <c r="C8" s="152" t="inlineStr">
        <is>
          <t>180</t>
        </is>
      </c>
      <c r="D8" s="152" t="inlineStr">
        <is>
          <t>million litres</t>
        </is>
      </c>
      <c r="E8" s="152" t="inlineStr">
        <is>
          <t>operational since December 2017</t>
        </is>
      </c>
      <c r="F8" s="152" t="inlineStr">
        <is>
          <t>observed</t>
        </is>
      </c>
      <c r="G8" s="152" t="inlineStr">
        <is>
          <t>Transnet Pipelines 2020 report</t>
        </is>
      </c>
      <c r="H8" s="152" t="inlineStr">
        <is>
          <t>PDF p.3</t>
        </is>
      </c>
      <c r="I8" s="152" t="inlineStr">
        <is>
          <t>Working capacity by product not stated.</t>
        </is>
      </c>
    </row>
    <row r="9">
      <c r="A9" s="152" t="inlineStr">
        <is>
          <t>Products carried on the trunk line</t>
        </is>
      </c>
      <c r="B9" s="152" t="inlineStr">
        <is>
          <t>Durban to Jameson Park</t>
        </is>
      </c>
      <c r="C9" s="152" t="inlineStr">
        <is>
          <t>Two diesel grades, two petrol grades, jet fuel</t>
        </is>
      </c>
      <c r="D9" s="152" t="inlineStr"/>
      <c r="E9" s="152" t="inlineStr">
        <is>
          <t>as stated in 2020</t>
        </is>
      </c>
      <c r="F9" s="152" t="inlineStr">
        <is>
          <t>observed</t>
        </is>
      </c>
      <c r="G9" s="152" t="inlineStr">
        <is>
          <t>Transnet Pipelines 2020 report</t>
        </is>
      </c>
      <c r="H9" s="152" t="inlineStr">
        <is>
          <t>PDF p.3</t>
        </is>
      </c>
      <c r="I9" s="152" t="inlineStr"/>
    </row>
    <row r="10">
      <c r="A10" s="152" t="inlineStr">
        <is>
          <t>Old Durban to Johannesburg pipeline</t>
        </is>
      </c>
      <c r="B10" s="152" t="inlineStr">
        <is>
          <t>Durban to Johannesburg (DJP)</t>
        </is>
      </c>
      <c r="C10" s="152" t="inlineStr">
        <is>
          <t>Being decommissioned; completion expected 2021</t>
        </is>
      </c>
      <c r="D10" s="152" t="inlineStr"/>
      <c r="E10" s="152" t="inlineStr">
        <is>
          <t>as stated in 2020</t>
        </is>
      </c>
      <c r="F10" s="152" t="inlineStr">
        <is>
          <t>observed</t>
        </is>
      </c>
      <c r="G10" s="152" t="inlineStr">
        <is>
          <t>Transnet Pipelines 2020 report</t>
        </is>
      </c>
      <c r="H10" s="152" t="inlineStr">
        <is>
          <t>PDF p.3</t>
        </is>
      </c>
      <c r="I10" s="152" t="inlineStr">
        <is>
          <t>Whether decommissioning is complete is not confirmed from a later source.</t>
        </is>
      </c>
    </row>
    <row r="11">
      <c r="A11" s="152" t="inlineStr">
        <is>
          <t>Pipeline use as a share of capacity</t>
        </is>
      </c>
      <c r="B11" s="152" t="inlineStr">
        <is>
          <t>Transnet pipelines from Durban</t>
        </is>
      </c>
      <c r="C11" s="152" t="inlineStr">
        <is>
          <t>About 70</t>
        </is>
      </c>
      <c r="D11" s="152" t="inlineStr">
        <is>
          <t>%</t>
        </is>
      </c>
      <c r="E11" s="152" t="inlineStr">
        <is>
          <t>as told to Parliament, 2026</t>
        </is>
      </c>
      <c r="F11" s="152" t="inlineStr">
        <is>
          <t>observed</t>
        </is>
      </c>
      <c r="G11" s="152" t="inlineStr">
        <is>
          <t>Report of five Portfolio Committees on the Island View directive, 11 March 2026 (Parliament)</t>
        </is>
      </c>
      <c r="H11" s="152" t="inlineStr">
        <is>
          <t>section 3.1</t>
        </is>
      </c>
      <c r="I11" s="152" t="inlineStr">
        <is>
          <t>The Minister of Transport's estimate, all products. New Island View leases are to require more use of the pipeline.</t>
        </is>
      </c>
    </row>
    <row r="13">
      <c r="A13" s="151" t="inlineStr">
        <is>
          <t>Pipeline cost</t>
        </is>
      </c>
      <c r="B13" s="151" t="n"/>
      <c r="C13" s="151" t="n"/>
      <c r="D13" s="151" t="n"/>
      <c r="E13" s="151" t="n"/>
      <c r="F13" s="151" t="n"/>
      <c r="G13" s="151" t="n"/>
      <c r="H13" s="151" t="n"/>
      <c r="I13" s="151" t="n"/>
    </row>
    <row r="14">
      <c r="A14" s="152" t="inlineStr">
        <is>
          <t>Effect of the tariff decision on the fuel price</t>
        </is>
      </c>
      <c r="B14" s="152" t="inlineStr">
        <is>
          <t>Durban to Johannesburg proxy</t>
        </is>
      </c>
      <c r="C14" s="152" t="inlineStr">
        <is>
          <t>+5.23; +3.80</t>
        </is>
      </c>
      <c r="D14" s="152" t="inlineStr">
        <is>
          <t>cents a litre</t>
        </is>
      </c>
      <c r="E14" s="152" t="inlineStr">
        <is>
          <t>2025/26; 2026/27</t>
        </is>
      </c>
      <c r="F14" s="152" t="inlineStr">
        <is>
          <t>observed</t>
        </is>
      </c>
      <c r="G14" s="152" t="inlineStr">
        <is>
          <t>NERSA media statement, 15 April 2025</t>
        </is>
      </c>
      <c r="H14" s="152" t="inlineStr">
        <is>
          <t>p.1</t>
        </is>
      </c>
      <c r="I14" s="152" t="inlineStr">
        <is>
          <t>This is the change, not the tariff. The tariff by route is in the reasons for decision, not yet obtained.</t>
        </is>
      </c>
    </row>
    <row r="15">
      <c r="A15" s="152" t="inlineStr">
        <is>
          <t>Pipeline tariff, Durban to Alrode</t>
        </is>
      </c>
      <c r="B15" s="152" t="inlineStr">
        <is>
          <t>Durban to Alrode (Johannesburg)</t>
        </is>
      </c>
      <c r="C15" s="152" t="inlineStr">
        <is>
          <t>61.74; 67.99</t>
        </is>
      </c>
      <c r="D15" s="152" t="inlineStr">
        <is>
          <t>cents a litre</t>
        </is>
      </c>
      <c r="E15" s="152" t="inlineStr">
        <is>
          <t>2023/24; 2024/25</t>
        </is>
      </c>
      <c r="F15" s="152" t="inlineStr">
        <is>
          <t>observed</t>
        </is>
      </c>
      <c r="G15" s="152" t="inlineStr">
        <is>
          <t>NERSA statement of 15 March 2024, as quoted by Engineering News</t>
        </is>
      </c>
      <c r="H15" s="152" t="inlineStr"/>
      <c r="I15" s="152" t="inlineStr">
        <is>
          <t>Read from a news report quoting the regulator word for word; NERSA's own statement was not located. A 10.13% increase.</t>
        </is>
      </c>
    </row>
    <row r="16">
      <c r="A16" s="156" t="inlineStr">
        <is>
          <t>Pipeline tariff, Durban to Alrode</t>
        </is>
      </c>
      <c r="B16" s="156" t="inlineStr">
        <is>
          <t>Durban to Alrode (Johannesburg)</t>
        </is>
      </c>
      <c r="C16" s="156" t="inlineStr">
        <is>
          <t>73.22; 77.02</t>
        </is>
      </c>
      <c r="D16" s="156" t="inlineStr">
        <is>
          <t>cents a litre</t>
        </is>
      </c>
      <c r="E16" s="156" t="inlineStr">
        <is>
          <t>2025/26; 2026/27</t>
        </is>
      </c>
      <c r="F16" s="156" t="inlineStr">
        <is>
          <t>inferred</t>
        </is>
      </c>
      <c r="G16" s="156" t="inlineStr">
        <is>
          <t>67.99 plus the increases of 5.23 and 3.80 in NERSA's statement of 15 April 2025</t>
        </is>
      </c>
      <c r="H16" s="156" t="inlineStr">
        <is>
          <t>p.1</t>
        </is>
      </c>
      <c r="I16" s="156" t="inlineStr">
        <is>
          <t>Assumes the stated effect on the fuel price is the change in this tariff, as it was in 2024/25. To confirm in the reasons for decision.</t>
        </is>
      </c>
    </row>
    <row r="17">
      <c r="A17" s="162" t="inlineStr">
        <is>
          <t>Tariff on routes other than Durban to Alrode</t>
        </is>
      </c>
      <c r="B17" s="162" t="inlineStr">
        <is>
          <t>Other inland routes</t>
        </is>
      </c>
      <c r="C17" s="162" t="inlineStr">
        <is>
          <t>Not available</t>
        </is>
      </c>
      <c r="D17" s="162" t="inlineStr">
        <is>
          <t>cents a litre</t>
        </is>
      </c>
      <c r="E17" s="162" t="inlineStr">
        <is>
          <t>2026/27</t>
        </is>
      </c>
      <c r="F17" s="162" t="inlineStr">
        <is>
          <t>not available</t>
        </is>
      </c>
      <c r="G17" s="162" t="inlineStr">
        <is>
          <t>NERSA reasons for decision (not obtained)</t>
        </is>
      </c>
      <c r="H17" s="162" t="inlineStr"/>
      <c r="I17" s="162" t="inlineStr">
        <is>
          <t>Needed to compare destinations other than Gauteng. NERSA's decisions pages were searched again on 9 October; the route table was not found online. Owner: Manish.</t>
        </is>
      </c>
    </row>
    <row r="19">
      <c r="A19" s="151" t="inlineStr">
        <is>
          <t>Delivered cost</t>
        </is>
      </c>
      <c r="B19" s="151" t="n"/>
      <c r="C19" s="151" t="n"/>
      <c r="D19" s="151" t="n"/>
      <c r="E19" s="151" t="n"/>
      <c r="F19" s="151" t="n"/>
      <c r="G19" s="151" t="n"/>
      <c r="H19" s="151" t="n"/>
      <c r="I19" s="151" t="n"/>
    </row>
    <row r="20">
      <c r="A20" s="152" t="inlineStr">
        <is>
          <t>Regulated price difference, inland less coast, diesel wholesale</t>
        </is>
      </c>
      <c r="B20" s="152" t="inlineStr">
        <is>
          <t>Gauteng less coast</t>
        </is>
      </c>
      <c r="C20" s="152" t="inlineStr">
        <is>
          <t>79.0; 83.3; 83.3</t>
        </is>
      </c>
      <c r="D20" s="152" t="inlineStr">
        <is>
          <t>cents a litre</t>
        </is>
      </c>
      <c r="E20" s="152" t="inlineStr">
        <is>
          <t>July 2024; July 2025; November 2025</t>
        </is>
      </c>
      <c r="F20" s="152" t="inlineStr">
        <is>
          <t>observed</t>
        </is>
      </c>
      <c r="G20" s="152" t="inlineStr">
        <is>
          <t>Department of Mineral and Petroleum Resources, regulated fuel prices</t>
        </is>
      </c>
      <c r="H20" s="152" t="inlineStr"/>
      <c r="I20" s="152" t="inlineStr">
        <is>
          <t>The regulated allowance for moving fuel inland, not an operator's actual cost. Coast series held ends November 2025.</t>
        </is>
      </c>
    </row>
    <row r="21">
      <c r="A21" s="152" t="inlineStr">
        <is>
          <t>Regulated transport differential, Gauteng (zone 9C)</t>
        </is>
      </c>
      <c r="B21" s="152" t="inlineStr">
        <is>
          <t>Coast to Gauteng</t>
        </is>
      </c>
      <c r="C21" s="152" t="inlineStr">
        <is>
          <t>33.1; 82.8; 91.1</t>
        </is>
      </c>
      <c r="D21" s="152" t="inlineStr">
        <is>
          <t>cents a litre</t>
        </is>
      </c>
      <c r="E21" s="152" t="inlineStr">
        <is>
          <t>April 2014; April 2024; April 2026</t>
        </is>
      </c>
      <c r="F21" s="152" t="inlineStr">
        <is>
          <t>observed</t>
        </is>
      </c>
      <c r="G21" s="152" t="inlineStr">
        <is>
          <t>Department zone lists (2014, 2024); Central Energy Fund price composition (2026)</t>
        </is>
      </c>
      <c r="H21" s="152" t="inlineStr">
        <is>
          <t>CEF p.3</t>
        </is>
      </c>
      <c r="I21" s="152" t="inlineStr">
        <is>
          <t>The regulated allowance for getting petrol and diesel to Gauteng, which the regulator ties to the pipeline tariff. Not a commercial rate.</t>
        </is>
      </c>
    </row>
    <row r="22">
      <c r="A22" s="152" t="inlineStr">
        <is>
          <t>Regulated transport differential, all zones</t>
        </is>
      </c>
      <c r="B22" s="152" t="inlineStr">
        <is>
          <t>Coast to each of 54 pricing zones</t>
        </is>
      </c>
      <c r="C22" s="152" t="inlineStr">
        <is>
          <t>3.8 to 179.6</t>
        </is>
      </c>
      <c r="D22" s="152" t="inlineStr">
        <is>
          <t>cents a litre</t>
        </is>
      </c>
      <c r="E22" s="152" t="inlineStr">
        <is>
          <t>April 2024</t>
        </is>
      </c>
      <c r="F22" s="152" t="inlineStr">
        <is>
          <t>observed</t>
        </is>
      </c>
      <c r="G22" s="152" t="inlineStr">
        <is>
          <t>Department diesel wholesale price list, effective 3 April 2024</t>
        </is>
      </c>
      <c r="H22" s="152" t="inlineStr">
        <is>
          <t>pp.1-2</t>
        </is>
      </c>
      <c r="I22" s="152" t="inlineStr">
        <is>
          <t>Lowest at the coast (zone 1A), highest in zone 17A. By zone on the DR04 transport cost sheet. The files do not say which mode serves each zone.</t>
        </is>
      </c>
    </row>
    <row r="23">
      <c r="A23" s="156" t="inlineStr">
        <is>
          <t>Regulated transport differential less the pipeline tariff, Gauteng</t>
        </is>
      </c>
      <c r="B23" s="156" t="inlineStr">
        <is>
          <t>Coast to Gauteng</t>
        </is>
      </c>
      <c r="C23" s="156" t="inlineStr">
        <is>
          <t>14.8</t>
        </is>
      </c>
      <c r="D23" s="156" t="inlineStr">
        <is>
          <t>cents a litre</t>
        </is>
      </c>
      <c r="E23" s="156" t="inlineStr">
        <is>
          <t>2024/25</t>
        </is>
      </c>
      <c r="F23" s="156" t="inlineStr">
        <is>
          <t>inferred</t>
        </is>
      </c>
      <c r="G23" s="156" t="inlineStr">
        <is>
          <t>82.8 (zone 9C, April 2024) less 67.99 (Durban to Alrode, 2024/25)</t>
        </is>
      </c>
      <c r="H23" s="156" t="inlineStr"/>
      <c r="I23" s="156" t="inlineStr">
        <is>
          <t>What the rest of the Gauteng differential covers is not established.</t>
        </is>
      </c>
    </row>
    <row r="24">
      <c r="A24" s="152" t="inlineStr">
        <is>
          <t>Regulated secondary distribution (depot to service station by road)</t>
        </is>
      </c>
      <c r="B24" s="152" t="inlineStr">
        <is>
          <t>All zones</t>
        </is>
      </c>
      <c r="C24" s="152" t="inlineStr">
        <is>
          <t>17.2; 19.1</t>
        </is>
      </c>
      <c r="D24" s="152" t="inlineStr">
        <is>
          <t>cents a litre</t>
        </is>
      </c>
      <c r="E24" s="152" t="inlineStr">
        <is>
          <t>April 2024; April 2026</t>
        </is>
      </c>
      <c r="F24" s="152" t="inlineStr">
        <is>
          <t>observed</t>
        </is>
      </c>
      <c r="G24" s="152" t="inlineStr">
        <is>
          <t>Department diesel margins (2024); Central Energy Fund price composition (2026)</t>
        </is>
      </c>
      <c r="H24" s="152" t="inlineStr">
        <is>
          <t>CEF p.3</t>
        </is>
      </c>
      <c r="I24" s="152" t="inlineStr">
        <is>
          <t>The only regulated road delivery element. One national figure; it does not vary by distance.</t>
        </is>
      </c>
    </row>
    <row r="25">
      <c r="A25" s="152" t="inlineStr">
        <is>
          <t>Regulated secondary storage</t>
        </is>
      </c>
      <c r="B25" s="152" t="inlineStr">
        <is>
          <t>All zones</t>
        </is>
      </c>
      <c r="C25" s="152" t="inlineStr">
        <is>
          <t>36.6; 39.0</t>
        </is>
      </c>
      <c r="D25" s="152" t="inlineStr">
        <is>
          <t>cents a litre</t>
        </is>
      </c>
      <c r="E25" s="152" t="inlineStr">
        <is>
          <t>April 2024; April 2026</t>
        </is>
      </c>
      <c r="F25" s="152" t="inlineStr">
        <is>
          <t>observed</t>
        </is>
      </c>
      <c r="G25" s="152" t="inlineStr">
        <is>
          <t>Department diesel margins (2024); Central Energy Fund price composition (2026)</t>
        </is>
      </c>
      <c r="H25" s="152" t="inlineStr">
        <is>
          <t>CEF p.3</t>
        </is>
      </c>
      <c r="I25" s="152" t="inlineStr">
        <is>
          <t>The regulated allowance for depot storage, which is the service a terminal such as Lesedi sells. One national figure.</t>
        </is>
      </c>
    </row>
    <row r="26">
      <c r="A26" s="152" t="inlineStr">
        <is>
          <t>Road against pipeline, as stated by a haulier</t>
        </is>
      </c>
      <c r="B26" s="152" t="inlineStr">
        <is>
          <t>Durban to Gauteng</t>
        </is>
      </c>
      <c r="C26" s="152" t="inlineStr">
        <is>
          <t>Pipeline plus the last stretch by truck costs about a third more than trucking all the way</t>
        </is>
      </c>
      <c r="D26" s="152" t="inlineStr"/>
      <c r="E26" s="152" t="inlineStr">
        <is>
          <t>May 2025</t>
        </is>
      </c>
      <c r="F26" s="152" t="inlineStr">
        <is>
          <t>observed</t>
        </is>
      </c>
      <c r="G26" s="152" t="inlineStr">
        <is>
          <t>Bloomberg, 12 May 2025, quoting the managing director of a fuel haulier</t>
        </is>
      </c>
      <c r="H26" s="152" t="inlineStr"/>
      <c r="I26" s="152" t="inlineStr">
        <is>
          <t>One operator's statement, with no rate given. It implies road is competitive with the pipeline; it is not a measured cost.</t>
        </is>
      </c>
    </row>
    <row r="27">
      <c r="A27" s="152" t="inlineStr">
        <is>
          <t>Road freight rate, as Transnet compares it</t>
        </is>
      </c>
      <c r="B27" s="152" t="inlineStr">
        <is>
          <t>Road, containers, average haul 507 km</t>
        </is>
      </c>
      <c r="C27" s="152" t="inlineStr">
        <is>
          <t>1.23</t>
        </is>
      </c>
      <c r="D27" s="152" t="inlineStr">
        <is>
          <t>rand per net tonne-kilometre</t>
        </is>
      </c>
      <c r="E27" s="152" t="inlineStr">
        <is>
          <t>2025</t>
        </is>
      </c>
      <c r="F27" s="152" t="inlineStr">
        <is>
          <t>observed</t>
        </is>
      </c>
      <c r="G27" s="152" t="inlineStr">
        <is>
          <t>Transnet Rail Infrastructure Manager, Tariff Proposal 2025/26</t>
        </is>
      </c>
      <c r="H27" s="152" t="inlineStr">
        <is>
          <t>PDF p.18, Table 8</t>
        </is>
      </c>
      <c r="I27" s="152" t="inlineStr">
        <is>
          <t>Containers, not fuel tankers. From a 2022 freight study Transnet commissioned, raised by inflation.</t>
        </is>
      </c>
    </row>
    <row r="28">
      <c r="A28" s="152" t="inlineStr">
        <is>
          <t>Rail freight rate, as Transnet compares it</t>
        </is>
      </c>
      <c r="B28" s="152" t="inlineStr">
        <is>
          <t>Rail, containers, average haul 507 km</t>
        </is>
      </c>
      <c r="C28" s="152" t="inlineStr">
        <is>
          <t>0.43</t>
        </is>
      </c>
      <c r="D28" s="152" t="inlineStr">
        <is>
          <t>rand per net tonne-kilometre</t>
        </is>
      </c>
      <c r="E28" s="152" t="inlineStr">
        <is>
          <t>2025</t>
        </is>
      </c>
      <c r="F28" s="152" t="inlineStr">
        <is>
          <t>observed</t>
        </is>
      </c>
      <c r="G28" s="152" t="inlineStr">
        <is>
          <t>Transnet Rail Infrastructure Manager, Tariff Proposal 2025/26</t>
        </is>
      </c>
      <c r="H28" s="152" t="inlineStr">
        <is>
          <t>PDF p.18, Table 8</t>
        </is>
      </c>
      <c r="I28" s="152" t="inlineStr">
        <is>
          <t>Containers, not fuel. Road is 2.9 times rail on this comparison.</t>
        </is>
      </c>
    </row>
    <row r="29">
      <c r="A29" s="152" t="inlineStr">
        <is>
          <t>Rail track access charge, grain and tankers</t>
        </is>
      </c>
      <c r="B29" s="152" t="inlineStr">
        <is>
          <t>Rail, any route</t>
        </is>
      </c>
      <c r="C29" s="152" t="inlineStr">
        <is>
          <t>30 rand per train-kilometre plus 6.96 cents per gross tonne-kilometre</t>
        </is>
      </c>
      <c r="D29" s="152" t="inlineStr"/>
      <c r="E29" s="152" t="inlineStr">
        <is>
          <t>2024/25, approved</t>
        </is>
      </c>
      <c r="F29" s="152" t="inlineStr">
        <is>
          <t>observed</t>
        </is>
      </c>
      <c r="G29" s="152" t="inlineStr">
        <is>
          <t>Transnet Rail Infrastructure Manager, Tariff Proposal 2025/26</t>
        </is>
      </c>
      <c r="H29" s="152" t="inlineStr">
        <is>
          <t>PDF p.12, Table 1</t>
        </is>
      </c>
      <c r="I29" s="152" t="inlineStr">
        <is>
          <t>What a train operator pays Transnet for the track. Not the rate a shipper pays.</t>
        </is>
      </c>
    </row>
    <row r="30">
      <c r="A30" s="156" t="inlineStr">
        <is>
          <t>Road freight income per tonne carried, all goods</t>
        </is>
      </c>
      <c r="B30" s="156" t="inlineStr">
        <is>
          <t>Road, South Africa</t>
        </is>
      </c>
      <c r="C30" s="156" t="inlineStr">
        <is>
          <t>182; 204; 205</t>
        </is>
      </c>
      <c r="D30" s="156" t="inlineStr">
        <is>
          <t>rand a tonne</t>
        </is>
      </c>
      <c r="E30" s="156" t="inlineStr">
        <is>
          <t>2019; 2024; 2025</t>
        </is>
      </c>
      <c r="F30" s="156" t="inlineStr">
        <is>
          <t>inferred</t>
        </is>
      </c>
      <c r="G30" s="156" t="inlineStr">
        <is>
          <t>Statistics South Africa, Land transport survey (P7162), July 2026 release</t>
        </is>
      </c>
      <c r="H30" s="156" t="inlineStr">
        <is>
          <t>series roadincf over roadpayl</t>
        </is>
      </c>
      <c r="I30" s="156" t="inlineStr">
        <is>
          <t>Income divided by payload. All goods and all distances together, so not a fuel rate or a route rate.</t>
        </is>
      </c>
    </row>
    <row r="31">
      <c r="A31" s="156" t="inlineStr">
        <is>
          <t>Rail freight income per tonne carried, all goods</t>
        </is>
      </c>
      <c r="B31" s="156" t="inlineStr">
        <is>
          <t>Rail, South Africa</t>
        </is>
      </c>
      <c r="C31" s="156" t="inlineStr">
        <is>
          <t>205; 269; 272</t>
        </is>
      </c>
      <c r="D31" s="156" t="inlineStr">
        <is>
          <t>rand a tonne</t>
        </is>
      </c>
      <c r="E31" s="156" t="inlineStr">
        <is>
          <t>2019; 2024; 2025</t>
        </is>
      </c>
      <c r="F31" s="156" t="inlineStr">
        <is>
          <t>inferred</t>
        </is>
      </c>
      <c r="G31" s="156" t="inlineStr">
        <is>
          <t>Statistics South Africa, Land transport survey (P7162), July 2026 release</t>
        </is>
      </c>
      <c r="H31" s="156" t="inlineStr">
        <is>
          <t>series railincf over railpayl</t>
        </is>
      </c>
      <c r="I31" s="156" t="inlineStr">
        <is>
          <t>Income divided by payload. Mostly bulk minerals over long distances, so not a fuel rate.</t>
        </is>
      </c>
    </row>
    <row r="32">
      <c r="A32" s="162" t="inlineStr">
        <is>
          <t>Commercial road tanker rate, Durban to Gauteng</t>
        </is>
      </c>
      <c r="B32" s="162" t="inlineStr">
        <is>
          <t>Road</t>
        </is>
      </c>
      <c r="C32" s="162" t="inlineStr">
        <is>
          <t>Not available</t>
        </is>
      </c>
      <c r="D32" s="162" t="inlineStr">
        <is>
          <t>cents a litre</t>
        </is>
      </c>
      <c r="E32" s="162" t="inlineStr"/>
      <c r="F32" s="162" t="inlineStr">
        <is>
          <t>not available</t>
        </is>
      </c>
      <c r="G32" s="162" t="inlineStr">
        <is>
          <t>None public</t>
        </is>
      </c>
      <c r="H32" s="162" t="inlineStr"/>
      <c r="I32" s="162" t="inlineStr">
        <is>
          <t>No fuel tanker rate is published. The rows above are the nearest published figures: a container rate and an all-goods average. Needs Vopak or a haulier quote.</t>
        </is>
      </c>
    </row>
    <row r="33">
      <c r="A33" s="162" t="inlineStr">
        <is>
          <t>Rail rate, Durban to Gauteng</t>
        </is>
      </c>
      <c r="B33" s="162" t="inlineStr">
        <is>
          <t>Rail</t>
        </is>
      </c>
      <c r="C33" s="162" t="inlineStr">
        <is>
          <t>Not available</t>
        </is>
      </c>
      <c r="D33" s="162" t="inlineStr">
        <is>
          <t>cents a litre</t>
        </is>
      </c>
      <c r="E33" s="162" t="inlineStr"/>
      <c r="F33" s="162" t="inlineStr">
        <is>
          <t>not available</t>
        </is>
      </c>
      <c r="G33" s="162" t="inlineStr">
        <is>
          <t>None public</t>
        </is>
      </c>
      <c r="H33" s="162" t="inlineStr"/>
      <c r="I33" s="162" t="inlineStr">
        <is>
          <t>Transnet does not publish a fuel rate. The rows above give its container rate and its track access charge for tankers. Needs Transnet or Vopak.</t>
        </is>
      </c>
    </row>
    <row r="35">
      <c r="A35" s="151" t="inlineStr">
        <is>
          <t>Port use</t>
        </is>
      </c>
      <c r="B35" s="151" t="n"/>
      <c r="C35" s="151" t="n"/>
      <c r="D35" s="151" t="n"/>
      <c r="E35" s="151" t="n"/>
      <c r="F35" s="151" t="n"/>
      <c r="G35" s="151" t="n"/>
      <c r="H35" s="151" t="n"/>
      <c r="I35" s="151" t="n"/>
    </row>
    <row r="36">
      <c r="A36" s="152" t="inlineStr">
        <is>
          <t>Petrol and diesel imports cleared</t>
        </is>
      </c>
      <c r="B36" s="152" t="inlineStr">
        <is>
          <t>Durban customs office</t>
        </is>
      </c>
      <c r="C36" s="152" t="inlineStr">
        <is>
          <t>11.84; 13.16</t>
        </is>
      </c>
      <c r="D36" s="152" t="inlineStr">
        <is>
          <t>billion litres</t>
        </is>
      </c>
      <c r="E36" s="152" t="inlineStr">
        <is>
          <t>2024; 2025</t>
        </is>
      </c>
      <c r="F36" s="152" t="inlineStr">
        <is>
          <t>observed</t>
        </is>
      </c>
      <c r="G36" s="152" t="inlineStr">
        <is>
          <t>SARS customs, by office</t>
        </is>
      </c>
      <c r="H36" s="152" t="inlineStr"/>
      <c r="I36" s="152" t="inlineStr">
        <is>
          <t>Customs office of clearance: the nearest public record of entry port, not a berth or terminal record.</t>
        </is>
      </c>
    </row>
    <row r="37">
      <c r="A37" s="152" t="inlineStr">
        <is>
          <t>Durban share of petrol and diesel imports</t>
        </is>
      </c>
      <c r="B37" s="152" t="inlineStr">
        <is>
          <t>Durban customs office</t>
        </is>
      </c>
      <c r="C37" s="152" t="inlineStr">
        <is>
          <t>80.0; 78.8</t>
        </is>
      </c>
      <c r="D37" s="152" t="inlineStr">
        <is>
          <t>%</t>
        </is>
      </c>
      <c r="E37" s="152" t="inlineStr">
        <is>
          <t>2024; 2025</t>
        </is>
      </c>
      <c r="F37" s="152" t="inlineStr">
        <is>
          <t>observed</t>
        </is>
      </c>
      <c r="G37" s="152" t="inlineStr">
        <is>
          <t>SARS customs, by office</t>
        </is>
      </c>
      <c r="H37" s="152" t="inlineStr"/>
      <c r="I37" s="152" t="inlineStr"/>
    </row>
    <row r="38">
      <c r="A38" s="152" t="inlineStr">
        <is>
          <t>Petrol and diesel imports cleared</t>
        </is>
      </c>
      <c r="B38" s="152" t="inlineStr">
        <is>
          <t>Richards Bay customs office</t>
        </is>
      </c>
      <c r="C38" s="152" t="inlineStr">
        <is>
          <t>0.39; 0.66</t>
        </is>
      </c>
      <c r="D38" s="152" t="inlineStr">
        <is>
          <t>billion litres</t>
        </is>
      </c>
      <c r="E38" s="152" t="inlineStr">
        <is>
          <t>2024; 2025</t>
        </is>
      </c>
      <c r="F38" s="152" t="inlineStr">
        <is>
          <t>observed</t>
        </is>
      </c>
      <c r="G38" s="152" t="inlineStr">
        <is>
          <t>SARS customs, by office</t>
        </is>
      </c>
      <c r="H38" s="152" t="inlineStr"/>
      <c r="I38" s="152" t="inlineStr"/>
    </row>
    <row r="39">
      <c r="A39" s="152" t="inlineStr">
        <is>
          <t>Petrol and diesel imports cleared</t>
        </is>
      </c>
      <c r="B39" s="152" t="inlineStr">
        <is>
          <t>Cape Town customs office</t>
        </is>
      </c>
      <c r="C39" s="152" t="inlineStr">
        <is>
          <t>1.09; 1.52</t>
        </is>
      </c>
      <c r="D39" s="152" t="inlineStr">
        <is>
          <t>billion litres</t>
        </is>
      </c>
      <c r="E39" s="152" t="inlineStr">
        <is>
          <t>2024; 2025</t>
        </is>
      </c>
      <c r="F39" s="152" t="inlineStr">
        <is>
          <t>observed</t>
        </is>
      </c>
      <c r="G39" s="152" t="inlineStr">
        <is>
          <t>SARS customs, by office</t>
        </is>
      </c>
      <c r="H39" s="152" t="inlineStr"/>
      <c r="I39" s="152" t="inlineStr"/>
    </row>
    <row r="40">
      <c r="A40" s="152" t="inlineStr">
        <is>
          <t>Petrol and diesel imports by road from Mozambique</t>
        </is>
      </c>
      <c r="B40" s="152" t="inlineStr">
        <is>
          <t>Komatipoort customs office</t>
        </is>
      </c>
      <c r="C40" s="152" t="inlineStr">
        <is>
          <t>0.19; 0.09</t>
        </is>
      </c>
      <c r="D40" s="152" t="inlineStr">
        <is>
          <t>billion litres</t>
        </is>
      </c>
      <c r="E40" s="152" t="inlineStr">
        <is>
          <t>2024; 2025</t>
        </is>
      </c>
      <c r="F40" s="152" t="inlineStr">
        <is>
          <t>observed</t>
        </is>
      </c>
      <c r="G40" s="152" t="inlineStr">
        <is>
          <t>SARS customs, by office</t>
        </is>
      </c>
      <c r="H40" s="152" t="inlineStr"/>
      <c r="I40" s="152" t="inlineStr">
        <is>
          <t>The only recorded entry from the Maputo and Matola side.</t>
        </is>
      </c>
    </row>
    <row r="42">
      <c r="A42" s="151" t="inlineStr">
        <is>
          <t>Port limit</t>
        </is>
      </c>
      <c r="B42" s="151" t="n"/>
      <c r="C42" s="151" t="n"/>
      <c r="D42" s="151" t="n"/>
      <c r="E42" s="151" t="n"/>
      <c r="F42" s="151" t="n"/>
      <c r="G42" s="151" t="n"/>
      <c r="H42" s="151" t="n"/>
      <c r="I42" s="151" t="n"/>
    </row>
    <row r="43">
      <c r="A43" s="152" t="inlineStr">
        <is>
          <t>Berths</t>
        </is>
      </c>
      <c r="B43" s="152" t="inlineStr">
        <is>
          <t>Durban</t>
        </is>
      </c>
      <c r="C43" s="152" t="inlineStr">
        <is>
          <t>58 berths, 41 in operation, of which 8 liquid bulk</t>
        </is>
      </c>
      <c r="D43" s="152" t="inlineStr"/>
      <c r="E43" s="152" t="inlineStr">
        <is>
          <t>as on the page, read 8 October 2026</t>
        </is>
      </c>
      <c r="F43" s="152" t="inlineStr">
        <is>
          <t>observed</t>
        </is>
      </c>
      <c r="G43" s="152" t="inlineStr">
        <is>
          <t>Transnet National Ports Authority, Our Ports page</t>
        </is>
      </c>
      <c r="H43" s="152" t="inlineStr">
        <is>
          <t>Port of Durban, Fast Fact</t>
        </is>
      </c>
      <c r="I43" s="152" t="inlineStr">
        <is>
          <t>No capacity in kilolitres is given on the page.</t>
        </is>
      </c>
    </row>
    <row r="44">
      <c r="A44" s="152" t="inlineStr">
        <is>
          <t>Berths</t>
        </is>
      </c>
      <c r="B44" s="152" t="inlineStr">
        <is>
          <t>Richards Bay</t>
        </is>
      </c>
      <c r="C44" s="152" t="inlineStr">
        <is>
          <t>22 berths, of which 2 liquid bulk</t>
        </is>
      </c>
      <c r="D44" s="152" t="inlineStr"/>
      <c r="E44" s="152" t="inlineStr">
        <is>
          <t>as on the page, read 8 October 2026</t>
        </is>
      </c>
      <c r="F44" s="152" t="inlineStr">
        <is>
          <t>observed</t>
        </is>
      </c>
      <c r="G44" s="152" t="inlineStr">
        <is>
          <t>Transnet National Ports Authority, Our Ports page</t>
        </is>
      </c>
      <c r="H44" s="152" t="inlineStr">
        <is>
          <t>Port of Richards Bay, Fast Fact</t>
        </is>
      </c>
      <c r="I44" s="152" t="inlineStr">
        <is>
          <t>No capacity in kilolitres is given on the page.</t>
        </is>
      </c>
    </row>
    <row r="45">
      <c r="A45" s="152" t="inlineStr">
        <is>
          <t>Planned berth changes at Island View</t>
        </is>
      </c>
      <c r="B45" s="152" t="inlineStr">
        <is>
          <t>Durban, Island View</t>
        </is>
      </c>
      <c r="C45" s="152" t="inlineStr">
        <is>
          <t>Berth 1 to be rebuilt (2026); Berth 3 to convert from dry bulk to liquid bulk (2026)</t>
        </is>
      </c>
      <c r="D45" s="152" t="inlineStr"/>
      <c r="E45" s="152" t="inlineStr">
        <is>
          <t>port framework plan 2022-2032</t>
        </is>
      </c>
      <c r="F45" s="152" t="inlineStr">
        <is>
          <t>observed</t>
        </is>
      </c>
      <c r="G45" s="152" t="inlineStr">
        <is>
          <t>Port authority tariff application slides, 2 September 2025</t>
        </is>
      </c>
      <c r="H45" s="152" t="inlineStr">
        <is>
          <t>PDF p.14</t>
        </is>
      </c>
      <c r="I45" s="152" t="inlineStr">
        <is>
          <t>Whether either is delivered is shown only by colour on the slide, which the text does not carry.</t>
        </is>
      </c>
    </row>
    <row r="46">
      <c r="A46" s="152" t="inlineStr">
        <is>
          <t>Planned liquid bulk berth at Richards Bay</t>
        </is>
      </c>
      <c r="B46" s="152" t="inlineStr">
        <is>
          <t>Richards Bay</t>
        </is>
      </c>
      <c r="C46" s="152" t="inlineStr">
        <is>
          <t>New liquid bulk berth 210 (2025); South Dunes liquid bulk development (2024)</t>
        </is>
      </c>
      <c r="D46" s="152" t="inlineStr"/>
      <c r="E46" s="152" t="inlineStr">
        <is>
          <t>port framework plan 2022-2032</t>
        </is>
      </c>
      <c r="F46" s="152" t="inlineStr">
        <is>
          <t>observed</t>
        </is>
      </c>
      <c r="G46" s="152" t="inlineStr">
        <is>
          <t>Port authority tariff application slides, 2 September 2025</t>
        </is>
      </c>
      <c r="H46" s="152" t="inlineStr">
        <is>
          <t>PDF pp.11-12</t>
        </is>
      </c>
      <c r="I46" s="152" t="inlineStr">
        <is>
          <t>Delivery status not readable from the text.</t>
        </is>
      </c>
    </row>
    <row r="47">
      <c r="A47" s="152" t="inlineStr">
        <is>
          <t>Berths at Island View</t>
        </is>
      </c>
      <c r="B47" s="152" t="inlineStr">
        <is>
          <t>Durban, Island View</t>
        </is>
      </c>
      <c r="C47" s="152" t="inlineStr">
        <is>
          <t>10 berths, working 24 hours</t>
        </is>
      </c>
      <c r="D47" s="152" t="inlineStr"/>
      <c r="E47" s="152" t="inlineStr">
        <is>
          <t>2026</t>
        </is>
      </c>
      <c r="F47" s="152" t="inlineStr">
        <is>
          <t>observed</t>
        </is>
      </c>
      <c r="G47" s="152" t="inlineStr">
        <is>
          <t>Report of five Portfolio Committees on the Island View directive, 11 March 2026 (Parliament)</t>
        </is>
      </c>
      <c r="H47" s="152" t="inlineStr">
        <is>
          <t>section 2.1</t>
        </is>
      </c>
      <c r="I47" s="152" t="inlineStr">
        <is>
          <t>One berth also handles dry bulk. Product leaves the tanks by pipeline, road and rail.</t>
        </is>
      </c>
    </row>
    <row r="48">
      <c r="A48" s="152" t="inlineStr">
        <is>
          <t>Terminal operators at Island View</t>
        </is>
      </c>
      <c r="B48" s="152" t="inlineStr">
        <is>
          <t>Durban, Island View</t>
        </is>
      </c>
      <c r="C48" s="152" t="inlineStr">
        <is>
          <t>Ten: Bidvest Tank Terminal, H&amp;R, Chemoleo, Unico Tec, Astron Energy, Vopak Terminal Durban, Engen, TotalEnergies, Sapref, Sasol</t>
        </is>
      </c>
      <c r="D48" s="152" t="inlineStr"/>
      <c r="E48" s="152" t="inlineStr">
        <is>
          <t>2026</t>
        </is>
      </c>
      <c r="F48" s="152" t="inlineStr">
        <is>
          <t>observed</t>
        </is>
      </c>
      <c r="G48" s="152" t="inlineStr">
        <is>
          <t>Report of five Portfolio Committees on the Island View directive, 11 March 2026 (Parliament)</t>
        </is>
      </c>
      <c r="H48" s="152" t="inlineStr">
        <is>
          <t>section 2.2</t>
        </is>
      </c>
      <c r="I48" s="152" t="inlineStr">
        <is>
          <t>Not all store petrol and diesel.</t>
        </is>
      </c>
    </row>
    <row r="49">
      <c r="A49" s="152" t="inlineStr">
        <is>
          <t>TotalEnergies' storage constraint</t>
        </is>
      </c>
      <c r="B49" s="152" t="inlineStr">
        <is>
          <t>Durban, Island View</t>
        </is>
      </c>
      <c r="C49" s="152" t="inlineStr">
        <is>
          <t>Could import only 78% of its fuel needs</t>
        </is>
      </c>
      <c r="D49" s="152" t="inlineStr"/>
      <c r="E49" s="152" t="inlineStr">
        <is>
          <t>2024</t>
        </is>
      </c>
      <c r="F49" s="152" t="inlineStr">
        <is>
          <t>observed</t>
        </is>
      </c>
      <c r="G49" s="152" t="inlineStr">
        <is>
          <t>Report of five Portfolio Committees on the Island View directive, 11 March 2026 (Parliament)</t>
        </is>
      </c>
      <c r="H49" s="152" t="inlineStr">
        <is>
          <t>section 5</t>
        </is>
      </c>
      <c r="I49" s="152" t="inlineStr">
        <is>
          <t>The operator's statement to Parliament: its Island View storage is too small and full cargoes cannot be offloaded into its site.</t>
        </is>
      </c>
    </row>
    <row r="50">
      <c r="A50" s="162" t="inlineStr">
        <is>
          <t>Liquid bulk capacity and tankage</t>
        </is>
      </c>
      <c r="B50" s="162" t="inlineStr">
        <is>
          <t>Durban, Island View</t>
        </is>
      </c>
      <c r="C50" s="162" t="inlineStr">
        <is>
          <t>Not available</t>
        </is>
      </c>
      <c r="D50" s="162" t="inlineStr">
        <is>
          <t>kilolitres a year; berths; m3</t>
        </is>
      </c>
      <c r="E50" s="162" t="inlineStr"/>
      <c r="F50" s="162" t="inlineStr">
        <is>
          <t>not available</t>
        </is>
      </c>
      <c r="G50" s="162" t="inlineStr">
        <is>
          <t>None found for petrol and diesel</t>
        </is>
      </c>
      <c r="H50" s="162" t="inlineStr"/>
      <c r="I50" s="162" t="inlineStr">
        <is>
          <t>Parliament's report gives berths and tenants but no capacity. Earlier search summaries quoting 19.5 million kilolitres a year were not traced to a document. Needs the port authority or Vopak.</t>
        </is>
      </c>
    </row>
    <row r="52">
      <c r="A52" s="151" t="inlineStr">
        <is>
          <t>Access</t>
        </is>
      </c>
      <c r="B52" s="151" t="n"/>
      <c r="C52" s="151" t="n"/>
      <c r="D52" s="151" t="n"/>
      <c r="E52" s="151" t="n"/>
      <c r="F52" s="151" t="n"/>
      <c r="G52" s="151" t="n"/>
      <c r="H52" s="151" t="n"/>
      <c r="I52" s="151" t="n"/>
    </row>
    <row r="53">
      <c r="A53" s="152" t="inlineStr">
        <is>
          <t>Lesedi connection to the pipeline</t>
        </is>
      </c>
      <c r="B53" s="152" t="inlineStr">
        <is>
          <t>Vopak Lesedi, Jameson Park</t>
        </is>
      </c>
      <c r="C53" s="152" t="inlineStr">
        <is>
          <t>Four pipelines to the Transnet system at Jameson Park; intake from the Transnet pipeline</t>
        </is>
      </c>
      <c r="D53" s="152" t="inlineStr"/>
      <c r="E53" s="152" t="inlineStr">
        <is>
          <t>licence of 26 August 2020</t>
        </is>
      </c>
      <c r="F53" s="152" t="inlineStr">
        <is>
          <t>observed</t>
        </is>
      </c>
      <c r="G53" s="152" t="inlineStr">
        <is>
          <t>NERSA reasons for decision, Vopak licence amendment</t>
        </is>
      </c>
      <c r="H53" s="152" t="inlineStr">
        <is>
          <t>PDF p.6</t>
        </is>
      </c>
      <c r="I53" s="152" t="inlineStr"/>
    </row>
    <row r="54">
      <c r="A54" s="152" t="inlineStr">
        <is>
          <t>Lesedi dispatch</t>
        </is>
      </c>
      <c r="B54" s="152" t="inlineStr">
        <is>
          <t>Vopak Lesedi, Jameson Park</t>
        </is>
      </c>
      <c r="C54" s="152" t="inlineStr">
        <is>
          <t>8</t>
        </is>
      </c>
      <c r="D54" s="152" t="inlineStr">
        <is>
          <t>road loading bays</t>
        </is>
      </c>
      <c r="E54" s="152" t="inlineStr">
        <is>
          <t>2025</t>
        </is>
      </c>
      <c r="F54" s="152" t="inlineStr">
        <is>
          <t>observed</t>
        </is>
      </c>
      <c r="G54" s="152" t="inlineStr">
        <is>
          <t>NERSA reasons for decision, Vopak licence amendment</t>
        </is>
      </c>
      <c r="H54" s="152" t="inlineStr">
        <is>
          <t>PDF p.7</t>
        </is>
      </c>
      <c r="I54" s="152" t="inlineStr">
        <is>
          <t>Dispatch is by road only; no rail or outbound pipeline is mentioned.</t>
        </is>
      </c>
    </row>
    <row r="55">
      <c r="A55" s="152" t="inlineStr">
        <is>
          <t>Lesedi licensed capacity</t>
        </is>
      </c>
      <c r="B55" s="152" t="inlineStr">
        <is>
          <t>Vopak Lesedi, Jameson Park</t>
        </is>
      </c>
      <c r="C55" s="152" t="inlineStr">
        <is>
          <t>100000 rising to 140000</t>
        </is>
      </c>
      <c r="D55" s="152" t="inlineStr">
        <is>
          <t>m3</t>
        </is>
      </c>
      <c r="E55" s="152" t="inlineStr">
        <is>
          <t>2020; after the 2025 expansion</t>
        </is>
      </c>
      <c r="F55" s="152" t="inlineStr">
        <is>
          <t>observed</t>
        </is>
      </c>
      <c r="G55" s="152" t="inlineStr">
        <is>
          <t>NERSA reasons for decision, Vopak licence amendment</t>
        </is>
      </c>
      <c r="H55" s="152" t="inlineStr">
        <is>
          <t>PDF p.6</t>
        </is>
      </c>
      <c r="I55" s="152" t="inlineStr">
        <is>
          <t>Design capacity. Six tanks (three diesel, three petrol) plus two diesel tanks.</t>
        </is>
      </c>
    </row>
    <row r="56">
      <c r="A56" s="152" t="inlineStr">
        <is>
          <t>Who ships to Lesedi</t>
        </is>
      </c>
      <c r="B56" s="152" t="inlineStr">
        <is>
          <t>Durban to Jameson Park</t>
        </is>
      </c>
      <c r="C56" s="152" t="inlineStr">
        <is>
          <t>Lesedi's contracted customers are shippers on the Transnet pipeline from Durban, with one exception</t>
        </is>
      </c>
      <c r="D56" s="152" t="inlineStr"/>
      <c r="E56" s="152" t="inlineStr">
        <is>
          <t>2024/25</t>
        </is>
      </c>
      <c r="F56" s="152" t="inlineStr">
        <is>
          <t>observed</t>
        </is>
      </c>
      <c r="G56" s="152" t="inlineStr">
        <is>
          <t>NERSA reasons for decision, Vopak licence amendment</t>
        </is>
      </c>
      <c r="H56" s="152" t="inlineStr">
        <is>
          <t>PDF p.9</t>
        </is>
      </c>
      <c r="I56" s="152" t="inlineStr">
        <is>
          <t>Customer names are redacted.</t>
        </is>
      </c>
    </row>
    <row r="57">
      <c r="A57" s="152" t="inlineStr">
        <is>
          <t>Durban terminal receipt</t>
        </is>
      </c>
      <c r="B57" s="152" t="inlineStr">
        <is>
          <t>Vopak Terminal Durban, Island View</t>
        </is>
      </c>
      <c r="C57" s="152" t="inlineStr">
        <is>
          <t>By ship (own lines at jetties 1, 2 and 4; industry lines at berths 6, 7 and 8) and by pipeline transfer from neighbouring companies</t>
        </is>
      </c>
      <c r="D57" s="152" t="inlineStr"/>
      <c r="E57" s="152" t="inlineStr">
        <is>
          <t>undated allocation mechanism</t>
        </is>
      </c>
      <c r="F57" s="152" t="inlineStr">
        <is>
          <t>observed</t>
        </is>
      </c>
      <c r="G57" s="152" t="inlineStr">
        <is>
          <t>Vopak Terminal Durban allocation mechanism filed with NERSA</t>
        </is>
      </c>
      <c r="H57" s="152" t="inlineStr">
        <is>
          <t>p.5</t>
        </is>
      </c>
      <c r="I57" s="152" t="inlineStr">
        <is>
          <t>The document is old: it gives 18,091 m3 of petroleum storage, far below today's. Berth access needs confirming with Vopak.</t>
        </is>
      </c>
    </row>
    <row r="58">
      <c r="A58" s="152" t="inlineStr">
        <is>
          <t>Durban terminal dispatch</t>
        </is>
      </c>
      <c r="B58" s="152" t="inlineStr">
        <is>
          <t>Vopak Terminal Durban, Island View</t>
        </is>
      </c>
      <c r="C58" s="152" t="inlineStr">
        <is>
          <t>Mainly road; also ship or barge loading and pipeline transfer</t>
        </is>
      </c>
      <c r="D58" s="152" t="inlineStr"/>
      <c r="E58" s="152" t="inlineStr">
        <is>
          <t>undated allocation mechanism</t>
        </is>
      </c>
      <c r="F58" s="152" t="inlineStr">
        <is>
          <t>observed</t>
        </is>
      </c>
      <c r="G58" s="152" t="inlineStr">
        <is>
          <t>Vopak Terminal Durban allocation mechanism filed with NERSA</t>
        </is>
      </c>
      <c r="H58" s="152" t="inlineStr">
        <is>
          <t>pp.4, 6</t>
        </is>
      </c>
      <c r="I58" s="152" t="inlineStr">
        <is>
          <t>Whether Vopak Durban injects directly into the Transnet trunk line is not stated in this document.</t>
        </is>
      </c>
    </row>
    <row r="59">
      <c r="A59" s="152" t="inlineStr">
        <is>
          <t>Notice periods at Durban</t>
        </is>
      </c>
      <c r="B59" s="152" t="inlineStr">
        <is>
          <t>Vopak Terminal Durban</t>
        </is>
      </c>
      <c r="C59" s="152" t="inlineStr">
        <is>
          <t>Two weeks for a vessel; one week for a pipeline transfer; two days for road loading</t>
        </is>
      </c>
      <c r="D59" s="152" t="inlineStr"/>
      <c r="E59" s="152" t="inlineStr">
        <is>
          <t>undated allocation mechanism</t>
        </is>
      </c>
      <c r="F59" s="152" t="inlineStr">
        <is>
          <t>observed</t>
        </is>
      </c>
      <c r="G59" s="152" t="inlineStr">
        <is>
          <t>Vopak Terminal Durban allocation mechanism filed with NERSA</t>
        </is>
      </c>
      <c r="H59" s="152" t="inlineStr">
        <is>
          <t>p.3</t>
        </is>
      </c>
      <c r="I59" s="152" t="inlineStr">
        <is>
          <t>Old document; confirm with Vopak.</t>
        </is>
      </c>
    </row>
    <row r="60">
      <c r="A60" s="152" t="inlineStr">
        <is>
          <t>Direct injection into the pipeline from a Durban terminal</t>
        </is>
      </c>
      <c r="B60" s="152" t="inlineStr">
        <is>
          <t>Former Sapref site, Bayhead A</t>
        </is>
      </c>
      <c r="C60" s="152" t="inlineStr">
        <is>
          <t>Two 14-inch diesel lines and two 14-inch petrol lines, 1,200 m each, to Transnet's pipeline terminal</t>
        </is>
      </c>
      <c r="D60" s="152" t="inlineStr"/>
      <c r="E60" s="152" t="inlineStr">
        <is>
          <t>licence amended 30 June 2025</t>
        </is>
      </c>
      <c r="F60" s="152" t="inlineStr">
        <is>
          <t>observed</t>
        </is>
      </c>
      <c r="G60" s="152" t="inlineStr">
        <is>
          <t>NERSA decision on the Sapref Island View licence amendment, approved 30 June 2025</t>
        </is>
      </c>
      <c r="H60" s="152" t="inlineStr">
        <is>
          <t>PDF pp.10, 19</t>
        </is>
      </c>
      <c r="I60" s="152" t="inlineStr">
        <is>
          <t>A competing Durban terminal injects directly. Five lines were added to the licence for this.</t>
        </is>
      </c>
    </row>
    <row r="61">
      <c r="A61" s="152" t="inlineStr">
        <is>
          <t>Direct injection into the pipeline from a Durban terminal</t>
        </is>
      </c>
      <c r="B61" s="152" t="inlineStr">
        <is>
          <t>Sasol, Berth 9</t>
        </is>
      </c>
      <c r="C61" s="152" t="inlineStr">
        <is>
          <t>Imports are received at Berth 9 into throughput tanks and transferred into the pipeline</t>
        </is>
      </c>
      <c r="D61" s="152" t="inlineStr"/>
      <c r="E61" s="152" t="inlineStr">
        <is>
          <t>2026</t>
        </is>
      </c>
      <c r="F61" s="152" t="inlineStr">
        <is>
          <t>observed</t>
        </is>
      </c>
      <c r="G61" s="152" t="inlineStr">
        <is>
          <t>Report of five Portfolio Committees on the Island View directive, 11 March 2026 (Parliament)</t>
        </is>
      </c>
      <c r="H61" s="152" t="inlineStr">
        <is>
          <t>section 5.2</t>
        </is>
      </c>
      <c r="I61" s="152" t="inlineStr">
        <is>
          <t>Sasol's statement to Parliament.</t>
        </is>
      </c>
    </row>
    <row r="62">
      <c r="A62" s="152" t="inlineStr">
        <is>
          <t>Vopak Durban and the pipeline</t>
        </is>
      </c>
      <c r="B62" s="152" t="inlineStr">
        <is>
          <t>Vopak Terminal Durban, Island View</t>
        </is>
      </c>
      <c r="C62" s="152" t="inlineStr">
        <is>
          <t>Works with Transnet Pipelines on evacuation by pipeline; describes Durban and Lesedi as functionally integrated</t>
        </is>
      </c>
      <c r="D62" s="152" t="inlineStr"/>
      <c r="E62" s="152" t="inlineStr">
        <is>
          <t>2026</t>
        </is>
      </c>
      <c r="F62" s="152" t="inlineStr">
        <is>
          <t>observed</t>
        </is>
      </c>
      <c r="G62" s="152" t="inlineStr">
        <is>
          <t>Report of five Portfolio Committees on the Island View directive, 11 March 2026 (Parliament)</t>
        </is>
      </c>
      <c r="H62" s="152" t="inlineStr">
        <is>
          <t>section 5.7</t>
        </is>
      </c>
      <c r="I62" s="152" t="inlineStr">
        <is>
          <t>Vopak's statement to Parliament. It does not say whether Vopak's own lines reach Transnet's intake or whether product moves through a neighbour. Needs Vopak.</t>
        </is>
      </c>
    </row>
    <row r="63">
      <c r="A63" s="152" t="inlineStr">
        <is>
          <t>Island View leases</t>
        </is>
      </c>
      <c r="B63" s="152" t="inlineStr">
        <is>
          <t>All ten operators, Vopak included</t>
        </is>
      </c>
      <c r="C63" s="152" t="inlineStr">
        <is>
          <t>Minister of Transport directed the port authority to renew every lease for 25 years</t>
        </is>
      </c>
      <c r="D63" s="152" t="inlineStr"/>
      <c r="E63" s="152" t="inlineStr">
        <is>
          <t>directive announced 18 September 2025</t>
        </is>
      </c>
      <c r="F63" s="152" t="inlineStr">
        <is>
          <t>observed</t>
        </is>
      </c>
      <c r="G63" s="152" t="inlineStr">
        <is>
          <t>Report of five Portfolio Committees on the Island View directive, 11 March 2026 (Parliament)</t>
        </is>
      </c>
      <c r="H63" s="152" t="inlineStr">
        <is>
          <t>section 2.2</t>
        </is>
      </c>
      <c r="I63" s="152" t="inlineStr">
        <is>
          <t>Operators must agree a framework for third-party access to storage. New conditions are to require more use of the pipeline.</t>
        </is>
      </c>
    </row>
    <row r="65">
      <c r="A65" s="151" t="inlineStr">
        <is>
          <t>Competing routes</t>
        </is>
      </c>
      <c r="B65" s="151" t="n"/>
      <c r="C65" s="151" t="n"/>
      <c r="D65" s="151" t="n"/>
      <c r="E65" s="151" t="n"/>
      <c r="F65" s="151" t="n"/>
      <c r="G65" s="151" t="n"/>
      <c r="H65" s="151" t="n"/>
      <c r="I65" s="151" t="n"/>
    </row>
    <row r="66">
      <c r="A66" s="152" t="inlineStr">
        <is>
          <t>Diesel imported by road from Mozambique</t>
        </is>
      </c>
      <c r="B66" s="152" t="inlineStr">
        <is>
          <t>Maputo and Matola, through Komatipoort</t>
        </is>
      </c>
      <c r="C66" s="152" t="inlineStr">
        <is>
          <t>0.21; 0.21; 0.20; 0.27; 0.25; 0.19; 0.08</t>
        </is>
      </c>
      <c r="D66" s="152" t="inlineStr">
        <is>
          <t>billion litres</t>
        </is>
      </c>
      <c r="E66" s="152" t="inlineStr">
        <is>
          <t>2019; 2020; 2021; 2022; 2023; 2024; 2025</t>
        </is>
      </c>
      <c r="F66" s="152" t="inlineStr">
        <is>
          <t>observed</t>
        </is>
      </c>
      <c r="G66" s="152" t="inlineStr">
        <is>
          <t>SARS customs, by office</t>
        </is>
      </c>
      <c r="H66" s="152" t="inlineStr"/>
      <c r="I66" s="152" t="inlineStr">
        <is>
          <t>Falling since 2022. Diesel and petrol together were 0.5% of petrol and diesel imports in 2025.</t>
        </is>
      </c>
    </row>
    <row r="67">
      <c r="A67" s="152" t="inlineStr">
        <is>
          <t>Petrol imported by road from Mozambique</t>
        </is>
      </c>
      <c r="B67" s="152" t="inlineStr">
        <is>
          <t>Maputo and Matola, through Komatipoort</t>
        </is>
      </c>
      <c r="C67" s="152" t="inlineStr">
        <is>
          <t>0.039; 0.031; 0.039; 0.029; 0.000; 0.001; 0.004</t>
        </is>
      </c>
      <c r="D67" s="152" t="inlineStr">
        <is>
          <t>billion litres</t>
        </is>
      </c>
      <c r="E67" s="152" t="inlineStr">
        <is>
          <t>2019; 2020; 2021; 2022; 2023; 2024; 2025</t>
        </is>
      </c>
      <c r="F67" s="152" t="inlineStr">
        <is>
          <t>observed</t>
        </is>
      </c>
      <c r="G67" s="152" t="inlineStr">
        <is>
          <t>SARS customs, by office</t>
        </is>
      </c>
      <c r="H67" s="152" t="inlineStr"/>
      <c r="I67" s="152" t="inlineStr">
        <is>
          <t>Small and almost nil since 2023.</t>
        </is>
      </c>
    </row>
    <row r="68">
      <c r="A68" s="152" t="inlineStr">
        <is>
          <t>Petrol and diesel imported through Namibian and Botswanan border posts</t>
        </is>
      </c>
      <c r="B68" s="152" t="inlineStr">
        <is>
          <t>Walvis Bay and the Trans-Kalahari road</t>
        </is>
      </c>
      <c r="C68" s="152" t="inlineStr">
        <is>
          <t>0.00 in every year</t>
        </is>
      </c>
      <c r="D68" s="152" t="inlineStr">
        <is>
          <t>billion litres</t>
        </is>
      </c>
      <c r="E68" s="152" t="inlineStr">
        <is>
          <t>2019-2025</t>
        </is>
      </c>
      <c r="F68" s="152" t="inlineStr">
        <is>
          <t>observed</t>
        </is>
      </c>
      <c r="G68" s="152" t="inlineStr">
        <is>
          <t>SARS customs, by office</t>
        </is>
      </c>
      <c r="H68" s="152" t="inlineStr"/>
      <c r="I68" s="152" t="inlineStr">
        <is>
          <t>Nakop (Narogas), Kopfontein, Skilpadshek, Groblersbrug and Ramatlabama record none. The route is not used for supply into South Africa.</t>
        </is>
      </c>
    </row>
    <row r="69">
      <c r="A69" s="152" t="inlineStr">
        <is>
          <t>Diesel and petrol storage planned at Walvis Bay</t>
        </is>
      </c>
      <c r="B69" s="152" t="inlineStr">
        <is>
          <t>Walvis Bay, national fuel storage facility</t>
        </is>
      </c>
      <c r="C69" s="152" t="inlineStr">
        <is>
          <t>45 diesel; 20 petrol</t>
        </is>
      </c>
      <c r="D69" s="152" t="inlineStr">
        <is>
          <t>million litres</t>
        </is>
      </c>
      <c r="E69" s="152" t="inlineStr">
        <is>
          <t>as planned; news item undated</t>
        </is>
      </c>
      <c r="F69" s="152" t="inlineStr">
        <is>
          <t>observed</t>
        </is>
      </c>
      <c r="G69" s="152" t="inlineStr">
        <is>
          <t>Namibian Ports Authority news item</t>
        </is>
      </c>
      <c r="H69" s="152" t="inlineStr"/>
      <c r="I69" s="152" t="inlineStr">
        <is>
          <t>Of 75 million litres in all; the rest is fuel oil and aviation fuel. Built for Namibia's own supply. Current operating capacity not confirmed.</t>
        </is>
      </c>
    </row>
    <row r="70">
      <c r="A70" s="152" t="inlineStr">
        <is>
          <t>Petrol and diesel storage at Matola</t>
        </is>
      </c>
      <c r="B70" s="152" t="inlineStr">
        <is>
          <t>Galp and IPG terminal, Matola</t>
        </is>
      </c>
      <c r="C70" s="152" t="inlineStr">
        <is>
          <t>40,000 diesel; 20,000 petrol</t>
        </is>
      </c>
      <c r="D70" s="152" t="inlineStr">
        <is>
          <t>m3</t>
        </is>
      </c>
      <c r="E70" s="152" t="inlineStr">
        <is>
          <t>as on the page, 2026</t>
        </is>
      </c>
      <c r="F70" s="152" t="inlineStr">
        <is>
          <t>observed</t>
        </is>
      </c>
      <c r="G70" s="152" t="inlineStr">
        <is>
          <t>Galp, Mozambique logistics page</t>
        </is>
      </c>
      <c r="H70" s="152" t="inlineStr"/>
      <c r="I70" s="152" t="inlineStr">
        <is>
          <t>One terminal only. It loads road tankers and rail tank wagons. Other Matola terminals are not pursued (Manish, 9 October).</t>
        </is>
      </c>
    </row>
    <row r="71">
      <c r="A71" s="162" t="inlineStr">
        <is>
          <t>Road rate and border cost, Matola to Gauteng</t>
        </is>
      </c>
      <c r="B71" s="162" t="inlineStr">
        <is>
          <t>Maputo and Matola, through Komatipoort</t>
        </is>
      </c>
      <c r="C71" s="162" t="inlineStr">
        <is>
          <t>Not available</t>
        </is>
      </c>
      <c r="D71" s="162" t="inlineStr">
        <is>
          <t>cents a litre</t>
        </is>
      </c>
      <c r="E71" s="162" t="inlineStr"/>
      <c r="F71" s="162" t="inlineStr">
        <is>
          <t>not available</t>
        </is>
      </c>
      <c r="G71" s="162" t="inlineStr">
        <is>
          <t>None public</t>
        </is>
      </c>
      <c r="H71" s="162" t="inlineStr"/>
      <c r="I71" s="162" t="inlineStr">
        <is>
          <t>Needed for a matched delivered cost. Needs a haulier or Vopak.</t>
        </is>
      </c>
    </row>
    <row r="72">
      <c r="A72" s="162" t="inlineStr">
        <is>
          <t>Petrol and diesel supplied inland by Natref and Secunda</t>
        </is>
      </c>
      <c r="B72" s="162" t="inlineStr">
        <is>
          <t>Sasolburg and Secunda</t>
        </is>
      </c>
      <c r="C72" s="162" t="inlineStr">
        <is>
          <t>Not available</t>
        </is>
      </c>
      <c r="D72" s="162" t="inlineStr">
        <is>
          <t>billion litres</t>
        </is>
      </c>
      <c r="E72" s="162" t="inlineStr"/>
      <c r="F72" s="162" t="inlineStr">
        <is>
          <t>not started</t>
        </is>
      </c>
      <c r="G72" s="162" t="inlineStr">
        <is>
          <t>None found</t>
        </is>
      </c>
      <c r="H72" s="162" t="inlineStr"/>
      <c r="I72" s="162" t="inlineStr">
        <is>
          <t>No production by product after 2021. Belongs with DR08.</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50" customWidth="1" min="15" max="15"/>
    <col width="52" customWidth="1" min="16" max="16"/>
  </cols>
  <sheetData>
    <row r="1">
      <c r="A1" s="149" t="inlineStr">
        <is>
          <t>DR04 Where petrol and diesel imports enter</t>
        </is>
      </c>
    </row>
    <row r="2">
      <c r="A2" s="1" t="inlineStr">
        <is>
          <t>Billion litres, calendar years. Petrol and diesel only. The office is where the fuel was cleared through customs: the nearest public record of the entry point, not a berth or terminal record.</t>
        </is>
      </c>
    </row>
    <row r="4">
      <c r="A4" s="150" t="inlineStr">
        <is>
          <t>Entry point</t>
        </is>
      </c>
      <c r="B4" s="150" t="inlineStr">
        <is>
          <t>Route</t>
        </is>
      </c>
      <c r="C4" s="150" t="n">
        <v>2014</v>
      </c>
      <c r="D4" s="150" t="n">
        <v>2015</v>
      </c>
      <c r="E4" s="150" t="n">
        <v>2016</v>
      </c>
      <c r="F4" s="150" t="n">
        <v>2017</v>
      </c>
      <c r="G4" s="150" t="n">
        <v>2018</v>
      </c>
      <c r="H4" s="150" t="n">
        <v>2019</v>
      </c>
      <c r="I4" s="150" t="n">
        <v>2020</v>
      </c>
      <c r="J4" s="150" t="n">
        <v>2021</v>
      </c>
      <c r="K4" s="150" t="n">
        <v>2022</v>
      </c>
      <c r="L4" s="150" t="n">
        <v>2023</v>
      </c>
      <c r="M4" s="150" t="n">
        <v>2024</v>
      </c>
      <c r="N4" s="150" t="n">
        <v>2025</v>
      </c>
      <c r="O4" s="150" t="inlineStr">
        <is>
          <t>Source</t>
        </is>
      </c>
      <c r="P4" s="150" t="inlineStr">
        <is>
          <t>Note</t>
        </is>
      </c>
    </row>
    <row r="5">
      <c r="A5" s="151" t="inlineStr">
        <is>
          <t>Diesel</t>
        </is>
      </c>
      <c r="B5" s="151" t="n"/>
      <c r="C5" s="151" t="n"/>
      <c r="D5" s="151" t="n"/>
      <c r="E5" s="151" t="n"/>
      <c r="F5" s="151" t="n"/>
      <c r="G5" s="151" t="n"/>
      <c r="H5" s="151" t="n"/>
      <c r="I5" s="151" t="n"/>
      <c r="J5" s="151" t="n"/>
      <c r="K5" s="151" t="n"/>
      <c r="L5" s="151" t="n"/>
      <c r="M5" s="151" t="n"/>
      <c r="N5" s="151" t="n"/>
      <c r="O5" s="151" t="n"/>
      <c r="P5" s="151" t="n"/>
    </row>
    <row r="6">
      <c r="A6" s="170" t="inlineStr">
        <is>
          <t>Durban</t>
        </is>
      </c>
      <c r="B6" s="170" t="inlineStr">
        <is>
          <t>Sea</t>
        </is>
      </c>
      <c r="C6" s="171" t="n">
        <v>3.40129340791</v>
      </c>
      <c r="D6" s="171" t="n">
        <v>4.042700255</v>
      </c>
      <c r="E6" s="171" t="n">
        <v>3.44135703988</v>
      </c>
      <c r="F6" s="171" t="n">
        <v>4.876537276</v>
      </c>
      <c r="G6" s="171" t="n">
        <v>3.98590410655</v>
      </c>
      <c r="H6" s="171" t="n">
        <v>3.80914333</v>
      </c>
      <c r="I6" s="171" t="n">
        <v>3.825937678</v>
      </c>
      <c r="J6" s="171" t="n">
        <v>5.83487318</v>
      </c>
      <c r="K6" s="171" t="n">
        <v>7.88124800634</v>
      </c>
      <c r="L6" s="171" t="n">
        <v>9.125036510419999</v>
      </c>
      <c r="M6" s="171" t="n">
        <v>8.03288993764</v>
      </c>
      <c r="N6" s="171" t="n">
        <v>8.931535440639999</v>
      </c>
      <c r="O6" s="172" t="inlineStr">
        <is>
          <t>SARS customs, imports by office of clearance (fuel_trade_sars_by_office.csv)</t>
        </is>
      </c>
      <c r="P6" s="172" t="inlineStr">
        <is>
          <t>Includes fuel for the inland pipeline and for the coast.</t>
        </is>
      </c>
    </row>
    <row r="7">
      <c r="A7" s="170" t="inlineStr">
        <is>
          <t>Cape Town</t>
        </is>
      </c>
      <c r="B7" s="170" t="inlineStr">
        <is>
          <t>Sea</t>
        </is>
      </c>
      <c r="C7" s="171" t="n">
        <v>0.563485067</v>
      </c>
      <c r="D7" s="171" t="n">
        <v>0.996642134</v>
      </c>
      <c r="E7" s="171" t="n">
        <v>0.214951975</v>
      </c>
      <c r="F7" s="171" t="n">
        <v>0.39464311319</v>
      </c>
      <c r="G7" s="171" t="n">
        <v>0.5131333877200001</v>
      </c>
      <c r="H7" s="171" t="n">
        <v>0.6015612915299999</v>
      </c>
      <c r="I7" s="171" t="n">
        <v>1.842722376</v>
      </c>
      <c r="J7" s="171" t="n">
        <v>2.350715322</v>
      </c>
      <c r="K7" s="171" t="n">
        <v>2.485097027</v>
      </c>
      <c r="L7" s="171" t="n">
        <v>1.387584117</v>
      </c>
      <c r="M7" s="171" t="n">
        <v>0.957476429</v>
      </c>
      <c r="N7" s="171" t="n">
        <v>1.335392185</v>
      </c>
      <c r="O7" s="172" t="inlineStr">
        <is>
          <t>SARS customs, imports by office of clearance (fuel_trade_sars_by_office.csv)</t>
        </is>
      </c>
      <c r="P7" s="172" t="inlineStr"/>
    </row>
    <row r="8">
      <c r="A8" s="170" t="inlineStr">
        <is>
          <t>Mossel Bay</t>
        </is>
      </c>
      <c r="B8" s="170" t="inlineStr">
        <is>
          <t>Sea</t>
        </is>
      </c>
      <c r="C8" s="171" t="n">
        <v>0.770853449</v>
      </c>
      <c r="D8" s="171" t="n">
        <v>0.951908118</v>
      </c>
      <c r="E8" s="171" t="n">
        <v>0.39227171302</v>
      </c>
      <c r="F8" s="171" t="n">
        <v>0.290250522</v>
      </c>
      <c r="G8" s="171" t="n">
        <v>0.138237059</v>
      </c>
      <c r="H8" s="171" t="n">
        <v>0.713752548</v>
      </c>
      <c r="I8" s="171" t="n">
        <v>0.400193929</v>
      </c>
      <c r="J8" s="171" t="n">
        <v>0.674675826</v>
      </c>
      <c r="K8" s="171" t="n">
        <v>0.56689834524</v>
      </c>
      <c r="L8" s="171" t="n">
        <v>1.093150604</v>
      </c>
      <c r="M8" s="171" t="n">
        <v>0.573384652</v>
      </c>
      <c r="N8" s="171" t="n">
        <v>0.521797795</v>
      </c>
      <c r="O8" s="172" t="inlineStr">
        <is>
          <t>SARS customs, imports by office of clearance (fuel_trade_sars_by_office.csv)</t>
        </is>
      </c>
      <c r="P8" s="172" t="inlineStr"/>
    </row>
    <row r="9">
      <c r="A9" s="170" t="inlineStr">
        <is>
          <t>East London</t>
        </is>
      </c>
      <c r="B9" s="170" t="inlineStr">
        <is>
          <t>Sea</t>
        </is>
      </c>
      <c r="C9" s="171" t="n">
        <v>0.059488792</v>
      </c>
      <c r="D9" s="171" t="n">
        <v>0.10177180707</v>
      </c>
      <c r="E9" s="171" t="n">
        <v>0.07380239</v>
      </c>
      <c r="F9" s="171" t="n">
        <v>0.0834004894</v>
      </c>
      <c r="G9" s="171" t="n">
        <v>0.06618653100000001</v>
      </c>
      <c r="H9" s="171" t="n">
        <v>0.07354029300000001</v>
      </c>
      <c r="I9" s="171" t="n">
        <v>0.19997504</v>
      </c>
      <c r="J9" s="171" t="n">
        <v>0.206861973</v>
      </c>
      <c r="K9" s="171" t="n">
        <v>0.189680792</v>
      </c>
      <c r="L9" s="171" t="n">
        <v>0.351388819</v>
      </c>
      <c r="M9" s="171" t="n">
        <v>0.51376771</v>
      </c>
      <c r="N9" s="171" t="n">
        <v>0.403307375</v>
      </c>
      <c r="O9" s="172" t="inlineStr">
        <is>
          <t>SARS customs, imports by office of clearance (fuel_trade_sars_by_office.csv)</t>
        </is>
      </c>
      <c r="P9" s="172" t="inlineStr"/>
    </row>
    <row r="10">
      <c r="A10" s="170" t="inlineStr">
        <is>
          <t>Port Elizabeth</t>
        </is>
      </c>
      <c r="B10" s="170" t="inlineStr">
        <is>
          <t>Sea</t>
        </is>
      </c>
      <c r="C10" s="171" t="n">
        <v>0.045097549</v>
      </c>
      <c r="D10" s="171" t="n">
        <v>0.09579346198000001</v>
      </c>
      <c r="E10" s="171" t="n">
        <v>0.06197985031</v>
      </c>
      <c r="F10" s="171" t="n">
        <v>0.05229008</v>
      </c>
      <c r="G10" s="171" t="n">
        <v>0.09921999692</v>
      </c>
      <c r="H10" s="171" t="n">
        <v>0.08568754889000001</v>
      </c>
      <c r="I10" s="171" t="n">
        <v>0.191707363</v>
      </c>
      <c r="J10" s="171" t="n">
        <v>0.2561779</v>
      </c>
      <c r="K10" s="171" t="n">
        <v>0.225130346</v>
      </c>
      <c r="L10" s="171" t="n">
        <v>0.336667375</v>
      </c>
      <c r="M10" s="171" t="n">
        <v>0.137698441</v>
      </c>
      <c r="N10" s="171" t="n">
        <v>0.31335745393</v>
      </c>
      <c r="O10" s="172" t="inlineStr">
        <is>
          <t>SARS customs, imports by office of clearance (fuel_trade_sars_by_office.csv)</t>
        </is>
      </c>
      <c r="P10" s="172" t="inlineStr"/>
    </row>
    <row r="11">
      <c r="A11" s="170" t="inlineStr">
        <is>
          <t>Richards Bay</t>
        </is>
      </c>
      <c r="B11" s="170" t="inlineStr">
        <is>
          <t>Sea</t>
        </is>
      </c>
      <c r="C11" s="171" t="n">
        <v>0</v>
      </c>
      <c r="D11" s="171" t="n">
        <v>0</v>
      </c>
      <c r="E11" s="171" t="n">
        <v>0</v>
      </c>
      <c r="F11" s="171" t="n">
        <v>0.105714823</v>
      </c>
      <c r="G11" s="171" t="n">
        <v>0.091830959</v>
      </c>
      <c r="H11" s="171" t="n">
        <v>0.093812929</v>
      </c>
      <c r="I11" s="171" t="n">
        <v>0.146792846</v>
      </c>
      <c r="J11" s="171" t="n">
        <v>0.234036815</v>
      </c>
      <c r="K11" s="171" t="n">
        <v>0.331319789</v>
      </c>
      <c r="L11" s="171" t="n">
        <v>0.320766702</v>
      </c>
      <c r="M11" s="171" t="n">
        <v>0.390782477</v>
      </c>
      <c r="N11" s="171" t="n">
        <v>0.6579146</v>
      </c>
      <c r="O11" s="172" t="inlineStr">
        <is>
          <t>SARS customs, imports by office of clearance (fuel_trade_sars_by_office.csv)</t>
        </is>
      </c>
      <c r="P11" s="172" t="inlineStr"/>
    </row>
    <row r="12">
      <c r="A12" s="170" t="inlineStr">
        <is>
          <t>Komatipoort</t>
        </is>
      </c>
      <c r="B12" s="170" t="inlineStr">
        <is>
          <t>Road, from Mozambique</t>
        </is>
      </c>
      <c r="C12" s="171" t="n">
        <v>0.151062295</v>
      </c>
      <c r="D12" s="171" t="n">
        <v>0.25728800257</v>
      </c>
      <c r="E12" s="171" t="n">
        <v>0.236796023</v>
      </c>
      <c r="F12" s="171" t="n">
        <v>0.23388003104</v>
      </c>
      <c r="G12" s="171" t="n">
        <v>0.22802977396</v>
      </c>
      <c r="H12" s="171" t="n">
        <v>0.21272690407</v>
      </c>
      <c r="I12" s="171" t="n">
        <v>0.20753876099</v>
      </c>
      <c r="J12" s="171" t="n">
        <v>0.20133574</v>
      </c>
      <c r="K12" s="171" t="n">
        <v>0.27415852432</v>
      </c>
      <c r="L12" s="171" t="n">
        <v>0.254570839</v>
      </c>
      <c r="M12" s="171" t="n">
        <v>0.18582006085</v>
      </c>
      <c r="N12" s="171" t="n">
        <v>0.08202250600000001</v>
      </c>
      <c r="O12" s="172" t="inlineStr">
        <is>
          <t>SARS customs, imports by office of clearance (fuel_trade_sars_by_office.csv)</t>
        </is>
      </c>
      <c r="P12" s="172" t="inlineStr">
        <is>
          <t>The only recorded entry from the Maputo and Matola side.</t>
        </is>
      </c>
    </row>
    <row r="13">
      <c r="A13" s="170" t="inlineStr">
        <is>
          <t>Other offices</t>
        </is>
      </c>
      <c r="B13" s="170" t="inlineStr">
        <is>
          <t>Land borders and inland offices</t>
        </is>
      </c>
      <c r="C13" s="171" t="n">
        <v>0.00043176669</v>
      </c>
      <c r="D13" s="171" t="n">
        <v>0.00467525594</v>
      </c>
      <c r="E13" s="171" t="n">
        <v>0.00313597368</v>
      </c>
      <c r="F13" s="171" t="n">
        <v>0.00074357618</v>
      </c>
      <c r="G13" s="171" t="n">
        <v>0.00041767239</v>
      </c>
      <c r="H13" s="171" t="n">
        <v>4.726407e-05</v>
      </c>
      <c r="I13" s="171" t="n">
        <v>0.00011745485</v>
      </c>
      <c r="J13" s="171" t="n">
        <v>0.00271854974</v>
      </c>
      <c r="K13" s="171" t="n">
        <v>0.000723718</v>
      </c>
      <c r="L13" s="171" t="n">
        <v>0.00086713425</v>
      </c>
      <c r="M13" s="171" t="n">
        <v>0.00072742656</v>
      </c>
      <c r="N13" s="171" t="n">
        <v>0.0033929065</v>
      </c>
      <c r="O13" s="172" t="inlineStr">
        <is>
          <t>SARS customs, imports by office of clearance (fuel_trade_sars_by_office.csv)</t>
        </is>
      </c>
      <c r="P13" s="172" t="inlineStr"/>
    </row>
    <row r="14">
      <c r="A14" s="173" t="inlineStr">
        <is>
          <t>All offices</t>
        </is>
      </c>
      <c r="B14" s="176" t="n"/>
      <c r="C14" s="174">
        <f>SUM(C6:C13)</f>
        <v/>
      </c>
      <c r="D14" s="174">
        <f>SUM(D6:D13)</f>
        <v/>
      </c>
      <c r="E14" s="174">
        <f>SUM(E6:E13)</f>
        <v/>
      </c>
      <c r="F14" s="174">
        <f>SUM(F6:F13)</f>
        <v/>
      </c>
      <c r="G14" s="174">
        <f>SUM(G6:G13)</f>
        <v/>
      </c>
      <c r="H14" s="174">
        <f>SUM(H6:H13)</f>
        <v/>
      </c>
      <c r="I14" s="174">
        <f>SUM(I6:I13)</f>
        <v/>
      </c>
      <c r="J14" s="174">
        <f>SUM(J6:J13)</f>
        <v/>
      </c>
      <c r="K14" s="174">
        <f>SUM(K6:K13)</f>
        <v/>
      </c>
      <c r="L14" s="174">
        <f>SUM(L6:L13)</f>
        <v/>
      </c>
      <c r="M14" s="174">
        <f>SUM(M6:M13)</f>
        <v/>
      </c>
      <c r="N14" s="174">
        <f>SUM(N6:N13)</f>
        <v/>
      </c>
      <c r="O14" s="175" t="inlineStr">
        <is>
          <t>Sum of the rows above; equals SARS national imports on the History sheet</t>
        </is>
      </c>
      <c r="P14" s="175" t="n"/>
    </row>
    <row r="15">
      <c r="A15" s="176" t="inlineStr">
        <is>
          <t>Durban share</t>
        </is>
      </c>
      <c r="B15" s="176" t="n"/>
      <c r="C15" s="184">
        <f>IF(C14=0,"",C6/C14)</f>
        <v/>
      </c>
      <c r="D15" s="184">
        <f>IF(D14=0,"",D6/D14)</f>
        <v/>
      </c>
      <c r="E15" s="184">
        <f>IF(E14=0,"",E6/E14)</f>
        <v/>
      </c>
      <c r="F15" s="184">
        <f>IF(F14=0,"",F6/F14)</f>
        <v/>
      </c>
      <c r="G15" s="184">
        <f>IF(G14=0,"",G6/G14)</f>
        <v/>
      </c>
      <c r="H15" s="184">
        <f>IF(H14=0,"",H6/H14)</f>
        <v/>
      </c>
      <c r="I15" s="184">
        <f>IF(I14=0,"",I6/I14)</f>
        <v/>
      </c>
      <c r="J15" s="184">
        <f>IF(J14=0,"",J6/J14)</f>
        <v/>
      </c>
      <c r="K15" s="184">
        <f>IF(K14=0,"",K6/K14)</f>
        <v/>
      </c>
      <c r="L15" s="184">
        <f>IF(L14=0,"",L6/L14)</f>
        <v/>
      </c>
      <c r="M15" s="184">
        <f>IF(M14=0,"",M6/M14)</f>
        <v/>
      </c>
      <c r="N15" s="184">
        <f>IF(N14=0,"",N6/N14)</f>
        <v/>
      </c>
      <c r="O15" s="175" t="inlineStr">
        <is>
          <t>Calculated: Durban over all offices</t>
        </is>
      </c>
      <c r="P15" s="175" t="n"/>
    </row>
    <row r="17">
      <c r="A17" s="151" t="inlineStr">
        <is>
          <t>Petrol</t>
        </is>
      </c>
      <c r="B17" s="151" t="n"/>
      <c r="C17" s="151" t="n"/>
      <c r="D17" s="151" t="n"/>
      <c r="E17" s="151" t="n"/>
      <c r="F17" s="151" t="n"/>
      <c r="G17" s="151" t="n"/>
      <c r="H17" s="151" t="n"/>
      <c r="I17" s="151" t="n"/>
      <c r="J17" s="151" t="n"/>
      <c r="K17" s="151" t="n"/>
      <c r="L17" s="151" t="n"/>
      <c r="M17" s="151" t="n"/>
      <c r="N17" s="151" t="n"/>
      <c r="O17" s="151" t="n"/>
      <c r="P17" s="151" t="n"/>
    </row>
    <row r="18">
      <c r="A18" s="170" t="inlineStr">
        <is>
          <t>Durban</t>
        </is>
      </c>
      <c r="B18" s="170" t="inlineStr">
        <is>
          <t>Sea</t>
        </is>
      </c>
      <c r="C18" s="171" t="n">
        <v>0.85247094</v>
      </c>
      <c r="D18" s="171" t="n">
        <v>1.44254280764</v>
      </c>
      <c r="E18" s="171" t="n">
        <v>1.13647002436</v>
      </c>
      <c r="F18" s="171" t="n">
        <v>1.72928571202</v>
      </c>
      <c r="G18" s="171" t="n">
        <v>1.53643879</v>
      </c>
      <c r="H18" s="171" t="n">
        <v>1.25634839252</v>
      </c>
      <c r="I18" s="171" t="n">
        <v>0.664092731</v>
      </c>
      <c r="J18" s="171" t="n">
        <v>2.436564685</v>
      </c>
      <c r="K18" s="171" t="n">
        <v>3.882669362</v>
      </c>
      <c r="L18" s="171" t="n">
        <v>4.165599231</v>
      </c>
      <c r="M18" s="171" t="n">
        <v>3.804725224</v>
      </c>
      <c r="N18" s="171" t="n">
        <v>4.228979739</v>
      </c>
      <c r="O18" s="172" t="inlineStr">
        <is>
          <t>SARS customs, imports by office of clearance (fuel_trade_sars_by_office.csv)</t>
        </is>
      </c>
      <c r="P18" s="172" t="inlineStr">
        <is>
          <t>Includes fuel for the inland pipeline and for the coast.</t>
        </is>
      </c>
    </row>
    <row r="19">
      <c r="A19" s="170" t="inlineStr">
        <is>
          <t>Cape Town</t>
        </is>
      </c>
      <c r="B19" s="170" t="inlineStr">
        <is>
          <t>Sea</t>
        </is>
      </c>
      <c r="C19" s="171" t="n">
        <v>0.187501032</v>
      </c>
      <c r="D19" s="171" t="n">
        <v>0.262594189</v>
      </c>
      <c r="E19" s="171" t="n">
        <v>0.058894374</v>
      </c>
      <c r="F19" s="171" t="n">
        <v>0.21050907424</v>
      </c>
      <c r="G19" s="171" t="n">
        <v>0.18265634019</v>
      </c>
      <c r="H19" s="171" t="n">
        <v>0.11619285849</v>
      </c>
      <c r="I19" s="171" t="n">
        <v>1.0027419188</v>
      </c>
      <c r="J19" s="171" t="n">
        <v>1.431945116</v>
      </c>
      <c r="K19" s="171" t="n">
        <v>1.500340893</v>
      </c>
      <c r="L19" s="171" t="n">
        <v>0.233049258</v>
      </c>
      <c r="M19" s="171" t="n">
        <v>0.131091</v>
      </c>
      <c r="N19" s="171" t="n">
        <v>0.185597544</v>
      </c>
      <c r="O19" s="172" t="inlineStr">
        <is>
          <t>SARS customs, imports by office of clearance (fuel_trade_sars_by_office.csv)</t>
        </is>
      </c>
      <c r="P19" s="172" t="inlineStr"/>
    </row>
    <row r="20">
      <c r="A20" s="170" t="inlineStr">
        <is>
          <t>Mossel Bay</t>
        </is>
      </c>
      <c r="B20" s="170" t="inlineStr">
        <is>
          <t>Sea</t>
        </is>
      </c>
      <c r="C20" s="171" t="n">
        <v>0</v>
      </c>
      <c r="D20" s="171" t="n">
        <v>0</v>
      </c>
      <c r="E20" s="171" t="n">
        <v>0.010228015</v>
      </c>
      <c r="F20" s="171" t="n">
        <v>0</v>
      </c>
      <c r="G20" s="171" t="n">
        <v>0</v>
      </c>
      <c r="H20" s="171" t="n">
        <v>0.046954148</v>
      </c>
      <c r="I20" s="171" t="n">
        <v>0</v>
      </c>
      <c r="J20" s="171" t="n">
        <v>0.099757575</v>
      </c>
      <c r="K20" s="171" t="n">
        <v>0.034555764</v>
      </c>
      <c r="L20" s="171" t="n">
        <v>0.068691824</v>
      </c>
      <c r="M20" s="171" t="n">
        <v>0.049694999</v>
      </c>
      <c r="N20" s="171" t="n">
        <v>0</v>
      </c>
      <c r="O20" s="172" t="inlineStr">
        <is>
          <t>SARS customs, imports by office of clearance (fuel_trade_sars_by_office.csv)</t>
        </is>
      </c>
      <c r="P20" s="172" t="inlineStr"/>
    </row>
    <row r="21">
      <c r="A21" s="170" t="inlineStr">
        <is>
          <t>East London</t>
        </is>
      </c>
      <c r="B21" s="170" t="inlineStr">
        <is>
          <t>Sea</t>
        </is>
      </c>
      <c r="C21" s="171" t="n">
        <v>0.069111017</v>
      </c>
      <c r="D21" s="171" t="n">
        <v>0.10173686088</v>
      </c>
      <c r="E21" s="171" t="n">
        <v>0.08370649099999999</v>
      </c>
      <c r="F21" s="171" t="n">
        <v>0.06964011619</v>
      </c>
      <c r="G21" s="171" t="n">
        <v>0.018334526</v>
      </c>
      <c r="H21" s="171" t="n">
        <v>0</v>
      </c>
      <c r="I21" s="171" t="n">
        <v>0.0118587</v>
      </c>
      <c r="J21" s="171" t="n">
        <v>0</v>
      </c>
      <c r="K21" s="171" t="n">
        <v>0.005168638</v>
      </c>
      <c r="L21" s="171" t="n">
        <v>0.008596477</v>
      </c>
      <c r="M21" s="171" t="n">
        <v>0.01313950301</v>
      </c>
      <c r="N21" s="171" t="n">
        <v>0.031405816</v>
      </c>
      <c r="O21" s="172" t="inlineStr">
        <is>
          <t>SARS customs, imports by office of clearance (fuel_trade_sars_by_office.csv)</t>
        </is>
      </c>
      <c r="P21" s="172" t="inlineStr"/>
    </row>
    <row r="22">
      <c r="A22" s="170" t="inlineStr">
        <is>
          <t>Port Elizabeth</t>
        </is>
      </c>
      <c r="B22" s="170" t="inlineStr">
        <is>
          <t>Sea</t>
        </is>
      </c>
      <c r="C22" s="171" t="n">
        <v>0.04104864063</v>
      </c>
      <c r="D22" s="171" t="n">
        <v>0.06273817831</v>
      </c>
      <c r="E22" s="171" t="n">
        <v>0.07059936554</v>
      </c>
      <c r="F22" s="171" t="n">
        <v>0.01998260759</v>
      </c>
      <c r="G22" s="171" t="n">
        <v>0.01489263246</v>
      </c>
      <c r="H22" s="171" t="n">
        <v>0.00108430111</v>
      </c>
      <c r="I22" s="171" t="n">
        <v>0.0007748566800000001</v>
      </c>
      <c r="J22" s="171" t="n">
        <v>0.0007812402099999999</v>
      </c>
      <c r="K22" s="171" t="n">
        <v>0.00371315593</v>
      </c>
      <c r="L22" s="171" t="n">
        <v>0.00670979238</v>
      </c>
      <c r="M22" s="171" t="n">
        <v>0.00119405589</v>
      </c>
      <c r="N22" s="171" t="n">
        <v>0.00306974015</v>
      </c>
      <c r="O22" s="172" t="inlineStr">
        <is>
          <t>SARS customs, imports by office of clearance (fuel_trade_sars_by_office.csv)</t>
        </is>
      </c>
      <c r="P22" s="172" t="inlineStr"/>
    </row>
    <row r="23">
      <c r="A23" s="170" t="inlineStr">
        <is>
          <t>Richards Bay</t>
        </is>
      </c>
      <c r="B23" s="170" t="inlineStr">
        <is>
          <t>Sea</t>
        </is>
      </c>
      <c r="C23" s="171" t="n">
        <v>0</v>
      </c>
      <c r="D23" s="171" t="n">
        <v>0</v>
      </c>
      <c r="E23" s="171" t="n">
        <v>0</v>
      </c>
      <c r="F23" s="171" t="n">
        <v>0.038417234</v>
      </c>
      <c r="G23" s="171" t="n">
        <v>0.03354092</v>
      </c>
      <c r="H23" s="171" t="n">
        <v>0.018129952</v>
      </c>
      <c r="I23" s="171" t="n">
        <v>0.009266228</v>
      </c>
      <c r="J23" s="171" t="n">
        <v>0</v>
      </c>
      <c r="K23" s="171" t="n">
        <v>0</v>
      </c>
      <c r="L23" s="171" t="n">
        <v>0</v>
      </c>
      <c r="M23" s="171" t="n">
        <v>0</v>
      </c>
      <c r="N23" s="171" t="n">
        <v>0</v>
      </c>
      <c r="O23" s="172" t="inlineStr">
        <is>
          <t>SARS customs, imports by office of clearance (fuel_trade_sars_by_office.csv)</t>
        </is>
      </c>
      <c r="P23" s="172" t="inlineStr"/>
    </row>
    <row r="24">
      <c r="A24" s="170" t="inlineStr">
        <is>
          <t>Komatipoort</t>
        </is>
      </c>
      <c r="B24" s="170" t="inlineStr">
        <is>
          <t>Road, from Mozambique</t>
        </is>
      </c>
      <c r="C24" s="171" t="n">
        <v>0</v>
      </c>
      <c r="D24" s="171" t="n">
        <v>0</v>
      </c>
      <c r="E24" s="171" t="n">
        <v>0.0346726134</v>
      </c>
      <c r="F24" s="171" t="n">
        <v>0.046040565</v>
      </c>
      <c r="G24" s="171" t="n">
        <v>0.04390319</v>
      </c>
      <c r="H24" s="171" t="n">
        <v>0.03866750897</v>
      </c>
      <c r="I24" s="171" t="n">
        <v>0.030842959</v>
      </c>
      <c r="J24" s="171" t="n">
        <v>0.039454367</v>
      </c>
      <c r="K24" s="171" t="n">
        <v>0.028805741</v>
      </c>
      <c r="L24" s="171" t="n">
        <v>0.000125422</v>
      </c>
      <c r="M24" s="171" t="n">
        <v>0.001009567</v>
      </c>
      <c r="N24" s="171" t="n">
        <v>0.004416485</v>
      </c>
      <c r="O24" s="172" t="inlineStr">
        <is>
          <t>SARS customs, imports by office of clearance (fuel_trade_sars_by_office.csv)</t>
        </is>
      </c>
      <c r="P24" s="172" t="inlineStr">
        <is>
          <t>The only recorded entry from the Maputo and Matola side.</t>
        </is>
      </c>
    </row>
    <row r="25">
      <c r="A25" s="170" t="inlineStr">
        <is>
          <t>Other offices</t>
        </is>
      </c>
      <c r="B25" s="170" t="inlineStr">
        <is>
          <t>Land borders and inland offices</t>
        </is>
      </c>
      <c r="C25" s="171" t="n">
        <v>6.319224e-05</v>
      </c>
      <c r="D25" s="171" t="n">
        <v>3.317238e-05</v>
      </c>
      <c r="E25" s="171" t="n">
        <v>0.0010675928</v>
      </c>
      <c r="F25" s="171" t="n">
        <v>0.0002811756</v>
      </c>
      <c r="G25" s="171" t="n">
        <v>4.86485e-06</v>
      </c>
      <c r="H25" s="171" t="n">
        <v>8.68e-06</v>
      </c>
      <c r="I25" s="171" t="n">
        <v>9.5671e-05</v>
      </c>
      <c r="J25" s="171" t="n">
        <v>0.00010978057</v>
      </c>
      <c r="K25" s="171" t="n">
        <v>8.26079e-06</v>
      </c>
      <c r="L25" s="171" t="n">
        <v>2.756e-06</v>
      </c>
      <c r="M25" s="171" t="n">
        <v>8.455e-08</v>
      </c>
      <c r="N25" s="171" t="n">
        <v>1.854e-06</v>
      </c>
      <c r="O25" s="172" t="inlineStr">
        <is>
          <t>SARS customs, imports by office of clearance (fuel_trade_sars_by_office.csv)</t>
        </is>
      </c>
      <c r="P25" s="172" t="inlineStr"/>
    </row>
    <row r="26">
      <c r="A26" s="173" t="inlineStr">
        <is>
          <t>All offices</t>
        </is>
      </c>
      <c r="B26" s="176" t="n"/>
      <c r="C26" s="174">
        <f>SUM(C18:C25)</f>
        <v/>
      </c>
      <c r="D26" s="174">
        <f>SUM(D18:D25)</f>
        <v/>
      </c>
      <c r="E26" s="174">
        <f>SUM(E18:E25)</f>
        <v/>
      </c>
      <c r="F26" s="174">
        <f>SUM(F18:F25)</f>
        <v/>
      </c>
      <c r="G26" s="174">
        <f>SUM(G18:G25)</f>
        <v/>
      </c>
      <c r="H26" s="174">
        <f>SUM(H18:H25)</f>
        <v/>
      </c>
      <c r="I26" s="174">
        <f>SUM(I18:I25)</f>
        <v/>
      </c>
      <c r="J26" s="174">
        <f>SUM(J18:J25)</f>
        <v/>
      </c>
      <c r="K26" s="174">
        <f>SUM(K18:K25)</f>
        <v/>
      </c>
      <c r="L26" s="174">
        <f>SUM(L18:L25)</f>
        <v/>
      </c>
      <c r="M26" s="174">
        <f>SUM(M18:M25)</f>
        <v/>
      </c>
      <c r="N26" s="174">
        <f>SUM(N18:N25)</f>
        <v/>
      </c>
      <c r="O26" s="175" t="inlineStr">
        <is>
          <t>Sum of the rows above; equals SARS national imports on the History sheet</t>
        </is>
      </c>
      <c r="P26" s="175" t="n"/>
    </row>
    <row r="27">
      <c r="A27" s="176" t="inlineStr">
        <is>
          <t>Durban share</t>
        </is>
      </c>
      <c r="B27" s="176" t="n"/>
      <c r="C27" s="184">
        <f>IF(C26=0,"",C18/C26)</f>
        <v/>
      </c>
      <c r="D27" s="184">
        <f>IF(D26=0,"",D18/D26)</f>
        <v/>
      </c>
      <c r="E27" s="184">
        <f>IF(E26=0,"",E18/E26)</f>
        <v/>
      </c>
      <c r="F27" s="184">
        <f>IF(F26=0,"",F18/F26)</f>
        <v/>
      </c>
      <c r="G27" s="184">
        <f>IF(G26=0,"",G18/G26)</f>
        <v/>
      </c>
      <c r="H27" s="184">
        <f>IF(H26=0,"",H18/H26)</f>
        <v/>
      </c>
      <c r="I27" s="184">
        <f>IF(I26=0,"",I18/I26)</f>
        <v/>
      </c>
      <c r="J27" s="184">
        <f>IF(J26=0,"",J18/J26)</f>
        <v/>
      </c>
      <c r="K27" s="184">
        <f>IF(K26=0,"",K18/K26)</f>
        <v/>
      </c>
      <c r="L27" s="184">
        <f>IF(L26=0,"",L18/L26)</f>
        <v/>
      </c>
      <c r="M27" s="184">
        <f>IF(M26=0,"",M18/M26)</f>
        <v/>
      </c>
      <c r="N27" s="184">
        <f>IF(N26=0,"",N18/N26)</f>
        <v/>
      </c>
      <c r="O27" s="175" t="inlineStr">
        <is>
          <t>Calculated: Durban over all offices</t>
        </is>
      </c>
      <c r="P27" s="175" t="n"/>
    </row>
    <row r="29">
      <c r="A29" s="151" t="inlineStr">
        <is>
          <t>Diesel and petrol</t>
        </is>
      </c>
      <c r="B29" s="151" t="n"/>
      <c r="C29" s="151" t="n"/>
      <c r="D29" s="151" t="n"/>
      <c r="E29" s="151" t="n"/>
      <c r="F29" s="151" t="n"/>
      <c r="G29" s="151" t="n"/>
      <c r="H29" s="151" t="n"/>
      <c r="I29" s="151" t="n"/>
      <c r="J29" s="151" t="n"/>
      <c r="K29" s="151" t="n"/>
      <c r="L29" s="151" t="n"/>
      <c r="M29" s="151" t="n"/>
      <c r="N29" s="151" t="n"/>
      <c r="O29" s="151" t="n"/>
      <c r="P29" s="151" t="n"/>
    </row>
    <row r="30">
      <c r="A30" s="170" t="inlineStr">
        <is>
          <t>Durban</t>
        </is>
      </c>
      <c r="B30" s="170" t="inlineStr">
        <is>
          <t>Sea</t>
        </is>
      </c>
      <c r="C30" s="171" t="n">
        <v>4.25376434791</v>
      </c>
      <c r="D30" s="171" t="n">
        <v>5.48524306264</v>
      </c>
      <c r="E30" s="171" t="n">
        <v>4.57782706424</v>
      </c>
      <c r="F30" s="171" t="n">
        <v>6.60582298802</v>
      </c>
      <c r="G30" s="171" t="n">
        <v>5.522342896550001</v>
      </c>
      <c r="H30" s="171" t="n">
        <v>5.06549172252</v>
      </c>
      <c r="I30" s="171" t="n">
        <v>4.490030409</v>
      </c>
      <c r="J30" s="171" t="n">
        <v>8.271437864999999</v>
      </c>
      <c r="K30" s="171" t="n">
        <v>11.76391736834</v>
      </c>
      <c r="L30" s="171" t="n">
        <v>13.29063574142</v>
      </c>
      <c r="M30" s="171" t="n">
        <v>11.83761516164</v>
      </c>
      <c r="N30" s="171" t="n">
        <v>13.16051517964</v>
      </c>
      <c r="O30" s="172" t="inlineStr">
        <is>
          <t>SARS customs, imports by office of clearance (fuel_trade_sars_by_office.csv)</t>
        </is>
      </c>
      <c r="P30" s="172" t="inlineStr">
        <is>
          <t>Includes fuel for the inland pipeline and for the coast.</t>
        </is>
      </c>
    </row>
    <row r="31">
      <c r="A31" s="170" t="inlineStr">
        <is>
          <t>Cape Town</t>
        </is>
      </c>
      <c r="B31" s="170" t="inlineStr">
        <is>
          <t>Sea</t>
        </is>
      </c>
      <c r="C31" s="171" t="n">
        <v>0.750986099</v>
      </c>
      <c r="D31" s="171" t="n">
        <v>1.259236323</v>
      </c>
      <c r="E31" s="171" t="n">
        <v>0.273846349</v>
      </c>
      <c r="F31" s="171" t="n">
        <v>0.60515218743</v>
      </c>
      <c r="G31" s="171" t="n">
        <v>0.69578972791</v>
      </c>
      <c r="H31" s="171" t="n">
        <v>0.71775415002</v>
      </c>
      <c r="I31" s="171" t="n">
        <v>2.8454642948</v>
      </c>
      <c r="J31" s="171" t="n">
        <v>3.782660438</v>
      </c>
      <c r="K31" s="171" t="n">
        <v>3.98543792</v>
      </c>
      <c r="L31" s="171" t="n">
        <v>1.620633375</v>
      </c>
      <c r="M31" s="171" t="n">
        <v>1.088567429</v>
      </c>
      <c r="N31" s="171" t="n">
        <v>1.520989729</v>
      </c>
      <c r="O31" s="172" t="inlineStr">
        <is>
          <t>SARS customs, imports by office of clearance (fuel_trade_sars_by_office.csv)</t>
        </is>
      </c>
      <c r="P31" s="172" t="inlineStr"/>
    </row>
    <row r="32">
      <c r="A32" s="170" t="inlineStr">
        <is>
          <t>Mossel Bay</t>
        </is>
      </c>
      <c r="B32" s="170" t="inlineStr">
        <is>
          <t>Sea</t>
        </is>
      </c>
      <c r="C32" s="171" t="n">
        <v>0.770853449</v>
      </c>
      <c r="D32" s="171" t="n">
        <v>0.951908118</v>
      </c>
      <c r="E32" s="171" t="n">
        <v>0.4024997280199999</v>
      </c>
      <c r="F32" s="171" t="n">
        <v>0.290250522</v>
      </c>
      <c r="G32" s="171" t="n">
        <v>0.138237059</v>
      </c>
      <c r="H32" s="171" t="n">
        <v>0.760706696</v>
      </c>
      <c r="I32" s="171" t="n">
        <v>0.400193929</v>
      </c>
      <c r="J32" s="171" t="n">
        <v>0.774433401</v>
      </c>
      <c r="K32" s="171" t="n">
        <v>0.6014541092400001</v>
      </c>
      <c r="L32" s="171" t="n">
        <v>1.161842428</v>
      </c>
      <c r="M32" s="171" t="n">
        <v>0.623079651</v>
      </c>
      <c r="N32" s="171" t="n">
        <v>0.521797795</v>
      </c>
      <c r="O32" s="172" t="inlineStr">
        <is>
          <t>SARS customs, imports by office of clearance (fuel_trade_sars_by_office.csv)</t>
        </is>
      </c>
      <c r="P32" s="172" t="inlineStr"/>
    </row>
    <row r="33">
      <c r="A33" s="170" t="inlineStr">
        <is>
          <t>East London</t>
        </is>
      </c>
      <c r="B33" s="170" t="inlineStr">
        <is>
          <t>Sea</t>
        </is>
      </c>
      <c r="C33" s="171" t="n">
        <v>0.128599809</v>
      </c>
      <c r="D33" s="171" t="n">
        <v>0.20350866795</v>
      </c>
      <c r="E33" s="171" t="n">
        <v>0.157508881</v>
      </c>
      <c r="F33" s="171" t="n">
        <v>0.15304060559</v>
      </c>
      <c r="G33" s="171" t="n">
        <v>0.08452105700000001</v>
      </c>
      <c r="H33" s="171" t="n">
        <v>0.07354029300000001</v>
      </c>
      <c r="I33" s="171" t="n">
        <v>0.21183374</v>
      </c>
      <c r="J33" s="171" t="n">
        <v>0.206861973</v>
      </c>
      <c r="K33" s="171" t="n">
        <v>0.19484943</v>
      </c>
      <c r="L33" s="171" t="n">
        <v>0.359985296</v>
      </c>
      <c r="M33" s="171" t="n">
        <v>0.52690721301</v>
      </c>
      <c r="N33" s="171" t="n">
        <v>0.4347131910000001</v>
      </c>
      <c r="O33" s="172" t="inlineStr">
        <is>
          <t>SARS customs, imports by office of clearance (fuel_trade_sars_by_office.csv)</t>
        </is>
      </c>
      <c r="P33" s="172" t="inlineStr"/>
    </row>
    <row r="34">
      <c r="A34" s="170" t="inlineStr">
        <is>
          <t>Port Elizabeth</t>
        </is>
      </c>
      <c r="B34" s="170" t="inlineStr">
        <is>
          <t>Sea</t>
        </is>
      </c>
      <c r="C34" s="171" t="n">
        <v>0.08614618963000001</v>
      </c>
      <c r="D34" s="171" t="n">
        <v>0.15853164029</v>
      </c>
      <c r="E34" s="171" t="n">
        <v>0.13257921585</v>
      </c>
      <c r="F34" s="171" t="n">
        <v>0.07227268759</v>
      </c>
      <c r="G34" s="171" t="n">
        <v>0.11411262938</v>
      </c>
      <c r="H34" s="171" t="n">
        <v>0.08677185000000001</v>
      </c>
      <c r="I34" s="171" t="n">
        <v>0.19248221968</v>
      </c>
      <c r="J34" s="171" t="n">
        <v>0.25695914021</v>
      </c>
      <c r="K34" s="171" t="n">
        <v>0.22884350193</v>
      </c>
      <c r="L34" s="171" t="n">
        <v>0.34337716738</v>
      </c>
      <c r="M34" s="171" t="n">
        <v>0.13889249689</v>
      </c>
      <c r="N34" s="171" t="n">
        <v>0.31642719408</v>
      </c>
      <c r="O34" s="172" t="inlineStr">
        <is>
          <t>SARS customs, imports by office of clearance (fuel_trade_sars_by_office.csv)</t>
        </is>
      </c>
      <c r="P34" s="172" t="inlineStr"/>
    </row>
    <row r="35">
      <c r="A35" s="170" t="inlineStr">
        <is>
          <t>Richards Bay</t>
        </is>
      </c>
      <c r="B35" s="170" t="inlineStr">
        <is>
          <t>Sea</t>
        </is>
      </c>
      <c r="C35" s="171" t="n">
        <v>0</v>
      </c>
      <c r="D35" s="171" t="n">
        <v>0</v>
      </c>
      <c r="E35" s="171" t="n">
        <v>0</v>
      </c>
      <c r="F35" s="171" t="n">
        <v>0.144132057</v>
      </c>
      <c r="G35" s="171" t="n">
        <v>0.125371879</v>
      </c>
      <c r="H35" s="171" t="n">
        <v>0.111942881</v>
      </c>
      <c r="I35" s="171" t="n">
        <v>0.156059074</v>
      </c>
      <c r="J35" s="171" t="n">
        <v>0.234036815</v>
      </c>
      <c r="K35" s="171" t="n">
        <v>0.331319789</v>
      </c>
      <c r="L35" s="171" t="n">
        <v>0.320766702</v>
      </c>
      <c r="M35" s="171" t="n">
        <v>0.390782477</v>
      </c>
      <c r="N35" s="171" t="n">
        <v>0.6579146</v>
      </c>
      <c r="O35" s="172" t="inlineStr">
        <is>
          <t>SARS customs, imports by office of clearance (fuel_trade_sars_by_office.csv)</t>
        </is>
      </c>
      <c r="P35" s="172" t="inlineStr"/>
    </row>
    <row r="36">
      <c r="A36" s="170" t="inlineStr">
        <is>
          <t>Komatipoort</t>
        </is>
      </c>
      <c r="B36" s="170" t="inlineStr">
        <is>
          <t>Road, from Mozambique</t>
        </is>
      </c>
      <c r="C36" s="171" t="n">
        <v>0.151062295</v>
      </c>
      <c r="D36" s="171" t="n">
        <v>0.25728800257</v>
      </c>
      <c r="E36" s="171" t="n">
        <v>0.2714686364</v>
      </c>
      <c r="F36" s="171" t="n">
        <v>0.27992059604</v>
      </c>
      <c r="G36" s="171" t="n">
        <v>0.27193296396</v>
      </c>
      <c r="H36" s="171" t="n">
        <v>0.25139441304</v>
      </c>
      <c r="I36" s="171" t="n">
        <v>0.23838171999</v>
      </c>
      <c r="J36" s="171" t="n">
        <v>0.240790107</v>
      </c>
      <c r="K36" s="171" t="n">
        <v>0.30296426532</v>
      </c>
      <c r="L36" s="171" t="n">
        <v>0.254696261</v>
      </c>
      <c r="M36" s="171" t="n">
        <v>0.18682962785</v>
      </c>
      <c r="N36" s="171" t="n">
        <v>0.08643899100000001</v>
      </c>
      <c r="O36" s="172" t="inlineStr">
        <is>
          <t>SARS customs, imports by office of clearance (fuel_trade_sars_by_office.csv)</t>
        </is>
      </c>
      <c r="P36" s="172" t="inlineStr">
        <is>
          <t>The only recorded entry from the Maputo and Matola side.</t>
        </is>
      </c>
    </row>
    <row r="37">
      <c r="A37" s="170" t="inlineStr">
        <is>
          <t>Other offices</t>
        </is>
      </c>
      <c r="B37" s="170" t="inlineStr">
        <is>
          <t>Land borders and inland offices</t>
        </is>
      </c>
      <c r="C37" s="171" t="n">
        <v>0.00049495893</v>
      </c>
      <c r="D37" s="171" t="n">
        <v>0.00470842832</v>
      </c>
      <c r="E37" s="171" t="n">
        <v>0.00420356648</v>
      </c>
      <c r="F37" s="171" t="n">
        <v>0.00102475178</v>
      </c>
      <c r="G37" s="171" t="n">
        <v>0.00042253724</v>
      </c>
      <c r="H37" s="171" t="n">
        <v>5.594407e-05</v>
      </c>
      <c r="I37" s="171" t="n">
        <v>0.00021312585</v>
      </c>
      <c r="J37" s="171" t="n">
        <v>0.00282833031</v>
      </c>
      <c r="K37" s="171" t="n">
        <v>0.00073197879</v>
      </c>
      <c r="L37" s="171" t="n">
        <v>0.00086989025</v>
      </c>
      <c r="M37" s="171" t="n">
        <v>0.00072751111</v>
      </c>
      <c r="N37" s="171" t="n">
        <v>0.0033947605</v>
      </c>
      <c r="O37" s="172" t="inlineStr">
        <is>
          <t>SARS customs, imports by office of clearance (fuel_trade_sars_by_office.csv)</t>
        </is>
      </c>
      <c r="P37" s="172" t="inlineStr"/>
    </row>
    <row r="38">
      <c r="A38" s="173" t="inlineStr">
        <is>
          <t>All offices</t>
        </is>
      </c>
      <c r="B38" s="176" t="n"/>
      <c r="C38" s="174">
        <f>SUM(C30:C37)</f>
        <v/>
      </c>
      <c r="D38" s="174">
        <f>SUM(D30:D37)</f>
        <v/>
      </c>
      <c r="E38" s="174">
        <f>SUM(E30:E37)</f>
        <v/>
      </c>
      <c r="F38" s="174">
        <f>SUM(F30:F37)</f>
        <v/>
      </c>
      <c r="G38" s="174">
        <f>SUM(G30:G37)</f>
        <v/>
      </c>
      <c r="H38" s="174">
        <f>SUM(H30:H37)</f>
        <v/>
      </c>
      <c r="I38" s="174">
        <f>SUM(I30:I37)</f>
        <v/>
      </c>
      <c r="J38" s="174">
        <f>SUM(J30:J37)</f>
        <v/>
      </c>
      <c r="K38" s="174">
        <f>SUM(K30:K37)</f>
        <v/>
      </c>
      <c r="L38" s="174">
        <f>SUM(L30:L37)</f>
        <v/>
      </c>
      <c r="M38" s="174">
        <f>SUM(M30:M37)</f>
        <v/>
      </c>
      <c r="N38" s="174">
        <f>SUM(N30:N37)</f>
        <v/>
      </c>
      <c r="O38" s="175" t="inlineStr">
        <is>
          <t>Sum of the rows above; equals SARS national imports on the History sheet</t>
        </is>
      </c>
      <c r="P38" s="175" t="n"/>
    </row>
    <row r="39">
      <c r="A39" s="176" t="inlineStr">
        <is>
          <t>Durban share</t>
        </is>
      </c>
      <c r="B39" s="176" t="n"/>
      <c r="C39" s="184">
        <f>IF(C38=0,"",C30/C38)</f>
        <v/>
      </c>
      <c r="D39" s="184">
        <f>IF(D38=0,"",D30/D38)</f>
        <v/>
      </c>
      <c r="E39" s="184">
        <f>IF(E38=0,"",E30/E38)</f>
        <v/>
      </c>
      <c r="F39" s="184">
        <f>IF(F38=0,"",F30/F38)</f>
        <v/>
      </c>
      <c r="G39" s="184">
        <f>IF(G38=0,"",G30/G38)</f>
        <v/>
      </c>
      <c r="H39" s="184">
        <f>IF(H38=0,"",H30/H38)</f>
        <v/>
      </c>
      <c r="I39" s="184">
        <f>IF(I38=0,"",I30/I38)</f>
        <v/>
      </c>
      <c r="J39" s="184">
        <f>IF(J38=0,"",J30/J38)</f>
        <v/>
      </c>
      <c r="K39" s="184">
        <f>IF(K38=0,"",K30/K38)</f>
        <v/>
      </c>
      <c r="L39" s="184">
        <f>IF(L38=0,"",L30/L38)</f>
        <v/>
      </c>
      <c r="M39" s="184">
        <f>IF(M38=0,"",M30/M38)</f>
        <v/>
      </c>
      <c r="N39" s="184">
        <f>IF(N38=0,"",N30/N38)</f>
        <v/>
      </c>
      <c r="O39" s="175" t="inlineStr">
        <is>
          <t>Calculated: Durban over all offices</t>
        </is>
      </c>
      <c r="P39" s="175"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68"/>
  <sheetViews>
    <sheetView workbookViewId="0">
      <pane xSplit="1" ySplit="14" topLeftCell="B15" activePane="bottomRight" state="frozen"/>
      <selection pane="topRight"/>
      <selection pane="bottomLeft"/>
      <selection pane="bottomRight" activeCell="A1" sqref="A1"/>
    </sheetView>
  </sheetViews>
  <sheetFormatPr baseColWidth="8" defaultRowHeight="15"/>
  <cols>
    <col width="44" customWidth="1" min="1" max="1"/>
    <col width="34" customWidth="1" min="2" max="2"/>
    <col width="10" customWidth="1" min="3" max="3"/>
    <col width="58" customWidth="1" min="4" max="4"/>
    <col width="9" customWidth="1" min="5" max="5"/>
    <col width="9" customWidth="1" min="6" max="6"/>
    <col width="9" customWidth="1" min="7" max="7"/>
    <col width="62" customWidth="1" min="8" max="8"/>
  </cols>
  <sheetData>
    <row r="1">
      <c r="A1" s="149" t="inlineStr">
        <is>
          <t>DR04 Regulated cost of moving petrol and diesel</t>
        </is>
      </c>
    </row>
    <row r="2">
      <c r="A2" s="1" t="inlineStr">
        <is>
          <t>Cents a litre. These are regulated allowances in the fuel price, set by the department and the energy regulator. They are not what a haulier or Transnet charges a shipper: commercial road and rail rates are not published.</t>
        </is>
      </c>
    </row>
    <row r="4">
      <c r="A4" s="151" t="inlineStr">
        <is>
          <t>Durban to Gauteng, by element</t>
        </is>
      </c>
      <c r="B4" s="151" t="n"/>
      <c r="C4" s="151" t="n"/>
      <c r="D4" s="151" t="n"/>
      <c r="E4" s="151" t="n"/>
      <c r="F4" s="151" t="n"/>
      <c r="G4" s="151" t="n"/>
      <c r="H4" s="151" t="n"/>
    </row>
    <row r="5">
      <c r="A5" s="185" t="inlineStr">
        <is>
          <t>Element</t>
        </is>
      </c>
      <c r="B5" s="185" t="inlineStr">
        <is>
          <t>2024/25</t>
        </is>
      </c>
      <c r="C5" s="185" t="inlineStr">
        <is>
          <t>2025/26</t>
        </is>
      </c>
      <c r="D5" s="185" t="inlineStr">
        <is>
          <t>2026/27</t>
        </is>
      </c>
      <c r="E5" s="185" t="inlineStr">
        <is>
          <t>Basis</t>
        </is>
      </c>
      <c r="H5" s="185" t="inlineStr">
        <is>
          <t>Source</t>
        </is>
      </c>
    </row>
    <row r="6">
      <c r="A6" s="170" t="inlineStr">
        <is>
          <t>Pipeline tariff, Durban to Alrode</t>
        </is>
      </c>
      <c r="B6" s="186" t="n">
        <v>67.98999999999999</v>
      </c>
      <c r="C6" s="187" t="n">
        <v>73.22</v>
      </c>
      <c r="D6" s="187" t="n">
        <v>77.02</v>
      </c>
      <c r="E6" s="172" t="inlineStr">
        <is>
          <t>2024/25 as reported; later years calculated by adding NERSA's stated increases</t>
        </is>
      </c>
      <c r="H6" s="172" t="inlineStr">
        <is>
          <t>NERSA statements of 15 March 2024 (as quoted by Engineering News) and 15 April 2025</t>
        </is>
      </c>
    </row>
    <row r="7">
      <c r="A7" s="170" t="inlineStr">
        <is>
          <t>Regulated transport differential, Gauteng (zone 9C)</t>
        </is>
      </c>
      <c r="B7" s="186" t="n">
        <v>82.8</v>
      </c>
      <c r="C7" s="186" t="n"/>
      <c r="D7" s="186" t="n">
        <v>91.09999999999999</v>
      </c>
      <c r="E7" s="172" t="inlineStr">
        <is>
          <t>Regulated allowance in the petrol and diesel price for transport from the coast</t>
        </is>
      </c>
      <c r="H7" s="172" t="inlineStr">
        <is>
          <t>Department zone list, April 2024; Central Energy Fund price composition, 1 April 2026</t>
        </is>
      </c>
    </row>
    <row r="8">
      <c r="A8" s="170" t="inlineStr">
        <is>
          <t>Regulated secondary storage</t>
        </is>
      </c>
      <c r="B8" s="186" t="n">
        <v>36.6</v>
      </c>
      <c r="C8" s="186" t="n"/>
      <c r="D8" s="186" t="n">
        <v>39</v>
      </c>
      <c r="E8" s="172" t="inlineStr">
        <is>
          <t>Regulated allowance for depot storage; one national figure</t>
        </is>
      </c>
      <c r="H8" s="172" t="inlineStr">
        <is>
          <t>Department diesel margins, 2024; Central Energy Fund price composition, 1 April 2026</t>
        </is>
      </c>
    </row>
    <row r="9">
      <c r="A9" s="170" t="inlineStr">
        <is>
          <t>Regulated secondary distribution</t>
        </is>
      </c>
      <c r="B9" s="186" t="n">
        <v>17.2</v>
      </c>
      <c r="C9" s="186" t="n"/>
      <c r="D9" s="186" t="n">
        <v>19.1</v>
      </c>
      <c r="E9" s="172" t="inlineStr">
        <is>
          <t>Regulated allowance for road delivery from depot to service station; one national figure</t>
        </is>
      </c>
      <c r="H9" s="172" t="inlineStr">
        <is>
          <t>Department diesel margins, 2024; Central Energy Fund price composition, 1 April 2026</t>
        </is>
      </c>
    </row>
    <row r="10">
      <c r="A10" s="181" t="inlineStr">
        <is>
          <t>Commercial road tanker rate, Durban to Gauteng</t>
        </is>
      </c>
      <c r="B10" s="188" t="n"/>
      <c r="C10" s="188" t="n"/>
      <c r="D10" s="188" t="n"/>
      <c r="E10" s="183" t="inlineStr">
        <is>
          <t>Not published</t>
        </is>
      </c>
      <c r="H10" s="183" t="inlineStr">
        <is>
          <t>None found; needs Vopak or a haulier</t>
        </is>
      </c>
    </row>
    <row r="11">
      <c r="A11" s="181" t="inlineStr">
        <is>
          <t>Rail rate, Durban to Gauteng</t>
        </is>
      </c>
      <c r="B11" s="188" t="n"/>
      <c r="C11" s="188" t="n"/>
      <c r="D11" s="188" t="n"/>
      <c r="E11" s="183" t="inlineStr">
        <is>
          <t>Not published</t>
        </is>
      </c>
      <c r="H11" s="183" t="inlineStr">
        <is>
          <t>None found; needs Transnet or Vopak</t>
        </is>
      </c>
    </row>
    <row r="13">
      <c r="A13" s="151" t="inlineStr">
        <is>
          <t>Regulated transport differential by pricing zone (the same for petrol and diesel in 2014; diesel list for 2024)</t>
        </is>
      </c>
      <c r="B13" s="151" t="n"/>
      <c r="C13" s="151" t="n"/>
      <c r="D13" s="151" t="n"/>
      <c r="E13" s="151" t="n"/>
      <c r="F13" s="151" t="n"/>
      <c r="G13" s="151" t="n"/>
      <c r="H13" s="151" t="n"/>
    </row>
    <row r="14">
      <c r="A14" s="150" t="inlineStr">
        <is>
          <t>Zone</t>
        </is>
      </c>
      <c r="B14" s="150" t="inlineStr">
        <is>
          <t>Provinces</t>
        </is>
      </c>
      <c r="C14" s="150" t="inlineStr">
        <is>
          <t>Districts</t>
        </is>
      </c>
      <c r="D14" s="150" t="inlineStr">
        <is>
          <t>Examples</t>
        </is>
      </c>
      <c r="E14" s="150" t="inlineStr">
        <is>
          <t>2014</t>
        </is>
      </c>
      <c r="F14" s="150" t="inlineStr">
        <is>
          <t>2024</t>
        </is>
      </c>
      <c r="G14" s="150" t="inlineStr">
        <is>
          <t>Change</t>
        </is>
      </c>
      <c r="H14" s="150" t="inlineStr">
        <is>
          <t>Source</t>
        </is>
      </c>
    </row>
    <row r="15">
      <c r="A15" s="189" t="inlineStr">
        <is>
          <t>9C (Gauteng)</t>
        </is>
      </c>
      <c r="B15" s="172" t="inlineStr">
        <is>
          <t>Gauteng, Mpumalanga, Free State, North West</t>
        </is>
      </c>
      <c r="C15" s="190" t="n">
        <v>51</v>
      </c>
      <c r="D15" s="172" t="inlineStr">
        <is>
          <t>Alberton, Bafokeng, Balfour, Benoni, Bethal, Boksburg</t>
        </is>
      </c>
      <c r="E15" s="191" t="n">
        <v>33.1</v>
      </c>
      <c r="F15" s="191" t="n">
        <v>82.8</v>
      </c>
      <c r="G15" s="192">
        <f>IF(COUNT(E15,F15)&lt;2,"",F15-E15)</f>
        <v/>
      </c>
      <c r="H15" s="172" t="inlineStr">
        <is>
          <t>Department of Mineral and Petroleum Resources, zone lists effective 2 April 2014 and 3 April 2024</t>
        </is>
      </c>
    </row>
    <row r="16">
      <c r="A16" s="170" t="inlineStr">
        <is>
          <t>57C</t>
        </is>
      </c>
      <c r="B16" s="172" t="inlineStr">
        <is>
          <t>Mpumalanga, KwaZulu Natal</t>
        </is>
      </c>
      <c r="C16" s="190" t="n">
        <v>3</v>
      </c>
      <c r="D16" s="172" t="inlineStr">
        <is>
          <t>Paulpietersburg, Utrecht, Volksrust</t>
        </is>
      </c>
      <c r="E16" s="191" t="n">
        <v>30.5</v>
      </c>
      <c r="F16" s="191" t="n">
        <v>75.7</v>
      </c>
      <c r="G16" s="192">
        <f>IF(COUNT(E16,F16)&lt;2,"",F16-E16)</f>
        <v/>
      </c>
      <c r="H16" s="172" t="inlineStr">
        <is>
          <t>Department of Mineral and Petroleum Resources, zone lists effective 2 April 2014 and 3 April 2024</t>
        </is>
      </c>
    </row>
    <row r="17">
      <c r="A17" s="170" t="inlineStr">
        <is>
          <t>8C</t>
        </is>
      </c>
      <c r="B17" s="172" t="inlineStr">
        <is>
          <t>Mpumalanga, Free State</t>
        </is>
      </c>
      <c r="C17" s="190" t="n">
        <v>14</v>
      </c>
      <c r="D17" s="172" t="inlineStr">
        <is>
          <t>Amersfoort, Clocolan, Ermelo, Ficksburg, Frankfort, Heilbron</t>
        </is>
      </c>
      <c r="E17" s="191" t="n">
        <v>35.4</v>
      </c>
      <c r="F17" s="191" t="n">
        <v>93.09999999999999</v>
      </c>
      <c r="G17" s="192">
        <f>IF(COUNT(E17,F17)&lt;2,"",F17-E17)</f>
        <v/>
      </c>
      <c r="H17" s="172" t="inlineStr">
        <is>
          <t>Department of Mineral and Petroleum Resources, zone lists effective 2 April 2014 and 3 April 2024</t>
        </is>
      </c>
    </row>
    <row r="18">
      <c r="A18" s="170" t="inlineStr">
        <is>
          <t>58C</t>
        </is>
      </c>
      <c r="B18" s="172" t="inlineStr">
        <is>
          <t>Mpumalanga, KwaZulu Natal</t>
        </is>
      </c>
      <c r="C18" s="190" t="n">
        <v>3</v>
      </c>
      <c r="D18" s="172" t="inlineStr">
        <is>
          <t>Piet Retief, Simdlangentsha, Wakkerstroom</t>
        </is>
      </c>
      <c r="E18" s="191" t="n">
        <v>35.4</v>
      </c>
      <c r="F18" s="191" t="n">
        <v>93.09999999999999</v>
      </c>
      <c r="G18" s="192">
        <f>IF(COUNT(E18,F18)&lt;2,"",F18-E18)</f>
        <v/>
      </c>
      <c r="H18" s="172" t="inlineStr">
        <is>
          <t>Department of Mineral and Petroleum Resources, zone lists effective 2 April 2014 and 3 April 2024</t>
        </is>
      </c>
    </row>
    <row r="19">
      <c r="A19" s="170" t="inlineStr">
        <is>
          <t>10C</t>
        </is>
      </c>
      <c r="B19" s="172" t="inlineStr">
        <is>
          <t>Mpumalanga, Free State, North West, Limpopo</t>
        </is>
      </c>
      <c r="C19" s="190" t="n">
        <v>28</v>
      </c>
      <c r="D19" s="172" t="inlineStr">
        <is>
          <t>Bela-Bela (Warmbad), Belfast, Bloemhof, Brandfort, Bultfontein, Carolina</t>
        </is>
      </c>
      <c r="E19" s="191" t="n">
        <v>44.3</v>
      </c>
      <c r="F19" s="191" t="n">
        <v>104</v>
      </c>
      <c r="G19" s="192">
        <f>IF(COUNT(E19,F19)&lt;2,"",F19-E19)</f>
        <v/>
      </c>
      <c r="H19" s="172" t="inlineStr">
        <is>
          <t>Department of Mineral and Petroleum Resources, zone lists effective 2 April 2014 and 3 April 2024</t>
        </is>
      </c>
    </row>
    <row r="20">
      <c r="A20" s="170" t="inlineStr">
        <is>
          <t>61C</t>
        </is>
      </c>
      <c r="B20" s="172" t="inlineStr">
        <is>
          <t>Mpumalanga, Limpopo</t>
        </is>
      </c>
      <c r="C20" s="190" t="n">
        <v>8</v>
      </c>
      <c r="D20" s="172" t="inlineStr">
        <is>
          <t>Barberton, Mapulaneng, Mhala, Nelspruit, Nkomazi (Kamhulshwa), Nsikazi (Kangwane)</t>
        </is>
      </c>
      <c r="E20" s="191" t="n">
        <v>59.2</v>
      </c>
      <c r="F20" s="191" t="n">
        <v>128</v>
      </c>
      <c r="G20" s="192">
        <f>IF(COUNT(E20,F20)&lt;2,"",F20-E20)</f>
        <v/>
      </c>
      <c r="H20" s="172" t="inlineStr">
        <is>
          <t>Department of Mineral and Petroleum Resources, zone lists effective 2 April 2014 and 3 April 2024</t>
        </is>
      </c>
    </row>
    <row r="21">
      <c r="A21" s="170" t="inlineStr">
        <is>
          <t>6C</t>
        </is>
      </c>
      <c r="B21" s="172" t="inlineStr">
        <is>
          <t>Free State, KwaZulu Natal</t>
        </is>
      </c>
      <c r="C21" s="190" t="n">
        <v>8</v>
      </c>
      <c r="D21" s="172" t="inlineStr">
        <is>
          <t>Bergville, Dannhauser, Dundee, Glencoe, Harrismith, Newcastle</t>
        </is>
      </c>
      <c r="E21" s="191" t="n">
        <v>24.2</v>
      </c>
      <c r="F21" s="191" t="n">
        <v>59.1</v>
      </c>
      <c r="G21" s="192">
        <f>IF(COUNT(E21,F21)&lt;2,"",F21-E21)</f>
        <v/>
      </c>
      <c r="H21" s="172" t="inlineStr">
        <is>
          <t>Department of Mineral and Petroleum Resources, zone lists effective 2 April 2014 and 3 April 2024</t>
        </is>
      </c>
    </row>
    <row r="22">
      <c r="A22" s="170" t="inlineStr">
        <is>
          <t>7C</t>
        </is>
      </c>
      <c r="B22" s="172" t="inlineStr">
        <is>
          <t>Free State</t>
        </is>
      </c>
      <c r="C22" s="190" t="n">
        <v>3</v>
      </c>
      <c r="D22" s="172" t="inlineStr">
        <is>
          <t>Bethlehem, Fouriesburg, Witsieshoek</t>
        </is>
      </c>
      <c r="E22" s="191" t="n">
        <v>30.5</v>
      </c>
      <c r="F22" s="191" t="n">
        <v>75.7</v>
      </c>
      <c r="G22" s="192">
        <f>IF(COUNT(E22,F22)&lt;2,"",F22-E22)</f>
        <v/>
      </c>
      <c r="H22" s="172" t="inlineStr">
        <is>
          <t>Department of Mineral and Petroleum Resources, zone lists effective 2 April 2014 and 3 April 2024</t>
        </is>
      </c>
    </row>
    <row r="23">
      <c r="A23" s="170" t="inlineStr">
        <is>
          <t>8A</t>
        </is>
      </c>
      <c r="B23" s="172" t="inlineStr">
        <is>
          <t>Free State, Eastern Cape, Northern Cape</t>
        </is>
      </c>
      <c r="C23" s="190" t="n">
        <v>20</v>
      </c>
      <c r="D23" s="172" t="inlineStr">
        <is>
          <t>Barkly East, Bethulie, Colesberg, De Aar, Edenburg, Elliot</t>
        </is>
      </c>
      <c r="E23" s="191" t="n">
        <v>55.2</v>
      </c>
      <c r="F23" s="191" t="n">
        <v>87.59999999999999</v>
      </c>
      <c r="G23" s="192">
        <f>IF(COUNT(E23,F23)&lt;2,"",F23-E23)</f>
        <v/>
      </c>
      <c r="H23" s="172" t="inlineStr">
        <is>
          <t>Department of Mineral and Petroleum Resources, zone lists effective 2 April 2014 and 3 April 2024</t>
        </is>
      </c>
    </row>
    <row r="24">
      <c r="A24" s="170" t="inlineStr">
        <is>
          <t>9A</t>
        </is>
      </c>
      <c r="B24" s="172" t="inlineStr">
        <is>
          <t>Free State, Northern Cape</t>
        </is>
      </c>
      <c r="C24" s="190" t="n">
        <v>6</v>
      </c>
      <c r="D24" s="172" t="inlineStr">
        <is>
          <t>Britstown, Fauresmith, Hopetown, Koffiefontein, Philipstown, Prieska</t>
        </is>
      </c>
      <c r="E24" s="191" t="n">
        <v>72.09999999999999</v>
      </c>
      <c r="F24" s="191" t="n">
        <v>114.4</v>
      </c>
      <c r="G24" s="192">
        <f>IF(COUNT(E24,F24)&lt;2,"",F24-E24)</f>
        <v/>
      </c>
      <c r="H24" s="172" t="inlineStr">
        <is>
          <t>Department of Mineral and Petroleum Resources, zone lists effective 2 April 2014 and 3 April 2024</t>
        </is>
      </c>
    </row>
    <row r="25">
      <c r="A25" s="170" t="inlineStr">
        <is>
          <t>11C</t>
        </is>
      </c>
      <c r="B25" s="172" t="inlineStr">
        <is>
          <t>Free State, North West, Limpopo, Northern Cape</t>
        </is>
      </c>
      <c r="C25" s="190" t="n">
        <v>23</v>
      </c>
      <c r="D25" s="172" t="inlineStr">
        <is>
          <t>Barkly West, Bloemfontein, Boshof, Botshabelo, Delareyville, Dewetsdorp</t>
        </is>
      </c>
      <c r="E25" s="191" t="n">
        <v>59.2</v>
      </c>
      <c r="F25" s="191" t="n">
        <v>128</v>
      </c>
      <c r="G25" s="192">
        <f>IF(COUNT(E25,F25)&lt;2,"",F25-E25)</f>
        <v/>
      </c>
      <c r="H25" s="172" t="inlineStr">
        <is>
          <t>Department of Mineral and Petroleum Resources, zone lists effective 2 April 2014 and 3 April 2024</t>
        </is>
      </c>
    </row>
    <row r="26">
      <c r="A26" s="170" t="inlineStr">
        <is>
          <t>12C</t>
        </is>
      </c>
      <c r="B26" s="172" t="inlineStr">
        <is>
          <t>North West, Limpopo</t>
        </is>
      </c>
      <c r="C26" s="190" t="n">
        <v>6</v>
      </c>
      <c r="D26" s="172" t="inlineStr">
        <is>
          <t>Ditsobotla, Polokwane (Pietersburg) (south of tropic of capricorn), Seshego, Thabamoopo, Thabazimbi (east of 27o longitude), Vryburg (south of 26o30' latitude)</t>
        </is>
      </c>
      <c r="E26" s="191" t="n">
        <v>65</v>
      </c>
      <c r="F26" s="191" t="n">
        <v>132.8</v>
      </c>
      <c r="G26" s="192">
        <f>IF(COUNT(E26,F26)&lt;2,"",F26-E26)</f>
        <v/>
      </c>
      <c r="H26" s="172" t="inlineStr">
        <is>
          <t>Department of Mineral and Petroleum Resources, zone lists effective 2 April 2014 and 3 April 2024</t>
        </is>
      </c>
    </row>
    <row r="27">
      <c r="A27" s="170" t="inlineStr">
        <is>
          <t>13C</t>
        </is>
      </c>
      <c r="B27" s="172" t="inlineStr">
        <is>
          <t>North West, Limpopo, Northern Cape</t>
        </is>
      </c>
      <c r="C27" s="190" t="n">
        <v>14</v>
      </c>
      <c r="D27" s="172" t="inlineStr">
        <is>
          <t>Bochum, Dzanani Central (North of Makhado), Dzanani South (West of Makhado), Hlanganani, Kuruman (south of 27olatitude), Lephalale (Ellisras)</t>
        </is>
      </c>
      <c r="E27" s="191" t="n">
        <v>77.40000000000001</v>
      </c>
      <c r="F27" s="191" t="n">
        <v>152.3</v>
      </c>
      <c r="G27" s="192">
        <f>IF(COUNT(E27,F27)&lt;2,"",F27-E27)</f>
        <v/>
      </c>
      <c r="H27" s="172" t="inlineStr">
        <is>
          <t>Department of Mineral and Petroleum Resources, zone lists effective 2 April 2014 and 3 April 2024</t>
        </is>
      </c>
    </row>
    <row r="28">
      <c r="A28" s="170" t="inlineStr">
        <is>
          <t>15C</t>
        </is>
      </c>
      <c r="B28" s="172" t="inlineStr">
        <is>
          <t>North West</t>
        </is>
      </c>
      <c r="C28" s="190" t="n">
        <v>2</v>
      </c>
      <c r="D28" s="172" t="inlineStr">
        <is>
          <t>Ganyesa, Kudumane</t>
        </is>
      </c>
      <c r="E28" s="191" t="n">
        <v>80.8</v>
      </c>
      <c r="F28" s="191" t="n">
        <v>158.5</v>
      </c>
      <c r="G28" s="192">
        <f>IF(COUNT(E28,F28)&lt;2,"",F28-E28)</f>
        <v/>
      </c>
      <c r="H28" s="172" t="inlineStr">
        <is>
          <t>Department of Mineral and Petroleum Resources, zone lists effective 2 April 2014 and 3 April 2024</t>
        </is>
      </c>
    </row>
    <row r="29">
      <c r="A29" s="170" t="inlineStr">
        <is>
          <t>17C</t>
        </is>
      </c>
      <c r="B29" s="172" t="inlineStr">
        <is>
          <t>North West, Northern Cape</t>
        </is>
      </c>
      <c r="C29" s="190" t="n">
        <v>2</v>
      </c>
      <c r="D29" s="172" t="inlineStr">
        <is>
          <t>Kuruman (north of 27o latitude), Vryburg (west of 24o longitude)</t>
        </is>
      </c>
      <c r="E29" s="191" t="n">
        <v>93</v>
      </c>
      <c r="F29" s="191" t="n">
        <v>177.7</v>
      </c>
      <c r="G29" s="192">
        <f>IF(COUNT(E29,F29)&lt;2,"",F29-E29)</f>
        <v/>
      </c>
      <c r="H29" s="172" t="inlineStr">
        <is>
          <t>Department of Mineral and Petroleum Resources, zone lists effective 2 April 2014 and 3 April 2024</t>
        </is>
      </c>
    </row>
    <row r="30">
      <c r="A30" s="170" t="inlineStr">
        <is>
          <t>62C</t>
        </is>
      </c>
      <c r="B30" s="172" t="inlineStr">
        <is>
          <t>Limpopo</t>
        </is>
      </c>
      <c r="C30" s="190" t="n">
        <v>1</v>
      </c>
      <c r="D30" s="172" t="inlineStr">
        <is>
          <t>Lulekani</t>
        </is>
      </c>
      <c r="E30" s="191" t="n">
        <v>65</v>
      </c>
      <c r="F30" s="191" t="n">
        <v>132.8</v>
      </c>
      <c r="G30" s="192">
        <f>IF(COUNT(E30,F30)&lt;2,"",F30-E30)</f>
        <v/>
      </c>
      <c r="H30" s="172" t="inlineStr">
        <is>
          <t>Department of Mineral and Petroleum Resources, zone lists effective 2 April 2014 and 3 April 2024</t>
        </is>
      </c>
    </row>
    <row r="31">
      <c r="A31" s="170" t="inlineStr">
        <is>
          <t>63C</t>
        </is>
      </c>
      <c r="B31" s="172" t="inlineStr">
        <is>
          <t>Limpopo</t>
        </is>
      </c>
      <c r="C31" s="190" t="n">
        <v>7</v>
      </c>
      <c r="D31" s="172" t="inlineStr">
        <is>
          <t>Bolobedu, Letaba, Namakgale, Naphuno, Phalaborwa, Ritavi</t>
        </is>
      </c>
      <c r="E31" s="191" t="n">
        <v>77.40000000000001</v>
      </c>
      <c r="F31" s="191" t="n">
        <v>152.3</v>
      </c>
      <c r="G31" s="192">
        <f>IF(COUNT(E31,F31)&lt;2,"",F31-E31)</f>
        <v/>
      </c>
      <c r="H31" s="172" t="inlineStr">
        <is>
          <t>Department of Mineral and Petroleum Resources, zone lists effective 2 April 2014 and 3 April 2024</t>
        </is>
      </c>
    </row>
    <row r="32">
      <c r="A32" s="170" t="inlineStr">
        <is>
          <t>16C</t>
        </is>
      </c>
      <c r="B32" s="172" t="inlineStr">
        <is>
          <t>Limpopo</t>
        </is>
      </c>
      <c r="C32" s="190" t="n">
        <v>4</v>
      </c>
      <c r="D32" s="172" t="inlineStr">
        <is>
          <t>Mokerong 1 (East of Lephalale), Mokopane (Potgietersrus) (north of tropic of capricorn), Musina (Messina) (West of 30o longitude), Soutpansberg (west of 29o 30' longitude)</t>
        </is>
      </c>
      <c r="E32" s="191" t="n">
        <v>79.7</v>
      </c>
      <c r="F32" s="191" t="n">
        <v>155.9</v>
      </c>
      <c r="G32" s="192">
        <f>IF(COUNT(E32,F32)&lt;2,"",F32-E32)</f>
        <v/>
      </c>
      <c r="H32" s="172" t="inlineStr">
        <is>
          <t>Department of Mineral and Petroleum Resources, zone lists effective 2 April 2014 and 3 April 2024</t>
        </is>
      </c>
    </row>
    <row r="33">
      <c r="A33" s="170" t="inlineStr">
        <is>
          <t>14C</t>
        </is>
      </c>
      <c r="B33" s="172" t="inlineStr">
        <is>
          <t>Limpopo</t>
        </is>
      </c>
      <c r="C33" s="190" t="n">
        <v>3</v>
      </c>
      <c r="D33" s="172" t="inlineStr">
        <is>
          <t>Dzanani North (East of Musina), Musina (Messina) (East of 30o longitude), Mutale</t>
        </is>
      </c>
      <c r="E33" s="191" t="n">
        <v>92.2</v>
      </c>
      <c r="F33" s="191" t="n">
        <v>175.8</v>
      </c>
      <c r="G33" s="192">
        <f>IF(COUNT(E33,F33)&lt;2,"",F33-E33)</f>
        <v/>
      </c>
      <c r="H33" s="172" t="inlineStr">
        <is>
          <t>Department of Mineral and Petroleum Resources, zone lists effective 2 April 2014 and 3 April 2024</t>
        </is>
      </c>
    </row>
    <row r="34">
      <c r="A34" s="170" t="inlineStr">
        <is>
          <t>64C</t>
        </is>
      </c>
      <c r="B34" s="172" t="inlineStr">
        <is>
          <t>Limpopo</t>
        </is>
      </c>
      <c r="C34" s="190" t="n">
        <v>2</v>
      </c>
      <c r="D34" s="172" t="inlineStr">
        <is>
          <t>Giyani, Malamulele</t>
        </is>
      </c>
      <c r="E34" s="191" t="n">
        <v>92.2</v>
      </c>
      <c r="F34" s="191" t="n">
        <v>175.8</v>
      </c>
      <c r="G34" s="192">
        <f>IF(COUNT(E34,F34)&lt;2,"",F34-E34)</f>
        <v/>
      </c>
      <c r="H34" s="172" t="inlineStr">
        <is>
          <t>Department of Mineral and Petroleum Resources, zone lists effective 2 April 2014 and 3 April 2024</t>
        </is>
      </c>
    </row>
    <row r="35">
      <c r="A35" s="170" t="inlineStr">
        <is>
          <t>67C</t>
        </is>
      </c>
      <c r="B35" s="172" t="inlineStr">
        <is>
          <t>Limpopo</t>
        </is>
      </c>
      <c r="C35" s="190" t="n">
        <v>1</v>
      </c>
      <c r="D35" s="172" t="inlineStr">
        <is>
          <t>Thohoyandou (east of 31o longitude)</t>
        </is>
      </c>
      <c r="E35" s="191" t="n">
        <v>93</v>
      </c>
      <c r="F35" s="191" t="n">
        <v>177.7</v>
      </c>
      <c r="G35" s="192">
        <f>IF(COUNT(E35,F35)&lt;2,"",F35-E35)</f>
        <v/>
      </c>
      <c r="H35" s="172" t="inlineStr">
        <is>
          <t>Department of Mineral and Petroleum Resources, zone lists effective 2 April 2014 and 3 April 2024</t>
        </is>
      </c>
    </row>
    <row r="36">
      <c r="A36" s="189" t="inlineStr">
        <is>
          <t>1A (coast)</t>
        </is>
      </c>
      <c r="B36" s="172" t="inlineStr">
        <is>
          <t>KwaZulu Natal, Eastern Cape, Western Cape</t>
        </is>
      </c>
      <c r="C36" s="190" t="n">
        <v>17</v>
      </c>
      <c r="D36" s="172" t="inlineStr">
        <is>
          <t>Bellville, Cape Town, Chatsworth, Durban, East London, Goodwood</t>
        </is>
      </c>
      <c r="E36" s="191" t="n">
        <v>2.5</v>
      </c>
      <c r="F36" s="191" t="n">
        <v>3.8</v>
      </c>
      <c r="G36" s="192">
        <f>IF(COUNT(E36,F36)&lt;2,"",F36-E36)</f>
        <v/>
      </c>
      <c r="H36" s="172" t="inlineStr">
        <is>
          <t>Department of Mineral and Petroleum Resources, zone lists effective 2 April 2014 and 3 April 2024</t>
        </is>
      </c>
    </row>
    <row r="37">
      <c r="A37" s="170" t="inlineStr">
        <is>
          <t>2A</t>
        </is>
      </c>
      <c r="B37" s="172" t="inlineStr">
        <is>
          <t>KwaZulu Natal, Eastern Cape, Western Cape</t>
        </is>
      </c>
      <c r="C37" s="190" t="n">
        <v>9</v>
      </c>
      <c r="D37" s="172" t="inlineStr">
        <is>
          <t>Camperdown, Ndwedwe, Paarl, Somerset West, Stellenbosch, Strand</t>
        </is>
      </c>
      <c r="E37" s="191" t="n">
        <v>6.4</v>
      </c>
      <c r="F37" s="191" t="n">
        <v>10.1</v>
      </c>
      <c r="G37" s="192">
        <f>IF(COUNT(E37,F37)&lt;2,"",F37-E37)</f>
        <v/>
      </c>
      <c r="H37" s="172" t="inlineStr">
        <is>
          <t>Department of Mineral and Petroleum Resources, zone lists effective 2 April 2014 and 3 April 2024</t>
        </is>
      </c>
    </row>
    <row r="38">
      <c r="A38" s="170" t="inlineStr">
        <is>
          <t>3A</t>
        </is>
      </c>
      <c r="B38" s="172" t="inlineStr">
        <is>
          <t>KwaZulu Natal, Eastern Cape, Western Cape</t>
        </is>
      </c>
      <c r="C38" s="190" t="n">
        <v>11</v>
      </c>
      <c r="D38" s="172" t="inlineStr">
        <is>
          <t>George, Hankey, King Williams Town, Kirkwood, Komga, Lower Tugela</t>
        </is>
      </c>
      <c r="E38" s="191" t="n">
        <v>10</v>
      </c>
      <c r="F38" s="191" t="n">
        <v>15.8</v>
      </c>
      <c r="G38" s="192">
        <f>IF(COUNT(E38,F38)&lt;2,"",F38-E38)</f>
        <v/>
      </c>
      <c r="H38" s="172" t="inlineStr">
        <is>
          <t>Department of Mineral and Petroleum Resources, zone lists effective 2 April 2014 and 3 April 2024</t>
        </is>
      </c>
    </row>
    <row r="39">
      <c r="A39" s="170" t="inlineStr">
        <is>
          <t>4A</t>
        </is>
      </c>
      <c r="B39" s="172" t="inlineStr">
        <is>
          <t>KwaZulu Natal, Eastern Cape, Western Cape</t>
        </is>
      </c>
      <c r="C39" s="190" t="n">
        <v>18</v>
      </c>
      <c r="D39" s="172" t="inlineStr">
        <is>
          <t>Albany, Alexandria, Calitzdorp, Eshowe, Heidelberg (W.Cape), Ixopo</t>
        </is>
      </c>
      <c r="E39" s="191" t="n">
        <v>14.7</v>
      </c>
      <c r="F39" s="191" t="n">
        <v>23.2</v>
      </c>
      <c r="G39" s="192">
        <f>IF(COUNT(E39,F39)&lt;2,"",F39-E39)</f>
        <v/>
      </c>
      <c r="H39" s="172" t="inlineStr">
        <is>
          <t>Department of Mineral and Petroleum Resources, zone lists effective 2 April 2014 and 3 April 2024</t>
        </is>
      </c>
    </row>
    <row r="40">
      <c r="A40" s="170" t="inlineStr">
        <is>
          <t>3B</t>
        </is>
      </c>
      <c r="B40" s="172" t="inlineStr">
        <is>
          <t>KwaZulu Natal, Eastern Cape</t>
        </is>
      </c>
      <c r="C40" s="190" t="n">
        <v>4</v>
      </c>
      <c r="D40" s="172" t="inlineStr">
        <is>
          <t>Humansdorp, Lions River, New Hanover, Pietermaritzburg</t>
        </is>
      </c>
      <c r="E40" s="191" t="n">
        <v>15.3</v>
      </c>
      <c r="F40" s="191" t="n">
        <v>24.1</v>
      </c>
      <c r="G40" s="192">
        <f>IF(COUNT(E40,F40)&lt;2,"",F40-E40)</f>
        <v/>
      </c>
      <c r="H40" s="172" t="inlineStr">
        <is>
          <t>Department of Mineral and Petroleum Resources, zone lists effective 2 April 2014 and 3 April 2024</t>
        </is>
      </c>
    </row>
    <row r="41">
      <c r="A41" s="170" t="inlineStr">
        <is>
          <t>5A</t>
        </is>
      </c>
      <c r="B41" s="172" t="inlineStr">
        <is>
          <t>KwaZulu Natal, Eastern Cape, Western Cape</t>
        </is>
      </c>
      <c r="C41" s="190" t="n">
        <v>33</v>
      </c>
      <c r="D41" s="172" t="inlineStr">
        <is>
          <t>Adelaide, Alfred, Bathurst (Port Alfred), Bedford, Caledon, Cathcart</t>
        </is>
      </c>
      <c r="E41" s="191" t="n">
        <v>21.2</v>
      </c>
      <c r="F41" s="191" t="n">
        <v>33.6</v>
      </c>
      <c r="G41" s="192">
        <f>IF(COUNT(E41,F41)&lt;2,"",F41-E41)</f>
        <v/>
      </c>
      <c r="H41" s="172" t="inlineStr">
        <is>
          <t>Department of Mineral and Petroleum Resources, zone lists effective 2 April 2014 and 3 April 2024</t>
        </is>
      </c>
    </row>
    <row r="42">
      <c r="A42" s="170" t="inlineStr">
        <is>
          <t>5B</t>
        </is>
      </c>
      <c r="B42" s="172" t="inlineStr">
        <is>
          <t>KwaZulu Natal</t>
        </is>
      </c>
      <c r="C42" s="190" t="n">
        <v>8</v>
      </c>
      <c r="D42" s="172" t="inlineStr">
        <is>
          <t>Estcourt, Impendle, Mooirivier, Msinga, Polela, Umvoti</t>
        </is>
      </c>
      <c r="E42" s="191" t="n">
        <v>24.1</v>
      </c>
      <c r="F42" s="191" t="n">
        <v>38.1</v>
      </c>
      <c r="G42" s="192">
        <f>IF(COUNT(E42,F42)&lt;2,"",F42-E42)</f>
        <v/>
      </c>
      <c r="H42" s="172" t="inlineStr">
        <is>
          <t>Department of Mineral and Petroleum Resources, zone lists effective 2 April 2014 and 3 April 2024</t>
        </is>
      </c>
    </row>
    <row r="43">
      <c r="A43" s="170" t="inlineStr">
        <is>
          <t>6A</t>
        </is>
      </c>
      <c r="B43" s="172" t="inlineStr">
        <is>
          <t>KwaZulu Natal, Eastern Cape, Western Cape</t>
        </is>
      </c>
      <c r="C43" s="190" t="n">
        <v>7</v>
      </c>
      <c r="D43" s="172" t="inlineStr">
        <is>
          <t>Babanango, Bredasdorp, Glen Grey/Cacadu/Lady Frere, Mahlabatini, Molteno, Nongoma</t>
        </is>
      </c>
      <c r="E43" s="191" t="n">
        <v>30.7</v>
      </c>
      <c r="F43" s="191" t="n">
        <v>48.6</v>
      </c>
      <c r="G43" s="192">
        <f>IF(COUNT(E43,F43)&lt;2,"",F43-E43)</f>
        <v/>
      </c>
      <c r="H43" s="172" t="inlineStr">
        <is>
          <t>Department of Mineral and Petroleum Resources, zone lists effective 2 April 2014 and 3 April 2024</t>
        </is>
      </c>
    </row>
    <row r="44">
      <c r="A44" s="170" t="inlineStr">
        <is>
          <t>5C</t>
        </is>
      </c>
      <c r="B44" s="172" t="inlineStr">
        <is>
          <t>KwaZulu Natal</t>
        </is>
      </c>
      <c r="C44" s="190" t="n">
        <v>1</v>
      </c>
      <c r="D44" s="172" t="inlineStr">
        <is>
          <t>Kliprivier</t>
        </is>
      </c>
      <c r="E44" s="191" t="n">
        <v>9.6</v>
      </c>
      <c r="F44" s="191" t="n">
        <v>49.1</v>
      </c>
      <c r="G44" s="192">
        <f>IF(COUNT(E44,F44)&lt;2,"",F44-E44)</f>
        <v/>
      </c>
      <c r="H44" s="172" t="inlineStr">
        <is>
          <t>Department of Mineral and Petroleum Resources, zone lists effective 2 April 2014 and 3 April 2024</t>
        </is>
      </c>
    </row>
    <row r="45">
      <c r="A45" s="170" t="inlineStr">
        <is>
          <t>57A</t>
        </is>
      </c>
      <c r="B45" s="172" t="inlineStr">
        <is>
          <t>KwaZulu Natal, Eastern Cape</t>
        </is>
      </c>
      <c r="C45" s="190" t="n">
        <v>15</v>
      </c>
      <c r="D45" s="172" t="inlineStr">
        <is>
          <t>Engcobo, Hofmeyer, Indwe, Ingwavuma, Libode, Maluki (Matatiele)</t>
        </is>
      </c>
      <c r="E45" s="191" t="n">
        <v>39.1</v>
      </c>
      <c r="F45" s="191" t="n">
        <v>62</v>
      </c>
      <c r="G45" s="192">
        <f>IF(COUNT(E45,F45)&lt;2,"",F45-E45)</f>
        <v/>
      </c>
      <c r="H45" s="172" t="inlineStr">
        <is>
          <t>Department of Mineral and Petroleum Resources, zone lists effective 2 April 2014 and 3 April 2024</t>
        </is>
      </c>
    </row>
    <row r="46">
      <c r="A46" s="170" t="inlineStr">
        <is>
          <t>7B</t>
        </is>
      </c>
      <c r="B46" s="172" t="inlineStr">
        <is>
          <t>Eastern Cape, Western Cape</t>
        </is>
      </c>
      <c r="C46" s="190" t="n">
        <v>8</v>
      </c>
      <c r="D46" s="172" t="inlineStr">
        <is>
          <t>Clanwilliam, Jansenville, Joubertina, Laingsburg, Prince Albert, Somerset East</t>
        </is>
      </c>
      <c r="E46" s="191" t="n">
        <v>27</v>
      </c>
      <c r="F46" s="191" t="n">
        <v>42.8</v>
      </c>
      <c r="G46" s="192">
        <f>IF(COUNT(E46,F46)&lt;2,"",F46-E46)</f>
        <v/>
      </c>
      <c r="H46" s="172" t="inlineStr">
        <is>
          <t>Department of Mineral and Petroleum Resources, zone lists effective 2 April 2014 and 3 April 2024</t>
        </is>
      </c>
    </row>
    <row r="47">
      <c r="A47" s="170" t="inlineStr">
        <is>
          <t>9B</t>
        </is>
      </c>
      <c r="B47" s="172" t="inlineStr">
        <is>
          <t>Eastern Cape, Western Cape</t>
        </is>
      </c>
      <c r="C47" s="190" t="n">
        <v>7</v>
      </c>
      <c r="D47" s="172" t="inlineStr">
        <is>
          <t>Aberdeen, Bizana, Graaffreinett, Murraysburg, Sipangeni (Flagstaff), Van Rhynsdorp</t>
        </is>
      </c>
      <c r="E47" s="191" t="n">
        <v>34.9</v>
      </c>
      <c r="F47" s="191" t="n">
        <v>55.4</v>
      </c>
      <c r="G47" s="192">
        <f>IF(COUNT(E47,F47)&lt;2,"",F47-E47)</f>
        <v/>
      </c>
      <c r="H47" s="172" t="inlineStr">
        <is>
          <t>Department of Mineral and Petroleum Resources, zone lists effective 2 April 2014 and 3 April 2024</t>
        </is>
      </c>
    </row>
    <row r="48">
      <c r="A48" s="170" t="inlineStr">
        <is>
          <t>8B</t>
        </is>
      </c>
      <c r="B48" s="172" t="inlineStr">
        <is>
          <t>Eastern Cape, Western Cape, Northern Cape</t>
        </is>
      </c>
      <c r="C48" s="190" t="n">
        <v>4</v>
      </c>
      <c r="D48" s="172" t="inlineStr">
        <is>
          <t>Beaufort West, Cradock, Fraserburg, Pearston</t>
        </is>
      </c>
      <c r="E48" s="191" t="n">
        <v>37</v>
      </c>
      <c r="F48" s="191" t="n">
        <v>58.7</v>
      </c>
      <c r="G48" s="192">
        <f>IF(COUNT(E48,F48)&lt;2,"",F48-E48)</f>
        <v/>
      </c>
      <c r="H48" s="172" t="inlineStr">
        <is>
          <t>Department of Mineral and Petroleum Resources, zone lists effective 2 April 2014 and 3 April 2024</t>
        </is>
      </c>
    </row>
    <row r="49">
      <c r="A49" s="170" t="inlineStr">
        <is>
          <t>7A</t>
        </is>
      </c>
      <c r="B49" s="172" t="inlineStr">
        <is>
          <t>Eastern Cape, Northern Cape</t>
        </is>
      </c>
      <c r="C49" s="190" t="n">
        <v>6</v>
      </c>
      <c r="D49" s="172" t="inlineStr">
        <is>
          <t>Albert, Aliwal North, Noupoort, Steynsburg, Wodehouse, Xalanga</t>
        </is>
      </c>
      <c r="E49" s="191" t="n">
        <v>39.1</v>
      </c>
      <c r="F49" s="191" t="n">
        <v>62</v>
      </c>
      <c r="G49" s="192">
        <f>IF(COUNT(E49,F49)&lt;2,"",F49-E49)</f>
        <v/>
      </c>
      <c r="H49" s="172" t="inlineStr">
        <is>
          <t>Department of Mineral and Petroleum Resources, zone lists effective 2 April 2014 and 3 April 2024</t>
        </is>
      </c>
    </row>
    <row r="50">
      <c r="A50" s="170" t="inlineStr">
        <is>
          <t>10B</t>
        </is>
      </c>
      <c r="B50" s="172" t="inlineStr">
        <is>
          <t>Eastern Cape, Northern Cape</t>
        </is>
      </c>
      <c r="C50" s="190" t="n">
        <v>6</v>
      </c>
      <c r="D50" s="172" t="inlineStr">
        <is>
          <t>Carnavon, Kwabhaca (Mount Frere), Lusikisiki (PortStJohns), Maxesibeni (Mount Ayliff), Tabankulu, Williston</t>
        </is>
      </c>
      <c r="E50" s="191" t="n">
        <v>44.2</v>
      </c>
      <c r="F50" s="191" t="n">
        <v>70.09999999999999</v>
      </c>
      <c r="G50" s="192">
        <f>IF(COUNT(E50,F50)&lt;2,"",F50-E50)</f>
        <v/>
      </c>
      <c r="H50" s="172" t="inlineStr">
        <is>
          <t>Department of Mineral and Petroleum Resources, zone lists effective 2 April 2014 and 3 April 2024</t>
        </is>
      </c>
    </row>
    <row r="51">
      <c r="A51" s="170" t="inlineStr">
        <is>
          <t>12B</t>
        </is>
      </c>
      <c r="B51" s="172" t="inlineStr">
        <is>
          <t>Eastern Cape, Northern Cape</t>
        </is>
      </c>
      <c r="C51" s="190" t="n">
        <v>5</v>
      </c>
      <c r="D51" s="172" t="inlineStr">
        <is>
          <t>Calvinia (west of 20o longitude), Mount Fletcher, Sutherland, Umzimvubu, Victoria West</t>
        </is>
      </c>
      <c r="E51" s="191" t="n">
        <v>47.8</v>
      </c>
      <c r="F51" s="191" t="n">
        <v>75.8</v>
      </c>
      <c r="G51" s="192">
        <f>IF(COUNT(E51,F51)&lt;2,"",F51-E51)</f>
        <v/>
      </c>
      <c r="H51" s="172" t="inlineStr">
        <is>
          <t>Department of Mineral and Petroleum Resources, zone lists effective 2 April 2014 and 3 April 2024</t>
        </is>
      </c>
    </row>
    <row r="52">
      <c r="A52" s="170" t="inlineStr">
        <is>
          <t>6B</t>
        </is>
      </c>
      <c r="B52" s="172" t="inlineStr">
        <is>
          <t>Western Cape</t>
        </is>
      </c>
      <c r="C52" s="190" t="n">
        <v>3</v>
      </c>
      <c r="D52" s="172" t="inlineStr">
        <is>
          <t>Ladismith (Cape), Piketberg, Uniondale</t>
        </is>
      </c>
      <c r="E52" s="191" t="n">
        <v>19</v>
      </c>
      <c r="F52" s="191" t="n">
        <v>30.1</v>
      </c>
      <c r="G52" s="192">
        <f>IF(COUNT(E52,F52)&lt;2,"",F52-E52)</f>
        <v/>
      </c>
      <c r="H52" s="172" t="inlineStr">
        <is>
          <t>Department of Mineral and Petroleum Resources, zone lists effective 2 April 2014 and 3 April 2024</t>
        </is>
      </c>
    </row>
    <row r="53">
      <c r="A53" s="170" t="inlineStr">
        <is>
          <t>14B</t>
        </is>
      </c>
      <c r="B53" s="172" t="inlineStr">
        <is>
          <t>Northern Cape</t>
        </is>
      </c>
      <c r="C53" s="190" t="n">
        <v>1</v>
      </c>
      <c r="D53" s="172" t="inlineStr">
        <is>
          <t>Calvinia (east of 20o longitude)</t>
        </is>
      </c>
      <c r="E53" s="191" t="n">
        <v>55.9</v>
      </c>
      <c r="F53" s="191" t="n">
        <v>88.59999999999999</v>
      </c>
      <c r="G53" s="192">
        <f>IF(COUNT(E53,F53)&lt;2,"",F53-E53)</f>
        <v/>
      </c>
      <c r="H53" s="172" t="inlineStr">
        <is>
          <t>Department of Mineral and Petroleum Resources, zone lists effective 2 April 2014 and 3 April 2024</t>
        </is>
      </c>
    </row>
    <row r="54">
      <c r="A54" s="170" t="inlineStr">
        <is>
          <t>31J</t>
        </is>
      </c>
      <c r="B54" s="172" t="inlineStr">
        <is>
          <t>Northern Cape</t>
        </is>
      </c>
      <c r="C54" s="190" t="n">
        <v>1</v>
      </c>
      <c r="D54" s="172" t="inlineStr">
        <is>
          <t>Namakwaland South (south of 30o latitude)</t>
        </is>
      </c>
      <c r="E54" s="191" t="n">
        <v>56.1</v>
      </c>
      <c r="F54" s="191" t="n">
        <v>89</v>
      </c>
      <c r="G54" s="192">
        <f>IF(COUNT(E54,F54)&lt;2,"",F54-E54)</f>
        <v/>
      </c>
      <c r="H54" s="172" t="inlineStr">
        <is>
          <t>Department of Mineral and Petroleum Resources, zone lists effective 2 April 2014 and 3 April 2024</t>
        </is>
      </c>
    </row>
    <row r="55">
      <c r="A55" s="170" t="inlineStr">
        <is>
          <t>32J</t>
        </is>
      </c>
      <c r="B55" s="172" t="inlineStr">
        <is>
          <t>Northern Cape</t>
        </is>
      </c>
      <c r="C55" s="190" t="n">
        <v>1</v>
      </c>
      <c r="D55" s="172" t="inlineStr">
        <is>
          <t>Namakwaland Central (between 29o and 30o latitude and between 17o30' and 18o30' longitude)</t>
        </is>
      </c>
      <c r="E55" s="191" t="n">
        <v>76.3</v>
      </c>
      <c r="F55" s="191" t="n">
        <v>114.5</v>
      </c>
      <c r="G55" s="192">
        <f>IF(COUNT(E55,F55)&lt;2,"",F55-E55)</f>
        <v/>
      </c>
      <c r="H55" s="172" t="inlineStr">
        <is>
          <t>Department of Mineral and Petroleum Resources, zone lists effective 2 April 2014 and 3 April 2024</t>
        </is>
      </c>
    </row>
    <row r="56">
      <c r="A56" s="170" t="inlineStr">
        <is>
          <t>34J</t>
        </is>
      </c>
      <c r="B56" s="172" t="inlineStr">
        <is>
          <t>Northern Cape</t>
        </is>
      </c>
      <c r="C56" s="190" t="n">
        <v>1</v>
      </c>
      <c r="D56" s="172" t="inlineStr">
        <is>
          <t>Namakwaland Vioolsdrif (north of 29o latitude and east of 17o longitude)</t>
        </is>
      </c>
      <c r="E56" s="191" t="n">
        <v>85.90000000000001</v>
      </c>
      <c r="F56" s="191" t="n">
        <v>130.7</v>
      </c>
      <c r="G56" s="192">
        <f>IF(COUNT(E56,F56)&lt;2,"",F56-E56)</f>
        <v/>
      </c>
      <c r="H56" s="172" t="inlineStr">
        <is>
          <t>Department of Mineral and Petroleum Resources, zone lists effective 2 April 2014 and 3 April 2024</t>
        </is>
      </c>
    </row>
    <row r="57">
      <c r="A57" s="170" t="inlineStr">
        <is>
          <t>33J</t>
        </is>
      </c>
      <c r="B57" s="172" t="inlineStr">
        <is>
          <t>Northern Cape</t>
        </is>
      </c>
      <c r="C57" s="190" t="n">
        <v>1</v>
      </c>
      <c r="D57" s="172" t="inlineStr">
        <is>
          <t>Namakwaland Aggeneys(east of 18o30' longitude and north of 30o latitude)</t>
        </is>
      </c>
      <c r="E57" s="191" t="n">
        <v>87.3</v>
      </c>
      <c r="F57" s="191" t="n">
        <v>133.3</v>
      </c>
      <c r="G57" s="192">
        <f>IF(COUNT(E57,F57)&lt;2,"",F57-E57)</f>
        <v/>
      </c>
      <c r="H57" s="172" t="inlineStr">
        <is>
          <t>Department of Mineral and Petroleum Resources, zone lists effective 2 April 2014 and 3 April 2024</t>
        </is>
      </c>
    </row>
    <row r="58">
      <c r="A58" s="170" t="inlineStr">
        <is>
          <t>15A</t>
        </is>
      </c>
      <c r="B58" s="172" t="inlineStr">
        <is>
          <t>Northern Cape</t>
        </is>
      </c>
      <c r="C58" s="190" t="n">
        <v>1</v>
      </c>
      <c r="D58" s="172" t="inlineStr">
        <is>
          <t>Kenhardt (east of 20o longitude)</t>
        </is>
      </c>
      <c r="E58" s="191" t="n">
        <v>84.7</v>
      </c>
      <c r="F58" s="191" t="n">
        <v>134</v>
      </c>
      <c r="G58" s="192">
        <f>IF(COUNT(E58,F58)&lt;2,"",F58-E58)</f>
        <v/>
      </c>
      <c r="H58" s="172" t="inlineStr">
        <is>
          <t>Department of Mineral and Petroleum Resources, zone lists effective 2 April 2014 and 3 April 2024</t>
        </is>
      </c>
    </row>
    <row r="59">
      <c r="A59" s="170" t="inlineStr">
        <is>
          <t>36J</t>
        </is>
      </c>
      <c r="B59" s="172" t="inlineStr">
        <is>
          <t>Northern Cape</t>
        </is>
      </c>
      <c r="C59" s="190" t="n">
        <v>1</v>
      </c>
      <c r="D59" s="172" t="inlineStr">
        <is>
          <t>Namakwaland Kleinsee (between 29o and 30o latitude and between 17o and 17o30' longitude)</t>
        </is>
      </c>
      <c r="E59" s="191" t="n">
        <v>89.7</v>
      </c>
      <c r="F59" s="191" t="n">
        <v>138.4</v>
      </c>
      <c r="G59" s="192">
        <f>IF(COUNT(E59,F59)&lt;2,"",F59-E59)</f>
        <v/>
      </c>
      <c r="H59" s="172" t="inlineStr">
        <is>
          <t>Department of Mineral and Petroleum Resources, zone lists effective 2 April 2014 and 3 April 2024</t>
        </is>
      </c>
    </row>
    <row r="60">
      <c r="A60" s="170" t="inlineStr">
        <is>
          <t>35J</t>
        </is>
      </c>
      <c r="B60" s="172" t="inlineStr">
        <is>
          <t>Northern Cape</t>
        </is>
      </c>
      <c r="C60" s="190" t="n">
        <v>1</v>
      </c>
      <c r="D60" s="172" t="inlineStr">
        <is>
          <t>Namakwaland Port Nolloth (south of 29o latitude and west of 17o longitude)</t>
        </is>
      </c>
      <c r="E60" s="191" t="n">
        <v>89.7</v>
      </c>
      <c r="F60" s="191" t="n">
        <v>138.8</v>
      </c>
      <c r="G60" s="192">
        <f>IF(COUNT(E60,F60)&lt;2,"",F60-E60)</f>
        <v/>
      </c>
      <c r="H60" s="172" t="inlineStr">
        <is>
          <t>Department of Mineral and Petroleum Resources, zone lists effective 2 April 2014 and 3 April 2024</t>
        </is>
      </c>
    </row>
    <row r="61">
      <c r="A61" s="170" t="inlineStr">
        <is>
          <t>37J</t>
        </is>
      </c>
      <c r="B61" s="172" t="inlineStr">
        <is>
          <t>Northern Cape</t>
        </is>
      </c>
      <c r="C61" s="190" t="n">
        <v>1</v>
      </c>
      <c r="D61" s="172" t="inlineStr">
        <is>
          <t>Namakwaland Alexander Bay (north of 29o latitude and west of 17o longitude)</t>
        </is>
      </c>
      <c r="E61" s="191" t="n">
        <v>99.7</v>
      </c>
      <c r="F61" s="191" t="n">
        <v>155.7</v>
      </c>
      <c r="G61" s="192">
        <f>IF(COUNT(E61,F61)&lt;2,"",F61-E61)</f>
        <v/>
      </c>
      <c r="H61" s="172" t="inlineStr">
        <is>
          <t>Department of Mineral and Petroleum Resources, zone lists effective 2 April 2014 and 3 April 2024</t>
        </is>
      </c>
    </row>
    <row r="62">
      <c r="A62" s="170" t="inlineStr">
        <is>
          <t>19A</t>
        </is>
      </c>
      <c r="B62" s="172" t="inlineStr">
        <is>
          <t>Northern Cape</t>
        </is>
      </c>
      <c r="C62" s="190" t="n">
        <v>1</v>
      </c>
      <c r="D62" s="172" t="inlineStr">
        <is>
          <t>Gordonia (north of 27o30' latitude)</t>
        </is>
      </c>
      <c r="E62" s="191" t="n">
        <v>106.6</v>
      </c>
      <c r="F62" s="191" t="n">
        <v>167.3</v>
      </c>
      <c r="G62" s="192">
        <f>IF(COUNT(E62,F62)&lt;2,"",F62-E62)</f>
        <v/>
      </c>
      <c r="H62" s="172" t="inlineStr">
        <is>
          <t>Department of Mineral and Petroleum Resources, zone lists effective 2 April 2014 and 3 April 2024</t>
        </is>
      </c>
    </row>
    <row r="63">
      <c r="A63" s="170" t="inlineStr">
        <is>
          <t>69A</t>
        </is>
      </c>
      <c r="B63" s="172" t="inlineStr">
        <is>
          <t>Northern Cape</t>
        </is>
      </c>
      <c r="C63" s="190" t="n">
        <v>1</v>
      </c>
      <c r="D63" s="172" t="inlineStr">
        <is>
          <t>Kenhardt (west of 20o longitude)</t>
        </is>
      </c>
      <c r="E63" s="191" t="n">
        <v>106.6</v>
      </c>
      <c r="F63" s="191" t="n">
        <v>167.3</v>
      </c>
      <c r="G63" s="192">
        <f>IF(COUNT(E63,F63)&lt;2,"",F63-E63)</f>
        <v/>
      </c>
      <c r="H63" s="172" t="inlineStr">
        <is>
          <t>Department of Mineral and Petroleum Resources, zone lists effective 2 April 2014 and 3 April 2024</t>
        </is>
      </c>
    </row>
    <row r="64">
      <c r="A64" s="170" t="inlineStr">
        <is>
          <t>11A</t>
        </is>
      </c>
      <c r="B64" s="172" t="inlineStr">
        <is>
          <t>Northern Cape</t>
        </is>
      </c>
      <c r="C64" s="190" t="n">
        <v>1</v>
      </c>
      <c r="D64" s="172" t="inlineStr">
        <is>
          <t>Hay</t>
        </is>
      </c>
      <c r="E64" s="191" t="n">
        <v>87.5</v>
      </c>
      <c r="F64" s="191" t="n">
        <v>169.9</v>
      </c>
      <c r="G64" s="192">
        <f>IF(COUNT(E64,F64)&lt;2,"",F64-E64)</f>
        <v/>
      </c>
      <c r="H64" s="172" t="inlineStr">
        <is>
          <t>Department of Mineral and Petroleum Resources, zone lists effective 2 April 2014 and 3 April 2024</t>
        </is>
      </c>
    </row>
    <row r="65">
      <c r="A65" s="170" t="inlineStr">
        <is>
          <t>13A</t>
        </is>
      </c>
      <c r="B65" s="172" t="inlineStr">
        <is>
          <t>Northern Cape</t>
        </is>
      </c>
      <c r="C65" s="190" t="n">
        <v>1</v>
      </c>
      <c r="D65" s="172" t="inlineStr">
        <is>
          <t>Gordonia (south of 28o latitude)</t>
        </is>
      </c>
      <c r="E65" s="191" t="n">
        <v>88.7</v>
      </c>
      <c r="F65" s="191" t="n">
        <v>178.2</v>
      </c>
      <c r="G65" s="192">
        <f>IF(COUNT(E65,F65)&lt;2,"",F65-E65)</f>
        <v/>
      </c>
      <c r="H65" s="172" t="inlineStr">
        <is>
          <t>Department of Mineral and Petroleum Resources, zone lists effective 2 April 2014 and 3 April 2024</t>
        </is>
      </c>
    </row>
    <row r="66">
      <c r="A66" s="170" t="inlineStr">
        <is>
          <t>17A</t>
        </is>
      </c>
      <c r="B66" s="172" t="inlineStr">
        <is>
          <t>Northern Cape</t>
        </is>
      </c>
      <c r="C66" s="190" t="n">
        <v>1</v>
      </c>
      <c r="D66" s="172" t="inlineStr">
        <is>
          <t>Gordonia Central (between 27o30' and 28o latituded)</t>
        </is>
      </c>
      <c r="E66" s="191" t="n">
        <v>99.8</v>
      </c>
      <c r="F66" s="191" t="n">
        <v>179.6</v>
      </c>
      <c r="G66" s="192">
        <f>IF(COUNT(E66,F66)&lt;2,"",F66-E66)</f>
        <v/>
      </c>
      <c r="H66" s="172" t="inlineStr">
        <is>
          <t>Department of Mineral and Petroleum Resources, zone lists effective 2 April 2014 and 3 April 2024</t>
        </is>
      </c>
    </row>
    <row r="67">
      <c r="A67" s="170" t="inlineStr">
        <is>
          <t>60C</t>
        </is>
      </c>
      <c r="B67" s="172" t="inlineStr">
        <is>
          <t>Not in the 2014 district list</t>
        </is>
      </c>
      <c r="C67" s="190" t="n"/>
      <c r="D67" s="172" t="inlineStr"/>
      <c r="E67" s="191" t="n">
        <v>44.3</v>
      </c>
      <c r="F67" s="191" t="n">
        <v>104</v>
      </c>
      <c r="G67" s="192">
        <f>IF(COUNT(E67,F67)&lt;2,"",F67-E67)</f>
        <v/>
      </c>
      <c r="H67" s="172" t="inlineStr">
        <is>
          <t>Department of Mineral and Petroleum Resources, zone lists effective 2 April 2014 and 3 April 2024</t>
        </is>
      </c>
    </row>
    <row r="68">
      <c r="A68" s="170" t="inlineStr">
        <is>
          <t>10A</t>
        </is>
      </c>
      <c r="B68" s="172" t="inlineStr">
        <is>
          <t>Not in the 2014 district list</t>
        </is>
      </c>
      <c r="C68" s="190" t="n"/>
      <c r="D68" s="172" t="inlineStr"/>
      <c r="E68" s="191" t="n">
        <v>82.59999999999999</v>
      </c>
      <c r="F68" s="191" t="n">
        <v>121.5</v>
      </c>
      <c r="G68" s="192">
        <f>IF(COUNT(E68,F68)&lt;2,"",F68-E68)</f>
        <v/>
      </c>
      <c r="H68" s="172" t="inlineStr">
        <is>
          <t>Department of Mineral and Petroleum Resources, zone lists effective 2 April 2014 and 3 April 2024</t>
        </is>
      </c>
    </row>
  </sheetData>
  <mergeCells count="7">
    <mergeCell ref="E10:G10"/>
    <mergeCell ref="E11:G11"/>
    <mergeCell ref="E5:G5"/>
    <mergeCell ref="E8:G8"/>
    <mergeCell ref="E9:G9"/>
    <mergeCell ref="E7:G7"/>
    <mergeCell ref="E6:G6"/>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8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DR07 Demand evidence: what calibrates the demand levers</t>
        </is>
      </c>
    </row>
    <row r="2">
      <c r="A2" s="1" t="inlineStr">
        <is>
          <t>56 facts read from sources, 10 calculated, 6 not available (yellow). Each row gives its source. Built by python -m lfm.scripts.build_dr07_demand_evidence.</t>
        </is>
      </c>
    </row>
    <row r="4">
      <c r="A4" s="150" t="inlineStr">
        <is>
          <t>Item</t>
        </is>
      </c>
      <c r="B4" s="150" t="inlineStr">
        <is>
          <t>Covers</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Power generation</t>
        </is>
      </c>
      <c r="B5" s="151" t="n"/>
      <c r="C5" s="151" t="n"/>
      <c r="D5" s="151" t="n"/>
      <c r="E5" s="151" t="n"/>
      <c r="F5" s="151" t="n"/>
      <c r="G5" s="151" t="n"/>
      <c r="H5" s="151" t="n"/>
      <c r="I5" s="151" t="n"/>
    </row>
    <row r="6">
      <c r="A6" s="152" t="inlineStr">
        <is>
          <t>Fuel burned at Eskom's turbines, as reported</t>
        </is>
      </c>
      <c r="B6" s="152" t="inlineStr">
        <is>
          <t>Eskom: Ankerlig, Gourikwa, Acacia, Port Rex</t>
        </is>
      </c>
      <c r="C6" s="152" t="inlineStr">
        <is>
          <t>458.7; 580.4; 937.5; 1,129.5; 679.1</t>
        </is>
      </c>
      <c r="D6" s="152" t="inlineStr">
        <is>
          <t>million litres</t>
        </is>
      </c>
      <c r="E6" s="152" t="inlineStr">
        <is>
          <t>years to March 2021; 2022; 2023; 2024; 2025</t>
        </is>
      </c>
      <c r="F6" s="152" t="inlineStr">
        <is>
          <t>observed</t>
        </is>
      </c>
      <c r="G6" s="152" t="inlineStr">
        <is>
          <t>Eskom Integrated Report 2025, technical statistics</t>
        </is>
      </c>
      <c r="H6" s="152" t="inlineStr">
        <is>
          <t>PDF p.141</t>
        </is>
      </c>
      <c r="I6" s="152" t="inlineStr">
        <is>
          <t>Eskom reports diesel and kerosene together. Acacia and Port Rex burn kerosene and are 342 MW of Eskom's 2,426 MW, so nearly all of it is diesel. Ten years (2016-2025) are on the DR07 power diesel sheet. 2026 is not yet reported.</t>
        </is>
      </c>
    </row>
    <row r="7">
      <c r="A7" s="152" t="inlineStr">
        <is>
          <t>Electricity generated at Eskom's turbines</t>
        </is>
      </c>
      <c r="B7" s="152" t="inlineStr">
        <is>
          <t>Eskom</t>
        </is>
      </c>
      <c r="C7" s="152" t="inlineStr">
        <is>
          <t>1,826; 3,018; 3,634; 2,176; 811</t>
        </is>
      </c>
      <c r="D7" s="152" t="inlineStr">
        <is>
          <t>GWh</t>
        </is>
      </c>
      <c r="E7" s="152" t="inlineStr">
        <is>
          <t>years to March 2022; 2023; 2024; 2025; 2026</t>
        </is>
      </c>
      <c r="F7" s="152" t="inlineStr">
        <is>
          <t>observed</t>
        </is>
      </c>
      <c r="G7" s="152" t="inlineStr">
        <is>
          <t>Eskom data portal and reports</t>
        </is>
      </c>
      <c r="H7" s="152" t="inlineStr"/>
      <c r="I7" s="152" t="inlineStr"/>
    </row>
    <row r="8">
      <c r="A8" s="156" t="inlineStr">
        <is>
          <t>Litres burned per kWh, implied</t>
        </is>
      </c>
      <c r="B8" s="156" t="inlineStr">
        <is>
          <t>Eskom</t>
        </is>
      </c>
      <c r="C8" s="156" t="inlineStr">
        <is>
          <t>0.311; 0.311; 0.312</t>
        </is>
      </c>
      <c r="D8" s="156" t="inlineStr">
        <is>
          <t>litres per kWh</t>
        </is>
      </c>
      <c r="E8" s="156" t="inlineStr">
        <is>
          <t>years to March 2023; 2024; 2025</t>
        </is>
      </c>
      <c r="F8" s="156" t="inlineStr">
        <is>
          <t>inferred</t>
        </is>
      </c>
      <c r="G8" s="156" t="inlineStr">
        <is>
          <t>Reported fuel divided by reported generation</t>
        </is>
      </c>
      <c r="H8" s="156" t="inlineStr"/>
      <c r="I8" s="156" t="inlineStr">
        <is>
          <t>Confirms the 0.31 litres per kWh used on the Power fleet sheet.</t>
        </is>
      </c>
    </row>
    <row r="9">
      <c r="A9" s="152" t="inlineStr">
        <is>
          <t>Electricity generated at independent diesel plants</t>
        </is>
      </c>
      <c r="B9" s="152" t="inlineStr">
        <is>
          <t>Avon and Dedisa</t>
        </is>
      </c>
      <c r="C9" s="152" t="inlineStr">
        <is>
          <t>1,098; 1,509; 662; 268</t>
        </is>
      </c>
      <c r="D9" s="152" t="inlineStr">
        <is>
          <t>GWh</t>
        </is>
      </c>
      <c r="E9" s="152" t="inlineStr">
        <is>
          <t>years to March 2023; 2024; 2025; 2026</t>
        </is>
      </c>
      <c r="F9" s="152" t="inlineStr">
        <is>
          <t>observed</t>
        </is>
      </c>
      <c r="G9" s="152" t="inlineStr">
        <is>
          <t>Eskom data portal and reports</t>
        </is>
      </c>
      <c r="H9" s="152" t="inlineStr"/>
      <c r="I9" s="152" t="inlineStr"/>
    </row>
    <row r="10">
      <c r="A10" s="156" t="inlineStr">
        <is>
          <t>Diesel burned at independent plants, estimated</t>
        </is>
      </c>
      <c r="B10" s="156" t="inlineStr">
        <is>
          <t>Avon and Dedisa</t>
        </is>
      </c>
      <c r="C10" s="156" t="inlineStr">
        <is>
          <t>340; 468; 205; 83</t>
        </is>
      </c>
      <c r="D10" s="156" t="inlineStr">
        <is>
          <t>million litres</t>
        </is>
      </c>
      <c r="E10" s="156" t="inlineStr">
        <is>
          <t>years to March 2023; 2024; 2025; 2026</t>
        </is>
      </c>
      <c r="F10" s="156" t="inlineStr">
        <is>
          <t>inferred</t>
        </is>
      </c>
      <c r="G10" s="156" t="inlineStr">
        <is>
          <t>Generation x 0.31 litres per kWh</t>
        </is>
      </c>
      <c r="H10" s="156" t="inlineStr"/>
      <c r="I10" s="156" t="inlineStr">
        <is>
          <t>The producers do not report litres. Uses Eskom's implied rate.</t>
        </is>
      </c>
    </row>
    <row r="11">
      <c r="A11" s="162" t="inlineStr">
        <is>
          <t>Diesel burned in private backup generators</t>
        </is>
      </c>
      <c r="B11" s="162" t="inlineStr">
        <is>
          <t>Businesses and households</t>
        </is>
      </c>
      <c r="C11" s="162" t="inlineStr">
        <is>
          <t>Not available</t>
        </is>
      </c>
      <c r="D11" s="162" t="inlineStr">
        <is>
          <t>million litres</t>
        </is>
      </c>
      <c r="E11" s="162" t="inlineStr"/>
      <c r="F11" s="162" t="inlineStr">
        <is>
          <t>not available</t>
        </is>
      </c>
      <c r="G11" s="162" t="inlineStr">
        <is>
          <t>None found</t>
        </is>
      </c>
      <c r="H11" s="162" t="inlineStr"/>
      <c r="I11" s="162" t="inlineStr">
        <is>
          <t>No source measures it: checked the Reserve Bank, the CSIR, Eskom and the system operator. It is inside recorded diesel sales and cannot be separated.</t>
        </is>
      </c>
    </row>
    <row r="12">
      <c r="A12" s="152" t="inlineStr">
        <is>
          <t>Electricity not supplied through load-shedding</t>
        </is>
      </c>
      <c r="B12" s="152" t="inlineStr">
        <is>
          <t>Electricity not supplied through load-shedding</t>
        </is>
      </c>
      <c r="C12" s="152" t="inlineStr">
        <is>
          <t>10.6; 2.5</t>
        </is>
      </c>
      <c r="D12" s="152" t="inlineStr">
        <is>
          <t>TWh</t>
        </is>
      </c>
      <c r="E12" s="152" t="inlineStr">
        <is>
          <t>2023; 2024</t>
        </is>
      </c>
      <c r="F12" s="152" t="inlineStr">
        <is>
          <t>observed</t>
        </is>
      </c>
      <c r="G12" s="152" t="inlineStr">
        <is>
          <t>CSIR, Utility-scale power generation statistics in South Africa 2024</t>
        </is>
      </c>
      <c r="H12" s="152" t="inlineStr">
        <is>
          <t>PDF p.4</t>
        </is>
      </c>
      <c r="I12" s="152" t="inlineStr">
        <is>
          <t>An upper limit: each stage is counted as its full megawatts for the full hour.</t>
        </is>
      </c>
    </row>
    <row r="13">
      <c r="A13" s="156" t="inlineStr">
        <is>
          <t>Ceiling on backup generator diesel</t>
        </is>
      </c>
      <c r="B13" s="156" t="inlineStr">
        <is>
          <t>Businesses and households</t>
        </is>
      </c>
      <c r="C13" s="156" t="inlineStr">
        <is>
          <t>3.3; 0.8</t>
        </is>
      </c>
      <c r="D13" s="156" t="inlineStr">
        <is>
          <t>billion litres</t>
        </is>
      </c>
      <c r="E13" s="156" t="inlineStr">
        <is>
          <t>2023; 2024</t>
        </is>
      </c>
      <c r="F13" s="156" t="inlineStr">
        <is>
          <t>inferred</t>
        </is>
      </c>
      <c r="G13" s="156" t="inlineStr">
        <is>
          <t>Load-shedding energy x 0.31 litres per kWh</t>
        </is>
      </c>
      <c r="H13" s="156" t="inlineStr"/>
      <c r="I13" s="156" t="inlineStr">
        <is>
          <t>The most diesel that replacing every unit shed could have burned. Not an estimate: much of the gap was met by solar, batteries or going without.</t>
        </is>
      </c>
    </row>
    <row r="14">
      <c r="A14" s="152" t="inlineStr">
        <is>
          <t>Diesel stations and capacity</t>
        </is>
      </c>
      <c r="B14" s="152" t="inlineStr">
        <is>
          <t>Ankerlig; Gourikwa; Avon; Dedisa</t>
        </is>
      </c>
      <c r="C14" s="152" t="inlineStr">
        <is>
          <t>1,338; 746; 670; 335</t>
        </is>
      </c>
      <c r="D14" s="152" t="inlineStr">
        <is>
          <t>MW</t>
        </is>
      </c>
      <c r="E14" s="152" t="inlineStr">
        <is>
          <t>current</t>
        </is>
      </c>
      <c r="F14" s="152" t="inlineStr">
        <is>
          <t>observed</t>
        </is>
      </c>
      <c r="G14" s="152" t="inlineStr">
        <is>
          <t>Eskom fact sheet GX 0001 (July 2024); African Energy (2015)</t>
        </is>
      </c>
      <c r="H14" s="152" t="inlineStr"/>
      <c r="I14" s="152" t="inlineStr">
        <is>
          <t>Avon began in July 2016 and Dedisa in October 2015.</t>
        </is>
      </c>
    </row>
    <row r="15">
      <c r="A15" s="152" t="inlineStr">
        <is>
          <t>Coal station shutdown</t>
        </is>
      </c>
      <c r="B15" s="152" t="inlineStr">
        <is>
          <t>Komati</t>
        </is>
      </c>
      <c r="C15" s="152" t="inlineStr">
        <is>
          <t>Shut down</t>
        </is>
      </c>
      <c r="D15" s="152" t="inlineStr"/>
      <c r="E15" s="152" t="inlineStr">
        <is>
          <t>October 2022</t>
        </is>
      </c>
      <c r="F15" s="152" t="inlineStr">
        <is>
          <t>observed</t>
        </is>
      </c>
      <c r="G15" s="152" t="inlineStr">
        <is>
          <t>Eskom, coal-fired power stations page</t>
        </is>
      </c>
      <c r="H15" s="152" t="inlineStr"/>
      <c r="I15" s="152" t="inlineStr">
        <is>
          <t>The last unit, unit 9.</t>
        </is>
      </c>
    </row>
    <row r="16">
      <c r="A16" s="152" t="inlineStr">
        <is>
          <t>Coal station shutdown</t>
        </is>
      </c>
      <c r="B16" s="152" t="inlineStr">
        <is>
          <t>Camden, Hendrina, Grootvlei, Arnot and Kriel</t>
        </is>
      </c>
      <c r="C16" s="152" t="inlineStr">
        <is>
          <t>Scheduled to shut down</t>
        </is>
      </c>
      <c r="D16" s="152" t="inlineStr"/>
      <c r="E16" s="152" t="inlineStr">
        <is>
          <t>by 31 March 2030</t>
        </is>
      </c>
      <c r="F16" s="152" t="inlineStr">
        <is>
          <t>observed</t>
        </is>
      </c>
      <c r="G16" s="152" t="inlineStr">
        <is>
          <t>Eskom Integrated Report 2025; system operator outlook</t>
        </is>
      </c>
      <c r="H16" s="152" t="inlineStr">
        <is>
          <t>Eskom PDF pp.32, 44; outlook PDF pp.17, 19</t>
        </is>
      </c>
      <c r="I16" s="152" t="inlineStr">
        <is>
          <t>Eskom: the four older stations 'will now continue operating until FY2030'. System operator: all five run to the end of 2028, then shut in phases from 2029.</t>
        </is>
      </c>
    </row>
    <row r="17">
      <c r="A17" s="152" t="inlineStr">
        <is>
          <t>Coal station shutdown</t>
        </is>
      </c>
      <c r="B17" s="152" t="inlineStr">
        <is>
          <t>Duvha</t>
        </is>
      </c>
      <c r="C17" s="152" t="inlineStr">
        <is>
          <t>Planned shutdown</t>
        </is>
      </c>
      <c r="D17" s="152" t="inlineStr"/>
      <c r="E17" s="152" t="inlineStr">
        <is>
          <t>February 2034</t>
        </is>
      </c>
      <c r="F17" s="152" t="inlineStr">
        <is>
          <t>observed</t>
        </is>
      </c>
      <c r="G17" s="152" t="inlineStr">
        <is>
          <t>System operator, Medium-Term System Adequacy Outlook 2026-2030 (30 October 2025)</t>
        </is>
      </c>
      <c r="H17" s="152" t="inlineStr">
        <is>
          <t>PDF p.19</t>
        </is>
      </c>
      <c r="I17" s="152" t="inlineStr">
        <is>
          <t>Its emissions exemption runs to this date.</t>
        </is>
      </c>
    </row>
    <row r="18">
      <c r="A18" s="152" t="inlineStr">
        <is>
          <t>Coal station shutdown</t>
        </is>
      </c>
      <c r="B18" s="152" t="inlineStr">
        <is>
          <t>Matla</t>
        </is>
      </c>
      <c r="C18" s="152" t="inlineStr">
        <is>
          <t>Planned shutdown</t>
        </is>
      </c>
      <c r="D18" s="152" t="inlineStr"/>
      <c r="E18" s="152" t="inlineStr">
        <is>
          <t>July 2034</t>
        </is>
      </c>
      <c r="F18" s="152" t="inlineStr">
        <is>
          <t>observed</t>
        </is>
      </c>
      <c r="G18" s="152" t="inlineStr">
        <is>
          <t>System operator, Medium-Term System Adequacy Outlook 2026-2030 (30 October 2025)</t>
        </is>
      </c>
      <c r="H18" s="152" t="inlineStr">
        <is>
          <t>PDF p.19</t>
        </is>
      </c>
      <c r="I18" s="152" t="inlineStr">
        <is>
          <t>Its emissions exemption runs to this date.</t>
        </is>
      </c>
    </row>
    <row r="19">
      <c r="A19" s="152" t="inlineStr">
        <is>
          <t>Coal station shutdown</t>
        </is>
      </c>
      <c r="B19" s="152" t="inlineStr">
        <is>
          <t>Tutuka</t>
        </is>
      </c>
      <c r="C19" s="152" t="inlineStr">
        <is>
          <t>Scheduled for closure under Eskom's Generation 2035 plan</t>
        </is>
      </c>
      <c r="D19" s="152" t="inlineStr"/>
      <c r="E19" s="152" t="inlineStr">
        <is>
          <t>by 2030</t>
        </is>
      </c>
      <c r="F19" s="152" t="inlineStr">
        <is>
          <t>observed</t>
        </is>
      </c>
      <c r="G19" s="152" t="inlineStr">
        <is>
          <t>Eskom, coal-fired power stations page</t>
        </is>
      </c>
      <c r="H19" s="152" t="inlineStr"/>
      <c r="I19" s="152" t="inlineStr">
        <is>
          <t>The system operator's outlook does not count Tutuka among the stations shutting by 2030, so this may be an older plan.</t>
        </is>
      </c>
    </row>
    <row r="20">
      <c r="A20" s="152" t="inlineStr">
        <is>
          <t>Coal station shutdown</t>
        </is>
      </c>
      <c r="B20" s="152" t="inlineStr">
        <is>
          <t>Kendal, Lethabo, Majuba, Matimba and Medupi</t>
        </is>
      </c>
      <c r="C20" s="152" t="inlineStr">
        <is>
          <t>Emissions exemption to 31 March 2030</t>
        </is>
      </c>
      <c r="D20" s="152" t="inlineStr"/>
      <c r="E20" s="152" t="inlineStr">
        <is>
          <t>no shutdown date given</t>
        </is>
      </c>
      <c r="F20" s="152" t="inlineStr">
        <is>
          <t>observed</t>
        </is>
      </c>
      <c r="G20" s="152" t="inlineStr">
        <is>
          <t>System operator, Medium-Term System Adequacy Outlook 2026-2030 (30 October 2025)</t>
        </is>
      </c>
      <c r="H20" s="152" t="inlineStr">
        <is>
          <t>PDF p.19</t>
        </is>
      </c>
      <c r="I20" s="152" t="inlineStr">
        <is>
          <t>An exemption, not a shutdown date. Eskom may apply for more.</t>
        </is>
      </c>
    </row>
    <row r="21">
      <c r="A21" s="152" t="inlineStr">
        <is>
          <t>Coal station shutdown</t>
        </is>
      </c>
      <c r="B21" s="152" t="inlineStr">
        <is>
          <t>Nine coal stations, about 22 GW</t>
        </is>
      </c>
      <c r="C21" s="152" t="inlineStr">
        <is>
          <t>To be shut down</t>
        </is>
      </c>
      <c r="D21" s="152" t="inlineStr"/>
      <c r="E21" s="152" t="inlineStr">
        <is>
          <t>by 2035</t>
        </is>
      </c>
      <c r="F21" s="152" t="inlineStr">
        <is>
          <t>observed</t>
        </is>
      </c>
      <c r="G21" s="152" t="inlineStr">
        <is>
          <t>Eskom, input on emission standards (24 November 2022)</t>
        </is>
      </c>
      <c r="H21" s="152" t="inlineStr">
        <is>
          <t>PDF p.12</t>
        </is>
      </c>
      <c r="I21" s="152" t="inlineStr">
        <is>
          <t>Eskom's 2035 plan as it stood in 2022, before the shutdowns were delayed.</t>
        </is>
      </c>
    </row>
    <row r="22">
      <c r="A22" s="156" t="inlineStr">
        <is>
          <t>Coal stations: last full year used on the Power fleet sheet</t>
        </is>
      </c>
      <c r="B22" s="156" t="inlineStr">
        <is>
          <t>Komati; Camden; Grootvlei; Hendrina; Arnot; Kriel; Duvha; Matla</t>
        </is>
      </c>
      <c r="C22" s="156" t="inlineStr">
        <is>
          <t>2022; 2029; 2029; 2029; 2029; 2029; 2033; 2033</t>
        </is>
      </c>
      <c r="D22" s="156" t="inlineStr">
        <is>
          <t>last full year</t>
        </is>
      </c>
      <c r="E22" s="156" t="inlineStr"/>
      <c r="F22" s="156" t="inlineStr">
        <is>
          <t>inferred</t>
        </is>
      </c>
      <c r="G22" s="156" t="inlineStr">
        <is>
          <t>Read from the shutdown dates above</t>
        </is>
      </c>
      <c r="H22" s="156" t="inlineStr"/>
      <c r="I22" s="156" t="inlineStr">
        <is>
          <t>Eskom's decision on five of them, due end September 2026, had not been announced by 8 October.</t>
        </is>
      </c>
    </row>
    <row r="23">
      <c r="A23" s="152" t="inlineStr">
        <is>
          <t>Independent diesel plants: contract end</t>
        </is>
      </c>
      <c r="B23" s="152" t="inlineStr">
        <is>
          <t>Dedisa and Avon (1.01 GW)</t>
        </is>
      </c>
      <c r="C23" s="152" t="inlineStr">
        <is>
          <t>Contracts expire</t>
        </is>
      </c>
      <c r="D23" s="152" t="inlineStr"/>
      <c r="E23" s="152" t="inlineStr">
        <is>
          <t>August and September 2030</t>
        </is>
      </c>
      <c r="F23" s="152" t="inlineStr">
        <is>
          <t>observed</t>
        </is>
      </c>
      <c r="G23" s="152" t="inlineStr">
        <is>
          <t>System operator, Medium-Term System Adequacy Outlook 2026-2030 (30 October 2025)</t>
        </is>
      </c>
      <c r="H23" s="152" t="inlineStr">
        <is>
          <t>PDF p.22</t>
        </is>
      </c>
      <c r="I23" s="152" t="inlineStr">
        <is>
          <t>The department's two diesel peaking plants.</t>
        </is>
      </c>
    </row>
    <row r="24">
      <c r="A24" s="152" t="inlineStr">
        <is>
          <t>Kerosene stations: shutdown</t>
        </is>
      </c>
      <c r="B24" s="152" t="inlineStr">
        <is>
          <t>Acacia and Port Rex (0.34 GW)</t>
        </is>
      </c>
      <c r="C24" s="152" t="inlineStr">
        <is>
          <t>Scheduled for shutdown</t>
        </is>
      </c>
      <c r="D24" s="152" t="inlineStr"/>
      <c r="E24" s="152" t="inlineStr">
        <is>
          <t>2030</t>
        </is>
      </c>
      <c r="F24" s="152" t="inlineStr">
        <is>
          <t>observed</t>
        </is>
      </c>
      <c r="G24" s="152" t="inlineStr">
        <is>
          <t>System operator, Medium-Term System Adequacy Outlook 2026-2030 (30 October 2025)</t>
        </is>
      </c>
      <c r="H24" s="152" t="inlineStr">
        <is>
          <t>PDF p.18</t>
        </is>
      </c>
      <c r="I24" s="152" t="inlineStr"/>
    </row>
    <row r="25">
      <c r="A25" s="152" t="inlineStr">
        <is>
          <t>New gas plant: commissioning</t>
        </is>
      </c>
      <c r="B25" s="152" t="inlineStr">
        <is>
          <t>Combined-cycle gas turbines: 3 GW Eskom, 3 GW independent (gas bid windows 1 and 2)</t>
        </is>
      </c>
      <c r="C25" s="152" t="inlineStr">
        <is>
          <t>6 GW</t>
        </is>
      </c>
      <c r="D25" s="152" t="inlineStr"/>
      <c r="E25" s="152" t="inlineStr">
        <is>
          <t>2030</t>
        </is>
      </c>
      <c r="F25" s="152" t="inlineStr">
        <is>
          <t>observed</t>
        </is>
      </c>
      <c r="G25" s="152" t="inlineStr">
        <is>
          <t>System operator, Medium-Term System Adequacy Outlook 2026-2030 (30 October 2025)</t>
        </is>
      </c>
      <c r="H25" s="152" t="inlineStr">
        <is>
          <t>PDF p.25</t>
        </is>
      </c>
      <c r="I25" s="152" t="inlineStr">
        <is>
          <t>Assumed, not in construction. The outlook studies a delay beyond 2030 as a risk.</t>
        </is>
      </c>
    </row>
    <row r="26">
      <c r="A26" s="152" t="inlineStr">
        <is>
          <t>Diesel turbine use expected by the system operator</t>
        </is>
      </c>
      <c r="B26" s="152" t="inlineStr">
        <is>
          <t>Diesel turbines (Ankerlig, Gourikwa, Dedisa, Avon)</t>
        </is>
      </c>
      <c r="C26" s="152" t="inlineStr">
        <is>
          <t>Minimal, below 6% in most cases; higher in 2029, and in 2030 if the gas plant is late</t>
        </is>
      </c>
      <c r="D26" s="152" t="inlineStr"/>
      <c r="E26" s="152" t="inlineStr">
        <is>
          <t>2026-2030</t>
        </is>
      </c>
      <c r="F26" s="152" t="inlineStr">
        <is>
          <t>observed</t>
        </is>
      </c>
      <c r="G26" s="152" t="inlineStr">
        <is>
          <t>System operator, Medium-Term System Adequacy Outlook 2026-2030 (30 October 2025)</t>
        </is>
      </c>
      <c r="H26" s="152" t="inlineStr">
        <is>
          <t>PDF p.35</t>
        </is>
      </c>
      <c r="I26" s="152" t="inlineStr">
        <is>
          <t>The system operator's own modelling.</t>
        </is>
      </c>
    </row>
    <row r="27">
      <c r="A27" s="152" t="inlineStr">
        <is>
          <t>Coal capacity shutting down</t>
        </is>
      </c>
      <c r="B27" s="152" t="inlineStr">
        <is>
          <t>Eskom coal fleet</t>
        </is>
      </c>
      <c r="C27" s="152" t="inlineStr">
        <is>
          <t>5.26; 3.14</t>
        </is>
      </c>
      <c r="D27" s="152" t="inlineStr">
        <is>
          <t>GW</t>
        </is>
      </c>
      <c r="E27" s="152" t="inlineStr">
        <is>
          <t>2029; 2030, by March</t>
        </is>
      </c>
      <c r="F27" s="152" t="inlineStr">
        <is>
          <t>observed</t>
        </is>
      </c>
      <c r="G27" s="152" t="inlineStr">
        <is>
          <t>System operator, Medium-Term System Adequacy Outlook 2026-2030 (30 October 2025)</t>
        </is>
      </c>
      <c r="H27" s="152" t="inlineStr">
        <is>
          <t>PDF p.18</t>
        </is>
      </c>
      <c r="I27" s="152" t="inlineStr">
        <is>
          <t>Camden, Hendrina, Arnot, Grootvlei and Kriel run to the end of 2028; phased shutdown from 2029. Eskom's coal fleet falls from 40.1 GW to 31.7 GW.</t>
        </is>
      </c>
    </row>
    <row r="28">
      <c r="A28" s="152" t="inlineStr">
        <is>
          <t>New gas plant, by project</t>
        </is>
      </c>
      <c r="B28" s="152" t="inlineStr">
        <is>
          <t>Eskom, Richards Bay combined-cycle plant (3,000 MW)</t>
        </is>
      </c>
      <c r="C28" s="152" t="inlineStr">
        <is>
          <t>Minister's determination: connect as soon as possible and not beyond 2028</t>
        </is>
      </c>
      <c r="D28" s="152" t="inlineStr"/>
      <c r="E28" s="152" t="inlineStr">
        <is>
          <t>not beyond 2028</t>
        </is>
      </c>
      <c r="F28" s="152" t="inlineStr">
        <is>
          <t>observed</t>
        </is>
      </c>
      <c r="G28" s="152" t="inlineStr">
        <is>
          <t>NERSA, reasons for decision on the 3,000 MW gas determination (November 2024)</t>
        </is>
      </c>
      <c r="H28" s="152" t="inlineStr">
        <is>
          <t>PDF pp.1, 11</t>
        </is>
      </c>
      <c r="I28" s="152" t="inlineStr">
        <is>
          <t>Eskom's feasibility study had all four units commissioned by the end of 2028 (p.49). The system operator now assumes 2030.</t>
        </is>
      </c>
    </row>
    <row r="29">
      <c r="A29" s="152" t="inlineStr">
        <is>
          <t>New gas plant, by project</t>
        </is>
      </c>
      <c r="B29" s="152" t="inlineStr">
        <is>
          <t>Independent producers, gas bid window 1 (2,000 MW)</t>
        </is>
      </c>
      <c r="C29" s="152" t="inlineStr">
        <is>
          <t>No bidder appointed; no commissioning date</t>
        </is>
      </c>
      <c r="D29" s="152" t="inlineStr"/>
      <c r="E29" s="152" t="inlineStr">
        <is>
          <t>request for proposals issued 14 December 2023</t>
        </is>
      </c>
      <c r="F29" s="152" t="inlineStr">
        <is>
          <t>observed</t>
        </is>
      </c>
      <c r="G29" s="152" t="inlineStr">
        <is>
          <t>Independent Power Producers Office, gas programme site</t>
        </is>
      </c>
      <c r="H29" s="152" t="inlineStr"/>
      <c r="I29" s="152" t="inlineStr">
        <is>
          <t>Sites anywhere in the country except Coega, which has a separate process. Bids closed on 29 May 2026: see the rows below.</t>
        </is>
      </c>
    </row>
    <row r="30">
      <c r="A30" s="152" t="inlineStr">
        <is>
          <t>New gas plant, by project</t>
        </is>
      </c>
      <c r="B30" s="152" t="inlineStr">
        <is>
          <t>Eskom, Richards Bay combined-cycle plant (3,000 MW)</t>
        </is>
      </c>
      <c r="C30" s="152" t="inlineStr">
        <is>
          <t>Eskom plans to begin producing electricity from 2031</t>
        </is>
      </c>
      <c r="D30" s="152" t="inlineStr"/>
      <c r="E30" s="152" t="inlineStr">
        <is>
          <t>from 2031</t>
        </is>
      </c>
      <c r="F30" s="152" t="inlineStr">
        <is>
          <t>observed</t>
        </is>
      </c>
      <c r="G30" s="152" t="inlineStr">
        <is>
          <t>Engineering News, 5 June 2026, reporting Eskom and the Independent Power Producers Office</t>
        </is>
      </c>
      <c r="H30" s="152" t="inlineStr"/>
      <c r="I30" s="152" t="inlineStr">
        <is>
          <t>Three years after the determination's 2028 and a year after the system operator's 2030. The environmental assessment must be redone: the Supreme Court of Appeal set the authorisation aside in 2025. A press report of Eskom's statement.</t>
        </is>
      </c>
    </row>
    <row r="31">
      <c r="A31" s="152" t="inlineStr">
        <is>
          <t>New gas plant, by project</t>
        </is>
      </c>
      <c r="B31" s="152" t="inlineStr">
        <is>
          <t>Eskom, Richards Bay plant: gas supply</t>
        </is>
      </c>
      <c r="C31" s="152" t="inlineStr">
        <is>
          <t>Heads of agreement signed with Zululand Energy Terminal; Eskom is foundation customer of the proposed import terminal at Richards Bay</t>
        </is>
      </c>
      <c r="D31" s="152" t="inlineStr"/>
      <c r="E31" s="152" t="inlineStr">
        <is>
          <t>5 June 2026</t>
        </is>
      </c>
      <c r="F31" s="152" t="inlineStr">
        <is>
          <t>observed</t>
        </is>
      </c>
      <c r="G31" s="152" t="inlineStr">
        <is>
          <t>Eskom and Zululand Energy Terminal, joint media statement, 5 June 2026</t>
        </is>
      </c>
      <c r="H31" s="152" t="inlineStr"/>
      <c r="I31" s="152" t="inlineStr">
        <is>
          <t>The terminal is not built and the statement gives no date for it or for the plant.</t>
        </is>
      </c>
    </row>
    <row r="32">
      <c r="A32" s="152" t="inlineStr">
        <is>
          <t>New gas plant, by project</t>
        </is>
      </c>
      <c r="B32" s="152" t="inlineStr">
        <is>
          <t>Independent producers, gas bid window 1: bids</t>
        </is>
      </c>
      <c r="C32" s="152" t="inlineStr">
        <is>
          <t>Four bids, 2,830 MW against 2,000 MW sought</t>
        </is>
      </c>
      <c r="D32" s="152" t="inlineStr"/>
      <c r="E32" s="152" t="inlineStr">
        <is>
          <t>bids closed 29 May 2026</t>
        </is>
      </c>
      <c r="F32" s="152" t="inlineStr">
        <is>
          <t>observed</t>
        </is>
      </c>
      <c r="G32" s="152" t="inlineStr">
        <is>
          <t>Independent Power Producers Office, list of bids received on 29 May 2026 (published by the Development Bank of Southern Africa)</t>
        </is>
      </c>
      <c r="H32" s="152" t="inlineStr">
        <is>
          <t>PDF p.1</t>
        </is>
      </c>
      <c r="I32" s="152" t="inlineStr">
        <is>
          <t>No preferred bidder named. The evaluation was not concluded at 7 October 2026 (Engineering News, reporting the Minister).</t>
        </is>
      </c>
    </row>
    <row r="33">
      <c r="A33" s="152" t="inlineStr">
        <is>
          <t>New gas plant, by project</t>
        </is>
      </c>
      <c r="B33" s="152" t="inlineStr">
        <is>
          <t>Khanyazwe Flexpower (FlexED), Mpumalanga</t>
        </is>
      </c>
      <c r="C33" s="152" t="inlineStr">
        <is>
          <t>440 MW, liquefied natural gas</t>
        </is>
      </c>
      <c r="D33" s="152" t="inlineStr"/>
      <c r="E33" s="152" t="inlineStr">
        <is>
          <t>bid of 29 May 2026</t>
        </is>
      </c>
      <c r="F33" s="152" t="inlineStr">
        <is>
          <t>observed</t>
        </is>
      </c>
      <c r="G33" s="152" t="inlineStr">
        <is>
          <t>Independent Power Producers Office, list of bids received on 29 May 2026 (published by the Development Bank of Southern Africa)</t>
        </is>
      </c>
      <c r="H33" s="152" t="inlineStr">
        <is>
          <t>PDF p.1</t>
        </is>
      </c>
      <c r="I33" s="152" t="inlineStr">
        <is>
          <t>A bid, not an award. No commissioning date is published for it.</t>
        </is>
      </c>
    </row>
    <row r="34">
      <c r="A34" s="152" t="inlineStr">
        <is>
          <t>New gas plant, by project</t>
        </is>
      </c>
      <c r="B34" s="152" t="inlineStr">
        <is>
          <t>Acwa (listed as the Pictor consortium), KwaZulu-Natal</t>
        </is>
      </c>
      <c r="C34" s="152" t="inlineStr">
        <is>
          <t>990 MW, liquefied natural gas</t>
        </is>
      </c>
      <c r="D34" s="152" t="inlineStr"/>
      <c r="E34" s="152" t="inlineStr">
        <is>
          <t>bid of 29 May 2026</t>
        </is>
      </c>
      <c r="F34" s="152" t="inlineStr">
        <is>
          <t>observed</t>
        </is>
      </c>
      <c r="G34" s="152" t="inlineStr">
        <is>
          <t>Independent Power Producers Office, list of bids received on 29 May 2026 (published by the Development Bank of Southern Africa)</t>
        </is>
      </c>
      <c r="H34" s="152" t="inlineStr">
        <is>
          <t>PDF p.1</t>
        </is>
      </c>
      <c r="I34" s="152" t="inlineStr">
        <is>
          <t>A bid, not an award. No commissioning date is published for it. The bid list names only Pictor; identified as Acwa's project by Manish, 9 October 2026.</t>
        </is>
      </c>
    </row>
    <row r="35">
      <c r="A35" s="152" t="inlineStr">
        <is>
          <t>New gas plant, by project</t>
        </is>
      </c>
      <c r="B35" s="152" t="inlineStr">
        <is>
          <t>Kelvin Redevelopment (Kelvin Gas Power), Gauteng</t>
        </is>
      </c>
      <c r="C35" s="152" t="inlineStr">
        <is>
          <t>600 MW, natural gas</t>
        </is>
      </c>
      <c r="D35" s="152" t="inlineStr"/>
      <c r="E35" s="152" t="inlineStr">
        <is>
          <t>bid of 29 May 2026</t>
        </is>
      </c>
      <c r="F35" s="152" t="inlineStr">
        <is>
          <t>observed</t>
        </is>
      </c>
      <c r="G35" s="152" t="inlineStr">
        <is>
          <t>Independent Power Producers Office, list of bids received on 29 May 2026 (published by the Development Bank of Southern Africa)</t>
        </is>
      </c>
      <c r="H35" s="152" t="inlineStr">
        <is>
          <t>PDF p.1</t>
        </is>
      </c>
      <c r="I35" s="152" t="inlineStr">
        <is>
          <t>A bid, not an award. No commissioning date is published for it.</t>
        </is>
      </c>
    </row>
    <row r="36">
      <c r="A36" s="152" t="inlineStr">
        <is>
          <t>New gas plant, by project</t>
        </is>
      </c>
      <c r="B36" s="152" t="inlineStr">
        <is>
          <t>Komatipoort Power (Vutomi Energy), Mpumalanga</t>
        </is>
      </c>
      <c r="C36" s="152" t="inlineStr">
        <is>
          <t>800 MW, natural gas</t>
        </is>
      </c>
      <c r="D36" s="152" t="inlineStr"/>
      <c r="E36" s="152" t="inlineStr">
        <is>
          <t>bid of 29 May 2026</t>
        </is>
      </c>
      <c r="F36" s="152" t="inlineStr">
        <is>
          <t>observed</t>
        </is>
      </c>
      <c r="G36" s="152" t="inlineStr">
        <is>
          <t>Independent Power Producers Office, list of bids received on 29 May 2026 (published by the Development Bank of Southern Africa)</t>
        </is>
      </c>
      <c r="H36" s="152" t="inlineStr">
        <is>
          <t>PDF p.1</t>
        </is>
      </c>
      <c r="I36" s="152" t="inlineStr">
        <is>
          <t>A bid, not an award. No commissioning date is published for it.</t>
        </is>
      </c>
    </row>
    <row r="37">
      <c r="A37" s="152" t="inlineStr">
        <is>
          <t>New gas plant, by project</t>
        </is>
      </c>
      <c r="B37" s="152" t="inlineStr">
        <is>
          <t>Independent producers, gas bid window 1: timetable</t>
        </is>
      </c>
      <c r="C37" s="152" t="inlineStr">
        <is>
          <t>After preferred bidders are named: more than a year to financial close, then 36 months of construction</t>
        </is>
      </c>
      <c r="D37" s="152" t="inlineStr"/>
      <c r="E37" s="152" t="inlineStr">
        <is>
          <t>as reported June 2026</t>
        </is>
      </c>
      <c r="F37" s="152" t="inlineStr">
        <is>
          <t>observed</t>
        </is>
      </c>
      <c r="G37" s="152" t="inlineStr">
        <is>
          <t>Engineering News, 5 June 2026, reporting Eskom and the Independent Power Producers Office</t>
        </is>
      </c>
      <c r="H37" s="152" t="inlineStr"/>
      <c r="I37" s="152" t="inlineStr">
        <is>
          <t>Preferred bidders were expected in August 2026 and had not been named by 7 October. On this timetable no plant from the round runs before about 2031 (my reading).</t>
        </is>
      </c>
    </row>
    <row r="38">
      <c r="A38" s="152" t="inlineStr">
        <is>
          <t>New gas plant, by project</t>
        </is>
      </c>
      <c r="B38" s="152" t="inlineStr">
        <is>
          <t>New gas determination (5,000 MW)</t>
        </is>
      </c>
      <c r="C38" s="152" t="inlineStr">
        <is>
          <t>5,000 MW of gas-to-power prioritised for new bidding rounds, open to Eskom as well</t>
        </is>
      </c>
      <c r="D38" s="152" t="inlineStr"/>
      <c r="E38" s="152" t="inlineStr">
        <is>
          <t>announced 7 October 2026</t>
        </is>
      </c>
      <c r="F38" s="152" t="inlineStr">
        <is>
          <t>observed</t>
        </is>
      </c>
      <c r="G38" s="152" t="inlineStr">
        <is>
          <t>Engineering News, 7 October 2026, reporting the Minister of Electricity and Energy</t>
        </is>
      </c>
      <c r="H38" s="152" t="inlineStr"/>
      <c r="I38" s="152" t="inlineStr">
        <is>
          <t>No dates, sites or capacity factor given. Whether it adds to or replaces the earlier 3,000 MW and 2,000 MW is not stated.</t>
        </is>
      </c>
    </row>
    <row r="39">
      <c r="A39" s="152" t="inlineStr">
        <is>
          <t>New gas plant, by project</t>
        </is>
      </c>
      <c r="B39" s="152" t="inlineStr">
        <is>
          <t>Integrated Resource Plan 2025: Eskom gas</t>
        </is>
      </c>
      <c r="C39" s="152" t="inlineStr">
        <is>
          <t>3,000 MW added in 2029</t>
        </is>
      </c>
      <c r="D39" s="152" t="inlineStr"/>
      <c r="E39" s="152" t="inlineStr">
        <is>
          <t>2029</t>
        </is>
      </c>
      <c r="F39" s="152" t="inlineStr">
        <is>
          <t>observed</t>
        </is>
      </c>
      <c r="G39" s="152" t="inlineStr">
        <is>
          <t>Department of Electricity and Energy, Integrated Resource Plan 2025 (October 2025)</t>
        </is>
      </c>
      <c r="H39" s="152" t="inlineStr">
        <is>
          <t>PDF p.41, Table 1</t>
        </is>
      </c>
      <c r="I39" s="152" t="inlineStr">
        <is>
          <t>The plan's schedule, not a project date. Eskom itself now says 2031.</t>
        </is>
      </c>
    </row>
    <row r="40">
      <c r="A40" s="152" t="inlineStr">
        <is>
          <t>New gas plant, by project</t>
        </is>
      </c>
      <c r="B40" s="152" t="inlineStr">
        <is>
          <t>Integrated Resource Plan 2025: independent producers' gas</t>
        </is>
      </c>
      <c r="C40" s="152" t="inlineStr">
        <is>
          <t>3,000 MW added in 2030; a further 12,250 MW from 2031 to 2042</t>
        </is>
      </c>
      <c r="D40" s="152" t="inlineStr"/>
      <c r="E40" s="152" t="inlineStr">
        <is>
          <t>2030</t>
        </is>
      </c>
      <c r="F40" s="152" t="inlineStr">
        <is>
          <t>observed</t>
        </is>
      </c>
      <c r="G40" s="152" t="inlineStr">
        <is>
          <t>Department of Electricity and Energy, Integrated Resource Plan 2025 (October 2025)</t>
        </is>
      </c>
      <c r="H40" s="152" t="inlineStr">
        <is>
          <t>PDF pp.27, 41</t>
        </is>
      </c>
      <c r="I40" s="152" t="inlineStr">
        <is>
          <t>The plan assumes all 3,000 MW is on the grid by 2030 although only 2,000 MW had been offered to the market. It also studies a case where the gas does not arrive.</t>
        </is>
      </c>
    </row>
    <row r="41">
      <c r="A41" s="152" t="inlineStr">
        <is>
          <t>New gas plant, by project</t>
        </is>
      </c>
      <c r="B41" s="152" t="inlineStr">
        <is>
          <t>Integrated Resource Plan 2025: existing diesel peaking plants</t>
        </is>
      </c>
      <c r="C41" s="152" t="inlineStr">
        <is>
          <t>Converting them to natural gas should be considered; plans are being developed at most of them</t>
        </is>
      </c>
      <c r="D41" s="152" t="inlineStr"/>
      <c r="E41" s="152" t="inlineStr">
        <is>
          <t>no date</t>
        </is>
      </c>
      <c r="F41" s="152" t="inlineStr">
        <is>
          <t>observed</t>
        </is>
      </c>
      <c r="G41" s="152" t="inlineStr">
        <is>
          <t>Department of Electricity and Energy, Integrated Resource Plan 2025 (October 2025)</t>
        </is>
      </c>
      <c r="H41" s="152" t="inlineStr">
        <is>
          <t>PDF p.46</t>
        </is>
      </c>
      <c r="I41" s="152" t="inlineStr">
        <is>
          <t>Covers Avon and the other diesel turbines. No plant is named and no date is given.</t>
        </is>
      </c>
    </row>
    <row r="42">
      <c r="A42" s="152" t="inlineStr">
        <is>
          <t>New gas plant, by project</t>
        </is>
      </c>
      <c r="B42" s="152" t="inlineStr">
        <is>
          <t>AIA working timeline (not a published source)</t>
        </is>
      </c>
      <c r="C42" s="152" t="inlineStr">
        <is>
          <t>Acwa 990 MW, Avon 670 MW and FlexED 440 MW in 2030; Vutomi 800 MW in 2030, high case only; Eskom 3,000 MW in 2032</t>
        </is>
      </c>
      <c r="D42" s="152" t="inlineStr"/>
      <c r="E42" s="152" t="inlineStr">
        <is>
          <t>2030 and 2032</t>
        </is>
      </c>
      <c r="F42" s="152" t="inlineStr">
        <is>
          <t>observed</t>
        </is>
      </c>
      <c r="G42" s="152" t="inlineStr">
        <is>
          <t>AIA chart, Gas-to-power demand timeline, supplied by Manish on 9 October 2026; its own sources are not stated</t>
        </is>
      </c>
      <c r="H42" s="152" t="inlineStr"/>
      <c r="I42" s="152" t="inlineStr">
        <is>
          <t>For comparison. 2030 matches the plan's date for independent producers; no published source confirms it by project. The chart shows FlexED at 450 MW; the bid list's 440 MW is used. Avon is not on the bid list.</t>
        </is>
      </c>
    </row>
    <row r="43">
      <c r="A43" s="152" t="inlineStr">
        <is>
          <t>New gas plant: dates in use</t>
        </is>
      </c>
      <c r="B43" s="152" t="inlineStr">
        <is>
          <t>Eskom gas; independent producers' gas</t>
        </is>
      </c>
      <c r="C43" s="152" t="inlineStr">
        <is>
          <t>2029; 2030</t>
        </is>
      </c>
      <c r="D43" s="152" t="inlineStr">
        <is>
          <t>year</t>
        </is>
      </c>
      <c r="E43" s="152" t="inlineStr"/>
      <c r="F43" s="152" t="inlineStr">
        <is>
          <t>observed</t>
        </is>
      </c>
      <c r="G43" s="152" t="inlineStr">
        <is>
          <t>Department of Electricity and Energy, Integrated Resource Plan 2025 (October 2025)</t>
        </is>
      </c>
      <c r="H43" s="152" t="inlineStr">
        <is>
          <t>PDF p.41, Table 1</t>
        </is>
      </c>
      <c r="I43" s="152" t="inlineStr">
        <is>
          <t>The plan's schedule, used on Manish's instruction of 9 October (decision D24). No project has a preferred bidder, financial close or construction start, and Eskom itself says 2031, so these are the earliest dates.</t>
        </is>
      </c>
    </row>
    <row r="45">
      <c r="A45" s="151" t="inlineStr">
        <is>
          <t>Vehicle fleet</t>
        </is>
      </c>
      <c r="B45" s="151" t="n"/>
      <c r="C45" s="151" t="n"/>
      <c r="D45" s="151" t="n"/>
      <c r="E45" s="151" t="n"/>
      <c r="F45" s="151" t="n"/>
      <c r="G45" s="151" t="n"/>
      <c r="H45" s="151" t="n"/>
      <c r="I45" s="151" t="n"/>
    </row>
    <row r="46">
      <c r="A46" s="152" t="inlineStr">
        <is>
          <t>Registered vehicles by class</t>
        </is>
      </c>
      <c r="B46" s="152" t="inlineStr">
        <is>
          <t>South Africa</t>
        </is>
      </c>
      <c r="C46" s="152" t="inlineStr">
        <is>
          <t>cars 8,340,592; light commercial 2,816,547; trucks 409,049; buses 66,872; minibuses 356,997</t>
        </is>
      </c>
      <c r="D46" s="152" t="inlineStr">
        <is>
          <t>vehicles</t>
        </is>
      </c>
      <c r="E46" s="152" t="inlineStr">
        <is>
          <t>2026-06</t>
        </is>
      </c>
      <c r="F46" s="152" t="inlineStr">
        <is>
          <t>observed</t>
        </is>
      </c>
      <c r="G46" s="152" t="inlineStr">
        <is>
          <t>eNaTIS live vehicle population by class and province</t>
        </is>
      </c>
      <c r="H46" s="152" t="inlineStr"/>
      <c r="I46" s="152" t="inlineStr">
        <is>
          <t>By province on the DR07 fleet by province sheet. Monthly from February 2021.</t>
        </is>
      </c>
    </row>
    <row r="47">
      <c r="A47" s="156" t="inlineStr">
        <is>
          <t>Largest provinces, share of registered vehicles</t>
        </is>
      </c>
      <c r="B47" s="156" t="inlineStr">
        <is>
          <t>Gauteng; Western Cape; KwaZulu-Natal</t>
        </is>
      </c>
      <c r="C47" s="156" t="inlineStr">
        <is>
          <t>39.0; 16.3; 14.1</t>
        </is>
      </c>
      <c r="D47" s="156" t="inlineStr">
        <is>
          <t>%</t>
        </is>
      </c>
      <c r="E47" s="156" t="inlineStr">
        <is>
          <t>2026-06</t>
        </is>
      </c>
      <c r="F47" s="156" t="inlineStr">
        <is>
          <t>inferred</t>
        </is>
      </c>
      <c r="G47" s="156" t="inlineStr">
        <is>
          <t>Calculated from eNaTIS</t>
        </is>
      </c>
      <c r="H47" s="156" t="inlineStr"/>
      <c r="I47" s="156" t="inlineStr"/>
    </row>
    <row r="48">
      <c r="A48" s="152" t="inlineStr">
        <is>
          <t>Registered vehicles by fuel</t>
        </is>
      </c>
      <c r="B48" s="152" t="inlineStr">
        <is>
          <t>South Africa</t>
        </is>
      </c>
      <c r="C48" s="152" t="inlineStr">
        <is>
          <t>petrol 8,555,772; diesel 3,335,546</t>
        </is>
      </c>
      <c r="D48" s="152" t="inlineStr">
        <is>
          <t>vehicles</t>
        </is>
      </c>
      <c r="E48" s="152" t="inlineStr">
        <is>
          <t>December 2023</t>
        </is>
      </c>
      <c r="F48" s="152" t="inlineStr">
        <is>
          <t>observed</t>
        </is>
      </c>
      <c r="G48" s="152" t="inlineStr">
        <is>
          <t>Department of Transport, Transport Statistics Bulletin 2023</t>
        </is>
      </c>
      <c r="H48" s="152" t="inlineStr"/>
      <c r="I48" s="152" t="inlineStr">
        <is>
          <t>National only, and not split by class. No later edition found.</t>
        </is>
      </c>
    </row>
    <row r="49">
      <c r="A49" s="152" t="inlineStr">
        <is>
          <t>Diesel vehicles by province</t>
        </is>
      </c>
      <c r="B49" s="152" t="inlineStr">
        <is>
          <t>Gauteng; Western Cape; KwaZulu-Natal</t>
        </is>
      </c>
      <c r="C49" s="152" t="inlineStr">
        <is>
          <t>1,142,275; 507,006; 459,888</t>
        </is>
      </c>
      <c r="D49" s="152" t="inlineStr">
        <is>
          <t>vehicles</t>
        </is>
      </c>
      <c r="E49" s="152" t="inlineStr">
        <is>
          <t>December 2023</t>
        </is>
      </c>
      <c r="F49" s="152" t="inlineStr">
        <is>
          <t>observed</t>
        </is>
      </c>
      <c r="G49" s="152" t="inlineStr">
        <is>
          <t>Department of Transport, Transport Statistics Bulletin 2023, Table 2.8</t>
        </is>
      </c>
      <c r="H49" s="152" t="inlineStr">
        <is>
          <t>PDF p.40</t>
        </is>
      </c>
      <c r="I49" s="152" t="inlineStr">
        <is>
          <t>All nine provinces, petrol and diesel, are on the DR07 fleet by province sheet.</t>
        </is>
      </c>
    </row>
    <row r="50">
      <c r="A50" s="156" t="inlineStr">
        <is>
          <t>Diesel share of petrol and diesel vehicles, by province</t>
        </is>
      </c>
      <c r="B50" s="156" t="inlineStr">
        <is>
          <t>Highest; lowest</t>
        </is>
      </c>
      <c r="C50" s="156" t="inlineStr">
        <is>
          <t>Northern Cape 38.0; Gauteng 24.8</t>
        </is>
      </c>
      <c r="D50" s="156" t="inlineStr">
        <is>
          <t>%</t>
        </is>
      </c>
      <c r="E50" s="156" t="inlineStr">
        <is>
          <t>December 2023</t>
        </is>
      </c>
      <c r="F50" s="156" t="inlineStr">
        <is>
          <t>inferred</t>
        </is>
      </c>
      <c r="G50" s="156" t="inlineStr">
        <is>
          <t>Calculated from the bulletin</t>
        </is>
      </c>
      <c r="H50" s="156" t="inlineStr"/>
      <c r="I50" s="156" t="inlineStr"/>
    </row>
    <row r="51">
      <c r="A51" s="162" t="inlineStr">
        <is>
          <t>Vehicles by fuel within each class</t>
        </is>
      </c>
      <c r="B51" s="162" t="inlineStr">
        <is>
          <t>South Africa</t>
        </is>
      </c>
      <c r="C51" s="162" t="inlineStr">
        <is>
          <t>Not available</t>
        </is>
      </c>
      <c r="D51" s="162" t="inlineStr">
        <is>
          <t>vehicles</t>
        </is>
      </c>
      <c r="E51" s="162" t="inlineStr"/>
      <c r="F51" s="162" t="inlineStr">
        <is>
          <t>not available</t>
        </is>
      </c>
      <c r="G51" s="162" t="inlineStr">
        <is>
          <t>None found</t>
        </is>
      </c>
      <c r="H51" s="162" t="inlineStr"/>
      <c r="I51" s="162" t="inlineStr">
        <is>
          <t>The bulletin splits fuel by province and the register splits class by province; nothing published crosses fuel with class.</t>
        </is>
      </c>
    </row>
    <row r="52">
      <c r="A52" s="152" t="inlineStr">
        <is>
          <t>Average age of vehicles</t>
        </is>
      </c>
      <c r="B52" s="152" t="inlineStr">
        <is>
          <t>All vehicles and passenger vehicles</t>
        </is>
      </c>
      <c r="C52" s="152" t="inlineStr">
        <is>
          <t>10.5</t>
        </is>
      </c>
      <c r="D52" s="152" t="inlineStr">
        <is>
          <t>years</t>
        </is>
      </c>
      <c r="E52" s="152" t="inlineStr">
        <is>
          <t>2022</t>
        </is>
      </c>
      <c r="F52" s="152" t="inlineStr">
        <is>
          <t>observed</t>
        </is>
      </c>
      <c r="G52" s="152" t="inlineStr">
        <is>
          <t>Lightstone Auto Insights, April 2022</t>
        </is>
      </c>
      <c r="H52" s="152" t="inlineStr"/>
      <c r="I52" s="152" t="inlineStr">
        <is>
          <t>Ten years and six months, up from nine years and four months for passenger vehicles in 2014 and 2015.</t>
        </is>
      </c>
    </row>
    <row r="53">
      <c r="A53" s="162" t="inlineStr">
        <is>
          <t>Vehicles by year of age</t>
        </is>
      </c>
      <c r="B53" s="162" t="inlineStr">
        <is>
          <t>South Africa</t>
        </is>
      </c>
      <c r="C53" s="162" t="inlineStr">
        <is>
          <t>Not available</t>
        </is>
      </c>
      <c r="D53" s="162" t="inlineStr">
        <is>
          <t>vehicles</t>
        </is>
      </c>
      <c r="E53" s="162" t="inlineStr"/>
      <c r="F53" s="162" t="inlineStr">
        <is>
          <t>not available</t>
        </is>
      </c>
      <c r="G53" s="162" t="inlineStr">
        <is>
          <t>None published</t>
        </is>
      </c>
      <c r="H53" s="162" t="inlineStr"/>
      <c r="I53" s="162" t="inlineStr">
        <is>
          <t>Lightstone holds the age profile and sells it; the register does not publish it. Only apparent retirements can be calculated.</t>
        </is>
      </c>
    </row>
    <row r="55">
      <c r="A55" s="151" t="inlineStr">
        <is>
          <t>New vehicles and electric share</t>
        </is>
      </c>
      <c r="B55" s="151" t="n"/>
      <c r="C55" s="151" t="n"/>
      <c r="D55" s="151" t="n"/>
      <c r="E55" s="151" t="n"/>
      <c r="F55" s="151" t="n"/>
      <c r="G55" s="151" t="n"/>
      <c r="H55" s="151" t="n"/>
      <c r="I55" s="151" t="n"/>
    </row>
    <row r="56">
      <c r="A56" s="152" t="inlineStr">
        <is>
          <t>New vehicles sold, by segment</t>
        </is>
      </c>
      <c r="B56" s="152" t="inlineStr">
        <is>
          <t>South Africa</t>
        </is>
      </c>
      <c r="C56" s="152" t="inlineStr">
        <is>
          <t>cars 422,463; light commercial 143,964; medium and heavy commercial 30,911</t>
        </is>
      </c>
      <c r="D56" s="152" t="inlineStr">
        <is>
          <t>vehicles</t>
        </is>
      </c>
      <c r="E56" s="152" t="inlineStr">
        <is>
          <t>2025</t>
        </is>
      </c>
      <c r="F56" s="152" t="inlineStr">
        <is>
          <t>observed</t>
        </is>
      </c>
      <c r="G56" s="152" t="inlineStr">
        <is>
          <t>naamsa, industry vehicle sales</t>
        </is>
      </c>
      <c r="H56" s="152" t="inlineStr"/>
      <c r="I56" s="152" t="inlineStr"/>
    </row>
    <row r="57">
      <c r="A57" s="152" t="inlineStr">
        <is>
          <t>Electric and hybrid vehicles sold</t>
        </is>
      </c>
      <c r="B57" s="152" t="inlineStr">
        <is>
          <t>South Africa</t>
        </is>
      </c>
      <c r="C57" s="152" t="inlineStr">
        <is>
          <t>battery electric 1,088; plug-in hybrid 2,810; conventional hybrid 12,818</t>
        </is>
      </c>
      <c r="D57" s="152" t="inlineStr">
        <is>
          <t>vehicles</t>
        </is>
      </c>
      <c r="E57" s="152" t="inlineStr">
        <is>
          <t>2025</t>
        </is>
      </c>
      <c r="F57" s="152" t="inlineStr">
        <is>
          <t>observed</t>
        </is>
      </c>
      <c r="G57" s="152" t="inlineStr">
        <is>
          <t>naamsa, new energy vehicle sales</t>
        </is>
      </c>
      <c r="H57" s="152" t="inlineStr"/>
      <c r="I57" s="152" t="inlineStr"/>
    </row>
    <row r="58">
      <c r="A58" s="156" t="inlineStr">
        <is>
          <t>Share of new vehicles sold</t>
        </is>
      </c>
      <c r="B58" s="156" t="inlineStr">
        <is>
          <t>South Africa</t>
        </is>
      </c>
      <c r="C58" s="156" t="inlineStr">
        <is>
          <t>battery electric 0.18; plug-in hybrid 0.47; conventional hybrid 2.15</t>
        </is>
      </c>
      <c r="D58" s="156" t="inlineStr">
        <is>
          <t>%</t>
        </is>
      </c>
      <c r="E58" s="156" t="inlineStr">
        <is>
          <t>2025</t>
        </is>
      </c>
      <c r="F58" s="156" t="inlineStr">
        <is>
          <t>inferred</t>
        </is>
      </c>
      <c r="G58" s="156" t="inlineStr">
        <is>
          <t>Calculated from the two naamsa series</t>
        </is>
      </c>
      <c r="H58" s="156" t="inlineStr"/>
      <c r="I58" s="156" t="inlineStr">
        <is>
          <t>Battery electric sales fell from 2024 to 2025.</t>
        </is>
      </c>
    </row>
    <row r="59">
      <c r="A59" s="152" t="inlineStr">
        <is>
          <t>Diesel share of new light vehicles sold</t>
        </is>
      </c>
      <c r="B59" s="152" t="inlineStr">
        <is>
          <t>New light-duty vehicles</t>
        </is>
      </c>
      <c r="C59" s="152" t="inlineStr">
        <is>
          <t>35</t>
        </is>
      </c>
      <c r="D59" s="152" t="inlineStr">
        <is>
          <t>%</t>
        </is>
      </c>
      <c r="E59" s="152" t="inlineStr">
        <is>
          <t>2019</t>
        </is>
      </c>
      <c r="F59" s="152" t="inlineStr">
        <is>
          <t>observed</t>
        </is>
      </c>
      <c r="G59" s="152" t="inlineStr">
        <is>
          <t>IEA, Fuel economy in South Africa (Global Fuel Economy Initiative 2021)</t>
        </is>
      </c>
      <c r="H59" s="152" t="inlineStr"/>
      <c r="I59" s="152" t="inlineStr">
        <is>
          <t>No later figure found.</t>
        </is>
      </c>
    </row>
    <row r="60">
      <c r="A60" s="162" t="inlineStr">
        <is>
          <t>Electric trucks and electric light commercial vehicles sold</t>
        </is>
      </c>
      <c r="B60" s="162" t="inlineStr">
        <is>
          <t>South Africa</t>
        </is>
      </c>
      <c r="C60" s="162" t="inlineStr">
        <is>
          <t>Not available</t>
        </is>
      </c>
      <c r="D60" s="162" t="inlineStr">
        <is>
          <t>vehicles</t>
        </is>
      </c>
      <c r="E60" s="162" t="inlineStr"/>
      <c r="F60" s="162" t="inlineStr">
        <is>
          <t>not available</t>
        </is>
      </c>
      <c r="G60" s="162" t="inlineStr">
        <is>
          <t>None published</t>
        </is>
      </c>
      <c r="H60" s="162" t="inlineStr"/>
      <c r="I60" s="162" t="inlineStr">
        <is>
          <t>naamsa reports electric sales by drivetrain, not by segment (checked its fourth-quarter 2025 review). Benchmarks from other countries are on the HML response sheet.</t>
        </is>
      </c>
    </row>
    <row r="62">
      <c r="A62" s="151" t="inlineStr">
        <is>
          <t>Vehicle efficiency and distance</t>
        </is>
      </c>
      <c r="B62" s="151" t="n"/>
      <c r="C62" s="151" t="n"/>
      <c r="D62" s="151" t="n"/>
      <c r="E62" s="151" t="n"/>
      <c r="F62" s="151" t="n"/>
      <c r="G62" s="151" t="n"/>
      <c r="H62" s="151" t="n"/>
      <c r="I62" s="151" t="n"/>
    </row>
    <row r="63">
      <c r="A63" s="152" t="inlineStr">
        <is>
          <t>Fuel use and distance, petrol cars</t>
        </is>
      </c>
      <c r="B63" s="152" t="inlineStr">
        <is>
          <t>Petrol cars</t>
        </is>
      </c>
      <c r="C63" s="152" t="inlineStr">
        <is>
          <t>8.2 fleet average; 7.8 new; 14,457 km a year</t>
        </is>
      </c>
      <c r="D63" s="152" t="inlineStr">
        <is>
          <t>litres per 100 km; km</t>
        </is>
      </c>
      <c r="E63" s="152" t="inlineStr">
        <is>
          <t>2010 fleet</t>
        </is>
      </c>
      <c r="F63" s="152" t="inlineStr">
        <is>
          <t>observed</t>
        </is>
      </c>
      <c r="G63" s="152" t="inlineStr">
        <is>
          <t>Stone et al. (2018), vehicle parc model</t>
        </is>
      </c>
      <c r="H63" s="152" t="inlineStr"/>
      <c r="I63" s="152" t="inlineStr">
        <is>
          <t>One year only. All 24 vehicle types are in the file and on the Vehicle history sheet.</t>
        </is>
      </c>
    </row>
    <row r="64">
      <c r="A64" s="152" t="inlineStr">
        <is>
          <t>Fuel use and distance, diesel cars</t>
        </is>
      </c>
      <c r="B64" s="152" t="inlineStr">
        <is>
          <t>Diesel cars</t>
        </is>
      </c>
      <c r="C64" s="152" t="inlineStr">
        <is>
          <t>8.1 fleet average; 7.4 new; 16,748 km a year</t>
        </is>
      </c>
      <c r="D64" s="152" t="inlineStr">
        <is>
          <t>litres per 100 km; km</t>
        </is>
      </c>
      <c r="E64" s="152" t="inlineStr">
        <is>
          <t>2010 fleet</t>
        </is>
      </c>
      <c r="F64" s="152" t="inlineStr">
        <is>
          <t>observed</t>
        </is>
      </c>
      <c r="G64" s="152" t="inlineStr">
        <is>
          <t>Stone et al. (2018), vehicle parc model</t>
        </is>
      </c>
      <c r="H64" s="152" t="inlineStr"/>
      <c r="I64" s="152" t="inlineStr">
        <is>
          <t>One year only. All 24 vehicle types are in the file and on the Vehicle history sheet.</t>
        </is>
      </c>
    </row>
    <row r="65">
      <c r="A65" s="152" t="inlineStr">
        <is>
          <t>Fuel use of new light vehicles, by year</t>
        </is>
      </c>
      <c r="B65" s="152" t="inlineStr">
        <is>
          <t>New cars and light commercial vehicles</t>
        </is>
      </c>
      <c r="C65" s="152" t="inlineStr">
        <is>
          <t>8.8; 8.6; 7.8; 7.4</t>
        </is>
      </c>
      <c r="D65" s="152" t="inlineStr">
        <is>
          <t>litres of petrol equivalent per 100 km</t>
        </is>
      </c>
      <c r="E65" s="152" t="inlineStr">
        <is>
          <t>2005; 2010; 2015; 2019</t>
        </is>
      </c>
      <c r="F65" s="152" t="inlineStr">
        <is>
          <t>observed</t>
        </is>
      </c>
      <c r="G65" s="152" t="inlineStr">
        <is>
          <t>IEA and Global Fuel Economy Initiative (Working Paper 15, 2017; country page, 2021)</t>
        </is>
      </c>
      <c r="H65" s="152" t="inlineStr">
        <is>
          <t>PDF p.119</t>
        </is>
      </c>
      <c r="I65" s="152" t="inlineStr">
        <is>
          <t>Nine years between 2005 and 2019 are on the DR07 efficiency and rail sheet. Nothing after 2019 was found.</t>
        </is>
      </c>
    </row>
    <row r="66">
      <c r="A66" s="152" t="inlineStr">
        <is>
          <t>Fuel use of new light vehicles: average change</t>
        </is>
      </c>
      <c r="B66" s="152" t="inlineStr">
        <is>
          <t>New light-duty vehicles</t>
        </is>
      </c>
      <c r="C66" s="152" t="inlineStr">
        <is>
          <t>-1.3</t>
        </is>
      </c>
      <c r="D66" s="152" t="inlineStr">
        <is>
          <t>% a year</t>
        </is>
      </c>
      <c r="E66" s="152" t="inlineStr">
        <is>
          <t>2005-2019</t>
        </is>
      </c>
      <c r="F66" s="152" t="inlineStr">
        <is>
          <t>observed</t>
        </is>
      </c>
      <c r="G66" s="152" t="inlineStr">
        <is>
          <t>IEA, Fuel economy in South Africa (Global Fuel Economy Initiative 2021)</t>
        </is>
      </c>
      <c r="H66" s="152" t="inlineStr"/>
      <c r="I66" s="152" t="inlineStr">
        <is>
          <t>The model assumes 0.5 to 1.5% a year, so the observed rate sits inside the model's range.</t>
        </is>
      </c>
    </row>
    <row r="67">
      <c r="A67" s="152" t="inlineStr">
        <is>
          <t>Fuel use of new passenger cars</t>
        </is>
      </c>
      <c r="B67" s="152" t="inlineStr">
        <is>
          <t>New passenger cars</t>
        </is>
      </c>
      <c r="C67" s="152" t="inlineStr">
        <is>
          <t>6.3</t>
        </is>
      </c>
      <c r="D67" s="152" t="inlineStr">
        <is>
          <t>litres per 100 km</t>
        </is>
      </c>
      <c r="E67" s="152" t="inlineStr">
        <is>
          <t>2015</t>
        </is>
      </c>
      <c r="F67" s="152" t="inlineStr">
        <is>
          <t>observed</t>
        </is>
      </c>
      <c r="G67" s="152" t="inlineStr">
        <is>
          <t>ICCT white paper, South Africa's new passenger vehicle CO2 emission standards (January 2018)</t>
        </is>
      </c>
      <c r="H67" s="152" t="inlineStr">
        <is>
          <t>PDF p.5</t>
        </is>
      </c>
      <c r="I67" s="152" t="inlineStr">
        <is>
          <t>148 g CO2 per km on the older European test cycle, which reads lower than the worldwide cycle. From naamsa data.</t>
        </is>
      </c>
    </row>
    <row r="68">
      <c r="A68" s="152" t="inlineStr">
        <is>
          <t>Fuel use of trucks, lightest to heaviest class</t>
        </is>
      </c>
      <c r="B68" s="152" t="inlineStr">
        <is>
          <t>Diesel trucks (classes 1, 3, 6 and 9 of nine)</t>
        </is>
      </c>
      <c r="C68" s="152" t="inlineStr">
        <is>
          <t>17.3; 24.6; 44.9; 51.6</t>
        </is>
      </c>
      <c r="D68" s="152" t="inlineStr">
        <is>
          <t>litres per 100 km, fleet average</t>
        </is>
      </c>
      <c r="E68" s="152" t="inlineStr">
        <is>
          <t>2010 fleet</t>
        </is>
      </c>
      <c r="F68" s="152" t="inlineStr">
        <is>
          <t>observed</t>
        </is>
      </c>
      <c r="G68" s="152" t="inlineStr">
        <is>
          <t>Stone et al. (2018), vehicle parc model</t>
        </is>
      </c>
      <c r="H68" s="152" t="inlineStr"/>
      <c r="I68" s="152" t="inlineStr">
        <is>
          <t>One year only. Light commercial diesel vehicles use 12.4 and buses 32.6.</t>
        </is>
      </c>
    </row>
    <row r="69">
      <c r="A69" s="152" t="inlineStr">
        <is>
          <t>Fuel use of new light vehicles: figure in use</t>
        </is>
      </c>
      <c r="B69" s="152" t="inlineStr">
        <is>
          <t>New cars and light commercial vehicles</t>
        </is>
      </c>
      <c r="C69" s="152" t="inlineStr">
        <is>
          <t>7.4</t>
        </is>
      </c>
      <c r="D69" s="152" t="inlineStr">
        <is>
          <t>litres of petrol equivalent per 100 km</t>
        </is>
      </c>
      <c r="E69" s="152" t="inlineStr">
        <is>
          <t>2019, used for later years</t>
        </is>
      </c>
      <c r="F69" s="152" t="inlineStr">
        <is>
          <t>observed</t>
        </is>
      </c>
      <c r="G69" s="152" t="inlineStr">
        <is>
          <t>IEA, Fuel economy in South Africa (Global Fuel Economy Initiative 2021)</t>
        </is>
      </c>
      <c r="H69" s="152" t="inlineStr"/>
      <c r="I69" s="152" t="inlineStr">
        <is>
          <t>The latest published figure. Used as it stands for the years after 2019 (Manish, 8 October).</t>
        </is>
      </c>
    </row>
    <row r="70">
      <c r="A70" s="162" t="inlineStr">
        <is>
          <t>Fuel use of trucks, by year</t>
        </is>
      </c>
      <c r="B70" s="162" t="inlineStr">
        <is>
          <t>South Africa</t>
        </is>
      </c>
      <c r="C70" s="162" t="inlineStr">
        <is>
          <t>Not available</t>
        </is>
      </c>
      <c r="D70" s="162" t="inlineStr">
        <is>
          <t>litres per 100 km</t>
        </is>
      </c>
      <c r="E70" s="162" t="inlineStr"/>
      <c r="F70" s="162" t="inlineStr">
        <is>
          <t>not available</t>
        </is>
      </c>
      <c r="G70" s="162" t="inlineStr">
        <is>
          <t>None found</t>
        </is>
      </c>
      <c r="H70" s="162" t="inlineStr"/>
      <c r="I70" s="162" t="inlineStr">
        <is>
          <t>Only the 2010 fleet figures above exist. No truck series by year was found.</t>
        </is>
      </c>
    </row>
    <row r="71">
      <c r="A71" s="152" t="inlineStr">
        <is>
          <t>Efficiency gain assumed in the model</t>
        </is>
      </c>
      <c r="B71" s="152" t="inlineStr">
        <is>
          <t>New diesel and petrol vehicles</t>
        </is>
      </c>
      <c r="C71" s="152" t="inlineStr">
        <is>
          <t>diesel 0.5 (high demand); diesel 1.0 (low demand); petrol 1.0 (high demand); petrol 1.5 (low demand)</t>
        </is>
      </c>
      <c r="D71" s="152" t="inlineStr">
        <is>
          <t>% a year</t>
        </is>
      </c>
      <c r="E71" s="152" t="inlineStr">
        <is>
          <t>2030</t>
        </is>
      </c>
      <c r="F71" s="152" t="inlineStr">
        <is>
          <t>observed</t>
        </is>
      </c>
      <c r="G71" s="152" t="inlineStr">
        <is>
          <t>Reatile workbook (model input)</t>
        </is>
      </c>
      <c r="H71" s="152" t="inlineStr"/>
      <c r="I71" s="152" t="inlineStr">
        <is>
          <t>A model setting with no source behind it. Nothing was found to confirm or replace it.</t>
        </is>
      </c>
    </row>
    <row r="73">
      <c r="A73" s="151" t="inlineStr">
        <is>
          <t>Freight and rail</t>
        </is>
      </c>
      <c r="B73" s="151" t="n"/>
      <c r="C73" s="151" t="n"/>
      <c r="D73" s="151" t="n"/>
      <c r="E73" s="151" t="n"/>
      <c r="F73" s="151" t="n"/>
      <c r="G73" s="151" t="n"/>
      <c r="H73" s="151" t="n"/>
      <c r="I73" s="151" t="n"/>
    </row>
    <row r="74">
      <c r="A74" s="152" t="inlineStr">
        <is>
          <t>Freight carried by road</t>
        </is>
      </c>
      <c r="B74" s="152" t="inlineStr">
        <is>
          <t>South Africa</t>
        </is>
      </c>
      <c r="C74" s="152" t="inlineStr">
        <is>
          <t>980; 976</t>
        </is>
      </c>
      <c r="D74" s="152" t="inlineStr">
        <is>
          <t>million tonnes</t>
        </is>
      </c>
      <c r="E74" s="152" t="inlineStr">
        <is>
          <t>2024; 2025</t>
        </is>
      </c>
      <c r="F74" s="152" t="inlineStr">
        <is>
          <t>observed</t>
        </is>
      </c>
      <c r="G74" s="152" t="inlineStr">
        <is>
          <t>Statistics South Africa, Land transport survey (P7162), December 2025</t>
        </is>
      </c>
      <c r="H74" s="152" t="inlineStr">
        <is>
          <t>PDF p.7</t>
        </is>
      </c>
      <c r="I74" s="152" t="inlineStr">
        <is>
          <t>Tonnes, not tonne-kilometres.</t>
        </is>
      </c>
    </row>
    <row r="75">
      <c r="A75" s="152" t="inlineStr">
        <is>
          <t>Freight carried by rail</t>
        </is>
      </c>
      <c r="B75" s="152" t="inlineStr">
        <is>
          <t>South Africa</t>
        </is>
      </c>
      <c r="C75" s="152" t="inlineStr">
        <is>
          <t>161; 168</t>
        </is>
      </c>
      <c r="D75" s="152" t="inlineStr">
        <is>
          <t>million tonnes</t>
        </is>
      </c>
      <c r="E75" s="152" t="inlineStr">
        <is>
          <t>2024; 2025</t>
        </is>
      </c>
      <c r="F75" s="152" t="inlineStr">
        <is>
          <t>observed</t>
        </is>
      </c>
      <c r="G75" s="152" t="inlineStr">
        <is>
          <t>Statistics South Africa, Land transport survey (P7162), December 2025</t>
        </is>
      </c>
      <c r="H75" s="152" t="inlineStr">
        <is>
          <t>PDF p.7</t>
        </is>
      </c>
      <c r="I75" s="152" t="inlineStr">
        <is>
          <t>Tonnes, not tonne-kilometres.</t>
        </is>
      </c>
    </row>
    <row r="76">
      <c r="A76" s="156" t="inlineStr">
        <is>
          <t>Rail's share of road and rail tonnes</t>
        </is>
      </c>
      <c r="B76" s="156" t="inlineStr">
        <is>
          <t>South Africa</t>
        </is>
      </c>
      <c r="C76" s="156" t="inlineStr">
        <is>
          <t>14.1; 14.7</t>
        </is>
      </c>
      <c r="D76" s="156" t="inlineStr">
        <is>
          <t>%</t>
        </is>
      </c>
      <c r="E76" s="156" t="inlineStr">
        <is>
          <t>2024; 2025</t>
        </is>
      </c>
      <c r="F76" s="156" t="inlineStr">
        <is>
          <t>inferred</t>
        </is>
      </c>
      <c r="G76" s="156" t="inlineStr">
        <is>
          <t>Calculated from the survey</t>
        </is>
      </c>
      <c r="H76" s="156" t="inlineStr"/>
      <c r="I76" s="156" t="inlineStr"/>
    </row>
    <row r="77">
      <c r="A77" s="152" t="inlineStr">
        <is>
          <t>Freight carried by Transnet Freight Rail</t>
        </is>
      </c>
      <c r="B77" s="152" t="inlineStr">
        <is>
          <t>Transnet Freight Rail, all freight</t>
        </is>
      </c>
      <c r="C77" s="152" t="inlineStr">
        <is>
          <t>226.3; 215.1; 212.4; 183.3; 173.1; 149.5; 151.7; 160.1</t>
        </is>
      </c>
      <c r="D77" s="152" t="inlineStr">
        <is>
          <t>million tonnes</t>
        </is>
      </c>
      <c r="E77" s="152" t="inlineStr">
        <is>
          <t>years to March 2018; 2019; 2020; 2021; 2022; 2023; 2024; 2025</t>
        </is>
      </c>
      <c r="F77" s="152" t="inlineStr">
        <is>
          <t>observed</t>
        </is>
      </c>
      <c r="G77" s="152" t="inlineStr">
        <is>
          <t>Transnet annual results 2025, presentation</t>
        </is>
      </c>
      <c r="H77" s="152" t="inlineStr">
        <is>
          <t>PDF p.14</t>
        </is>
      </c>
      <c r="I77" s="152" t="inlineStr">
        <is>
          <t>Fell by a third from 2018 to 2023 and has risen since. Export iron ore, export coal and general freight together.</t>
        </is>
      </c>
    </row>
    <row r="78">
      <c r="A78" s="152" t="inlineStr">
        <is>
          <t>Transnet's rail target</t>
        </is>
      </c>
      <c r="B78" s="152" t="inlineStr">
        <is>
          <t>Transnet</t>
        </is>
      </c>
      <c r="C78" s="152" t="inlineStr">
        <is>
          <t>250</t>
        </is>
      </c>
      <c r="D78" s="152" t="inlineStr">
        <is>
          <t>million tonnes</t>
        </is>
      </c>
      <c r="E78" s="152" t="inlineStr">
        <is>
          <t>target</t>
        </is>
      </c>
      <c r="F78" s="152" t="inlineStr">
        <is>
          <t>observed</t>
        </is>
      </c>
      <c r="G78" s="152" t="inlineStr">
        <is>
          <t>Transnet annual results 2025, presentation</t>
        </is>
      </c>
      <c r="H78" s="152" t="inlineStr">
        <is>
          <t>PDF p.36</t>
        </is>
      </c>
      <c r="I78" s="152" t="inlineStr">
        <is>
          <t>Transnet 'aims to grow its capacity to handle 250 million tons'. The slide gives no year; Nigel cited 2030.</t>
        </is>
      </c>
    </row>
    <row r="79">
      <c r="A79" s="156" t="inlineStr">
        <is>
          <t>Extra rail freight if the target is met</t>
        </is>
      </c>
      <c r="B79" s="156" t="inlineStr">
        <is>
          <t>Transnet Freight Rail</t>
        </is>
      </c>
      <c r="C79" s="156" t="inlineStr">
        <is>
          <t>90</t>
        </is>
      </c>
      <c r="D79" s="156" t="inlineStr">
        <is>
          <t>million tonnes</t>
        </is>
      </c>
      <c r="E79" s="156" t="inlineStr">
        <is>
          <t>target less the year to March 2025</t>
        </is>
      </c>
      <c r="F79" s="156" t="inlineStr">
        <is>
          <t>inferred</t>
        </is>
      </c>
      <c r="G79" s="156" t="inlineStr">
        <is>
          <t>Calculated from the two rows above</t>
        </is>
      </c>
      <c r="H79" s="156" t="inlineStr"/>
      <c r="I79" s="156" t="inlineStr">
        <is>
          <t>About 9% of road freight tonnes. Not all of it would come from road.</t>
        </is>
      </c>
    </row>
    <row r="80">
      <c r="A80" s="152" t="inlineStr">
        <is>
          <t>Freight in tonne-kilometres</t>
        </is>
      </c>
      <c r="B80" s="152" t="inlineStr">
        <is>
          <t>All freight; rail-friendly freight; carried by rail</t>
        </is>
      </c>
      <c r="C80" s="152" t="inlineStr">
        <is>
          <t>446; 181; 141</t>
        </is>
      </c>
      <c r="D80" s="152" t="inlineStr">
        <is>
          <t>billion tonne-km</t>
        </is>
      </c>
      <c r="E80" s="152" t="inlineStr">
        <is>
          <t>2019</t>
        </is>
      </c>
      <c r="F80" s="152" t="inlineStr">
        <is>
          <t>observed</t>
        </is>
      </c>
      <c r="G80" s="152" t="inlineStr">
        <is>
          <t>Havenga et al., A proposed freight and passenger road-to-rail strategy for South Africa (SA-TIED)</t>
        </is>
      </c>
      <c r="H80" s="152" t="inlineStr">
        <is>
          <t>PDF pp.17, 25</t>
        </is>
      </c>
      <c r="I80" s="152" t="inlineStr">
        <is>
          <t>Line haul 305, last mile 132, pipelines and conveyors 9.</t>
        </is>
      </c>
    </row>
    <row r="81">
      <c r="A81" s="152" t="inlineStr">
        <is>
          <t>General freight that rail should carry but does not</t>
        </is>
      </c>
      <c r="B81" s="152" t="inlineStr">
        <is>
          <t>Rail-friendly general freight on road</t>
        </is>
      </c>
      <c r="C81" s="152" t="inlineStr">
        <is>
          <t>30</t>
        </is>
      </c>
      <c r="D81" s="152" t="inlineStr">
        <is>
          <t>billion tonne-km</t>
        </is>
      </c>
      <c r="E81" s="152" t="inlineStr">
        <is>
          <t>2019</t>
        </is>
      </c>
      <c r="F81" s="152" t="inlineStr">
        <is>
          <t>observed</t>
        </is>
      </c>
      <c r="G81" s="152" t="inlineStr">
        <is>
          <t>Havenga et al., A proposed freight and passenger road-to-rail strategy for South Africa (SA-TIED)</t>
        </is>
      </c>
      <c r="H81" s="152" t="inlineStr">
        <is>
          <t>PDF p.26</t>
        </is>
      </c>
      <c r="I81" s="152" t="inlineStr">
        <is>
          <t>As the source states it: rail should have carried 47 and carried 18. This is the freight that a road-to-rail shift would move.</t>
        </is>
      </c>
    </row>
    <row r="82">
      <c r="A82" s="162" t="inlineStr">
        <is>
          <t>Road freight in tonne-kilometres, by year</t>
        </is>
      </c>
      <c r="B82" s="162" t="inlineStr">
        <is>
          <t>South Africa</t>
        </is>
      </c>
      <c r="C82" s="162" t="inlineStr">
        <is>
          <t>Not available</t>
        </is>
      </c>
      <c r="D82" s="162" t="inlineStr">
        <is>
          <t>billion tonne-km</t>
        </is>
      </c>
      <c r="E82" s="162" t="inlineStr"/>
      <c r="F82" s="162" t="inlineStr">
        <is>
          <t>not available</t>
        </is>
      </c>
      <c r="G82" s="162" t="inlineStr">
        <is>
          <t>None published as numbers</t>
        </is>
      </c>
      <c r="H82" s="162" t="inlineStr"/>
      <c r="I82" s="162" t="inlineStr">
        <is>
          <t>The research group that models it (GAIN, Stellenbosch) shows yearly charts but publishes figures for single years only.</t>
        </is>
      </c>
    </row>
    <row r="83">
      <c r="A83" s="152" t="inlineStr">
        <is>
          <t>Fuel used by Transnet, all divisions</t>
        </is>
      </c>
      <c r="B83" s="152" t="inlineStr">
        <is>
          <t>Transnet, all divisions</t>
        </is>
      </c>
      <c r="C83" s="152" t="inlineStr">
        <is>
          <t>190; 199</t>
        </is>
      </c>
      <c r="D83" s="152" t="inlineStr">
        <is>
          <t>million litres</t>
        </is>
      </c>
      <c r="E83" s="152" t="inlineStr">
        <is>
          <t>years to March 2024; 2025</t>
        </is>
      </c>
      <c r="F83" s="152" t="inlineStr">
        <is>
          <t>observed</t>
        </is>
      </c>
      <c r="G83" s="152" t="inlineStr">
        <is>
          <t>Transnet Integrated Report 2025</t>
        </is>
      </c>
      <c r="H83" s="152" t="inlineStr">
        <is>
          <t>PDF p.73</t>
        </is>
      </c>
      <c r="I83" s="152" t="inlineStr">
        <is>
          <t>Up 4.37%, mainly an 8.49% rise in fuel for traction.</t>
        </is>
      </c>
    </row>
    <row r="84">
      <c r="A84" s="156" t="inlineStr">
        <is>
          <t>Diesel used by rail locomotives</t>
        </is>
      </c>
      <c r="B84" s="156" t="inlineStr">
        <is>
          <t>Transnet Freight Rail</t>
        </is>
      </c>
      <c r="C84" s="156" t="inlineStr">
        <is>
          <t>138</t>
        </is>
      </c>
      <c r="D84" s="156" t="inlineStr">
        <is>
          <t>million litres</t>
        </is>
      </c>
      <c r="E84" s="156" t="inlineStr">
        <is>
          <t>year to March 2025</t>
        </is>
      </c>
      <c r="F84" s="156" t="inlineStr">
        <is>
          <t>inferred</t>
        </is>
      </c>
      <c r="G84" s="156" t="inlineStr">
        <is>
          <t>199 million litres x 69.2% used for diesel traction (both from the Transnet report)</t>
        </is>
      </c>
      <c r="H84" s="156" t="inlineStr">
        <is>
          <t>PDF p.73</t>
        </is>
      </c>
      <c r="I84" s="156" t="inlineStr">
        <is>
          <t>About 1% of diesel sales. So freight moving to rail saves nearly all the road diesel it displaces. The rest is generators 13.8%, vehicle fleets 10.2%, marine diesel 6.7%, jet fuel 0.1%.</t>
        </is>
      </c>
    </row>
    <row r="86">
      <c r="A86" s="151" t="inlineStr">
        <is>
          <t>Sector activity</t>
        </is>
      </c>
      <c r="B86" s="151" t="n"/>
      <c r="C86" s="151" t="n"/>
      <c r="D86" s="151" t="n"/>
      <c r="E86" s="151" t="n"/>
      <c r="F86" s="151" t="n"/>
      <c r="G86" s="151" t="n"/>
      <c r="H86" s="151" t="n"/>
      <c r="I86" s="151" t="n"/>
    </row>
    <row r="87">
      <c r="A87" s="152" t="inlineStr">
        <is>
          <t>Mining, manufacturing and agriculture: activity and diesel per unit</t>
        </is>
      </c>
      <c r="B87" s="152" t="inlineStr">
        <is>
          <t>South Africa</t>
        </is>
      </c>
      <c r="C87" s="152" t="inlineStr">
        <is>
          <t>On the Sector history sheet</t>
        </is>
      </c>
      <c r="D87" s="152" t="inlineStr"/>
      <c r="E87" s="152" t="inlineStr">
        <is>
          <t>2012-2025</t>
        </is>
      </c>
      <c r="F87" s="152" t="inlineStr">
        <is>
          <t>observed</t>
        </is>
      </c>
      <c r="G87" s="152" t="inlineStr">
        <is>
          <t>Statistics South Africa (P2041, P3041.2, P0441); department energy balances</t>
        </is>
      </c>
      <c r="H87" s="152" t="inlineStr"/>
      <c r="I87" s="152" t="inlineStr">
        <is>
          <t>Diesel by sector is observed to 2021 only, the last energy balance.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N1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56" customWidth="1" min="13" max="13"/>
    <col width="60" customWidth="1" min="14" max="14"/>
  </cols>
  <sheetData>
    <row r="1">
      <c r="A1" s="149" t="inlineStr">
        <is>
          <t>DR07 Diesel burned for power generation</t>
        </is>
      </c>
    </row>
    <row r="2">
      <c r="A2" s="1" t="inlineStr">
        <is>
          <t>Years to 31 March (2025 is April 2024 to March 2025). Volumes in billion litres. Blank means not reported.</t>
        </is>
      </c>
    </row>
    <row r="4">
      <c r="A4" s="150" t="inlineStr">
        <is>
          <t>Line</t>
        </is>
      </c>
      <c r="B4" s="150" t="n">
        <v>2016</v>
      </c>
      <c r="C4" s="150" t="n">
        <v>2017</v>
      </c>
      <c r="D4" s="150" t="n">
        <v>2018</v>
      </c>
      <c r="E4" s="150" t="n">
        <v>2019</v>
      </c>
      <c r="F4" s="150" t="n">
        <v>2020</v>
      </c>
      <c r="G4" s="150" t="n">
        <v>2021</v>
      </c>
      <c r="H4" s="150" t="n">
        <v>2022</v>
      </c>
      <c r="I4" s="150" t="n">
        <v>2023</v>
      </c>
      <c r="J4" s="150" t="n">
        <v>2024</v>
      </c>
      <c r="K4" s="150" t="n">
        <v>2025</v>
      </c>
      <c r="L4" s="150" t="n">
        <v>2026</v>
      </c>
      <c r="M4" s="150" t="inlineStr">
        <is>
          <t>Source</t>
        </is>
      </c>
      <c r="N4" s="150" t="inlineStr">
        <is>
          <t>Note</t>
        </is>
      </c>
    </row>
    <row r="5">
      <c r="A5" s="151" t="inlineStr">
        <is>
          <t>Eskom's own turbines (Ankerlig, Gourikwa, Acacia, Port Rex)</t>
        </is>
      </c>
      <c r="B5" s="151" t="n"/>
      <c r="C5" s="151" t="n"/>
      <c r="D5" s="151" t="n"/>
      <c r="E5" s="151" t="n"/>
      <c r="F5" s="151" t="n"/>
      <c r="G5" s="151" t="n"/>
      <c r="H5" s="151" t="n"/>
      <c r="I5" s="151" t="n"/>
      <c r="J5" s="151" t="n"/>
      <c r="K5" s="151" t="n"/>
      <c r="L5" s="151" t="n"/>
      <c r="M5" s="151" t="n"/>
      <c r="N5" s="151" t="n"/>
    </row>
    <row r="6">
      <c r="A6" s="170" t="inlineStr">
        <is>
          <t>Fuel burned, as reported</t>
        </is>
      </c>
      <c r="B6" s="171" t="n">
        <v>1.2478</v>
      </c>
      <c r="C6" s="171" t="n">
        <v>0.01</v>
      </c>
      <c r="D6" s="171" t="n">
        <v>0.0378</v>
      </c>
      <c r="E6" s="171" t="n">
        <v>0.385</v>
      </c>
      <c r="F6" s="171" t="n">
        <v>0.4262</v>
      </c>
      <c r="G6" s="171" t="n">
        <v>0.4587</v>
      </c>
      <c r="H6" s="171" t="n">
        <v>0.5804</v>
      </c>
      <c r="I6" s="171" t="n">
        <v>0.9375</v>
      </c>
      <c r="J6" s="171" t="n">
        <v>1.1295</v>
      </c>
      <c r="K6" s="171" t="n">
        <v>0.6791</v>
      </c>
      <c r="L6" s="171" t="n"/>
      <c r="M6" s="172" t="inlineStr">
        <is>
          <t>Eskom Integrated Report 2025, technical statistics, PDF p.141</t>
        </is>
      </c>
      <c r="N6" s="172" t="inlineStr">
        <is>
          <t>Diesel and kerosene together, as Eskom reports them. Acacia and Port Rex burn kerosene and are 342 of 2,426 MW.</t>
        </is>
      </c>
    </row>
    <row r="7">
      <c r="A7" s="170" t="inlineStr">
        <is>
          <t>Electricity generated by Eskom, GWh</t>
        </is>
      </c>
      <c r="B7" s="193" t="n"/>
      <c r="C7" s="193" t="n"/>
      <c r="D7" s="193" t="n"/>
      <c r="E7" s="193" t="n"/>
      <c r="F7" s="193" t="n"/>
      <c r="G7" s="193" t="n"/>
      <c r="H7" s="193" t="n">
        <v>1826</v>
      </c>
      <c r="I7" s="193" t="n">
        <v>3018</v>
      </c>
      <c r="J7" s="193" t="n">
        <v>3634</v>
      </c>
      <c r="K7" s="193" t="n">
        <v>2176</v>
      </c>
      <c r="L7" s="193" t="n">
        <v>811</v>
      </c>
      <c r="M7" s="172" t="inlineStr">
        <is>
          <t>Eskom data portal and reports (ocgt_generation_eskom.csv)</t>
        </is>
      </c>
      <c r="N7" s="172" t="inlineStr">
        <is>
          <t>Published from the year to March 2022.</t>
        </is>
      </c>
    </row>
    <row r="8">
      <c r="A8" s="176" t="inlineStr">
        <is>
          <t>Litres per kWh, implied</t>
        </is>
      </c>
      <c r="B8" s="194">
        <f>IF(COUNT(B6,B7)&lt;2,"",B6*1000/B7)</f>
        <v/>
      </c>
      <c r="C8" s="194">
        <f>IF(COUNT(C6,C7)&lt;2,"",C6*1000/C7)</f>
        <v/>
      </c>
      <c r="D8" s="194">
        <f>IF(COUNT(D6,D7)&lt;2,"",D6*1000/D7)</f>
        <v/>
      </c>
      <c r="E8" s="194">
        <f>IF(COUNT(E6,E7)&lt;2,"",E6*1000/E7)</f>
        <v/>
      </c>
      <c r="F8" s="194">
        <f>IF(COUNT(F6,F7)&lt;2,"",F6*1000/F7)</f>
        <v/>
      </c>
      <c r="G8" s="194">
        <f>IF(COUNT(G6,G7)&lt;2,"",G6*1000/G7)</f>
        <v/>
      </c>
      <c r="H8" s="194">
        <f>IF(COUNT(H6,H7)&lt;2,"",H6*1000/H7)</f>
        <v/>
      </c>
      <c r="I8" s="194">
        <f>IF(COUNT(I6,I7)&lt;2,"",I6*1000/I7)</f>
        <v/>
      </c>
      <c r="J8" s="194">
        <f>IF(COUNT(J6,J7)&lt;2,"",J6*1000/J7)</f>
        <v/>
      </c>
      <c r="K8" s="194">
        <f>IF(COUNT(K6,K7)&lt;2,"",K6*1000/K7)</f>
        <v/>
      </c>
      <c r="L8" s="194">
        <f>IF(COUNT(L6,L7)&lt;2,"",L6*1000/L7)</f>
        <v/>
      </c>
      <c r="M8" s="175" t="inlineStr">
        <is>
          <t>Calculated: fuel burned over electricity generated</t>
        </is>
      </c>
      <c r="N8" s="175" t="inlineStr">
        <is>
          <t>Confirms the 0.31 used on the Power fleet sheet.</t>
        </is>
      </c>
    </row>
    <row r="10">
      <c r="A10" s="151" t="inlineStr">
        <is>
          <t>Independent producers (Avon, Dedisa)</t>
        </is>
      </c>
      <c r="B10" s="151" t="n"/>
      <c r="C10" s="151" t="n"/>
      <c r="D10" s="151" t="n"/>
      <c r="E10" s="151" t="n"/>
      <c r="F10" s="151" t="n"/>
      <c r="G10" s="151" t="n"/>
      <c r="H10" s="151" t="n"/>
      <c r="I10" s="151" t="n"/>
      <c r="J10" s="151" t="n"/>
      <c r="K10" s="151" t="n"/>
      <c r="L10" s="151" t="n"/>
      <c r="M10" s="151" t="n"/>
      <c r="N10" s="151" t="n"/>
    </row>
    <row r="11">
      <c r="A11" s="170" t="inlineStr">
        <is>
          <t>Electricity generated by independent plants, GWh</t>
        </is>
      </c>
      <c r="B11" s="193" t="n"/>
      <c r="C11" s="193" t="n"/>
      <c r="D11" s="193" t="n"/>
      <c r="E11" s="193" t="n"/>
      <c r="F11" s="193" t="n"/>
      <c r="G11" s="193" t="n"/>
      <c r="H11" s="193" t="n"/>
      <c r="I11" s="193" t="n">
        <v>1098</v>
      </c>
      <c r="J11" s="193" t="n">
        <v>1509</v>
      </c>
      <c r="K11" s="193" t="n">
        <v>662</v>
      </c>
      <c r="L11" s="193" t="n">
        <v>268</v>
      </c>
      <c r="M11" s="172" t="inlineStr">
        <is>
          <t>Eskom data portal and reports (ocgt_generation_eskom.csv)</t>
        </is>
      </c>
      <c r="N11" s="172" t="inlineStr">
        <is>
          <t>The producers do not report litres.</t>
        </is>
      </c>
    </row>
    <row r="12">
      <c r="A12" s="181" t="inlineStr">
        <is>
          <t>Diesel burned, estimated</t>
        </is>
      </c>
      <c r="B12" s="182">
        <f>IF(ISNUMBER(B11),B11*0.31/1000,"")</f>
        <v/>
      </c>
      <c r="C12" s="182">
        <f>IF(ISNUMBER(C11),C11*0.31/1000,"")</f>
        <v/>
      </c>
      <c r="D12" s="182">
        <f>IF(ISNUMBER(D11),D11*0.31/1000,"")</f>
        <v/>
      </c>
      <c r="E12" s="182">
        <f>IF(ISNUMBER(E11),E11*0.31/1000,"")</f>
        <v/>
      </c>
      <c r="F12" s="182">
        <f>IF(ISNUMBER(F11),F11*0.31/1000,"")</f>
        <v/>
      </c>
      <c r="G12" s="182">
        <f>IF(ISNUMBER(G11),G11*0.31/1000,"")</f>
        <v/>
      </c>
      <c r="H12" s="182">
        <f>IF(ISNUMBER(H11),H11*0.31/1000,"")</f>
        <v/>
      </c>
      <c r="I12" s="182">
        <f>IF(ISNUMBER(I11),I11*0.31/1000,"")</f>
        <v/>
      </c>
      <c r="J12" s="182">
        <f>IF(ISNUMBER(J11),J11*0.31/1000,"")</f>
        <v/>
      </c>
      <c r="K12" s="182">
        <f>IF(ISNUMBER(K11),K11*0.31/1000,"")</f>
        <v/>
      </c>
      <c r="L12" s="182">
        <f>IF(ISNUMBER(L11),L11*0.31/1000,"")</f>
        <v/>
      </c>
      <c r="M12" s="183" t="inlineStr">
        <is>
          <t>Calculated: generation x 0.31 litres per kWh</t>
        </is>
      </c>
      <c r="N12" s="183" t="inlineStr">
        <is>
          <t>An estimate, at Eskom's implied rate.</t>
        </is>
      </c>
    </row>
    <row r="14">
      <c r="A14" s="151" t="inlineStr">
        <is>
          <t>All grid turbines</t>
        </is>
      </c>
      <c r="B14" s="151" t="n"/>
      <c r="C14" s="151" t="n"/>
      <c r="D14" s="151" t="n"/>
      <c r="E14" s="151" t="n"/>
      <c r="F14" s="151" t="n"/>
      <c r="G14" s="151" t="n"/>
      <c r="H14" s="151" t="n"/>
      <c r="I14" s="151" t="n"/>
      <c r="J14" s="151" t="n"/>
      <c r="K14" s="151" t="n"/>
      <c r="L14" s="151" t="n"/>
      <c r="M14" s="151" t="n"/>
      <c r="N14" s="151" t="n"/>
    </row>
    <row r="15">
      <c r="A15" s="173" t="inlineStr">
        <is>
          <t>Diesel burned, Eskom reported plus independent estimated</t>
        </is>
      </c>
      <c r="B15" s="174">
        <f>IF(COUNT(B6,B12)&lt;2,"",B6+B12)</f>
        <v/>
      </c>
      <c r="C15" s="174">
        <f>IF(COUNT(C6,C12)&lt;2,"",C6+C12)</f>
        <v/>
      </c>
      <c r="D15" s="174">
        <f>IF(COUNT(D6,D12)&lt;2,"",D6+D12)</f>
        <v/>
      </c>
      <c r="E15" s="174">
        <f>IF(COUNT(E6,E12)&lt;2,"",E6+E12)</f>
        <v/>
      </c>
      <c r="F15" s="174">
        <f>IF(COUNT(F6,F12)&lt;2,"",F6+F12)</f>
        <v/>
      </c>
      <c r="G15" s="174">
        <f>IF(COUNT(G6,G12)&lt;2,"",G6+G12)</f>
        <v/>
      </c>
      <c r="H15" s="174">
        <f>IF(COUNT(H6,H12)&lt;2,"",H6+H12)</f>
        <v/>
      </c>
      <c r="I15" s="174">
        <f>IF(COUNT(I6,I12)&lt;2,"",I6+I12)</f>
        <v/>
      </c>
      <c r="J15" s="174">
        <f>IF(COUNT(J6,J12)&lt;2,"",J6+J12)</f>
        <v/>
      </c>
      <c r="K15" s="174">
        <f>IF(COUNT(K6,K12)&lt;2,"",K6+K12)</f>
        <v/>
      </c>
      <c r="L15" s="174">
        <f>IF(COUNT(L6,L12)&lt;2,"",L6+L12)</f>
        <v/>
      </c>
      <c r="M15" s="175" t="inlineStr">
        <is>
          <t>Sum of the two volume rows above</t>
        </is>
      </c>
      <c r="N15" s="175" t="inlineStr">
        <is>
          <t>Only where both are known. Private backup generators are not in any source.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4" customWidth="1" min="9" max="9"/>
    <col width="62" customWidth="1" min="10" max="10"/>
  </cols>
  <sheetData>
    <row r="1">
      <c r="A1" s="149" t="inlineStr">
        <is>
          <t>DR07 Registered vehicles by province and class, 2026-06</t>
        </is>
      </c>
    </row>
    <row r="2">
      <c r="A2" s="1" t="inlineStr">
        <is>
          <t>Vehicles on the register at month end, by class; then petrol and diesel vehicles by province at December 2023. Nothing published crosses fuel with class.</t>
        </is>
      </c>
    </row>
    <row r="4">
      <c r="A4" s="150" t="inlineStr">
        <is>
          <t>Province</t>
        </is>
      </c>
      <c r="B4" s="150" t="inlineStr">
        <is>
          <t>Cars</t>
        </is>
      </c>
      <c r="C4" s="150" t="inlineStr">
        <is>
          <t>Light commercial</t>
        </is>
      </c>
      <c r="D4" s="150" t="inlineStr">
        <is>
          <t>Trucks</t>
        </is>
      </c>
      <c r="E4" s="150" t="inlineStr">
        <is>
          <t>Buses</t>
        </is>
      </c>
      <c r="F4" s="150" t="inlineStr">
        <is>
          <t>Minibuses</t>
        </is>
      </c>
      <c r="G4" s="150" t="inlineStr">
        <is>
          <t>Motorcycles</t>
        </is>
      </c>
      <c r="H4" s="150" t="inlineStr">
        <is>
          <t>All self-propelled</t>
        </is>
      </c>
      <c r="I4" s="150" t="inlineStr">
        <is>
          <t>Share of all vehicles</t>
        </is>
      </c>
      <c r="J4" s="150" t="inlineStr">
        <is>
          <t>Source</t>
        </is>
      </c>
    </row>
    <row r="5">
      <c r="A5" s="170" t="inlineStr">
        <is>
          <t>Gauteng</t>
        </is>
      </c>
      <c r="B5" s="193" t="n">
        <v>3485272</v>
      </c>
      <c r="C5" s="193" t="n">
        <v>936521</v>
      </c>
      <c r="D5" s="193" t="n">
        <v>150862</v>
      </c>
      <c r="E5" s="193" t="n">
        <v>20937</v>
      </c>
      <c r="F5" s="193" t="n">
        <v>127451</v>
      </c>
      <c r="G5" s="193" t="n">
        <v>158810</v>
      </c>
      <c r="H5" s="193" t="n">
        <v>4919011</v>
      </c>
      <c r="I5" s="195">
        <f>H5/H$14</f>
        <v/>
      </c>
      <c r="J5" s="172" t="inlineStr">
        <is>
          <t>eNaTIS live vehicle population by class and province (vehicle_population_natis.csv)</t>
        </is>
      </c>
    </row>
    <row r="6">
      <c r="A6" s="170" t="inlineStr">
        <is>
          <t>KwaZulu-Natal</t>
        </is>
      </c>
      <c r="B6" s="193" t="n">
        <v>1171505</v>
      </c>
      <c r="C6" s="193" t="n">
        <v>411049</v>
      </c>
      <c r="D6" s="193" t="n">
        <v>59557</v>
      </c>
      <c r="E6" s="193" t="n">
        <v>8253</v>
      </c>
      <c r="F6" s="193" t="n">
        <v>61665</v>
      </c>
      <c r="G6" s="193" t="n">
        <v>39411</v>
      </c>
      <c r="H6" s="193" t="n">
        <v>1783517</v>
      </c>
      <c r="I6" s="195">
        <f>H6/H$14</f>
        <v/>
      </c>
      <c r="J6" s="172" t="inlineStr">
        <is>
          <t>eNaTIS live vehicle population by class and province (vehicle_population_natis.csv)</t>
        </is>
      </c>
    </row>
    <row r="7">
      <c r="A7" s="170" t="inlineStr">
        <is>
          <t>Western Cape</t>
        </is>
      </c>
      <c r="B7" s="193" t="n">
        <v>1448715</v>
      </c>
      <c r="C7" s="193" t="n">
        <v>371420</v>
      </c>
      <c r="D7" s="193" t="n">
        <v>50960</v>
      </c>
      <c r="E7" s="193" t="n">
        <v>7463</v>
      </c>
      <c r="F7" s="193" t="n">
        <v>41603</v>
      </c>
      <c r="G7" s="193" t="n">
        <v>96388</v>
      </c>
      <c r="H7" s="193" t="n">
        <v>2060254</v>
      </c>
      <c r="I7" s="195">
        <f>H7/H$14</f>
        <v/>
      </c>
      <c r="J7" s="172" t="inlineStr">
        <is>
          <t>eNaTIS live vehicle population by class and province (vehicle_population_natis.csv)</t>
        </is>
      </c>
    </row>
    <row r="8">
      <c r="A8" s="170" t="inlineStr">
        <is>
          <t>Eastern Cape</t>
        </is>
      </c>
      <c r="B8" s="193" t="n">
        <v>506193</v>
      </c>
      <c r="C8" s="193" t="n">
        <v>212296</v>
      </c>
      <c r="D8" s="193" t="n">
        <v>23146</v>
      </c>
      <c r="E8" s="193" t="n">
        <v>4894</v>
      </c>
      <c r="F8" s="193" t="n">
        <v>27406</v>
      </c>
      <c r="G8" s="193" t="n">
        <v>21876</v>
      </c>
      <c r="H8" s="193" t="n">
        <v>813557</v>
      </c>
      <c r="I8" s="195">
        <f>H8/H$14</f>
        <v/>
      </c>
      <c r="J8" s="172" t="inlineStr">
        <is>
          <t>eNaTIS live vehicle population by class and province (vehicle_population_natis.csv)</t>
        </is>
      </c>
    </row>
    <row r="9">
      <c r="A9" s="170" t="inlineStr">
        <is>
          <t>Mpumalanga</t>
        </is>
      </c>
      <c r="B9" s="193" t="n">
        <v>477358</v>
      </c>
      <c r="C9" s="193" t="n">
        <v>231790</v>
      </c>
      <c r="D9" s="193" t="n">
        <v>41125</v>
      </c>
      <c r="E9" s="193" t="n">
        <v>7812</v>
      </c>
      <c r="F9" s="193" t="n">
        <v>28469</v>
      </c>
      <c r="G9" s="193" t="n">
        <v>17205</v>
      </c>
      <c r="H9" s="193" t="n">
        <v>830714</v>
      </c>
      <c r="I9" s="195">
        <f>H9/H$14</f>
        <v/>
      </c>
      <c r="J9" s="172" t="inlineStr">
        <is>
          <t>eNaTIS live vehicle population by class and province (vehicle_population_natis.csv)</t>
        </is>
      </c>
    </row>
    <row r="10">
      <c r="A10" s="170" t="inlineStr">
        <is>
          <t>Limpopo</t>
        </is>
      </c>
      <c r="B10" s="193" t="n">
        <v>419050</v>
      </c>
      <c r="C10" s="193" t="n">
        <v>260224</v>
      </c>
      <c r="D10" s="193" t="n">
        <v>28357</v>
      </c>
      <c r="E10" s="193" t="n">
        <v>7774</v>
      </c>
      <c r="F10" s="193" t="n">
        <v>28651</v>
      </c>
      <c r="G10" s="193" t="n">
        <v>9060</v>
      </c>
      <c r="H10" s="193" t="n">
        <v>771478</v>
      </c>
      <c r="I10" s="195">
        <f>H10/H$14</f>
        <v/>
      </c>
      <c r="J10" s="172" t="inlineStr">
        <is>
          <t>eNaTIS live vehicle population by class and province (vehicle_population_natis.csv)</t>
        </is>
      </c>
    </row>
    <row r="11">
      <c r="A11" s="170" t="inlineStr">
        <is>
          <t>North West</t>
        </is>
      </c>
      <c r="B11" s="193" t="n">
        <v>365628</v>
      </c>
      <c r="C11" s="193" t="n">
        <v>168694</v>
      </c>
      <c r="D11" s="193" t="n">
        <v>18997</v>
      </c>
      <c r="E11" s="193" t="n">
        <v>4326</v>
      </c>
      <c r="F11" s="193" t="n">
        <v>22262</v>
      </c>
      <c r="G11" s="193" t="n">
        <v>13126</v>
      </c>
      <c r="H11" s="193" t="n">
        <v>614380</v>
      </c>
      <c r="I11" s="195">
        <f>H11/H$14</f>
        <v/>
      </c>
      <c r="J11" s="172" t="inlineStr">
        <is>
          <t>eNaTIS live vehicle population by class and province (vehicle_population_natis.csv)</t>
        </is>
      </c>
    </row>
    <row r="12">
      <c r="A12" s="170" t="inlineStr">
        <is>
          <t>Free State</t>
        </is>
      </c>
      <c r="B12" s="193" t="n">
        <v>328418</v>
      </c>
      <c r="C12" s="193" t="n">
        <v>138820</v>
      </c>
      <c r="D12" s="193" t="n">
        <v>26190</v>
      </c>
      <c r="E12" s="193" t="n">
        <v>3425</v>
      </c>
      <c r="F12" s="193" t="n">
        <v>12679</v>
      </c>
      <c r="G12" s="193" t="n">
        <v>16810</v>
      </c>
      <c r="H12" s="193" t="n">
        <v>561774</v>
      </c>
      <c r="I12" s="195">
        <f>H12/H$14</f>
        <v/>
      </c>
      <c r="J12" s="172" t="inlineStr">
        <is>
          <t>eNaTIS live vehicle population by class and province (vehicle_population_natis.csv)</t>
        </is>
      </c>
    </row>
    <row r="13">
      <c r="A13" s="170" t="inlineStr">
        <is>
          <t>Northern Cape</t>
        </is>
      </c>
      <c r="B13" s="193" t="n">
        <v>138453</v>
      </c>
      <c r="C13" s="193" t="n">
        <v>85733</v>
      </c>
      <c r="D13" s="193" t="n">
        <v>9855</v>
      </c>
      <c r="E13" s="193" t="n">
        <v>1988</v>
      </c>
      <c r="F13" s="193" t="n">
        <v>6811</v>
      </c>
      <c r="G13" s="193" t="n">
        <v>7123</v>
      </c>
      <c r="H13" s="193" t="n">
        <v>259795</v>
      </c>
      <c r="I13" s="195">
        <f>H13/H$14</f>
        <v/>
      </c>
      <c r="J13" s="172" t="inlineStr">
        <is>
          <t>eNaTIS live vehicle population by class and province (vehicle_population_natis.csv)</t>
        </is>
      </c>
    </row>
    <row r="14">
      <c r="A14" s="173" t="inlineStr">
        <is>
          <t>South Africa</t>
        </is>
      </c>
      <c r="B14" s="196">
        <f>SUM(B5:B13)</f>
        <v/>
      </c>
      <c r="C14" s="196">
        <f>SUM(C5:C13)</f>
        <v/>
      </c>
      <c r="D14" s="196">
        <f>SUM(D5:D13)</f>
        <v/>
      </c>
      <c r="E14" s="196">
        <f>SUM(E5:E13)</f>
        <v/>
      </c>
      <c r="F14" s="196">
        <f>SUM(F5:F13)</f>
        <v/>
      </c>
      <c r="G14" s="196">
        <f>SUM(G5:G13)</f>
        <v/>
      </c>
      <c r="H14" s="196">
        <f>SUM(H5:H13)</f>
        <v/>
      </c>
      <c r="I14" s="195">
        <f>H14/H$14</f>
        <v/>
      </c>
      <c r="J14" s="175" t="inlineStr">
        <is>
          <t>Sum of the nine provinces</t>
        </is>
      </c>
    </row>
    <row r="16">
      <c r="A16" s="151" t="inlineStr">
        <is>
          <t>Petrol and diesel vehicles by province, December 2023</t>
        </is>
      </c>
      <c r="B16" s="151" t="n"/>
      <c r="C16" s="151" t="n"/>
      <c r="D16" s="151" t="n"/>
      <c r="E16" s="151" t="n"/>
      <c r="F16" s="151" t="n"/>
      <c r="G16" s="151" t="n"/>
      <c r="H16" s="151" t="n"/>
      <c r="I16" s="151" t="n"/>
      <c r="J16" s="151" t="n"/>
    </row>
    <row r="17">
      <c r="A17" s="185" t="inlineStr">
        <is>
          <t>Province</t>
        </is>
      </c>
      <c r="B17" s="185" t="inlineStr">
        <is>
          <t>Petrol</t>
        </is>
      </c>
      <c r="C17" s="185" t="inlineStr">
        <is>
          <t>Diesel</t>
        </is>
      </c>
      <c r="D17" s="185" t="inlineStr">
        <is>
          <t>Petrol and diesel</t>
        </is>
      </c>
      <c r="E17" s="185" t="inlineStr">
        <is>
          <t>Diesel share</t>
        </is>
      </c>
      <c r="J17" s="185" t="inlineStr">
        <is>
          <t>Source</t>
        </is>
      </c>
    </row>
    <row r="18">
      <c r="A18" s="170" t="inlineStr">
        <is>
          <t>Gauteng</t>
        </is>
      </c>
      <c r="B18" s="193" t="n">
        <v>3466725</v>
      </c>
      <c r="C18" s="193" t="n">
        <v>1142275</v>
      </c>
      <c r="D18" s="196">
        <f>B18+C18</f>
        <v/>
      </c>
      <c r="E18" s="195">
        <f>C18/D18</f>
        <v/>
      </c>
      <c r="J18" s="172" t="inlineStr">
        <is>
          <t>Department of Transport, Transport Statistics Bulletin 2023, Table 2.8 (PDF p.40)</t>
        </is>
      </c>
    </row>
    <row r="19">
      <c r="A19" s="170" t="inlineStr">
        <is>
          <t>KwaZulu-Natal</t>
        </is>
      </c>
      <c r="B19" s="193" t="n">
        <v>1181017</v>
      </c>
      <c r="C19" s="193" t="n">
        <v>459888</v>
      </c>
      <c r="D19" s="196">
        <f>B19+C19</f>
        <v/>
      </c>
      <c r="E19" s="195">
        <f>C19/D19</f>
        <v/>
      </c>
      <c r="J19" s="172" t="inlineStr">
        <is>
          <t>Department of Transport, Transport Statistics Bulletin 2023, Table 2.8 (PDF p.40)</t>
        </is>
      </c>
    </row>
    <row r="20">
      <c r="A20" s="170" t="inlineStr">
        <is>
          <t>Western Cape</t>
        </is>
      </c>
      <c r="B20" s="193" t="n">
        <v>1426954</v>
      </c>
      <c r="C20" s="193" t="n">
        <v>507006</v>
      </c>
      <c r="D20" s="196">
        <f>B20+C20</f>
        <v/>
      </c>
      <c r="E20" s="195">
        <f>C20/D20</f>
        <v/>
      </c>
      <c r="J20" s="172" t="inlineStr">
        <is>
          <t>Department of Transport, Transport Statistics Bulletin 2023, Table 2.8 (PDF p.40)</t>
        </is>
      </c>
    </row>
    <row r="21">
      <c r="A21" s="170" t="inlineStr">
        <is>
          <t>Eastern Cape</t>
        </is>
      </c>
      <c r="B21" s="193" t="n">
        <v>550085</v>
      </c>
      <c r="C21" s="193" t="n">
        <v>233959</v>
      </c>
      <c r="D21" s="196">
        <f>B21+C21</f>
        <v/>
      </c>
      <c r="E21" s="195">
        <f>C21/D21</f>
        <v/>
      </c>
      <c r="J21" s="172" t="inlineStr">
        <is>
          <t>Department of Transport, Transport Statistics Bulletin 2023, Table 2.8 (PDF p.40)</t>
        </is>
      </c>
    </row>
    <row r="22">
      <c r="A22" s="170" t="inlineStr">
        <is>
          <t>Mpumalanga</t>
        </is>
      </c>
      <c r="B22" s="193" t="n">
        <v>529640</v>
      </c>
      <c r="C22" s="193" t="n">
        <v>281750</v>
      </c>
      <c r="D22" s="196">
        <f>B22+C22</f>
        <v/>
      </c>
      <c r="E22" s="195">
        <f>C22/D22</f>
        <v/>
      </c>
      <c r="J22" s="172" t="inlineStr">
        <is>
          <t>Department of Transport, Transport Statistics Bulletin 2023, Table 2.8 (PDF p.40)</t>
        </is>
      </c>
    </row>
    <row r="23">
      <c r="A23" s="170" t="inlineStr">
        <is>
          <t>Limpopo</t>
        </is>
      </c>
      <c r="B23" s="193" t="n">
        <v>482248</v>
      </c>
      <c r="C23" s="193" t="n">
        <v>240595</v>
      </c>
      <c r="D23" s="196">
        <f>B23+C23</f>
        <v/>
      </c>
      <c r="E23" s="195">
        <f>C23/D23</f>
        <v/>
      </c>
      <c r="J23" s="172" t="inlineStr">
        <is>
          <t>Department of Transport, Transport Statistics Bulletin 2023, Table 2.8 (PDF p.40)</t>
        </is>
      </c>
    </row>
    <row r="24">
      <c r="A24" s="170" t="inlineStr">
        <is>
          <t>North West</t>
        </is>
      </c>
      <c r="B24" s="193" t="n">
        <v>404398</v>
      </c>
      <c r="C24" s="193" t="n">
        <v>184614</v>
      </c>
      <c r="D24" s="196">
        <f>B24+C24</f>
        <v/>
      </c>
      <c r="E24" s="195">
        <f>C24/D24</f>
        <v/>
      </c>
      <c r="J24" s="172" t="inlineStr">
        <is>
          <t>Department of Transport, Transport Statistics Bulletin 2023, Table 2.8 (PDF p.40)</t>
        </is>
      </c>
    </row>
    <row r="25">
      <c r="A25" s="170" t="inlineStr">
        <is>
          <t>Free State</t>
        </is>
      </c>
      <c r="B25" s="193" t="n">
        <v>358000</v>
      </c>
      <c r="C25" s="193" t="n">
        <v>189266</v>
      </c>
      <c r="D25" s="196">
        <f>B25+C25</f>
        <v/>
      </c>
      <c r="E25" s="195">
        <f>C25/D25</f>
        <v/>
      </c>
      <c r="J25" s="172" t="inlineStr">
        <is>
          <t>Department of Transport, Transport Statistics Bulletin 2023, Table 2.8 (PDF p.40)</t>
        </is>
      </c>
    </row>
    <row r="26">
      <c r="A26" s="170" t="inlineStr">
        <is>
          <t>Northern Cape</t>
        </is>
      </c>
      <c r="B26" s="193" t="n">
        <v>156705</v>
      </c>
      <c r="C26" s="193" t="n">
        <v>96193</v>
      </c>
      <c r="D26" s="196">
        <f>B26+C26</f>
        <v/>
      </c>
      <c r="E26" s="195">
        <f>C26/D26</f>
        <v/>
      </c>
      <c r="J26" s="172" t="inlineStr">
        <is>
          <t>Department of Transport, Transport Statistics Bulletin 2023, Table 2.8 (PDF p.40)</t>
        </is>
      </c>
    </row>
    <row r="27">
      <c r="A27" s="173" t="inlineStr">
        <is>
          <t>South Africa</t>
        </is>
      </c>
      <c r="B27" s="196">
        <f>SUM(B18:B26)</f>
        <v/>
      </c>
      <c r="C27" s="196">
        <f>SUM(C18:C26)</f>
        <v/>
      </c>
      <c r="D27" s="196">
        <f>B27+C27</f>
        <v/>
      </c>
      <c r="E27" s="195">
        <f>C27/D27</f>
        <v/>
      </c>
      <c r="J27" s="175" t="inlineStr">
        <is>
          <t>Sum of the nine provinces; equals the bulletin's national totals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58" customWidth="1" min="11" max="11"/>
    <col width="62" customWidth="1" min="12" max="12"/>
  </cols>
  <sheetData>
    <row r="1">
      <c r="A1" s="149" t="inlineStr">
        <is>
          <t>DR07 Vehicle efficiency history and rail freight</t>
        </is>
      </c>
    </row>
    <row r="2">
      <c r="A2" s="1" t="inlineStr">
        <is>
          <t>Two series read from published documents. Each row gives its source.</t>
        </is>
      </c>
    </row>
    <row r="4">
      <c r="A4" s="150" t="inlineStr">
        <is>
          <t>Line</t>
        </is>
      </c>
      <c r="B4" s="150" t="inlineStr"/>
      <c r="C4" s="150" t="inlineStr"/>
      <c r="D4" s="150" t="inlineStr"/>
      <c r="E4" s="150" t="inlineStr"/>
      <c r="F4" s="150" t="inlineStr"/>
      <c r="G4" s="150" t="inlineStr"/>
      <c r="H4" s="150" t="inlineStr"/>
      <c r="I4" s="150" t="inlineStr"/>
      <c r="J4" s="150" t="inlineStr"/>
      <c r="K4" s="150" t="inlineStr">
        <is>
          <t>Source</t>
        </is>
      </c>
      <c r="L4" s="150" t="inlineStr">
        <is>
          <t>Note</t>
        </is>
      </c>
    </row>
    <row r="5">
      <c r="A5" s="151" t="inlineStr">
        <is>
          <t>Fuel use of new light vehicles (cars and light commercial vehicles)</t>
        </is>
      </c>
      <c r="B5" s="151" t="n"/>
      <c r="C5" s="151" t="n"/>
      <c r="D5" s="151" t="n"/>
      <c r="E5" s="151" t="n"/>
      <c r="F5" s="151" t="n"/>
      <c r="G5" s="151" t="n"/>
      <c r="H5" s="151" t="n"/>
      <c r="I5" s="151" t="n"/>
      <c r="J5" s="151" t="n"/>
      <c r="K5" s="151" t="n"/>
      <c r="L5" s="151" t="n"/>
    </row>
    <row r="6">
      <c r="A6" s="173" t="inlineStr">
        <is>
          <t>Year</t>
        </is>
      </c>
      <c r="B6" s="197" t="n">
        <v>2005</v>
      </c>
      <c r="C6" s="197" t="n">
        <v>2008</v>
      </c>
      <c r="D6" s="197" t="n">
        <v>2010</v>
      </c>
      <c r="E6" s="197" t="n">
        <v>2011</v>
      </c>
      <c r="F6" s="197" t="n">
        <v>2012</v>
      </c>
      <c r="G6" s="197" t="n">
        <v>2013</v>
      </c>
      <c r="H6" s="197" t="n">
        <v>2014</v>
      </c>
      <c r="I6" s="197" t="n">
        <v>2015</v>
      </c>
      <c r="J6" s="197" t="n">
        <v>2019</v>
      </c>
      <c r="K6" s="198" t="inlineStr"/>
      <c r="L6" s="198" t="inlineStr"/>
    </row>
    <row r="7">
      <c r="A7" s="170" t="inlineStr">
        <is>
          <t>Litres of petrol equivalent per 100 km</t>
        </is>
      </c>
      <c r="B7" s="191" t="n">
        <v>8.800000000000001</v>
      </c>
      <c r="C7" s="191" t="n">
        <v>8.6</v>
      </c>
      <c r="D7" s="191" t="n">
        <v>8.6</v>
      </c>
      <c r="E7" s="191" t="n">
        <v>8.199999999999999</v>
      </c>
      <c r="F7" s="191" t="n">
        <v>7.9</v>
      </c>
      <c r="G7" s="191" t="n">
        <v>7.7</v>
      </c>
      <c r="H7" s="191" t="n">
        <v>7.8</v>
      </c>
      <c r="I7" s="191" t="n">
        <v>7.8</v>
      </c>
      <c r="J7" s="191" t="n">
        <v>7.4</v>
      </c>
      <c r="K7" s="172" t="inlineStr">
        <is>
          <t>IEA and Global Fuel Economy Initiative: Working Paper 15 (2017), PDF p.119; country page (2021) for 2019</t>
        </is>
      </c>
      <c r="L7" s="172" t="inlineStr">
        <is>
          <t>New vehicles registered that year. Nothing after 2019 was found.</t>
        </is>
      </c>
    </row>
    <row r="8">
      <c r="A8" s="176" t="inlineStr">
        <is>
          <t>Change a year, first to last</t>
        </is>
      </c>
      <c r="B8" s="195">
        <f>(J7/B7)^(1/(J6-B6))-1</f>
        <v/>
      </c>
      <c r="C8" s="199" t="n"/>
      <c r="D8" s="199" t="n"/>
      <c r="E8" s="199" t="n"/>
      <c r="F8" s="199" t="n"/>
      <c r="G8" s="199" t="n"/>
      <c r="H8" s="199" t="n"/>
      <c r="I8" s="199" t="n"/>
      <c r="J8" s="199" t="n"/>
      <c r="K8" s="175" t="inlineStr">
        <is>
          <t>Calculated from the row above</t>
        </is>
      </c>
      <c r="L8" s="175" t="inlineStr">
        <is>
          <t>The IEA states 1.3% a year for 2005 to 2019. The model assumes 0.5 to 1.5% a year.</t>
        </is>
      </c>
    </row>
    <row r="10">
      <c r="A10" s="151" t="inlineStr">
        <is>
          <t>Freight carried by Transnet Freight Rail</t>
        </is>
      </c>
      <c r="B10" s="151" t="n"/>
      <c r="C10" s="151" t="n"/>
      <c r="D10" s="151" t="n"/>
      <c r="E10" s="151" t="n"/>
      <c r="F10" s="151" t="n"/>
      <c r="G10" s="151" t="n"/>
      <c r="H10" s="151" t="n"/>
      <c r="I10" s="151" t="n"/>
      <c r="J10" s="151" t="n"/>
      <c r="K10" s="151" t="n"/>
      <c r="L10" s="151" t="n"/>
    </row>
    <row r="11">
      <c r="A11" s="173" t="inlineStr">
        <is>
          <t>Year to March</t>
        </is>
      </c>
      <c r="B11" s="197" t="n">
        <v>2018</v>
      </c>
      <c r="C11" s="197" t="n">
        <v>2019</v>
      </c>
      <c r="D11" s="197" t="n">
        <v>2020</v>
      </c>
      <c r="E11" s="197" t="n">
        <v>2021</v>
      </c>
      <c r="F11" s="197" t="n">
        <v>2022</v>
      </c>
      <c r="G11" s="197" t="n">
        <v>2023</v>
      </c>
      <c r="H11" s="197" t="n">
        <v>2024</v>
      </c>
      <c r="I11" s="197" t="n">
        <v>2025</v>
      </c>
      <c r="J11" s="197" t="inlineStr">
        <is>
          <t>Target</t>
        </is>
      </c>
      <c r="K11" s="198" t="inlineStr"/>
      <c r="L11" s="198" t="inlineStr"/>
    </row>
    <row r="12">
      <c r="A12" s="170" t="inlineStr">
        <is>
          <t>Million tonnes</t>
        </is>
      </c>
      <c r="B12" s="191" t="n">
        <v>226.3</v>
      </c>
      <c r="C12" s="191" t="n">
        <v>215.1</v>
      </c>
      <c r="D12" s="191" t="n">
        <v>212.4</v>
      </c>
      <c r="E12" s="191" t="n">
        <v>183.3</v>
      </c>
      <c r="F12" s="191" t="n">
        <v>173.1</v>
      </c>
      <c r="G12" s="191" t="n">
        <v>149.5</v>
      </c>
      <c r="H12" s="191" t="n">
        <v>151.7</v>
      </c>
      <c r="I12" s="191" t="n">
        <v>160.1</v>
      </c>
      <c r="J12" s="191" t="n">
        <v>250</v>
      </c>
      <c r="K12" s="172" t="inlineStr">
        <is>
          <t>Transnet annual results 2025, presentation, PDF pp.14 and 36</t>
        </is>
      </c>
      <c r="L12" s="172" t="inlineStr">
        <is>
          <t>Export iron ore, export coal and general freight together. The target has no year on the slide.</t>
        </is>
      </c>
    </row>
    <row r="13">
      <c r="A13" s="176" t="inlineStr">
        <is>
          <t>Target less the latest year, million tonnes</t>
        </is>
      </c>
      <c r="B13" s="192">
        <f>J12-I12</f>
        <v/>
      </c>
      <c r="C13" s="199" t="n"/>
      <c r="D13" s="199" t="n"/>
      <c r="E13" s="199" t="n"/>
      <c r="F13" s="199" t="n"/>
      <c r="G13" s="199" t="n"/>
      <c r="H13" s="199" t="n"/>
      <c r="I13" s="199" t="n"/>
      <c r="J13" s="199" t="n"/>
      <c r="K13" s="175" t="inlineStr">
        <is>
          <t>Calculated from the row above</t>
        </is>
      </c>
      <c r="L13" s="175" t="inlineStr">
        <is>
          <t>The most freight that could move to rail if the target is met. Not all of it would come from road.</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DR08 Refinery supply: capacity, status, output and outlook</t>
        </is>
      </c>
    </row>
    <row r="2">
      <c r="A2" s="1" t="inlineStr">
        <is>
          <t>43 facts read from sources, 9 calculated, 3 not available (yellow). Each row gives its source. Built by python -m lfm.scripts.build_dr08_refinery_evidence.</t>
        </is>
      </c>
    </row>
    <row r="4">
      <c r="A4" s="150" t="inlineStr">
        <is>
          <t>Item</t>
        </is>
      </c>
      <c r="B4" s="150" t="inlineStr">
        <is>
          <t>Plant</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Capacity</t>
        </is>
      </c>
      <c r="B5" s="151" t="n"/>
      <c r="C5" s="151" t="n"/>
      <c r="D5" s="151" t="n"/>
      <c r="E5" s="151" t="n"/>
      <c r="F5" s="151" t="n"/>
      <c r="G5" s="151" t="n"/>
      <c r="H5" s="151" t="n"/>
      <c r="I5" s="151" t="n"/>
    </row>
    <row r="6">
      <c r="A6" s="152" t="inlineStr">
        <is>
          <t>Published capacity</t>
        </is>
      </c>
      <c r="B6" s="152" t="inlineStr">
        <is>
          <t>Secunda</t>
        </is>
      </c>
      <c r="C6" s="152" t="inlineStr">
        <is>
          <t>150000</t>
        </is>
      </c>
      <c r="D6" s="152" t="inlineStr">
        <is>
          <t>barrels a day</t>
        </is>
      </c>
      <c r="E6" s="152" t="inlineStr">
        <is>
          <t>as published in 2023</t>
        </is>
      </c>
      <c r="F6" s="152" t="inlineStr">
        <is>
          <t>observed</t>
        </is>
      </c>
      <c r="G6" s="152" t="inlineStr">
        <is>
          <t>Department of Mineral Resources and Energy, South African Energy Sector Report 2023, Table 1</t>
        </is>
      </c>
      <c r="H6" s="152" t="inlineStr">
        <is>
          <t>PDF p.17</t>
        </is>
      </c>
      <c r="I6" s="152" t="inlineStr">
        <is>
          <t>Coal to liquids. The department's table names the industry association (SAPIA, now FIASA) as its source. Crude equivalent.</t>
        </is>
      </c>
    </row>
    <row r="7">
      <c r="A7" s="152" t="inlineStr">
        <is>
          <t>Published capacity</t>
        </is>
      </c>
      <c r="B7" s="152" t="inlineStr">
        <is>
          <t>Natref</t>
        </is>
      </c>
      <c r="C7" s="152" t="inlineStr">
        <is>
          <t>108000</t>
        </is>
      </c>
      <c r="D7" s="152" t="inlineStr">
        <is>
          <t>barrels a day</t>
        </is>
      </c>
      <c r="E7" s="152" t="inlineStr">
        <is>
          <t>as published in 2023</t>
        </is>
      </c>
      <c r="F7" s="152" t="inlineStr">
        <is>
          <t>observed</t>
        </is>
      </c>
      <c r="G7" s="152" t="inlineStr">
        <is>
          <t>Department of Mineral Resources and Energy, South African Energy Sector Report 2023, Table 1</t>
        </is>
      </c>
      <c r="H7" s="152" t="inlineStr">
        <is>
          <t>PDF p.17</t>
        </is>
      </c>
      <c r="I7" s="152" t="inlineStr">
        <is>
          <t>Crude oil. Sasol 64%, TotalEnergies 36%. The department's table names the industry association (SAPIA, now FIASA) as its source. Crude equivalent.</t>
        </is>
      </c>
    </row>
    <row r="8">
      <c r="A8" s="152" t="inlineStr">
        <is>
          <t>Published capacity</t>
        </is>
      </c>
      <c r="B8" s="152" t="inlineStr">
        <is>
          <t>Astron Energy</t>
        </is>
      </c>
      <c r="C8" s="152" t="inlineStr">
        <is>
          <t>100000</t>
        </is>
      </c>
      <c r="D8" s="152" t="inlineStr">
        <is>
          <t>barrels a day</t>
        </is>
      </c>
      <c r="E8" s="152" t="inlineStr">
        <is>
          <t>as published in 2023</t>
        </is>
      </c>
      <c r="F8" s="152" t="inlineStr">
        <is>
          <t>observed</t>
        </is>
      </c>
      <c r="G8" s="152" t="inlineStr">
        <is>
          <t>Department of Mineral Resources and Energy, South African Energy Sector Report 2023, Table 1</t>
        </is>
      </c>
      <c r="H8" s="152" t="inlineStr">
        <is>
          <t>PDF p.17</t>
        </is>
      </c>
      <c r="I8" s="152" t="inlineStr">
        <is>
          <t>Crude oil, Cape Town. The department's table names the industry association (SAPIA, now FIASA) as its source. Crude equivalent.</t>
        </is>
      </c>
    </row>
    <row r="9">
      <c r="A9" s="152" t="inlineStr">
        <is>
          <t>Published capacity</t>
        </is>
      </c>
      <c r="B9" s="152" t="inlineStr">
        <is>
          <t>Sapref</t>
        </is>
      </c>
      <c r="C9" s="152" t="inlineStr">
        <is>
          <t>180000</t>
        </is>
      </c>
      <c r="D9" s="152" t="inlineStr">
        <is>
          <t>barrels a day</t>
        </is>
      </c>
      <c r="E9" s="152" t="inlineStr">
        <is>
          <t>as published in 2023</t>
        </is>
      </c>
      <c r="F9" s="152" t="inlineStr">
        <is>
          <t>observed</t>
        </is>
      </c>
      <c r="G9" s="152" t="inlineStr">
        <is>
          <t>Department of Mineral Resources and Energy, South African Energy Sector Report 2023, Table 1</t>
        </is>
      </c>
      <c r="H9" s="152" t="inlineStr">
        <is>
          <t>PDF p.17</t>
        </is>
      </c>
      <c r="I9" s="152" t="inlineStr">
        <is>
          <t>Crude oil, Durban. Listed at full capacity although not refining. The department's table names the industry association (SAPIA, now FIASA) as its source. Crude equivalent.</t>
        </is>
      </c>
    </row>
    <row r="10">
      <c r="A10" s="152" t="inlineStr">
        <is>
          <t>Published capacity</t>
        </is>
      </c>
      <c r="B10" s="152" t="inlineStr">
        <is>
          <t>Enref</t>
        </is>
      </c>
      <c r="C10" s="152" t="inlineStr">
        <is>
          <t>0</t>
        </is>
      </c>
      <c r="D10" s="152" t="inlineStr">
        <is>
          <t>barrels a day</t>
        </is>
      </c>
      <c r="E10" s="152" t="inlineStr">
        <is>
          <t>as published in 2023</t>
        </is>
      </c>
      <c r="F10" s="152" t="inlineStr">
        <is>
          <t>observed</t>
        </is>
      </c>
      <c r="G10" s="152" t="inlineStr">
        <is>
          <t>Department of Mineral Resources and Energy, South African Energy Sector Report 2023, Table 1</t>
        </is>
      </c>
      <c r="H10" s="152" t="inlineStr">
        <is>
          <t>PDF p.17</t>
        </is>
      </c>
      <c r="I10" s="152" t="inlineStr">
        <is>
          <t>Crude oil, Durban. Shown as nil. The department's table names the industry association (SAPIA, now FIASA) as its source. Crude equivalent.</t>
        </is>
      </c>
    </row>
    <row r="11">
      <c r="A11" s="152" t="inlineStr">
        <is>
          <t>Published capacity</t>
        </is>
      </c>
      <c r="B11" s="152" t="inlineStr">
        <is>
          <t>PetroSA</t>
        </is>
      </c>
      <c r="C11" s="152" t="inlineStr">
        <is>
          <t>0</t>
        </is>
      </c>
      <c r="D11" s="152" t="inlineStr">
        <is>
          <t>barrels a day</t>
        </is>
      </c>
      <c r="E11" s="152" t="inlineStr">
        <is>
          <t>as published in 2023</t>
        </is>
      </c>
      <c r="F11" s="152" t="inlineStr">
        <is>
          <t>observed</t>
        </is>
      </c>
      <c r="G11" s="152" t="inlineStr">
        <is>
          <t>Department of Mineral Resources and Energy, South African Energy Sector Report 2023, Table 1</t>
        </is>
      </c>
      <c r="H11" s="152" t="inlineStr">
        <is>
          <t>PDF p.17</t>
        </is>
      </c>
      <c r="I11" s="152" t="inlineStr">
        <is>
          <t>Gas to liquids, Mossel Bay. Shown as nil. The department's table names the industry association (SAPIA, now FIASA) as its source. Crude equivalent.</t>
        </is>
      </c>
    </row>
    <row r="12">
      <c r="A12" s="152" t="inlineStr">
        <is>
          <t>Published capacity before the closures</t>
        </is>
      </c>
      <c r="B12" s="152" t="inlineStr">
        <is>
          <t>Enref</t>
        </is>
      </c>
      <c r="C12" s="152" t="inlineStr">
        <is>
          <t>135000</t>
        </is>
      </c>
      <c r="D12" s="152" t="inlineStr">
        <is>
          <t>barrels a day</t>
        </is>
      </c>
      <c r="E12" s="152" t="inlineStr">
        <is>
          <t>as published in 2021</t>
        </is>
      </c>
      <c r="F12" s="152" t="inlineStr">
        <is>
          <t>observed</t>
        </is>
      </c>
      <c r="G12" s="152" t="inlineStr">
        <is>
          <t>Department of Mineral Resources and Energy, South African Energy Sector Report 2021, Table 1-1</t>
        </is>
      </c>
      <c r="H12" s="152" t="inlineStr">
        <is>
          <t>PDF p.15</t>
        </is>
      </c>
      <c r="I12" s="152" t="inlineStr">
        <is>
          <t>The department's table names the industry association (SAPIA, now FIASA) as its source. Crude equivalent.</t>
        </is>
      </c>
    </row>
    <row r="13">
      <c r="A13" s="152" t="inlineStr">
        <is>
          <t>Published capacity before the closures</t>
        </is>
      </c>
      <c r="B13" s="152" t="inlineStr">
        <is>
          <t>PetroSA</t>
        </is>
      </c>
      <c r="C13" s="152" t="inlineStr">
        <is>
          <t>45000</t>
        </is>
      </c>
      <c r="D13" s="152" t="inlineStr">
        <is>
          <t>barrels a day</t>
        </is>
      </c>
      <c r="E13" s="152" t="inlineStr">
        <is>
          <t>as published in 2021</t>
        </is>
      </c>
      <c r="F13" s="152" t="inlineStr">
        <is>
          <t>observed</t>
        </is>
      </c>
      <c r="G13" s="152" t="inlineStr">
        <is>
          <t>Department of Mineral Resources and Energy, South African Energy Sector Report 2021, Table 1-1</t>
        </is>
      </c>
      <c r="H13" s="152" t="inlineStr">
        <is>
          <t>PDF p.15</t>
        </is>
      </c>
      <c r="I13" s="152" t="inlineStr">
        <is>
          <t>The department's table names the industry association (SAPIA, now FIASA) as its source. Crude equivalent.</t>
        </is>
      </c>
    </row>
    <row r="14">
      <c r="A14" s="152" t="inlineStr">
        <is>
          <t>Published capacity before the closures</t>
        </is>
      </c>
      <c r="B14" s="152" t="inlineStr">
        <is>
          <t>All six plants</t>
        </is>
      </c>
      <c r="C14" s="152" t="inlineStr">
        <is>
          <t>718000</t>
        </is>
      </c>
      <c r="D14" s="152" t="inlineStr">
        <is>
          <t>barrels a day</t>
        </is>
      </c>
      <c r="E14" s="152" t="inlineStr">
        <is>
          <t>as published in 2021</t>
        </is>
      </c>
      <c r="F14" s="152" t="inlineStr">
        <is>
          <t>observed</t>
        </is>
      </c>
      <c r="G14" s="152" t="inlineStr">
        <is>
          <t>Department of Mineral Resources and Energy, South African Energy Sector Report 2021, Table 1-1</t>
        </is>
      </c>
      <c r="H14" s="152" t="inlineStr">
        <is>
          <t>PDF p.15</t>
        </is>
      </c>
      <c r="I14" s="152" t="inlineStr">
        <is>
          <t>The department's table names the industry association (SAPIA, now FIASA) as its source. Crude equivalent.</t>
        </is>
      </c>
    </row>
    <row r="15">
      <c r="A15" s="152" t="inlineStr">
        <is>
          <t>Capacity stated by the operator</t>
        </is>
      </c>
      <c r="B15" s="152" t="inlineStr">
        <is>
          <t>Astron Energy</t>
        </is>
      </c>
      <c r="C15" s="152" t="inlineStr">
        <is>
          <t>100,000</t>
        </is>
      </c>
      <c r="D15" s="152" t="inlineStr">
        <is>
          <t>barrels a day, steady state</t>
        </is>
      </c>
      <c r="E15" s="152" t="inlineStr">
        <is>
          <t>2023 and 2025</t>
        </is>
      </c>
      <c r="F15" s="152" t="inlineStr">
        <is>
          <t>observed</t>
        </is>
      </c>
      <c r="G15" s="152" t="inlineStr">
        <is>
          <t>Glencore annual reports 2023 and 2025</t>
        </is>
      </c>
      <c r="H15" s="152" t="inlineStr">
        <is>
          <t>2023 PDF p.195; 2025 PDF p.150</t>
        </is>
      </c>
      <c r="I15" s="152" t="inlineStr">
        <is>
          <t>Agrees with the department's table.</t>
        </is>
      </c>
    </row>
    <row r="16">
      <c r="A16" s="152" t="inlineStr">
        <is>
          <t>Capacity stated by the operator</t>
        </is>
      </c>
      <c r="B16" s="152" t="inlineStr">
        <is>
          <t>Secunda</t>
        </is>
      </c>
      <c r="C16" s="152" t="inlineStr">
        <is>
          <t>150,000</t>
        </is>
      </c>
      <c r="D16" s="152" t="inlineStr">
        <is>
          <t>barrels a day</t>
        </is>
      </c>
      <c r="E16" s="152" t="inlineStr">
        <is>
          <t>as stated April 2021</t>
        </is>
      </c>
      <c r="F16" s="152" t="inlineStr">
        <is>
          <t>observed</t>
        </is>
      </c>
      <c r="G16" s="152" t="inlineStr">
        <is>
          <t>Sasol Limited, Business Overview, April 2021</t>
        </is>
      </c>
      <c r="H16" s="152" t="inlineStr">
        <is>
          <t>PDF p.12</t>
        </is>
      </c>
      <c r="I16" s="152" t="inlineStr">
        <is>
          <t>Sasol: about 7.5 to 7.7 million tonnes a year, of which about 60% is energy products and 40% chemicals. Agrees with the department's table.</t>
        </is>
      </c>
    </row>
    <row r="17">
      <c r="A17" s="152" t="inlineStr">
        <is>
          <t>Capacity stated by the operator</t>
        </is>
      </c>
      <c r="B17" s="152" t="inlineStr">
        <is>
          <t>Natref</t>
        </is>
      </c>
      <c r="C17" s="152" t="inlineStr">
        <is>
          <t>108,500</t>
        </is>
      </c>
      <c r="D17" s="152" t="inlineStr">
        <is>
          <t>barrels a day</t>
        </is>
      </c>
      <c r="E17" s="152" t="inlineStr">
        <is>
          <t>as stated April 2021</t>
        </is>
      </c>
      <c r="F17" s="152" t="inlineStr">
        <is>
          <t>observed</t>
        </is>
      </c>
      <c r="G17" s="152" t="inlineStr">
        <is>
          <t>Sasol Limited, Business Overview, April 2021</t>
        </is>
      </c>
      <c r="H17" s="152" t="inlineStr">
        <is>
          <t>PDF p.12</t>
        </is>
      </c>
      <c r="I17" s="152" t="inlineStr">
        <is>
          <t>The department's table shows 108,000.</t>
        </is>
      </c>
    </row>
    <row r="18">
      <c r="A18" s="152" t="inlineStr">
        <is>
          <t>Capacity stated by the operator</t>
        </is>
      </c>
      <c r="B18" s="152" t="inlineStr">
        <is>
          <t>Secunda</t>
        </is>
      </c>
      <c r="C18" s="152" t="inlineStr">
        <is>
          <t>About 160,000</t>
        </is>
      </c>
      <c r="D18" s="152" t="inlineStr">
        <is>
          <t>barrels of oil equivalent a day, fuels and chemicals</t>
        </is>
      </c>
      <c r="E18" s="152" t="inlineStr">
        <is>
          <t>as stated in a site-visit pack, 2023</t>
        </is>
      </c>
      <c r="F18" s="152" t="inlineStr">
        <is>
          <t>observed</t>
        </is>
      </c>
      <c r="G18" s="152" t="inlineStr">
        <is>
          <t>Sasol Limited, Secunda Operations investor site visit</t>
        </is>
      </c>
      <c r="H18" s="152" t="inlineStr">
        <is>
          <t>PDF p.3</t>
        </is>
      </c>
      <c r="I18" s="152" t="inlineStr">
        <is>
          <t>About 7.5 million tonnes a year: about 60% fuels (diesel, petrol, jet fuel, LPG) and 40% chemicals. No split between petrol and diesel.</t>
        </is>
      </c>
    </row>
    <row r="19">
      <c r="A19" s="152" t="inlineStr">
        <is>
          <t>Capacity stated by the operator</t>
        </is>
      </c>
      <c r="B19" s="152" t="inlineStr">
        <is>
          <t>Astron Energy</t>
        </is>
      </c>
      <c r="C19" s="152" t="inlineStr">
        <is>
          <t>100,000</t>
        </is>
      </c>
      <c r="D19" s="152" t="inlineStr">
        <is>
          <t>barrels a day, nameplate crude processing</t>
        </is>
      </c>
      <c r="E19" s="152" t="inlineStr">
        <is>
          <t>as on the company's site, October 2026</t>
        </is>
      </c>
      <c r="F19" s="152" t="inlineStr">
        <is>
          <t>observed</t>
        </is>
      </c>
      <c r="G19" s="152" t="inlineStr">
        <is>
          <t>Astron Energy, About us page</t>
        </is>
      </c>
      <c r="H19" s="152" t="inlineStr"/>
      <c r="I19" s="152" t="inlineStr">
        <is>
          <t>Agrees with Glencore and with the department's table.</t>
        </is>
      </c>
    </row>
    <row r="20">
      <c r="A20" s="156" t="inlineStr">
        <is>
          <t>Capacity in operation</t>
        </is>
      </c>
      <c r="B20" s="156" t="inlineStr">
        <is>
          <t>Secunda, Natref and Astron Energy</t>
        </is>
      </c>
      <c r="C20" s="156" t="inlineStr">
        <is>
          <t>358,000</t>
        </is>
      </c>
      <c r="D20" s="156" t="inlineStr">
        <is>
          <t>barrels a day, crude equivalent</t>
        </is>
      </c>
      <c r="E20" s="156" t="inlineStr">
        <is>
          <t>2023 onward</t>
        </is>
      </c>
      <c r="F20" s="156" t="inlineStr">
        <is>
          <t>inferred</t>
        </is>
      </c>
      <c r="G20" s="156" t="inlineStr">
        <is>
          <t>Sum of the three plants operating</t>
        </is>
      </c>
      <c r="H20" s="156" t="inlineStr"/>
      <c r="I20" s="156" t="inlineStr">
        <is>
          <t>Half of the 718,000 published in 2021. Sapref is still listed at 180,000 by the department although it is not refining.</t>
        </is>
      </c>
    </row>
    <row r="22">
      <c r="A22" s="151" t="inlineStr">
        <is>
          <t>Status and dates</t>
        </is>
      </c>
      <c r="B22" s="151" t="n"/>
      <c r="C22" s="151" t="n"/>
      <c r="D22" s="151" t="n"/>
      <c r="E22" s="151" t="n"/>
      <c r="F22" s="151" t="n"/>
      <c r="G22" s="151" t="n"/>
      <c r="H22" s="151" t="n"/>
      <c r="I22" s="151" t="n"/>
    </row>
    <row r="23">
      <c r="A23" s="152" t="inlineStr">
        <is>
          <t>Status</t>
        </is>
      </c>
      <c r="B23" s="152" t="inlineStr">
        <is>
          <t>Astron Energy</t>
        </is>
      </c>
      <c r="C23" s="152" t="inlineStr">
        <is>
          <t>Restarted after a multi-year rebuild</t>
        </is>
      </c>
      <c r="D23" s="152" t="inlineStr"/>
      <c r="E23" s="152" t="inlineStr">
        <is>
          <t>early 2023</t>
        </is>
      </c>
      <c r="F23" s="152" t="inlineStr">
        <is>
          <t>observed</t>
        </is>
      </c>
      <c r="G23" s="152" t="inlineStr">
        <is>
          <t>Glencore Annual Report 2023</t>
        </is>
      </c>
      <c r="H23" s="152" t="inlineStr">
        <is>
          <t>PDF pp.101, 106</t>
        </is>
      </c>
      <c r="I23" s="152" t="inlineStr">
        <is>
          <t>It had not operated since a 2020 incident; the department's 2023 report still describes it as not operating.</t>
        </is>
      </c>
    </row>
    <row r="24">
      <c r="A24" s="152" t="inlineStr">
        <is>
          <t>Status</t>
        </is>
      </c>
      <c r="B24" s="152" t="inlineStr">
        <is>
          <t>Enref (Engen)</t>
        </is>
      </c>
      <c r="C24" s="152" t="inlineStr">
        <is>
          <t>Not operating after a major fire; capacity shown as nil</t>
        </is>
      </c>
      <c r="D24" s="152" t="inlineStr"/>
      <c r="E24" s="152" t="inlineStr">
        <is>
          <t>as at 2023</t>
        </is>
      </c>
      <c r="F24" s="152" t="inlineStr">
        <is>
          <t>observed</t>
        </is>
      </c>
      <c r="G24" s="152" t="inlineStr">
        <is>
          <t>Department of Mineral Resources and Energy, South African Energy Sector Report 2023</t>
        </is>
      </c>
      <c r="H24" s="152" t="inlineStr">
        <is>
          <t>PDF p.17</t>
        </is>
      </c>
      <c r="I24" s="152" t="inlineStr">
        <is>
          <t>The fire and the decision to close are dated in the two rows below.</t>
        </is>
      </c>
    </row>
    <row r="25">
      <c r="A25" s="152" t="inlineStr">
        <is>
          <t>Status</t>
        </is>
      </c>
      <c r="B25" s="152" t="inlineStr">
        <is>
          <t>PetroSA (Mossel Bay)</t>
        </is>
      </c>
      <c r="C25" s="152" t="inlineStr">
        <is>
          <t>Not operating: no feedstock</t>
        </is>
      </c>
      <c r="D25" s="152" t="inlineStr"/>
      <c r="E25" s="152" t="inlineStr">
        <is>
          <t>since December 2020</t>
        </is>
      </c>
      <c r="F25" s="152" t="inlineStr">
        <is>
          <t>observed</t>
        </is>
      </c>
      <c r="G25" s="152" t="inlineStr">
        <is>
          <t>PetroSA tender scope of work; department's 2023 report</t>
        </is>
      </c>
      <c r="H25" s="152" t="inlineStr">
        <is>
          <t>department PDF p.17</t>
        </is>
      </c>
      <c r="I25" s="152" t="inlineStr">
        <is>
          <t>PetroSA's tender proposes restarting the liquids refinery without the offshore gas sections.</t>
        </is>
      </c>
    </row>
    <row r="26">
      <c r="A26" s="152" t="inlineStr">
        <is>
          <t>Status</t>
        </is>
      </c>
      <c r="B26" s="152" t="inlineStr">
        <is>
          <t>Sapref</t>
        </is>
      </c>
      <c r="C26" s="152" t="inlineStr">
        <is>
          <t>Not refining; acquired by the Central Energy Fund</t>
        </is>
      </c>
      <c r="D26" s="152" t="inlineStr"/>
      <c r="E26" s="152" t="inlineStr">
        <is>
          <t>as at September 2026</t>
        </is>
      </c>
      <c r="F26" s="152" t="inlineStr">
        <is>
          <t>observed</t>
        </is>
      </c>
      <c r="G26" s="152" t="inlineStr">
        <is>
          <t>Central Energy Fund statements, September 2026</t>
        </is>
      </c>
      <c r="H26" s="152" t="inlineStr"/>
      <c r="I26" s="152" t="inlineStr">
        <is>
          <t>The two statements confirm the acquisition and that the site is not refining. The pause is dated in the Shell release below.</t>
        </is>
      </c>
    </row>
    <row r="27">
      <c r="A27" s="152" t="inlineStr">
        <is>
          <t>Status</t>
        </is>
      </c>
      <c r="B27" s="152" t="inlineStr">
        <is>
          <t>Natref</t>
        </is>
      </c>
      <c r="C27" s="152" t="inlineStr">
        <is>
          <t>A downstream unit outage alongside a planned shutdown</t>
        </is>
      </c>
      <c r="D27" s="152" t="inlineStr"/>
      <c r="E27" s="152" t="inlineStr">
        <is>
          <t>August to September 2026</t>
        </is>
      </c>
      <c r="F27" s="152" t="inlineStr">
        <is>
          <t>observed</t>
        </is>
      </c>
      <c r="G27" s="152" t="inlineStr">
        <is>
          <t>Sasol, Natref operational update, 1 September 2026</t>
        </is>
      </c>
      <c r="H27" s="152" t="inlineStr"/>
      <c r="I27" s="152" t="inlineStr">
        <is>
          <t>An operating risk, not a closure.</t>
        </is>
      </c>
    </row>
    <row r="28">
      <c r="A28" s="152" t="inlineStr">
        <is>
          <t>Status</t>
        </is>
      </c>
      <c r="B28" s="152" t="inlineStr">
        <is>
          <t>Three crude refineries</t>
        </is>
      </c>
      <c r="C28" s="152" t="inlineStr">
        <is>
          <t>Not in operation for the past two years</t>
        </is>
      </c>
      <c r="D28" s="152" t="inlineStr"/>
      <c r="E28" s="152" t="inlineStr">
        <is>
          <t>as at 2023</t>
        </is>
      </c>
      <c r="F28" s="152" t="inlineStr">
        <is>
          <t>observed</t>
        </is>
      </c>
      <c r="G28" s="152" t="inlineStr">
        <is>
          <t>Department of Mineral Resources and Energy, South African Energy Sector Report 2023</t>
        </is>
      </c>
      <c r="H28" s="152" t="inlineStr">
        <is>
          <t>PDF p.17</t>
        </is>
      </c>
      <c r="I28" s="152" t="inlineStr">
        <is>
          <t>The department's wording; it does not name them in that sentence.</t>
        </is>
      </c>
    </row>
    <row r="29">
      <c r="A29" s="152" t="inlineStr">
        <is>
          <t>Status</t>
        </is>
      </c>
      <c r="B29" s="152" t="inlineStr">
        <is>
          <t>Enref (Engen)</t>
        </is>
      </c>
      <c r="C29" s="152" t="inlineStr">
        <is>
          <t>Fire and explosion at 07:08 in Unit 44; the refinery was shut</t>
        </is>
      </c>
      <c r="D29" s="152" t="inlineStr"/>
      <c r="E29" s="152" t="inlineStr">
        <is>
          <t>4 December 2020</t>
        </is>
      </c>
      <c r="F29" s="152" t="inlineStr">
        <is>
          <t>observed</t>
        </is>
      </c>
      <c r="G29" s="152" t="inlineStr">
        <is>
          <t>Engen's account to Parliament's Portfolio Committee on Environment, Forestry and Fisheries, 8 December 2020 (Parliamentary Monitoring Group record)</t>
        </is>
      </c>
      <c r="H29" s="152" t="inlineStr"/>
      <c r="I29" s="152" t="inlineStr">
        <is>
          <t>It did not refine again: see the next row.</t>
        </is>
      </c>
    </row>
    <row r="30">
      <c r="A30" s="152" t="inlineStr">
        <is>
          <t>Status</t>
        </is>
      </c>
      <c r="B30" s="152" t="inlineStr">
        <is>
          <t>Enref (Engen)</t>
        </is>
      </c>
      <c r="C30" s="152" t="inlineStr">
        <is>
          <t>Engen announced it would shut the refinery and convert the site to an import terminal by the end of 2023</t>
        </is>
      </c>
      <c r="D30" s="152" t="inlineStr"/>
      <c r="E30" s="152" t="inlineStr">
        <is>
          <t>23 April 2021</t>
        </is>
      </c>
      <c r="F30" s="152" t="inlineStr">
        <is>
          <t>observed</t>
        </is>
      </c>
      <c r="G30" s="152" t="inlineStr">
        <is>
          <t>Engineering News, 23 April 2021, reporting Engen's statement</t>
        </is>
      </c>
      <c r="H30" s="152" t="inlineStr"/>
      <c r="I30" s="152" t="inlineStr">
        <is>
          <t>A press report of Engen's statement; the statement itself is not held. Engen gives nameplate capacity as 120,000 barrels a day, against 135,000 in the department's table.</t>
        </is>
      </c>
    </row>
    <row r="31">
      <c r="A31" s="152" t="inlineStr">
        <is>
          <t>Status</t>
        </is>
      </c>
      <c r="B31" s="152" t="inlineStr">
        <is>
          <t>Sapref</t>
        </is>
      </c>
      <c r="C31" s="152" t="inlineStr">
        <is>
          <t>Shell and bp announced a spend freeze and a pause of refinery operations no later than the end of March 2022, for an indefinite period</t>
        </is>
      </c>
      <c r="D31" s="152" t="inlineStr"/>
      <c r="E31" s="152" t="inlineStr">
        <is>
          <t>10 February 2022</t>
        </is>
      </c>
      <c r="F31" s="152" t="inlineStr">
        <is>
          <t>observed</t>
        </is>
      </c>
      <c r="G31" s="152" t="inlineStr">
        <is>
          <t>Shell South Africa media release, SAPREF to pause refinery operations</t>
        </is>
      </c>
      <c r="H31" s="152" t="inlineStr"/>
      <c r="I31" s="152" t="inlineStr">
        <is>
          <t>Gives the latest date for the pause, not the day the last unit stopped.</t>
        </is>
      </c>
    </row>
    <row r="33">
      <c r="A33" s="151" t="inlineStr">
        <is>
          <t>Output by plant</t>
        </is>
      </c>
      <c r="B33" s="151" t="n"/>
      <c r="C33" s="151" t="n"/>
      <c r="D33" s="151" t="n"/>
      <c r="E33" s="151" t="n"/>
      <c r="F33" s="151" t="n"/>
      <c r="G33" s="151" t="n"/>
      <c r="H33" s="151" t="n"/>
      <c r="I33" s="151" t="n"/>
    </row>
    <row r="34">
      <c r="A34" s="152" t="inlineStr">
        <is>
          <t>Output reported by the operator</t>
        </is>
      </c>
      <c r="B34" s="152" t="inlineStr">
        <is>
          <t>Secunda, all refined products</t>
        </is>
      </c>
      <c r="C34" s="152" t="inlineStr">
        <is>
          <t>31.2; 32.1; 29.2; 29.9; 29.1; 27.6; 30.6</t>
        </is>
      </c>
      <c r="D34" s="152" t="inlineStr">
        <is>
          <t>million barrels</t>
        </is>
      </c>
      <c r="E34" s="152" t="inlineStr">
        <is>
          <t>years to June 2020; 2021; 2022; 2023; 2024; 2025; 2026</t>
        </is>
      </c>
      <c r="F34" s="152" t="inlineStr">
        <is>
          <t>observed</t>
        </is>
      </c>
      <c r="G34" s="152" t="inlineStr">
        <is>
          <t>Sasol production and sales metrics</t>
        </is>
      </c>
      <c r="H34" s="152" t="inlineStr"/>
      <c r="I34" s="152" t="inlineStr">
        <is>
          <t>All products together. No operator reports petrol and diesel separately.</t>
        </is>
      </c>
    </row>
    <row r="35">
      <c r="A35" s="152" t="inlineStr">
        <is>
          <t>Output reported by the operator</t>
        </is>
      </c>
      <c r="B35" s="152" t="inlineStr">
        <is>
          <t>Natref, Sasol's share</t>
        </is>
      </c>
      <c r="C35" s="152" t="inlineStr">
        <is>
          <t>16.8; 17.7; 18.9; 17.2; 17.8; 14.7; 25.8</t>
        </is>
      </c>
      <c r="D35" s="152" t="inlineStr">
        <is>
          <t>million barrels</t>
        </is>
      </c>
      <c r="E35" s="152" t="inlineStr">
        <is>
          <t>years to June 2020; 2021; 2022; 2023; 2024; 2025; 2026</t>
        </is>
      </c>
      <c r="F35" s="152" t="inlineStr">
        <is>
          <t>observed</t>
        </is>
      </c>
      <c r="G35" s="152" t="inlineStr">
        <is>
          <t>Sasol production and sales metrics</t>
        </is>
      </c>
      <c r="H35" s="152" t="inlineStr"/>
      <c r="I35" s="152" t="inlineStr">
        <is>
          <t>All products together. No operator reports petrol and diesel separately. Sasol's 63.64% share only; the year to June 2026 includes output above that share.</t>
        </is>
      </c>
    </row>
    <row r="36">
      <c r="A36" s="152" t="inlineStr">
        <is>
          <t>Output reported by the operator</t>
        </is>
      </c>
      <c r="B36" s="152" t="inlineStr">
        <is>
          <t>Astron Energy, all refined products</t>
        </is>
      </c>
      <c r="C36" s="152" t="inlineStr">
        <is>
          <t>136,665; 166,204; 164,365</t>
        </is>
      </c>
      <c r="D36" s="152" t="inlineStr">
        <is>
          <t>billion Btu</t>
        </is>
      </c>
      <c r="E36" s="152" t="inlineStr">
        <is>
          <t>2023; 2024; 2025</t>
        </is>
      </c>
      <c r="F36" s="152" t="inlineStr">
        <is>
          <t>observed</t>
        </is>
      </c>
      <c r="G36" s="152" t="inlineStr">
        <is>
          <t>Glencore annual reports</t>
        </is>
      </c>
      <c r="H36" s="152" t="inlineStr"/>
      <c r="I36" s="152" t="inlineStr">
        <is>
          <t>All products together. No operator reports petrol and diesel separately. Reported as energy content, not volume.</t>
        </is>
      </c>
    </row>
    <row r="37">
      <c r="A37" s="152" t="inlineStr">
        <is>
          <t>Secunda fuels output</t>
        </is>
      </c>
      <c r="B37" s="152" t="inlineStr">
        <is>
          <t>Secunda, fuels (white and black products)</t>
        </is>
      </c>
      <c r="C37" s="152" t="inlineStr">
        <is>
          <t>3472</t>
        </is>
      </c>
      <c r="D37" s="152" t="inlineStr">
        <is>
          <t>thousand tonnes</t>
        </is>
      </c>
      <c r="E37" s="152" t="inlineStr">
        <is>
          <t>year to June 2024</t>
        </is>
      </c>
      <c r="F37" s="152" t="inlineStr">
        <is>
          <t>observed</t>
        </is>
      </c>
      <c r="G37" s="152" t="inlineStr">
        <is>
          <t>Sasol business performance metrics, 30 June 2026</t>
        </is>
      </c>
      <c r="H37" s="152" t="inlineStr">
        <is>
          <t>PDF p.4</t>
        </is>
      </c>
      <c r="I37" s="152" t="inlineStr">
        <is>
          <t>Of total Secunda production of 6,990, 6,721 and 7,260 thousand tonnes; the rest is chemicals and other products.</t>
        </is>
      </c>
    </row>
    <row r="38">
      <c r="A38" s="152" t="inlineStr">
        <is>
          <t>Secunda fuels output</t>
        </is>
      </c>
      <c r="B38" s="152" t="inlineStr">
        <is>
          <t>Secunda, fuels (white and black products)</t>
        </is>
      </c>
      <c r="C38" s="152" t="inlineStr">
        <is>
          <t>3293</t>
        </is>
      </c>
      <c r="D38" s="152" t="inlineStr">
        <is>
          <t>thousand tonnes</t>
        </is>
      </c>
      <c r="E38" s="152" t="inlineStr">
        <is>
          <t>year to June 2025</t>
        </is>
      </c>
      <c r="F38" s="152" t="inlineStr">
        <is>
          <t>observed</t>
        </is>
      </c>
      <c r="G38" s="152" t="inlineStr">
        <is>
          <t>Sasol business performance metrics, 30 June 2026</t>
        </is>
      </c>
      <c r="H38" s="152" t="inlineStr">
        <is>
          <t>PDF p.4</t>
        </is>
      </c>
      <c r="I38" s="152" t="inlineStr">
        <is>
          <t>Of total Secunda production of 6,990, 6,721 and 7,260 thousand tonnes; the rest is chemicals and other products.</t>
        </is>
      </c>
    </row>
    <row r="39">
      <c r="A39" s="152" t="inlineStr">
        <is>
          <t>Secunda fuels output</t>
        </is>
      </c>
      <c r="B39" s="152" t="inlineStr">
        <is>
          <t>Secunda, fuels (white and black products)</t>
        </is>
      </c>
      <c r="C39" s="152" t="inlineStr">
        <is>
          <t>3634</t>
        </is>
      </c>
      <c r="D39" s="152" t="inlineStr">
        <is>
          <t>thousand tonnes</t>
        </is>
      </c>
      <c r="E39" s="152" t="inlineStr">
        <is>
          <t>year to June 2026</t>
        </is>
      </c>
      <c r="F39" s="152" t="inlineStr">
        <is>
          <t>observed</t>
        </is>
      </c>
      <c r="G39" s="152" t="inlineStr">
        <is>
          <t>Sasol business performance metrics, 30 June 2026</t>
        </is>
      </c>
      <c r="H39" s="152" t="inlineStr">
        <is>
          <t>PDF p.4</t>
        </is>
      </c>
      <c r="I39" s="152" t="inlineStr">
        <is>
          <t>Of total Secunda production of 6,990, 6,721 and 7,260 thousand tonnes; the rest is chemicals and other products.</t>
        </is>
      </c>
    </row>
    <row r="40">
      <c r="A40" s="156" t="inlineStr">
        <is>
          <t>Petrol output, estimated</t>
        </is>
      </c>
      <c r="B40" s="156" t="inlineStr">
        <is>
          <t>Natref, whole refinery</t>
        </is>
      </c>
      <c r="C40" s="156" t="inlineStr">
        <is>
          <t>1.22 to 1.34; 1.28 to 1.41; 1.37 to 1.51; 1.25 to 1.38; 1.29 to 1.42; 1.06 to 1.18</t>
        </is>
      </c>
      <c r="D40" s="156" t="inlineStr">
        <is>
          <t>billion litres</t>
        </is>
      </c>
      <c r="E40" s="156" t="inlineStr">
        <is>
          <t>years to June 2020; 2021; 2022; 2023; 2024; 2025</t>
        </is>
      </c>
      <c r="F40" s="156" t="inlineStr">
        <is>
          <t>inferred</t>
        </is>
      </c>
      <c r="G40" s="156" t="inlineStr">
        <is>
          <t>Sasol's reported Natref production, scaled to the whole refinery, times Sasol's stated product split</t>
        </is>
      </c>
      <c r="H40" s="156" t="inlineStr"/>
      <c r="I40" s="156" t="inlineStr">
        <is>
          <t>An estimate: the split is a range Sasol stated in April 2021, applied to every year. The year to June 2026 is left out.</t>
        </is>
      </c>
    </row>
    <row r="41">
      <c r="A41" s="156" t="inlineStr">
        <is>
          <t>Diesel output, estimated</t>
        </is>
      </c>
      <c r="B41" s="156" t="inlineStr">
        <is>
          <t>Natref, whole refinery</t>
        </is>
      </c>
      <c r="C41" s="156" t="inlineStr">
        <is>
          <t>1.30 to 1.55; 1.37 to 1.64; 1.46 to 1.75; 1.33 to 1.59; 1.38 to 1.65; 1.14 to 1.36</t>
        </is>
      </c>
      <c r="D41" s="156" t="inlineStr">
        <is>
          <t>billion litres</t>
        </is>
      </c>
      <c r="E41" s="156" t="inlineStr">
        <is>
          <t>years to June 2020; 2021; 2022; 2023; 2024; 2025</t>
        </is>
      </c>
      <c r="F41" s="156" t="inlineStr">
        <is>
          <t>inferred</t>
        </is>
      </c>
      <c r="G41" s="156" t="inlineStr">
        <is>
          <t>Sasol's reported Natref production, scaled to the whole refinery, times Sasol's stated product split</t>
        </is>
      </c>
      <c r="H41" s="156" t="inlineStr"/>
      <c r="I41" s="156" t="inlineStr">
        <is>
          <t>An estimate: the split is a range Sasol stated in April 2021, applied to every year. The year to June 2026 is left out.</t>
        </is>
      </c>
    </row>
    <row r="42">
      <c r="A42" s="162" t="inlineStr">
        <is>
          <t>Petrol and diesel output by plant</t>
        </is>
      </c>
      <c r="B42" s="162" t="inlineStr">
        <is>
          <t>Secunda and Astron Energy</t>
        </is>
      </c>
      <c r="C42" s="162" t="inlineStr">
        <is>
          <t>Not available</t>
        </is>
      </c>
      <c r="D42" s="162" t="inlineStr">
        <is>
          <t>litres</t>
        </is>
      </c>
      <c r="E42" s="162" t="inlineStr"/>
      <c r="F42" s="162" t="inlineStr">
        <is>
          <t>not available</t>
        </is>
      </c>
      <c r="G42" s="162" t="inlineStr">
        <is>
          <t>None published</t>
        </is>
      </c>
      <c r="H42" s="162" t="inlineStr"/>
      <c r="I42" s="162" t="inlineStr">
        <is>
          <t>Sasol states Secunda's split (65% petrol, 35% diesel) but not the total it applies to. Glencore publishes no split for Astron. Sasol's annual filing and both companies' sites were checked on 9 October. Needs the operators.</t>
        </is>
      </c>
    </row>
    <row r="43">
      <c r="A43" s="156" t="inlineStr">
        <is>
          <t>Output of Sapref, Enref and PetroSA</t>
        </is>
      </c>
      <c r="B43" s="156" t="inlineStr">
        <is>
          <t>Plants not operating</t>
        </is>
      </c>
      <c r="C43" s="156" t="inlineStr">
        <is>
          <t>0</t>
        </is>
      </c>
      <c r="D43" s="156" t="inlineStr"/>
      <c r="E43" s="156" t="inlineStr">
        <is>
          <t>while not operating</t>
        </is>
      </c>
      <c r="F43" s="156" t="inlineStr">
        <is>
          <t>inferred</t>
        </is>
      </c>
      <c r="G43" s="156" t="inlineStr">
        <is>
          <t>From the status rows</t>
        </is>
      </c>
      <c r="H43" s="156" t="inlineStr"/>
      <c r="I43" s="156" t="inlineStr">
        <is>
          <t>Enref since the fire of 4 December 2020; PetroSA since December 2020; Sapref since the pause at the end of March 2022.</t>
        </is>
      </c>
    </row>
    <row r="45">
      <c r="A45" s="151" t="inlineStr">
        <is>
          <t>National output by product</t>
        </is>
      </c>
      <c r="B45" s="151" t="n"/>
      <c r="C45" s="151" t="n"/>
      <c r="D45" s="151" t="n"/>
      <c r="E45" s="151" t="n"/>
      <c r="F45" s="151" t="n"/>
      <c r="G45" s="151" t="n"/>
      <c r="H45" s="151" t="n"/>
      <c r="I45" s="151" t="n"/>
    </row>
    <row r="46">
      <c r="A46" s="152" t="inlineStr">
        <is>
          <t>Petrol produced, all plants</t>
        </is>
      </c>
      <c r="B46" s="152" t="inlineStr">
        <is>
          <t>South Africa</t>
        </is>
      </c>
      <c r="C46" s="152" t="inlineStr">
        <is>
          <t>10.83; 10.46; 10.39; 9.43; 9.97; 10.42; 7.89; 6.35</t>
        </is>
      </c>
      <c r="D46" s="152" t="inlineStr">
        <is>
          <t>billion litres</t>
        </is>
      </c>
      <c r="E46" s="152" t="inlineStr">
        <is>
          <t>2014; 2015; 2016; 2017; 2018; 2019; 2020; 2021</t>
        </is>
      </c>
      <c r="F46" s="152" t="inlineStr">
        <is>
          <t>observed</t>
        </is>
      </c>
      <c r="G46" s="152" t="inlineStr">
        <is>
          <t>Department of Mineral and Petroleum Resources, energy balances</t>
        </is>
      </c>
      <c r="H46" s="152" t="inlineStr"/>
      <c r="I46" s="152" t="inlineStr">
        <is>
          <t>The only output by product. Ends at 2021, the last balance published.</t>
        </is>
      </c>
    </row>
    <row r="47">
      <c r="A47" s="152" t="inlineStr">
        <is>
          <t>Diesel produced, all plants</t>
        </is>
      </c>
      <c r="B47" s="152" t="inlineStr">
        <is>
          <t>South Africa</t>
        </is>
      </c>
      <c r="C47" s="152" t="inlineStr">
        <is>
          <t>9.59; 9.37; 9.01; 7.92; 8.43; 9.08; 6.45; 5.31</t>
        </is>
      </c>
      <c r="D47" s="152" t="inlineStr">
        <is>
          <t>billion litres</t>
        </is>
      </c>
      <c r="E47" s="152" t="inlineStr">
        <is>
          <t>2014; 2015; 2016; 2017; 2018; 2019; 2020; 2021</t>
        </is>
      </c>
      <c r="F47" s="152" t="inlineStr">
        <is>
          <t>observed</t>
        </is>
      </c>
      <c r="G47" s="152" t="inlineStr">
        <is>
          <t>Department of Mineral and Petroleum Resources, energy balances</t>
        </is>
      </c>
      <c r="H47" s="152" t="inlineStr"/>
      <c r="I47" s="152" t="inlineStr">
        <is>
          <t>The only output by product. Ends at 2021, the last balance published.</t>
        </is>
      </c>
    </row>
    <row r="48">
      <c r="A48" s="152" t="inlineStr">
        <is>
          <t>Petrol produced, United Nations series (not used)</t>
        </is>
      </c>
      <c r="B48" s="152" t="inlineStr">
        <is>
          <t>South Africa</t>
        </is>
      </c>
      <c r="C48" s="152" t="inlineStr">
        <is>
          <t>5,030; 3,491; 2,488; 1,323; 1,827</t>
        </is>
      </c>
      <c r="D48" s="152" t="inlineStr">
        <is>
          <t>thousand tonnes</t>
        </is>
      </c>
      <c r="E48" s="152" t="inlineStr">
        <is>
          <t>2019; 2020; 2021; 2022; 2023</t>
        </is>
      </c>
      <c r="F48" s="152" t="inlineStr">
        <is>
          <t>observed</t>
        </is>
      </c>
      <c r="G48" s="152" t="inlineStr">
        <is>
          <t>United Nations Statistics Division, Energy Statistics Database (retrieved 8 October 2026)</t>
        </is>
      </c>
      <c r="H48" s="152" t="inlineStr">
        <is>
          <t>transaction 013, production from refineries</t>
        </is>
      </c>
      <c r="I48" s="152" t="inlineStr">
        <is>
          <t>Comparison only, not used. It does not match the department in the years they share: set against the department's litres it implies 0.39 to 0.48 kg a litre, and petrol weighs about 0.75.</t>
        </is>
      </c>
    </row>
    <row r="49">
      <c r="A49" s="152" t="inlineStr">
        <is>
          <t>Diesel produced, United Nations series (not used)</t>
        </is>
      </c>
      <c r="B49" s="152" t="inlineStr">
        <is>
          <t>South Africa</t>
        </is>
      </c>
      <c r="C49" s="152" t="inlineStr">
        <is>
          <t>7,535; 4,676; 4,282; 2,383; 2,222</t>
        </is>
      </c>
      <c r="D49" s="152" t="inlineStr">
        <is>
          <t>thousand tonnes</t>
        </is>
      </c>
      <c r="E49" s="152" t="inlineStr">
        <is>
          <t>2019; 2020; 2021; 2022; 2023</t>
        </is>
      </c>
      <c r="F49" s="152" t="inlineStr">
        <is>
          <t>observed</t>
        </is>
      </c>
      <c r="G49" s="152" t="inlineStr">
        <is>
          <t>United Nations Statistics Division, Energy Statistics Database (retrieved 8 October 2026)</t>
        </is>
      </c>
      <c r="H49" s="152" t="inlineStr">
        <is>
          <t>transaction 013, production from refineries</t>
        </is>
      </c>
      <c r="I49" s="152" t="inlineStr">
        <is>
          <t>Comparison only, not used. Close to the department in 2019 and 2021 (0.83 and 0.81 kg a litre implied, against about 0.84) but low in 2020 (0.73). The petrol series from the same source does not match, so neither is relied on.</t>
        </is>
      </c>
    </row>
    <row r="50">
      <c r="A50" s="162" t="inlineStr">
        <is>
          <t>Petrol and diesel produced after 2021, on the department's basis</t>
        </is>
      </c>
      <c r="B50" s="162" t="inlineStr">
        <is>
          <t>South Africa</t>
        </is>
      </c>
      <c r="C50" s="162" t="inlineStr">
        <is>
          <t>Not available</t>
        </is>
      </c>
      <c r="D50" s="162" t="inlineStr">
        <is>
          <t>billion litres</t>
        </is>
      </c>
      <c r="E50" s="162" t="inlineStr">
        <is>
          <t>2022 onward</t>
        </is>
      </c>
      <c r="F50" s="162" t="inlineStr">
        <is>
          <t>not available</t>
        </is>
      </c>
      <c r="G50" s="162" t="inlineStr">
        <is>
          <t>None published</t>
        </is>
      </c>
      <c r="H50" s="162" t="inlineStr"/>
      <c r="I50" s="162" t="inlineStr">
        <is>
          <t>The department has published no balance after 2021. The United Nations series runs to 2023 but does not match the department in the years they share.</t>
        </is>
      </c>
    </row>
    <row r="52">
      <c r="A52" s="151" t="inlineStr">
        <is>
          <t>Yields</t>
        </is>
      </c>
      <c r="B52" s="151" t="n"/>
      <c r="C52" s="151" t="n"/>
      <c r="D52" s="151" t="n"/>
      <c r="E52" s="151" t="n"/>
      <c r="F52" s="151" t="n"/>
      <c r="G52" s="151" t="n"/>
      <c r="H52" s="151" t="n"/>
      <c r="I52" s="151" t="n"/>
    </row>
    <row r="53">
      <c r="A53" s="156" t="inlineStr">
        <is>
          <t>Petrol share of the four main fuels produced</t>
        </is>
      </c>
      <c r="B53" s="156" t="inlineStr">
        <is>
          <t>South Africa, all plants</t>
        </is>
      </c>
      <c r="C53" s="156" t="inlineStr">
        <is>
          <t>46.1; 44.8; 45.0; 48.1; 48.8; 49.5; 50.3; 50.6</t>
        </is>
      </c>
      <c r="D53" s="156" t="inlineStr">
        <is>
          <t>% of petrol, diesel, jet and paraffin</t>
        </is>
      </c>
      <c r="E53" s="156" t="inlineStr">
        <is>
          <t>2014; 2015; 2016; 2017; 2018; 2019; 2020; 2021</t>
        </is>
      </c>
      <c r="F53" s="156" t="inlineStr">
        <is>
          <t>inferred</t>
        </is>
      </c>
      <c r="G53" s="156" t="inlineStr">
        <is>
          <t>Calculated from the energy balances</t>
        </is>
      </c>
      <c r="H53" s="156" t="inlineStr"/>
      <c r="I53" s="156" t="inlineStr">
        <is>
          <t>A national mix, not a plant yield. It will have shifted since the Durban refineries closed.</t>
        </is>
      </c>
    </row>
    <row r="54">
      <c r="A54" s="156" t="inlineStr">
        <is>
          <t>Diesel share of the four main fuels produced</t>
        </is>
      </c>
      <c r="B54" s="156" t="inlineStr">
        <is>
          <t>South Africa, all plants</t>
        </is>
      </c>
      <c r="C54" s="156" t="inlineStr">
        <is>
          <t>40.8; 40.1; 39.0; 40.4; 41.2; 43.1; 41.1; 42.3</t>
        </is>
      </c>
      <c r="D54" s="156" t="inlineStr">
        <is>
          <t>% of petrol, diesel, jet and paraffin</t>
        </is>
      </c>
      <c r="E54" s="156" t="inlineStr">
        <is>
          <t>2014; 2015; 2016; 2017; 2018; 2019; 2020; 2021</t>
        </is>
      </c>
      <c r="F54" s="156" t="inlineStr">
        <is>
          <t>inferred</t>
        </is>
      </c>
      <c r="G54" s="156" t="inlineStr">
        <is>
          <t>Calculated from the energy balances</t>
        </is>
      </c>
      <c r="H54" s="156" t="inlineStr"/>
      <c r="I54" s="156" t="inlineStr">
        <is>
          <t>A national mix, not a plant yield. It will have shifted since the Durban refineries closed.</t>
        </is>
      </c>
    </row>
    <row r="55">
      <c r="A55" s="152" t="inlineStr">
        <is>
          <t>Natref white product yield</t>
        </is>
      </c>
      <c r="B55" s="152" t="inlineStr">
        <is>
          <t>Natref</t>
        </is>
      </c>
      <c r="C55" s="152" t="inlineStr">
        <is>
          <t>89.4; 88.5; 87.3; 88.1; 87.5</t>
        </is>
      </c>
      <c r="D55" s="152" t="inlineStr">
        <is>
          <t>% of crude processed</t>
        </is>
      </c>
      <c r="E55" s="152" t="inlineStr">
        <is>
          <t>years to June 2020; 2021; 2022; 2023; 2024</t>
        </is>
      </c>
      <c r="F55" s="152" t="inlineStr">
        <is>
          <t>observed</t>
        </is>
      </c>
      <c r="G55" s="152" t="inlineStr">
        <is>
          <t>Sasol production and sales metrics, June 2022 and June 2024</t>
        </is>
      </c>
      <c r="H55" s="152" t="inlineStr">
        <is>
          <t>2022 PDF p.4; 2024 PDF p.5</t>
        </is>
      </c>
      <c r="I55" s="152" t="inlineStr">
        <is>
          <t>White products are petrol, diesel, jet and other light products together. Total yield was 97 to 98%. Not reported in the 2025 and 2026 metrics.</t>
        </is>
      </c>
    </row>
    <row r="56">
      <c r="A56" s="152" t="inlineStr">
        <is>
          <t>Petrol share of output</t>
        </is>
      </c>
      <c r="B56" s="152" t="inlineStr">
        <is>
          <t>Natref</t>
        </is>
      </c>
      <c r="C56" s="152" t="inlineStr">
        <is>
          <t>29 to 32</t>
        </is>
      </c>
      <c r="D56" s="152" t="inlineStr">
        <is>
          <t>% of production</t>
        </is>
      </c>
      <c r="E56" s="152" t="inlineStr">
        <is>
          <t>as stated April 2021</t>
        </is>
      </c>
      <c r="F56" s="152" t="inlineStr">
        <is>
          <t>observed</t>
        </is>
      </c>
      <c r="G56" s="152" t="inlineStr">
        <is>
          <t>Sasol Limited, Business Overview, April 2021</t>
        </is>
      </c>
      <c r="H56" s="152" t="inlineStr">
        <is>
          <t>PDF p.12</t>
        </is>
      </c>
      <c r="I56" s="152" t="inlineStr">
        <is>
          <t>A stated range, not a yearly figure. Jet is 9 to 21% and black products 5 to 8%.</t>
        </is>
      </c>
    </row>
    <row r="57">
      <c r="A57" s="152" t="inlineStr">
        <is>
          <t>Diesel share of output</t>
        </is>
      </c>
      <c r="B57" s="152" t="inlineStr">
        <is>
          <t>Natref</t>
        </is>
      </c>
      <c r="C57" s="152" t="inlineStr">
        <is>
          <t>31 to 37</t>
        </is>
      </c>
      <c r="D57" s="152" t="inlineStr">
        <is>
          <t>% of production</t>
        </is>
      </c>
      <c r="E57" s="152" t="inlineStr">
        <is>
          <t>as stated April 2021</t>
        </is>
      </c>
      <c r="F57" s="152" t="inlineStr">
        <is>
          <t>observed</t>
        </is>
      </c>
      <c r="G57" s="152" t="inlineStr">
        <is>
          <t>Sasol Limited, Business Overview, April 2021</t>
        </is>
      </c>
      <c r="H57" s="152" t="inlineStr">
        <is>
          <t>PDF p.12</t>
        </is>
      </c>
      <c r="I57" s="152" t="inlineStr">
        <is>
          <t>A stated range, not a yearly figure. Jet is 9 to 21% and black products 5 to 8%.</t>
        </is>
      </c>
    </row>
    <row r="58">
      <c r="A58" s="152" t="inlineStr">
        <is>
          <t>Petrol share of output</t>
        </is>
      </c>
      <c r="B58" s="152" t="inlineStr">
        <is>
          <t>Secunda</t>
        </is>
      </c>
      <c r="C58" s="152" t="inlineStr">
        <is>
          <t>65</t>
        </is>
      </c>
      <c r="D58" s="152" t="inlineStr">
        <is>
          <t>% of petrol and diesel</t>
        </is>
      </c>
      <c r="E58" s="152" t="inlineStr">
        <is>
          <t>as stated April 2021</t>
        </is>
      </c>
      <c r="F58" s="152" t="inlineStr">
        <is>
          <t>observed</t>
        </is>
      </c>
      <c r="G58" s="152" t="inlineStr">
        <is>
          <t>Sasol Limited, Business Overview, April 2021</t>
        </is>
      </c>
      <c r="H58" s="152" t="inlineStr">
        <is>
          <t>PDF p.12</t>
        </is>
      </c>
      <c r="I58" s="152" t="inlineStr">
        <is>
          <t>Sasol states the split as approximately 65% petrol, 35% diesel and does not say which total it applies to, so no volume is calculated.</t>
        </is>
      </c>
    </row>
    <row r="59">
      <c r="A59" s="152" t="inlineStr">
        <is>
          <t>Diesel share of output</t>
        </is>
      </c>
      <c r="B59" s="152" t="inlineStr">
        <is>
          <t>Secunda</t>
        </is>
      </c>
      <c r="C59" s="152" t="inlineStr">
        <is>
          <t>35</t>
        </is>
      </c>
      <c r="D59" s="152" t="inlineStr">
        <is>
          <t>% of petrol and diesel</t>
        </is>
      </c>
      <c r="E59" s="152" t="inlineStr">
        <is>
          <t>as stated April 2021</t>
        </is>
      </c>
      <c r="F59" s="152" t="inlineStr">
        <is>
          <t>observed</t>
        </is>
      </c>
      <c r="G59" s="152" t="inlineStr">
        <is>
          <t>Sasol Limited, Business Overview, April 2021</t>
        </is>
      </c>
      <c r="H59" s="152" t="inlineStr">
        <is>
          <t>PDF p.12</t>
        </is>
      </c>
      <c r="I59" s="152" t="inlineStr">
        <is>
          <t>Sasol states the split as approximately 65% petrol, 35% diesel and does not say which total it applies to, so no volume is calculated.</t>
        </is>
      </c>
    </row>
    <row r="60">
      <c r="A60" s="162" t="inlineStr">
        <is>
          <t>Yield by plant</t>
        </is>
      </c>
      <c r="B60" s="162" t="inlineStr">
        <is>
          <t>Astron Energy</t>
        </is>
      </c>
      <c r="C60" s="162" t="inlineStr">
        <is>
          <t>Not available</t>
        </is>
      </c>
      <c r="D60" s="162" t="inlineStr">
        <is>
          <t>%</t>
        </is>
      </c>
      <c r="E60" s="162" t="inlineStr"/>
      <c r="F60" s="162" t="inlineStr">
        <is>
          <t>not available</t>
        </is>
      </c>
      <c r="G60" s="162" t="inlineStr">
        <is>
          <t>None published</t>
        </is>
      </c>
      <c r="H60" s="162" t="inlineStr"/>
      <c r="I60" s="162" t="inlineStr">
        <is>
          <t>Nothing found for Astron. Natref and Secunda are as Sasol stated them in 2021; no plant publishes a split by year.</t>
        </is>
      </c>
    </row>
    <row r="62">
      <c r="A62" s="151" t="inlineStr">
        <is>
          <t>Utilisation</t>
        </is>
      </c>
      <c r="B62" s="151" t="n"/>
      <c r="C62" s="151" t="n"/>
      <c r="D62" s="151" t="n"/>
      <c r="E62" s="151" t="n"/>
      <c r="F62" s="151" t="n"/>
      <c r="G62" s="151" t="n"/>
      <c r="H62" s="151" t="n"/>
      <c r="I62" s="151" t="n"/>
    </row>
    <row r="63">
      <c r="A63" s="156" t="inlineStr">
        <is>
          <t>Output as a share of published capacity</t>
        </is>
      </c>
      <c r="B63" s="156" t="inlineStr">
        <is>
          <t>Secunda</t>
        </is>
      </c>
      <c r="C63" s="156" t="inlineStr">
        <is>
          <t>57; 59; 53; 55; 53; 50; 56</t>
        </is>
      </c>
      <c r="D63" s="156" t="inlineStr">
        <is>
          <t>%</t>
        </is>
      </c>
      <c r="E63" s="156" t="inlineStr">
        <is>
          <t>years to June 2020; 2021; 2022; 2023; 2024; 2025; 2026</t>
        </is>
      </c>
      <c r="F63" s="156" t="inlineStr">
        <is>
          <t>inferred</t>
        </is>
      </c>
      <c r="G63" s="156" t="inlineStr">
        <is>
          <t>Reported output over published capacity</t>
        </is>
      </c>
      <c r="H63" s="156" t="inlineStr"/>
      <c r="I63" s="156" t="inlineStr">
        <is>
          <t>Capacity is crude equivalent and output is refined product, so this understates how hard the plant runs.</t>
        </is>
      </c>
    </row>
    <row r="64">
      <c r="A64" s="156" t="inlineStr">
        <is>
          <t>Output as a share of published capacity</t>
        </is>
      </c>
      <c r="B64" s="156" t="inlineStr">
        <is>
          <t>Natref</t>
        </is>
      </c>
      <c r="C64" s="156" t="inlineStr">
        <is>
          <t>67; 71; 75; 69; 71; 59</t>
        </is>
      </c>
      <c r="D64" s="156" t="inlineStr">
        <is>
          <t>%</t>
        </is>
      </c>
      <c r="E64" s="156" t="inlineStr">
        <is>
          <t>years to June 2020; 2021; 2022; 2023; 2024; 2025</t>
        </is>
      </c>
      <c r="F64" s="156" t="inlineStr">
        <is>
          <t>inferred</t>
        </is>
      </c>
      <c r="G64" s="156" t="inlineStr">
        <is>
          <t>Reported output over published capacity, Sasol's share scaled to the whole refinery</t>
        </is>
      </c>
      <c r="H64" s="156" t="inlineStr"/>
      <c r="I64" s="156" t="inlineStr">
        <is>
          <t>Capacity is crude equivalent and output is refined product, so this understates how hard the plant runs. The year to June 2026 is left out because Sasol's figure includes output above its share.</t>
        </is>
      </c>
    </row>
    <row r="65">
      <c r="A65" s="156" t="inlineStr">
        <is>
          <t>Output as a share of published capacity, estimated</t>
        </is>
      </c>
      <c r="B65" s="156" t="inlineStr">
        <is>
          <t>Astron Energy</t>
        </is>
      </c>
      <c r="C65" s="156" t="inlineStr">
        <is>
          <t>65; 78; 78</t>
        </is>
      </c>
      <c r="D65" s="156" t="inlineStr">
        <is>
          <t>%</t>
        </is>
      </c>
      <c r="E65" s="156" t="inlineStr">
        <is>
          <t>2023; 2024; 2025</t>
        </is>
      </c>
      <c r="F65" s="156" t="inlineStr">
        <is>
          <t>inferred</t>
        </is>
      </c>
      <c r="G65" s="156" t="inlineStr">
        <is>
          <t>Glencore's energy content at 5.8 million Btu a barrel of oil equivalent, over published capacity</t>
        </is>
      </c>
      <c r="H65" s="156" t="inlineStr"/>
      <c r="I65" s="156" t="inlineStr">
        <is>
          <t>An estimate: no throughput in barrels is published. Refined products hold a little less energy per barrel than the standard, so true utilisation is somewhat higher. 2023 is the restart year.</t>
        </is>
      </c>
    </row>
    <row r="66">
      <c r="A66" s="152" t="inlineStr">
        <is>
          <t>Utilisation as stated by the operator</t>
        </is>
      </c>
      <c r="B66" s="152" t="inlineStr">
        <is>
          <t>Astron Energy</t>
        </is>
      </c>
      <c r="C66" s="152" t="inlineStr">
        <is>
          <t>Operating at full capacity, producing petrol, diesel, jet fuel and low-sulphur marine fuel</t>
        </is>
      </c>
      <c r="D66" s="152" t="inlineStr"/>
      <c r="E66" s="152" t="inlineStr">
        <is>
          <t>2025</t>
        </is>
      </c>
      <c r="F66" s="152" t="inlineStr">
        <is>
          <t>observed</t>
        </is>
      </c>
      <c r="G66" s="152" t="inlineStr">
        <is>
          <t>Astron Energy chief executive, in a company article in Engineering News</t>
        </is>
      </c>
      <c r="H66" s="152" t="inlineStr"/>
      <c r="I66" s="152" t="inlineStr">
        <is>
          <t>The operator's own statement; no volume is given. Glencore's energy figure implies less than full: see the estimate below.</t>
        </is>
      </c>
    </row>
    <row r="68">
      <c r="A68" s="151" t="inlineStr">
        <is>
          <t>Outlook</t>
        </is>
      </c>
      <c r="B68" s="151" t="n"/>
      <c r="C68" s="151" t="n"/>
      <c r="D68" s="151" t="n"/>
      <c r="E68" s="151" t="n"/>
      <c r="F68" s="151" t="n"/>
      <c r="G68" s="151" t="n"/>
      <c r="H68" s="151" t="n"/>
      <c r="I68" s="151" t="n"/>
    </row>
    <row r="69">
      <c r="A69" s="152" t="inlineStr">
        <is>
          <t>Outlook</t>
        </is>
      </c>
      <c r="B69" s="152" t="inlineStr">
        <is>
          <t>Sapref site (Central Energy Fund)</t>
        </is>
      </c>
      <c r="C69" s="152" t="inlineStr">
        <is>
          <t>Three phases: imports through existing tanks; a refinery of about 400,000 barrels a day; then 400,000 to 650,000</t>
        </is>
      </c>
      <c r="D69" s="152" t="inlineStr"/>
      <c r="E69" s="152" t="inlineStr">
        <is>
          <t>no dates given</t>
        </is>
      </c>
      <c r="F69" s="152" t="inlineStr">
        <is>
          <t>observed</t>
        </is>
      </c>
      <c r="G69" s="152" t="inlineStr">
        <is>
          <t>Central Energy Fund, roadmap statement of 10 September 2026</t>
        </is>
      </c>
      <c r="H69" s="152" t="inlineStr"/>
      <c r="I69" s="152" t="inlineStr">
        <is>
          <t>No investment decision, dates or product slate. Phase one is an import terminal in Durban, which competes with existing terminals.</t>
        </is>
      </c>
    </row>
    <row r="70">
      <c r="A70" s="152" t="inlineStr">
        <is>
          <t>Outlook</t>
        </is>
      </c>
      <c r="B70" s="152" t="inlineStr">
        <is>
          <t>Secunda</t>
        </is>
      </c>
      <c r="C70" s="152" t="inlineStr">
        <is>
          <t>Sasol finds it technically feasible to supply Secunda's methane-rich gas to outside customers as Mozambican gas declines</t>
        </is>
      </c>
      <c r="D70" s="152" t="inlineStr"/>
      <c r="E70" s="152" t="inlineStr">
        <is>
          <t>July 2028 to June 2030</t>
        </is>
      </c>
      <c r="F70" s="152" t="inlineStr">
        <is>
          <t>observed</t>
        </is>
      </c>
      <c r="G70" s="152" t="inlineStr">
        <is>
          <t>Sasol media release, 6 November 2025</t>
        </is>
      </c>
      <c r="H70" s="152" t="inlineStr"/>
      <c r="I70" s="152" t="inlineStr">
        <is>
          <t>No liquid fuels penalty is quantified. Depends on approvals and investment.</t>
        </is>
      </c>
    </row>
    <row r="71">
      <c r="A71" s="152" t="inlineStr">
        <is>
          <t>Outlook</t>
        </is>
      </c>
      <c r="B71" s="152" t="inlineStr">
        <is>
          <t>PetroSA (Mossel Bay)</t>
        </is>
      </c>
      <c r="C71" s="152" t="inlineStr">
        <is>
          <t>Tender to recommission the liquids refinery and adapt the terminal to import finished products</t>
        </is>
      </c>
      <c r="D71" s="152" t="inlineStr"/>
      <c r="E71" s="152" t="inlineStr">
        <is>
          <t>no dates given</t>
        </is>
      </c>
      <c r="F71" s="152" t="inlineStr">
        <is>
          <t>observed</t>
        </is>
      </c>
      <c r="G71" s="152" t="inlineStr">
        <is>
          <t>PetroSA tender scope of work</t>
        </is>
      </c>
      <c r="H71" s="152" t="inlineStr"/>
      <c r="I71" s="152" t="inlineStr">
        <is>
          <t>No restart date or output.</t>
        </is>
      </c>
    </row>
    <row r="72">
      <c r="A72" s="152" t="inlineStr">
        <is>
          <t>Outlook</t>
        </is>
      </c>
      <c r="B72" s="152" t="inlineStr">
        <is>
          <t>Secunda</t>
        </is>
      </c>
      <c r="C72" s="152" t="inlineStr">
        <is>
          <t>Production 8% up and above guidance; Natref 76% up using a co-owner's capacity</t>
        </is>
      </c>
      <c r="D72" s="152" t="inlineStr"/>
      <c r="E72" s="152" t="inlineStr">
        <is>
          <t>year to June 2026</t>
        </is>
      </c>
      <c r="F72" s="152" t="inlineStr">
        <is>
          <t>observed</t>
        </is>
      </c>
      <c r="G72" s="152" t="inlineStr">
        <is>
          <t>Sasol business performance metrics, 30 June 2026</t>
        </is>
      </c>
      <c r="H72" s="152" t="inlineStr">
        <is>
          <t>PDF p.4</t>
        </is>
      </c>
      <c r="I72" s="152" t="inlineStr">
        <is>
          <t>Natref's rise includes Sasol using Prax SA's share during that company's business rescue.</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6" customWidth="1" min="1" max="1"/>
    <col width="16" customWidth="1" min="2" max="2"/>
    <col width="14" customWidth="1" min="3" max="3"/>
    <col width="34"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58" customWidth="1" min="12" max="12"/>
    <col width="60" customWidth="1" min="13" max="13"/>
  </cols>
  <sheetData>
    <row r="1">
      <c r="A1" s="149" t="inlineStr">
        <is>
          <t>DR08 Refineries: capacity, status and reported output</t>
        </is>
      </c>
    </row>
    <row r="2">
      <c r="A2" s="1" t="inlineStr">
        <is>
          <t>Output is million barrels of all refined products, years to 30 June, as each operator reports it. No operator publishes petrol and diesel by plant. Capacity is crude equivalent.</t>
        </is>
      </c>
    </row>
    <row r="4">
      <c r="A4" s="150" t="inlineStr">
        <is>
          <t>Plant</t>
        </is>
      </c>
      <c r="B4" s="150" t="inlineStr">
        <is>
          <t>Type</t>
        </is>
      </c>
      <c r="C4" s="150" t="inlineStr">
        <is>
          <t>Capacity, barrels a day</t>
        </is>
      </c>
      <c r="D4" s="150" t="inlineStr">
        <is>
          <t>Status</t>
        </is>
      </c>
      <c r="E4" s="150" t="n">
        <v>2020</v>
      </c>
      <c r="F4" s="150" t="n">
        <v>2021</v>
      </c>
      <c r="G4" s="150" t="n">
        <v>2022</v>
      </c>
      <c r="H4" s="150" t="n">
        <v>2023</v>
      </c>
      <c r="I4" s="150" t="n">
        <v>2024</v>
      </c>
      <c r="J4" s="150" t="n">
        <v>2025</v>
      </c>
      <c r="K4" s="150" t="n">
        <v>2026</v>
      </c>
      <c r="L4" s="150" t="inlineStr">
        <is>
          <t>Source</t>
        </is>
      </c>
      <c r="M4" s="150" t="inlineStr">
        <is>
          <t>Note</t>
        </is>
      </c>
    </row>
    <row r="5">
      <c r="A5" s="172" t="inlineStr">
        <is>
          <t>Secunda (Sasol)</t>
        </is>
      </c>
      <c r="B5" s="170" t="inlineStr">
        <is>
          <t>Coal to liquids</t>
        </is>
      </c>
      <c r="C5" s="193" t="n">
        <v>150000</v>
      </c>
      <c r="D5" s="172" t="inlineStr">
        <is>
          <t>Operating</t>
        </is>
      </c>
      <c r="E5" s="191" t="n">
        <v>31.2</v>
      </c>
      <c r="F5" s="191" t="n">
        <v>32.1</v>
      </c>
      <c r="G5" s="191" t="n">
        <v>29.2</v>
      </c>
      <c r="H5" s="191" t="n">
        <v>29.9</v>
      </c>
      <c r="I5" s="191" t="n">
        <v>29.1</v>
      </c>
      <c r="J5" s="191" t="n">
        <v>27.6</v>
      </c>
      <c r="K5" s="191" t="n">
        <v>30.6</v>
      </c>
      <c r="L5" s="172" t="inlineStr">
        <is>
          <t>Sasol production and sales metrics; capacity: Department, Energy Sector Report 2023, Table 1 (which cites the industry association)</t>
        </is>
      </c>
      <c r="M5" s="172" t="inlineStr">
        <is>
          <t>All refined products.</t>
        </is>
      </c>
    </row>
    <row r="6">
      <c r="A6" s="172" t="inlineStr">
        <is>
          <t>Natref (Sasol and TotalEnergies)</t>
        </is>
      </c>
      <c r="B6" s="170" t="inlineStr">
        <is>
          <t>Crude oil</t>
        </is>
      </c>
      <c r="C6" s="193" t="n">
        <v>108000</v>
      </c>
      <c r="D6" s="172" t="inlineStr">
        <is>
          <t>Operating; unit outage August to September 2026</t>
        </is>
      </c>
      <c r="E6" s="191" t="n">
        <v>16.8</v>
      </c>
      <c r="F6" s="191" t="n">
        <v>17.7</v>
      </c>
      <c r="G6" s="191" t="n">
        <v>18.9</v>
      </c>
      <c r="H6" s="191" t="n">
        <v>17.2</v>
      </c>
      <c r="I6" s="191" t="n">
        <v>17.8</v>
      </c>
      <c r="J6" s="191" t="n">
        <v>14.7</v>
      </c>
      <c r="K6" s="191" t="n">
        <v>25.8</v>
      </c>
      <c r="L6" s="172" t="inlineStr">
        <is>
          <t>Sasol production and sales metrics; capacity: Department, Energy Sector Report 2023, Table 1 (which cites the industry association)</t>
        </is>
      </c>
      <c r="M6" s="172" t="inlineStr">
        <is>
          <t>Sasol's 63.64% share only. The year to June 2026 includes output above that share.</t>
        </is>
      </c>
    </row>
    <row r="7">
      <c r="A7" s="172" t="inlineStr">
        <is>
          <t>Astron Energy (Glencore), Cape Town</t>
        </is>
      </c>
      <c r="B7" s="170" t="inlineStr">
        <is>
          <t>Crude oil</t>
        </is>
      </c>
      <c r="C7" s="193" t="n">
        <v>100000</v>
      </c>
      <c r="D7" s="172" t="inlineStr">
        <is>
          <t>Operating; restarted early 2023</t>
        </is>
      </c>
      <c r="E7" s="191" t="n"/>
      <c r="F7" s="191" t="n"/>
      <c r="G7" s="191" t="n"/>
      <c r="H7" s="191" t="n"/>
      <c r="I7" s="191" t="n"/>
      <c r="J7" s="191" t="n"/>
      <c r="K7" s="191" t="n"/>
      <c r="L7" s="172" t="inlineStr">
        <is>
          <t>Capacity: Department, Energy Sector Report 2023, Table 1 (which cites the industry association); Glencore annual reports (100,000 steady state)</t>
        </is>
      </c>
      <c r="M7" s="172" t="inlineStr">
        <is>
          <t>Glencore reports energy content, not barrels: 136,665, 166,204 and 164,365 billion Btu for 2023 to 2025.</t>
        </is>
      </c>
    </row>
    <row r="8">
      <c r="A8" s="200" t="inlineStr">
        <is>
          <t>Sapref (Central Energy Fund), Durban</t>
        </is>
      </c>
      <c r="B8" s="201" t="inlineStr">
        <is>
          <t>Crude oil</t>
        </is>
      </c>
      <c r="C8" s="202" t="n">
        <v>180000</v>
      </c>
      <c r="D8" s="200" t="inlineStr">
        <is>
          <t>Not refining</t>
        </is>
      </c>
      <c r="E8" s="203" t="n"/>
      <c r="F8" s="203" t="n"/>
      <c r="G8" s="203" t="n"/>
      <c r="H8" s="203" t="n"/>
      <c r="I8" s="203" t="n"/>
      <c r="J8" s="203" t="n"/>
      <c r="K8" s="203" t="n"/>
      <c r="L8" s="200" t="inlineStr">
        <is>
          <t>Capacity: Department, Energy Sector Report 2023, Table 1 (which cites the industry association)</t>
        </is>
      </c>
      <c r="M8" s="200" t="inlineStr">
        <is>
          <t>No output. The department still lists it at full capacity.</t>
        </is>
      </c>
    </row>
    <row r="9">
      <c r="A9" s="200" t="inlineStr">
        <is>
          <t>Enref (Engen), Durban</t>
        </is>
      </c>
      <c r="B9" s="201" t="inlineStr">
        <is>
          <t>Crude oil</t>
        </is>
      </c>
      <c r="C9" s="202" t="n">
        <v>0</v>
      </c>
      <c r="D9" s="200" t="inlineStr">
        <is>
          <t>Not operating</t>
        </is>
      </c>
      <c r="E9" s="203" t="n"/>
      <c r="F9" s="203" t="n"/>
      <c r="G9" s="203" t="n"/>
      <c r="H9" s="203" t="n"/>
      <c r="I9" s="203" t="n"/>
      <c r="J9" s="203" t="n"/>
      <c r="K9" s="203" t="n"/>
      <c r="L9" s="200" t="inlineStr">
        <is>
          <t>Capacity: Department, Energy Sector Report 2023, Table 1 (which cites the industry association)</t>
        </is>
      </c>
      <c r="M9" s="200" t="inlineStr">
        <is>
          <t>No output.</t>
        </is>
      </c>
    </row>
    <row r="10">
      <c r="A10" s="200" t="inlineStr">
        <is>
          <t>PetroSA, Mossel Bay</t>
        </is>
      </c>
      <c r="B10" s="201" t="inlineStr">
        <is>
          <t>Gas to liquids</t>
        </is>
      </c>
      <c r="C10" s="202" t="n">
        <v>0</v>
      </c>
      <c r="D10" s="200" t="inlineStr">
        <is>
          <t>Not operating since December 2020</t>
        </is>
      </c>
      <c r="E10" s="203" t="n"/>
      <c r="F10" s="203" t="n"/>
      <c r="G10" s="203" t="n"/>
      <c r="H10" s="203" t="n"/>
      <c r="I10" s="203" t="n"/>
      <c r="J10" s="203" t="n"/>
      <c r="K10" s="203" t="n"/>
      <c r="L10" s="200" t="inlineStr">
        <is>
          <t>Capacity: Department, Energy Sector Report 2023, Table 1 (which cites the industry association)</t>
        </is>
      </c>
      <c r="M10" s="200" t="inlineStr">
        <is>
          <t>No output.</t>
        </is>
      </c>
    </row>
    <row r="11">
      <c r="A11" s="198" t="inlineStr">
        <is>
          <t>Capacity operating (Secunda, Natref, Astron)</t>
        </is>
      </c>
      <c r="B11" s="176" t="n"/>
      <c r="C11" s="196">
        <f>C5+C6+C7</f>
        <v/>
      </c>
      <c r="D11" s="175" t="n"/>
      <c r="E11" s="199" t="n"/>
      <c r="F11" s="199" t="n"/>
      <c r="G11" s="199" t="n"/>
      <c r="H11" s="199" t="n"/>
      <c r="I11" s="199" t="n"/>
      <c r="J11" s="199" t="n"/>
      <c r="K11" s="199" t="n"/>
      <c r="L11" s="175" t="inlineStr">
        <is>
          <t>Sum of the three plants operating</t>
        </is>
      </c>
      <c r="M11" s="175" t="inlineStr">
        <is>
          <t>718,000 was published for all six plants in 2021.</t>
        </is>
      </c>
    </row>
    <row r="13">
      <c r="A13" s="151" t="inlineStr">
        <is>
          <t>Petrol and diesel produced, all plants (billion litres, calendar years)</t>
        </is>
      </c>
      <c r="B13" s="151" t="n"/>
      <c r="C13" s="151" t="n"/>
      <c r="D13" s="151" t="n"/>
      <c r="E13" s="151" t="n"/>
      <c r="F13" s="151" t="n"/>
      <c r="G13" s="151" t="n"/>
      <c r="H13" s="151" t="n"/>
      <c r="I13" s="151" t="n"/>
      <c r="J13" s="151" t="n"/>
      <c r="K13" s="151" t="n"/>
      <c r="L13" s="151" t="n"/>
      <c r="M13" s="151" t="n"/>
    </row>
    <row r="14">
      <c r="A14" s="185" t="inlineStr">
        <is>
          <t>Product</t>
        </is>
      </c>
      <c r="B14" s="185" t="inlineStr"/>
      <c r="C14" s="185" t="inlineStr"/>
      <c r="D14" s="185" t="inlineStr"/>
      <c r="E14" s="185" t="n">
        <v>2015</v>
      </c>
      <c r="F14" s="185" t="n">
        <v>2016</v>
      </c>
      <c r="G14" s="185" t="n">
        <v>2017</v>
      </c>
      <c r="H14" s="185" t="n">
        <v>2018</v>
      </c>
      <c r="I14" s="185" t="n">
        <v>2019</v>
      </c>
      <c r="J14" s="185" t="n">
        <v>2020</v>
      </c>
      <c r="K14" s="185" t="n">
        <v>2021</v>
      </c>
      <c r="L14" s="185" t="inlineStr">
        <is>
          <t>Source</t>
        </is>
      </c>
      <c r="M14" s="185" t="inlineStr">
        <is>
          <t>Note</t>
        </is>
      </c>
    </row>
    <row r="15">
      <c r="A15" s="172" t="inlineStr">
        <is>
          <t>Petrol</t>
        </is>
      </c>
      <c r="B15" s="170" t="n"/>
      <c r="C15" s="190" t="n"/>
      <c r="D15" s="172" t="n"/>
      <c r="E15" s="171" t="n">
        <v>10.457813</v>
      </c>
      <c r="F15" s="171" t="n">
        <v>10.393066</v>
      </c>
      <c r="G15" s="171" t="n">
        <v>9.43444</v>
      </c>
      <c r="H15" s="171" t="n">
        <v>9.97456</v>
      </c>
      <c r="I15" s="171" t="n">
        <v>10.424467</v>
      </c>
      <c r="J15" s="171" t="n">
        <v>7.895</v>
      </c>
      <c r="K15" s="171" t="n">
        <v>6.351306666663</v>
      </c>
      <c r="L15" s="172" t="inlineStr">
        <is>
          <t>Department of Mineral and Petroleum Resources, energy balances (one file a year)</t>
        </is>
      </c>
      <c r="M15" s="172" t="inlineStr">
        <is>
          <t>The only output by product. Ends at 2021, the last balance published.</t>
        </is>
      </c>
    </row>
    <row r="16">
      <c r="A16" s="172" t="inlineStr">
        <is>
          <t>Diesel</t>
        </is>
      </c>
      <c r="B16" s="170" t="n"/>
      <c r="C16" s="190" t="n"/>
      <c r="D16" s="172" t="n"/>
      <c r="E16" s="171" t="n">
        <v>9.368482</v>
      </c>
      <c r="F16" s="171" t="n">
        <v>9.014190000000001</v>
      </c>
      <c r="G16" s="171" t="n">
        <v>7.921726</v>
      </c>
      <c r="H16" s="171" t="n">
        <v>8.425262</v>
      </c>
      <c r="I16" s="171" t="n">
        <v>9.080356999999999</v>
      </c>
      <c r="J16" s="171" t="n">
        <v>6.4478095</v>
      </c>
      <c r="K16" s="171" t="n">
        <v>5.314964285718</v>
      </c>
      <c r="L16" s="172" t="inlineStr">
        <is>
          <t>Department of Mineral and Petroleum Resources, energy balances (one file a year)</t>
        </is>
      </c>
      <c r="M16" s="172" t="inlineStr">
        <is>
          <t>The only output by product. Ends at 2021, the last balance published.</t>
        </is>
      </c>
    </row>
    <row r="17">
      <c r="A17" s="198" t="inlineStr">
        <is>
          <t>Petrol and diesel</t>
        </is>
      </c>
      <c r="B17" s="176" t="n"/>
      <c r="C17" s="199" t="n"/>
      <c r="D17" s="175" t="n"/>
      <c r="E17" s="174">
        <f>IF(COUNT(E15:E16)&lt;2,"",SUM(E15:E16))</f>
        <v/>
      </c>
      <c r="F17" s="174">
        <f>IF(COUNT(F15:F16)&lt;2,"",SUM(F15:F16))</f>
        <v/>
      </c>
      <c r="G17" s="174">
        <f>IF(COUNT(G15:G16)&lt;2,"",SUM(G15:G16))</f>
        <v/>
      </c>
      <c r="H17" s="174">
        <f>IF(COUNT(H15:H16)&lt;2,"",SUM(H15:H16))</f>
        <v/>
      </c>
      <c r="I17" s="174">
        <f>IF(COUNT(I15:I16)&lt;2,"",SUM(I15:I16))</f>
        <v/>
      </c>
      <c r="J17" s="174">
        <f>IF(COUNT(J15:J16)&lt;2,"",SUM(J15:J16))</f>
        <v/>
      </c>
      <c r="K17" s="174">
        <f>IF(COUNT(K15:K16)&lt;2,"",SUM(K15:K16))</f>
        <v/>
      </c>
      <c r="L17" s="175" t="inlineStr">
        <is>
          <t>Sum of the two rows above</t>
        </is>
      </c>
      <c r="M17" s="175" t="inlineStr">
        <is>
          <t>Fell by about 40% between 2019 and 2021 as the Durban refineries stopped.</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V7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three cases</t>
        </is>
      </c>
    </row>
    <row r="2">
      <c r="A2" s="1" t="inlineStr">
        <is>
          <t>A block by station and year, as asked on 7 October. Capacities are from Eskom's fact sheet; retirement dates from Eskom and from reports of the environment minister's decisions. The three cases are scenarios: yellow rows are assumptions for Nigel and Henry to confirm.</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204" t="n">
        <v>0.31</v>
      </c>
      <c r="E6" s="162" t="inlineStr">
        <is>
          <t>Reported Eskom burn over generation in three years. A proposal awaiting review.</t>
        </is>
      </c>
      <c r="F6" s="204" t="n"/>
      <c r="G6" s="204" t="n"/>
      <c r="H6" s="204" t="n"/>
      <c r="I6" s="204" t="n"/>
      <c r="J6" s="204" t="n"/>
      <c r="K6" s="204" t="n"/>
      <c r="L6" s="204" t="n"/>
      <c r="M6" s="204" t="n"/>
      <c r="N6" s="204" t="n"/>
      <c r="O6" s="204" t="n"/>
      <c r="P6" s="204" t="n"/>
      <c r="Q6" s="204" t="n"/>
      <c r="R6" s="204" t="n"/>
      <c r="S6" s="204" t="n"/>
      <c r="T6" s="162" t="inlineStr"/>
      <c r="U6" s="162" t="inlineStr">
        <is>
          <t>Parliamentary replies on Eskom diesel burn; Eskom generation</t>
        </is>
      </c>
      <c r="V6" s="162" t="inlineStr">
        <is>
          <t>Nigel / Henry to confirm</t>
        </is>
      </c>
    </row>
    <row r="7">
      <c r="A7" s="162" t="inlineStr">
        <is>
          <t>Share of output on diesel when gas is available</t>
        </is>
      </c>
      <c r="B7" s="163" t="inlineStr">
        <is>
          <t>%</t>
        </is>
      </c>
      <c r="C7" s="163" t="inlineStr">
        <is>
          <t>Assumption</t>
        </is>
      </c>
      <c r="D7" s="205" t="n">
        <v>10</v>
      </c>
      <c r="E7" s="162" t="inlineStr">
        <is>
          <t>Diesel as the backup fuel of a station whose main fuel is gas. NO SOURCE: Eskom's tender says only that gas will be 'supplemented by diesel as and when it's required'.</t>
        </is>
      </c>
      <c r="F7" s="205" t="n"/>
      <c r="G7" s="205" t="n"/>
      <c r="H7" s="205" t="n"/>
      <c r="I7" s="205" t="n"/>
      <c r="J7" s="205" t="n"/>
      <c r="K7" s="205" t="n"/>
      <c r="L7" s="205" t="n"/>
      <c r="M7" s="205" t="n"/>
      <c r="N7" s="205" t="n"/>
      <c r="O7" s="205" t="n"/>
      <c r="P7" s="205" t="n"/>
      <c r="Q7" s="205" t="n"/>
      <c r="R7" s="205" t="n"/>
      <c r="S7" s="205" t="n"/>
      <c r="T7" s="162" t="inlineStr"/>
      <c r="U7" s="162" t="inlineStr">
        <is>
          <t>Analyst assumption; no published source</t>
        </is>
      </c>
      <c r="V7" s="162" t="inlineStr">
        <is>
          <t>Nigel / Henry to confirm</t>
        </is>
      </c>
    </row>
    <row r="8">
      <c r="A8" s="162" t="inlineStr">
        <is>
          <t>Load factor of a gas plant running on gas</t>
        </is>
      </c>
      <c r="B8" s="163" t="inlineStr">
        <is>
          <t>%</t>
        </is>
      </c>
      <c r="C8" s="163" t="inlineStr">
        <is>
          <t>Assumption</t>
        </is>
      </c>
      <c r="D8" s="205" t="n">
        <v>40</v>
      </c>
      <c r="E8" s="162" t="inlineStr">
        <is>
          <t>NO SOURCE. Eskom describes the gas it needs as dispatchable baseload, so well above a peaker.</t>
        </is>
      </c>
      <c r="F8" s="205" t="n"/>
      <c r="G8" s="205" t="n"/>
      <c r="H8" s="205" t="n"/>
      <c r="I8" s="205" t="n"/>
      <c r="J8" s="205" t="n"/>
      <c r="K8" s="205" t="n"/>
      <c r="L8" s="205" t="n"/>
      <c r="M8" s="205" t="n"/>
      <c r="N8" s="205" t="n"/>
      <c r="O8" s="205" t="n"/>
      <c r="P8" s="205" t="n"/>
      <c r="Q8" s="205" t="n"/>
      <c r="R8" s="205" t="n"/>
      <c r="S8" s="205" t="n"/>
      <c r="T8" s="162" t="inlineStr"/>
      <c r="U8" s="162" t="inlineStr">
        <is>
          <t>Analyst assumption; no published source</t>
        </is>
      </c>
      <c r="V8" s="162" t="inlineStr">
        <is>
          <t>Nigel / Henry to confirm</t>
        </is>
      </c>
    </row>
    <row r="10">
      <c r="A10" s="151" t="inlineStr">
        <is>
          <t>1. Stations that burn diesel today (installed capacity)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The system operator states that the contracts of Dedisa and Avon expire in August and September 2030. Shown to the last full year. An earlier reading of July 2031 (15 years from commercial operation in July 2016) is replaced by this.</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t>
        </is>
      </c>
      <c r="U13" s="152" t="inlineStr">
        <is>
          <t>Capacity owners and agreement: African Energy 9 October 2015. Fuel: Global Energy Monitor citing an ENGIE brochure (diesel; able to run on gas). Contract end: System operator Medium-Term System Adequacy Outlook 2026-2030 (30 October 2025) p.21</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The system operator states that the contracts of Dedisa and Avon expire in August and September 2030. Shown to the last full year; what follows is not established.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t>
        </is>
      </c>
      <c r="U14" s="152" t="inlineStr">
        <is>
          <t>Capacity owners and agreement: African Energy 9 October 2015. Fuel: Global Energy Monitor citing an ENGIE brochure (diesel; able to run on gas). Contract end: System operator Medium-Term System Adequacy Outlook 2026-2030 (30 October 2025) p.21</t>
        </is>
      </c>
      <c r="V14" s="152" t="inlineStr"/>
    </row>
    <row r="15">
      <c r="A15" s="156" t="inlineStr">
        <is>
          <t>Diesel stations, total installed</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is>
          <t>Calculated in this workbook from the rows named in the definition</t>
        </is>
      </c>
      <c r="V15" s="156" t="inlineStr"/>
    </row>
    <row r="16">
      <c r="A16" s="159" t="inlineStr">
        <is>
          <t>Acacia (Eskom)</t>
        </is>
      </c>
      <c r="B16" s="160" t="inlineStr">
        <is>
          <t>MW</t>
        </is>
      </c>
      <c r="C16" s="160" t="inlineStr">
        <is>
          <t>Not counted</t>
        </is>
      </c>
      <c r="D16" s="180" t="n"/>
      <c r="E16" s="159" t="inlineStr">
        <is>
          <t>Cape Town. Three 57 MW units. Burns kerosene not diesel so it is left out of the diesel total.</t>
        </is>
      </c>
      <c r="F16" s="180" t="n">
        <v>171</v>
      </c>
      <c r="G16" s="180" t="n">
        <v>171</v>
      </c>
      <c r="H16" s="180" t="n">
        <v>171</v>
      </c>
      <c r="I16" s="180" t="n">
        <v>171</v>
      </c>
      <c r="J16" s="180" t="n">
        <v>171</v>
      </c>
      <c r="K16" s="180" t="n">
        <v>171</v>
      </c>
      <c r="L16" s="180" t="n">
        <v>171</v>
      </c>
      <c r="M16" s="180" t="n">
        <v>171</v>
      </c>
      <c r="N16" s="180" t="n">
        <v>171</v>
      </c>
      <c r="O16" s="180" t="n">
        <v>171</v>
      </c>
      <c r="P16" s="180" t="n">
        <v>171</v>
      </c>
      <c r="Q16" s="180" t="n">
        <v>171</v>
      </c>
      <c r="R16" s="180" t="n">
        <v>171</v>
      </c>
      <c r="S16" s="180" t="n">
        <v>171</v>
      </c>
      <c r="T16" s="159" t="inlineStr"/>
      <c r="U16" s="159" t="inlineStr">
        <is>
          <t>Eskom fact sheet GX 0001 Rev 29 (July 2024); Eskom peaking power stations page. Shutdown: System operator Medium-Term System Adequacy Outlook 2026-2030 p.17</t>
        </is>
      </c>
      <c r="V16" s="159" t="inlineStr"/>
    </row>
    <row r="17">
      <c r="A17" s="159" t="inlineStr">
        <is>
          <t>Port Rex (Eskom)</t>
        </is>
      </c>
      <c r="B17" s="160" t="inlineStr">
        <is>
          <t>MW</t>
        </is>
      </c>
      <c r="C17" s="160" t="inlineStr">
        <is>
          <t>Not counted</t>
        </is>
      </c>
      <c r="D17" s="180" t="n"/>
      <c r="E17" s="159" t="inlineStr">
        <is>
          <t>East London. Three 57 MW units. Burns kerosene not diesel so it is left out of the diesel total.</t>
        </is>
      </c>
      <c r="F17" s="180" t="n">
        <v>171</v>
      </c>
      <c r="G17" s="180" t="n">
        <v>171</v>
      </c>
      <c r="H17" s="180" t="n">
        <v>171</v>
      </c>
      <c r="I17" s="180" t="n">
        <v>171</v>
      </c>
      <c r="J17" s="180" t="n">
        <v>171</v>
      </c>
      <c r="K17" s="180" t="n">
        <v>171</v>
      </c>
      <c r="L17" s="180" t="n">
        <v>171</v>
      </c>
      <c r="M17" s="180" t="n">
        <v>171</v>
      </c>
      <c r="N17" s="180" t="n">
        <v>171</v>
      </c>
      <c r="O17" s="180" t="n">
        <v>171</v>
      </c>
      <c r="P17" s="180" t="n">
        <v>171</v>
      </c>
      <c r="Q17" s="180" t="n">
        <v>171</v>
      </c>
      <c r="R17" s="180" t="n">
        <v>171</v>
      </c>
      <c r="S17" s="180" t="n">
        <v>171</v>
      </c>
      <c r="T17" s="159" t="inlineStr"/>
      <c r="U17" s="159" t="inlineStr">
        <is>
          <t>Eskom fact sheet GX 0001 Rev 29 (July 2024); Eskom peaking power stations page. Shutdown: System operator Medium-Term System Adequacy Outlook 2026-2030 p.17</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206" t="n"/>
      <c r="E21" s="156" t="inlineStr">
        <is>
          <t>Generation divided by what all six stations would produce running all year.</t>
        </is>
      </c>
      <c r="F21" s="206">
        <f>IF(ISNUMBER(F20),F20/((F15+F16+F17)*8.76)*100,"")</f>
        <v/>
      </c>
      <c r="G21" s="206">
        <f>IF(ISNUMBER(G20),G20/((G15+G16+G17)*8.76)*100,"")</f>
        <v/>
      </c>
      <c r="H21" s="206">
        <f>IF(ISNUMBER(H20),H20/((H15+H16+H17)*8.76)*100,"")</f>
        <v/>
      </c>
      <c r="I21" s="206">
        <f>IF(ISNUMBER(I20),I20/((I15+I16+I17)*8.76)*100,"")</f>
        <v/>
      </c>
      <c r="J21" s="206">
        <f>IF(ISNUMBER(J20),J20/((J15+J16+J17)*8.76)*100,"")</f>
        <v/>
      </c>
      <c r="K21" s="206">
        <f>IF(ISNUMBER(K20),K20/((K15+K16+K17)*8.76)*100,"")</f>
        <v/>
      </c>
      <c r="L21" s="206">
        <f>IF(ISNUMBER(L20),L20/((L15+L16+L17)*8.76)*100,"")</f>
        <v/>
      </c>
      <c r="M21" s="206">
        <f>IF(ISNUMBER(M20),M20/((M15+M16+M17)*8.76)*100,"")</f>
        <v/>
      </c>
      <c r="N21" s="206">
        <f>IF(ISNUMBER(N20),N20/((N15+N16+N17)*8.76)*100,"")</f>
        <v/>
      </c>
      <c r="O21" s="206">
        <f>IF(ISNUMBER(O20),O20/((O15+O16+O17)*8.76)*100,"")</f>
        <v/>
      </c>
      <c r="P21" s="206">
        <f>IF(ISNUMBER(P20),P20/((P15+P16+P17)*8.76)*100,"")</f>
        <v/>
      </c>
      <c r="Q21" s="206">
        <f>IF(ISNUMBER(Q20),Q20/((Q15+Q16+Q17)*8.76)*100,"")</f>
        <v/>
      </c>
      <c r="R21" s="206">
        <f>IF(ISNUMBER(R20),R20/((R15+R16+R17)*8.76)*100,"")</f>
        <v/>
      </c>
      <c r="S21" s="206">
        <f>IF(ISNUMBER(S20),S20/((S15+S16+S17)*8.76)*100,"")</f>
        <v/>
      </c>
      <c r="T21" s="156" t="inlineStr"/>
      <c r="U21" s="156" t="inlineStr">
        <is>
          <t>Calculated in this workbook from the rows named in the definition</t>
        </is>
      </c>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is>
          <t>Calculated in this workbook from the rows named in the definition</t>
        </is>
      </c>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Coal stations being retired: capacity still operating</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2" t="inlineStr">
        <is>
          <t>Komati</t>
        </is>
      </c>
      <c r="B27" s="153" t="inlineStr">
        <is>
          <t>MW</t>
        </is>
      </c>
      <c r="C27" s="153" t="inlineStr">
        <is>
          <t>Source observation</t>
        </is>
      </c>
      <c r="D27" s="166" t="n"/>
      <c r="E27" s="152" t="inlineStr">
        <is>
          <t>Shut down from midday on 31 October 2022. To be converted to 150 MW of solar 70 MW of wind and 150 MW of batteries; no gas plant.</t>
        </is>
      </c>
      <c r="F27" s="166" t="n">
        <v>990</v>
      </c>
      <c r="G27" s="166" t="n">
        <v>0</v>
      </c>
      <c r="H27" s="166" t="n">
        <v>0</v>
      </c>
      <c r="I27" s="166" t="n">
        <v>0</v>
      </c>
      <c r="J27" s="166" t="n">
        <v>0</v>
      </c>
      <c r="K27" s="166" t="n">
        <v>0</v>
      </c>
      <c r="L27" s="166" t="n">
        <v>0</v>
      </c>
      <c r="M27" s="166" t="n">
        <v>0</v>
      </c>
      <c r="N27" s="166" t="n">
        <v>0</v>
      </c>
      <c r="O27" s="166" t="n">
        <v>0</v>
      </c>
      <c r="P27" s="166" t="n">
        <v>0</v>
      </c>
      <c r="Q27" s="166" t="n">
        <v>0</v>
      </c>
      <c r="R27" s="166" t="n">
        <v>0</v>
      </c>
      <c r="S27" s="166" t="n">
        <v>0</v>
      </c>
      <c r="T27" s="152" t="inlineStr">
        <is>
          <t>Capacity shown to the last full year of operation</t>
        </is>
      </c>
      <c r="U27" s="152" t="inlineStr">
        <is>
          <t>Capacity: Eskom fact sheet GX 0001 Rev 29. Shutdown: Eskom coal-fired power stations page and statement of 31 October 2022</t>
        </is>
      </c>
      <c r="V27" s="152" t="inlineStr"/>
    </row>
    <row r="28">
      <c r="A28" s="152" t="inlineStr">
        <is>
          <t>Camden</t>
        </is>
      </c>
      <c r="B28" s="153" t="inlineStr">
        <is>
          <t>MW</t>
        </is>
      </c>
      <c r="C28" s="153" t="inlineStr">
        <is>
          <t>Source observation</t>
        </is>
      </c>
      <c r="D28" s="166" t="n"/>
      <c r="E28"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28" s="166" t="n">
        <v>1561</v>
      </c>
      <c r="G28" s="166" t="n">
        <v>1561</v>
      </c>
      <c r="H28" s="166" t="n">
        <v>1561</v>
      </c>
      <c r="I28" s="166" t="n">
        <v>1561</v>
      </c>
      <c r="J28" s="166" t="n">
        <v>1561</v>
      </c>
      <c r="K28" s="166" t="n">
        <v>1561</v>
      </c>
      <c r="L28" s="166" t="n">
        <v>1561</v>
      </c>
      <c r="M28" s="166" t="n">
        <v>1561</v>
      </c>
      <c r="N28" s="166" t="n">
        <v>0</v>
      </c>
      <c r="O28" s="166" t="n">
        <v>0</v>
      </c>
      <c r="P28" s="166" t="n">
        <v>0</v>
      </c>
      <c r="Q28" s="166" t="n">
        <v>0</v>
      </c>
      <c r="R28" s="166" t="n">
        <v>0</v>
      </c>
      <c r="S28" s="166" t="n">
        <v>0</v>
      </c>
      <c r="T28" s="152" t="inlineStr">
        <is>
          <t>Capacity shown to the last full year of operation</t>
        </is>
      </c>
      <c r="U28" s="152" t="inlineStr">
        <is>
          <t>Capacity: Eskom fact sheet GX 0001 Rev 29. Dates: Eskom Integrated Report 2025 pp.32 and 44; system operator Medium-Term System Adequacy Outlook 2026-2030 pp.16-18</t>
        </is>
      </c>
      <c r="V28" s="152" t="inlineStr"/>
    </row>
    <row r="29">
      <c r="A29" s="152" t="inlineStr">
        <is>
          <t>Grootvlei</t>
        </is>
      </c>
      <c r="B29" s="153" t="inlineStr">
        <is>
          <t>MW</t>
        </is>
      </c>
      <c r="C29" s="153" t="inlineStr">
        <is>
          <t>Source observation</t>
        </is>
      </c>
      <c r="D29" s="166" t="n"/>
      <c r="E29"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29" s="166" t="n">
        <v>1180</v>
      </c>
      <c r="G29" s="166" t="n">
        <v>1180</v>
      </c>
      <c r="H29" s="166" t="n">
        <v>1180</v>
      </c>
      <c r="I29" s="166" t="n">
        <v>1180</v>
      </c>
      <c r="J29" s="166" t="n">
        <v>1180</v>
      </c>
      <c r="K29" s="166" t="n">
        <v>1180</v>
      </c>
      <c r="L29" s="166" t="n">
        <v>1180</v>
      </c>
      <c r="M29" s="166" t="n">
        <v>1180</v>
      </c>
      <c r="N29" s="166" t="n">
        <v>0</v>
      </c>
      <c r="O29" s="166" t="n">
        <v>0</v>
      </c>
      <c r="P29" s="166" t="n">
        <v>0</v>
      </c>
      <c r="Q29" s="166" t="n">
        <v>0</v>
      </c>
      <c r="R29" s="166" t="n">
        <v>0</v>
      </c>
      <c r="S29" s="166" t="n">
        <v>0</v>
      </c>
      <c r="T29" s="152" t="inlineStr">
        <is>
          <t>Capacity shown to the last full year of operation</t>
        </is>
      </c>
      <c r="U29" s="152" t="inlineStr">
        <is>
          <t>Capacity: Eskom fact sheet GX 0001 Rev 29. Dates: Eskom Integrated Report 2025 pp.32 and 44; system operator Medium-Term System Adequacy Outlook 2026-2030 pp.16-18</t>
        </is>
      </c>
      <c r="V29" s="152" t="inlineStr"/>
    </row>
    <row r="30">
      <c r="A30" s="152" t="inlineStr">
        <is>
          <t>Hendrina</t>
        </is>
      </c>
      <c r="B30" s="153" t="inlineStr">
        <is>
          <t>MW</t>
        </is>
      </c>
      <c r="C30" s="153" t="inlineStr">
        <is>
          <t>Source observation</t>
        </is>
      </c>
      <c r="D30" s="166" t="n"/>
      <c r="E30"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0" s="166" t="n">
        <v>1723</v>
      </c>
      <c r="G30" s="166" t="n">
        <v>1723</v>
      </c>
      <c r="H30" s="166" t="n">
        <v>1723</v>
      </c>
      <c r="I30" s="166" t="n">
        <v>1723</v>
      </c>
      <c r="J30" s="166" t="n">
        <v>1723</v>
      </c>
      <c r="K30" s="166" t="n">
        <v>1723</v>
      </c>
      <c r="L30" s="166" t="n">
        <v>1723</v>
      </c>
      <c r="M30" s="166" t="n">
        <v>1723</v>
      </c>
      <c r="N30" s="166" t="n">
        <v>0</v>
      </c>
      <c r="O30" s="166" t="n">
        <v>0</v>
      </c>
      <c r="P30" s="166" t="n">
        <v>0</v>
      </c>
      <c r="Q30" s="166" t="n">
        <v>0</v>
      </c>
      <c r="R30" s="166" t="n">
        <v>0</v>
      </c>
      <c r="S30" s="166" t="n">
        <v>0</v>
      </c>
      <c r="T30" s="152" t="inlineStr">
        <is>
          <t>Capacity shown to the last full year of operation</t>
        </is>
      </c>
      <c r="U30" s="152" t="inlineStr">
        <is>
          <t>Capacity: Eskom fact sheet GX 0001 Rev 29. Dates: Eskom Integrated Report 2025 pp.32 and 44; system operator Medium-Term System Adequacy Outlook 2026-2030 pp.16-18</t>
        </is>
      </c>
      <c r="V30" s="152" t="inlineStr"/>
    </row>
    <row r="31">
      <c r="A31" s="152" t="inlineStr">
        <is>
          <t>Arnot</t>
        </is>
      </c>
      <c r="B31" s="153" t="inlineStr">
        <is>
          <t>MW</t>
        </is>
      </c>
      <c r="C31" s="153" t="inlineStr">
        <is>
          <t>Source observation</t>
        </is>
      </c>
      <c r="D31" s="166" t="n"/>
      <c r="E31"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1" s="166" t="n">
        <v>2220</v>
      </c>
      <c r="G31" s="166" t="n">
        <v>2220</v>
      </c>
      <c r="H31" s="166" t="n">
        <v>2220</v>
      </c>
      <c r="I31" s="166" t="n">
        <v>2220</v>
      </c>
      <c r="J31" s="166" t="n">
        <v>2220</v>
      </c>
      <c r="K31" s="166" t="n">
        <v>2220</v>
      </c>
      <c r="L31" s="166" t="n">
        <v>2220</v>
      </c>
      <c r="M31" s="166" t="n">
        <v>2220</v>
      </c>
      <c r="N31" s="166" t="n">
        <v>0</v>
      </c>
      <c r="O31" s="166" t="n">
        <v>0</v>
      </c>
      <c r="P31" s="166" t="n">
        <v>0</v>
      </c>
      <c r="Q31" s="166" t="n">
        <v>0</v>
      </c>
      <c r="R31" s="166" t="n">
        <v>0</v>
      </c>
      <c r="S31" s="166" t="n">
        <v>0</v>
      </c>
      <c r="T31" s="152" t="inlineStr">
        <is>
          <t>Capacity shown to the last full year of operation</t>
        </is>
      </c>
      <c r="U31" s="152" t="inlineStr">
        <is>
          <t>Capacity: Eskom fact sheet GX 0001 Rev 29. Dates: Eskom Integrated Report 2025 pp.32 and 44; system operator Medium-Term System Adequacy Outlook 2026-2030 pp.16-18</t>
        </is>
      </c>
      <c r="V31" s="152" t="inlineStr"/>
    </row>
    <row r="32">
      <c r="A32" s="152" t="inlineStr">
        <is>
          <t>Kriel</t>
        </is>
      </c>
      <c r="B32" s="153" t="inlineStr">
        <is>
          <t>MW</t>
        </is>
      </c>
      <c r="C32" s="153" t="inlineStr">
        <is>
          <t>Source observation</t>
        </is>
      </c>
      <c r="D32" s="166" t="n"/>
      <c r="E32"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2" s="166" t="n">
        <v>2790</v>
      </c>
      <c r="G32" s="166" t="n">
        <v>2790</v>
      </c>
      <c r="H32" s="166" t="n">
        <v>2790</v>
      </c>
      <c r="I32" s="166" t="n">
        <v>2790</v>
      </c>
      <c r="J32" s="166" t="n">
        <v>2790</v>
      </c>
      <c r="K32" s="166" t="n">
        <v>2790</v>
      </c>
      <c r="L32" s="166" t="n">
        <v>2790</v>
      </c>
      <c r="M32" s="166" t="n">
        <v>2790</v>
      </c>
      <c r="N32" s="166" t="n">
        <v>0</v>
      </c>
      <c r="O32" s="166" t="n">
        <v>0</v>
      </c>
      <c r="P32" s="166" t="n">
        <v>0</v>
      </c>
      <c r="Q32" s="166" t="n">
        <v>0</v>
      </c>
      <c r="R32" s="166" t="n">
        <v>0</v>
      </c>
      <c r="S32" s="166" t="n">
        <v>0</v>
      </c>
      <c r="T32" s="152" t="inlineStr">
        <is>
          <t>Capacity shown to the last full year of operation</t>
        </is>
      </c>
      <c r="U32" s="152" t="inlineStr">
        <is>
          <t>Capacity: Eskom fact sheet GX 0001 Rev 29. Dates: Eskom Integrated Report 2025 pp.32 and 44; system operator Medium-Term System Adequacy Outlook 2026-2030 pp.16-18</t>
        </is>
      </c>
      <c r="V32" s="152" t="inlineStr"/>
    </row>
    <row r="33">
      <c r="A33" s="152" t="inlineStr">
        <is>
          <t>Duvha</t>
        </is>
      </c>
      <c r="B33" s="153" t="inlineStr">
        <is>
          <t>MW</t>
        </is>
      </c>
      <c r="C33" s="153" t="inlineStr">
        <is>
          <t>Source observation</t>
        </is>
      </c>
      <c r="D33" s="166" t="n"/>
      <c r="E33" s="152" t="inlineStr">
        <is>
          <t>Planned shutdown on 21 February 2034; emissions exemption granted to that date.</t>
        </is>
      </c>
      <c r="F33" s="166" t="n">
        <v>3000</v>
      </c>
      <c r="G33" s="166" t="n">
        <v>3000</v>
      </c>
      <c r="H33" s="166" t="n">
        <v>3000</v>
      </c>
      <c r="I33" s="166" t="n">
        <v>3000</v>
      </c>
      <c r="J33" s="166" t="n">
        <v>3000</v>
      </c>
      <c r="K33" s="166" t="n">
        <v>3000</v>
      </c>
      <c r="L33" s="166" t="n">
        <v>3000</v>
      </c>
      <c r="M33" s="166" t="n">
        <v>3000</v>
      </c>
      <c r="N33" s="166" t="n">
        <v>3000</v>
      </c>
      <c r="O33" s="166" t="n">
        <v>3000</v>
      </c>
      <c r="P33" s="166" t="n">
        <v>3000</v>
      </c>
      <c r="Q33" s="166" t="n">
        <v>3000</v>
      </c>
      <c r="R33" s="166" t="n">
        <v>0</v>
      </c>
      <c r="S33" s="166" t="n">
        <v>0</v>
      </c>
      <c r="T33" s="152" t="inlineStr">
        <is>
          <t>Capacity shown to the last full year of operation</t>
        </is>
      </c>
      <c r="U33" s="152" t="inlineStr">
        <is>
          <t>Capacity: Eskom fact sheet GX 0001 Rev 29. Date: system operator Medium-Term System Adequacy Outlook 2026-2030 p.18</t>
        </is>
      </c>
      <c r="V33" s="152" t="inlineStr"/>
    </row>
    <row r="34">
      <c r="A34" s="152" t="inlineStr">
        <is>
          <t>Matla</t>
        </is>
      </c>
      <c r="B34" s="153" t="inlineStr">
        <is>
          <t>MW</t>
        </is>
      </c>
      <c r="C34" s="153" t="inlineStr">
        <is>
          <t>Source observation</t>
        </is>
      </c>
      <c r="D34" s="166" t="n"/>
      <c r="E34" s="152" t="inlineStr">
        <is>
          <t>Planned shutdown on 20 July 2034; emissions exemption granted to that date.</t>
        </is>
      </c>
      <c r="F34" s="166" t="n">
        <v>3600</v>
      </c>
      <c r="G34" s="166" t="n">
        <v>3600</v>
      </c>
      <c r="H34" s="166" t="n">
        <v>3600</v>
      </c>
      <c r="I34" s="166" t="n">
        <v>3600</v>
      </c>
      <c r="J34" s="166" t="n">
        <v>3600</v>
      </c>
      <c r="K34" s="166" t="n">
        <v>3600</v>
      </c>
      <c r="L34" s="166" t="n">
        <v>3600</v>
      </c>
      <c r="M34" s="166" t="n">
        <v>3600</v>
      </c>
      <c r="N34" s="166" t="n">
        <v>3600</v>
      </c>
      <c r="O34" s="166" t="n">
        <v>3600</v>
      </c>
      <c r="P34" s="166" t="n">
        <v>3600</v>
      </c>
      <c r="Q34" s="166" t="n">
        <v>3600</v>
      </c>
      <c r="R34" s="166" t="n">
        <v>0</v>
      </c>
      <c r="S34" s="166" t="n">
        <v>0</v>
      </c>
      <c r="T34" s="152" t="inlineStr">
        <is>
          <t>Capacity shown to the last full year of operation</t>
        </is>
      </c>
      <c r="U34" s="152" t="inlineStr">
        <is>
          <t>Capacity: Eskom fact sheet GX 0001 Rev 29. Date: system operator Medium-Term System Adequacy Outlook 2026-2030 p.18</t>
        </is>
      </c>
      <c r="V34" s="152" t="inlineStr"/>
    </row>
    <row r="35">
      <c r="A35" s="156" t="inlineStr">
        <is>
          <t>Coal capacity operating, these eight stations</t>
        </is>
      </c>
      <c r="B35" s="157" t="inlineStr">
        <is>
          <t>MW</t>
        </is>
      </c>
      <c r="C35" s="157" t="inlineStr">
        <is>
          <t>Reporting formula</t>
        </is>
      </c>
      <c r="D35" s="167" t="n"/>
      <c r="E35" s="156" t="inlineStr">
        <is>
          <t>Sum of the rows above.</t>
        </is>
      </c>
      <c r="F35" s="167">
        <f>SUM(F27:F34)</f>
        <v/>
      </c>
      <c r="G35" s="167">
        <f>SUM(G27:G34)</f>
        <v/>
      </c>
      <c r="H35" s="167">
        <f>SUM(H27:H34)</f>
        <v/>
      </c>
      <c r="I35" s="167">
        <f>SUM(I27:I34)</f>
        <v/>
      </c>
      <c r="J35" s="167">
        <f>SUM(J27:J34)</f>
        <v/>
      </c>
      <c r="K35" s="167">
        <f>SUM(K27:K34)</f>
        <v/>
      </c>
      <c r="L35" s="167">
        <f>SUM(L27:L34)</f>
        <v/>
      </c>
      <c r="M35" s="167">
        <f>SUM(M27:M34)</f>
        <v/>
      </c>
      <c r="N35" s="167">
        <f>SUM(N27:N34)</f>
        <v/>
      </c>
      <c r="O35" s="167">
        <f>SUM(O27:O34)</f>
        <v/>
      </c>
      <c r="P35" s="167">
        <f>SUM(P27:P34)</f>
        <v/>
      </c>
      <c r="Q35" s="167">
        <f>SUM(Q27:Q34)</f>
        <v/>
      </c>
      <c r="R35" s="167">
        <f>SUM(R27:R34)</f>
        <v/>
      </c>
      <c r="S35" s="167">
        <f>SUM(S27:S34)</f>
        <v/>
      </c>
      <c r="T35" s="156" t="inlineStr"/>
      <c r="U35" s="156" t="inlineStr">
        <is>
          <t>Calculated in this workbook from the rows named in the definition</t>
        </is>
      </c>
      <c r="V35" s="156" t="inlineStr"/>
    </row>
    <row r="36">
      <c r="A36" s="156" t="inlineStr">
        <is>
          <t>Coal capacity retired since 2022</t>
        </is>
      </c>
      <c r="B36" s="157" t="inlineStr">
        <is>
          <t>MW</t>
        </is>
      </c>
      <c r="C36" s="157" t="inlineStr">
        <is>
          <t>Reporting formula</t>
        </is>
      </c>
      <c r="D36" s="167" t="n"/>
      <c r="E36" s="156" t="inlineStr">
        <is>
          <t>2022 total less this year's.</t>
        </is>
      </c>
      <c r="F36" s="167">
        <f>F35-F35</f>
        <v/>
      </c>
      <c r="G36" s="167">
        <f>F35-G35</f>
        <v/>
      </c>
      <c r="H36" s="167">
        <f>F35-H35</f>
        <v/>
      </c>
      <c r="I36" s="167">
        <f>F35-I35</f>
        <v/>
      </c>
      <c r="J36" s="167">
        <f>F35-J35</f>
        <v/>
      </c>
      <c r="K36" s="167">
        <f>F35-K35</f>
        <v/>
      </c>
      <c r="L36" s="167">
        <f>F35-L35</f>
        <v/>
      </c>
      <c r="M36" s="167">
        <f>F35-M35</f>
        <v/>
      </c>
      <c r="N36" s="167">
        <f>F35-N35</f>
        <v/>
      </c>
      <c r="O36" s="167">
        <f>F35-O35</f>
        <v/>
      </c>
      <c r="P36" s="167">
        <f>F35-P35</f>
        <v/>
      </c>
      <c r="Q36" s="167">
        <f>F35-Q35</f>
        <v/>
      </c>
      <c r="R36" s="167">
        <f>F35-R35</f>
        <v/>
      </c>
      <c r="S36" s="167">
        <f>F35-S35</f>
        <v/>
      </c>
      <c r="T36" s="156" t="inlineStr"/>
      <c r="U36" s="156" t="inlineStr">
        <is>
          <t>Calculated in this workbook from the rows named in the definition</t>
        </is>
      </c>
      <c r="V36" s="156" t="inlineStr"/>
    </row>
    <row r="38">
      <c r="A38" s="151" t="inlineStr">
        <is>
          <t>4. Low case: Avon and Dedisa stop when their agreements end; Ankerlig and Gourikwa move to gas; no gas plant is built at a retired coal site; the peakers run as little as in the year to March 2026.</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62" t="inlineStr">
        <is>
          <t>Avon and Dedisa available, low</t>
        </is>
      </c>
      <c r="B39" s="163" t="inlineStr">
        <is>
          <t>MW</t>
        </is>
      </c>
      <c r="C39" s="163" t="inlineStr">
        <is>
          <t>Scenario</t>
        </is>
      </c>
      <c r="D39" s="207" t="n"/>
      <c r="E39" s="162" t="inlineStr">
        <is>
          <t>Each to the last full year of its agreement (Dedisa 2029, Avon 2030), then zero.</t>
        </is>
      </c>
      <c r="F39" s="207" t="n">
        <v>1005</v>
      </c>
      <c r="G39" s="207" t="n">
        <v>1005</v>
      </c>
      <c r="H39" s="207" t="n">
        <v>1005</v>
      </c>
      <c r="I39" s="207" t="n">
        <v>1005</v>
      </c>
      <c r="J39" s="207" t="n">
        <v>1005</v>
      </c>
      <c r="K39" s="207" t="n">
        <v>1005</v>
      </c>
      <c r="L39" s="207" t="n">
        <v>1005</v>
      </c>
      <c r="M39" s="207" t="n">
        <v>1005</v>
      </c>
      <c r="N39" s="207" t="n">
        <v>0</v>
      </c>
      <c r="O39" s="207" t="n">
        <v>0</v>
      </c>
      <c r="P39" s="207" t="n">
        <v>0</v>
      </c>
      <c r="Q39" s="207" t="n">
        <v>0</v>
      </c>
      <c r="R39" s="207" t="n">
        <v>0</v>
      </c>
      <c r="S39" s="207" t="n">
        <v>0</v>
      </c>
      <c r="T39" s="162" t="inlineStr">
        <is>
          <t>What follows the agreements is not known</t>
        </is>
      </c>
      <c r="U39" s="162" t="inlineStr">
        <is>
          <t>African Energy, 9 October 2015 (15-year agreements)</t>
        </is>
      </c>
      <c r="V39" s="162" t="inlineStr">
        <is>
          <t>Nigel / Henry to confirm</t>
        </is>
      </c>
    </row>
    <row r="40">
      <c r="A40" s="162" t="inlineStr">
        <is>
          <t>Share of Ankerlig and Gourikwa output on diesel, low</t>
        </is>
      </c>
      <c r="B40" s="163" t="inlineStr">
        <is>
          <t>%</t>
        </is>
      </c>
      <c r="C40" s="163" t="inlineStr">
        <is>
          <t>Scenario</t>
        </is>
      </c>
      <c r="D40" s="205" t="n"/>
      <c r="E40" s="162" t="inlineStr">
        <is>
          <t>100% until Eskom's stated gas switch in December 2027, then the backup share.</t>
        </is>
      </c>
      <c r="F40" s="205">
        <f>100</f>
        <v/>
      </c>
      <c r="G40" s="205">
        <f>100</f>
        <v/>
      </c>
      <c r="H40" s="205">
        <f>100</f>
        <v/>
      </c>
      <c r="I40" s="205">
        <f>100</f>
        <v/>
      </c>
      <c r="J40" s="205">
        <f>100</f>
        <v/>
      </c>
      <c r="K40" s="205">
        <f>100</f>
        <v/>
      </c>
      <c r="L40" s="205">
        <f>$D$7</f>
        <v/>
      </c>
      <c r="M40" s="205">
        <f>$D$7</f>
        <v/>
      </c>
      <c r="N40" s="205">
        <f>$D$7</f>
        <v/>
      </c>
      <c r="O40" s="205">
        <f>$D$7</f>
        <v/>
      </c>
      <c r="P40" s="205">
        <f>$D$7</f>
        <v/>
      </c>
      <c r="Q40" s="205">
        <f>$D$7</f>
        <v/>
      </c>
      <c r="R40" s="205">
        <f>$D$7</f>
        <v/>
      </c>
      <c r="S40" s="205">
        <f>$D$7</f>
        <v/>
      </c>
      <c r="T40" s="162" t="inlineStr"/>
      <c r="U40" s="162" t="inlineStr">
        <is>
          <t>Eskom gas supply tender, as reported by News24, 12 June 2023</t>
        </is>
      </c>
      <c r="V40" s="162" t="inlineStr">
        <is>
          <t>Nigel / Henry to confirm</t>
        </is>
      </c>
    </row>
    <row r="41">
      <c r="A41" s="162" t="inlineStr">
        <is>
          <t>Gas turbines at the five coal sites, low</t>
        </is>
      </c>
      <c r="B41" s="163" t="inlineStr">
        <is>
          <t>MW</t>
        </is>
      </c>
      <c r="C41" s="163" t="inlineStr">
        <is>
          <t>Scenario</t>
        </is>
      </c>
      <c r="D41" s="207" t="n"/>
      <c r="E41" s="162" t="inlineStr">
        <is>
          <t>From 2030, when Camden, Grootvlei, Hendrina, Arnot and Kriel are due to stop. Which sites, and how large, is not decided; the national gas requirement is used as a stand-in.</t>
        </is>
      </c>
      <c r="F41" s="207" t="n">
        <v>0</v>
      </c>
      <c r="G41" s="207" t="n">
        <v>0</v>
      </c>
      <c r="H41" s="207" t="n">
        <v>0</v>
      </c>
      <c r="I41" s="207" t="n">
        <v>0</v>
      </c>
      <c r="J41" s="207" t="n">
        <v>0</v>
      </c>
      <c r="K41" s="207" t="n">
        <v>0</v>
      </c>
      <c r="L41" s="207" t="n">
        <v>0</v>
      </c>
      <c r="M41" s="207" t="n">
        <v>0</v>
      </c>
      <c r="N41" s="207" t="n">
        <v>0</v>
      </c>
      <c r="O41" s="207" t="n">
        <v>0</v>
      </c>
      <c r="P41" s="207" t="n">
        <v>0</v>
      </c>
      <c r="Q41" s="207" t="n">
        <v>0</v>
      </c>
      <c r="R41" s="207" t="n">
        <v>0</v>
      </c>
      <c r="S41" s="207" t="n">
        <v>0</v>
      </c>
      <c r="T41" s="162" t="inlineStr"/>
      <c r="U41" s="162" t="inlineStr">
        <is>
          <t>IRP 2025 gas requirement, as reported by TechCentral, 22 April 2026</t>
        </is>
      </c>
      <c r="V41" s="162" t="inlineStr">
        <is>
          <t>Nigel / Henry to confirm</t>
        </is>
      </c>
    </row>
    <row r="42">
      <c r="A42" s="162" t="inlineStr">
        <is>
          <t>Diesel at today's stations, low</t>
        </is>
      </c>
      <c r="B42" s="163" t="inlineStr">
        <is>
          <t>million L/year</t>
        </is>
      </c>
      <c r="C42" s="163" t="inlineStr">
        <is>
          <t>Proposed estimate</t>
        </is>
      </c>
      <c r="D42" s="165" t="n">
        <v>3.590017953416939</v>
      </c>
      <c r="E42" s="162" t="inlineStr">
        <is>
          <t>Load factor in column D (%), an observed figure for the whole peaking fleet. Avon and Dedisa wholly on diesel; Ankerlig and Gourikwa at the share above.</t>
        </is>
      </c>
      <c r="F42" s="165">
        <f>(F39+(F11+F12)*F40/100)*8.76*$D$42/100*$D$6</f>
        <v/>
      </c>
      <c r="G42" s="165">
        <f>(G39+(G11+G12)*G40/100)*8.76*$D$42/100*$D$6</f>
        <v/>
      </c>
      <c r="H42" s="165">
        <f>(H39+(H11+H12)*H40/100)*8.76*$D$42/100*$D$6</f>
        <v/>
      </c>
      <c r="I42" s="165">
        <f>(I39+(I11+I12)*I40/100)*8.76*$D$42/100*$D$6</f>
        <v/>
      </c>
      <c r="J42" s="165">
        <f>(J39+(J11+J12)*J40/100)*8.76*$D$42/100*$D$6</f>
        <v/>
      </c>
      <c r="K42" s="165">
        <f>(K39+(K11+K12)*K40/100)*8.76*$D$42/100*$D$6</f>
        <v/>
      </c>
      <c r="L42" s="165">
        <f>(L39+(L11+L12)*L40/100)*8.76*$D$42/100*$D$6</f>
        <v/>
      </c>
      <c r="M42" s="165">
        <f>(M39+(M11+M12)*M40/100)*8.76*$D$42/100*$D$6</f>
        <v/>
      </c>
      <c r="N42" s="165">
        <f>(N39+(N11+N12)*N40/100)*8.76*$D$42/100*$D$6</f>
        <v/>
      </c>
      <c r="O42" s="165">
        <f>(O39+(O11+O12)*O40/100)*8.76*$D$42/100*$D$6</f>
        <v/>
      </c>
      <c r="P42" s="165">
        <f>(P39+(P11+P12)*P40/100)*8.76*$D$42/100*$D$6</f>
        <v/>
      </c>
      <c r="Q42" s="165">
        <f>(Q39+(Q11+Q12)*Q40/100)*8.76*$D$42/100*$D$6</f>
        <v/>
      </c>
      <c r="R42" s="165">
        <f>(R39+(R11+R12)*R40/100)*8.76*$D$42/100*$D$6</f>
        <v/>
      </c>
      <c r="S42" s="165">
        <f>(S39+(S11+S12)*S40/100)*8.76*$D$42/100*$D$6</f>
        <v/>
      </c>
      <c r="T42" s="162" t="inlineStr">
        <is>
          <t>Estimate</t>
        </is>
      </c>
      <c r="U42" s="162" t="inlineStr">
        <is>
          <t>Analyst estimate, calculated in this workbook; method in the definition</t>
        </is>
      </c>
      <c r="V42" s="162" t="inlineStr">
        <is>
          <t>Nigel / Henry to confirm: the load factor in column D</t>
        </is>
      </c>
    </row>
    <row r="43">
      <c r="A43" s="162" t="inlineStr">
        <is>
          <t>Diesel at the five coal sites, low</t>
        </is>
      </c>
      <c r="B43" s="163" t="inlineStr">
        <is>
          <t>million L/year</t>
        </is>
      </c>
      <c r="C43" s="163" t="inlineStr">
        <is>
          <t>Scenario</t>
        </is>
      </c>
      <c r="D43" s="165" t="n"/>
      <c r="E43" s="162" t="inlineStr">
        <is>
          <t>Gas turbine capacity times load factor times share of output on diesel times litres per kWh. Run on gas at the gas-plant load factor, with the backup share on diesel.</t>
        </is>
      </c>
      <c r="F43" s="165">
        <f>F41*8.76*0/100*0/100*$D$6</f>
        <v/>
      </c>
      <c r="G43" s="165">
        <f>G41*8.76*0/100*0/100*$D$6</f>
        <v/>
      </c>
      <c r="H43" s="165">
        <f>H41*8.76*0/100*0/100*$D$6</f>
        <v/>
      </c>
      <c r="I43" s="165">
        <f>I41*8.76*0/100*0/100*$D$6</f>
        <v/>
      </c>
      <c r="J43" s="165">
        <f>J41*8.76*0/100*0/100*$D$6</f>
        <v/>
      </c>
      <c r="K43" s="165">
        <f>K41*8.76*0/100*0/100*$D$6</f>
        <v/>
      </c>
      <c r="L43" s="165">
        <f>L41*8.76*0/100*0/100*$D$6</f>
        <v/>
      </c>
      <c r="M43" s="165">
        <f>M41*8.76*0/100*0/100*$D$6</f>
        <v/>
      </c>
      <c r="N43" s="165">
        <f>N41*8.76*0/100*0/100*$D$6</f>
        <v/>
      </c>
      <c r="O43" s="165">
        <f>O41*8.76*0/100*0/100*$D$6</f>
        <v/>
      </c>
      <c r="P43" s="165">
        <f>P41*8.76*0/100*0/100*$D$6</f>
        <v/>
      </c>
      <c r="Q43" s="165">
        <f>Q41*8.76*0/100*0/100*$D$6</f>
        <v/>
      </c>
      <c r="R43" s="165">
        <f>R41*8.76*0/100*0/100*$D$6</f>
        <v/>
      </c>
      <c r="S43" s="165">
        <f>S41*8.76*0/100*0/100*$D$6</f>
        <v/>
      </c>
      <c r="T43" s="162" t="inlineStr">
        <is>
          <t>Scenario</t>
        </is>
      </c>
      <c r="U43" s="162" t="inlineStr">
        <is>
          <t>Analyst scenario setting; no published source</t>
        </is>
      </c>
      <c r="V43" s="162" t="inlineStr">
        <is>
          <t>Nigel / Henry to confirm</t>
        </is>
      </c>
    </row>
    <row r="44">
      <c r="A44" s="162" t="inlineStr">
        <is>
          <t>Diesel for power, low case</t>
        </is>
      </c>
      <c r="B44" s="163" t="inlineStr">
        <is>
          <t>million L/year</t>
        </is>
      </c>
      <c r="C44" s="163" t="inlineStr">
        <is>
          <t>Proposed estimate</t>
        </is>
      </c>
      <c r="D44" s="165" t="n"/>
      <c r="E44" s="162" t="inlineStr">
        <is>
          <t>The two rows above added.</t>
        </is>
      </c>
      <c r="F44" s="165">
        <f>F42+F43</f>
        <v/>
      </c>
      <c r="G44" s="165">
        <f>G42+G43</f>
        <v/>
      </c>
      <c r="H44" s="165">
        <f>H42+H43</f>
        <v/>
      </c>
      <c r="I44" s="165">
        <f>I42+I43</f>
        <v/>
      </c>
      <c r="J44" s="165">
        <f>J42+J43</f>
        <v/>
      </c>
      <c r="K44" s="165">
        <f>K42+K43</f>
        <v/>
      </c>
      <c r="L44" s="165">
        <f>L42+L43</f>
        <v/>
      </c>
      <c r="M44" s="165">
        <f>M42+M43</f>
        <v/>
      </c>
      <c r="N44" s="165">
        <f>N42+N43</f>
        <v/>
      </c>
      <c r="O44" s="165">
        <f>O42+O43</f>
        <v/>
      </c>
      <c r="P44" s="165">
        <f>P42+P43</f>
        <v/>
      </c>
      <c r="Q44" s="165">
        <f>Q42+Q43</f>
        <v/>
      </c>
      <c r="R44" s="165">
        <f>R42+R43</f>
        <v/>
      </c>
      <c r="S44" s="165">
        <f>S42+S43</f>
        <v/>
      </c>
      <c r="T44" s="162" t="inlineStr"/>
      <c r="U44" s="162" t="inlineStr">
        <is>
          <t>Analyst estimate, calculated in this workbook; method in the definition</t>
        </is>
      </c>
      <c r="V44" s="162" t="inlineStr"/>
    </row>
    <row r="46">
      <c r="A46" s="151" t="inlineStr">
        <is>
          <t>4. Medium case: Avon and Dedisa continue after their agreements; Ankerlig and Gourikwa move to gas; half the IRP 2025 gas requirement is built at the five coal sites and has gas, with diesel as backup; the peakers run as in the year to March 2025.</t>
        </is>
      </c>
      <c r="B46" s="151" t="n"/>
      <c r="C46" s="151" t="n"/>
      <c r="D46" s="151" t="n"/>
      <c r="E46" s="151" t="n"/>
      <c r="F46" s="151" t="n"/>
      <c r="G46" s="151" t="n"/>
      <c r="H46" s="151" t="n"/>
      <c r="I46" s="151" t="n"/>
      <c r="J46" s="151" t="n"/>
      <c r="K46" s="151" t="n"/>
      <c r="L46" s="151" t="n"/>
      <c r="M46" s="151" t="n"/>
      <c r="N46" s="151" t="n"/>
      <c r="O46" s="151" t="n"/>
      <c r="P46" s="151" t="n"/>
      <c r="Q46" s="151" t="n"/>
      <c r="R46" s="151" t="n"/>
      <c r="S46" s="151" t="n"/>
      <c r="T46" s="151" t="n"/>
      <c r="U46" s="151" t="n"/>
      <c r="V46" s="151" t="n"/>
    </row>
    <row r="47">
      <c r="A47" s="162" t="inlineStr">
        <is>
          <t>Avon and Dedisa available, medium</t>
        </is>
      </c>
      <c r="B47" s="163" t="inlineStr">
        <is>
          <t>MW</t>
        </is>
      </c>
      <c r="C47" s="163" t="inlineStr">
        <is>
          <t>Scenario</t>
        </is>
      </c>
      <c r="D47" s="207" t="n"/>
      <c r="E47" s="162" t="inlineStr">
        <is>
          <t>Both stations to 2035.</t>
        </is>
      </c>
      <c r="F47" s="207" t="n">
        <v>1005</v>
      </c>
      <c r="G47" s="207" t="n">
        <v>1005</v>
      </c>
      <c r="H47" s="207" t="n">
        <v>1005</v>
      </c>
      <c r="I47" s="207" t="n">
        <v>1005</v>
      </c>
      <c r="J47" s="207" t="n">
        <v>1005</v>
      </c>
      <c r="K47" s="207" t="n">
        <v>1005</v>
      </c>
      <c r="L47" s="207" t="n">
        <v>1005</v>
      </c>
      <c r="M47" s="207" t="n">
        <v>1005</v>
      </c>
      <c r="N47" s="207" t="n">
        <v>1005</v>
      </c>
      <c r="O47" s="207" t="n">
        <v>1005</v>
      </c>
      <c r="P47" s="207" t="n">
        <v>1005</v>
      </c>
      <c r="Q47" s="207" t="n">
        <v>1005</v>
      </c>
      <c r="R47" s="207" t="n">
        <v>1005</v>
      </c>
      <c r="S47" s="207" t="n">
        <v>1005</v>
      </c>
      <c r="T47" s="162" t="inlineStr">
        <is>
          <t>What follows the agreements is not known</t>
        </is>
      </c>
      <c r="U47" s="162" t="inlineStr">
        <is>
          <t>African Energy, 9 October 2015 (15-year agreements)</t>
        </is>
      </c>
      <c r="V47" s="162" t="inlineStr">
        <is>
          <t>Nigel / Henry to confirm</t>
        </is>
      </c>
    </row>
    <row r="48">
      <c r="A48" s="162" t="inlineStr">
        <is>
          <t>Share of Ankerlig and Gourikwa output on diesel, medium</t>
        </is>
      </c>
      <c r="B48" s="163" t="inlineStr">
        <is>
          <t>%</t>
        </is>
      </c>
      <c r="C48" s="163" t="inlineStr">
        <is>
          <t>Scenario</t>
        </is>
      </c>
      <c r="D48" s="205" t="n"/>
      <c r="E48" s="162" t="inlineStr">
        <is>
          <t>100% until Eskom's stated gas switch in December 2027, then the backup share.</t>
        </is>
      </c>
      <c r="F48" s="205">
        <f>100</f>
        <v/>
      </c>
      <c r="G48" s="205">
        <f>100</f>
        <v/>
      </c>
      <c r="H48" s="205">
        <f>100</f>
        <v/>
      </c>
      <c r="I48" s="205">
        <f>100</f>
        <v/>
      </c>
      <c r="J48" s="205">
        <f>100</f>
        <v/>
      </c>
      <c r="K48" s="205">
        <f>100</f>
        <v/>
      </c>
      <c r="L48" s="205">
        <f>$D$7</f>
        <v/>
      </c>
      <c r="M48" s="205">
        <f>$D$7</f>
        <v/>
      </c>
      <c r="N48" s="205">
        <f>$D$7</f>
        <v/>
      </c>
      <c r="O48" s="205">
        <f>$D$7</f>
        <v/>
      </c>
      <c r="P48" s="205">
        <f>$D$7</f>
        <v/>
      </c>
      <c r="Q48" s="205">
        <f>$D$7</f>
        <v/>
      </c>
      <c r="R48" s="205">
        <f>$D$7</f>
        <v/>
      </c>
      <c r="S48" s="205">
        <f>$D$7</f>
        <v/>
      </c>
      <c r="T48" s="162" t="inlineStr"/>
      <c r="U48" s="162" t="inlineStr">
        <is>
          <t>Eskom gas supply tender, as reported by News24, 12 June 2023</t>
        </is>
      </c>
      <c r="V48" s="162" t="inlineStr">
        <is>
          <t>Nigel / Henry to confirm</t>
        </is>
      </c>
    </row>
    <row r="49">
      <c r="A49" s="162" t="inlineStr">
        <is>
          <t>Gas turbines at the five coal sites, medium</t>
        </is>
      </c>
      <c r="B49" s="163" t="inlineStr">
        <is>
          <t>MW</t>
        </is>
      </c>
      <c r="C49" s="163" t="inlineStr">
        <is>
          <t>Scenario</t>
        </is>
      </c>
      <c r="D49" s="207" t="n"/>
      <c r="E49" s="162" t="inlineStr">
        <is>
          <t>From 2030, when Camden, Grootvlei, Hendrina, Arnot and Kriel are due to stop. Which sites, and how large, is not decided; the national gas requirement is used as a stand-in.</t>
        </is>
      </c>
      <c r="F49" s="207" t="n">
        <v>0</v>
      </c>
      <c r="G49" s="207" t="n">
        <v>0</v>
      </c>
      <c r="H49" s="207" t="n">
        <v>0</v>
      </c>
      <c r="I49" s="207" t="n">
        <v>0</v>
      </c>
      <c r="J49" s="207" t="n">
        <v>0</v>
      </c>
      <c r="K49" s="207" t="n">
        <v>0</v>
      </c>
      <c r="L49" s="207" t="n">
        <v>0</v>
      </c>
      <c r="M49" s="207" t="n">
        <v>0</v>
      </c>
      <c r="N49" s="207" t="n">
        <v>3000</v>
      </c>
      <c r="O49" s="207" t="n">
        <v>3000</v>
      </c>
      <c r="P49" s="207" t="n">
        <v>3000</v>
      </c>
      <c r="Q49" s="207" t="n">
        <v>3000</v>
      </c>
      <c r="R49" s="207" t="n">
        <v>3000</v>
      </c>
      <c r="S49" s="207" t="n">
        <v>3000</v>
      </c>
      <c r="T49" s="162" t="inlineStr"/>
      <c r="U49" s="162" t="inlineStr">
        <is>
          <t>IRP 2025 gas requirement, as reported by TechCentral, 22 April 2026</t>
        </is>
      </c>
      <c r="V49" s="162" t="inlineStr">
        <is>
          <t>Nigel / Henry to confirm</t>
        </is>
      </c>
    </row>
    <row r="50">
      <c r="A50" s="162" t="inlineStr">
        <is>
          <t>Diesel at today's stations, medium</t>
        </is>
      </c>
      <c r="B50" s="163" t="inlineStr">
        <is>
          <t>million L/year</t>
        </is>
      </c>
      <c r="C50" s="163" t="inlineStr">
        <is>
          <t>Proposed estimate</t>
        </is>
      </c>
      <c r="D50" s="165" t="n">
        <v>9.44251246691128</v>
      </c>
      <c r="E50" s="162" t="inlineStr">
        <is>
          <t>Load factor in column D (%), an observed figure for the whole peaking fleet. Avon and Dedisa wholly on diesel; Ankerlig and Gourikwa at the share above.</t>
        </is>
      </c>
      <c r="F50" s="165">
        <f>(F47+(F11+F12)*F48/100)*8.76*$D$50/100*$D$6</f>
        <v/>
      </c>
      <c r="G50" s="165">
        <f>(G47+(G11+G12)*G48/100)*8.76*$D$50/100*$D$6</f>
        <v/>
      </c>
      <c r="H50" s="165">
        <f>(H47+(H11+H12)*H48/100)*8.76*$D$50/100*$D$6</f>
        <v/>
      </c>
      <c r="I50" s="165">
        <f>(I47+(I11+I12)*I48/100)*8.76*$D$50/100*$D$6</f>
        <v/>
      </c>
      <c r="J50" s="165">
        <f>(J47+(J11+J12)*J48/100)*8.76*$D$50/100*$D$6</f>
        <v/>
      </c>
      <c r="K50" s="165">
        <f>(K47+(K11+K12)*K48/100)*8.76*$D$50/100*$D$6</f>
        <v/>
      </c>
      <c r="L50" s="165">
        <f>(L47+(L11+L12)*L48/100)*8.76*$D$50/100*$D$6</f>
        <v/>
      </c>
      <c r="M50" s="165">
        <f>(M47+(M11+M12)*M48/100)*8.76*$D$50/100*$D$6</f>
        <v/>
      </c>
      <c r="N50" s="165">
        <f>(N47+(N11+N12)*N48/100)*8.76*$D$50/100*$D$6</f>
        <v/>
      </c>
      <c r="O50" s="165">
        <f>(O47+(O11+O12)*O48/100)*8.76*$D$50/100*$D$6</f>
        <v/>
      </c>
      <c r="P50" s="165">
        <f>(P47+(P11+P12)*P48/100)*8.76*$D$50/100*$D$6</f>
        <v/>
      </c>
      <c r="Q50" s="165">
        <f>(Q47+(Q11+Q12)*Q48/100)*8.76*$D$50/100*$D$6</f>
        <v/>
      </c>
      <c r="R50" s="165">
        <f>(R47+(R11+R12)*R48/100)*8.76*$D$50/100*$D$6</f>
        <v/>
      </c>
      <c r="S50" s="165">
        <f>(S47+(S11+S12)*S48/100)*8.76*$D$50/100*$D$6</f>
        <v/>
      </c>
      <c r="T50" s="162" t="inlineStr">
        <is>
          <t>Estimate</t>
        </is>
      </c>
      <c r="U50" s="162" t="inlineStr">
        <is>
          <t>Analyst estimate, calculated in this workbook; method in the definition</t>
        </is>
      </c>
      <c r="V50" s="162" t="inlineStr">
        <is>
          <t>Nigel / Henry to confirm: the load factor in column D</t>
        </is>
      </c>
    </row>
    <row r="51">
      <c r="A51" s="162" t="inlineStr">
        <is>
          <t>Diesel at the five coal sites, medium</t>
        </is>
      </c>
      <c r="B51" s="163" t="inlineStr">
        <is>
          <t>million L/year</t>
        </is>
      </c>
      <c r="C51" s="163" t="inlineStr">
        <is>
          <t>Scenario</t>
        </is>
      </c>
      <c r="D51" s="165" t="n"/>
      <c r="E51" s="162" t="inlineStr">
        <is>
          <t>Gas turbine capacity times load factor times share of output on diesel times litres per kWh. Run on gas at the gas-plant load factor, with the backup share on diesel.</t>
        </is>
      </c>
      <c r="F51" s="165">
        <f>F49*8.76*$D$8/100*$D$7/100*$D$6</f>
        <v/>
      </c>
      <c r="G51" s="165">
        <f>G49*8.76*$D$8/100*$D$7/100*$D$6</f>
        <v/>
      </c>
      <c r="H51" s="165">
        <f>H49*8.76*$D$8/100*$D$7/100*$D$6</f>
        <v/>
      </c>
      <c r="I51" s="165">
        <f>I49*8.76*$D$8/100*$D$7/100*$D$6</f>
        <v/>
      </c>
      <c r="J51" s="165">
        <f>J49*8.76*$D$8/100*$D$7/100*$D$6</f>
        <v/>
      </c>
      <c r="K51" s="165">
        <f>K49*8.76*$D$8/100*$D$7/100*$D$6</f>
        <v/>
      </c>
      <c r="L51" s="165">
        <f>L49*8.76*$D$8/100*$D$7/100*$D$6</f>
        <v/>
      </c>
      <c r="M51" s="165">
        <f>M49*8.76*$D$8/100*$D$7/100*$D$6</f>
        <v/>
      </c>
      <c r="N51" s="165">
        <f>N49*8.76*$D$8/100*$D$7/100*$D$6</f>
        <v/>
      </c>
      <c r="O51" s="165">
        <f>O49*8.76*$D$8/100*$D$7/100*$D$6</f>
        <v/>
      </c>
      <c r="P51" s="165">
        <f>P49*8.76*$D$8/100*$D$7/100*$D$6</f>
        <v/>
      </c>
      <c r="Q51" s="165">
        <f>Q49*8.76*$D$8/100*$D$7/100*$D$6</f>
        <v/>
      </c>
      <c r="R51" s="165">
        <f>R49*8.76*$D$8/100*$D$7/100*$D$6</f>
        <v/>
      </c>
      <c r="S51" s="165">
        <f>S49*8.76*$D$8/100*$D$7/100*$D$6</f>
        <v/>
      </c>
      <c r="T51" s="162" t="inlineStr">
        <is>
          <t>Scenario</t>
        </is>
      </c>
      <c r="U51" s="162" t="inlineStr">
        <is>
          <t>Analyst scenario setting; no published source</t>
        </is>
      </c>
      <c r="V51" s="162" t="inlineStr">
        <is>
          <t>Nigel / Henry to confirm</t>
        </is>
      </c>
    </row>
    <row r="52">
      <c r="A52" s="162" t="inlineStr">
        <is>
          <t>Diesel for power, medium case</t>
        </is>
      </c>
      <c r="B52" s="163" t="inlineStr">
        <is>
          <t>million L/year</t>
        </is>
      </c>
      <c r="C52" s="163" t="inlineStr">
        <is>
          <t>Proposed estimate</t>
        </is>
      </c>
      <c r="D52" s="165" t="n"/>
      <c r="E52" s="162" t="inlineStr">
        <is>
          <t>The two rows above added.</t>
        </is>
      </c>
      <c r="F52" s="165">
        <f>F50+F51</f>
        <v/>
      </c>
      <c r="G52" s="165">
        <f>G50+G51</f>
        <v/>
      </c>
      <c r="H52" s="165">
        <f>H50+H51</f>
        <v/>
      </c>
      <c r="I52" s="165">
        <f>I50+I51</f>
        <v/>
      </c>
      <c r="J52" s="165">
        <f>J50+J51</f>
        <v/>
      </c>
      <c r="K52" s="165">
        <f>K50+K51</f>
        <v/>
      </c>
      <c r="L52" s="165">
        <f>L50+L51</f>
        <v/>
      </c>
      <c r="M52" s="165">
        <f>M50+M51</f>
        <v/>
      </c>
      <c r="N52" s="165">
        <f>N50+N51</f>
        <v/>
      </c>
      <c r="O52" s="165">
        <f>O50+O51</f>
        <v/>
      </c>
      <c r="P52" s="165">
        <f>P50+P51</f>
        <v/>
      </c>
      <c r="Q52" s="165">
        <f>Q50+Q51</f>
        <v/>
      </c>
      <c r="R52" s="165">
        <f>R50+R51</f>
        <v/>
      </c>
      <c r="S52" s="165">
        <f>S50+S51</f>
        <v/>
      </c>
      <c r="T52" s="162" t="inlineStr"/>
      <c r="U52" s="162" t="inlineStr">
        <is>
          <t>Analyst estimate, calculated in this workbook; method in the definition</t>
        </is>
      </c>
      <c r="V52" s="162" t="inlineStr"/>
    </row>
    <row r="54">
      <c r="A54" s="151" t="inlineStr">
        <is>
          <t>4. High case: 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Avon and Dedisa available, high</t>
        </is>
      </c>
      <c r="B55" s="163" t="inlineStr">
        <is>
          <t>MW</t>
        </is>
      </c>
      <c r="C55" s="163" t="inlineStr">
        <is>
          <t>Scenario</t>
        </is>
      </c>
      <c r="D55" s="207" t="n"/>
      <c r="E55" s="162" t="inlineStr">
        <is>
          <t>Both stations to 2035.</t>
        </is>
      </c>
      <c r="F55" s="207" t="n">
        <v>1005</v>
      </c>
      <c r="G55" s="207" t="n">
        <v>1005</v>
      </c>
      <c r="H55" s="207" t="n">
        <v>1005</v>
      </c>
      <c r="I55" s="207" t="n">
        <v>1005</v>
      </c>
      <c r="J55" s="207" t="n">
        <v>1005</v>
      </c>
      <c r="K55" s="207" t="n">
        <v>1005</v>
      </c>
      <c r="L55" s="207" t="n">
        <v>1005</v>
      </c>
      <c r="M55" s="207" t="n">
        <v>1005</v>
      </c>
      <c r="N55" s="207" t="n">
        <v>1005</v>
      </c>
      <c r="O55" s="207" t="n">
        <v>1005</v>
      </c>
      <c r="P55" s="207" t="n">
        <v>1005</v>
      </c>
      <c r="Q55" s="207" t="n">
        <v>1005</v>
      </c>
      <c r="R55" s="207" t="n">
        <v>1005</v>
      </c>
      <c r="S55" s="207" t="n">
        <v>1005</v>
      </c>
      <c r="T55" s="162" t="inlineStr">
        <is>
          <t>What follows the agreements is not known</t>
        </is>
      </c>
      <c r="U55" s="162" t="inlineStr">
        <is>
          <t>African Energy, 9 October 2015 (15-year agreements)</t>
        </is>
      </c>
      <c r="V55" s="162" t="inlineStr">
        <is>
          <t>Nigel / Henry to confirm</t>
        </is>
      </c>
    </row>
    <row r="56">
      <c r="A56" s="162" t="inlineStr">
        <is>
          <t>Share of Ankerlig and Gourikwa output on diesel, high</t>
        </is>
      </c>
      <c r="B56" s="163" t="inlineStr">
        <is>
          <t>%</t>
        </is>
      </c>
      <c r="C56" s="163" t="inlineStr">
        <is>
          <t>Scenario</t>
        </is>
      </c>
      <c r="D56" s="205" t="n"/>
      <c r="E56" s="162" t="inlineStr">
        <is>
          <t>100% throughout: the gas supply does not arrive.</t>
        </is>
      </c>
      <c r="F56" s="205">
        <f>100</f>
        <v/>
      </c>
      <c r="G56" s="205">
        <f>100</f>
        <v/>
      </c>
      <c r="H56" s="205">
        <f>100</f>
        <v/>
      </c>
      <c r="I56" s="205">
        <f>100</f>
        <v/>
      </c>
      <c r="J56" s="205">
        <f>100</f>
        <v/>
      </c>
      <c r="K56" s="205">
        <f>100</f>
        <v/>
      </c>
      <c r="L56" s="205">
        <f>100</f>
        <v/>
      </c>
      <c r="M56" s="205">
        <f>100</f>
        <v/>
      </c>
      <c r="N56" s="205">
        <f>100</f>
        <v/>
      </c>
      <c r="O56" s="205">
        <f>100</f>
        <v/>
      </c>
      <c r="P56" s="205">
        <f>100</f>
        <v/>
      </c>
      <c r="Q56" s="205">
        <f>100</f>
        <v/>
      </c>
      <c r="R56" s="205">
        <f>100</f>
        <v/>
      </c>
      <c r="S56" s="205">
        <f>100</f>
        <v/>
      </c>
      <c r="T56" s="162" t="inlineStr"/>
      <c r="U56" s="162" t="inlineStr">
        <is>
          <t>Eskom gas supply tender, as reported by News24, 12 June 2023</t>
        </is>
      </c>
      <c r="V56" s="162" t="inlineStr">
        <is>
          <t>Nigel / Henry to confirm</t>
        </is>
      </c>
    </row>
    <row r="57">
      <c r="A57" s="162" t="inlineStr">
        <is>
          <t>Gas turbines at the five coal sites, high</t>
        </is>
      </c>
      <c r="B57" s="163" t="inlineStr">
        <is>
          <t>MW</t>
        </is>
      </c>
      <c r="C57" s="163" t="inlineStr">
        <is>
          <t>Scenario</t>
        </is>
      </c>
      <c r="D57" s="207" t="n"/>
      <c r="E57" s="162" t="inlineStr">
        <is>
          <t>From 2030, when Camden, Grootvlei, Hendrina, Arnot and Kriel are due to stop. Which sites, and how large, is not decided; the national gas requirement is used as a stand-in.</t>
        </is>
      </c>
      <c r="F57" s="207" t="n">
        <v>0</v>
      </c>
      <c r="G57" s="207" t="n">
        <v>0</v>
      </c>
      <c r="H57" s="207" t="n">
        <v>0</v>
      </c>
      <c r="I57" s="207" t="n">
        <v>0</v>
      </c>
      <c r="J57" s="207" t="n">
        <v>0</v>
      </c>
      <c r="K57" s="207" t="n">
        <v>0</v>
      </c>
      <c r="L57" s="207" t="n">
        <v>0</v>
      </c>
      <c r="M57" s="207" t="n">
        <v>0</v>
      </c>
      <c r="N57" s="207" t="n">
        <v>6000</v>
      </c>
      <c r="O57" s="207" t="n">
        <v>6000</v>
      </c>
      <c r="P57" s="207" t="n">
        <v>6000</v>
      </c>
      <c r="Q57" s="207" t="n">
        <v>6000</v>
      </c>
      <c r="R57" s="207" t="n">
        <v>6000</v>
      </c>
      <c r="S57" s="207" t="n">
        <v>6000</v>
      </c>
      <c r="T57" s="162" t="inlineStr"/>
      <c r="U57" s="162" t="inlineStr">
        <is>
          <t>IRP 2025 gas requirement, as reported by TechCentral, 22 April 2026</t>
        </is>
      </c>
      <c r="V57" s="162" t="inlineStr">
        <is>
          <t>Nigel / Henry to confirm</t>
        </is>
      </c>
    </row>
    <row r="58">
      <c r="A58" s="162" t="inlineStr">
        <is>
          <t>Diesel at today's stations, high</t>
        </is>
      </c>
      <c r="B58" s="163" t="inlineStr">
        <is>
          <t>million L/year</t>
        </is>
      </c>
      <c r="C58" s="163" t="inlineStr">
        <is>
          <t>Proposed estimate</t>
        </is>
      </c>
      <c r="D58" s="165" t="n">
        <v>17.1116425712913</v>
      </c>
      <c r="E58" s="162" t="inlineStr">
        <is>
          <t>Load factor in column D (%), an observed figure for the whole peaking fleet. Avon and Dedisa wholly on diesel; Ankerlig and Gourikwa at the share above.</t>
        </is>
      </c>
      <c r="F58" s="165">
        <f>(F55+(F11+F12)*F56/100)*8.76*$D$58/100*$D$6</f>
        <v/>
      </c>
      <c r="G58" s="165">
        <f>(G55+(G11+G12)*G56/100)*8.76*$D$58/100*$D$6</f>
        <v/>
      </c>
      <c r="H58" s="165">
        <f>(H55+(H11+H12)*H56/100)*8.76*$D$58/100*$D$6</f>
        <v/>
      </c>
      <c r="I58" s="165">
        <f>(I55+(I11+I12)*I56/100)*8.76*$D$58/100*$D$6</f>
        <v/>
      </c>
      <c r="J58" s="165">
        <f>(J55+(J11+J12)*J56/100)*8.76*$D$58/100*$D$6</f>
        <v/>
      </c>
      <c r="K58" s="165">
        <f>(K55+(K11+K12)*K56/100)*8.76*$D$58/100*$D$6</f>
        <v/>
      </c>
      <c r="L58" s="165">
        <f>(L55+(L11+L12)*L56/100)*8.76*$D$58/100*$D$6</f>
        <v/>
      </c>
      <c r="M58" s="165">
        <f>(M55+(M11+M12)*M56/100)*8.76*$D$58/100*$D$6</f>
        <v/>
      </c>
      <c r="N58" s="165">
        <f>(N55+(N11+N12)*N56/100)*8.76*$D$58/100*$D$6</f>
        <v/>
      </c>
      <c r="O58" s="165">
        <f>(O55+(O11+O12)*O56/100)*8.76*$D$58/100*$D$6</f>
        <v/>
      </c>
      <c r="P58" s="165">
        <f>(P55+(P11+P12)*P56/100)*8.76*$D$58/100*$D$6</f>
        <v/>
      </c>
      <c r="Q58" s="165">
        <f>(Q55+(Q11+Q12)*Q56/100)*8.76*$D$58/100*$D$6</f>
        <v/>
      </c>
      <c r="R58" s="165">
        <f>(R55+(R11+R12)*R56/100)*8.76*$D$58/100*$D$6</f>
        <v/>
      </c>
      <c r="S58" s="165">
        <f>(S55+(S11+S12)*S56/100)*8.76*$D$58/100*$D$6</f>
        <v/>
      </c>
      <c r="T58" s="162" t="inlineStr">
        <is>
          <t>Estimate</t>
        </is>
      </c>
      <c r="U58" s="162" t="inlineStr">
        <is>
          <t>Analyst estimate, calculated in this workbook; method in the definition</t>
        </is>
      </c>
      <c r="V58" s="162" t="inlineStr">
        <is>
          <t>Nigel / Henry to confirm: the load factor in column D</t>
        </is>
      </c>
    </row>
    <row r="59">
      <c r="A59" s="162" t="inlineStr">
        <is>
          <t>Diesel at the five coal sites, high</t>
        </is>
      </c>
      <c r="B59" s="163" t="inlineStr">
        <is>
          <t>million L/year</t>
        </is>
      </c>
      <c r="C59" s="163" t="inlineStr">
        <is>
          <t>Scenario</t>
        </is>
      </c>
      <c r="D59" s="165" t="n"/>
      <c r="E59" s="162" t="inlineStr">
        <is>
          <t>Gas turbine capacity times load factor times share of output on diesel times litres per kWh. Run as diesel peakers at the load factor above.</t>
        </is>
      </c>
      <c r="F59" s="165">
        <f>F57*8.76*$D$58/100*100/100*$D$6</f>
        <v/>
      </c>
      <c r="G59" s="165">
        <f>G57*8.76*$D$58/100*100/100*$D$6</f>
        <v/>
      </c>
      <c r="H59" s="165">
        <f>H57*8.76*$D$58/100*100/100*$D$6</f>
        <v/>
      </c>
      <c r="I59" s="165">
        <f>I57*8.76*$D$58/100*100/100*$D$6</f>
        <v/>
      </c>
      <c r="J59" s="165">
        <f>J57*8.76*$D$58/100*100/100*$D$6</f>
        <v/>
      </c>
      <c r="K59" s="165">
        <f>K57*8.76*$D$58/100*100/100*$D$6</f>
        <v/>
      </c>
      <c r="L59" s="165">
        <f>L57*8.76*$D$58/100*100/100*$D$6</f>
        <v/>
      </c>
      <c r="M59" s="165">
        <f>M57*8.76*$D$58/100*100/100*$D$6</f>
        <v/>
      </c>
      <c r="N59" s="165">
        <f>N57*8.76*$D$58/100*100/100*$D$6</f>
        <v/>
      </c>
      <c r="O59" s="165">
        <f>O57*8.76*$D$58/100*100/100*$D$6</f>
        <v/>
      </c>
      <c r="P59" s="165">
        <f>P57*8.76*$D$58/100*100/100*$D$6</f>
        <v/>
      </c>
      <c r="Q59" s="165">
        <f>Q57*8.76*$D$58/100*100/100*$D$6</f>
        <v/>
      </c>
      <c r="R59" s="165">
        <f>R57*8.76*$D$58/100*100/100*$D$6</f>
        <v/>
      </c>
      <c r="S59" s="165">
        <f>S57*8.76*$D$58/100*100/100*$D$6</f>
        <v/>
      </c>
      <c r="T59" s="162" t="inlineStr">
        <is>
          <t>Scenario</t>
        </is>
      </c>
      <c r="U59" s="162" t="inlineStr">
        <is>
          <t>Analyst scenario setting; no published source</t>
        </is>
      </c>
      <c r="V59" s="162" t="inlineStr">
        <is>
          <t>Nigel / Henry to confirm</t>
        </is>
      </c>
    </row>
    <row r="60">
      <c r="A60" s="162" t="inlineStr">
        <is>
          <t>Diesel for power, high case</t>
        </is>
      </c>
      <c r="B60" s="163" t="inlineStr">
        <is>
          <t>million L/year</t>
        </is>
      </c>
      <c r="C60" s="163" t="inlineStr">
        <is>
          <t>Proposed estimate</t>
        </is>
      </c>
      <c r="D60" s="165" t="n"/>
      <c r="E60" s="162" t="inlineStr">
        <is>
          <t>The two rows above added.</t>
        </is>
      </c>
      <c r="F60" s="165">
        <f>F58+F59</f>
        <v/>
      </c>
      <c r="G60" s="165">
        <f>G58+G59</f>
        <v/>
      </c>
      <c r="H60" s="165">
        <f>H58+H59</f>
        <v/>
      </c>
      <c r="I60" s="165">
        <f>I58+I59</f>
        <v/>
      </c>
      <c r="J60" s="165">
        <f>J58+J59</f>
        <v/>
      </c>
      <c r="K60" s="165">
        <f>K58+K59</f>
        <v/>
      </c>
      <c r="L60" s="165">
        <f>L58+L59</f>
        <v/>
      </c>
      <c r="M60" s="165">
        <f>M58+M59</f>
        <v/>
      </c>
      <c r="N60" s="165">
        <f>N58+N59</f>
        <v/>
      </c>
      <c r="O60" s="165">
        <f>O58+O59</f>
        <v/>
      </c>
      <c r="P60" s="165">
        <f>P58+P59</f>
        <v/>
      </c>
      <c r="Q60" s="165">
        <f>Q58+Q59</f>
        <v/>
      </c>
      <c r="R60" s="165">
        <f>R58+R59</f>
        <v/>
      </c>
      <c r="S60" s="165">
        <f>S58+S59</f>
        <v/>
      </c>
      <c r="T60" s="162" t="inlineStr"/>
      <c r="U60" s="162" t="inlineStr">
        <is>
          <t>Analyst estimate, calculated in this workbook; method in the definition</t>
        </is>
      </c>
      <c r="V60" s="162" t="inlineStr"/>
    </row>
    <row r="62">
      <c r="A62" s="151" t="inlineStr">
        <is>
          <t>5. Summary and ceiling</t>
        </is>
      </c>
      <c r="B62" s="151" t="n"/>
      <c r="C62" s="151" t="n"/>
      <c r="D62" s="151" t="n"/>
      <c r="E62" s="151" t="n"/>
      <c r="F62" s="151" t="n"/>
      <c r="G62" s="151" t="n"/>
      <c r="H62" s="151" t="n"/>
      <c r="I62" s="151" t="n"/>
      <c r="J62" s="151" t="n"/>
      <c r="K62" s="151" t="n"/>
      <c r="L62" s="151" t="n"/>
      <c r="M62" s="151" t="n"/>
      <c r="N62" s="151" t="n"/>
      <c r="O62" s="151" t="n"/>
      <c r="P62" s="151" t="n"/>
      <c r="Q62" s="151" t="n"/>
      <c r="R62" s="151" t="n"/>
      <c r="S62" s="151" t="n"/>
      <c r="T62" s="151" t="n"/>
      <c r="U62" s="151" t="n"/>
      <c r="V62" s="151" t="n"/>
    </row>
    <row r="63">
      <c r="A63" s="162" t="inlineStr">
        <is>
          <t>Low case</t>
        </is>
      </c>
      <c r="B63" s="163" t="inlineStr">
        <is>
          <t>million L/year</t>
        </is>
      </c>
      <c r="C63" s="163" t="inlineStr">
        <is>
          <t>Proposed estimate</t>
        </is>
      </c>
      <c r="D63" s="165" t="n"/>
      <c r="E63" s="162" t="inlineStr">
        <is>
          <t>Avon and Dedisa stop when their agreements end; Ankerlig and Gourikwa move to gas; no gas plant is built at a retired coal site; the peakers run as little as in the year to March 2026.</t>
        </is>
      </c>
      <c r="F63" s="165">
        <f>F44</f>
        <v/>
      </c>
      <c r="G63" s="165">
        <f>G44</f>
        <v/>
      </c>
      <c r="H63" s="165">
        <f>H44</f>
        <v/>
      </c>
      <c r="I63" s="165">
        <f>I44</f>
        <v/>
      </c>
      <c r="J63" s="165">
        <f>J44</f>
        <v/>
      </c>
      <c r="K63" s="165">
        <f>K44</f>
        <v/>
      </c>
      <c r="L63" s="165">
        <f>L44</f>
        <v/>
      </c>
      <c r="M63" s="165">
        <f>M44</f>
        <v/>
      </c>
      <c r="N63" s="165">
        <f>N44</f>
        <v/>
      </c>
      <c r="O63" s="165">
        <f>O44</f>
        <v/>
      </c>
      <c r="P63" s="165">
        <f>P44</f>
        <v/>
      </c>
      <c r="Q63" s="165">
        <f>Q44</f>
        <v/>
      </c>
      <c r="R63" s="165">
        <f>R44</f>
        <v/>
      </c>
      <c r="S63" s="165">
        <f>S44</f>
        <v/>
      </c>
      <c r="T63" s="162" t="inlineStr">
        <is>
          <t>Proposed; not agreed</t>
        </is>
      </c>
      <c r="U63" s="162" t="inlineStr">
        <is>
          <t>Analyst estimate, calculated in this workbook; method in the definition</t>
        </is>
      </c>
      <c r="V63" s="162" t="inlineStr">
        <is>
          <t>Nigel / Henry to confirm</t>
        </is>
      </c>
    </row>
    <row r="64">
      <c r="A64" s="162" t="inlineStr">
        <is>
          <t>Medium case</t>
        </is>
      </c>
      <c r="B64" s="163" t="inlineStr">
        <is>
          <t>million L/year</t>
        </is>
      </c>
      <c r="C64" s="163" t="inlineStr">
        <is>
          <t>Proposed estimate</t>
        </is>
      </c>
      <c r="D64" s="165" t="n"/>
      <c r="E64" s="162" t="inlineStr">
        <is>
          <t>Avon and Dedisa continue after their agreements; Ankerlig and Gourikwa move to gas; half the IRP 2025 gas requirement is built at the five coal sites and has gas, with diesel as backup; the peakers run as in the year to March 2025.</t>
        </is>
      </c>
      <c r="F64" s="165">
        <f>F52</f>
        <v/>
      </c>
      <c r="G64" s="165">
        <f>G52</f>
        <v/>
      </c>
      <c r="H64" s="165">
        <f>H52</f>
        <v/>
      </c>
      <c r="I64" s="165">
        <f>I52</f>
        <v/>
      </c>
      <c r="J64" s="165">
        <f>J52</f>
        <v/>
      </c>
      <c r="K64" s="165">
        <f>K52</f>
        <v/>
      </c>
      <c r="L64" s="165">
        <f>L52</f>
        <v/>
      </c>
      <c r="M64" s="165">
        <f>M52</f>
        <v/>
      </c>
      <c r="N64" s="165">
        <f>N52</f>
        <v/>
      </c>
      <c r="O64" s="165">
        <f>O52</f>
        <v/>
      </c>
      <c r="P64" s="165">
        <f>P52</f>
        <v/>
      </c>
      <c r="Q64" s="165">
        <f>Q52</f>
        <v/>
      </c>
      <c r="R64" s="165">
        <f>R52</f>
        <v/>
      </c>
      <c r="S64" s="165">
        <f>S52</f>
        <v/>
      </c>
      <c r="T64" s="162" t="inlineStr">
        <is>
          <t>Proposed; not agreed</t>
        </is>
      </c>
      <c r="U64" s="162" t="inlineStr">
        <is>
          <t>Analyst estimate, calculated in this workbook; method in the definition</t>
        </is>
      </c>
      <c r="V64" s="162" t="inlineStr">
        <is>
          <t>Nigel / Henry to confirm</t>
        </is>
      </c>
    </row>
    <row r="65">
      <c r="A65" s="162" t="inlineStr">
        <is>
          <t>High case</t>
        </is>
      </c>
      <c r="B65" s="163" t="inlineStr">
        <is>
          <t>million L/year</t>
        </is>
      </c>
      <c r="C65" s="163" t="inlineStr">
        <is>
          <t>Proposed estimate</t>
        </is>
      </c>
      <c r="D65" s="165" t="n"/>
      <c r="E65" s="162" t="inlineStr">
        <is>
          <t>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F65" s="165">
        <f>F60</f>
        <v/>
      </c>
      <c r="G65" s="165">
        <f>G60</f>
        <v/>
      </c>
      <c r="H65" s="165">
        <f>H60</f>
        <v/>
      </c>
      <c r="I65" s="165">
        <f>I60</f>
        <v/>
      </c>
      <c r="J65" s="165">
        <f>J60</f>
        <v/>
      </c>
      <c r="K65" s="165">
        <f>K60</f>
        <v/>
      </c>
      <c r="L65" s="165">
        <f>L60</f>
        <v/>
      </c>
      <c r="M65" s="165">
        <f>M60</f>
        <v/>
      </c>
      <c r="N65" s="165">
        <f>N60</f>
        <v/>
      </c>
      <c r="O65" s="165">
        <f>O60</f>
        <v/>
      </c>
      <c r="P65" s="165">
        <f>P60</f>
        <v/>
      </c>
      <c r="Q65" s="165">
        <f>Q60</f>
        <v/>
      </c>
      <c r="R65" s="165">
        <f>R60</f>
        <v/>
      </c>
      <c r="S65" s="165">
        <f>S60</f>
        <v/>
      </c>
      <c r="T65" s="162" t="inlineStr">
        <is>
          <t>Proposed; not agreed</t>
        </is>
      </c>
      <c r="U65" s="162" t="inlineStr">
        <is>
          <t>Analyst estimate, calculated in this workbook; method in the definition</t>
        </is>
      </c>
      <c r="V65" s="162" t="inlineStr">
        <is>
          <t>Nigel / Henry to confirm</t>
        </is>
      </c>
    </row>
    <row r="66">
      <c r="A66" s="156" t="inlineStr">
        <is>
          <t>Ceiling: four stations and 6 GW of gas turbines on diesel all year</t>
        </is>
      </c>
      <c r="B66" s="157" t="inlineStr">
        <is>
          <t>million L/year</t>
        </is>
      </c>
      <c r="C66" s="157" t="inlineStr">
        <is>
          <t>Reporting formula</t>
        </is>
      </c>
      <c r="D66" s="158" t="n"/>
      <c r="E66" s="156" t="inlineStr">
        <is>
          <t>Capacity times 8,760 hours times litres per kWh. How much the fleet could consume; a physical limit, not a forecast.</t>
        </is>
      </c>
      <c r="F66" s="158">
        <f>(F15+0)*8.76*$D$6</f>
        <v/>
      </c>
      <c r="G66" s="158">
        <f>(G15+0)*8.76*$D$6</f>
        <v/>
      </c>
      <c r="H66" s="158">
        <f>(H15+0)*8.76*$D$6</f>
        <v/>
      </c>
      <c r="I66" s="158">
        <f>(I15+0)*8.76*$D$6</f>
        <v/>
      </c>
      <c r="J66" s="158">
        <f>(J15+0)*8.76*$D$6</f>
        <v/>
      </c>
      <c r="K66" s="158">
        <f>(K15+0)*8.76*$D$6</f>
        <v/>
      </c>
      <c r="L66" s="158">
        <f>(L15+0)*8.76*$D$6</f>
        <v/>
      </c>
      <c r="M66" s="158">
        <f>(M15+0)*8.76*$D$6</f>
        <v/>
      </c>
      <c r="N66" s="158">
        <f>(N15+6000)*8.76*$D$6</f>
        <v/>
      </c>
      <c r="O66" s="158">
        <f>(O15+6000)*8.76*$D$6</f>
        <v/>
      </c>
      <c r="P66" s="158">
        <f>(P15+6000)*8.76*$D$6</f>
        <v/>
      </c>
      <c r="Q66" s="158">
        <f>(Q15+6000)*8.76*$D$6</f>
        <v/>
      </c>
      <c r="R66" s="158">
        <f>(R15+6000)*8.76*$D$6</f>
        <v/>
      </c>
      <c r="S66" s="158">
        <f>(S15+6000)*8.76*$D$6</f>
        <v/>
      </c>
      <c r="T66" s="156" t="inlineStr"/>
      <c r="U66" s="156" t="inlineStr">
        <is>
          <t>Calculated in this workbook from the rows named in the definition</t>
        </is>
      </c>
      <c r="V66" s="156" t="inlineStr"/>
    </row>
    <row r="67">
      <c r="A67" s="156" t="inlineStr">
        <is>
          <t>For reference: diesel burned, estimated</t>
        </is>
      </c>
      <c r="B67" s="157" t="inlineStr">
        <is>
          <t>million L/year</t>
        </is>
      </c>
      <c r="C67" s="157" t="inlineStr">
        <is>
          <t>Reporting formula</t>
        </is>
      </c>
      <c r="D67" s="158" t="n"/>
      <c r="E67" s="156" t="inlineStr">
        <is>
          <t>From section 2.</t>
        </is>
      </c>
      <c r="F67" s="158">
        <f>IF(ISNUMBER(F22),F22,"")</f>
        <v/>
      </c>
      <c r="G67" s="158">
        <f>IF(ISNUMBER(G22),G22,"")</f>
        <v/>
      </c>
      <c r="H67" s="158">
        <f>IF(ISNUMBER(H22),H22,"")</f>
        <v/>
      </c>
      <c r="I67" s="158">
        <f>IF(ISNUMBER(I22),I22,"")</f>
        <v/>
      </c>
      <c r="J67" s="158">
        <f>IF(ISNUMBER(J22),J22,"")</f>
        <v/>
      </c>
      <c r="K67" s="158">
        <f>IF(ISNUMBER(K22),K22,"")</f>
        <v/>
      </c>
      <c r="L67" s="158">
        <f>IF(ISNUMBER(L22),L22,"")</f>
        <v/>
      </c>
      <c r="M67" s="158">
        <f>IF(ISNUMBER(M22),M22,"")</f>
        <v/>
      </c>
      <c r="N67" s="158">
        <f>IF(ISNUMBER(N22),N22,"")</f>
        <v/>
      </c>
      <c r="O67" s="158">
        <f>IF(ISNUMBER(O22),O22,"")</f>
        <v/>
      </c>
      <c r="P67" s="158">
        <f>IF(ISNUMBER(P22),P22,"")</f>
        <v/>
      </c>
      <c r="Q67" s="158">
        <f>IF(ISNUMBER(Q22),Q22,"")</f>
        <v/>
      </c>
      <c r="R67" s="158">
        <f>IF(ISNUMBER(R22),R22,"")</f>
        <v/>
      </c>
      <c r="S67" s="158">
        <f>IF(ISNUMBER(S22),S22,"")</f>
        <v/>
      </c>
      <c r="T67" s="156" t="inlineStr"/>
      <c r="U67" s="156" t="inlineStr">
        <is>
          <t>Calculated in this workbook from the rows named in the definition</t>
        </is>
      </c>
      <c r="V67" s="156" t="inlineStr"/>
    </row>
    <row r="69">
      <c r="A69" s="151" t="inlineStr">
        <is>
          <t>6. Not established</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62" t="inlineStr">
        <is>
          <t>Eskom's decision on Camden, Grootvlei, Hendrina, Arnot and Kriel</t>
        </is>
      </c>
      <c r="B70" s="163" t="inlineStr"/>
      <c r="C70" s="163" t="inlineStr">
        <is>
          <t>Gap</t>
        </is>
      </c>
      <c r="D70" s="165" t="n"/>
      <c r="E70" s="162" t="inlineStr">
        <is>
          <t>Due by end September 2026. None had been announced by 8 October: Eskom's media statements to 7 October carry none. If the stations run past 31 March 2030, the gas turbines in the medium and high cases move later.</t>
        </is>
      </c>
      <c r="F70" s="165" t="n"/>
      <c r="G70" s="165" t="n"/>
      <c r="H70" s="165" t="n"/>
      <c r="I70" s="165" t="n"/>
      <c r="J70" s="165" t="n"/>
      <c r="K70" s="165" t="n"/>
      <c r="L70" s="165" t="n"/>
      <c r="M70" s="165" t="n"/>
      <c r="N70" s="165" t="n"/>
      <c r="O70" s="165" t="n"/>
      <c r="P70" s="165" t="n"/>
      <c r="Q70" s="165" t="n"/>
      <c r="R70" s="165" t="n"/>
      <c r="S70" s="165" t="n"/>
      <c r="T70" s="162" t="inlineStr">
        <is>
          <t>Open</t>
        </is>
      </c>
      <c r="U70" s="162" t="inlineStr">
        <is>
          <t>Described in the definition</t>
        </is>
      </c>
      <c r="V70" s="162" t="inlineStr"/>
    </row>
    <row r="71">
      <c r="A71" s="162" t="inlineStr">
        <is>
          <t>Which sites get gas plants, how large, and whether gas reaches them</t>
        </is>
      </c>
      <c r="B71" s="163" t="inlineStr"/>
      <c r="C71" s="163" t="inlineStr">
        <is>
          <t>Gap</t>
        </is>
      </c>
      <c r="D71" s="165" t="n"/>
      <c r="E71" s="162" t="inlineStr">
        <is>
          <t>The medium and high cases use the national gas requirement as a stand-in.</t>
        </is>
      </c>
      <c r="F71" s="165" t="n"/>
      <c r="G71" s="165" t="n"/>
      <c r="H71" s="165" t="n"/>
      <c r="I71" s="165" t="n"/>
      <c r="J71" s="165" t="n"/>
      <c r="K71" s="165" t="n"/>
      <c r="L71" s="165" t="n"/>
      <c r="M71" s="165" t="n"/>
      <c r="N71" s="165" t="n"/>
      <c r="O71" s="165" t="n"/>
      <c r="P71" s="165" t="n"/>
      <c r="Q71" s="165" t="n"/>
      <c r="R71" s="165" t="n"/>
      <c r="S71" s="165" t="n"/>
      <c r="T71" s="162" t="inlineStr">
        <is>
          <t>Open</t>
        </is>
      </c>
      <c r="U71" s="162" t="inlineStr">
        <is>
          <t>Described in the definition</t>
        </is>
      </c>
      <c r="V71" s="162" t="inlineStr"/>
    </row>
    <row r="72">
      <c r="A72" s="162" t="inlineStr">
        <is>
          <t>Whether Ankerlig and Gourikwa switch to gas on time</t>
        </is>
      </c>
      <c r="B72" s="163" t="inlineStr"/>
      <c r="C72" s="163" t="inlineStr">
        <is>
          <t>Gap</t>
        </is>
      </c>
      <c r="D72" s="165" t="n"/>
      <c r="E72" s="162" t="inlineStr">
        <is>
          <t>Eskom's stated target was December 2027.</t>
        </is>
      </c>
      <c r="F72" s="165" t="n"/>
      <c r="G72" s="165" t="n"/>
      <c r="H72" s="165" t="n"/>
      <c r="I72" s="165" t="n"/>
      <c r="J72" s="165" t="n"/>
      <c r="K72" s="165" t="n"/>
      <c r="L72" s="165" t="n"/>
      <c r="M72" s="165" t="n"/>
      <c r="N72" s="165" t="n"/>
      <c r="O72" s="165" t="n"/>
      <c r="P72" s="165" t="n"/>
      <c r="Q72" s="165" t="n"/>
      <c r="R72" s="165" t="n"/>
      <c r="S72" s="165" t="n"/>
      <c r="T72" s="162" t="inlineStr">
        <is>
          <t>Open</t>
        </is>
      </c>
      <c r="U72" s="162" t="inlineStr">
        <is>
          <t>Described in the definition</t>
        </is>
      </c>
      <c r="V72" s="162" t="inlineStr"/>
    </row>
    <row r="73">
      <c r="A73" s="162" t="inlineStr">
        <is>
          <t>Avon and Dedisa after their agreements end</t>
        </is>
      </c>
      <c r="B73" s="163" t="inlineStr"/>
      <c r="C73" s="163" t="inlineStr">
        <is>
          <t>Gap</t>
        </is>
      </c>
      <c r="D73" s="165" t="n"/>
      <c r="E73" s="162" t="inlineStr">
        <is>
          <t>Both contracts end in August and September 2030 (system operator). Low ends them; medium and high continue them.</t>
        </is>
      </c>
      <c r="F73" s="165" t="n"/>
      <c r="G73" s="165" t="n"/>
      <c r="H73" s="165" t="n"/>
      <c r="I73" s="165" t="n"/>
      <c r="J73" s="165" t="n"/>
      <c r="K73" s="165" t="n"/>
      <c r="L73" s="165" t="n"/>
      <c r="M73" s="165" t="n"/>
      <c r="N73" s="165" t="n"/>
      <c r="O73" s="165" t="n"/>
      <c r="P73" s="165" t="n"/>
      <c r="Q73" s="165" t="n"/>
      <c r="R73" s="165" t="n"/>
      <c r="S73" s="165" t="n"/>
      <c r="T73" s="162" t="inlineStr">
        <is>
          <t>Open</t>
        </is>
      </c>
      <c r="U73" s="162" t="inlineStr">
        <is>
          <t>Described in the definition</t>
        </is>
      </c>
      <c r="V73" s="162" t="inlineStr"/>
    </row>
    <row r="74">
      <c r="A74" s="162" t="inlineStr">
        <is>
          <t>Share of output on diesel when gas is available</t>
        </is>
      </c>
      <c r="B74" s="163" t="inlineStr"/>
      <c r="C74" s="163" t="inlineStr">
        <is>
          <t>Gap</t>
        </is>
      </c>
      <c r="D74" s="165" t="n"/>
      <c r="E74" s="162" t="inlineStr">
        <is>
          <t>No source; 10% is a placeholder.</t>
        </is>
      </c>
      <c r="F74" s="165" t="n"/>
      <c r="G74" s="165" t="n"/>
      <c r="H74" s="165" t="n"/>
      <c r="I74" s="165" t="n"/>
      <c r="J74" s="165" t="n"/>
      <c r="K74" s="165" t="n"/>
      <c r="L74" s="165" t="n"/>
      <c r="M74" s="165" t="n"/>
      <c r="N74" s="165" t="n"/>
      <c r="O74" s="165" t="n"/>
      <c r="P74" s="165" t="n"/>
      <c r="Q74" s="165" t="n"/>
      <c r="R74" s="165" t="n"/>
      <c r="S74" s="165" t="n"/>
      <c r="T74" s="162" t="inlineStr">
        <is>
          <t>Open</t>
        </is>
      </c>
      <c r="U74" s="162" t="inlineStr">
        <is>
          <t>Described in the definition</t>
        </is>
      </c>
      <c r="V74" s="162" t="inlineStr"/>
    </row>
    <row r="75">
      <c r="A75" s="162" t="inlineStr">
        <is>
          <t>Private generators at firms and homes</t>
        </is>
      </c>
      <c r="B75" s="163" t="inlineStr"/>
      <c r="C75" s="163" t="inlineStr">
        <is>
          <t>Gap</t>
        </is>
      </c>
      <c r="D75" s="165" t="n"/>
      <c r="E75" s="162" t="inlineStr">
        <is>
          <t>Not in this block; no measured volume exists.</t>
        </is>
      </c>
      <c r="F75" s="165" t="n"/>
      <c r="G75" s="165" t="n"/>
      <c r="H75" s="165" t="n"/>
      <c r="I75" s="165" t="n"/>
      <c r="J75" s="165" t="n"/>
      <c r="K75" s="165" t="n"/>
      <c r="L75" s="165" t="n"/>
      <c r="M75" s="165" t="n"/>
      <c r="N75" s="165" t="n"/>
      <c r="O75" s="165" t="n"/>
      <c r="P75" s="165" t="n"/>
      <c r="Q75" s="165" t="n"/>
      <c r="R75" s="165" t="n"/>
      <c r="S75" s="165" t="n"/>
      <c r="T75" s="162" t="inlineStr">
        <is>
          <t>Open</t>
        </is>
      </c>
      <c r="U75" s="162" t="inlineStr">
        <is>
          <t>Described in the definition</t>
        </is>
      </c>
      <c r="V75" s="16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206" t="n">
        <v>78</v>
      </c>
      <c r="E18" s="156" t="inlineStr">
        <is>
          <t>Observed share. Column D is the model's fixed split of new vehicles.</t>
        </is>
      </c>
      <c r="F18" s="206">
        <f>IF(COUNT(F14,F17)&lt;2,"",F14/F17*100)</f>
        <v/>
      </c>
      <c r="G18" s="206">
        <f>IF(COUNT(G14,G17)&lt;2,"",G14/G17*100)</f>
        <v/>
      </c>
      <c r="H18" s="206">
        <f>IF(COUNT(H14,H17)&lt;2,"",H14/H17*100)</f>
        <v/>
      </c>
      <c r="I18" s="206">
        <f>IF(COUNT(I14,I17)&lt;2,"",I14/I17*100)</f>
        <v/>
      </c>
      <c r="J18" s="206">
        <f>IF(COUNT(J14,J17)&lt;2,"",J14/J17*100)</f>
        <v/>
      </c>
      <c r="K18" s="206">
        <f>IF(COUNT(K14,K17)&lt;2,"",K14/K17*100)</f>
        <v/>
      </c>
      <c r="L18" s="206">
        <f>IF(COUNT(L14,L17)&lt;2,"",L14/L17*100)</f>
        <v/>
      </c>
      <c r="M18" s="206">
        <f>IF(COUNT(M14,M17)&lt;2,"",M14/M17*100)</f>
        <v/>
      </c>
      <c r="N18" s="206">
        <f>IF(COUNT(N14,N17)&lt;2,"",N14/N17*100)</f>
        <v/>
      </c>
      <c r="O18" s="206">
        <f>IF(COUNT(O14,O17)&lt;2,"",O14/O17*100)</f>
        <v/>
      </c>
      <c r="P18" s="206">
        <f>IF(COUNT(P14,P17)&lt;2,"",P14/P17*100)</f>
        <v/>
      </c>
      <c r="Q18" s="206">
        <f>IF(COUNT(Q14,Q17)&lt;2,"",Q14/Q17*100)</f>
        <v/>
      </c>
      <c r="R18" s="206">
        <f>IF(COUNT(R14,R17)&lt;2,"",R14/R17*100)</f>
        <v/>
      </c>
      <c r="S18" s="206">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206" t="n">
        <v>18</v>
      </c>
      <c r="E19" s="156" t="inlineStr">
        <is>
          <t>Observed share. Column D is the model's fixed split of new vehicles.</t>
        </is>
      </c>
      <c r="F19" s="206">
        <f>IF(COUNT(F15,F17)&lt;2,"",F15/F17*100)</f>
        <v/>
      </c>
      <c r="G19" s="206">
        <f>IF(COUNT(G15,G17)&lt;2,"",G15/G17*100)</f>
        <v/>
      </c>
      <c r="H19" s="206">
        <f>IF(COUNT(H15,H17)&lt;2,"",H15/H17*100)</f>
        <v/>
      </c>
      <c r="I19" s="206">
        <f>IF(COUNT(I15,I17)&lt;2,"",I15/I17*100)</f>
        <v/>
      </c>
      <c r="J19" s="206">
        <f>IF(COUNT(J15,J17)&lt;2,"",J15/J17*100)</f>
        <v/>
      </c>
      <c r="K19" s="206">
        <f>IF(COUNT(K15,K17)&lt;2,"",K15/K17*100)</f>
        <v/>
      </c>
      <c r="L19" s="206">
        <f>IF(COUNT(L15,L17)&lt;2,"",L15/L17*100)</f>
        <v/>
      </c>
      <c r="M19" s="206">
        <f>IF(COUNT(M15,M17)&lt;2,"",M15/M17*100)</f>
        <v/>
      </c>
      <c r="N19" s="206">
        <f>IF(COUNT(N15,N17)&lt;2,"",N15/N17*100)</f>
        <v/>
      </c>
      <c r="O19" s="206">
        <f>IF(COUNT(O15,O17)&lt;2,"",O15/O17*100)</f>
        <v/>
      </c>
      <c r="P19" s="206">
        <f>IF(COUNT(P15,P17)&lt;2,"",P15/P17*100)</f>
        <v/>
      </c>
      <c r="Q19" s="206">
        <f>IF(COUNT(Q15,Q17)&lt;2,"",Q15/Q17*100)</f>
        <v/>
      </c>
      <c r="R19" s="206">
        <f>IF(COUNT(R15,R17)&lt;2,"",R15/R17*100)</f>
        <v/>
      </c>
      <c r="S19" s="206">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206" t="n">
        <v>4</v>
      </c>
      <c r="E20" s="156" t="inlineStr">
        <is>
          <t>Observed share. Column D is the model's fixed split of new vehicles.</t>
        </is>
      </c>
      <c r="F20" s="206">
        <f>IF(COUNT(F16,F17)&lt;2,"",F16/F17*100)</f>
        <v/>
      </c>
      <c r="G20" s="206">
        <f>IF(COUNT(G16,G17)&lt;2,"",G16/G17*100)</f>
        <v/>
      </c>
      <c r="H20" s="206">
        <f>IF(COUNT(H16,H17)&lt;2,"",H16/H17*100)</f>
        <v/>
      </c>
      <c r="I20" s="206">
        <f>IF(COUNT(I16,I17)&lt;2,"",I16/I17*100)</f>
        <v/>
      </c>
      <c r="J20" s="206">
        <f>IF(COUNT(J16,J17)&lt;2,"",J16/J17*100)</f>
        <v/>
      </c>
      <c r="K20" s="206">
        <f>IF(COUNT(K16,K17)&lt;2,"",K16/K17*100)</f>
        <v/>
      </c>
      <c r="L20" s="206">
        <f>IF(COUNT(L16,L17)&lt;2,"",L16/L17*100)</f>
        <v/>
      </c>
      <c r="M20" s="206">
        <f>IF(COUNT(M16,M17)&lt;2,"",M16/M17*100)</f>
        <v/>
      </c>
      <c r="N20" s="206">
        <f>IF(COUNT(N16,N17)&lt;2,"",N16/N17*100)</f>
        <v/>
      </c>
      <c r="O20" s="206">
        <f>IF(COUNT(O16,O17)&lt;2,"",O16/O17*100)</f>
        <v/>
      </c>
      <c r="P20" s="206">
        <f>IF(COUNT(P16,P17)&lt;2,"",P16/P17*100)</f>
        <v/>
      </c>
      <c r="Q20" s="206">
        <f>IF(COUNT(Q16,Q17)&lt;2,"",Q16/Q17*100)</f>
        <v/>
      </c>
      <c r="R20" s="206">
        <f>IF(COUNT(R16,R17)&lt;2,"",R16/R17*100)</f>
        <v/>
      </c>
      <c r="S20" s="206">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is>
          <t>Calculated in this workbook from the rows named in the definition</t>
        </is>
      </c>
      <c r="V23" s="156" t="inlineStr"/>
    </row>
    <row r="24">
      <c r="A24" s="156" t="inlineStr">
        <is>
          <t>Cars retirement rate</t>
        </is>
      </c>
      <c r="B24" s="157" t="inlineStr">
        <is>
          <t>% of last December's stock</t>
        </is>
      </c>
      <c r="C24" s="157" t="inlineStr">
        <is>
          <t>Reporting formula</t>
        </is>
      </c>
      <c r="D24" s="206" t="n">
        <v>4</v>
      </c>
      <c r="E24" s="156" t="inlineStr">
        <is>
          <t>Retired divided by last December's stock. Column D is the model's scrappage rate.</t>
        </is>
      </c>
      <c r="F24" s="206" t="n"/>
      <c r="G24" s="206">
        <f>IF(ISNUMBER(G23),G23/F6*100,"")</f>
        <v/>
      </c>
      <c r="H24" s="206">
        <f>IF(ISNUMBER(H23),H23/G6*100,"")</f>
        <v/>
      </c>
      <c r="I24" s="206">
        <f>IF(ISNUMBER(I23),I23/H6*100,"")</f>
        <v/>
      </c>
      <c r="J24" s="206">
        <f>IF(ISNUMBER(J23),J23/I6*100,"")</f>
        <v/>
      </c>
      <c r="K24" s="206">
        <f>IF(ISNUMBER(K23),K23/J6*100,"")</f>
        <v/>
      </c>
      <c r="L24" s="206">
        <f>IF(ISNUMBER(L23),L23/K6*100,"")</f>
        <v/>
      </c>
      <c r="M24" s="206">
        <f>IF(ISNUMBER(M23),M23/L6*100,"")</f>
        <v/>
      </c>
      <c r="N24" s="206">
        <f>IF(ISNUMBER(N23),N23/M6*100,"")</f>
        <v/>
      </c>
      <c r="O24" s="206">
        <f>IF(ISNUMBER(O23),O23/N6*100,"")</f>
        <v/>
      </c>
      <c r="P24" s="206">
        <f>IF(ISNUMBER(P23),P23/O6*100,"")</f>
        <v/>
      </c>
      <c r="Q24" s="206">
        <f>IF(ISNUMBER(Q23),Q23/P6*100,"")</f>
        <v/>
      </c>
      <c r="R24" s="206">
        <f>IF(ISNUMBER(R23),R23/Q6*100,"")</f>
        <v/>
      </c>
      <c r="S24" s="206">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is>
          <t>Calculated in this workbook from the rows named in the definition</t>
        </is>
      </c>
      <c r="V25" s="156" t="inlineStr"/>
    </row>
    <row r="26">
      <c r="A26" s="156" t="inlineStr">
        <is>
          <t>Light commercial vehicles retirement rate</t>
        </is>
      </c>
      <c r="B26" s="157" t="inlineStr">
        <is>
          <t>% of last December's stock</t>
        </is>
      </c>
      <c r="C26" s="157" t="inlineStr">
        <is>
          <t>Reporting formula</t>
        </is>
      </c>
      <c r="D26" s="206" t="n">
        <v>5</v>
      </c>
      <c r="E26" s="156" t="inlineStr">
        <is>
          <t>Retired divided by last December's stock. Column D is the model's scrappage rate.</t>
        </is>
      </c>
      <c r="F26" s="206" t="n"/>
      <c r="G26" s="206">
        <f>IF(ISNUMBER(G25),G25/F7*100,"")</f>
        <v/>
      </c>
      <c r="H26" s="206">
        <f>IF(ISNUMBER(H25),H25/G7*100,"")</f>
        <v/>
      </c>
      <c r="I26" s="206">
        <f>IF(ISNUMBER(I25),I25/H7*100,"")</f>
        <v/>
      </c>
      <c r="J26" s="206">
        <f>IF(ISNUMBER(J25),J25/I7*100,"")</f>
        <v/>
      </c>
      <c r="K26" s="206">
        <f>IF(ISNUMBER(K25),K25/J7*100,"")</f>
        <v/>
      </c>
      <c r="L26" s="206">
        <f>IF(ISNUMBER(L25),L25/K7*100,"")</f>
        <v/>
      </c>
      <c r="M26" s="206">
        <f>IF(ISNUMBER(M25),M25/L7*100,"")</f>
        <v/>
      </c>
      <c r="N26" s="206">
        <f>IF(ISNUMBER(N25),N25/M7*100,"")</f>
        <v/>
      </c>
      <c r="O26" s="206">
        <f>IF(ISNUMBER(O25),O25/N7*100,"")</f>
        <v/>
      </c>
      <c r="P26" s="206">
        <f>IF(ISNUMBER(P25),P25/O7*100,"")</f>
        <v/>
      </c>
      <c r="Q26" s="206">
        <f>IF(ISNUMBER(Q25),Q25/P7*100,"")</f>
        <v/>
      </c>
      <c r="R26" s="206">
        <f>IF(ISNUMBER(R25),R25/Q7*100,"")</f>
        <v/>
      </c>
      <c r="S26" s="206">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is>
          <t>Calculated in this workbook from the rows named in the definition</t>
        </is>
      </c>
      <c r="V27" s="156" t="inlineStr"/>
    </row>
    <row r="28">
      <c r="A28" s="156" t="inlineStr">
        <is>
          <t>Trucks retirement rate</t>
        </is>
      </c>
      <c r="B28" s="157" t="inlineStr">
        <is>
          <t>% of last December's stock</t>
        </is>
      </c>
      <c r="C28" s="157" t="inlineStr">
        <is>
          <t>Reporting formula</t>
        </is>
      </c>
      <c r="D28" s="206" t="n">
        <v>6</v>
      </c>
      <c r="E28" s="156" t="inlineStr">
        <is>
          <t>Retired divided by last December's stock. Column D is the model's scrappage rate.</t>
        </is>
      </c>
      <c r="F28" s="206" t="n"/>
      <c r="G28" s="206">
        <f>IF(ISNUMBER(G27),G27/F8*100,"")</f>
        <v/>
      </c>
      <c r="H28" s="206">
        <f>IF(ISNUMBER(H27),H27/G8*100,"")</f>
        <v/>
      </c>
      <c r="I28" s="206">
        <f>IF(ISNUMBER(I27),I27/H8*100,"")</f>
        <v/>
      </c>
      <c r="J28" s="206">
        <f>IF(ISNUMBER(J27),J27/I8*100,"")</f>
        <v/>
      </c>
      <c r="K28" s="206">
        <f>IF(ISNUMBER(K27),K27/J8*100,"")</f>
        <v/>
      </c>
      <c r="L28" s="206">
        <f>IF(ISNUMBER(L27),L27/K8*100,"")</f>
        <v/>
      </c>
      <c r="M28" s="206">
        <f>IF(ISNUMBER(M27),M27/L8*100,"")</f>
        <v/>
      </c>
      <c r="N28" s="206">
        <f>IF(ISNUMBER(N27),N27/M8*100,"")</f>
        <v/>
      </c>
      <c r="O28" s="206">
        <f>IF(ISNUMBER(O27),O27/N8*100,"")</f>
        <v/>
      </c>
      <c r="P28" s="206">
        <f>IF(ISNUMBER(P27),P27/O8*100,"")</f>
        <v/>
      </c>
      <c r="Q28" s="206">
        <f>IF(ISNUMBER(Q27),Q27/P8*100,"")</f>
        <v/>
      </c>
      <c r="R28" s="206">
        <f>IF(ISNUMBER(R27),R27/Q8*100,"")</f>
        <v/>
      </c>
      <c r="S28" s="206">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78" t="n"/>
      <c r="E32" s="156" t="inlineStr">
        <is>
          <t>Share of all new vehicles sold in the year.</t>
        </is>
      </c>
      <c r="F32" s="178">
        <f>IF(COUNT(F31,F17)&lt;2,"",F31/F17*100)</f>
        <v/>
      </c>
      <c r="G32" s="178">
        <f>IF(COUNT(G31,G17)&lt;2,"",G31/G17*100)</f>
        <v/>
      </c>
      <c r="H32" s="178">
        <f>IF(COUNT(H31,H17)&lt;2,"",H31/H17*100)</f>
        <v/>
      </c>
      <c r="I32" s="178">
        <f>IF(COUNT(I31,I17)&lt;2,"",I31/I17*100)</f>
        <v/>
      </c>
      <c r="J32" s="178">
        <f>IF(COUNT(J31,J17)&lt;2,"",J31/J17*100)</f>
        <v/>
      </c>
      <c r="K32" s="178">
        <f>IF(COUNT(K31,K17)&lt;2,"",K31/K17*100)</f>
        <v/>
      </c>
      <c r="L32" s="178">
        <f>IF(COUNT(L31,L17)&lt;2,"",L31/L17*100)</f>
        <v/>
      </c>
      <c r="M32" s="178">
        <f>IF(COUNT(M31,M17)&lt;2,"",M31/M17*100)</f>
        <v/>
      </c>
      <c r="N32" s="178">
        <f>IF(COUNT(N31,N17)&lt;2,"",N31/N17*100)</f>
        <v/>
      </c>
      <c r="O32" s="178">
        <f>IF(COUNT(O31,O17)&lt;2,"",O31/O17*100)</f>
        <v/>
      </c>
      <c r="P32" s="178">
        <f>IF(COUNT(P31,P17)&lt;2,"",P31/P17*100)</f>
        <v/>
      </c>
      <c r="Q32" s="178">
        <f>IF(COUNT(Q31,Q17)&lt;2,"",Q31/Q17*100)</f>
        <v/>
      </c>
      <c r="R32" s="178">
        <f>IF(COUNT(R31,R17)&lt;2,"",R31/R17*100)</f>
        <v/>
      </c>
      <c r="S32" s="178">
        <f>IF(COUNT(S31,S17)&lt;2,"",S31/S17*100)</f>
        <v/>
      </c>
      <c r="T32" s="156" t="inlineStr"/>
      <c r="U32" s="156" t="inlineStr">
        <is>
          <t>Calculated in this workbook from the rows named in the definition</t>
        </is>
      </c>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78" t="n"/>
      <c r="E34" s="156" t="inlineStr">
        <is>
          <t>Share of all new vehicles sold in the year.</t>
        </is>
      </c>
      <c r="F34" s="178">
        <f>IF(COUNT(F33,F17)&lt;2,"",F33/F17*100)</f>
        <v/>
      </c>
      <c r="G34" s="178">
        <f>IF(COUNT(G33,G17)&lt;2,"",G33/G17*100)</f>
        <v/>
      </c>
      <c r="H34" s="178">
        <f>IF(COUNT(H33,H17)&lt;2,"",H33/H17*100)</f>
        <v/>
      </c>
      <c r="I34" s="178">
        <f>IF(COUNT(I33,I17)&lt;2,"",I33/I17*100)</f>
        <v/>
      </c>
      <c r="J34" s="178">
        <f>IF(COUNT(J33,J17)&lt;2,"",J33/J17*100)</f>
        <v/>
      </c>
      <c r="K34" s="178">
        <f>IF(COUNT(K33,K17)&lt;2,"",K33/K17*100)</f>
        <v/>
      </c>
      <c r="L34" s="178">
        <f>IF(COUNT(L33,L17)&lt;2,"",L33/L17*100)</f>
        <v/>
      </c>
      <c r="M34" s="178">
        <f>IF(COUNT(M33,M17)&lt;2,"",M33/M17*100)</f>
        <v/>
      </c>
      <c r="N34" s="178">
        <f>IF(COUNT(N33,N17)&lt;2,"",N33/N17*100)</f>
        <v/>
      </c>
      <c r="O34" s="178">
        <f>IF(COUNT(O33,O17)&lt;2,"",O33/O17*100)</f>
        <v/>
      </c>
      <c r="P34" s="178">
        <f>IF(COUNT(P33,P17)&lt;2,"",P33/P17*100)</f>
        <v/>
      </c>
      <c r="Q34" s="178">
        <f>IF(COUNT(Q33,Q17)&lt;2,"",Q33/Q17*100)</f>
        <v/>
      </c>
      <c r="R34" s="178">
        <f>IF(COUNT(R33,R17)&lt;2,"",R33/R17*100)</f>
        <v/>
      </c>
      <c r="S34" s="178">
        <f>IF(COUNT(S33,S17)&lt;2,"",S33/S17*100)</f>
        <v/>
      </c>
      <c r="T34" s="156" t="inlineStr"/>
      <c r="U34" s="156" t="inlineStr">
        <is>
          <t>Calculated in this workbook from the rows named in the definition</t>
        </is>
      </c>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78" t="n"/>
      <c r="E36" s="156" t="inlineStr">
        <is>
          <t>Share of all new vehicles sold in the year.</t>
        </is>
      </c>
      <c r="F36" s="178">
        <f>IF(COUNT(F35,F17)&lt;2,"",F35/F17*100)</f>
        <v/>
      </c>
      <c r="G36" s="178">
        <f>IF(COUNT(G35,G17)&lt;2,"",G35/G17*100)</f>
        <v/>
      </c>
      <c r="H36" s="178">
        <f>IF(COUNT(H35,H17)&lt;2,"",H35/H17*100)</f>
        <v/>
      </c>
      <c r="I36" s="178">
        <f>IF(COUNT(I35,I17)&lt;2,"",I35/I17*100)</f>
        <v/>
      </c>
      <c r="J36" s="178">
        <f>IF(COUNT(J35,J17)&lt;2,"",J35/J17*100)</f>
        <v/>
      </c>
      <c r="K36" s="178">
        <f>IF(COUNT(K35,K17)&lt;2,"",K35/K17*100)</f>
        <v/>
      </c>
      <c r="L36" s="178">
        <f>IF(COUNT(L35,L17)&lt;2,"",L35/L17*100)</f>
        <v/>
      </c>
      <c r="M36" s="178">
        <f>IF(COUNT(M35,M17)&lt;2,"",M35/M17*100)</f>
        <v/>
      </c>
      <c r="N36" s="178">
        <f>IF(COUNT(N35,N17)&lt;2,"",N35/N17*100)</f>
        <v/>
      </c>
      <c r="O36" s="178">
        <f>IF(COUNT(O35,O17)&lt;2,"",O35/O17*100)</f>
        <v/>
      </c>
      <c r="P36" s="178">
        <f>IF(COUNT(P35,P17)&lt;2,"",P35/P17*100)</f>
        <v/>
      </c>
      <c r="Q36" s="178">
        <f>IF(COUNT(Q35,Q17)&lt;2,"",Q35/Q17*100)</f>
        <v/>
      </c>
      <c r="R36" s="178">
        <f>IF(COUNT(R35,R17)&lt;2,"",R35/R17*100)</f>
        <v/>
      </c>
      <c r="S36" s="178">
        <f>IF(COUNT(S35,S17)&lt;2,"",S35/S17*100)</f>
        <v/>
      </c>
      <c r="T36" s="156" t="inlineStr"/>
      <c r="U36" s="156" t="inlineStr">
        <is>
          <t>Calculated in this workbook from the rows named in the definition</t>
        </is>
      </c>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is>
          <t>Calculated in this workbook from the rows named in the definition</t>
        </is>
      </c>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IF(COUNT(History!F61,F39)&lt;2,"",History!F61*1000000/F39)</f>
        <v/>
      </c>
      <c r="G52" s="167">
        <f>IF(COUNT(History!G61,G39)&lt;2,"",History!G61*1000000/G39)</f>
        <v/>
      </c>
      <c r="H52" s="167">
        <f>IF(COUNT(History!H61,H39)&lt;2,"",History!H61*1000000/H39)</f>
        <v/>
      </c>
      <c r="I52" s="167">
        <f>IF(COUNT(History!I61,I39)&lt;2,"",History!I61*1000000/I39)</f>
        <v/>
      </c>
      <c r="J52" s="167">
        <f>IF(COUNT(History!J61,J39)&lt;2,"",History!J61*1000000/J39)</f>
        <v/>
      </c>
      <c r="K52" s="167">
        <f>IF(COUNT(History!K61,K39)&lt;2,"",History!K61*1000000/K39)</f>
        <v/>
      </c>
      <c r="L52" s="167">
        <f>IF(COUNT(History!L61,L39)&lt;2,"",History!L61*1000000/L39)</f>
        <v/>
      </c>
      <c r="M52" s="167">
        <f>IF(COUNT(History!M61,M39)&lt;2,"",History!M61*1000000/M39)</f>
        <v/>
      </c>
      <c r="N52" s="167">
        <f>IF(COUNT(History!N61,N39)&lt;2,"",History!N61*1000000/N39)</f>
        <v/>
      </c>
      <c r="O52" s="167">
        <f>IF(COUNT(History!O61,O39)&lt;2,"",History!O61*1000000/O39)</f>
        <v/>
      </c>
      <c r="P52" s="167">
        <f>IF(COUNT(History!P61,P39)&lt;2,"",History!P61*1000000/P39)</f>
        <v/>
      </c>
      <c r="Q52" s="167">
        <f>IF(COUNT(History!Q61,Q39)&lt;2,"",History!Q61*1000000/Q39)</f>
        <v/>
      </c>
      <c r="R52" s="167">
        <f>IF(COUNT(History!R61,R39)&lt;2,"",History!R61*1000000/R39)</f>
        <v/>
      </c>
      <c r="S52" s="167">
        <f>IF(COUNT(History!S61,S39)&lt;2,"",History!S61*1000000/S39)</f>
        <v/>
      </c>
      <c r="T52" s="156" t="inlineStr"/>
      <c r="U52" s="156" t="inlineStr">
        <is>
          <t>Calculated in this workbook from the rows named in the definition</t>
        </is>
      </c>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is>
          <t>Calculated in this workbook from the rows named in the definition</t>
        </is>
      </c>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is>
          <t>Described in the definition</t>
        </is>
      </c>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is>
          <t>Described in the definition</t>
        </is>
      </c>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is>
          <t>Described in the definition</t>
        </is>
      </c>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is>
          <t>Described in the definition</t>
        </is>
      </c>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is>
          <t>Described in the definition</t>
        </is>
      </c>
      <c r="V60" s="162" t="inlineStr">
        <is>
          <t>Source to be found or assumption agreed</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208" t="inlineStr">
        <is>
          <t>diesel</t>
        </is>
      </c>
      <c r="B5" s="208" t="inlineStr">
        <is>
          <t>road_activity</t>
        </is>
      </c>
      <c r="C5" s="208" t="inlineStr">
        <is>
          <t>index_2024_100</t>
        </is>
      </c>
      <c r="D5" s="208" t="inlineStr">
        <is>
          <t>100</t>
        </is>
      </c>
      <c r="E5" s="208" t="inlineStr">
        <is>
          <t>road freight payload 980 Mt in 2024 (Stats SA P7162)</t>
        </is>
      </c>
      <c r="F5" s="208" t="inlineStr">
        <is>
          <t>95 / 115 / 135</t>
        </is>
      </c>
      <c r="G5" s="208" t="inlineStr">
        <is>
          <t>95 / 115 / 135</t>
        </is>
      </c>
      <c r="H5" s="208" t="inlineStr">
        <is>
          <t>95 / 135 / 175</t>
        </is>
      </c>
      <c r="I5" s="208" t="inlineStr">
        <is>
          <t>95 / 135 / 150</t>
        </is>
      </c>
      <c r="J5" s="208" t="inlineStr">
        <is>
          <t>replacement proposed</t>
        </is>
      </c>
      <c r="K5" s="208"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208" t="inlineStr">
        <is>
          <t>diesel</t>
        </is>
      </c>
      <c r="B6" s="208" t="inlineStr">
        <is>
          <t>rail_diversion</t>
        </is>
      </c>
      <c r="C6" s="208" t="inlineStr">
        <is>
          <t>percent</t>
        </is>
      </c>
      <c r="D6" s="208" t="inlineStr">
        <is>
          <t>0</t>
        </is>
      </c>
      <c r="E6" s="208" t="inlineStr">
        <is>
          <t>rail 161 Mt and road 980 Mt in 2024 (Stats SA P7162)</t>
        </is>
      </c>
      <c r="F6" s="208" t="inlineStr">
        <is>
          <t>0 / 10 / 20</t>
        </is>
      </c>
      <c r="G6" s="208" t="inlineStr">
        <is>
          <t>0 / 3 / 9</t>
        </is>
      </c>
      <c r="H6" s="208" t="inlineStr">
        <is>
          <t>0 / 20 / 35</t>
        </is>
      </c>
      <c r="I6" s="208" t="inlineStr">
        <is>
          <t>0 / 7 / 13</t>
        </is>
      </c>
      <c r="J6" s="208" t="inlineStr">
        <is>
          <t>replacement proposed</t>
        </is>
      </c>
      <c r="K6" s="208"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208" t="inlineStr">
        <is>
          <t>diesel</t>
        </is>
      </c>
      <c r="B7" s="208" t="inlineStr">
        <is>
          <t>ocgt_generation</t>
        </is>
      </c>
      <c r="C7" s="208" t="inlineStr">
        <is>
          <t>index_FY2024_100</t>
        </is>
      </c>
      <c r="D7" s="208" t="inlineStr">
        <is>
          <t>100</t>
        </is>
      </c>
      <c r="E7" s="208" t="inlineStr">
        <is>
          <t>Eskom and independent OCGT output 5,143 GWh, year to March 2024</t>
        </is>
      </c>
      <c r="F7" s="208" t="inlineStr">
        <is>
          <t>10 / 25 / 60</t>
        </is>
      </c>
      <c r="G7" s="208" t="inlineStr">
        <is>
          <t>10 / 25 / 60</t>
        </is>
      </c>
      <c r="H7" s="208" t="inlineStr">
        <is>
          <t>5 / 15 / 50</t>
        </is>
      </c>
      <c r="I7" s="208" t="inlineStr">
        <is>
          <t>5 / 15 / 50</t>
        </is>
      </c>
      <c r="J7" s="208" t="inlineStr">
        <is>
          <t>no change</t>
        </is>
      </c>
      <c r="K7" s="208" t="inlineStr">
        <is>
          <t>Year to March 2025 is 55 and year to March 2026 is 21 on this index, so the medium of 25 in 2030 holds today's level. Reported burn is 0.31 litres per kWh in three years. No change proposed.</t>
        </is>
      </c>
    </row>
    <row r="8">
      <c r="A8" s="208" t="inlineStr">
        <is>
          <t>diesel</t>
        </is>
      </c>
      <c r="B8" s="208" t="inlineStr">
        <is>
          <t>new_cohort_efficiency</t>
        </is>
      </c>
      <c r="C8" s="208" t="inlineStr">
        <is>
          <t>percent_per_year</t>
        </is>
      </c>
      <c r="D8" s="208" t="inlineStr">
        <is>
          <t>0.5 to 1.0</t>
        </is>
      </c>
      <c r="E8" s="208" t="inlineStr">
        <is>
          <t>registered diesel efficiency paths (low and high demand cases)</t>
        </is>
      </c>
      <c r="F8" s="208" t="inlineStr">
        <is>
          <t>0.5 / 0.75 / 1</t>
        </is>
      </c>
      <c r="G8" s="208" t="inlineStr">
        <is>
          <t>0.5 / 0.75 / 1</t>
        </is>
      </c>
      <c r="H8" s="208" t="inlineStr">
        <is>
          <t>0.5 / 0.75 / 1</t>
        </is>
      </c>
      <c r="I8" s="208" t="inlineStr">
        <is>
          <t>0.5 / 0.75 / 1</t>
        </is>
      </c>
      <c r="J8" s="208" t="inlineStr">
        <is>
          <t>no change</t>
        </is>
      </c>
      <c r="K8" s="208" t="inlineStr">
        <is>
          <t>Low and high equal the registered endpoints. Neither has a source. No change proposed.</t>
        </is>
      </c>
    </row>
    <row r="9">
      <c r="A9" s="208" t="inlineStr">
        <is>
          <t>diesel</t>
        </is>
      </c>
      <c r="B9" s="208" t="inlineStr">
        <is>
          <t>plant_utilisation</t>
        </is>
      </c>
      <c r="C9" s="208" t="inlineStr">
        <is>
          <t>percent</t>
        </is>
      </c>
      <c r="D9" s="208" t="inlineStr">
        <is>
          <t>67</t>
        </is>
      </c>
      <c r="E9" s="208" t="inlineStr">
        <is>
          <t>reported 2024 output over reported capacity, three plants; indicative</t>
        </is>
      </c>
      <c r="F9" s="208" t="inlineStr">
        <is>
          <t>60 / 75 / 90</t>
        </is>
      </c>
      <c r="G9" s="208" t="inlineStr">
        <is>
          <t>60 / 75 / 90</t>
        </is>
      </c>
      <c r="H9" s="208" t="inlineStr">
        <is>
          <t>60 / 75 / 90</t>
        </is>
      </c>
      <c r="I9" s="208" t="inlineStr">
        <is>
          <t>60 / 75 / 90</t>
        </is>
      </c>
      <c r="J9" s="208" t="inlineStr">
        <is>
          <t>no change</t>
        </is>
      </c>
      <c r="K9"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208" t="inlineStr">
        <is>
          <t>diesel</t>
        </is>
      </c>
      <c r="B10" s="208" t="inlineStr">
        <is>
          <t>product_yield</t>
        </is>
      </c>
      <c r="C10" s="208" t="inlineStr">
        <is>
          <t>percent</t>
        </is>
      </c>
      <c r="D10" s="208" t="inlineStr">
        <is>
          <t>29</t>
        </is>
      </c>
      <c r="E10" s="208" t="inlineStr">
        <is>
          <t>diesel share of refinery output in 2024 (JODI; lowest reliability)</t>
        </is>
      </c>
      <c r="F10" s="208" t="inlineStr">
        <is>
          <t>20 / 25 / 30</t>
        </is>
      </c>
      <c r="G10" s="208" t="inlineStr">
        <is>
          <t>25 / 30 / 40</t>
        </is>
      </c>
      <c r="H10" s="208" t="inlineStr">
        <is>
          <t>20 / 25 / 30</t>
        </is>
      </c>
      <c r="I10" s="208" t="inlineStr">
        <is>
          <t>25 / 30 / 40</t>
        </is>
      </c>
      <c r="J10" s="208" t="inlineStr">
        <is>
          <t>replacement proposed</t>
        </is>
      </c>
      <c r="K10" s="208"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208" t="inlineStr">
        <is>
          <t>diesel</t>
        </is>
      </c>
      <c r="B11" s="208" t="inlineStr">
        <is>
          <t>restart_capacity</t>
        </is>
      </c>
      <c r="C11" s="208" t="inlineStr">
        <is>
          <t>thousand_bbl_per_day</t>
        </is>
      </c>
      <c r="D11" s="208" t="inlineStr">
        <is>
          <t>0</t>
        </is>
      </c>
      <c r="E11" s="208" t="inlineStr">
        <is>
          <t>no committed addition</t>
        </is>
      </c>
      <c r="F11" s="208" t="inlineStr">
        <is>
          <t>0 / 0 / 0</t>
        </is>
      </c>
      <c r="G11" s="208" t="inlineStr">
        <is>
          <t>0 / 0 / 0</t>
        </is>
      </c>
      <c r="H11" s="208" t="inlineStr">
        <is>
          <t>0 / 0 / 400</t>
        </is>
      </c>
      <c r="I11" s="208" t="inlineStr">
        <is>
          <t>0 / 0 / 400</t>
        </is>
      </c>
      <c r="J11" s="208" t="inlineStr">
        <is>
          <t>no change</t>
        </is>
      </c>
      <c r="K11" s="208" t="inlineStr">
        <is>
          <t>Existing conditional illustration; no investment decision, timing or product slate is sourced.</t>
        </is>
      </c>
    </row>
    <row r="12">
      <c r="A12" s="208" t="inlineStr">
        <is>
          <t>jet</t>
        </is>
      </c>
      <c r="B12" s="208" t="inlineStr">
        <is>
          <t>aircraft_movements</t>
        </is>
      </c>
      <c r="C12" s="208" t="inlineStr">
        <is>
          <t>index_2024_100</t>
        </is>
      </c>
      <c r="D12" s="208" t="inlineStr">
        <is>
          <t>100</t>
        </is>
      </c>
      <c r="E12" s="208" t="inlineStr">
        <is>
          <t>456,214 movements at ACSA airports in 2024</t>
        </is>
      </c>
      <c r="F12" s="208" t="inlineStr">
        <is>
          <t>100 / 120 / 140</t>
        </is>
      </c>
      <c r="G12" s="208" t="inlineStr">
        <is>
          <t>100 / 110 / 125</t>
        </is>
      </c>
      <c r="H12" s="208" t="inlineStr">
        <is>
          <t>100 / 145 / 190</t>
        </is>
      </c>
      <c r="I12" s="208" t="inlineStr">
        <is>
          <t>100 / 120 / 140</t>
        </is>
      </c>
      <c r="J12" s="208" t="inlineStr">
        <is>
          <t>replacement proposed</t>
        </is>
      </c>
      <c r="K12" s="208"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208" t="inlineStr">
        <is>
          <t>jet</t>
        </is>
      </c>
      <c r="B13" s="208" t="inlineStr">
        <is>
          <t>fuel_burn_per_movement</t>
        </is>
      </c>
      <c r="C13" s="208" t="inlineStr">
        <is>
          <t>index_2024_100</t>
        </is>
      </c>
      <c r="D13" s="208" t="inlineStr">
        <is>
          <t>100</t>
        </is>
      </c>
      <c r="E13" s="208" t="inlineStr">
        <is>
          <t>4,090 litres of jet sold per movement in 2024</t>
        </is>
      </c>
      <c r="F13" s="208" t="inlineStr">
        <is>
          <t>80 / 90 / 100</t>
        </is>
      </c>
      <c r="G13" s="208" t="inlineStr">
        <is>
          <t>80 / 90 / 113</t>
        </is>
      </c>
      <c r="H13" s="208" t="inlineStr">
        <is>
          <t>65 / 80 / 100</t>
        </is>
      </c>
      <c r="I13" s="208" t="inlineStr">
        <is>
          <t>65 / 80 / 113</t>
        </is>
      </c>
      <c r="J13" s="208" t="inlineStr">
        <is>
          <t>replacement proposed</t>
        </is>
      </c>
      <c r="K13" s="208"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208" t="inlineStr">
        <is>
          <t>jet</t>
        </is>
      </c>
      <c r="B14" s="208" t="inlineStr">
        <is>
          <t>saf_volume_share</t>
        </is>
      </c>
      <c r="C14" s="208" t="inlineStr">
        <is>
          <t>percent</t>
        </is>
      </c>
      <c r="D14" s="208" t="inlineStr">
        <is>
          <t>0</t>
        </is>
      </c>
      <c r="E14" s="208" t="inlineStr">
        <is>
          <t>no sustainable aviation fuel supply recorded in the sources held; unsourced</t>
        </is>
      </c>
      <c r="F14" s="208" t="inlineStr">
        <is>
          <t>0 / 2 / 5</t>
        </is>
      </c>
      <c r="G14" s="208" t="inlineStr">
        <is>
          <t>0 / 2 / 5</t>
        </is>
      </c>
      <c r="H14" s="208" t="inlineStr">
        <is>
          <t>0 / 5 / 10</t>
        </is>
      </c>
      <c r="I14" s="208" t="inlineStr">
        <is>
          <t>0 / 5 / 10</t>
        </is>
      </c>
      <c r="J14" s="208" t="inlineStr">
        <is>
          <t>no change</t>
        </is>
      </c>
      <c r="K14" s="208" t="inlineStr">
        <is>
          <t>No South African blend requirement is sourced. No change proposed.</t>
        </is>
      </c>
    </row>
    <row r="15">
      <c r="A15" s="208" t="inlineStr">
        <is>
          <t>jet</t>
        </is>
      </c>
      <c r="B15" s="208" t="inlineStr">
        <is>
          <t>plant_utilisation</t>
        </is>
      </c>
      <c r="C15" s="208" t="inlineStr">
        <is>
          <t>percent</t>
        </is>
      </c>
      <c r="D15" s="208" t="inlineStr">
        <is>
          <t>67</t>
        </is>
      </c>
      <c r="E15" s="208" t="inlineStr">
        <is>
          <t>reported 2024 output over reported capacity, three plants; indicative</t>
        </is>
      </c>
      <c r="F15" s="208" t="inlineStr">
        <is>
          <t>60 / 75 / 90</t>
        </is>
      </c>
      <c r="G15" s="208" t="inlineStr">
        <is>
          <t>60 / 75 / 90</t>
        </is>
      </c>
      <c r="H15" s="208" t="inlineStr">
        <is>
          <t>60 / 75 / 90</t>
        </is>
      </c>
      <c r="I15" s="208" t="inlineStr">
        <is>
          <t>60 / 75 / 90</t>
        </is>
      </c>
      <c r="J15" s="208" t="inlineStr">
        <is>
          <t>no change</t>
        </is>
      </c>
      <c r="K15"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208" t="inlineStr">
        <is>
          <t>jet</t>
        </is>
      </c>
      <c r="B16" s="208" t="inlineStr">
        <is>
          <t>product_yield</t>
        </is>
      </c>
      <c r="C16" s="208" t="inlineStr">
        <is>
          <t>percent</t>
        </is>
      </c>
      <c r="D16" s="208" t="inlineStr">
        <is>
          <t>10</t>
        </is>
      </c>
      <c r="E16" s="208" t="inlineStr">
        <is>
          <t>registered legacy yield for capable plants</t>
        </is>
      </c>
      <c r="F16" s="208" t="inlineStr">
        <is>
          <t>5 / 10 / 15</t>
        </is>
      </c>
      <c r="G16" s="208" t="inlineStr">
        <is>
          <t>5 / 10 / 15</t>
        </is>
      </c>
      <c r="H16" s="208" t="inlineStr">
        <is>
          <t>5 / 10 / 15</t>
        </is>
      </c>
      <c r="I16" s="208" t="inlineStr">
        <is>
          <t>5 / 10 / 15</t>
        </is>
      </c>
      <c r="J16" s="208" t="inlineStr">
        <is>
          <t>no change</t>
        </is>
      </c>
      <c r="K16" s="208" t="inlineStr">
        <is>
          <t>Jet was 5 to 8% of the five fuels produced in the 2017-2021 energy balances, consistent with the range. No change proposed.</t>
        </is>
      </c>
    </row>
    <row r="17">
      <c r="A17" s="208" t="inlineStr">
        <is>
          <t>jet</t>
        </is>
      </c>
      <c r="B17" s="208" t="inlineStr">
        <is>
          <t>restart_capacity</t>
        </is>
      </c>
      <c r="C17" s="208" t="inlineStr">
        <is>
          <t>thousand_bbl_per_day</t>
        </is>
      </c>
      <c r="D17" s="208" t="inlineStr">
        <is>
          <t>0</t>
        </is>
      </c>
      <c r="E17" s="208" t="inlineStr">
        <is>
          <t>no committed addition</t>
        </is>
      </c>
      <c r="F17" s="208" t="inlineStr">
        <is>
          <t>0 / 0 / 0</t>
        </is>
      </c>
      <c r="G17" s="208" t="inlineStr">
        <is>
          <t>0 / 0 / 0</t>
        </is>
      </c>
      <c r="H17" s="208" t="inlineStr">
        <is>
          <t>0 / 0 / 400</t>
        </is>
      </c>
      <c r="I17" s="208" t="inlineStr">
        <is>
          <t>0 / 0 / 400</t>
        </is>
      </c>
      <c r="J17" s="208" t="inlineStr">
        <is>
          <t>no change</t>
        </is>
      </c>
      <c r="K17" s="208" t="inlineStr">
        <is>
          <t>Existing conditional illustration; no investment decision, timing or product slate is sourced.</t>
        </is>
      </c>
    </row>
    <row r="18">
      <c r="A18" s="208" t="inlineStr">
        <is>
          <t>petrol</t>
        </is>
      </c>
      <c r="B18" s="208" t="inlineStr">
        <is>
          <t>passenger_mileage</t>
        </is>
      </c>
      <c r="C18" s="208" t="inlineStr">
        <is>
          <t>km_per_vehicle_year</t>
        </is>
      </c>
      <c r="D18" s="208" t="inlineStr">
        <is>
          <t>17000</t>
        </is>
      </c>
      <c r="E18" s="208" t="inlineStr">
        <is>
          <t>registered placeholder; not an observation</t>
        </is>
      </c>
      <c r="F18" s="208" t="inlineStr">
        <is>
          <t>13600 / 17000 / 20400</t>
        </is>
      </c>
      <c r="G18" s="208" t="inlineStr">
        <is>
          <t>12900 / 14500 / 17000</t>
        </is>
      </c>
      <c r="H18" s="208" t="inlineStr">
        <is>
          <t>13600 / 17000 / 20400</t>
        </is>
      </c>
      <c r="I18" s="208" t="inlineStr">
        <is>
          <t>12900 / 14500 / 17000</t>
        </is>
      </c>
      <c r="J18" s="208" t="inlineStr">
        <is>
          <t>replacement proposed</t>
        </is>
      </c>
      <c r="K18" s="208"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208" t="inlineStr">
        <is>
          <t>petrol</t>
        </is>
      </c>
      <c r="B19" s="208" t="inlineStr">
        <is>
          <t>gdp_growth</t>
        </is>
      </c>
      <c r="C19" s="208" t="inlineStr">
        <is>
          <t>percent_per_year</t>
        </is>
      </c>
      <c r="D19" s="208" t="inlineStr">
        <is>
          <t>0.5</t>
        </is>
      </c>
      <c r="E19" s="208" t="inlineStr">
        <is>
          <t>real GDP growth in 2024 (Stats SA P0441)</t>
        </is>
      </c>
      <c r="F19" s="208" t="inlineStr">
        <is>
          <t>1 / 2 / 3</t>
        </is>
      </c>
      <c r="G19" s="208" t="inlineStr">
        <is>
          <t>0.7 / 1.6 / 2</t>
        </is>
      </c>
      <c r="H19" s="208" t="inlineStr">
        <is>
          <t>1 / 2 / 3</t>
        </is>
      </c>
      <c r="I19" s="208" t="inlineStr">
        <is>
          <t>0.7 / 1.6 / 2</t>
        </is>
      </c>
      <c r="J19" s="208" t="inlineStr">
        <is>
          <t>replacement proposed</t>
        </is>
      </c>
      <c r="K19" s="208"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208" t="inlineStr">
        <is>
          <t>petrol</t>
        </is>
      </c>
      <c r="B20" s="208" t="inlineStr">
        <is>
          <t>bev_new_sales_share</t>
        </is>
      </c>
      <c r="C20" s="208" t="inlineStr">
        <is>
          <t>percent</t>
        </is>
      </c>
      <c r="D20" s="208" t="inlineStr">
        <is>
          <t>0.2</t>
        </is>
      </c>
      <c r="E20" s="208" t="inlineStr">
        <is>
          <t>1,088 battery electric vehicles sold in 2025, share of all new vehicles (naamsa)</t>
        </is>
      </c>
      <c r="F20" s="208" t="inlineStr">
        <is>
          <t>5 / 15 / 30</t>
        </is>
      </c>
      <c r="G20" s="208" t="inlineStr">
        <is>
          <t>0.5 / 4 / 20</t>
        </is>
      </c>
      <c r="H20" s="208" t="inlineStr">
        <is>
          <t>15 / 35 / 60</t>
        </is>
      </c>
      <c r="I20" s="208" t="inlineStr">
        <is>
          <t>2 / 15 / 40</t>
        </is>
      </c>
      <c r="J20" s="208" t="inlineStr">
        <is>
          <t>replacement proposed</t>
        </is>
      </c>
      <c r="K20" s="208"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208" t="inlineStr">
        <is>
          <t>petrol</t>
        </is>
      </c>
      <c r="B21" s="208" t="inlineStr">
        <is>
          <t>new_cohort_efficiency</t>
        </is>
      </c>
      <c r="C21" s="208" t="inlineStr">
        <is>
          <t>percent_per_year</t>
        </is>
      </c>
      <c r="D21" s="208" t="inlineStr">
        <is>
          <t>1.0 to 1.5</t>
        </is>
      </c>
      <c r="E21" s="208" t="inlineStr">
        <is>
          <t>registered petrol efficiency paths (low and high demand cases)</t>
        </is>
      </c>
      <c r="F21" s="208" t="inlineStr">
        <is>
          <t>1 / 1.25 / 1.5</t>
        </is>
      </c>
      <c r="G21" s="208" t="inlineStr">
        <is>
          <t>1 / 1.25 / 1.5</t>
        </is>
      </c>
      <c r="H21" s="208" t="inlineStr">
        <is>
          <t>1 / 1.25 / 1.5</t>
        </is>
      </c>
      <c r="I21" s="208" t="inlineStr">
        <is>
          <t>1 / 1.25 / 1.5</t>
        </is>
      </c>
      <c r="J21" s="208" t="inlineStr">
        <is>
          <t>no change</t>
        </is>
      </c>
      <c r="K21" s="208" t="inlineStr">
        <is>
          <t>Low and high equal the registered endpoints. Neither has a source. No change proposed.</t>
        </is>
      </c>
    </row>
    <row r="22">
      <c r="A22" s="208" t="inlineStr">
        <is>
          <t>petrol</t>
        </is>
      </c>
      <c r="B22" s="208" t="inlineStr">
        <is>
          <t>plant_utilisation</t>
        </is>
      </c>
      <c r="C22" s="208" t="inlineStr">
        <is>
          <t>percent</t>
        </is>
      </c>
      <c r="D22" s="208" t="inlineStr">
        <is>
          <t>67</t>
        </is>
      </c>
      <c r="E22" s="208" t="inlineStr">
        <is>
          <t>reported 2024 output over reported capacity, three plants; indicative</t>
        </is>
      </c>
      <c r="F22" s="208" t="inlineStr">
        <is>
          <t>60 / 75 / 90</t>
        </is>
      </c>
      <c r="G22" s="208" t="inlineStr">
        <is>
          <t>60 / 75 / 90</t>
        </is>
      </c>
      <c r="H22" s="208" t="inlineStr">
        <is>
          <t>60 / 75 / 90</t>
        </is>
      </c>
      <c r="I22" s="208" t="inlineStr">
        <is>
          <t>60 / 75 / 90</t>
        </is>
      </c>
      <c r="J22" s="208" t="inlineStr">
        <is>
          <t>no change</t>
        </is>
      </c>
      <c r="K22"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208" t="inlineStr">
        <is>
          <t>petrol</t>
        </is>
      </c>
      <c r="B23" s="208" t="inlineStr">
        <is>
          <t>product_yield</t>
        </is>
      </c>
      <c r="C23" s="208" t="inlineStr">
        <is>
          <t>percent</t>
        </is>
      </c>
      <c r="D23" s="208" t="inlineStr">
        <is>
          <t>54</t>
        </is>
      </c>
      <c r="E23" s="208" t="inlineStr">
        <is>
          <t>petrol share of refinery output in 2024 (JODI; lowest reliability)</t>
        </is>
      </c>
      <c r="F23" s="208" t="inlineStr">
        <is>
          <t>35 / 45 / 55</t>
        </is>
      </c>
      <c r="G23" s="208" t="inlineStr">
        <is>
          <t>45 / 50 / 55</t>
        </is>
      </c>
      <c r="H23" s="208" t="inlineStr">
        <is>
          <t>35 / 45 / 55</t>
        </is>
      </c>
      <c r="I23" s="208" t="inlineStr">
        <is>
          <t>45 / 50 / 55</t>
        </is>
      </c>
      <c r="J23" s="208" t="inlineStr">
        <is>
          <t>replacement proposed</t>
        </is>
      </c>
      <c r="K23" s="208"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208" t="inlineStr">
        <is>
          <t>petrol</t>
        </is>
      </c>
      <c r="B24" s="208" t="inlineStr">
        <is>
          <t>restart_capacity</t>
        </is>
      </c>
      <c r="C24" s="208" t="inlineStr">
        <is>
          <t>thousand_bbl_per_day</t>
        </is>
      </c>
      <c r="D24" s="208" t="inlineStr">
        <is>
          <t>0</t>
        </is>
      </c>
      <c r="E24" s="208" t="inlineStr">
        <is>
          <t>no committed addition</t>
        </is>
      </c>
      <c r="F24" s="208" t="inlineStr">
        <is>
          <t>0 / 0 / 0</t>
        </is>
      </c>
      <c r="G24" s="208" t="inlineStr">
        <is>
          <t>0 / 0 / 0</t>
        </is>
      </c>
      <c r="H24" s="208" t="inlineStr">
        <is>
          <t>0 / 0 / 400</t>
        </is>
      </c>
      <c r="I24" s="208" t="inlineStr">
        <is>
          <t>0 / 0 / 400</t>
        </is>
      </c>
      <c r="J24" s="208" t="inlineStr">
        <is>
          <t>no change</t>
        </is>
      </c>
      <c r="K24" s="208" t="inlineStr">
        <is>
          <t>Existing conditional illustration; no investment decision, timing or product slate is sourced.</t>
        </is>
      </c>
    </row>
    <row r="25">
      <c r="A25" s="208" t="inlineStr">
        <is>
          <t>diesel</t>
        </is>
      </c>
      <c r="B25" s="208" t="inlineStr">
        <is>
          <t>real_fuel_price</t>
        </is>
      </c>
      <c r="C25" s="208" t="inlineStr">
        <is>
          <t>index_2024_100</t>
        </is>
      </c>
      <c r="D25" s="208" t="inlineStr">
        <is>
          <t>100</t>
        </is>
      </c>
      <c r="E25" s="208" t="inlineStr">
        <is>
          <t>regulated inland price deflated by headline CPI, 2024 average</t>
        </is>
      </c>
      <c r="F25" s="208" t="inlineStr">
        <is>
          <t>- / - / -</t>
        </is>
      </c>
      <c r="G25" s="208" t="inlineStr">
        <is>
          <t>80 / 100 / 140</t>
        </is>
      </c>
      <c r="H25" s="208" t="inlineStr">
        <is>
          <t>- / - / -</t>
        </is>
      </c>
      <c r="I25" s="208" t="inlineStr">
        <is>
          <t>80 / 100 / 140</t>
        </is>
      </c>
      <c r="J25" s="208" t="inlineStr">
        <is>
          <t>added lever</t>
        </is>
      </c>
      <c r="K25" s="208"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208" t="inlineStr">
        <is>
          <t>diesel</t>
        </is>
      </c>
      <c r="B26" s="208" t="inlineStr">
        <is>
          <t>private_backup_generation</t>
        </is>
      </c>
      <c r="C26" s="208" t="inlineStr">
        <is>
          <t>bn_litres_per_year</t>
        </is>
      </c>
      <c r="D26" s="208" t="inlineStr">
        <is>
          <t>not measured</t>
        </is>
      </c>
      <c r="E26" s="208" t="inlineStr">
        <is>
          <t>no measured volume exists</t>
        </is>
      </c>
      <c r="F26" s="208" t="inlineStr">
        <is>
          <t>- / - / -</t>
        </is>
      </c>
      <c r="G26" s="208" t="inlineStr">
        <is>
          <t>0 / 0 / 0.5</t>
        </is>
      </c>
      <c r="H26" s="208" t="inlineStr">
        <is>
          <t>- / - / -</t>
        </is>
      </c>
      <c r="I26" s="208" t="inlineStr">
        <is>
          <t>0 / 0 / 0.5</t>
        </is>
      </c>
      <c r="J26" s="208" t="inlineStr">
        <is>
          <t>added lever</t>
        </is>
      </c>
      <c r="K26" s="208"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208" t="inlineStr">
        <is>
          <t>diesel</t>
        </is>
      </c>
      <c r="B27" s="208" t="inlineStr">
        <is>
          <t>electric_share_of_new_truck_sales</t>
        </is>
      </c>
      <c r="C27" s="208" t="inlineStr">
        <is>
          <t>percent</t>
        </is>
      </c>
      <c r="D27" s="208" t="inlineStr">
        <is>
          <t>not reported</t>
        </is>
      </c>
      <c r="E27" s="208" t="inlineStr">
        <is>
          <t>naamsa reports electrified sales for the whole market only; assumed close to zero</t>
        </is>
      </c>
      <c r="F27" s="208" t="inlineStr">
        <is>
          <t>- / - / -</t>
        </is>
      </c>
      <c r="G27" s="208" t="inlineStr">
        <is>
          <t>0 / 0.4 / 3</t>
        </is>
      </c>
      <c r="H27" s="208" t="inlineStr">
        <is>
          <t>- / - / -</t>
        </is>
      </c>
      <c r="I27" s="208" t="inlineStr">
        <is>
          <t>0 / 3 / 9</t>
        </is>
      </c>
      <c r="J27" s="208" t="inlineStr">
        <is>
          <t>added lever</t>
        </is>
      </c>
      <c r="K27" s="208"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208" t="inlineStr">
        <is>
          <t>diesel</t>
        </is>
      </c>
      <c r="B28" s="208" t="inlineStr">
        <is>
          <t>electric_share_of_new_light_commercial_sales</t>
        </is>
      </c>
      <c r="C28" s="208" t="inlineStr">
        <is>
          <t>percent</t>
        </is>
      </c>
      <c r="D28" s="208" t="inlineStr">
        <is>
          <t>not reported</t>
        </is>
      </c>
      <c r="E28" s="208" t="inlineStr">
        <is>
          <t>naamsa reports electrified sales for the whole market only; assumed close to zero</t>
        </is>
      </c>
      <c r="F28" s="208" t="inlineStr">
        <is>
          <t>- / - / -</t>
        </is>
      </c>
      <c r="G28" s="208" t="inlineStr">
        <is>
          <t>0 / 1 / 5</t>
        </is>
      </c>
      <c r="H28" s="208" t="inlineStr">
        <is>
          <t>- / - / -</t>
        </is>
      </c>
      <c r="I28" s="208" t="inlineStr">
        <is>
          <t>0 / 5 / 10</t>
        </is>
      </c>
      <c r="J28" s="208" t="inlineStr">
        <is>
          <t>added lever</t>
        </is>
      </c>
      <c r="K28" s="208"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208" t="inlineStr">
        <is>
          <t>petrol</t>
        </is>
      </c>
      <c r="B29" s="208" t="inlineStr">
        <is>
          <t>real_fuel_price</t>
        </is>
      </c>
      <c r="C29" s="208" t="inlineStr">
        <is>
          <t>index_2024_100</t>
        </is>
      </c>
      <c r="D29" s="208" t="inlineStr">
        <is>
          <t>100</t>
        </is>
      </c>
      <c r="E29" s="208" t="inlineStr">
        <is>
          <t>regulated inland price deflated by headline CPI, 2024 average</t>
        </is>
      </c>
      <c r="F29" s="208" t="inlineStr">
        <is>
          <t>- / - / -</t>
        </is>
      </c>
      <c r="G29" s="208" t="inlineStr">
        <is>
          <t>80 / 100 / 120</t>
        </is>
      </c>
      <c r="H29" s="208" t="inlineStr">
        <is>
          <t>- / - / -</t>
        </is>
      </c>
      <c r="I29" s="208" t="inlineStr">
        <is>
          <t>80 / 100 / 120</t>
        </is>
      </c>
      <c r="J29" s="208" t="inlineStr">
        <is>
          <t>added lever</t>
        </is>
      </c>
      <c r="K29" s="208"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208" t="inlineStr">
        <is>
          <t>petrol</t>
        </is>
      </c>
      <c r="B30" s="208" t="inlineStr">
        <is>
          <t>plug_in_hybrid_new_sales_share</t>
        </is>
      </c>
      <c r="C30" s="208" t="inlineStr">
        <is>
          <t>percent</t>
        </is>
      </c>
      <c r="D30" s="208" t="inlineStr">
        <is>
          <t>0.5</t>
        </is>
      </c>
      <c r="E30" s="208" t="inlineStr">
        <is>
          <t>share of all new vehicles in 2025 (naamsa)</t>
        </is>
      </c>
      <c r="F30" s="208" t="inlineStr">
        <is>
          <t>- / - / -</t>
        </is>
      </c>
      <c r="G30" s="208" t="inlineStr">
        <is>
          <t>0.5 / 1.2 / 2.1</t>
        </is>
      </c>
      <c r="H30" s="208" t="inlineStr">
        <is>
          <t>- / - / -</t>
        </is>
      </c>
      <c r="I30" s="208" t="inlineStr">
        <is>
          <t>0.5 / 2 / 3.7</t>
        </is>
      </c>
      <c r="J30" s="208" t="inlineStr">
        <is>
          <t>added lever</t>
        </is>
      </c>
      <c r="K30" s="208"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208" t="inlineStr">
        <is>
          <t>petrol</t>
        </is>
      </c>
      <c r="B31" s="208" t="inlineStr">
        <is>
          <t>conventional_hybrid_new_sales_share</t>
        </is>
      </c>
      <c r="C31" s="208" t="inlineStr">
        <is>
          <t>percent</t>
        </is>
      </c>
      <c r="D31" s="208" t="inlineStr">
        <is>
          <t>2.1</t>
        </is>
      </c>
      <c r="E31" s="208" t="inlineStr">
        <is>
          <t>share of all new vehicles in 2025 (naamsa)</t>
        </is>
      </c>
      <c r="F31" s="208" t="inlineStr">
        <is>
          <t>- / - / -</t>
        </is>
      </c>
      <c r="G31" s="208" t="inlineStr">
        <is>
          <t>2.1 / 4.4 / 6.7</t>
        </is>
      </c>
      <c r="H31" s="208" t="inlineStr">
        <is>
          <t>- / - / -</t>
        </is>
      </c>
      <c r="I31" s="208" t="inlineStr">
        <is>
          <t>2.1 / 6.7 / 11.3</t>
        </is>
      </c>
      <c r="J31" s="208" t="inlineStr">
        <is>
          <t>added lever</t>
        </is>
      </c>
      <c r="K31" s="208"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208" t="inlineStr">
        <is>
          <t>petrol</t>
        </is>
      </c>
      <c r="B32" s="208" t="inlineStr">
        <is>
          <t>rail_passenger_journeys</t>
        </is>
      </c>
      <c r="C32" s="208" t="inlineStr">
        <is>
          <t>million_per_year</t>
        </is>
      </c>
      <c r="D32" s="208" t="inlineStr">
        <is>
          <t>74</t>
        </is>
      </c>
      <c r="E32" s="208" t="inlineStr">
        <is>
          <t>rail passenger journeys in 2024 (Stats SA P7162)</t>
        </is>
      </c>
      <c r="F32" s="208" t="inlineStr">
        <is>
          <t>- / - / -</t>
        </is>
      </c>
      <c r="G32" s="208" t="inlineStr">
        <is>
          <t>100 / 180 / 320</t>
        </is>
      </c>
      <c r="H32" s="208" t="inlineStr">
        <is>
          <t>- / - / -</t>
        </is>
      </c>
      <c r="I32" s="208" t="inlineStr">
        <is>
          <t>100 / 250 / 320</t>
        </is>
      </c>
      <c r="J32" s="208" t="inlineStr">
        <is>
          <t>added lever</t>
        </is>
      </c>
      <c r="K32" s="208"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208" t="inlineStr">
        <is>
          <t>throughput</t>
        </is>
      </c>
      <c r="B33" s="208" t="inlineStr">
        <is>
          <t>exports_to_neighbours</t>
        </is>
      </c>
      <c r="C33" s="208" t="inlineStr">
        <is>
          <t>bn_litres_per_year</t>
        </is>
      </c>
      <c r="D33" s="208" t="inlineStr">
        <is>
          <t>1.48</t>
        </is>
      </c>
      <c r="E33" s="208" t="inlineStr">
        <is>
          <t>petrol and diesel exported to nine neighbouring countries in 2024 (SARS customs)</t>
        </is>
      </c>
      <c r="F33" s="208" t="inlineStr">
        <is>
          <t>- / - / -</t>
        </is>
      </c>
      <c r="G33" s="208" t="inlineStr">
        <is>
          <t>0.7 / 1.4 / 1.7</t>
        </is>
      </c>
      <c r="H33" s="208" t="inlineStr">
        <is>
          <t>- / - / -</t>
        </is>
      </c>
      <c r="I33" s="208" t="inlineStr">
        <is>
          <t>0.7 / 1.4 / 1.7</t>
        </is>
      </c>
      <c r="J33" s="208" t="inlineStr">
        <is>
          <t>added lever</t>
        </is>
      </c>
      <c r="K33" s="208"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208" t="inlineStr">
        <is>
          <t>G01</t>
        </is>
      </c>
      <c r="B5" s="208" t="inlineStr">
        <is>
          <t>National fuel balance</t>
        </is>
      </c>
      <c r="C5" s="208" t="inlineStr">
        <is>
          <t>Narrowed</t>
        </is>
      </c>
      <c r="D5" s="208" t="inlineStr">
        <is>
          <t>Balance rebuilt on customs trade for 2014-2025; Road Accident Fund levy found as an independent count.</t>
        </is>
      </c>
      <c r="E5" s="208" t="inlineStr">
        <is>
          <t>No sales after 2023; no production after 2021 (the last energy balance); no stock series.</t>
        </is>
      </c>
      <c r="F5" s="208" t="inlineStr">
        <is>
          <t>History, sections 2-5</t>
        </is>
      </c>
    </row>
    <row r="6">
      <c r="A6" s="208" t="inlineStr">
        <is>
          <t>G02</t>
        </is>
      </c>
      <c r="B6" s="208" t="inlineStr">
        <is>
          <t>Fleet and new sales</t>
        </is>
      </c>
      <c r="C6" s="208" t="inlineStr">
        <is>
          <t>Narrowed</t>
        </is>
      </c>
      <c r="D6" s="208" t="inlineStr">
        <is>
          <t>Registered vehicles by class 2021-2025, new sales 2017-2025 and apparent retirements lined up against the model.</t>
        </is>
      </c>
      <c r="E6" s="208" t="inlineStr">
        <is>
          <t>Stock by age and by fuel within each class is in no source held.</t>
        </is>
      </c>
      <c r="F6" s="208" t="inlineStr">
        <is>
          <t>Vehicle history</t>
        </is>
      </c>
    </row>
    <row r="7">
      <c r="A7" s="208" t="inlineStr">
        <is>
          <t>G03</t>
        </is>
      </c>
      <c r="B7" s="208" t="inlineStr">
        <is>
          <t>Passenger electrification</t>
        </is>
      </c>
      <c r="C7" s="208" t="inlineStr">
        <is>
          <t>Narrowed</t>
        </is>
      </c>
      <c r="D7" s="208" t="inlineStr">
        <is>
          <t>Battery electric, plug-in and conventional hybrid sales and shares, 2019-2025.</t>
        </is>
      </c>
      <c r="E7" s="208" t="inlineStr">
        <is>
          <t>Passenger-only denominators; electric vehicles in the fleet after 2023; fuel saved by hybrids.</t>
        </is>
      </c>
      <c r="F7" s="208" t="inlineStr">
        <is>
          <t>Vehicle history, section 4</t>
        </is>
      </c>
    </row>
    <row r="8">
      <c r="A8" s="208" t="inlineStr">
        <is>
          <t>G04</t>
        </is>
      </c>
      <c r="B8" s="208" t="inlineStr">
        <is>
          <t>Road freight activity</t>
        </is>
      </c>
      <c r="C8" s="208" t="inlineStr">
        <is>
          <t>Narrowed</t>
        </is>
      </c>
      <c r="D8" s="208" t="inlineStr">
        <is>
          <t>Heavy vehicle diesel is estimated for every year and set against road freight tonnes, giving litres per tonne. Stats SA fuel purchases by road freight firms give a floor of about 2.9 bn litres (2019) and 3.2 bn (2023).</t>
        </is>
      </c>
      <c r="E8" s="208" t="inlineStr">
        <is>
          <t>An annual tonne-kilometre series (only 2013 is published); distance, payload and empty running; light commercial freight scope.</t>
        </is>
      </c>
      <c r="F8" s="208" t="inlineStr">
        <is>
          <t>Diesel by use, sections 3, 3b and 4</t>
        </is>
      </c>
    </row>
    <row r="9">
      <c r="A9" s="208" t="inlineStr">
        <is>
          <t>G05</t>
        </is>
      </c>
      <c r="B9" s="208" t="inlineStr">
        <is>
          <t>Freight electrification</t>
        </is>
      </c>
      <c r="C9" s="208" t="inlineStr">
        <is>
          <t>Proposed</t>
        </is>
      </c>
      <c r="D9" s="208"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208" t="inlineStr">
        <is>
          <t>South African sales of electric trucks by size; duty cycles that could switch first; charging at depots.</t>
        </is>
      </c>
      <c r="F9" s="208" t="inlineStr">
        <is>
          <t>HML response</t>
        </is>
      </c>
    </row>
    <row r="10">
      <c r="A10" s="208" t="inlineStr">
        <is>
          <t>G06</t>
        </is>
      </c>
      <c r="B10" s="208" t="inlineStr">
        <is>
          <t>Manufacturing</t>
        </is>
      </c>
      <c r="C10" s="208" t="inlineStr">
        <is>
          <t>Narrowed</t>
        </is>
      </c>
      <c r="D10" s="208" t="inlineStr">
        <is>
          <t>Manufacturing and other industry diesel by difference, 2016-2021 (0.16-0.23 bn litres), with litres per index point.</t>
        </is>
      </c>
      <c r="E10" s="208" t="inlineStr">
        <is>
          <t>Sub-sector detail; the balance has no manufacturing lines before 2016.</t>
        </is>
      </c>
      <c r="F10" s="208" t="inlineStr">
        <is>
          <t>Sector history</t>
        </is>
      </c>
    </row>
    <row r="11">
      <c r="A11" s="208" t="inlineStr">
        <is>
          <t>G07</t>
        </is>
      </c>
      <c r="B11" s="208" t="inlineStr">
        <is>
          <t>Mining and construction</t>
        </is>
      </c>
      <c r="C11" s="208" t="inlineStr">
        <is>
          <t>Narrowed</t>
        </is>
      </c>
      <c r="D11" s="208" t="inlineStr">
        <is>
          <t>Mining diesel 2012-2021 with litres per index point (11-17 million); indicative 2022-2025.</t>
        </is>
      </c>
      <c r="E11" s="208" t="inlineStr">
        <is>
          <t>Observed fuel after 2021; site and commodity split; on-road boundary.</t>
        </is>
      </c>
      <c r="F11" s="208" t="inlineStr">
        <is>
          <t>Sector history</t>
        </is>
      </c>
    </row>
    <row r="12">
      <c r="A12" s="208" t="inlineStr">
        <is>
          <t>G08</t>
        </is>
      </c>
      <c r="B12" s="208" t="inlineStr">
        <is>
          <t>Agriculture</t>
        </is>
      </c>
      <c r="C12" s="208" t="inlineStr">
        <is>
          <t>Narrowed</t>
        </is>
      </c>
      <c r="D12" s="208" t="inlineStr">
        <is>
          <t>Agriculture diesel 2012-2021 with litres per rand of value added; indicative 2022-2025. Rebated diesel across all rebate sectors is 1.46 bn litres (year to March 2025).</t>
        </is>
      </c>
      <c r="E12" s="208" t="inlineStr">
        <is>
          <t>A fuel baseline after 2021; crop and irrigation activity.</t>
        </is>
      </c>
      <c r="F12" s="208" t="inlineStr">
        <is>
          <t>Sector history</t>
        </is>
      </c>
    </row>
    <row r="13">
      <c r="A13" s="208" t="inlineStr">
        <is>
          <t>G09</t>
        </is>
      </c>
      <c r="B13" s="208" t="inlineStr">
        <is>
          <t>Generation</t>
        </is>
      </c>
      <c r="C13" s="208" t="inlineStr">
        <is>
          <t>Narrowed</t>
        </is>
      </c>
      <c r="D13" s="208" t="inlineStr">
        <is>
          <t>Generation to the year ending March 2026; 0.31 litres per kWh in three reported years. The model's 2024 figure (3.58 bn litres) is at least 2 bn above reported burn.</t>
        </is>
      </c>
      <c r="E13" s="208" t="inlineStr">
        <is>
          <t>Matched fuel burn by calendar year; private backup generation has no measured volume.</t>
        </is>
      </c>
      <c r="F13" s="208" t="inlineStr">
        <is>
          <t>Diesel by use, section 1</t>
        </is>
      </c>
    </row>
    <row r="14">
      <c r="A14" s="208" t="inlineStr">
        <is>
          <t>G10</t>
        </is>
      </c>
      <c r="B14" s="208" t="inlineStr">
        <is>
          <t>Aviation</t>
        </is>
      </c>
      <c r="C14" s="208" t="inlineStr">
        <is>
          <t>Narrowed</t>
        </is>
      </c>
      <c r="D14" s="208" t="inlineStr">
        <is>
          <t>Jet sales, trade, production and aircraft movements lined up; jet sold per movement computed.</t>
        </is>
      </c>
      <c r="E14" s="208" t="inlineStr">
        <is>
          <t>Cargo, aircraft and route mix; airports outside ACSA; jet by airport.</t>
        </is>
      </c>
      <c r="F14" s="208" t="inlineStr">
        <is>
          <t>History, section 7</t>
        </is>
      </c>
    </row>
    <row r="15">
      <c r="A15" s="208" t="inlineStr">
        <is>
          <t>G11</t>
        </is>
      </c>
      <c r="B15" s="208" t="inlineStr">
        <is>
          <t>Provincial demand</t>
        </is>
      </c>
      <c r="C15" s="208" t="inlineStr">
        <is>
          <t>Narrowed</t>
        </is>
      </c>
      <c r="D15" s="208" t="inlineStr">
        <is>
          <t>2013-2022 observed; 2023 estimated with the best of six methods back-tested; 2024 blank (no national total).</t>
        </is>
      </c>
      <c r="E15" s="208" t="inlineStr">
        <is>
          <t>District data after 2023 quarter 1, which the department has not published; 2025 national total.</t>
        </is>
      </c>
      <c r="F15" s="208" t="inlineStr">
        <is>
          <t>History, sections 1 and 6</t>
        </is>
      </c>
    </row>
    <row r="16">
      <c r="A16" s="208" t="inlineStr">
        <is>
          <t>G12</t>
        </is>
      </c>
      <c r="B16" s="208" t="inlineStr">
        <is>
          <t>Marine and other coverage</t>
        </is>
      </c>
      <c r="C16" s="208" t="inlineStr">
        <is>
          <t>Open</t>
        </is>
      </c>
      <c r="D16" s="208" t="inlineStr">
        <is>
          <t>Nothing new. The model's marine placeholder equals the 2007 balance figure.</t>
        </is>
      </c>
      <c r="E16" s="208" t="inlineStr">
        <is>
          <t>Everything listed.</t>
        </is>
      </c>
      <c r="F16" s="208" t="inlineStr"/>
    </row>
    <row r="17">
      <c r="A17" s="208" t="inlineStr">
        <is>
          <t>G13</t>
        </is>
      </c>
      <c r="B17" s="208" t="inlineStr">
        <is>
          <t>Ranges and annual forecast paths</t>
        </is>
      </c>
      <c r="C17" s="208" t="inlineStr">
        <is>
          <t>Proposed</t>
        </is>
      </c>
      <c r="D17" s="208" t="inlineStr">
        <is>
          <t>Baseline, rationale and source for all 20 levers; 39 of 120 values with a proposed replacement; nine levers added.</t>
        </is>
      </c>
      <c r="E17" s="208" t="inlineStr">
        <is>
          <t>Agreement on the reference case and annual paths.</t>
        </is>
      </c>
      <c r="F17" s="208" t="inlineStr">
        <is>
          <t>HML response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85" t="inlineStr">
        <is>
          <t>Evidence row</t>
        </is>
      </c>
      <c r="B4" s="185" t="inlineStr">
        <is>
          <t>Series</t>
        </is>
      </c>
      <c r="C4" s="185" t="inlineStr">
        <is>
          <t>Year</t>
        </is>
      </c>
      <c r="D4" s="185" t="inlineStr">
        <is>
          <t>Workbook value</t>
        </is>
      </c>
      <c r="E4" s="185" t="inlineStr">
        <is>
          <t>Recomputed from inputs</t>
        </is>
      </c>
      <c r="F4" s="185" t="inlineStr">
        <is>
          <t>Result</t>
        </is>
      </c>
      <c r="G4" s="185" t="inlineStr">
        <is>
          <t>Input file</t>
        </is>
      </c>
    </row>
    <row r="5">
      <c r="A5" s="1" t="inlineStr">
        <is>
          <t>F5</t>
        </is>
      </c>
      <c r="B5" s="1" t="inlineStr">
        <is>
          <t>sales_petrol</t>
        </is>
      </c>
      <c r="C5" s="1" t="n">
        <v>2022</v>
      </c>
      <c r="D5" s="209" t="n">
        <v>9185</v>
      </c>
      <c r="E5" s="209" t="n">
        <v>9185</v>
      </c>
      <c r="F5" s="1" t="inlineStr">
        <is>
          <t>matches</t>
        </is>
      </c>
      <c r="G5" s="1" t="inlineStr">
        <is>
          <t>fuel_sales_fiasa.csv</t>
        </is>
      </c>
    </row>
    <row r="6">
      <c r="A6" s="1" t="inlineStr">
        <is>
          <t>G5</t>
        </is>
      </c>
      <c r="B6" s="1" t="inlineStr">
        <is>
          <t>sales_petrol</t>
        </is>
      </c>
      <c r="C6" s="1" t="n">
        <v>2023</v>
      </c>
      <c r="D6" s="209" t="n">
        <v>9037</v>
      </c>
      <c r="E6" s="209" t="n">
        <v>9037</v>
      </c>
      <c r="F6" s="1" t="inlineStr">
        <is>
          <t>matches</t>
        </is>
      </c>
      <c r="G6" s="1" t="inlineStr">
        <is>
          <t>fuel_sales_fiasa.csv</t>
        </is>
      </c>
    </row>
    <row r="7">
      <c r="A7" s="1" t="inlineStr">
        <is>
          <t>H5</t>
        </is>
      </c>
      <c r="B7" s="1" t="inlineStr">
        <is>
          <t>sales_petrol</t>
        </is>
      </c>
      <c r="C7" s="1" t="n">
        <v>2024</v>
      </c>
      <c r="D7" s="209" t="n">
        <v>9029</v>
      </c>
      <c r="E7" s="209" t="n">
        <v>9029</v>
      </c>
      <c r="F7" s="1" t="inlineStr">
        <is>
          <t>matches</t>
        </is>
      </c>
      <c r="G7" s="1" t="inlineStr">
        <is>
          <t>fuel_sales_fiasa.csv</t>
        </is>
      </c>
    </row>
    <row r="8">
      <c r="A8" s="1" t="inlineStr">
        <is>
          <t>F6</t>
        </is>
      </c>
      <c r="B8" s="1" t="inlineStr">
        <is>
          <t>dept_petrol</t>
        </is>
      </c>
      <c r="C8" s="1" t="n">
        <v>2022</v>
      </c>
      <c r="D8" s="209" t="n">
        <v>9184.869915572999</v>
      </c>
      <c r="E8" s="209" t="n">
        <v>9184.869915572999</v>
      </c>
      <c r="F8" s="1" t="inlineStr">
        <is>
          <t>matches</t>
        </is>
      </c>
      <c r="G8" s="1" t="inlineStr">
        <is>
          <t>fuel_sales_department.csv</t>
        </is>
      </c>
    </row>
    <row r="9">
      <c r="A9" s="1" t="inlineStr">
        <is>
          <t>G6</t>
        </is>
      </c>
      <c r="B9" s="1" t="inlineStr">
        <is>
          <t>dept_petrol</t>
        </is>
      </c>
      <c r="C9" s="1" t="n">
        <v>2023</v>
      </c>
      <c r="D9" s="209" t="n">
        <v>9036.950113492001</v>
      </c>
      <c r="E9" s="209" t="n">
        <v>9036.950113492001</v>
      </c>
      <c r="F9" s="1" t="inlineStr">
        <is>
          <t>matches</t>
        </is>
      </c>
      <c r="G9" s="1" t="inlineStr">
        <is>
          <t>fuel_sales_department.csv</t>
        </is>
      </c>
    </row>
    <row r="10">
      <c r="A10" s="1" t="inlineStr">
        <is>
          <t>F7</t>
        </is>
      </c>
      <c r="B10" s="1" t="inlineStr">
        <is>
          <t>sales_diesel</t>
        </is>
      </c>
      <c r="C10" s="1" t="n">
        <v>2022</v>
      </c>
      <c r="D10" s="209" t="n">
        <v>12717</v>
      </c>
      <c r="E10" s="209" t="n">
        <v>12717</v>
      </c>
      <c r="F10" s="1" t="inlineStr">
        <is>
          <t>matches</t>
        </is>
      </c>
      <c r="G10" s="1" t="inlineStr">
        <is>
          <t>fuel_sales_fiasa.csv</t>
        </is>
      </c>
    </row>
    <row r="11">
      <c r="A11" s="1" t="inlineStr">
        <is>
          <t>G7</t>
        </is>
      </c>
      <c r="B11" s="1" t="inlineStr">
        <is>
          <t>sales_diesel</t>
        </is>
      </c>
      <c r="C11" s="1" t="n">
        <v>2023</v>
      </c>
      <c r="D11" s="209" t="n">
        <v>12907</v>
      </c>
      <c r="E11" s="209" t="n">
        <v>12907</v>
      </c>
      <c r="F11" s="1" t="inlineStr">
        <is>
          <t>matches</t>
        </is>
      </c>
      <c r="G11" s="1" t="inlineStr">
        <is>
          <t>fuel_sales_fiasa.csv</t>
        </is>
      </c>
    </row>
    <row r="12">
      <c r="A12" s="1" t="inlineStr">
        <is>
          <t>H7</t>
        </is>
      </c>
      <c r="B12" s="1" t="inlineStr">
        <is>
          <t>sales_diesel</t>
        </is>
      </c>
      <c r="C12" s="1" t="n">
        <v>2024</v>
      </c>
      <c r="D12" s="209" t="n">
        <v>11734</v>
      </c>
      <c r="E12" s="209" t="n">
        <v>11734</v>
      </c>
      <c r="F12" s="1" t="inlineStr">
        <is>
          <t>matches</t>
        </is>
      </c>
      <c r="G12" s="1" t="inlineStr">
        <is>
          <t>fuel_sales_fiasa.csv</t>
        </is>
      </c>
    </row>
    <row r="13">
      <c r="A13" s="1" t="inlineStr">
        <is>
          <t>F8</t>
        </is>
      </c>
      <c r="B13" s="1" t="inlineStr">
        <is>
          <t>dept_diesel</t>
        </is>
      </c>
      <c r="C13" s="1" t="n">
        <v>2022</v>
      </c>
      <c r="D13" s="209" t="n">
        <v>12717.326319019</v>
      </c>
      <c r="E13" s="209" t="n">
        <v>12717.326319019</v>
      </c>
      <c r="F13" s="1" t="inlineStr">
        <is>
          <t>matches</t>
        </is>
      </c>
      <c r="G13" s="1" t="inlineStr">
        <is>
          <t>fuel_sales_department.csv</t>
        </is>
      </c>
    </row>
    <row r="14">
      <c r="A14" s="1" t="inlineStr">
        <is>
          <t>G8</t>
        </is>
      </c>
      <c r="B14" s="1" t="inlineStr">
        <is>
          <t>dept_diesel</t>
        </is>
      </c>
      <c r="C14" s="1" t="n">
        <v>2023</v>
      </c>
      <c r="D14" s="209" t="n">
        <v>12907.499965808</v>
      </c>
      <c r="E14" s="209" t="n">
        <v>12907.499965808</v>
      </c>
      <c r="F14" s="1" t="inlineStr">
        <is>
          <t>matches</t>
        </is>
      </c>
      <c r="G14" s="1" t="inlineStr">
        <is>
          <t>fuel_sales_department.csv</t>
        </is>
      </c>
    </row>
    <row r="15">
      <c r="A15" s="1" t="inlineStr">
        <is>
          <t>F9</t>
        </is>
      </c>
      <c r="B15" s="1" t="inlineStr">
        <is>
          <t>sales_jet</t>
        </is>
      </c>
      <c r="C15" s="1" t="n">
        <v>2022</v>
      </c>
      <c r="D15" s="209" t="n">
        <v>1478</v>
      </c>
      <c r="E15" s="209" t="n">
        <v>1478</v>
      </c>
      <c r="F15" s="1" t="inlineStr">
        <is>
          <t>matches</t>
        </is>
      </c>
      <c r="G15" s="1" t="inlineStr">
        <is>
          <t>fuel_sales_fiasa.csv</t>
        </is>
      </c>
    </row>
    <row r="16">
      <c r="A16" s="1" t="inlineStr">
        <is>
          <t>G9</t>
        </is>
      </c>
      <c r="B16" s="1" t="inlineStr">
        <is>
          <t>sales_jet</t>
        </is>
      </c>
      <c r="C16" s="1" t="n">
        <v>2023</v>
      </c>
      <c r="D16" s="209" t="n">
        <v>1844</v>
      </c>
      <c r="E16" s="209" t="n">
        <v>1844</v>
      </c>
      <c r="F16" s="1" t="inlineStr">
        <is>
          <t>matches</t>
        </is>
      </c>
      <c r="G16" s="1" t="inlineStr">
        <is>
          <t>fuel_sales_fiasa.csv</t>
        </is>
      </c>
    </row>
    <row r="17">
      <c r="A17" s="1" t="inlineStr">
        <is>
          <t>H9</t>
        </is>
      </c>
      <c r="B17" s="1" t="inlineStr">
        <is>
          <t>sales_jet</t>
        </is>
      </c>
      <c r="C17" s="1" t="n">
        <v>2024</v>
      </c>
      <c r="D17" s="209" t="n">
        <v>1955</v>
      </c>
      <c r="E17" s="209" t="n">
        <v>1955</v>
      </c>
      <c r="F17" s="1" t="inlineStr">
        <is>
          <t>matches</t>
        </is>
      </c>
      <c r="G17" s="1" t="inlineStr">
        <is>
          <t>fuel_sales_fiasa.csv</t>
        </is>
      </c>
    </row>
    <row r="18">
      <c r="A18" s="1" t="inlineStr">
        <is>
          <t>F10</t>
        </is>
      </c>
      <c r="B18" s="1" t="inlineStr">
        <is>
          <t>dept_jet</t>
        </is>
      </c>
      <c r="C18" s="1" t="n">
        <v>2022</v>
      </c>
      <c r="D18" s="209" t="n">
        <v>1478.149852603</v>
      </c>
      <c r="E18" s="209" t="n">
        <v>1478.149852603</v>
      </c>
      <c r="F18" s="1" t="inlineStr">
        <is>
          <t>matches</t>
        </is>
      </c>
      <c r="G18" s="1" t="inlineStr">
        <is>
          <t>fuel_sales_department.csv</t>
        </is>
      </c>
    </row>
    <row r="19">
      <c r="A19" s="1" t="inlineStr">
        <is>
          <t>G10</t>
        </is>
      </c>
      <c r="B19" s="1" t="inlineStr">
        <is>
          <t>dept_jet</t>
        </is>
      </c>
      <c r="C19" s="1" t="n">
        <v>2023</v>
      </c>
      <c r="D19" s="209" t="n">
        <v>1843.971762465</v>
      </c>
      <c r="E19" s="209" t="n">
        <v>1843.971762465</v>
      </c>
      <c r="F19" s="1" t="inlineStr">
        <is>
          <t>matches</t>
        </is>
      </c>
      <c r="G19" s="1" t="inlineStr">
        <is>
          <t>fuel_sales_department.csv</t>
        </is>
      </c>
    </row>
    <row r="20">
      <c r="A20" s="1" t="inlineStr">
        <is>
          <t>F11</t>
        </is>
      </c>
      <c r="B20" s="1" t="inlineStr">
        <is>
          <t>sales_fuel_oil</t>
        </is>
      </c>
      <c r="C20" s="1" t="n">
        <v>2022</v>
      </c>
      <c r="D20" s="209" t="n">
        <v>594</v>
      </c>
      <c r="E20" s="209" t="n">
        <v>594</v>
      </c>
      <c r="F20" s="1" t="inlineStr">
        <is>
          <t>matches</t>
        </is>
      </c>
      <c r="G20" s="1" t="inlineStr">
        <is>
          <t>fuel_sales_fiasa.csv</t>
        </is>
      </c>
    </row>
    <row r="21">
      <c r="A21" s="1" t="inlineStr">
        <is>
          <t>G11</t>
        </is>
      </c>
      <c r="B21" s="1" t="inlineStr">
        <is>
          <t>sales_fuel_oil</t>
        </is>
      </c>
      <c r="C21" s="1" t="n">
        <v>2023</v>
      </c>
      <c r="D21" s="209" t="n">
        <v>658</v>
      </c>
      <c r="E21" s="209" t="n">
        <v>658</v>
      </c>
      <c r="F21" s="1" t="inlineStr">
        <is>
          <t>matches</t>
        </is>
      </c>
      <c r="G21" s="1" t="inlineStr">
        <is>
          <t>fuel_sales_fiasa.csv</t>
        </is>
      </c>
    </row>
    <row r="22">
      <c r="A22" s="1" t="inlineStr">
        <is>
          <t>H11</t>
        </is>
      </c>
      <c r="B22" s="1" t="inlineStr">
        <is>
          <t>sales_fuel_oil</t>
        </is>
      </c>
      <c r="C22" s="1" t="n">
        <v>2024</v>
      </c>
      <c r="D22" s="209" t="n">
        <v>441</v>
      </c>
      <c r="E22" s="209" t="n">
        <v>441</v>
      </c>
      <c r="F22" s="1" t="inlineStr">
        <is>
          <t>matches</t>
        </is>
      </c>
      <c r="G22" s="1" t="inlineStr">
        <is>
          <t>fuel_sales_fiasa.csv</t>
        </is>
      </c>
    </row>
    <row r="23">
      <c r="A23" s="1" t="inlineStr">
        <is>
          <t>F12</t>
        </is>
      </c>
      <c r="B23" s="1" t="inlineStr">
        <is>
          <t>dept_fuel_oil</t>
        </is>
      </c>
      <c r="C23" s="1" t="n">
        <v>2022</v>
      </c>
      <c r="D23" s="209" t="n">
        <v>594.0401649620001</v>
      </c>
      <c r="E23" s="209" t="n">
        <v>594.0401649620001</v>
      </c>
      <c r="F23" s="1" t="inlineStr">
        <is>
          <t>matches</t>
        </is>
      </c>
      <c r="G23" s="1" t="inlineStr">
        <is>
          <t>fuel_sales_department.csv</t>
        </is>
      </c>
    </row>
    <row r="24">
      <c r="A24" s="1" t="inlineStr">
        <is>
          <t>G12</t>
        </is>
      </c>
      <c r="B24" s="1" t="inlineStr">
        <is>
          <t>dept_fuel_oil</t>
        </is>
      </c>
      <c r="C24" s="1" t="n">
        <v>2023</v>
      </c>
      <c r="D24" s="209" t="n">
        <v>658.0930416160001</v>
      </c>
      <c r="E24" s="209" t="n">
        <v>658.0930416160001</v>
      </c>
      <c r="F24" s="1" t="inlineStr">
        <is>
          <t>matches</t>
        </is>
      </c>
      <c r="G24" s="1" t="inlineStr">
        <is>
          <t>fuel_sales_department.csv</t>
        </is>
      </c>
    </row>
    <row r="25">
      <c r="A25" s="1" t="inlineStr">
        <is>
          <t>F25</t>
        </is>
      </c>
      <c r="B25" s="1" t="inlineStr">
        <is>
          <t>macro_gdp_per_capita</t>
        </is>
      </c>
      <c r="C25" s="1" t="n">
        <v>2022</v>
      </c>
      <c r="D25" s="209" t="n">
        <v>76055.06748983047</v>
      </c>
      <c r="E25" s="209" t="n">
        <v>76055.06748983047</v>
      </c>
      <c r="F25" s="1" t="inlineStr">
        <is>
          <t>matches</t>
        </is>
      </c>
      <c r="G25" s="1" t="inlineStr">
        <is>
          <t>macro_statssa.csv</t>
        </is>
      </c>
    </row>
    <row r="26">
      <c r="A26" s="1" t="inlineStr">
        <is>
          <t>G25</t>
        </is>
      </c>
      <c r="B26" s="1" t="inlineStr">
        <is>
          <t>macro_gdp_per_capita</t>
        </is>
      </c>
      <c r="C26" s="1" t="n">
        <v>2023</v>
      </c>
      <c r="D26" s="209" t="n">
        <v>75781.52071231291</v>
      </c>
      <c r="E26" s="209" t="n">
        <v>75781.52071231291</v>
      </c>
      <c r="F26" s="1" t="inlineStr">
        <is>
          <t>matches</t>
        </is>
      </c>
      <c r="G26" s="1" t="inlineStr">
        <is>
          <t>macro_statssa.csv</t>
        </is>
      </c>
    </row>
    <row r="27">
      <c r="A27" s="1" t="inlineStr">
        <is>
          <t>H25</t>
        </is>
      </c>
      <c r="B27" s="1" t="inlineStr">
        <is>
          <t>macro_gdp_per_capita</t>
        </is>
      </c>
      <c r="C27" s="1" t="n">
        <v>2024</v>
      </c>
      <c r="D27" s="209" t="n">
        <v>75255.62912098455</v>
      </c>
      <c r="E27" s="209" t="n">
        <v>75255.62912098455</v>
      </c>
      <c r="F27" s="1" t="inlineStr">
        <is>
          <t>matches</t>
        </is>
      </c>
      <c r="G27" s="1" t="inlineStr">
        <is>
          <t>macro_statssa.csv</t>
        </is>
      </c>
    </row>
    <row r="28">
      <c r="A28" s="1" t="inlineStr">
        <is>
          <t>I25</t>
        </is>
      </c>
      <c r="B28" s="1" t="inlineStr">
        <is>
          <t>macro_gdp_per_capita</t>
        </is>
      </c>
      <c r="C28" s="1" t="n">
        <v>2025</v>
      </c>
      <c r="D28" s="209" t="n">
        <v>75149.98563223911</v>
      </c>
      <c r="E28" s="209" t="n">
        <v>75149.98563223911</v>
      </c>
      <c r="F28" s="1" t="inlineStr">
        <is>
          <t>matches</t>
        </is>
      </c>
      <c r="G28" s="1" t="inlineStr">
        <is>
          <t>macro_statssa.csv</t>
        </is>
      </c>
    </row>
    <row r="29">
      <c r="A29" s="1" t="inlineStr">
        <is>
          <t>F26</t>
        </is>
      </c>
      <c r="B29" s="1" t="inlineStr">
        <is>
          <t>macro_agriculture_forestry_and_fishing</t>
        </is>
      </c>
      <c r="C29" s="1" t="n">
        <v>2022</v>
      </c>
      <c r="D29" s="209" t="n">
        <v>131.7706421450265</v>
      </c>
      <c r="E29" s="209" t="n">
        <v>131.7706421450265</v>
      </c>
      <c r="F29" s="1" t="inlineStr">
        <is>
          <t>matches</t>
        </is>
      </c>
      <c r="G29" s="1" t="inlineStr">
        <is>
          <t>macro_statssa.csv</t>
        </is>
      </c>
    </row>
    <row r="30">
      <c r="A30" s="1" t="inlineStr">
        <is>
          <t>G26</t>
        </is>
      </c>
      <c r="B30" s="1" t="inlineStr">
        <is>
          <t>macro_agriculture_forestry_and_fishing</t>
        </is>
      </c>
      <c r="C30" s="1" t="n">
        <v>2023</v>
      </c>
      <c r="D30" s="209" t="n">
        <v>125.7466421450265</v>
      </c>
      <c r="E30" s="209" t="n">
        <v>125.7466421450265</v>
      </c>
      <c r="F30" s="1" t="inlineStr">
        <is>
          <t>matches</t>
        </is>
      </c>
      <c r="G30" s="1" t="inlineStr">
        <is>
          <t>macro_statssa.csv</t>
        </is>
      </c>
    </row>
    <row r="31">
      <c r="A31" s="1" t="inlineStr">
        <is>
          <t>H26</t>
        </is>
      </c>
      <c r="B31" s="1" t="inlineStr">
        <is>
          <t>macro_agriculture_forestry_and_fishing</t>
        </is>
      </c>
      <c r="C31" s="1" t="n">
        <v>2024</v>
      </c>
      <c r="D31" s="209" t="n">
        <v>114.7916421450265</v>
      </c>
      <c r="E31" s="209" t="n">
        <v>114.7916421450265</v>
      </c>
      <c r="F31" s="1" t="inlineStr">
        <is>
          <t>matches</t>
        </is>
      </c>
      <c r="G31" s="1" t="inlineStr">
        <is>
          <t>macro_statssa.csv</t>
        </is>
      </c>
    </row>
    <row r="32">
      <c r="A32" s="1" t="inlineStr">
        <is>
          <t>I26</t>
        </is>
      </c>
      <c r="B32" s="1" t="inlineStr">
        <is>
          <t>macro_agriculture_forestry_and_fishing</t>
        </is>
      </c>
      <c r="C32" s="1" t="n">
        <v>2025</v>
      </c>
      <c r="D32" s="209" t="n">
        <v>134.7967469817132</v>
      </c>
      <c r="E32" s="209" t="n">
        <v>134.7967469817132</v>
      </c>
      <c r="F32" s="1" t="inlineStr">
        <is>
          <t>matches</t>
        </is>
      </c>
      <c r="G32" s="1" t="inlineStr">
        <is>
          <t>macro_statssa.csv</t>
        </is>
      </c>
    </row>
    <row r="33">
      <c r="A33" s="1" t="inlineStr">
        <is>
          <t>F27</t>
        </is>
      </c>
      <c r="B33" s="1" t="inlineStr">
        <is>
          <t>macro_manufacturing</t>
        </is>
      </c>
      <c r="C33" s="1" t="n">
        <v>2022</v>
      </c>
      <c r="D33" s="209" t="n">
        <v>523.0907540648606</v>
      </c>
      <c r="E33" s="209" t="n">
        <v>523.0907540648606</v>
      </c>
      <c r="F33" s="1" t="inlineStr">
        <is>
          <t>matches</t>
        </is>
      </c>
      <c r="G33" s="1" t="inlineStr">
        <is>
          <t>macro_statssa.csv</t>
        </is>
      </c>
    </row>
    <row r="34">
      <c r="A34" s="1" t="inlineStr">
        <is>
          <t>G27</t>
        </is>
      </c>
      <c r="B34" s="1" t="inlineStr">
        <is>
          <t>macro_manufacturing</t>
        </is>
      </c>
      <c r="C34" s="1" t="n">
        <v>2023</v>
      </c>
      <c r="D34" s="209" t="n">
        <v>524.9937540648609</v>
      </c>
      <c r="E34" s="209" t="n">
        <v>524.9937540648609</v>
      </c>
      <c r="F34" s="1" t="inlineStr">
        <is>
          <t>matches</t>
        </is>
      </c>
      <c r="G34" s="1" t="inlineStr">
        <is>
          <t>macro_statssa.csv</t>
        </is>
      </c>
    </row>
    <row r="35">
      <c r="A35" s="1" t="inlineStr">
        <is>
          <t>H27</t>
        </is>
      </c>
      <c r="B35" s="1" t="inlineStr">
        <is>
          <t>macro_manufacturing</t>
        </is>
      </c>
      <c r="C35" s="1" t="n">
        <v>2024</v>
      </c>
      <c r="D35" s="209" t="n">
        <v>523.150754064861</v>
      </c>
      <c r="E35" s="209" t="n">
        <v>523.150754064861</v>
      </c>
      <c r="F35" s="1" t="inlineStr">
        <is>
          <t>matches</t>
        </is>
      </c>
      <c r="G35" s="1" t="inlineStr">
        <is>
          <t>macro_statssa.csv</t>
        </is>
      </c>
    </row>
    <row r="36">
      <c r="A36" s="1" t="inlineStr">
        <is>
          <t>I27</t>
        </is>
      </c>
      <c r="B36" s="1" t="inlineStr">
        <is>
          <t>macro_manufacturing</t>
        </is>
      </c>
      <c r="C36" s="1" t="n">
        <v>2025</v>
      </c>
      <c r="D36" s="209" t="n">
        <v>516.9856529750193</v>
      </c>
      <c r="E36" s="209" t="n">
        <v>516.9856529750193</v>
      </c>
      <c r="F36" s="1" t="inlineStr">
        <is>
          <t>matches</t>
        </is>
      </c>
      <c r="G36" s="1" t="inlineStr">
        <is>
          <t>macro_statssa.csv</t>
        </is>
      </c>
    </row>
    <row r="37">
      <c r="A37" s="1" t="inlineStr">
        <is>
          <t>F28</t>
        </is>
      </c>
      <c r="B37" s="1" t="inlineStr">
        <is>
          <t>macro_mining_and_quarrying</t>
        </is>
      </c>
      <c r="C37" s="1" t="n">
        <v>2022</v>
      </c>
      <c r="D37" s="209" t="n">
        <v>204.4529227196744</v>
      </c>
      <c r="E37" s="209" t="n">
        <v>204.4529227196744</v>
      </c>
      <c r="F37" s="1" t="inlineStr">
        <is>
          <t>matches</t>
        </is>
      </c>
      <c r="G37" s="1" t="inlineStr">
        <is>
          <t>macro_statssa.csv</t>
        </is>
      </c>
    </row>
    <row r="38">
      <c r="A38" s="1" t="inlineStr">
        <is>
          <t>G28</t>
        </is>
      </c>
      <c r="B38" s="1" t="inlineStr">
        <is>
          <t>macro_mining_and_quarrying</t>
        </is>
      </c>
      <c r="C38" s="1" t="n">
        <v>2023</v>
      </c>
      <c r="D38" s="209" t="n">
        <v>204.2286999662737</v>
      </c>
      <c r="E38" s="209" t="n">
        <v>204.2286999662738</v>
      </c>
      <c r="F38" s="1" t="inlineStr">
        <is>
          <t>matches</t>
        </is>
      </c>
      <c r="G38" s="1" t="inlineStr">
        <is>
          <t>macro_statssa.csv</t>
        </is>
      </c>
    </row>
    <row r="39">
      <c r="A39" s="1" t="inlineStr">
        <is>
          <t>H28</t>
        </is>
      </c>
      <c r="B39" s="1" t="inlineStr">
        <is>
          <t>macro_mining_and_quarrying</t>
        </is>
      </c>
      <c r="C39" s="1" t="n">
        <v>2024</v>
      </c>
      <c r="D39" s="209" t="n">
        <v>205.1258295918731</v>
      </c>
      <c r="E39" s="209" t="n">
        <v>205.1258295918731</v>
      </c>
      <c r="F39" s="1" t="inlineStr">
        <is>
          <t>matches</t>
        </is>
      </c>
      <c r="G39" s="1" t="inlineStr">
        <is>
          <t>macro_statssa.csv</t>
        </is>
      </c>
    </row>
    <row r="40">
      <c r="A40" s="1" t="inlineStr">
        <is>
          <t>I28</t>
        </is>
      </c>
      <c r="B40" s="1" t="inlineStr">
        <is>
          <t>macro_mining_and_quarrying</t>
        </is>
      </c>
      <c r="C40" s="1" t="n">
        <v>2025</v>
      </c>
      <c r="D40" s="209" t="n">
        <v>205.4648860142573</v>
      </c>
      <c r="E40" s="209" t="n">
        <v>205.4648860142574</v>
      </c>
      <c r="F40" s="1" t="inlineStr">
        <is>
          <t>matches</t>
        </is>
      </c>
      <c r="G40" s="1" t="inlineStr">
        <is>
          <t>macro_statssa.csv</t>
        </is>
      </c>
    </row>
    <row r="41">
      <c r="A41" s="1" t="inlineStr">
        <is>
          <t>F29</t>
        </is>
      </c>
      <c r="B41" s="1" t="inlineStr">
        <is>
          <t>macro_construction</t>
        </is>
      </c>
      <c r="C41" s="1" t="n">
        <v>2022</v>
      </c>
      <c r="D41" s="209" t="n">
        <v>110.0650907489087</v>
      </c>
      <c r="E41" s="209" t="n">
        <v>110.0650907489087</v>
      </c>
      <c r="F41" s="1" t="inlineStr">
        <is>
          <t>matches</t>
        </is>
      </c>
      <c r="G41" s="1" t="inlineStr">
        <is>
          <t>macro_statssa.csv</t>
        </is>
      </c>
    </row>
    <row r="42">
      <c r="A42" s="1" t="inlineStr">
        <is>
          <t>G29</t>
        </is>
      </c>
      <c r="B42" s="1" t="inlineStr">
        <is>
          <t>macro_construction</t>
        </is>
      </c>
      <c r="C42" s="1" t="n">
        <v>2023</v>
      </c>
      <c r="D42" s="209" t="n">
        <v>109.5650907489087</v>
      </c>
      <c r="E42" s="209" t="n">
        <v>109.5650907489087</v>
      </c>
      <c r="F42" s="1" t="inlineStr">
        <is>
          <t>matches</t>
        </is>
      </c>
      <c r="G42" s="1" t="inlineStr">
        <is>
          <t>macro_statssa.csv</t>
        </is>
      </c>
    </row>
    <row r="43">
      <c r="A43" s="1" t="inlineStr">
        <is>
          <t>H29</t>
        </is>
      </c>
      <c r="B43" s="1" t="inlineStr">
        <is>
          <t>macro_construction</t>
        </is>
      </c>
      <c r="C43" s="1" t="n">
        <v>2024</v>
      </c>
      <c r="D43" s="209" t="n">
        <v>103.6250907489087</v>
      </c>
      <c r="E43" s="209" t="n">
        <v>103.6250907489087</v>
      </c>
      <c r="F43" s="1" t="inlineStr">
        <is>
          <t>matches</t>
        </is>
      </c>
      <c r="G43" s="1" t="inlineStr">
        <is>
          <t>macro_statssa.csv</t>
        </is>
      </c>
    </row>
    <row r="44">
      <c r="A44" s="1" t="inlineStr">
        <is>
          <t>I29</t>
        </is>
      </c>
      <c r="B44" s="1" t="inlineStr">
        <is>
          <t>macro_construction</t>
        </is>
      </c>
      <c r="C44" s="1" t="n">
        <v>2025</v>
      </c>
      <c r="D44" s="209" t="n">
        <v>99.09852067977131</v>
      </c>
      <c r="E44" s="209" t="n">
        <v>99.09852067977131</v>
      </c>
      <c r="F44" s="1" t="inlineStr">
        <is>
          <t>matches</t>
        </is>
      </c>
      <c r="G44" s="1" t="inlineStr">
        <is>
          <t>macro_statssa.csv</t>
        </is>
      </c>
    </row>
    <row r="45">
      <c r="A45" s="1" t="inlineStr">
        <is>
          <t>F30</t>
        </is>
      </c>
      <c r="B45" s="1" t="inlineStr">
        <is>
          <t>manufacturing_volume_total</t>
        </is>
      </c>
      <c r="C45" s="1" t="n">
        <v>2022</v>
      </c>
      <c r="D45" s="209" t="n">
        <v>93.14166666666667</v>
      </c>
      <c r="E45" s="209" t="n">
        <v>93.14166666666667</v>
      </c>
      <c r="F45" s="1" t="inlineStr">
        <is>
          <t>matches</t>
        </is>
      </c>
      <c r="G45" s="1" t="inlineStr">
        <is>
          <t>activity_statssa_monthly.csv</t>
        </is>
      </c>
    </row>
    <row r="46">
      <c r="A46" s="1" t="inlineStr">
        <is>
          <t>G30</t>
        </is>
      </c>
      <c r="B46" s="1" t="inlineStr">
        <is>
          <t>manufacturing_volume_total</t>
        </is>
      </c>
      <c r="C46" s="1" t="n">
        <v>2023</v>
      </c>
      <c r="D46" s="209" t="n">
        <v>93.71666666666665</v>
      </c>
      <c r="E46" s="209" t="n">
        <v>93.71666666666665</v>
      </c>
      <c r="F46" s="1" t="inlineStr">
        <is>
          <t>matches</t>
        </is>
      </c>
      <c r="G46" s="1" t="inlineStr">
        <is>
          <t>activity_statssa_monthly.csv</t>
        </is>
      </c>
    </row>
    <row r="47">
      <c r="A47" s="1" t="inlineStr">
        <is>
          <t>H30</t>
        </is>
      </c>
      <c r="B47" s="1" t="inlineStr">
        <is>
          <t>manufacturing_volume_total</t>
        </is>
      </c>
      <c r="C47" s="1" t="n">
        <v>2024</v>
      </c>
      <c r="D47" s="209" t="n">
        <v>93.33333333333333</v>
      </c>
      <c r="E47" s="209" t="n">
        <v>93.33333333333333</v>
      </c>
      <c r="F47" s="1" t="inlineStr">
        <is>
          <t>matches</t>
        </is>
      </c>
      <c r="G47" s="1" t="inlineStr">
        <is>
          <t>activity_statssa_monthly.csv</t>
        </is>
      </c>
    </row>
    <row r="48">
      <c r="A48" s="1" t="inlineStr">
        <is>
          <t>I30</t>
        </is>
      </c>
      <c r="B48" s="1" t="inlineStr">
        <is>
          <t>manufacturing_volume_total</t>
        </is>
      </c>
      <c r="C48" s="1" t="n">
        <v>2025</v>
      </c>
      <c r="D48" s="209" t="n">
        <v>92.14166666666665</v>
      </c>
      <c r="E48" s="209" t="n">
        <v>92.14166666666667</v>
      </c>
      <c r="F48" s="1" t="inlineStr">
        <is>
          <t>matches</t>
        </is>
      </c>
      <c r="G48" s="1" t="inlineStr">
        <is>
          <t>activity_statssa_monthly.csv</t>
        </is>
      </c>
    </row>
    <row r="49">
      <c r="A49" s="1" t="inlineStr">
        <is>
          <t>F31</t>
        </is>
      </c>
      <c r="B49" s="1" t="inlineStr">
        <is>
          <t>mining_volume_total</t>
        </is>
      </c>
      <c r="C49" s="1" t="n">
        <v>2022</v>
      </c>
      <c r="D49" s="209" t="n">
        <v>93.00833333333334</v>
      </c>
      <c r="E49" s="209" t="n">
        <v>93.00833333333333</v>
      </c>
      <c r="F49" s="1" t="inlineStr">
        <is>
          <t>matches</t>
        </is>
      </c>
      <c r="G49" s="1" t="inlineStr">
        <is>
          <t>activity_statssa_monthly.csv</t>
        </is>
      </c>
    </row>
    <row r="50">
      <c r="A50" s="1" t="inlineStr">
        <is>
          <t>G31</t>
        </is>
      </c>
      <c r="B50" s="1" t="inlineStr">
        <is>
          <t>mining_volume_total</t>
        </is>
      </c>
      <c r="C50" s="1" t="n">
        <v>2023</v>
      </c>
      <c r="D50" s="209" t="n">
        <v>93.01666666666667</v>
      </c>
      <c r="E50" s="209" t="n">
        <v>93.01666666666667</v>
      </c>
      <c r="F50" s="1" t="inlineStr">
        <is>
          <t>matches</t>
        </is>
      </c>
      <c r="G50" s="1" t="inlineStr">
        <is>
          <t>activity_statssa_monthly.csv</t>
        </is>
      </c>
    </row>
    <row r="51">
      <c r="A51" s="1" t="inlineStr">
        <is>
          <t>H31</t>
        </is>
      </c>
      <c r="B51" s="1" t="inlineStr">
        <is>
          <t>mining_volume_total</t>
        </is>
      </c>
      <c r="C51" s="1" t="n">
        <v>2024</v>
      </c>
      <c r="D51" s="209" t="n">
        <v>93.53333333333332</v>
      </c>
      <c r="E51" s="209" t="n">
        <v>93.53333333333335</v>
      </c>
      <c r="F51" s="1" t="inlineStr">
        <is>
          <t>matches</t>
        </is>
      </c>
      <c r="G51" s="1" t="inlineStr">
        <is>
          <t>activity_statssa_monthly.csv</t>
        </is>
      </c>
    </row>
    <row r="52">
      <c r="A52" s="1" t="inlineStr">
        <is>
          <t>I31</t>
        </is>
      </c>
      <c r="B52" s="1" t="inlineStr">
        <is>
          <t>mining_volume_total</t>
        </is>
      </c>
      <c r="C52" s="1" t="n">
        <v>2025</v>
      </c>
      <c r="D52" s="209" t="n">
        <v>93.70833333333333</v>
      </c>
      <c r="E52" s="209" t="n">
        <v>93.70833333333333</v>
      </c>
      <c r="F52" s="1" t="inlineStr">
        <is>
          <t>matches</t>
        </is>
      </c>
      <c r="G52" s="1" t="inlineStr">
        <is>
          <t>activity_statssa_monthly.csv</t>
        </is>
      </c>
    </row>
    <row r="53">
      <c r="A53" s="1" t="inlineStr">
        <is>
          <t>F43</t>
        </is>
      </c>
      <c r="B53" s="1" t="inlineStr">
        <is>
          <t>Provincial: EC petrol / million L/year</t>
        </is>
      </c>
      <c r="C53" s="1" t="n">
        <v>2022</v>
      </c>
      <c r="D53" s="209" t="n">
        <v>703.1324447169991</v>
      </c>
      <c r="E53" s="209" t="n">
        <v>703.132444716999</v>
      </c>
      <c r="F53" s="1" t="inlineStr">
        <is>
          <t>matches</t>
        </is>
      </c>
      <c r="G53" s="1" t="inlineStr">
        <is>
          <t>fuel_sales_department_by_province.csv</t>
        </is>
      </c>
    </row>
    <row r="54">
      <c r="A54" s="1" t="inlineStr">
        <is>
          <t>F44</t>
        </is>
      </c>
      <c r="B54" s="1" t="inlineStr">
        <is>
          <t>Provincial: FS petrol / million L/year</t>
        </is>
      </c>
      <c r="C54" s="1" t="n">
        <v>2022</v>
      </c>
      <c r="D54" s="209" t="n">
        <v>587.4580081820001</v>
      </c>
      <c r="E54" s="209" t="n">
        <v>587.4580081820001</v>
      </c>
      <c r="F54" s="1" t="inlineStr">
        <is>
          <t>matches</t>
        </is>
      </c>
      <c r="G54" s="1" t="inlineStr">
        <is>
          <t>fuel_sales_department_by_province.csv</t>
        </is>
      </c>
    </row>
    <row r="55">
      <c r="A55" s="1" t="inlineStr">
        <is>
          <t>F45</t>
        </is>
      </c>
      <c r="B55" s="1" t="inlineStr">
        <is>
          <t>Provincial: GP petrol / million L/year</t>
        </is>
      </c>
      <c r="C55" s="1" t="n">
        <v>2022</v>
      </c>
      <c r="D55" s="209" t="n">
        <v>3530.440256933996</v>
      </c>
      <c r="E55" s="209" t="n">
        <v>3530.440256933996</v>
      </c>
      <c r="F55" s="1" t="inlineStr">
        <is>
          <t>matches</t>
        </is>
      </c>
      <c r="G55" s="1" t="inlineStr">
        <is>
          <t>fuel_sales_department_by_province.csv</t>
        </is>
      </c>
    </row>
    <row r="56">
      <c r="A56" s="1" t="inlineStr">
        <is>
          <t>F46</t>
        </is>
      </c>
      <c r="B56" s="1" t="inlineStr">
        <is>
          <t>Provincial: KZN petrol / million L/year</t>
        </is>
      </c>
      <c r="C56" s="1" t="n">
        <v>2022</v>
      </c>
      <c r="D56" s="209" t="n">
        <v>1498.937893394999</v>
      </c>
      <c r="E56" s="209" t="n">
        <v>1498.937893394999</v>
      </c>
      <c r="F56" s="1" t="inlineStr">
        <is>
          <t>matches</t>
        </is>
      </c>
      <c r="G56" s="1" t="inlineStr">
        <is>
          <t>fuel_sales_department_by_province.csv</t>
        </is>
      </c>
    </row>
    <row r="57">
      <c r="A57" s="1" t="inlineStr">
        <is>
          <t>F47</t>
        </is>
      </c>
      <c r="B57" s="1" t="inlineStr">
        <is>
          <t>Provincial: LP petrol / million L/year</t>
        </is>
      </c>
      <c r="C57" s="1" t="n">
        <v>2022</v>
      </c>
      <c r="D57" s="209" t="n">
        <v>273.644045045999</v>
      </c>
      <c r="E57" s="209" t="n">
        <v>273.644045045999</v>
      </c>
      <c r="F57" s="1" t="inlineStr">
        <is>
          <t>matches</t>
        </is>
      </c>
      <c r="G57" s="1" t="inlineStr">
        <is>
          <t>fuel_sales_department_by_province.csv</t>
        </is>
      </c>
    </row>
    <row r="58">
      <c r="A58" s="1" t="inlineStr">
        <is>
          <t>F48</t>
        </is>
      </c>
      <c r="B58" s="1" t="inlineStr">
        <is>
          <t>Provincial: MP petrol / million L/year</t>
        </is>
      </c>
      <c r="C58" s="1" t="n">
        <v>2022</v>
      </c>
      <c r="D58" s="209" t="n">
        <v>612.2656460789989</v>
      </c>
      <c r="E58" s="209" t="n">
        <v>612.2656460789989</v>
      </c>
      <c r="F58" s="1" t="inlineStr">
        <is>
          <t>matches</t>
        </is>
      </c>
      <c r="G58" s="1" t="inlineStr">
        <is>
          <t>fuel_sales_department_by_province.csv</t>
        </is>
      </c>
    </row>
    <row r="59">
      <c r="A59" s="1" t="inlineStr">
        <is>
          <t>F49</t>
        </is>
      </c>
      <c r="B59" s="1" t="inlineStr">
        <is>
          <t>Provincial: NC petrol / million L/year</t>
        </is>
      </c>
      <c r="C59" s="1" t="n">
        <v>2022</v>
      </c>
      <c r="D59" s="209" t="n">
        <v>99.82992901300001</v>
      </c>
      <c r="E59" s="209" t="n">
        <v>99.829929013</v>
      </c>
      <c r="F59" s="1" t="inlineStr">
        <is>
          <t>matches</t>
        </is>
      </c>
      <c r="G59" s="1" t="inlineStr">
        <is>
          <t>fuel_sales_department_by_province.csv</t>
        </is>
      </c>
    </row>
    <row r="60">
      <c r="A60" s="1" t="inlineStr">
        <is>
          <t>F50</t>
        </is>
      </c>
      <c r="B60" s="1" t="inlineStr">
        <is>
          <t>Provincial: NW petrol / million L/year</t>
        </is>
      </c>
      <c r="C60" s="1" t="n">
        <v>2022</v>
      </c>
      <c r="D60" s="209" t="n">
        <v>448.1562321239999</v>
      </c>
      <c r="E60" s="209" t="n">
        <v>448.1562321239999</v>
      </c>
      <c r="F60" s="1" t="inlineStr">
        <is>
          <t>matches</t>
        </is>
      </c>
      <c r="G60" s="1" t="inlineStr">
        <is>
          <t>fuel_sales_department_by_province.csv</t>
        </is>
      </c>
    </row>
    <row r="61">
      <c r="A61" s="1" t="inlineStr">
        <is>
          <t>F51</t>
        </is>
      </c>
      <c r="B61" s="1" t="inlineStr">
        <is>
          <t>Provincial: WC petrol / million L/year</t>
        </is>
      </c>
      <c r="C61" s="1" t="n">
        <v>2022</v>
      </c>
      <c r="D61" s="209" t="n">
        <v>1431.005460082997</v>
      </c>
      <c r="E61" s="209" t="n">
        <v>1431.005460082997</v>
      </c>
      <c r="F61" s="1" t="inlineStr">
        <is>
          <t>matches</t>
        </is>
      </c>
      <c r="G61" s="1" t="inlineStr">
        <is>
          <t>fuel_sales_department_by_province.csv</t>
        </is>
      </c>
    </row>
    <row r="62">
      <c r="A62" s="1" t="inlineStr">
        <is>
          <t>F52</t>
        </is>
      </c>
      <c r="B62" s="1" t="inlineStr">
        <is>
          <t>Provincial: EC diesel / million L/year</t>
        </is>
      </c>
      <c r="C62" s="1" t="n">
        <v>2022</v>
      </c>
      <c r="D62" s="209" t="n">
        <v>1032.35218272</v>
      </c>
      <c r="E62" s="209" t="n">
        <v>1032.35218272</v>
      </c>
      <c r="F62" s="1" t="inlineStr">
        <is>
          <t>matches</t>
        </is>
      </c>
      <c r="G62" s="1" t="inlineStr">
        <is>
          <t>fuel_sales_department_by_province.csv</t>
        </is>
      </c>
    </row>
    <row r="63">
      <c r="A63" s="1" t="inlineStr">
        <is>
          <t>F53</t>
        </is>
      </c>
      <c r="B63" s="1" t="inlineStr">
        <is>
          <t>Provincial: FS diesel / million L/year</t>
        </is>
      </c>
      <c r="C63" s="1" t="n">
        <v>2022</v>
      </c>
      <c r="D63" s="209" t="n">
        <v>781.8611598310002</v>
      </c>
      <c r="E63" s="209" t="n">
        <v>781.8611598310002</v>
      </c>
      <c r="F63" s="1" t="inlineStr">
        <is>
          <t>matches</t>
        </is>
      </c>
      <c r="G63" s="1" t="inlineStr">
        <is>
          <t>fuel_sales_department_by_province.csv</t>
        </is>
      </c>
    </row>
    <row r="64">
      <c r="A64" s="1" t="inlineStr">
        <is>
          <t>F54</t>
        </is>
      </c>
      <c r="B64" s="1" t="inlineStr">
        <is>
          <t>Provincial: GP diesel / million L/year</t>
        </is>
      </c>
      <c r="C64" s="1" t="n">
        <v>2022</v>
      </c>
      <c r="D64" s="209" t="n">
        <v>3278.990501961999</v>
      </c>
      <c r="E64" s="209" t="n">
        <v>3278.990501961999</v>
      </c>
      <c r="F64" s="1" t="inlineStr">
        <is>
          <t>matches</t>
        </is>
      </c>
      <c r="G64" s="1" t="inlineStr">
        <is>
          <t>fuel_sales_department_by_province.csv</t>
        </is>
      </c>
    </row>
    <row r="65">
      <c r="A65" s="1" t="inlineStr">
        <is>
          <t>F55</t>
        </is>
      </c>
      <c r="B65" s="1" t="inlineStr">
        <is>
          <t>Provincial: KZN diesel / million L/year</t>
        </is>
      </c>
      <c r="C65" s="1" t="n">
        <v>2022</v>
      </c>
      <c r="D65" s="209" t="n">
        <v>2785.554802503</v>
      </c>
      <c r="E65" s="209" t="n">
        <v>2785.554802503</v>
      </c>
      <c r="F65" s="1" t="inlineStr">
        <is>
          <t>matches</t>
        </is>
      </c>
      <c r="G65" s="1" t="inlineStr">
        <is>
          <t>fuel_sales_department_by_province.csv</t>
        </is>
      </c>
    </row>
    <row r="66">
      <c r="A66" s="1" t="inlineStr">
        <is>
          <t>F56</t>
        </is>
      </c>
      <c r="B66" s="1" t="inlineStr">
        <is>
          <t>Provincial: LP diesel / million L/year</t>
        </is>
      </c>
      <c r="C66" s="1" t="n">
        <v>2022</v>
      </c>
      <c r="D66" s="209" t="n">
        <v>221.987440248</v>
      </c>
      <c r="E66" s="209" t="n">
        <v>221.987440248</v>
      </c>
      <c r="F66" s="1" t="inlineStr">
        <is>
          <t>matches</t>
        </is>
      </c>
      <c r="G66" s="1" t="inlineStr">
        <is>
          <t>fuel_sales_department_by_province.csv</t>
        </is>
      </c>
    </row>
    <row r="67">
      <c r="A67" s="1" t="inlineStr">
        <is>
          <t>F57</t>
        </is>
      </c>
      <c r="B67" s="1" t="inlineStr">
        <is>
          <t>Provincial: MP diesel / million L/year</t>
        </is>
      </c>
      <c r="C67" s="1" t="n">
        <v>2022</v>
      </c>
      <c r="D67" s="209" t="n">
        <v>1144.924075864997</v>
      </c>
      <c r="E67" s="209" t="n">
        <v>1144.924075864997</v>
      </c>
      <c r="F67" s="1" t="inlineStr">
        <is>
          <t>matches</t>
        </is>
      </c>
      <c r="G67" s="1" t="inlineStr">
        <is>
          <t>fuel_sales_department_by_province.csv</t>
        </is>
      </c>
    </row>
    <row r="68">
      <c r="A68" s="1" t="inlineStr">
        <is>
          <t>F58</t>
        </is>
      </c>
      <c r="B68" s="1" t="inlineStr">
        <is>
          <t>Provincial: NC diesel / million L/year</t>
        </is>
      </c>
      <c r="C68" s="1" t="n">
        <v>2022</v>
      </c>
      <c r="D68" s="209" t="n">
        <v>351.9801199100001</v>
      </c>
      <c r="E68" s="209" t="n">
        <v>351.9801199100001</v>
      </c>
      <c r="F68" s="1" t="inlineStr">
        <is>
          <t>matches</t>
        </is>
      </c>
      <c r="G68" s="1" t="inlineStr">
        <is>
          <t>fuel_sales_department_by_province.csv</t>
        </is>
      </c>
    </row>
    <row r="69">
      <c r="A69" s="1" t="inlineStr">
        <is>
          <t>F59</t>
        </is>
      </c>
      <c r="B69" s="1" t="inlineStr">
        <is>
          <t>Provincial: NW diesel / million L/year</t>
        </is>
      </c>
      <c r="C69" s="1" t="n">
        <v>2022</v>
      </c>
      <c r="D69" s="209" t="n">
        <v>619.906488913</v>
      </c>
      <c r="E69" s="209" t="n">
        <v>619.906488913</v>
      </c>
      <c r="F69" s="1" t="inlineStr">
        <is>
          <t>matches</t>
        </is>
      </c>
      <c r="G69" s="1" t="inlineStr">
        <is>
          <t>fuel_sales_department_by_province.csv</t>
        </is>
      </c>
    </row>
    <row r="70">
      <c r="A70" s="1" t="inlineStr">
        <is>
          <t>F60</t>
        </is>
      </c>
      <c r="B70" s="1" t="inlineStr">
        <is>
          <t>Provincial: WC diesel / million L/year</t>
        </is>
      </c>
      <c r="C70" s="1" t="n">
        <v>2022</v>
      </c>
      <c r="D70" s="209" t="n">
        <v>2499.769547067</v>
      </c>
      <c r="E70" s="209"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is still set to FIASA on Nigel's sheet, because the department has no 2024 figure to switch to. The added sheets do not use FIASA for any year. For Nigel to decide.</t>
        </is>
      </c>
    </row>
    <row r="85">
      <c r="A85" s="1" t="inlineStr">
        <is>
          <t>Sheets added: History, DR01 balance, Sector history, Diesel by use, Demand by use, DR04 routes, DR04 entry points, DR04 transport cost, DR07 evidence, DR07 power diesel, DR07 fleet by province, DR07 efficiency and rail, DR08 evidence, DR08 refinery output, Power fleet, Vehicle history, HML response, Gap status, Checks, History sources. No other cell changed.</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85" t="inlineStr">
        <is>
          <t>Used for</t>
        </is>
      </c>
      <c r="B4" s="185" t="inlineStr">
        <is>
          <t>Publisher</t>
        </is>
      </c>
      <c r="C4" s="185" t="inlineStr">
        <is>
          <t>Link</t>
        </is>
      </c>
      <c r="D4" s="185" t="inlineStr">
        <is>
          <t>Original file</t>
        </is>
      </c>
      <c r="E4" s="185" t="inlineStr">
        <is>
          <t>Where the original is kept</t>
        </is>
      </c>
      <c r="F4" s="185" t="inlineStr">
        <is>
          <t>Extract in the repository</t>
        </is>
      </c>
      <c r="G4" s="185" t="inlineStr">
        <is>
          <t>Refresh command</t>
        </is>
      </c>
      <c r="H4" s="185" t="inlineStr">
        <is>
          <t>Periods</t>
        </is>
      </c>
      <c r="I4" s="185" t="inlineStr">
        <is>
          <t>Limits</t>
        </is>
      </c>
    </row>
    <row r="5">
      <c r="A5" s="208" t="inlineStr">
        <is>
          <t>History sections 1 and 4: national sales</t>
        </is>
      </c>
      <c r="B5" s="208" t="inlineStr">
        <is>
          <t>Department of Mineral and Petroleum Resources (energy department)</t>
        </is>
      </c>
      <c r="C5" s="208" t="inlineStr">
        <is>
          <t>https://www.dmpr.gov.za/Portals/0/Energy_Website/files/media/SA FUEL SALES VOLUME/</t>
        </is>
      </c>
      <c r="D5" s="208" t="inlineStr">
        <is>
          <t>&lt;year&gt;-...-FSV....xls(x), national annual workbooks 2005-2023</t>
        </is>
      </c>
      <c r="E5" s="208" t="inlineStr">
        <is>
          <t>local to Manish and Nigel; not on main</t>
        </is>
      </c>
      <c r="F5" s="208" t="inlineStr">
        <is>
          <t>assumptions/2026/timeseries/fuel_sales_department.csv</t>
        </is>
      </c>
      <c r="G5" s="208" t="inlineStr">
        <is>
          <t>python -m lfm.scripts.fetch_energy_dept --vintage 2026</t>
        </is>
      </c>
      <c r="H5" s="208" t="inlineStr">
        <is>
          <t>2005-2023</t>
        </is>
      </c>
      <c r="I5" s="208" t="inlineStr">
        <is>
          <t>2013 corrected on manish-branch (published sheet). Series ends 2023.</t>
        </is>
      </c>
    </row>
    <row r="6">
      <c r="A6" s="208" t="inlineStr">
        <is>
          <t>History section 1: sales by province</t>
        </is>
      </c>
      <c r="B6" s="208" t="inlineStr">
        <is>
          <t>Department of Mineral and Petroleum Resources (energy department)</t>
        </is>
      </c>
      <c r="C6" s="208" t="inlineStr">
        <is>
          <t>https://www.dmpr.gov.za/Portals/0/Energy_Website/files/media/SA FUEL SALES VOLUME/</t>
        </is>
      </c>
      <c r="D6" s="208" t="inlineStr">
        <is>
          <t>&lt;year&gt;-...-Magisterial-Districts-data.xlsx, quarterly sheets</t>
        </is>
      </c>
      <c r="E6" s="208" t="inlineStr">
        <is>
          <t>local to Manish and Nigel; not on main (2013 annual workbook on manish-branch)</t>
        </is>
      </c>
      <c r="F6" s="208" t="inlineStr">
        <is>
          <t>assumptions/2026/timeseries/fuel_sales_department_by_province.csv</t>
        </is>
      </c>
      <c r="G6" s="208" t="inlineStr">
        <is>
          <t>python -m lfm.scripts.fetch_energy_dept --vintage 2026</t>
        </is>
      </c>
      <c r="H6" s="208" t="inlineStr">
        <is>
          <t>2013-2022</t>
        </is>
      </c>
      <c r="I6" s="208" t="inlineStr">
        <is>
          <t>Ends 2022. 2018 understated about 1.8% (district Q1 sheet incomplete). 2014-Q3 differs from national file.</t>
        </is>
      </c>
    </row>
    <row r="7">
      <c r="A7" s="208" t="inlineStr">
        <is>
          <t>History section 2: imports and exports</t>
        </is>
      </c>
      <c r="B7" s="208" t="inlineStr">
        <is>
          <t>South African Revenue Service, trade statistics</t>
        </is>
      </c>
      <c r="C7" s="208" t="inlineStr">
        <is>
          <t>https://tools.sars.gov.za/tradestatsportal/data_download.aspx</t>
        </is>
      </c>
      <c r="D7" s="208" t="inlineStr">
        <is>
          <t>sars-&lt;imports|exports&gt;-chapter27-fuels-&lt;year&gt;.xlsx, 2010-2026</t>
        </is>
      </c>
      <c r="E7" s="208" t="inlineStr">
        <is>
          <t>on manish-branch (external/data/raw/sars/)</t>
        </is>
      </c>
      <c r="F7" s="208" t="inlineStr">
        <is>
          <t>assumptions/2026/timeseries/fuel_trade_sars.csv</t>
        </is>
      </c>
      <c r="G7" s="208" t="inlineStr">
        <is>
          <t>python -m lfm.scripts.fetch_sars --vintage 2026</t>
        </is>
      </c>
      <c r="H7" s="208" t="inlineStr">
        <is>
          <t>2010-2026</t>
        </is>
      </c>
      <c r="I7" s="208" t="inlineStr">
        <is>
          <t>Primary record of imports and exports from 2014. Kilograms to 2012, litres from 2014, both in 2013.</t>
        </is>
      </c>
    </row>
    <row r="8">
      <c r="A8" s="208" t="inlineStr">
        <is>
          <t>History section 2: FIASA comparison rows</t>
        </is>
      </c>
      <c r="B8" s="208" t="inlineStr">
        <is>
          <t>Fuels Industry Association of South Africa (from customs data)</t>
        </is>
      </c>
      <c r="C8" s="208" t="inlineStr">
        <is>
          <t>https://fuelsindustry.org.za/publications/annual-reports/</t>
        </is>
      </c>
      <c r="D8" s="208" t="inlineStr">
        <is>
          <t>annual-report-&lt;year&gt;.pdf; 2025 edition pp.47-49</t>
        </is>
      </c>
      <c r="E8" s="208" t="inlineStr">
        <is>
          <t>local to Manish and Nigel; not on main; 2025 edition on main</t>
        </is>
      </c>
      <c r="F8" s="208" t="inlineStr">
        <is>
          <t>assumptions/2026/timeseries/fuel_trade_fiasa.csv</t>
        </is>
      </c>
      <c r="G8" s="208" t="inlineStr">
        <is>
          <t>python -m lfm.scripts.fetch_fuel_sales --vintage 2026</t>
        </is>
      </c>
      <c r="H8" s="208" t="inlineStr">
        <is>
          <t>2009-2025</t>
        </is>
      </c>
      <c r="I8" s="208" t="inlineStr">
        <is>
          <t>Cross-check, and the record before 2014; SARS is primary from 2014. 'Kerosene' is jet plus paraffin. Its 2024 diesel import figure is 4.000 bn L above customs.</t>
        </is>
      </c>
    </row>
    <row r="9">
      <c r="A9" s="208" t="inlineStr">
        <is>
          <t>History section 4: FIASA comparison row</t>
        </is>
      </c>
      <c r="B9" s="208" t="inlineStr">
        <is>
          <t>Fuels Industry Association of South Africa</t>
        </is>
      </c>
      <c r="C9" s="208" t="inlineStr">
        <is>
          <t>https://fuelsindustry.org.za/publications/annual-reports/</t>
        </is>
      </c>
      <c r="D9" s="208" t="inlineStr">
        <is>
          <t>annual-report-&lt;year&gt;.pdf, 2021-2025 editions</t>
        </is>
      </c>
      <c r="E9" s="208" t="inlineStr">
        <is>
          <t>local to Manish and Nigel; not on main; 2025 edition on main</t>
        </is>
      </c>
      <c r="F9" s="208" t="inlineStr">
        <is>
          <t>assumptions/2026/timeseries/fuel_sales_fiasa.csv</t>
        </is>
      </c>
      <c r="G9" s="208" t="inlineStr">
        <is>
          <t>python -m lfm.scripts.fetch_fuel_sales --vintage 2026</t>
        </is>
      </c>
      <c r="H9" s="208" t="inlineStr">
        <is>
          <t>2009-2024</t>
        </is>
      </c>
      <c r="I9" s="208" t="inlineStr">
        <is>
          <t>Used for 2024 only. Its 2013 figures equal the department's superseded sheet.</t>
        </is>
      </c>
    </row>
    <row r="10">
      <c r="A10" s="208" t="inlineStr">
        <is>
          <t>History section 3 and Sector history: production and diesel by sector</t>
        </is>
      </c>
      <c r="B10" s="208" t="inlineStr">
        <is>
          <t>Department of Mineral and Petroleum Resources (energy department)</t>
        </is>
      </c>
      <c r="C10" s="208" t="inlineStr">
        <is>
          <t>https://www.dmpr.gov.za/Portals/0/Energy_Website/files/media/Energy_Balances.html</t>
        </is>
      </c>
      <c r="D10" s="208" t="inlineStr">
        <is>
          <t>&lt;year&gt;-Commodity-Flow-and-Energy-Balance.xlsx, 2007-2021</t>
        </is>
      </c>
      <c r="E10" s="208" t="inlineStr">
        <is>
          <t>local to Manish and Nigel; not on main</t>
        </is>
      </c>
      <c r="F10" s="208" t="inlineStr">
        <is>
          <t>assumptions/2026/timeseries/energy_balance_department.csv</t>
        </is>
      </c>
      <c r="G10" s="208" t="inlineStr">
        <is>
          <t>python -m lfm.scripts.fetch_energy_dept --vintage 2026</t>
        </is>
      </c>
      <c r="H10" s="208" t="inlineStr">
        <is>
          <t>2007-2021</t>
        </is>
      </c>
      <c r="I10" s="208" t="inlineStr">
        <is>
          <t>Ends 2021. Sector definitions shift in 2016. Fuel oil not extracted.</t>
        </is>
      </c>
    </row>
    <row r="11">
      <c r="A11" s="208" t="inlineStr">
        <is>
          <t>History section 3: refinery output reported to JODI (comparison only, not used)</t>
        </is>
      </c>
      <c r="B11" s="208" t="inlineStr">
        <is>
          <t>JODI oil database (South Africa's submissions)</t>
        </is>
      </c>
      <c r="C11" s="208" t="inlineStr">
        <is>
          <t>https://www.jodidata.org/oil/database/data-downloads.aspx</t>
        </is>
      </c>
      <c r="D11" s="208" t="inlineStr">
        <is>
          <t>jodi-secondary-zaf-2017-2022.csv; jodi-secondary-zaf-2023-2025.csv</t>
        </is>
      </c>
      <c r="E11" s="208" t="inlineStr">
        <is>
          <t>on manish-branch (external/data/raw/jodi/)</t>
        </is>
      </c>
      <c r="F11" s="208" t="inlineStr">
        <is>
          <t>assumptions/2026/timeseries/oil_balance_jodi.csv</t>
        </is>
      </c>
      <c r="G11" s="208" t="inlineStr">
        <is>
          <t>python -m lfm.scripts.stage_jodi --vintage 2026</t>
        </is>
      </c>
      <c r="H11" s="208" t="inlineStr">
        <is>
          <t>2017-2024</t>
        </is>
      </c>
      <c r="I11" s="208" t="inlineStr">
        <is>
          <t>Lowest JODI assessment code throughout. Diesel refinery output agrees with the energy balance within 4% for 2017-2021; petrol is 12-24% higher. Imports, demand and stocks are not usable.</t>
        </is>
      </c>
    </row>
    <row r="12">
      <c r="A12" s="208" t="inlineStr">
        <is>
          <t>DR04 entry points: petrol and diesel imports by customs office</t>
        </is>
      </c>
      <c r="B12" s="208" t="inlineStr">
        <is>
          <t>South African Revenue Service, trade statistics</t>
        </is>
      </c>
      <c r="C12" s="208" t="inlineStr">
        <is>
          <t>https://tools.sars.gov.za/tradestatsportal/data_download.aspx</t>
        </is>
      </c>
      <c r="D12" s="208" t="inlineStr">
        <is>
          <t>same workbooks</t>
        </is>
      </c>
      <c r="E12" s="208" t="inlineStr">
        <is>
          <t>on manish-branch (external/data/raw/sars/)</t>
        </is>
      </c>
      <c r="F12" s="208" t="inlineStr">
        <is>
          <t>assumptions/2026/timeseries/fuel_trade_sars_by_office.csv</t>
        </is>
      </c>
      <c r="G12" s="208" t="inlineStr">
        <is>
          <t>python -m lfm.scripts.fetch_sars --vintage 2026</t>
        </is>
      </c>
      <c r="H12" s="208" t="inlineStr">
        <is>
          <t>2010-2026</t>
        </is>
      </c>
      <c r="I12" s="208" t="inlineStr">
        <is>
          <t>Customs office that cleared the goods: a proxy for entry port, not a terminal record.</t>
        </is>
      </c>
    </row>
    <row r="13">
      <c r="A13" s="208" t="inlineStr">
        <is>
          <t>History section 3: operators' reported output</t>
        </is>
      </c>
      <c r="B13" s="208" t="inlineStr">
        <is>
          <t>Sasol (production and sales metrics); Glencore (annual reports)</t>
        </is>
      </c>
      <c r="C13" s="208" t="inlineStr">
        <is>
          <t>https://www.sasol.com/</t>
        </is>
      </c>
      <c r="D13" s="208" t="inlineStr">
        <is>
          <t>sasol-metrics-fy2022/2025/2026.pdf, p.4; GLEN-2023/2024/2025-Annual-Report.pdf</t>
        </is>
      </c>
      <c r="E13" s="208" t="inlineStr">
        <is>
          <t>Sasol files on manish-branch (external/data/raw/sasol/); Glencore reports by link only</t>
        </is>
      </c>
      <c r="F13" s="208" t="inlineStr">
        <is>
          <t>assumptions/2026/reference/refinery_output_operators.csv</t>
        </is>
      </c>
      <c r="G13" s="208" t="inlineStr">
        <is>
          <t>none</t>
        </is>
      </c>
      <c r="H13" s="208" t="inlineStr">
        <is>
          <t>2020-2026</t>
        </is>
      </c>
      <c r="I13" s="208" t="inlineStr">
        <is>
          <t>All refined products, no product split; fiscal and calendar years; Astron as energy content.</t>
        </is>
      </c>
    </row>
    <row r="14">
      <c r="A14" s="208" t="inlineStr">
        <is>
          <t>History section 5: litres levied</t>
        </is>
      </c>
      <c r="B14" s="208" t="inlineStr">
        <is>
          <t>Road Accident Fund</t>
        </is>
      </c>
      <c r="C14" s="208" t="inlineStr">
        <is>
          <t>https://static.pmg.org.za/RAF_Annual_Report_2025.pdf</t>
        </is>
      </c>
      <c r="D14" s="208" t="inlineStr">
        <is>
          <t>raf-annual-report-2024-25.pdf, note 16 (p.183)</t>
        </is>
      </c>
      <c r="E14" s="208" t="inlineStr">
        <is>
          <t>on manish-branch (external/data/raw/raf/)</t>
        </is>
      </c>
      <c r="F14" s="208" t="inlineStr">
        <is>
          <t>assumptions/2026/reference/fuel_levy_revenue_raf.csv</t>
        </is>
      </c>
      <c r="G14" s="208" t="inlineStr">
        <is>
          <t>none</t>
        </is>
      </c>
      <c r="H14" s="208" t="inlineStr">
        <is>
          <t>2024-2025</t>
        </is>
      </c>
      <c r="I14" s="208" t="inlineStr">
        <is>
          <t>Gross levies and diesel rebate in rand; litres derived in the balance note. Fiscal years; petrol and diesel together.</t>
        </is>
      </c>
    </row>
    <row r="15">
      <c r="A15" s="208" t="inlineStr">
        <is>
          <t>Sector history: mining and manufacturing volume indices</t>
        </is>
      </c>
      <c r="B15" s="208" t="inlineStr">
        <is>
          <t>Statistics South Africa (P2041 mining, P3041.2 manufacturing, P7162 land transport, P0141 CPI)</t>
        </is>
      </c>
      <c r="C15" s="208" t="inlineStr">
        <is>
          <t>https://www.statssa.gov.za/?page_id=1847</t>
        </is>
      </c>
      <c r="D15" s="208" t="inlineStr">
        <is>
          <t>release zips, July and August 2026</t>
        </is>
      </c>
      <c r="E15" s="208" t="inlineStr">
        <is>
          <t>on manish-branch (external/data/raw/statssa/)</t>
        </is>
      </c>
      <c r="F15" s="208" t="inlineStr">
        <is>
          <t>assumptions/2026/timeseries/activity_statssa_monthly.csv</t>
        </is>
      </c>
      <c r="G15" s="208" t="inlineStr">
        <is>
          <t>python -m lfm.scripts.fetch_statssa_monthly --vintage 2026</t>
        </is>
      </c>
      <c r="H15" s="208" t="inlineStr">
        <is>
          <t>1998-01-2026-08</t>
        </is>
      </c>
      <c r="I15" s="208" t="inlineStr">
        <is>
          <t>Activity measures, not fuel volumes. Not seasonally adjusted. Tonnes, not tonne-kilometres.</t>
        </is>
      </c>
    </row>
    <row r="16">
      <c r="A16" s="208" t="inlineStr">
        <is>
          <t>Sector history: agriculture real value added</t>
        </is>
      </c>
      <c r="B16" s="208" t="inlineStr">
        <is>
          <t>Statistics South Africa (P0441 GDP; P0302 mid-year population)</t>
        </is>
      </c>
      <c r="C16" s="208" t="inlineStr">
        <is>
          <t>https://www.statssa.gov.za/?page_id=1854&amp;PPN=P0441</t>
        </is>
      </c>
      <c r="D16" s="208" t="inlineStr">
        <is>
          <t>GDP P0441 - GDP Time series Q2 2026.xlsx (Annual sheet); Country projection ... (2002-2026).xlsx</t>
        </is>
      </c>
      <c r="E16" s="208" t="inlineStr">
        <is>
          <t>on manish-branch (external/data/raw/statssa/)</t>
        </is>
      </c>
      <c r="F16" s="208" t="inlineStr">
        <is>
          <t>assumptions/2026/timeseries/macro_statssa.csv</t>
        </is>
      </c>
      <c r="G16" s="208" t="inlineStr">
        <is>
          <t>python -m lfm.scripts.fetch_economy --vintage 2026</t>
        </is>
      </c>
      <c r="H16" s="208" t="inlineStr">
        <is>
          <t>1993-2050</t>
        </is>
      </c>
      <c r="I16" s="208" t="inlineStr">
        <is>
          <t>Manual placement each release. Years after 2026 are projections, not observations.</t>
        </is>
      </c>
    </row>
    <row r="17">
      <c r="A17" s="208" t="inlineStr">
        <is>
          <t>History section 7: aircraft movements</t>
        </is>
      </c>
      <c r="B17" s="208" t="inlineStr">
        <is>
          <t>Airports Company South Africa</t>
        </is>
      </c>
      <c r="C17" s="208" t="inlineStr">
        <is>
          <t>https://www.airports.co.za/StatisticsLib/</t>
        </is>
      </c>
      <c r="D17" s="208" t="inlineStr">
        <is>
          <t>derived from the monthly file</t>
        </is>
      </c>
      <c r="E17" s="208" t="inlineStr">
        <is>
          <t>derived</t>
        </is>
      </c>
      <c r="F17" s="208" t="inlineStr">
        <is>
          <t>assumptions/2026/timeseries/air_traffic_acsa_annual.csv</t>
        </is>
      </c>
      <c r="G17" s="208" t="inlineStr">
        <is>
          <t>python -m lfm.scripts.fetch_acsa --vintage 2026</t>
        </is>
      </c>
      <c r="H17" s="208" t="inlineStr">
        <is>
          <t>2013-2025</t>
        </is>
      </c>
      <c r="I17" s="208" t="inlineStr"/>
    </row>
    <row r="18">
      <c r="A18" s="208" t="inlineStr">
        <is>
          <t>History section 6: quarter 1 2023 provincial shares</t>
        </is>
      </c>
      <c r="B18" s="208" t="inlineStr">
        <is>
          <t>Department of Mineral and Petroleum Resources (energy department)</t>
        </is>
      </c>
      <c r="C18" s="208" t="inlineStr">
        <is>
          <t>https://www.dmpr.gov.za/Portals/0/Energy_Website/files/media/SA FUEL SALES VOLUME/</t>
        </is>
      </c>
      <c r="D18" s="208" t="inlineStr">
        <is>
          <t>same workbooks; source_file column names each one</t>
        </is>
      </c>
      <c r="E18" s="208" t="inlineStr">
        <is>
          <t>local to Manish and Nigel; not on main</t>
        </is>
      </c>
      <c r="F18" s="208" t="inlineStr">
        <is>
          <t>assumptions/2026/timeseries/fuel_sales_department_by_province_quarterly.csv</t>
        </is>
      </c>
      <c r="G18" s="208" t="inlineStr">
        <is>
          <t>python -m lfm.scripts.fetch_energy_dept --vintage 2026</t>
        </is>
      </c>
      <c r="H18" s="208" t="inlineStr">
        <is>
          <t>2013-Q1-2023-Q1</t>
        </is>
      </c>
      <c r="I18" s="208" t="inlineStr">
        <is>
          <t>26 province/product years have blank quarters in the source (none petrol or diesel).</t>
        </is>
      </c>
    </row>
    <row r="19">
      <c r="A19" s="208" t="inlineStr">
        <is>
          <t>History section 6: provincial GDP used to move the 2024 shares</t>
        </is>
      </c>
      <c r="B19" s="208" t="inlineStr">
        <is>
          <t>Statistics South Africa (P0441.2 Provincial GDP)</t>
        </is>
      </c>
      <c r="C19" s="208" t="inlineStr">
        <is>
          <t>https://www.statssa.gov.za/?page_id=1847</t>
        </is>
      </c>
      <c r="D19" s="208" t="inlineStr">
        <is>
          <t>P0441.2  Provincial Gross Domestic Product(2024).zip, Tables 2-10, block c</t>
        </is>
      </c>
      <c r="E19" s="208" t="inlineStr">
        <is>
          <t>on manish-branch (external/data/raw/statssa/)</t>
        </is>
      </c>
      <c r="F19" s="208" t="inlineStr">
        <is>
          <t>assumptions/2026/timeseries/gdp_by_province_statssa.csv</t>
        </is>
      </c>
      <c r="G19" s="208" t="inlineStr">
        <is>
          <t>python -m lfm.scripts.fetch_economy --vintage 2026</t>
        </is>
      </c>
      <c r="H19" s="208" t="inlineStr">
        <is>
          <t>2013-2024</t>
        </is>
      </c>
      <c r="I19" s="208" t="inlineStr">
        <is>
          <t>Annual, 2013-2024. Economic activity by province, not fuel litres.</t>
        </is>
      </c>
    </row>
    <row r="20">
      <c r="A20" s="208" t="inlineStr">
        <is>
          <t>Diesel by use and Power fleet: power generation</t>
        </is>
      </c>
      <c r="B20" s="208" t="inlineStr">
        <is>
          <t>Eskom integrated reports</t>
        </is>
      </c>
      <c r="C20" s="208" t="inlineStr">
        <is>
          <t>https://www.eskom.co.za/investors/integrated-results/</t>
        </is>
      </c>
      <c r="D20" s="208" t="inlineStr">
        <is>
          <t>integrated report PDFs, years to March 2022-2026</t>
        </is>
      </c>
      <c r="E20" s="208" t="inlineStr">
        <is>
          <t>local to Manish and Nigel; not on main</t>
        </is>
      </c>
      <c r="F20" s="208" t="inlineStr">
        <is>
          <t>assumptions/2026/timeseries/ocgt_generation_eskom.csv</t>
        </is>
      </c>
      <c r="G20" s="208" t="inlineStr">
        <is>
          <t>python -m lfm.scripts.fetch_eskom --vintage 2026</t>
        </is>
      </c>
      <c r="H20" s="208" t="inlineStr">
        <is>
          <t>2022-2026</t>
        </is>
      </c>
      <c r="I20" s="208" t="inlineStr">
        <is>
          <t>GWh for financial years; diesel litres not reported in the extract.</t>
        </is>
      </c>
    </row>
    <row r="21">
      <c r="A21" s="208" t="inlineStr">
        <is>
          <t>Power fleet: stations, capacities and retirement dates</t>
        </is>
      </c>
      <c r="B21" s="208" t="inlineStr">
        <is>
          <t>Eskom; press reports</t>
        </is>
      </c>
      <c r="C21" s="208" t="inlineStr">
        <is>
          <t>https://www.eskom.co.za/eskom-divisions/gx/peaking-power-stations/</t>
        </is>
      </c>
      <c r="D21" s="208" t="inlineStr">
        <is>
          <t>eskom-gx0001-generation-plant-mix-rev29.pdf</t>
        </is>
      </c>
      <c r="E21" s="208" t="inlineStr">
        <is>
          <t>on manish-branch (external/data/raw/eskom/)</t>
        </is>
      </c>
      <c r="F21" s="208" t="inlineStr">
        <is>
          <t>assumptions/2026/infrastructure/power_fleet_diesel.csv</t>
        </is>
      </c>
      <c r="G21" s="208" t="inlineStr">
        <is>
          <t>none</t>
        </is>
      </c>
      <c r="H21" s="208" t="inlineStr">
        <is>
          <t>-</t>
        </is>
      </c>
      <c r="I21" s="208" t="inlineStr">
        <is>
          <t>Diesel peaking stations and coal stations being retired, with capacities and dates. Three rows are marked to confirm.</t>
        </is>
      </c>
    </row>
    <row r="22">
      <c r="A22" s="208" t="inlineStr">
        <is>
          <t>Diesel by use: the 0.31 litres per kWh factor</t>
        </is>
      </c>
      <c r="B22" s="208" t="inlineStr">
        <is>
          <t>Parliament (replies by the Ministers of Public Enterprises and of Electricity and Energy)</t>
        </is>
      </c>
      <c r="C22" s="208" t="inlineStr">
        <is>
          <t>https://pmg.org.za/committee-question/30686/</t>
        </is>
      </c>
      <c r="D22" s="208" t="inlineStr">
        <is>
          <t>reply NW1980 (2025); press reports for 2022 and 2023</t>
        </is>
      </c>
      <c r="E22" s="208" t="inlineStr">
        <is>
          <t>by link only</t>
        </is>
      </c>
      <c r="F22" s="208" t="inlineStr">
        <is>
          <t>assumptions/2026/reference/ocgt_diesel_burn_reported.csv</t>
        </is>
      </c>
      <c r="G22" s="208" t="inlineStr">
        <is>
          <t>none</t>
        </is>
      </c>
      <c r="H22" s="208" t="inlineStr">
        <is>
          <t>2022-2025</t>
        </is>
      </c>
      <c r="I22" s="208" t="inlineStr">
        <is>
          <t>Three years; none for the year to March 2024. Implies 0.31 litres per kWh; not adopted in the model.</t>
        </is>
      </c>
    </row>
    <row r="23">
      <c r="A23" s="208" t="inlineStr">
        <is>
          <t>Diesel by use: price used to convert road freight fuel spending to litres</t>
        </is>
      </c>
      <c r="B23" s="208" t="inlineStr">
        <is>
          <t>Department of Mineral and Petroleum Resources (energy department)</t>
        </is>
      </c>
      <c r="C23" s="208" t="inlineStr">
        <is>
          <t>https://www.dmpr.gov.za/Portals/0/Energy_Website/files/media/</t>
        </is>
      </c>
      <c r="D23" s="208" t="inlineStr">
        <is>
          <t>fuel-price-history-&lt;year&gt;.pdf, 2011-2025; price-breakdown-&lt;year&gt;-&lt;month&gt;.pdf to February 2026; cef-daily-&lt;date&gt;.pdf from February 2026 (Central Energy Fund)</t>
        </is>
      </c>
      <c r="E23" s="208" t="inlineStr">
        <is>
          <t>local to Manish and Nigel; not on main</t>
        </is>
      </c>
      <c r="F23" s="208" t="inlineStr">
        <is>
          <t>assumptions/2026/timeseries/fuel_prices_department.csv</t>
        </is>
      </c>
      <c r="G23" s="208" t="inlineStr">
        <is>
          <t>python -m lfm.scripts.fetch_energy_dept --vintage 2026</t>
        </is>
      </c>
      <c r="H23" s="208" t="inlineStr">
        <is>
          <t>2011-01-2026-10</t>
        </is>
      </c>
      <c r="I23" s="208" t="inlineStr">
        <is>
          <t>Runs to October 2026. Department to February 2026, then CEF daily sheets, which give inland prices only: coastal diesel has no value from December 2025, coastal petrol and paraffin none from March 2026.</t>
        </is>
      </c>
    </row>
    <row r="24">
      <c r="A24" s="208" t="inlineStr">
        <is>
          <t>Diesel by use and Vehicle history: vehicle classes, distance and fuel use</t>
        </is>
      </c>
      <c r="B24" s="208" t="inlineStr">
        <is>
          <t>Stone, Merven, Maseela and Moonsamy (2018), J. Energy in Southern Africa 29(2), and supplement</t>
        </is>
      </c>
      <c r="C24" s="208" t="inlineStr">
        <is>
          <t>https://www.scielo.org.za/pdf/jesa/v29n2/06.pdf</t>
        </is>
      </c>
      <c r="D24" s="208" t="inlineStr">
        <is>
          <t>stone-2018-vehicle-parc-model-jesa-29-2.pdf; stone-2018-supplementary.pdf</t>
        </is>
      </c>
      <c r="E24" s="208" t="inlineStr">
        <is>
          <t>on manish-branch (external/data/raw/literature/)</t>
        </is>
      </c>
      <c r="F24" s="208" t="inlineStr">
        <is>
          <t>assumptions/2026/reference/vehicle_parameters_stone2018.csv</t>
        </is>
      </c>
      <c r="G24" s="208" t="inlineStr">
        <is>
          <t>none</t>
        </is>
      </c>
      <c r="H24" s="208" t="inlineStr">
        <is>
          <t>-</t>
        </is>
      </c>
      <c r="I24" s="208" t="inlineStr">
        <is>
          <t>Values are for 2014. Transcription not independently re-checked.</t>
        </is>
      </c>
    </row>
    <row r="25">
      <c r="A25" s="208" t="inlineStr">
        <is>
          <t>Vehicle history: registered vehicles by class</t>
        </is>
      </c>
      <c r="B25" s="208" t="inlineStr">
        <is>
          <t>NaTIS (Road Traffic Management Corporation)</t>
        </is>
      </c>
      <c r="C25" s="208" t="inlineStr">
        <is>
          <t>https://www.natis.gov.za/</t>
        </is>
      </c>
      <c r="D25" s="208" t="inlineStr">
        <is>
          <t>monthly live vehicle population PDFs</t>
        </is>
      </c>
      <c r="E25" s="208" t="inlineStr">
        <is>
          <t>local to Manish and Nigel; not on main</t>
        </is>
      </c>
      <c r="F25" s="208" t="inlineStr">
        <is>
          <t>assumptions/2026/timeseries/vehicle_population_natis.csv</t>
        </is>
      </c>
      <c r="G25" s="208" t="inlineStr">
        <is>
          <t>python -m lfm.scripts.fetch_natis --vintage 2026</t>
        </is>
      </c>
      <c r="H25" s="208" t="inlineStr">
        <is>
          <t>2021-02-2026-06</t>
        </is>
      </c>
      <c r="I25" s="208" t="inlineStr">
        <is>
          <t>All fuels together; no petrol/diesel split.</t>
        </is>
      </c>
    </row>
    <row r="26">
      <c r="A26" s="208" t="inlineStr">
        <is>
          <t>Vehicle history: new sales by segment</t>
        </is>
      </c>
      <c r="B26" s="208" t="inlineStr">
        <is>
          <t>naamsa, quarterly review of business conditions</t>
        </is>
      </c>
      <c r="C26" s="208" t="inlineStr">
        <is>
          <t>https://naamsa.net/quarterly-reviews/</t>
        </is>
      </c>
      <c r="D26" s="208" t="inlineStr">
        <is>
          <t>quarterly review PDFs</t>
        </is>
      </c>
      <c r="E26" s="208" t="inlineStr">
        <is>
          <t>local to Manish and Nigel; not on main</t>
        </is>
      </c>
      <c r="F26" s="208" t="inlineStr">
        <is>
          <t>assumptions/2026/timeseries/new_vehicle_market_naamsa.csv</t>
        </is>
      </c>
      <c r="G26" s="208" t="inlineStr">
        <is>
          <t>python -m lfm.scripts.fetch_naamsa --vintage 2026</t>
        </is>
      </c>
      <c r="H26" s="208" t="inlineStr">
        <is>
          <t>2015-2027</t>
        </is>
      </c>
      <c r="I26" s="208" t="inlineStr">
        <is>
          <t>2026-2027 are naamsa's own outlook, not observations.</t>
        </is>
      </c>
    </row>
    <row r="27">
      <c r="A27" s="208" t="inlineStr">
        <is>
          <t>Vehicle history: electrified new sales</t>
        </is>
      </c>
      <c r="B27" s="208" t="inlineStr">
        <is>
          <t>naamsa, quarterly review of business conditions</t>
        </is>
      </c>
      <c r="C27" s="208" t="inlineStr">
        <is>
          <t>https://naamsa.net/quarterly-reviews/</t>
        </is>
      </c>
      <c r="D27" s="208" t="inlineStr">
        <is>
          <t>quarterly review PDFs</t>
        </is>
      </c>
      <c r="E27" s="208" t="inlineStr">
        <is>
          <t>local to Manish and Nigel; not on main</t>
        </is>
      </c>
      <c r="F27" s="208" t="inlineStr">
        <is>
          <t>assumptions/2026/timeseries/nev_sales_naamsa.csv</t>
        </is>
      </c>
      <c r="G27" s="208" t="inlineStr">
        <is>
          <t>python -m lfm.scripts.fetch_naamsa --vintage 2026</t>
        </is>
      </c>
      <c r="H27" s="208" t="inlineStr">
        <is>
          <t>2019-2025</t>
        </is>
      </c>
      <c r="I27" s="208" t="inlineStr">
        <is>
          <t>New sales, not fleet. Audit logged parser warnings on the 5 October refresh.</t>
        </is>
      </c>
    </row>
    <row r="28">
      <c r="A28" s="208" t="inlineStr">
        <is>
          <t>Vehicle history: fuel split of the registered fleet</t>
        </is>
      </c>
      <c r="B28" s="208" t="inlineStr">
        <is>
          <t>Department of Transport, Transport Statistics Bulletin 2023, Table 2.8 (source: RTMC)</t>
        </is>
      </c>
      <c r="C28" s="208" t="inlineStr">
        <is>
          <t>https://www.transport.gov.za/wp-content/uploads/2023/02/Transport-Statistics-Bulletin-2023.pdf</t>
        </is>
      </c>
      <c r="D28" s="208" t="inlineStr">
        <is>
          <t>dot-transport-statistics-bulletin-2023.pdf, p.40</t>
        </is>
      </c>
      <c r="E28" s="208" t="inlineStr">
        <is>
          <t>on manish-branch (external/data/raw/literature/)</t>
        </is>
      </c>
      <c r="F28" s="208" t="inlineStr">
        <is>
          <t>assumptions/2026/reference/vehicle_population_by_fuel_dot2023.csv</t>
        </is>
      </c>
      <c r="G28" s="208" t="inlineStr">
        <is>
          <t>none</t>
        </is>
      </c>
      <c r="H28" s="208" t="inlineStr">
        <is>
          <t>2023-12-2023-12</t>
        </is>
      </c>
      <c r="I28" s="208" t="inlineStr">
        <is>
          <t>One date only (December 2023). No later edition found.</t>
        </is>
      </c>
    </row>
    <row r="29">
      <c r="A29" s="208" t="inlineStr">
        <is>
          <t>Diesel by use: fuel bought by road freight businesses</t>
        </is>
      </c>
      <c r="B29" s="208" t="inlineStr">
        <is>
          <t>Statistics South Africa</t>
        </is>
      </c>
      <c r="C29" s="208" t="inlineStr">
        <is>
          <t>https://www.statssa.gov.za/?page_id=1854&amp;PPN=Report-71-02-01</t>
        </is>
      </c>
      <c r="D29" s="208" t="inlineStr">
        <is>
          <t>Report-71-02-012023.pdf, Table 20 (p.33)</t>
        </is>
      </c>
      <c r="E29" s="208" t="inlineStr">
        <is>
          <t>on manish-branch (external/data/raw/statssa/statssa-transport-and-storage-industry-2023.pdf)</t>
        </is>
      </c>
      <c r="F29" s="208" t="inlineStr">
        <is>
          <t>typed into build_demand_baseline_workbook.py (ROAD_FREIGHT_FUEL_RAND)</t>
        </is>
      </c>
      <c r="G29" s="208" t="inlineStr">
        <is>
          <t>none</t>
        </is>
      </c>
      <c r="H29" s="208" t="inlineStr">
        <is>
          <t>2019, 2023</t>
        </is>
      </c>
      <c r="I29" s="208" t="inlineStr">
        <is>
          <t>Hire-and-reward operators only; 2023 preliminary</t>
        </is>
      </c>
    </row>
    <row r="30">
      <c r="A30" s="208" t="inlineStr">
        <is>
          <t>Diesel by use: land freight share of diesel</t>
        </is>
      </c>
      <c r="B30" s="208" t="inlineStr">
        <is>
          <t>Merven, Hartley and Ahjum (2019), SA-TIED Working Paper 60</t>
        </is>
      </c>
      <c r="C30" s="208" t="inlineStr">
        <is>
          <t>https://sa-tied.wider.unu.edu/sites/default/files/pdf/SATIED_WP60_Merven_Hartley_Ahjum_April_2019.pdf</t>
        </is>
      </c>
      <c r="D30" s="208" t="inlineStr">
        <is>
          <t>p.10</t>
        </is>
      </c>
      <c r="E30" s="208" t="inlineStr">
        <is>
          <t>on manish-branch (external/data/raw/literature/)</t>
        </is>
      </c>
      <c r="F30" s="208" t="inlineStr">
        <is>
          <t>quoted on the sheet</t>
        </is>
      </c>
      <c r="G30" s="208" t="inlineStr">
        <is>
          <t>none</t>
        </is>
      </c>
      <c r="H30" s="208" t="inlineStr">
        <is>
          <t>2012</t>
        </is>
      </c>
      <c r="I30" s="208" t="inlineStr">
        <is>
          <t>Modelled; same research group as the vehicle study</t>
        </is>
      </c>
    </row>
    <row r="31">
      <c r="A31" s="208" t="inlineStr">
        <is>
          <t>Vehicle history and Diesel by use: the model's settings</t>
        </is>
      </c>
      <c r="B31" s="208" t="inlineStr">
        <is>
          <t>AIA (Reatile workbook, March 2025)</t>
        </is>
      </c>
      <c r="C31" s="208" t="inlineStr"/>
      <c r="D31" s="208" t="inlineStr">
        <is>
          <t>assumptions/2026/vehicles.yaml</t>
        </is>
      </c>
      <c r="E31" s="208" t="inlineStr">
        <is>
          <t>in the repository</t>
        </is>
      </c>
      <c r="F31" s="208" t="inlineStr">
        <is>
          <t>assumptions/2026/vehicles.yaml</t>
        </is>
      </c>
      <c r="G31" s="208" t="inlineStr">
        <is>
          <t>none</t>
        </is>
      </c>
      <c r="H31" s="208" t="inlineStr"/>
      <c r="I31" s="208" t="inlineStr">
        <is>
          <t>Placeholders without a published source</t>
        </is>
      </c>
    </row>
    <row r="32">
      <c r="A32" s="208" t="inlineStr">
        <is>
          <t>HML response</t>
        </is>
      </c>
      <c r="B32" s="208" t="inlineStr">
        <is>
          <t>AIA (analyst), from the sources named in each row</t>
        </is>
      </c>
      <c r="C32" s="208" t="inlineStr"/>
      <c r="D32" s="208" t="inlineStr">
        <is>
          <t>workstreams/WS2_model_development/fuel_lever_response_2026-10-07.csv</t>
        </is>
      </c>
      <c r="E32" s="208" t="inlineStr">
        <is>
          <t>in the repository</t>
        </is>
      </c>
      <c r="F32" s="208" t="inlineStr">
        <is>
          <t>same file</t>
        </is>
      </c>
      <c r="G32" s="208" t="inlineStr">
        <is>
          <t>python -m lfm.scripts.build_fuel_lever_response --vintage 2026</t>
        </is>
      </c>
      <c r="H32" s="208" t="inlineStr">
        <is>
          <t>2030, 2035</t>
        </is>
      </c>
      <c r="I32" s="208"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2026-10-09T08:25:54Z</dcterms:created>
  <dcterms:modified xmlns:dcterms="http://purl.org/dc/terms/" xmlns:xsi="http://www.w3.org/2001/XMLSchema-instance" xsi:type="dcterms:W3CDTF">2026-10-09T08:25:56Z</dcterms:modified>
</cp:coreProperties>
</file>