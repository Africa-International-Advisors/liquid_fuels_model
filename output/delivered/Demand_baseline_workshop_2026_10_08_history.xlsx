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Power fleet" sheetId="22" state="visible" r:id="rId22"/>
    <sheet xmlns:r="http://schemas.openxmlformats.org/officeDocument/2006/relationships" name="Vehicle history" sheetId="23" state="visible" r:id="rId23"/>
    <sheet xmlns:r="http://schemas.openxmlformats.org/officeDocument/2006/relationships" name="HML response" sheetId="24" state="visible" r:id="rId24"/>
    <sheet xmlns:r="http://schemas.openxmlformats.org/officeDocument/2006/relationships" name="Gap status" sheetId="25" state="visible" r:id="rId25"/>
    <sheet xmlns:r="http://schemas.openxmlformats.org/officeDocument/2006/relationships" name="Checks" sheetId="26" state="visible" r:id="rId26"/>
    <sheet xmlns:r="http://schemas.openxmlformats.org/officeDocument/2006/relationships" name="History sources" sheetId="27" state="visible" r:id="rId27"/>
  </sheets>
  <definedNames/>
</workbook>
</file>

<file path=xl/styles.xml><?xml version="1.0" encoding="utf-8"?>
<styleSheet xmlns="http://schemas.openxmlformats.org/spreadsheetml/2006/main">
  <numFmts count="7">
    <numFmt numFmtId="164" formatCode="#,##0.0"/>
    <numFmt numFmtId="165" formatCode="0.0%"/>
    <numFmt numFmtId="166" formatCode="0.0000"/>
    <numFmt numFmtId="167" formatCode="#,##0.0000"/>
    <numFmt numFmtId="168" formatCode="0.0"/>
    <numFmt numFmtId="169" formatCode="[&gt;=0.005]0.00;[&lt;=-0.005]-0.00;0.00"/>
    <numFmt numFmtId="170"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92">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70"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The 0.31 factor awaits review.</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85" t="n">
        <v>0.31</v>
      </c>
      <c r="E6" s="162" t="inlineStr">
        <is>
          <t>Reported Eskom burn over generation in three years. A proposal awaiting review.</t>
        </is>
      </c>
      <c r="F6" s="185" t="n"/>
      <c r="G6" s="185" t="n"/>
      <c r="H6" s="185" t="n"/>
      <c r="I6" s="185" t="n"/>
      <c r="J6" s="185" t="n"/>
      <c r="K6" s="185" t="n"/>
      <c r="L6" s="185" t="n"/>
      <c r="M6" s="185" t="n"/>
      <c r="N6" s="185" t="n"/>
      <c r="O6" s="185" t="n"/>
      <c r="P6" s="185" t="n"/>
      <c r="Q6" s="185" t="n"/>
      <c r="R6" s="185" t="n"/>
      <c r="S6" s="185"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86" t="n">
        <v>10</v>
      </c>
      <c r="E7" s="162" t="inlineStr">
        <is>
          <t>Diesel as the backup fuel of a station whose main fuel is gas. NO SOURCE: Eskom's tender says only that gas will be 'supplemented by diesel as and when it's required'.</t>
        </is>
      </c>
      <c r="F7" s="186" t="n"/>
      <c r="G7" s="186" t="n"/>
      <c r="H7" s="186" t="n"/>
      <c r="I7" s="186" t="n"/>
      <c r="J7" s="186" t="n"/>
      <c r="K7" s="186" t="n"/>
      <c r="L7" s="186" t="n"/>
      <c r="M7" s="186" t="n"/>
      <c r="N7" s="186" t="n"/>
      <c r="O7" s="186" t="n"/>
      <c r="P7" s="186" t="n"/>
      <c r="Q7" s="186" t="n"/>
      <c r="R7" s="186" t="n"/>
      <c r="S7" s="186"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186" t="n">
        <v>40</v>
      </c>
      <c r="E8" s="162" t="inlineStr">
        <is>
          <t>NO SOURCE. Eskom describes the gas it needs as dispatchable baseload, so well above a peaker.</t>
        </is>
      </c>
      <c r="F8" s="186" t="n"/>
      <c r="G8" s="186" t="n"/>
      <c r="H8" s="186" t="n"/>
      <c r="I8" s="186" t="n"/>
      <c r="J8" s="186" t="n"/>
      <c r="K8" s="186" t="n"/>
      <c r="L8" s="186" t="n"/>
      <c r="M8" s="186" t="n"/>
      <c r="N8" s="186" t="n"/>
      <c r="O8" s="186" t="n"/>
      <c r="P8" s="186" t="n"/>
      <c r="Q8" s="186" t="n"/>
      <c r="R8" s="186" t="n"/>
      <c r="S8" s="186"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87" t="n"/>
      <c r="E21" s="156" t="inlineStr">
        <is>
          <t>Generation divided by what all six stations would produce running all year.</t>
        </is>
      </c>
      <c r="F21" s="187">
        <f>IF(ISNUMBER(F20),F20/((F15+F16+F17)*8.76)*100,"")</f>
        <v/>
      </c>
      <c r="G21" s="187">
        <f>IF(ISNUMBER(G20),G20/((G15+G16+G17)*8.76)*100,"")</f>
        <v/>
      </c>
      <c r="H21" s="187">
        <f>IF(ISNUMBER(H20),H20/((H15+H16+H17)*8.76)*100,"")</f>
        <v/>
      </c>
      <c r="I21" s="187">
        <f>IF(ISNUMBER(I20),I20/((I15+I16+I17)*8.76)*100,"")</f>
        <v/>
      </c>
      <c r="J21" s="187">
        <f>IF(ISNUMBER(J20),J20/((J15+J16+J17)*8.76)*100,"")</f>
        <v/>
      </c>
      <c r="K21" s="187">
        <f>IF(ISNUMBER(K20),K20/((K15+K16+K17)*8.76)*100,"")</f>
        <v/>
      </c>
      <c r="L21" s="187">
        <f>IF(ISNUMBER(L20),L20/((L15+L16+L17)*8.76)*100,"")</f>
        <v/>
      </c>
      <c r="M21" s="187">
        <f>IF(ISNUMBER(M20),M20/((M15+M16+M17)*8.76)*100,"")</f>
        <v/>
      </c>
      <c r="N21" s="187">
        <f>IF(ISNUMBER(N20),N20/((N15+N16+N17)*8.76)*100,"")</f>
        <v/>
      </c>
      <c r="O21" s="187">
        <f>IF(ISNUMBER(O20),O20/((O15+O16+O17)*8.76)*100,"")</f>
        <v/>
      </c>
      <c r="P21" s="187">
        <f>IF(ISNUMBER(P20),P20/((P15+P16+P17)*8.76)*100,"")</f>
        <v/>
      </c>
      <c r="Q21" s="187">
        <f>IF(ISNUMBER(Q20),Q20/((Q15+Q16+Q17)*8.76)*100,"")</f>
        <v/>
      </c>
      <c r="R21" s="187">
        <f>IF(ISNUMBER(R20),R20/((R15+R16+R17)*8.76)*100,"")</f>
        <v/>
      </c>
      <c r="S21" s="187">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88" t="n"/>
      <c r="E39" s="162" t="inlineStr">
        <is>
          <t>Each to the last full year of its agreement (Dedisa 2029, Avon 2030), then zero.</t>
        </is>
      </c>
      <c r="F39" s="188" t="n">
        <v>1005</v>
      </c>
      <c r="G39" s="188" t="n">
        <v>1005</v>
      </c>
      <c r="H39" s="188" t="n">
        <v>1005</v>
      </c>
      <c r="I39" s="188" t="n">
        <v>1005</v>
      </c>
      <c r="J39" s="188" t="n">
        <v>1005</v>
      </c>
      <c r="K39" s="188" t="n">
        <v>1005</v>
      </c>
      <c r="L39" s="188" t="n">
        <v>1005</v>
      </c>
      <c r="M39" s="188" t="n">
        <v>1005</v>
      </c>
      <c r="N39" s="188" t="n">
        <v>670</v>
      </c>
      <c r="O39" s="188" t="n">
        <v>0</v>
      </c>
      <c r="P39" s="188" t="n">
        <v>0</v>
      </c>
      <c r="Q39" s="188" t="n">
        <v>0</v>
      </c>
      <c r="R39" s="188" t="n">
        <v>0</v>
      </c>
      <c r="S39" s="188"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86" t="n"/>
      <c r="E40" s="162" t="inlineStr">
        <is>
          <t>100% until Eskom's stated gas switch in December 2027, then the backup share.</t>
        </is>
      </c>
      <c r="F40" s="186">
        <f>100</f>
        <v/>
      </c>
      <c r="G40" s="186">
        <f>100</f>
        <v/>
      </c>
      <c r="H40" s="186">
        <f>100</f>
        <v/>
      </c>
      <c r="I40" s="186">
        <f>100</f>
        <v/>
      </c>
      <c r="J40" s="186">
        <f>100</f>
        <v/>
      </c>
      <c r="K40" s="186">
        <f>100</f>
        <v/>
      </c>
      <c r="L40" s="186">
        <f>$D$7</f>
        <v/>
      </c>
      <c r="M40" s="186">
        <f>$D$7</f>
        <v/>
      </c>
      <c r="N40" s="186">
        <f>$D$7</f>
        <v/>
      </c>
      <c r="O40" s="186">
        <f>$D$7</f>
        <v/>
      </c>
      <c r="P40" s="186">
        <f>$D$7</f>
        <v/>
      </c>
      <c r="Q40" s="186">
        <f>$D$7</f>
        <v/>
      </c>
      <c r="R40" s="186">
        <f>$D$7</f>
        <v/>
      </c>
      <c r="S40" s="186">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88" t="n"/>
      <c r="E41" s="162" t="inlineStr">
        <is>
          <t>From 2030, when Camden, Grootvlei, Hendrina, Arnot and Kriel are due to stop. Which sites, and how large, is not decided; the national gas requirement is used as a stand-in.</t>
        </is>
      </c>
      <c r="F41" s="188" t="n">
        <v>0</v>
      </c>
      <c r="G41" s="188" t="n">
        <v>0</v>
      </c>
      <c r="H41" s="188" t="n">
        <v>0</v>
      </c>
      <c r="I41" s="188" t="n">
        <v>0</v>
      </c>
      <c r="J41" s="188" t="n">
        <v>0</v>
      </c>
      <c r="K41" s="188" t="n">
        <v>0</v>
      </c>
      <c r="L41" s="188" t="n">
        <v>0</v>
      </c>
      <c r="M41" s="188" t="n">
        <v>0</v>
      </c>
      <c r="N41" s="188" t="n">
        <v>0</v>
      </c>
      <c r="O41" s="188" t="n">
        <v>0</v>
      </c>
      <c r="P41" s="188" t="n">
        <v>0</v>
      </c>
      <c r="Q41" s="188" t="n">
        <v>0</v>
      </c>
      <c r="R41" s="188" t="n">
        <v>0</v>
      </c>
      <c r="S41" s="188"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88" t="n"/>
      <c r="E47" s="162" t="inlineStr">
        <is>
          <t>Both stations to 2035.</t>
        </is>
      </c>
      <c r="F47" s="188" t="n">
        <v>1005</v>
      </c>
      <c r="G47" s="188" t="n">
        <v>1005</v>
      </c>
      <c r="H47" s="188" t="n">
        <v>1005</v>
      </c>
      <c r="I47" s="188" t="n">
        <v>1005</v>
      </c>
      <c r="J47" s="188" t="n">
        <v>1005</v>
      </c>
      <c r="K47" s="188" t="n">
        <v>1005</v>
      </c>
      <c r="L47" s="188" t="n">
        <v>1005</v>
      </c>
      <c r="M47" s="188" t="n">
        <v>1005</v>
      </c>
      <c r="N47" s="188" t="n">
        <v>1005</v>
      </c>
      <c r="O47" s="188" t="n">
        <v>1005</v>
      </c>
      <c r="P47" s="188" t="n">
        <v>1005</v>
      </c>
      <c r="Q47" s="188" t="n">
        <v>1005</v>
      </c>
      <c r="R47" s="188" t="n">
        <v>1005</v>
      </c>
      <c r="S47" s="188"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86" t="n"/>
      <c r="E48" s="162" t="inlineStr">
        <is>
          <t>100% until Eskom's stated gas switch in December 2027, then the backup share.</t>
        </is>
      </c>
      <c r="F48" s="186">
        <f>100</f>
        <v/>
      </c>
      <c r="G48" s="186">
        <f>100</f>
        <v/>
      </c>
      <c r="H48" s="186">
        <f>100</f>
        <v/>
      </c>
      <c r="I48" s="186">
        <f>100</f>
        <v/>
      </c>
      <c r="J48" s="186">
        <f>100</f>
        <v/>
      </c>
      <c r="K48" s="186">
        <f>100</f>
        <v/>
      </c>
      <c r="L48" s="186">
        <f>$D$7</f>
        <v/>
      </c>
      <c r="M48" s="186">
        <f>$D$7</f>
        <v/>
      </c>
      <c r="N48" s="186">
        <f>$D$7</f>
        <v/>
      </c>
      <c r="O48" s="186">
        <f>$D$7</f>
        <v/>
      </c>
      <c r="P48" s="186">
        <f>$D$7</f>
        <v/>
      </c>
      <c r="Q48" s="186">
        <f>$D$7</f>
        <v/>
      </c>
      <c r="R48" s="186">
        <f>$D$7</f>
        <v/>
      </c>
      <c r="S48" s="186">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88" t="n"/>
      <c r="E49" s="162" t="inlineStr">
        <is>
          <t>From 2030, when Camden, Grootvlei, Hendrina, Arnot and Kriel are due to stop. Which sites, and how large, is not decided; the national gas requirement is used as a stand-in.</t>
        </is>
      </c>
      <c r="F49" s="188" t="n">
        <v>0</v>
      </c>
      <c r="G49" s="188" t="n">
        <v>0</v>
      </c>
      <c r="H49" s="188" t="n">
        <v>0</v>
      </c>
      <c r="I49" s="188" t="n">
        <v>0</v>
      </c>
      <c r="J49" s="188" t="n">
        <v>0</v>
      </c>
      <c r="K49" s="188" t="n">
        <v>0</v>
      </c>
      <c r="L49" s="188" t="n">
        <v>0</v>
      </c>
      <c r="M49" s="188" t="n">
        <v>0</v>
      </c>
      <c r="N49" s="188" t="n">
        <v>3000</v>
      </c>
      <c r="O49" s="188" t="n">
        <v>3000</v>
      </c>
      <c r="P49" s="188" t="n">
        <v>3000</v>
      </c>
      <c r="Q49" s="188" t="n">
        <v>3000</v>
      </c>
      <c r="R49" s="188" t="n">
        <v>3000</v>
      </c>
      <c r="S49" s="188"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88" t="n"/>
      <c r="E55" s="162" t="inlineStr">
        <is>
          <t>Both stations to 2035.</t>
        </is>
      </c>
      <c r="F55" s="188" t="n">
        <v>1005</v>
      </c>
      <c r="G55" s="188" t="n">
        <v>1005</v>
      </c>
      <c r="H55" s="188" t="n">
        <v>1005</v>
      </c>
      <c r="I55" s="188" t="n">
        <v>1005</v>
      </c>
      <c r="J55" s="188" t="n">
        <v>1005</v>
      </c>
      <c r="K55" s="188" t="n">
        <v>1005</v>
      </c>
      <c r="L55" s="188" t="n">
        <v>1005</v>
      </c>
      <c r="M55" s="188" t="n">
        <v>1005</v>
      </c>
      <c r="N55" s="188" t="n">
        <v>1005</v>
      </c>
      <c r="O55" s="188" t="n">
        <v>1005</v>
      </c>
      <c r="P55" s="188" t="n">
        <v>1005</v>
      </c>
      <c r="Q55" s="188" t="n">
        <v>1005</v>
      </c>
      <c r="R55" s="188" t="n">
        <v>1005</v>
      </c>
      <c r="S55" s="188"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86" t="n"/>
      <c r="E56" s="162" t="inlineStr">
        <is>
          <t>100% throughout: the gas supply does not arrive.</t>
        </is>
      </c>
      <c r="F56" s="186">
        <f>100</f>
        <v/>
      </c>
      <c r="G56" s="186">
        <f>100</f>
        <v/>
      </c>
      <c r="H56" s="186">
        <f>100</f>
        <v/>
      </c>
      <c r="I56" s="186">
        <f>100</f>
        <v/>
      </c>
      <c r="J56" s="186">
        <f>100</f>
        <v/>
      </c>
      <c r="K56" s="186">
        <f>100</f>
        <v/>
      </c>
      <c r="L56" s="186">
        <f>100</f>
        <v/>
      </c>
      <c r="M56" s="186">
        <f>100</f>
        <v/>
      </c>
      <c r="N56" s="186">
        <f>100</f>
        <v/>
      </c>
      <c r="O56" s="186">
        <f>100</f>
        <v/>
      </c>
      <c r="P56" s="186">
        <f>100</f>
        <v/>
      </c>
      <c r="Q56" s="186">
        <f>100</f>
        <v/>
      </c>
      <c r="R56" s="186">
        <f>100</f>
        <v/>
      </c>
      <c r="S56" s="186">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88" t="n"/>
      <c r="E57" s="162" t="inlineStr">
        <is>
          <t>From 2030, when Camden, Grootvlei, Hendrina, Arnot and Kriel are due to stop. Which sites, and how large, is not decided; the national gas requirement is used as a stand-in.</t>
        </is>
      </c>
      <c r="F57" s="188" t="n">
        <v>0</v>
      </c>
      <c r="G57" s="188" t="n">
        <v>0</v>
      </c>
      <c r="H57" s="188" t="n">
        <v>0</v>
      </c>
      <c r="I57" s="188" t="n">
        <v>0</v>
      </c>
      <c r="J57" s="188" t="n">
        <v>0</v>
      </c>
      <c r="K57" s="188" t="n">
        <v>0</v>
      </c>
      <c r="L57" s="188" t="n">
        <v>0</v>
      </c>
      <c r="M57" s="188" t="n">
        <v>0</v>
      </c>
      <c r="N57" s="188" t="n">
        <v>6000</v>
      </c>
      <c r="O57" s="188" t="n">
        <v>6000</v>
      </c>
      <c r="P57" s="188" t="n">
        <v>6000</v>
      </c>
      <c r="Q57" s="188" t="n">
        <v>6000</v>
      </c>
      <c r="R57" s="188" t="n">
        <v>6000</v>
      </c>
      <c r="S57" s="188"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87" t="n">
        <v>78</v>
      </c>
      <c r="E18" s="156" t="inlineStr">
        <is>
          <t>Observed share. Column D is the model's fixed split of new vehicles.</t>
        </is>
      </c>
      <c r="F18" s="187">
        <f>IF(COUNT(F14,F17)&lt;2,"",F14/F17*100)</f>
        <v/>
      </c>
      <c r="G18" s="187">
        <f>IF(COUNT(G14,G17)&lt;2,"",G14/G17*100)</f>
        <v/>
      </c>
      <c r="H18" s="187">
        <f>IF(COUNT(H14,H17)&lt;2,"",H14/H17*100)</f>
        <v/>
      </c>
      <c r="I18" s="187">
        <f>IF(COUNT(I14,I17)&lt;2,"",I14/I17*100)</f>
        <v/>
      </c>
      <c r="J18" s="187">
        <f>IF(COUNT(J14,J17)&lt;2,"",J14/J17*100)</f>
        <v/>
      </c>
      <c r="K18" s="187">
        <f>IF(COUNT(K14,K17)&lt;2,"",K14/K17*100)</f>
        <v/>
      </c>
      <c r="L18" s="187">
        <f>IF(COUNT(L14,L17)&lt;2,"",L14/L17*100)</f>
        <v/>
      </c>
      <c r="M18" s="187">
        <f>IF(COUNT(M14,M17)&lt;2,"",M14/M17*100)</f>
        <v/>
      </c>
      <c r="N18" s="187">
        <f>IF(COUNT(N14,N17)&lt;2,"",N14/N17*100)</f>
        <v/>
      </c>
      <c r="O18" s="187">
        <f>IF(COUNT(O14,O17)&lt;2,"",O14/O17*100)</f>
        <v/>
      </c>
      <c r="P18" s="187">
        <f>IF(COUNT(P14,P17)&lt;2,"",P14/P17*100)</f>
        <v/>
      </c>
      <c r="Q18" s="187">
        <f>IF(COUNT(Q14,Q17)&lt;2,"",Q14/Q17*100)</f>
        <v/>
      </c>
      <c r="R18" s="187">
        <f>IF(COUNT(R14,R17)&lt;2,"",R14/R17*100)</f>
        <v/>
      </c>
      <c r="S18" s="187">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87" t="n">
        <v>18</v>
      </c>
      <c r="E19" s="156" t="inlineStr">
        <is>
          <t>Observed share. Column D is the model's fixed split of new vehicles.</t>
        </is>
      </c>
      <c r="F19" s="187">
        <f>IF(COUNT(F15,F17)&lt;2,"",F15/F17*100)</f>
        <v/>
      </c>
      <c r="G19" s="187">
        <f>IF(COUNT(G15,G17)&lt;2,"",G15/G17*100)</f>
        <v/>
      </c>
      <c r="H19" s="187">
        <f>IF(COUNT(H15,H17)&lt;2,"",H15/H17*100)</f>
        <v/>
      </c>
      <c r="I19" s="187">
        <f>IF(COUNT(I15,I17)&lt;2,"",I15/I17*100)</f>
        <v/>
      </c>
      <c r="J19" s="187">
        <f>IF(COUNT(J15,J17)&lt;2,"",J15/J17*100)</f>
        <v/>
      </c>
      <c r="K19" s="187">
        <f>IF(COUNT(K15,K17)&lt;2,"",K15/K17*100)</f>
        <v/>
      </c>
      <c r="L19" s="187">
        <f>IF(COUNT(L15,L17)&lt;2,"",L15/L17*100)</f>
        <v/>
      </c>
      <c r="M19" s="187">
        <f>IF(COUNT(M15,M17)&lt;2,"",M15/M17*100)</f>
        <v/>
      </c>
      <c r="N19" s="187">
        <f>IF(COUNT(N15,N17)&lt;2,"",N15/N17*100)</f>
        <v/>
      </c>
      <c r="O19" s="187">
        <f>IF(COUNT(O15,O17)&lt;2,"",O15/O17*100)</f>
        <v/>
      </c>
      <c r="P19" s="187">
        <f>IF(COUNT(P15,P17)&lt;2,"",P15/P17*100)</f>
        <v/>
      </c>
      <c r="Q19" s="187">
        <f>IF(COUNT(Q15,Q17)&lt;2,"",Q15/Q17*100)</f>
        <v/>
      </c>
      <c r="R19" s="187">
        <f>IF(COUNT(R15,R17)&lt;2,"",R15/R17*100)</f>
        <v/>
      </c>
      <c r="S19" s="187">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87" t="n">
        <v>4</v>
      </c>
      <c r="E20" s="156" t="inlineStr">
        <is>
          <t>Observed share. Column D is the model's fixed split of new vehicles.</t>
        </is>
      </c>
      <c r="F20" s="187">
        <f>IF(COUNT(F16,F17)&lt;2,"",F16/F17*100)</f>
        <v/>
      </c>
      <c r="G20" s="187">
        <f>IF(COUNT(G16,G17)&lt;2,"",G16/G17*100)</f>
        <v/>
      </c>
      <c r="H20" s="187">
        <f>IF(COUNT(H16,H17)&lt;2,"",H16/H17*100)</f>
        <v/>
      </c>
      <c r="I20" s="187">
        <f>IF(COUNT(I16,I17)&lt;2,"",I16/I17*100)</f>
        <v/>
      </c>
      <c r="J20" s="187">
        <f>IF(COUNT(J16,J17)&lt;2,"",J16/J17*100)</f>
        <v/>
      </c>
      <c r="K20" s="187">
        <f>IF(COUNT(K16,K17)&lt;2,"",K16/K17*100)</f>
        <v/>
      </c>
      <c r="L20" s="187">
        <f>IF(COUNT(L16,L17)&lt;2,"",L16/L17*100)</f>
        <v/>
      </c>
      <c r="M20" s="187">
        <f>IF(COUNT(M16,M17)&lt;2,"",M16/M17*100)</f>
        <v/>
      </c>
      <c r="N20" s="187">
        <f>IF(COUNT(N16,N17)&lt;2,"",N16/N17*100)</f>
        <v/>
      </c>
      <c r="O20" s="187">
        <f>IF(COUNT(O16,O17)&lt;2,"",O16/O17*100)</f>
        <v/>
      </c>
      <c r="P20" s="187">
        <f>IF(COUNT(P16,P17)&lt;2,"",P16/P17*100)</f>
        <v/>
      </c>
      <c r="Q20" s="187">
        <f>IF(COUNT(Q16,Q17)&lt;2,"",Q16/Q17*100)</f>
        <v/>
      </c>
      <c r="R20" s="187">
        <f>IF(COUNT(R16,R17)&lt;2,"",R16/R17*100)</f>
        <v/>
      </c>
      <c r="S20" s="187">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187" t="n">
        <v>4</v>
      </c>
      <c r="E24" s="156" t="inlineStr">
        <is>
          <t>Retired divided by last December's stock. Column D is the model's scrappage rate.</t>
        </is>
      </c>
      <c r="F24" s="187" t="n"/>
      <c r="G24" s="187">
        <f>IF(ISNUMBER(G23),G23/F6*100,"")</f>
        <v/>
      </c>
      <c r="H24" s="187">
        <f>IF(ISNUMBER(H23),H23/G6*100,"")</f>
        <v/>
      </c>
      <c r="I24" s="187">
        <f>IF(ISNUMBER(I23),I23/H6*100,"")</f>
        <v/>
      </c>
      <c r="J24" s="187">
        <f>IF(ISNUMBER(J23),J23/I6*100,"")</f>
        <v/>
      </c>
      <c r="K24" s="187">
        <f>IF(ISNUMBER(K23),K23/J6*100,"")</f>
        <v/>
      </c>
      <c r="L24" s="187">
        <f>IF(ISNUMBER(L23),L23/K6*100,"")</f>
        <v/>
      </c>
      <c r="M24" s="187">
        <f>IF(ISNUMBER(M23),M23/L6*100,"")</f>
        <v/>
      </c>
      <c r="N24" s="187">
        <f>IF(ISNUMBER(N23),N23/M6*100,"")</f>
        <v/>
      </c>
      <c r="O24" s="187">
        <f>IF(ISNUMBER(O23),O23/N6*100,"")</f>
        <v/>
      </c>
      <c r="P24" s="187">
        <f>IF(ISNUMBER(P23),P23/O6*100,"")</f>
        <v/>
      </c>
      <c r="Q24" s="187">
        <f>IF(ISNUMBER(Q23),Q23/P6*100,"")</f>
        <v/>
      </c>
      <c r="R24" s="187">
        <f>IF(ISNUMBER(R23),R23/Q6*100,"")</f>
        <v/>
      </c>
      <c r="S24" s="187">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187" t="n">
        <v>5</v>
      </c>
      <c r="E26" s="156" t="inlineStr">
        <is>
          <t>Retired divided by last December's stock. Column D is the model's scrappage rate.</t>
        </is>
      </c>
      <c r="F26" s="187" t="n"/>
      <c r="G26" s="187">
        <f>IF(ISNUMBER(G25),G25/F7*100,"")</f>
        <v/>
      </c>
      <c r="H26" s="187">
        <f>IF(ISNUMBER(H25),H25/G7*100,"")</f>
        <v/>
      </c>
      <c r="I26" s="187">
        <f>IF(ISNUMBER(I25),I25/H7*100,"")</f>
        <v/>
      </c>
      <c r="J26" s="187">
        <f>IF(ISNUMBER(J25),J25/I7*100,"")</f>
        <v/>
      </c>
      <c r="K26" s="187">
        <f>IF(ISNUMBER(K25),K25/J7*100,"")</f>
        <v/>
      </c>
      <c r="L26" s="187">
        <f>IF(ISNUMBER(L25),L25/K7*100,"")</f>
        <v/>
      </c>
      <c r="M26" s="187">
        <f>IF(ISNUMBER(M25),M25/L7*100,"")</f>
        <v/>
      </c>
      <c r="N26" s="187">
        <f>IF(ISNUMBER(N25),N25/M7*100,"")</f>
        <v/>
      </c>
      <c r="O26" s="187">
        <f>IF(ISNUMBER(O25),O25/N7*100,"")</f>
        <v/>
      </c>
      <c r="P26" s="187">
        <f>IF(ISNUMBER(P25),P25/O7*100,"")</f>
        <v/>
      </c>
      <c r="Q26" s="187">
        <f>IF(ISNUMBER(Q25),Q25/P7*100,"")</f>
        <v/>
      </c>
      <c r="R26" s="187">
        <f>IF(ISNUMBER(R25),R25/Q7*100,"")</f>
        <v/>
      </c>
      <c r="S26" s="187">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187" t="n">
        <v>6</v>
      </c>
      <c r="E28" s="156" t="inlineStr">
        <is>
          <t>Retired divided by last December's stock. Column D is the model's scrappage rate.</t>
        </is>
      </c>
      <c r="F28" s="187" t="n"/>
      <c r="G28" s="187">
        <f>IF(ISNUMBER(G27),G27/F8*100,"")</f>
        <v/>
      </c>
      <c r="H28" s="187">
        <f>IF(ISNUMBER(H27),H27/G8*100,"")</f>
        <v/>
      </c>
      <c r="I28" s="187">
        <f>IF(ISNUMBER(I27),I27/H8*100,"")</f>
        <v/>
      </c>
      <c r="J28" s="187">
        <f>IF(ISNUMBER(J27),J27/I8*100,"")</f>
        <v/>
      </c>
      <c r="K28" s="187">
        <f>IF(ISNUMBER(K27),K27/J8*100,"")</f>
        <v/>
      </c>
      <c r="L28" s="187">
        <f>IF(ISNUMBER(L27),L27/K8*100,"")</f>
        <v/>
      </c>
      <c r="M28" s="187">
        <f>IF(ISNUMBER(M27),M27/L8*100,"")</f>
        <v/>
      </c>
      <c r="N28" s="187">
        <f>IF(ISNUMBER(N27),N27/M8*100,"")</f>
        <v/>
      </c>
      <c r="O28" s="187">
        <f>IF(ISNUMBER(O27),O27/N8*100,"")</f>
        <v/>
      </c>
      <c r="P28" s="187">
        <f>IF(ISNUMBER(P27),P27/O8*100,"")</f>
        <v/>
      </c>
      <c r="Q28" s="187">
        <f>IF(ISNUMBER(Q27),Q27/P8*100,"")</f>
        <v/>
      </c>
      <c r="R28" s="187">
        <f>IF(ISNUMBER(R27),R27/Q8*100,"")</f>
        <v/>
      </c>
      <c r="S28" s="187">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89" t="inlineStr">
        <is>
          <t>diesel</t>
        </is>
      </c>
      <c r="B5" s="189" t="inlineStr">
        <is>
          <t>road_activity</t>
        </is>
      </c>
      <c r="C5" s="189" t="inlineStr">
        <is>
          <t>index_2024_100</t>
        </is>
      </c>
      <c r="D5" s="189" t="inlineStr">
        <is>
          <t>100</t>
        </is>
      </c>
      <c r="E5" s="189" t="inlineStr">
        <is>
          <t>road freight payload 980 Mt in 2024 (Stats SA P7162)</t>
        </is>
      </c>
      <c r="F5" s="189" t="inlineStr">
        <is>
          <t>95 / 115 / 135</t>
        </is>
      </c>
      <c r="G5" s="189" t="inlineStr">
        <is>
          <t>95 / 115 / 135</t>
        </is>
      </c>
      <c r="H5" s="189" t="inlineStr">
        <is>
          <t>95 / 135 / 175</t>
        </is>
      </c>
      <c r="I5" s="189" t="inlineStr">
        <is>
          <t>95 / 135 / 150</t>
        </is>
      </c>
      <c r="J5" s="189" t="inlineStr">
        <is>
          <t>replacement proposed</t>
        </is>
      </c>
      <c r="K5" s="189"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89" t="inlineStr">
        <is>
          <t>diesel</t>
        </is>
      </c>
      <c r="B6" s="189" t="inlineStr">
        <is>
          <t>rail_diversion</t>
        </is>
      </c>
      <c r="C6" s="189" t="inlineStr">
        <is>
          <t>percent</t>
        </is>
      </c>
      <c r="D6" s="189" t="inlineStr">
        <is>
          <t>0</t>
        </is>
      </c>
      <c r="E6" s="189" t="inlineStr">
        <is>
          <t>rail 161 Mt and road 980 Mt in 2024 (Stats SA P7162)</t>
        </is>
      </c>
      <c r="F6" s="189" t="inlineStr">
        <is>
          <t>0 / 10 / 20</t>
        </is>
      </c>
      <c r="G6" s="189" t="inlineStr">
        <is>
          <t>0 / 3 / 9</t>
        </is>
      </c>
      <c r="H6" s="189" t="inlineStr">
        <is>
          <t>0 / 20 / 35</t>
        </is>
      </c>
      <c r="I6" s="189" t="inlineStr">
        <is>
          <t>0 / 7 / 13</t>
        </is>
      </c>
      <c r="J6" s="189" t="inlineStr">
        <is>
          <t>replacement proposed</t>
        </is>
      </c>
      <c r="K6" s="189"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89" t="inlineStr">
        <is>
          <t>diesel</t>
        </is>
      </c>
      <c r="B7" s="189" t="inlineStr">
        <is>
          <t>ocgt_generation</t>
        </is>
      </c>
      <c r="C7" s="189" t="inlineStr">
        <is>
          <t>index_FY2024_100</t>
        </is>
      </c>
      <c r="D7" s="189" t="inlineStr">
        <is>
          <t>100</t>
        </is>
      </c>
      <c r="E7" s="189" t="inlineStr">
        <is>
          <t>Eskom and independent OCGT output 5,143 GWh, year to March 2024</t>
        </is>
      </c>
      <c r="F7" s="189" t="inlineStr">
        <is>
          <t>10 / 25 / 60</t>
        </is>
      </c>
      <c r="G7" s="189" t="inlineStr">
        <is>
          <t>10 / 25 / 60</t>
        </is>
      </c>
      <c r="H7" s="189" t="inlineStr">
        <is>
          <t>5 / 15 / 50</t>
        </is>
      </c>
      <c r="I7" s="189" t="inlineStr">
        <is>
          <t>5 / 15 / 50</t>
        </is>
      </c>
      <c r="J7" s="189" t="inlineStr">
        <is>
          <t>no change</t>
        </is>
      </c>
      <c r="K7" s="189" t="inlineStr">
        <is>
          <t>Year to March 2025 is 55 and year to March 2026 is 21 on this index, so the medium of 25 in 2030 holds today's level. Reported burn is 0.31 litres per kWh in three years. No change proposed.</t>
        </is>
      </c>
    </row>
    <row r="8">
      <c r="A8" s="189" t="inlineStr">
        <is>
          <t>diesel</t>
        </is>
      </c>
      <c r="B8" s="189" t="inlineStr">
        <is>
          <t>new_cohort_efficiency</t>
        </is>
      </c>
      <c r="C8" s="189" t="inlineStr">
        <is>
          <t>percent_per_year</t>
        </is>
      </c>
      <c r="D8" s="189" t="inlineStr">
        <is>
          <t>0.5 to 1.0</t>
        </is>
      </c>
      <c r="E8" s="189" t="inlineStr">
        <is>
          <t>registered diesel efficiency paths (low and high demand cases)</t>
        </is>
      </c>
      <c r="F8" s="189" t="inlineStr">
        <is>
          <t>0.5 / 0.75 / 1</t>
        </is>
      </c>
      <c r="G8" s="189" t="inlineStr">
        <is>
          <t>0.5 / 0.75 / 1</t>
        </is>
      </c>
      <c r="H8" s="189" t="inlineStr">
        <is>
          <t>0.5 / 0.75 / 1</t>
        </is>
      </c>
      <c r="I8" s="189" t="inlineStr">
        <is>
          <t>0.5 / 0.75 / 1</t>
        </is>
      </c>
      <c r="J8" s="189" t="inlineStr">
        <is>
          <t>no change</t>
        </is>
      </c>
      <c r="K8" s="189" t="inlineStr">
        <is>
          <t>Low and high equal the registered endpoints. Neither has a source. No change proposed.</t>
        </is>
      </c>
    </row>
    <row r="9">
      <c r="A9" s="189" t="inlineStr">
        <is>
          <t>diesel</t>
        </is>
      </c>
      <c r="B9" s="189" t="inlineStr">
        <is>
          <t>plant_utilisation</t>
        </is>
      </c>
      <c r="C9" s="189" t="inlineStr">
        <is>
          <t>percent</t>
        </is>
      </c>
      <c r="D9" s="189" t="inlineStr">
        <is>
          <t>67</t>
        </is>
      </c>
      <c r="E9" s="189" t="inlineStr">
        <is>
          <t>reported 2024 output over reported capacity, three plants; indicative</t>
        </is>
      </c>
      <c r="F9" s="189" t="inlineStr">
        <is>
          <t>60 / 75 / 90</t>
        </is>
      </c>
      <c r="G9" s="189" t="inlineStr">
        <is>
          <t>60 / 75 / 90</t>
        </is>
      </c>
      <c r="H9" s="189" t="inlineStr">
        <is>
          <t>60 / 75 / 90</t>
        </is>
      </c>
      <c r="I9" s="189" t="inlineStr">
        <is>
          <t>60 / 75 / 90</t>
        </is>
      </c>
      <c r="J9" s="189" t="inlineStr">
        <is>
          <t>no change</t>
        </is>
      </c>
      <c r="K9"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89" t="inlineStr">
        <is>
          <t>diesel</t>
        </is>
      </c>
      <c r="B10" s="189" t="inlineStr">
        <is>
          <t>product_yield</t>
        </is>
      </c>
      <c r="C10" s="189" t="inlineStr">
        <is>
          <t>percent</t>
        </is>
      </c>
      <c r="D10" s="189" t="inlineStr">
        <is>
          <t>29</t>
        </is>
      </c>
      <c r="E10" s="189" t="inlineStr">
        <is>
          <t>diesel share of refinery output in 2024 (JODI; lowest reliability)</t>
        </is>
      </c>
      <c r="F10" s="189" t="inlineStr">
        <is>
          <t>20 / 25 / 30</t>
        </is>
      </c>
      <c r="G10" s="189" t="inlineStr">
        <is>
          <t>25 / 30 / 40</t>
        </is>
      </c>
      <c r="H10" s="189" t="inlineStr">
        <is>
          <t>20 / 25 / 30</t>
        </is>
      </c>
      <c r="I10" s="189" t="inlineStr">
        <is>
          <t>25 / 30 / 40</t>
        </is>
      </c>
      <c r="J10" s="189" t="inlineStr">
        <is>
          <t>replacement proposed</t>
        </is>
      </c>
      <c r="K10" s="189"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89" t="inlineStr">
        <is>
          <t>diesel</t>
        </is>
      </c>
      <c r="B11" s="189" t="inlineStr">
        <is>
          <t>restart_capacity</t>
        </is>
      </c>
      <c r="C11" s="189" t="inlineStr">
        <is>
          <t>thousand_bbl_per_day</t>
        </is>
      </c>
      <c r="D11" s="189" t="inlineStr">
        <is>
          <t>0</t>
        </is>
      </c>
      <c r="E11" s="189" t="inlineStr">
        <is>
          <t>no committed addition</t>
        </is>
      </c>
      <c r="F11" s="189" t="inlineStr">
        <is>
          <t>0 / 0 / 0</t>
        </is>
      </c>
      <c r="G11" s="189" t="inlineStr">
        <is>
          <t>0 / 0 / 0</t>
        </is>
      </c>
      <c r="H11" s="189" t="inlineStr">
        <is>
          <t>0 / 0 / 400</t>
        </is>
      </c>
      <c r="I11" s="189" t="inlineStr">
        <is>
          <t>0 / 0 / 400</t>
        </is>
      </c>
      <c r="J11" s="189" t="inlineStr">
        <is>
          <t>no change</t>
        </is>
      </c>
      <c r="K11" s="189" t="inlineStr">
        <is>
          <t>Existing conditional illustration; no investment decision, timing or product slate is sourced.</t>
        </is>
      </c>
    </row>
    <row r="12">
      <c r="A12" s="189" t="inlineStr">
        <is>
          <t>jet</t>
        </is>
      </c>
      <c r="B12" s="189" t="inlineStr">
        <is>
          <t>aircraft_movements</t>
        </is>
      </c>
      <c r="C12" s="189" t="inlineStr">
        <is>
          <t>index_2024_100</t>
        </is>
      </c>
      <c r="D12" s="189" t="inlineStr">
        <is>
          <t>100</t>
        </is>
      </c>
      <c r="E12" s="189" t="inlineStr">
        <is>
          <t>456,214 movements at ACSA airports in 2024</t>
        </is>
      </c>
      <c r="F12" s="189" t="inlineStr">
        <is>
          <t>100 / 120 / 140</t>
        </is>
      </c>
      <c r="G12" s="189" t="inlineStr">
        <is>
          <t>100 / 110 / 125</t>
        </is>
      </c>
      <c r="H12" s="189" t="inlineStr">
        <is>
          <t>100 / 145 / 190</t>
        </is>
      </c>
      <c r="I12" s="189" t="inlineStr">
        <is>
          <t>100 / 120 / 140</t>
        </is>
      </c>
      <c r="J12" s="189" t="inlineStr">
        <is>
          <t>replacement proposed</t>
        </is>
      </c>
      <c r="K12" s="189"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89" t="inlineStr">
        <is>
          <t>jet</t>
        </is>
      </c>
      <c r="B13" s="189" t="inlineStr">
        <is>
          <t>fuel_burn_per_movement</t>
        </is>
      </c>
      <c r="C13" s="189" t="inlineStr">
        <is>
          <t>index_2024_100</t>
        </is>
      </c>
      <c r="D13" s="189" t="inlineStr">
        <is>
          <t>100</t>
        </is>
      </c>
      <c r="E13" s="189" t="inlineStr">
        <is>
          <t>4,090 litres of jet sold per movement in 2024</t>
        </is>
      </c>
      <c r="F13" s="189" t="inlineStr">
        <is>
          <t>80 / 90 / 100</t>
        </is>
      </c>
      <c r="G13" s="189" t="inlineStr">
        <is>
          <t>80 / 90 / 113</t>
        </is>
      </c>
      <c r="H13" s="189" t="inlineStr">
        <is>
          <t>65 / 80 / 100</t>
        </is>
      </c>
      <c r="I13" s="189" t="inlineStr">
        <is>
          <t>65 / 80 / 113</t>
        </is>
      </c>
      <c r="J13" s="189" t="inlineStr">
        <is>
          <t>replacement proposed</t>
        </is>
      </c>
      <c r="K13" s="189"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89" t="inlineStr">
        <is>
          <t>jet</t>
        </is>
      </c>
      <c r="B14" s="189" t="inlineStr">
        <is>
          <t>saf_volume_share</t>
        </is>
      </c>
      <c r="C14" s="189" t="inlineStr">
        <is>
          <t>percent</t>
        </is>
      </c>
      <c r="D14" s="189" t="inlineStr">
        <is>
          <t>0</t>
        </is>
      </c>
      <c r="E14" s="189" t="inlineStr">
        <is>
          <t>no sustainable aviation fuel supply recorded in the sources held; unsourced</t>
        </is>
      </c>
      <c r="F14" s="189" t="inlineStr">
        <is>
          <t>0 / 2 / 5</t>
        </is>
      </c>
      <c r="G14" s="189" t="inlineStr">
        <is>
          <t>0 / 2 / 5</t>
        </is>
      </c>
      <c r="H14" s="189" t="inlineStr">
        <is>
          <t>0 / 5 / 10</t>
        </is>
      </c>
      <c r="I14" s="189" t="inlineStr">
        <is>
          <t>0 / 5 / 10</t>
        </is>
      </c>
      <c r="J14" s="189" t="inlineStr">
        <is>
          <t>no change</t>
        </is>
      </c>
      <c r="K14" s="189" t="inlineStr">
        <is>
          <t>No South African blend requirement is sourced. No change proposed.</t>
        </is>
      </c>
    </row>
    <row r="15">
      <c r="A15" s="189" t="inlineStr">
        <is>
          <t>jet</t>
        </is>
      </c>
      <c r="B15" s="189" t="inlineStr">
        <is>
          <t>plant_utilisation</t>
        </is>
      </c>
      <c r="C15" s="189" t="inlineStr">
        <is>
          <t>percent</t>
        </is>
      </c>
      <c r="D15" s="189" t="inlineStr">
        <is>
          <t>67</t>
        </is>
      </c>
      <c r="E15" s="189" t="inlineStr">
        <is>
          <t>reported 2024 output over reported capacity, three plants; indicative</t>
        </is>
      </c>
      <c r="F15" s="189" t="inlineStr">
        <is>
          <t>60 / 75 / 90</t>
        </is>
      </c>
      <c r="G15" s="189" t="inlineStr">
        <is>
          <t>60 / 75 / 90</t>
        </is>
      </c>
      <c r="H15" s="189" t="inlineStr">
        <is>
          <t>60 / 75 / 90</t>
        </is>
      </c>
      <c r="I15" s="189" t="inlineStr">
        <is>
          <t>60 / 75 / 90</t>
        </is>
      </c>
      <c r="J15" s="189" t="inlineStr">
        <is>
          <t>no change</t>
        </is>
      </c>
      <c r="K15"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89" t="inlineStr">
        <is>
          <t>jet</t>
        </is>
      </c>
      <c r="B16" s="189" t="inlineStr">
        <is>
          <t>product_yield</t>
        </is>
      </c>
      <c r="C16" s="189" t="inlineStr">
        <is>
          <t>percent</t>
        </is>
      </c>
      <c r="D16" s="189" t="inlineStr">
        <is>
          <t>10</t>
        </is>
      </c>
      <c r="E16" s="189" t="inlineStr">
        <is>
          <t>registered legacy yield for capable plants</t>
        </is>
      </c>
      <c r="F16" s="189" t="inlineStr">
        <is>
          <t>5 / 10 / 15</t>
        </is>
      </c>
      <c r="G16" s="189" t="inlineStr">
        <is>
          <t>5 / 10 / 15</t>
        </is>
      </c>
      <c r="H16" s="189" t="inlineStr">
        <is>
          <t>5 / 10 / 15</t>
        </is>
      </c>
      <c r="I16" s="189" t="inlineStr">
        <is>
          <t>5 / 10 / 15</t>
        </is>
      </c>
      <c r="J16" s="189" t="inlineStr">
        <is>
          <t>no change</t>
        </is>
      </c>
      <c r="K16" s="189" t="inlineStr">
        <is>
          <t>Jet was 5 to 8% of the five fuels produced in the 2017-2021 energy balances, consistent with the range. No change proposed.</t>
        </is>
      </c>
    </row>
    <row r="17">
      <c r="A17" s="189" t="inlineStr">
        <is>
          <t>jet</t>
        </is>
      </c>
      <c r="B17" s="189" t="inlineStr">
        <is>
          <t>restart_capacity</t>
        </is>
      </c>
      <c r="C17" s="189" t="inlineStr">
        <is>
          <t>thousand_bbl_per_day</t>
        </is>
      </c>
      <c r="D17" s="189" t="inlineStr">
        <is>
          <t>0</t>
        </is>
      </c>
      <c r="E17" s="189" t="inlineStr">
        <is>
          <t>no committed addition</t>
        </is>
      </c>
      <c r="F17" s="189" t="inlineStr">
        <is>
          <t>0 / 0 / 0</t>
        </is>
      </c>
      <c r="G17" s="189" t="inlineStr">
        <is>
          <t>0 / 0 / 0</t>
        </is>
      </c>
      <c r="H17" s="189" t="inlineStr">
        <is>
          <t>0 / 0 / 400</t>
        </is>
      </c>
      <c r="I17" s="189" t="inlineStr">
        <is>
          <t>0 / 0 / 400</t>
        </is>
      </c>
      <c r="J17" s="189" t="inlineStr">
        <is>
          <t>no change</t>
        </is>
      </c>
      <c r="K17" s="189" t="inlineStr">
        <is>
          <t>Existing conditional illustration; no investment decision, timing or product slate is sourced.</t>
        </is>
      </c>
    </row>
    <row r="18">
      <c r="A18" s="189" t="inlineStr">
        <is>
          <t>petrol</t>
        </is>
      </c>
      <c r="B18" s="189" t="inlineStr">
        <is>
          <t>passenger_mileage</t>
        </is>
      </c>
      <c r="C18" s="189" t="inlineStr">
        <is>
          <t>km_per_vehicle_year</t>
        </is>
      </c>
      <c r="D18" s="189" t="inlineStr">
        <is>
          <t>17000</t>
        </is>
      </c>
      <c r="E18" s="189" t="inlineStr">
        <is>
          <t>registered placeholder; not an observation</t>
        </is>
      </c>
      <c r="F18" s="189" t="inlineStr">
        <is>
          <t>13600 / 17000 / 20400</t>
        </is>
      </c>
      <c r="G18" s="189" t="inlineStr">
        <is>
          <t>12900 / 14500 / 17000</t>
        </is>
      </c>
      <c r="H18" s="189" t="inlineStr">
        <is>
          <t>13600 / 17000 / 20400</t>
        </is>
      </c>
      <c r="I18" s="189" t="inlineStr">
        <is>
          <t>12900 / 14500 / 17000</t>
        </is>
      </c>
      <c r="J18" s="189" t="inlineStr">
        <is>
          <t>replacement proposed</t>
        </is>
      </c>
      <c r="K18" s="189"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89" t="inlineStr">
        <is>
          <t>petrol</t>
        </is>
      </c>
      <c r="B19" s="189" t="inlineStr">
        <is>
          <t>gdp_growth</t>
        </is>
      </c>
      <c r="C19" s="189" t="inlineStr">
        <is>
          <t>percent_per_year</t>
        </is>
      </c>
      <c r="D19" s="189" t="inlineStr">
        <is>
          <t>0.5</t>
        </is>
      </c>
      <c r="E19" s="189" t="inlineStr">
        <is>
          <t>real GDP growth in 2024 (Stats SA P0441)</t>
        </is>
      </c>
      <c r="F19" s="189" t="inlineStr">
        <is>
          <t>1 / 2 / 3</t>
        </is>
      </c>
      <c r="G19" s="189" t="inlineStr">
        <is>
          <t>0.7 / 1.6 / 2</t>
        </is>
      </c>
      <c r="H19" s="189" t="inlineStr">
        <is>
          <t>1 / 2 / 3</t>
        </is>
      </c>
      <c r="I19" s="189" t="inlineStr">
        <is>
          <t>0.7 / 1.6 / 2</t>
        </is>
      </c>
      <c r="J19" s="189" t="inlineStr">
        <is>
          <t>replacement proposed</t>
        </is>
      </c>
      <c r="K19" s="189"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89" t="inlineStr">
        <is>
          <t>petrol</t>
        </is>
      </c>
      <c r="B20" s="189" t="inlineStr">
        <is>
          <t>bev_new_sales_share</t>
        </is>
      </c>
      <c r="C20" s="189" t="inlineStr">
        <is>
          <t>percent</t>
        </is>
      </c>
      <c r="D20" s="189" t="inlineStr">
        <is>
          <t>0.2</t>
        </is>
      </c>
      <c r="E20" s="189" t="inlineStr">
        <is>
          <t>1,088 battery electric vehicles sold in 2025, share of all new vehicles (naamsa)</t>
        </is>
      </c>
      <c r="F20" s="189" t="inlineStr">
        <is>
          <t>5 / 15 / 30</t>
        </is>
      </c>
      <c r="G20" s="189" t="inlineStr">
        <is>
          <t>0.5 / 4 / 20</t>
        </is>
      </c>
      <c r="H20" s="189" t="inlineStr">
        <is>
          <t>15 / 35 / 60</t>
        </is>
      </c>
      <c r="I20" s="189" t="inlineStr">
        <is>
          <t>2 / 15 / 40</t>
        </is>
      </c>
      <c r="J20" s="189" t="inlineStr">
        <is>
          <t>replacement proposed</t>
        </is>
      </c>
      <c r="K20" s="189"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89" t="inlineStr">
        <is>
          <t>petrol</t>
        </is>
      </c>
      <c r="B21" s="189" t="inlineStr">
        <is>
          <t>new_cohort_efficiency</t>
        </is>
      </c>
      <c r="C21" s="189" t="inlineStr">
        <is>
          <t>percent_per_year</t>
        </is>
      </c>
      <c r="D21" s="189" t="inlineStr">
        <is>
          <t>1.0 to 1.5</t>
        </is>
      </c>
      <c r="E21" s="189" t="inlineStr">
        <is>
          <t>registered petrol efficiency paths (low and high demand cases)</t>
        </is>
      </c>
      <c r="F21" s="189" t="inlineStr">
        <is>
          <t>1 / 1.25 / 1.5</t>
        </is>
      </c>
      <c r="G21" s="189" t="inlineStr">
        <is>
          <t>1 / 1.25 / 1.5</t>
        </is>
      </c>
      <c r="H21" s="189" t="inlineStr">
        <is>
          <t>1 / 1.25 / 1.5</t>
        </is>
      </c>
      <c r="I21" s="189" t="inlineStr">
        <is>
          <t>1 / 1.25 / 1.5</t>
        </is>
      </c>
      <c r="J21" s="189" t="inlineStr">
        <is>
          <t>no change</t>
        </is>
      </c>
      <c r="K21" s="189" t="inlineStr">
        <is>
          <t>Low and high equal the registered endpoints. Neither has a source. No change proposed.</t>
        </is>
      </c>
    </row>
    <row r="22">
      <c r="A22" s="189" t="inlineStr">
        <is>
          <t>petrol</t>
        </is>
      </c>
      <c r="B22" s="189" t="inlineStr">
        <is>
          <t>plant_utilisation</t>
        </is>
      </c>
      <c r="C22" s="189" t="inlineStr">
        <is>
          <t>percent</t>
        </is>
      </c>
      <c r="D22" s="189" t="inlineStr">
        <is>
          <t>67</t>
        </is>
      </c>
      <c r="E22" s="189" t="inlineStr">
        <is>
          <t>reported 2024 output over reported capacity, three plants; indicative</t>
        </is>
      </c>
      <c r="F22" s="189" t="inlineStr">
        <is>
          <t>60 / 75 / 90</t>
        </is>
      </c>
      <c r="G22" s="189" t="inlineStr">
        <is>
          <t>60 / 75 / 90</t>
        </is>
      </c>
      <c r="H22" s="189" t="inlineStr">
        <is>
          <t>60 / 75 / 90</t>
        </is>
      </c>
      <c r="I22" s="189" t="inlineStr">
        <is>
          <t>60 / 75 / 90</t>
        </is>
      </c>
      <c r="J22" s="189" t="inlineStr">
        <is>
          <t>no change</t>
        </is>
      </c>
      <c r="K22"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89" t="inlineStr">
        <is>
          <t>petrol</t>
        </is>
      </c>
      <c r="B23" s="189" t="inlineStr">
        <is>
          <t>product_yield</t>
        </is>
      </c>
      <c r="C23" s="189" t="inlineStr">
        <is>
          <t>percent</t>
        </is>
      </c>
      <c r="D23" s="189" t="inlineStr">
        <is>
          <t>54</t>
        </is>
      </c>
      <c r="E23" s="189" t="inlineStr">
        <is>
          <t>petrol share of refinery output in 2024 (JODI; lowest reliability)</t>
        </is>
      </c>
      <c r="F23" s="189" t="inlineStr">
        <is>
          <t>35 / 45 / 55</t>
        </is>
      </c>
      <c r="G23" s="189" t="inlineStr">
        <is>
          <t>45 / 50 / 55</t>
        </is>
      </c>
      <c r="H23" s="189" t="inlineStr">
        <is>
          <t>35 / 45 / 55</t>
        </is>
      </c>
      <c r="I23" s="189" t="inlineStr">
        <is>
          <t>45 / 50 / 55</t>
        </is>
      </c>
      <c r="J23" s="189" t="inlineStr">
        <is>
          <t>replacement proposed</t>
        </is>
      </c>
      <c r="K23" s="189"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89" t="inlineStr">
        <is>
          <t>petrol</t>
        </is>
      </c>
      <c r="B24" s="189" t="inlineStr">
        <is>
          <t>restart_capacity</t>
        </is>
      </c>
      <c r="C24" s="189" t="inlineStr">
        <is>
          <t>thousand_bbl_per_day</t>
        </is>
      </c>
      <c r="D24" s="189" t="inlineStr">
        <is>
          <t>0</t>
        </is>
      </c>
      <c r="E24" s="189" t="inlineStr">
        <is>
          <t>no committed addition</t>
        </is>
      </c>
      <c r="F24" s="189" t="inlineStr">
        <is>
          <t>0 / 0 / 0</t>
        </is>
      </c>
      <c r="G24" s="189" t="inlineStr">
        <is>
          <t>0 / 0 / 0</t>
        </is>
      </c>
      <c r="H24" s="189" t="inlineStr">
        <is>
          <t>0 / 0 / 400</t>
        </is>
      </c>
      <c r="I24" s="189" t="inlineStr">
        <is>
          <t>0 / 0 / 400</t>
        </is>
      </c>
      <c r="J24" s="189" t="inlineStr">
        <is>
          <t>no change</t>
        </is>
      </c>
      <c r="K24" s="189" t="inlineStr">
        <is>
          <t>Existing conditional illustration; no investment decision, timing or product slate is sourced.</t>
        </is>
      </c>
    </row>
    <row r="25">
      <c r="A25" s="189" t="inlineStr">
        <is>
          <t>diesel</t>
        </is>
      </c>
      <c r="B25" s="189" t="inlineStr">
        <is>
          <t>real_fuel_price</t>
        </is>
      </c>
      <c r="C25" s="189" t="inlineStr">
        <is>
          <t>index_2024_100</t>
        </is>
      </c>
      <c r="D25" s="189" t="inlineStr">
        <is>
          <t>100</t>
        </is>
      </c>
      <c r="E25" s="189" t="inlineStr">
        <is>
          <t>regulated inland price deflated by headline CPI, 2024 average</t>
        </is>
      </c>
      <c r="F25" s="189" t="inlineStr">
        <is>
          <t>- / - / -</t>
        </is>
      </c>
      <c r="G25" s="189" t="inlineStr">
        <is>
          <t>80 / 100 / 140</t>
        </is>
      </c>
      <c r="H25" s="189" t="inlineStr">
        <is>
          <t>- / - / -</t>
        </is>
      </c>
      <c r="I25" s="189" t="inlineStr">
        <is>
          <t>80 / 100 / 140</t>
        </is>
      </c>
      <c r="J25" s="189" t="inlineStr">
        <is>
          <t>added lever</t>
        </is>
      </c>
      <c r="K25" s="189"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89" t="inlineStr">
        <is>
          <t>diesel</t>
        </is>
      </c>
      <c r="B26" s="189" t="inlineStr">
        <is>
          <t>private_backup_generation</t>
        </is>
      </c>
      <c r="C26" s="189" t="inlineStr">
        <is>
          <t>bn_litres_per_year</t>
        </is>
      </c>
      <c r="D26" s="189" t="inlineStr">
        <is>
          <t>not measured</t>
        </is>
      </c>
      <c r="E26" s="189" t="inlineStr">
        <is>
          <t>no measured volume exists</t>
        </is>
      </c>
      <c r="F26" s="189" t="inlineStr">
        <is>
          <t>- / - / -</t>
        </is>
      </c>
      <c r="G26" s="189" t="inlineStr">
        <is>
          <t>0 / 0 / 0.5</t>
        </is>
      </c>
      <c r="H26" s="189" t="inlineStr">
        <is>
          <t>- / - / -</t>
        </is>
      </c>
      <c r="I26" s="189" t="inlineStr">
        <is>
          <t>0 / 0 / 0.5</t>
        </is>
      </c>
      <c r="J26" s="189" t="inlineStr">
        <is>
          <t>added lever</t>
        </is>
      </c>
      <c r="K26" s="189"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89" t="inlineStr">
        <is>
          <t>diesel</t>
        </is>
      </c>
      <c r="B27" s="189" t="inlineStr">
        <is>
          <t>electric_share_of_new_truck_sales</t>
        </is>
      </c>
      <c r="C27" s="189" t="inlineStr">
        <is>
          <t>percent</t>
        </is>
      </c>
      <c r="D27" s="189" t="inlineStr">
        <is>
          <t>not reported</t>
        </is>
      </c>
      <c r="E27" s="189" t="inlineStr">
        <is>
          <t>naamsa reports electrified sales for the whole market only; assumed close to zero</t>
        </is>
      </c>
      <c r="F27" s="189" t="inlineStr">
        <is>
          <t>- / - / -</t>
        </is>
      </c>
      <c r="G27" s="189" t="inlineStr">
        <is>
          <t>0 / 0.4 / 3</t>
        </is>
      </c>
      <c r="H27" s="189" t="inlineStr">
        <is>
          <t>- / - / -</t>
        </is>
      </c>
      <c r="I27" s="189" t="inlineStr">
        <is>
          <t>0 / 3 / 9</t>
        </is>
      </c>
      <c r="J27" s="189" t="inlineStr">
        <is>
          <t>added lever</t>
        </is>
      </c>
      <c r="K27" s="189"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89" t="inlineStr">
        <is>
          <t>diesel</t>
        </is>
      </c>
      <c r="B28" s="189" t="inlineStr">
        <is>
          <t>electric_share_of_new_light_commercial_sales</t>
        </is>
      </c>
      <c r="C28" s="189" t="inlineStr">
        <is>
          <t>percent</t>
        </is>
      </c>
      <c r="D28" s="189" t="inlineStr">
        <is>
          <t>not reported</t>
        </is>
      </c>
      <c r="E28" s="189" t="inlineStr">
        <is>
          <t>naamsa reports electrified sales for the whole market only; assumed close to zero</t>
        </is>
      </c>
      <c r="F28" s="189" t="inlineStr">
        <is>
          <t>- / - / -</t>
        </is>
      </c>
      <c r="G28" s="189" t="inlineStr">
        <is>
          <t>0 / 1 / 5</t>
        </is>
      </c>
      <c r="H28" s="189" t="inlineStr">
        <is>
          <t>- / - / -</t>
        </is>
      </c>
      <c r="I28" s="189" t="inlineStr">
        <is>
          <t>0 / 5 / 10</t>
        </is>
      </c>
      <c r="J28" s="189" t="inlineStr">
        <is>
          <t>added lever</t>
        </is>
      </c>
      <c r="K28" s="189"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89" t="inlineStr">
        <is>
          <t>petrol</t>
        </is>
      </c>
      <c r="B29" s="189" t="inlineStr">
        <is>
          <t>real_fuel_price</t>
        </is>
      </c>
      <c r="C29" s="189" t="inlineStr">
        <is>
          <t>index_2024_100</t>
        </is>
      </c>
      <c r="D29" s="189" t="inlineStr">
        <is>
          <t>100</t>
        </is>
      </c>
      <c r="E29" s="189" t="inlineStr">
        <is>
          <t>regulated inland price deflated by headline CPI, 2024 average</t>
        </is>
      </c>
      <c r="F29" s="189" t="inlineStr">
        <is>
          <t>- / - / -</t>
        </is>
      </c>
      <c r="G29" s="189" t="inlineStr">
        <is>
          <t>80 / 100 / 120</t>
        </is>
      </c>
      <c r="H29" s="189" t="inlineStr">
        <is>
          <t>- / - / -</t>
        </is>
      </c>
      <c r="I29" s="189" t="inlineStr">
        <is>
          <t>80 / 100 / 120</t>
        </is>
      </c>
      <c r="J29" s="189" t="inlineStr">
        <is>
          <t>added lever</t>
        </is>
      </c>
      <c r="K29" s="189"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89" t="inlineStr">
        <is>
          <t>petrol</t>
        </is>
      </c>
      <c r="B30" s="189" t="inlineStr">
        <is>
          <t>plug_in_hybrid_new_sales_share</t>
        </is>
      </c>
      <c r="C30" s="189" t="inlineStr">
        <is>
          <t>percent</t>
        </is>
      </c>
      <c r="D30" s="189" t="inlineStr">
        <is>
          <t>0.5</t>
        </is>
      </c>
      <c r="E30" s="189" t="inlineStr">
        <is>
          <t>share of all new vehicles in 2025 (naamsa)</t>
        </is>
      </c>
      <c r="F30" s="189" t="inlineStr">
        <is>
          <t>- / - / -</t>
        </is>
      </c>
      <c r="G30" s="189" t="inlineStr">
        <is>
          <t>0.5 / 1.2 / 2.1</t>
        </is>
      </c>
      <c r="H30" s="189" t="inlineStr">
        <is>
          <t>- / - / -</t>
        </is>
      </c>
      <c r="I30" s="189" t="inlineStr">
        <is>
          <t>0.5 / 2 / 3.7</t>
        </is>
      </c>
      <c r="J30" s="189" t="inlineStr">
        <is>
          <t>added lever</t>
        </is>
      </c>
      <c r="K30" s="189"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89" t="inlineStr">
        <is>
          <t>petrol</t>
        </is>
      </c>
      <c r="B31" s="189" t="inlineStr">
        <is>
          <t>conventional_hybrid_new_sales_share</t>
        </is>
      </c>
      <c r="C31" s="189" t="inlineStr">
        <is>
          <t>percent</t>
        </is>
      </c>
      <c r="D31" s="189" t="inlineStr">
        <is>
          <t>2.1</t>
        </is>
      </c>
      <c r="E31" s="189" t="inlineStr">
        <is>
          <t>share of all new vehicles in 2025 (naamsa)</t>
        </is>
      </c>
      <c r="F31" s="189" t="inlineStr">
        <is>
          <t>- / - / -</t>
        </is>
      </c>
      <c r="G31" s="189" t="inlineStr">
        <is>
          <t>2.1 / 4.4 / 6.7</t>
        </is>
      </c>
      <c r="H31" s="189" t="inlineStr">
        <is>
          <t>- / - / -</t>
        </is>
      </c>
      <c r="I31" s="189" t="inlineStr">
        <is>
          <t>2.1 / 6.7 / 11.3</t>
        </is>
      </c>
      <c r="J31" s="189" t="inlineStr">
        <is>
          <t>added lever</t>
        </is>
      </c>
      <c r="K31" s="189"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89" t="inlineStr">
        <is>
          <t>petrol</t>
        </is>
      </c>
      <c r="B32" s="189" t="inlineStr">
        <is>
          <t>rail_passenger_journeys</t>
        </is>
      </c>
      <c r="C32" s="189" t="inlineStr">
        <is>
          <t>million_per_year</t>
        </is>
      </c>
      <c r="D32" s="189" t="inlineStr">
        <is>
          <t>74</t>
        </is>
      </c>
      <c r="E32" s="189" t="inlineStr">
        <is>
          <t>rail passenger journeys in 2024 (Stats SA P7162)</t>
        </is>
      </c>
      <c r="F32" s="189" t="inlineStr">
        <is>
          <t>- / - / -</t>
        </is>
      </c>
      <c r="G32" s="189" t="inlineStr">
        <is>
          <t>100 / 180 / 320</t>
        </is>
      </c>
      <c r="H32" s="189" t="inlineStr">
        <is>
          <t>- / - / -</t>
        </is>
      </c>
      <c r="I32" s="189" t="inlineStr">
        <is>
          <t>100 / 250 / 320</t>
        </is>
      </c>
      <c r="J32" s="189" t="inlineStr">
        <is>
          <t>added lever</t>
        </is>
      </c>
      <c r="K32" s="189"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89" t="inlineStr">
        <is>
          <t>throughput</t>
        </is>
      </c>
      <c r="B33" s="189" t="inlineStr">
        <is>
          <t>exports_to_neighbours</t>
        </is>
      </c>
      <c r="C33" s="189" t="inlineStr">
        <is>
          <t>bn_litres_per_year</t>
        </is>
      </c>
      <c r="D33" s="189" t="inlineStr">
        <is>
          <t>1.48</t>
        </is>
      </c>
      <c r="E33" s="189" t="inlineStr">
        <is>
          <t>petrol and diesel exported to nine neighbouring countries in 2024 (SARS customs)</t>
        </is>
      </c>
      <c r="F33" s="189" t="inlineStr">
        <is>
          <t>- / - / -</t>
        </is>
      </c>
      <c r="G33" s="189" t="inlineStr">
        <is>
          <t>0.7 / 1.4 / 1.7</t>
        </is>
      </c>
      <c r="H33" s="189" t="inlineStr">
        <is>
          <t>- / - / -</t>
        </is>
      </c>
      <c r="I33" s="189" t="inlineStr">
        <is>
          <t>0.7 / 1.4 / 1.7</t>
        </is>
      </c>
      <c r="J33" s="189" t="inlineStr">
        <is>
          <t>added lever</t>
        </is>
      </c>
      <c r="K33" s="189"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89" t="inlineStr">
        <is>
          <t>G01</t>
        </is>
      </c>
      <c r="B5" s="189" t="inlineStr">
        <is>
          <t>National fuel balance</t>
        </is>
      </c>
      <c r="C5" s="189" t="inlineStr">
        <is>
          <t>Narrowed</t>
        </is>
      </c>
      <c r="D5" s="189" t="inlineStr">
        <is>
          <t>Balance rebuilt on customs trade for 2014-2025; Road Accident Fund levy found as an independent count.</t>
        </is>
      </c>
      <c r="E5" s="189" t="inlineStr">
        <is>
          <t>No sales after 2023; no production after 2021 (the last energy balance); no stock series.</t>
        </is>
      </c>
      <c r="F5" s="189" t="inlineStr">
        <is>
          <t>History, sections 2-5</t>
        </is>
      </c>
    </row>
    <row r="6">
      <c r="A6" s="189" t="inlineStr">
        <is>
          <t>G02</t>
        </is>
      </c>
      <c r="B6" s="189" t="inlineStr">
        <is>
          <t>Fleet and new sales</t>
        </is>
      </c>
      <c r="C6" s="189" t="inlineStr">
        <is>
          <t>Narrowed</t>
        </is>
      </c>
      <c r="D6" s="189" t="inlineStr">
        <is>
          <t>Registered vehicles by class 2021-2025, new sales 2017-2025 and apparent retirements lined up against the model.</t>
        </is>
      </c>
      <c r="E6" s="189" t="inlineStr">
        <is>
          <t>Stock by age and by fuel within each class is in no source held.</t>
        </is>
      </c>
      <c r="F6" s="189" t="inlineStr">
        <is>
          <t>Vehicle history</t>
        </is>
      </c>
    </row>
    <row r="7">
      <c r="A7" s="189" t="inlineStr">
        <is>
          <t>G03</t>
        </is>
      </c>
      <c r="B7" s="189" t="inlineStr">
        <is>
          <t>Passenger electrification</t>
        </is>
      </c>
      <c r="C7" s="189" t="inlineStr">
        <is>
          <t>Narrowed</t>
        </is>
      </c>
      <c r="D7" s="189" t="inlineStr">
        <is>
          <t>Battery electric, plug-in and conventional hybrid sales and shares, 2019-2025.</t>
        </is>
      </c>
      <c r="E7" s="189" t="inlineStr">
        <is>
          <t>Passenger-only denominators; electric vehicles in the fleet after 2023; fuel saved by hybrids.</t>
        </is>
      </c>
      <c r="F7" s="189" t="inlineStr">
        <is>
          <t>Vehicle history, section 4</t>
        </is>
      </c>
    </row>
    <row r="8">
      <c r="A8" s="189" t="inlineStr">
        <is>
          <t>G04</t>
        </is>
      </c>
      <c r="B8" s="189" t="inlineStr">
        <is>
          <t>Road freight activity</t>
        </is>
      </c>
      <c r="C8" s="189" t="inlineStr">
        <is>
          <t>Narrowed</t>
        </is>
      </c>
      <c r="D8" s="189" t="inlineStr">
        <is>
          <t>Heavy vehicle diesel is estimated for every year and set against road freight tonnes, giving litres per tonne. Stats SA fuel purchases by road freight firms give a floor of about 2.9 bn litres (2019) and 3.2 bn (2023).</t>
        </is>
      </c>
      <c r="E8" s="189" t="inlineStr">
        <is>
          <t>An annual tonne-kilometre series (only 2013 is published); distance, payload and empty running; light commercial freight scope.</t>
        </is>
      </c>
      <c r="F8" s="189" t="inlineStr">
        <is>
          <t>Diesel by use, sections 3, 3b and 4</t>
        </is>
      </c>
    </row>
    <row r="9">
      <c r="A9" s="189" t="inlineStr">
        <is>
          <t>G05</t>
        </is>
      </c>
      <c r="B9" s="189" t="inlineStr">
        <is>
          <t>Freight electrification</t>
        </is>
      </c>
      <c r="C9" s="189" t="inlineStr">
        <is>
          <t>Proposed</t>
        </is>
      </c>
      <c r="D9" s="189"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89" t="inlineStr">
        <is>
          <t>South African sales of electric trucks by size; duty cycles that could switch first; charging at depots.</t>
        </is>
      </c>
      <c r="F9" s="189" t="inlineStr">
        <is>
          <t>HML response</t>
        </is>
      </c>
    </row>
    <row r="10">
      <c r="A10" s="189" t="inlineStr">
        <is>
          <t>G06</t>
        </is>
      </c>
      <c r="B10" s="189" t="inlineStr">
        <is>
          <t>Manufacturing</t>
        </is>
      </c>
      <c r="C10" s="189" t="inlineStr">
        <is>
          <t>Narrowed</t>
        </is>
      </c>
      <c r="D10" s="189" t="inlineStr">
        <is>
          <t>Manufacturing and other industry diesel by difference, 2016-2021 (0.16-0.23 bn litres), with litres per index point.</t>
        </is>
      </c>
      <c r="E10" s="189" t="inlineStr">
        <is>
          <t>Sub-sector detail; the balance has no manufacturing lines before 2016.</t>
        </is>
      </c>
      <c r="F10" s="189" t="inlineStr">
        <is>
          <t>Sector history</t>
        </is>
      </c>
    </row>
    <row r="11">
      <c r="A11" s="189" t="inlineStr">
        <is>
          <t>G07</t>
        </is>
      </c>
      <c r="B11" s="189" t="inlineStr">
        <is>
          <t>Mining and construction</t>
        </is>
      </c>
      <c r="C11" s="189" t="inlineStr">
        <is>
          <t>Narrowed</t>
        </is>
      </c>
      <c r="D11" s="189" t="inlineStr">
        <is>
          <t>Mining diesel 2012-2021 with litres per index point (11-17 million); indicative 2022-2025.</t>
        </is>
      </c>
      <c r="E11" s="189" t="inlineStr">
        <is>
          <t>Observed fuel after 2021; site and commodity split; on-road boundary.</t>
        </is>
      </c>
      <c r="F11" s="189" t="inlineStr">
        <is>
          <t>Sector history</t>
        </is>
      </c>
    </row>
    <row r="12">
      <c r="A12" s="189" t="inlineStr">
        <is>
          <t>G08</t>
        </is>
      </c>
      <c r="B12" s="189" t="inlineStr">
        <is>
          <t>Agriculture</t>
        </is>
      </c>
      <c r="C12" s="189" t="inlineStr">
        <is>
          <t>Narrowed</t>
        </is>
      </c>
      <c r="D12" s="189" t="inlineStr">
        <is>
          <t>Agriculture diesel 2012-2021 with litres per rand of value added; indicative 2022-2025. Rebated diesel across all rebate sectors is 1.46 bn litres (year to March 2025).</t>
        </is>
      </c>
      <c r="E12" s="189" t="inlineStr">
        <is>
          <t>A fuel baseline after 2021; crop and irrigation activity.</t>
        </is>
      </c>
      <c r="F12" s="189" t="inlineStr">
        <is>
          <t>Sector history</t>
        </is>
      </c>
    </row>
    <row r="13">
      <c r="A13" s="189" t="inlineStr">
        <is>
          <t>G09</t>
        </is>
      </c>
      <c r="B13" s="189" t="inlineStr">
        <is>
          <t>Generation</t>
        </is>
      </c>
      <c r="C13" s="189" t="inlineStr">
        <is>
          <t>Narrowed</t>
        </is>
      </c>
      <c r="D13" s="189" t="inlineStr">
        <is>
          <t>Generation to the year ending March 2026; 0.31 litres per kWh in three reported years. The model's 2024 figure (3.58 bn litres) is at least 2 bn above reported burn.</t>
        </is>
      </c>
      <c r="E13" s="189" t="inlineStr">
        <is>
          <t>Matched fuel burn by calendar year; private backup generation has no measured volume.</t>
        </is>
      </c>
      <c r="F13" s="189" t="inlineStr">
        <is>
          <t>Diesel by use, section 1</t>
        </is>
      </c>
    </row>
    <row r="14">
      <c r="A14" s="189" t="inlineStr">
        <is>
          <t>G10</t>
        </is>
      </c>
      <c r="B14" s="189" t="inlineStr">
        <is>
          <t>Aviation</t>
        </is>
      </c>
      <c r="C14" s="189" t="inlineStr">
        <is>
          <t>Narrowed</t>
        </is>
      </c>
      <c r="D14" s="189" t="inlineStr">
        <is>
          <t>Jet sales, trade, production and aircraft movements lined up; jet sold per movement computed.</t>
        </is>
      </c>
      <c r="E14" s="189" t="inlineStr">
        <is>
          <t>Cargo, aircraft and route mix; airports outside ACSA; jet by airport.</t>
        </is>
      </c>
      <c r="F14" s="189" t="inlineStr">
        <is>
          <t>History, section 7</t>
        </is>
      </c>
    </row>
    <row r="15">
      <c r="A15" s="189" t="inlineStr">
        <is>
          <t>G11</t>
        </is>
      </c>
      <c r="B15" s="189" t="inlineStr">
        <is>
          <t>Provincial demand</t>
        </is>
      </c>
      <c r="C15" s="189" t="inlineStr">
        <is>
          <t>Narrowed</t>
        </is>
      </c>
      <c r="D15" s="189" t="inlineStr">
        <is>
          <t>2013-2022 observed; 2023 estimated with the best of six methods back-tested; 2024 blank (no national total).</t>
        </is>
      </c>
      <c r="E15" s="189" t="inlineStr">
        <is>
          <t>District data after 2023 quarter 1, which the department has not published; 2025 national total.</t>
        </is>
      </c>
      <c r="F15" s="189" t="inlineStr">
        <is>
          <t>History, sections 1 and 6</t>
        </is>
      </c>
    </row>
    <row r="16">
      <c r="A16" s="189" t="inlineStr">
        <is>
          <t>G12</t>
        </is>
      </c>
      <c r="B16" s="189" t="inlineStr">
        <is>
          <t>Marine and other coverage</t>
        </is>
      </c>
      <c r="C16" s="189" t="inlineStr">
        <is>
          <t>Open</t>
        </is>
      </c>
      <c r="D16" s="189" t="inlineStr">
        <is>
          <t>Nothing new. The model's marine placeholder equals the 2007 balance figure.</t>
        </is>
      </c>
      <c r="E16" s="189" t="inlineStr">
        <is>
          <t>Everything listed.</t>
        </is>
      </c>
      <c r="F16" s="189" t="inlineStr"/>
    </row>
    <row r="17">
      <c r="A17" s="189" t="inlineStr">
        <is>
          <t>G13</t>
        </is>
      </c>
      <c r="B17" s="189" t="inlineStr">
        <is>
          <t>Ranges and annual forecast paths</t>
        </is>
      </c>
      <c r="C17" s="189" t="inlineStr">
        <is>
          <t>Proposed</t>
        </is>
      </c>
      <c r="D17" s="189" t="inlineStr">
        <is>
          <t>Baseline, rationale and source for all 20 levers; 39 of 120 values with a proposed replacement; nine levers added.</t>
        </is>
      </c>
      <c r="E17" s="189" t="inlineStr">
        <is>
          <t>Agreement on the reference case and annual paths.</t>
        </is>
      </c>
      <c r="F17" s="189" t="inlineStr">
        <is>
          <t>HML response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90" t="inlineStr">
        <is>
          <t>Evidence row</t>
        </is>
      </c>
      <c r="B4" s="190" t="inlineStr">
        <is>
          <t>Series</t>
        </is>
      </c>
      <c r="C4" s="190" t="inlineStr">
        <is>
          <t>Year</t>
        </is>
      </c>
      <c r="D4" s="190" t="inlineStr">
        <is>
          <t>Workbook value</t>
        </is>
      </c>
      <c r="E4" s="190" t="inlineStr">
        <is>
          <t>Recomputed from inputs</t>
        </is>
      </c>
      <c r="F4" s="190" t="inlineStr">
        <is>
          <t>Result</t>
        </is>
      </c>
      <c r="G4" s="190" t="inlineStr">
        <is>
          <t>Input file</t>
        </is>
      </c>
    </row>
    <row r="5">
      <c r="A5" s="1" t="inlineStr">
        <is>
          <t>F5</t>
        </is>
      </c>
      <c r="B5" s="1" t="inlineStr">
        <is>
          <t>sales_petrol</t>
        </is>
      </c>
      <c r="C5" s="1" t="n">
        <v>2022</v>
      </c>
      <c r="D5" s="191" t="n">
        <v>9185</v>
      </c>
      <c r="E5" s="191" t="n">
        <v>9185</v>
      </c>
      <c r="F5" s="1" t="inlineStr">
        <is>
          <t>matches</t>
        </is>
      </c>
      <c r="G5" s="1" t="inlineStr">
        <is>
          <t>fuel_sales_fiasa.csv</t>
        </is>
      </c>
    </row>
    <row r="6">
      <c r="A6" s="1" t="inlineStr">
        <is>
          <t>G5</t>
        </is>
      </c>
      <c r="B6" s="1" t="inlineStr">
        <is>
          <t>sales_petrol</t>
        </is>
      </c>
      <c r="C6" s="1" t="n">
        <v>2023</v>
      </c>
      <c r="D6" s="191" t="n">
        <v>9037</v>
      </c>
      <c r="E6" s="191" t="n">
        <v>9037</v>
      </c>
      <c r="F6" s="1" t="inlineStr">
        <is>
          <t>matches</t>
        </is>
      </c>
      <c r="G6" s="1" t="inlineStr">
        <is>
          <t>fuel_sales_fiasa.csv</t>
        </is>
      </c>
    </row>
    <row r="7">
      <c r="A7" s="1" t="inlineStr">
        <is>
          <t>H5</t>
        </is>
      </c>
      <c r="B7" s="1" t="inlineStr">
        <is>
          <t>sales_petrol</t>
        </is>
      </c>
      <c r="C7" s="1" t="n">
        <v>2024</v>
      </c>
      <c r="D7" s="191" t="n">
        <v>9029</v>
      </c>
      <c r="E7" s="191" t="n">
        <v>9029</v>
      </c>
      <c r="F7" s="1" t="inlineStr">
        <is>
          <t>matches</t>
        </is>
      </c>
      <c r="G7" s="1" t="inlineStr">
        <is>
          <t>fuel_sales_fiasa.csv</t>
        </is>
      </c>
    </row>
    <row r="8">
      <c r="A8" s="1" t="inlineStr">
        <is>
          <t>F6</t>
        </is>
      </c>
      <c r="B8" s="1" t="inlineStr">
        <is>
          <t>dept_petrol</t>
        </is>
      </c>
      <c r="C8" s="1" t="n">
        <v>2022</v>
      </c>
      <c r="D8" s="191" t="n">
        <v>9184.869915572999</v>
      </c>
      <c r="E8" s="191" t="n">
        <v>9184.869915572999</v>
      </c>
      <c r="F8" s="1" t="inlineStr">
        <is>
          <t>matches</t>
        </is>
      </c>
      <c r="G8" s="1" t="inlineStr">
        <is>
          <t>fuel_sales_department.csv</t>
        </is>
      </c>
    </row>
    <row r="9">
      <c r="A9" s="1" t="inlineStr">
        <is>
          <t>G6</t>
        </is>
      </c>
      <c r="B9" s="1" t="inlineStr">
        <is>
          <t>dept_petrol</t>
        </is>
      </c>
      <c r="C9" s="1" t="n">
        <v>2023</v>
      </c>
      <c r="D9" s="191" t="n">
        <v>9036.950113492001</v>
      </c>
      <c r="E9" s="191" t="n">
        <v>9036.950113492001</v>
      </c>
      <c r="F9" s="1" t="inlineStr">
        <is>
          <t>matches</t>
        </is>
      </c>
      <c r="G9" s="1" t="inlineStr">
        <is>
          <t>fuel_sales_department.csv</t>
        </is>
      </c>
    </row>
    <row r="10">
      <c r="A10" s="1" t="inlineStr">
        <is>
          <t>F7</t>
        </is>
      </c>
      <c r="B10" s="1" t="inlineStr">
        <is>
          <t>sales_diesel</t>
        </is>
      </c>
      <c r="C10" s="1" t="n">
        <v>2022</v>
      </c>
      <c r="D10" s="191" t="n">
        <v>12717</v>
      </c>
      <c r="E10" s="191" t="n">
        <v>12717</v>
      </c>
      <c r="F10" s="1" t="inlineStr">
        <is>
          <t>matches</t>
        </is>
      </c>
      <c r="G10" s="1" t="inlineStr">
        <is>
          <t>fuel_sales_fiasa.csv</t>
        </is>
      </c>
    </row>
    <row r="11">
      <c r="A11" s="1" t="inlineStr">
        <is>
          <t>G7</t>
        </is>
      </c>
      <c r="B11" s="1" t="inlineStr">
        <is>
          <t>sales_diesel</t>
        </is>
      </c>
      <c r="C11" s="1" t="n">
        <v>2023</v>
      </c>
      <c r="D11" s="191" t="n">
        <v>12907</v>
      </c>
      <c r="E11" s="191" t="n">
        <v>12907</v>
      </c>
      <c r="F11" s="1" t="inlineStr">
        <is>
          <t>matches</t>
        </is>
      </c>
      <c r="G11" s="1" t="inlineStr">
        <is>
          <t>fuel_sales_fiasa.csv</t>
        </is>
      </c>
    </row>
    <row r="12">
      <c r="A12" s="1" t="inlineStr">
        <is>
          <t>H7</t>
        </is>
      </c>
      <c r="B12" s="1" t="inlineStr">
        <is>
          <t>sales_diesel</t>
        </is>
      </c>
      <c r="C12" s="1" t="n">
        <v>2024</v>
      </c>
      <c r="D12" s="191" t="n">
        <v>11734</v>
      </c>
      <c r="E12" s="191" t="n">
        <v>11734</v>
      </c>
      <c r="F12" s="1" t="inlineStr">
        <is>
          <t>matches</t>
        </is>
      </c>
      <c r="G12" s="1" t="inlineStr">
        <is>
          <t>fuel_sales_fiasa.csv</t>
        </is>
      </c>
    </row>
    <row r="13">
      <c r="A13" s="1" t="inlineStr">
        <is>
          <t>F8</t>
        </is>
      </c>
      <c r="B13" s="1" t="inlineStr">
        <is>
          <t>dept_diesel</t>
        </is>
      </c>
      <c r="C13" s="1" t="n">
        <v>2022</v>
      </c>
      <c r="D13" s="191" t="n">
        <v>12717.326319019</v>
      </c>
      <c r="E13" s="191" t="n">
        <v>12717.326319019</v>
      </c>
      <c r="F13" s="1" t="inlineStr">
        <is>
          <t>matches</t>
        </is>
      </c>
      <c r="G13" s="1" t="inlineStr">
        <is>
          <t>fuel_sales_department.csv</t>
        </is>
      </c>
    </row>
    <row r="14">
      <c r="A14" s="1" t="inlineStr">
        <is>
          <t>G8</t>
        </is>
      </c>
      <c r="B14" s="1" t="inlineStr">
        <is>
          <t>dept_diesel</t>
        </is>
      </c>
      <c r="C14" s="1" t="n">
        <v>2023</v>
      </c>
      <c r="D14" s="191" t="n">
        <v>12907.499965808</v>
      </c>
      <c r="E14" s="191" t="n">
        <v>12907.499965808</v>
      </c>
      <c r="F14" s="1" t="inlineStr">
        <is>
          <t>matches</t>
        </is>
      </c>
      <c r="G14" s="1" t="inlineStr">
        <is>
          <t>fuel_sales_department.csv</t>
        </is>
      </c>
    </row>
    <row r="15">
      <c r="A15" s="1" t="inlineStr">
        <is>
          <t>F9</t>
        </is>
      </c>
      <c r="B15" s="1" t="inlineStr">
        <is>
          <t>sales_jet</t>
        </is>
      </c>
      <c r="C15" s="1" t="n">
        <v>2022</v>
      </c>
      <c r="D15" s="191" t="n">
        <v>1478</v>
      </c>
      <c r="E15" s="191" t="n">
        <v>1478</v>
      </c>
      <c r="F15" s="1" t="inlineStr">
        <is>
          <t>matches</t>
        </is>
      </c>
      <c r="G15" s="1" t="inlineStr">
        <is>
          <t>fuel_sales_fiasa.csv</t>
        </is>
      </c>
    </row>
    <row r="16">
      <c r="A16" s="1" t="inlineStr">
        <is>
          <t>G9</t>
        </is>
      </c>
      <c r="B16" s="1" t="inlineStr">
        <is>
          <t>sales_jet</t>
        </is>
      </c>
      <c r="C16" s="1" t="n">
        <v>2023</v>
      </c>
      <c r="D16" s="191" t="n">
        <v>1844</v>
      </c>
      <c r="E16" s="191" t="n">
        <v>1844</v>
      </c>
      <c r="F16" s="1" t="inlineStr">
        <is>
          <t>matches</t>
        </is>
      </c>
      <c r="G16" s="1" t="inlineStr">
        <is>
          <t>fuel_sales_fiasa.csv</t>
        </is>
      </c>
    </row>
    <row r="17">
      <c r="A17" s="1" t="inlineStr">
        <is>
          <t>H9</t>
        </is>
      </c>
      <c r="B17" s="1" t="inlineStr">
        <is>
          <t>sales_jet</t>
        </is>
      </c>
      <c r="C17" s="1" t="n">
        <v>2024</v>
      </c>
      <c r="D17" s="191" t="n">
        <v>1955</v>
      </c>
      <c r="E17" s="191" t="n">
        <v>1955</v>
      </c>
      <c r="F17" s="1" t="inlineStr">
        <is>
          <t>matches</t>
        </is>
      </c>
      <c r="G17" s="1" t="inlineStr">
        <is>
          <t>fuel_sales_fiasa.csv</t>
        </is>
      </c>
    </row>
    <row r="18">
      <c r="A18" s="1" t="inlineStr">
        <is>
          <t>F10</t>
        </is>
      </c>
      <c r="B18" s="1" t="inlineStr">
        <is>
          <t>dept_jet</t>
        </is>
      </c>
      <c r="C18" s="1" t="n">
        <v>2022</v>
      </c>
      <c r="D18" s="191" t="n">
        <v>1478.149852603</v>
      </c>
      <c r="E18" s="191" t="n">
        <v>1478.149852603</v>
      </c>
      <c r="F18" s="1" t="inlineStr">
        <is>
          <t>matches</t>
        </is>
      </c>
      <c r="G18" s="1" t="inlineStr">
        <is>
          <t>fuel_sales_department.csv</t>
        </is>
      </c>
    </row>
    <row r="19">
      <c r="A19" s="1" t="inlineStr">
        <is>
          <t>G10</t>
        </is>
      </c>
      <c r="B19" s="1" t="inlineStr">
        <is>
          <t>dept_jet</t>
        </is>
      </c>
      <c r="C19" s="1" t="n">
        <v>2023</v>
      </c>
      <c r="D19" s="191" t="n">
        <v>1843.971762465</v>
      </c>
      <c r="E19" s="191" t="n">
        <v>1843.971762465</v>
      </c>
      <c r="F19" s="1" t="inlineStr">
        <is>
          <t>matches</t>
        </is>
      </c>
      <c r="G19" s="1" t="inlineStr">
        <is>
          <t>fuel_sales_department.csv</t>
        </is>
      </c>
    </row>
    <row r="20">
      <c r="A20" s="1" t="inlineStr">
        <is>
          <t>F11</t>
        </is>
      </c>
      <c r="B20" s="1" t="inlineStr">
        <is>
          <t>sales_fuel_oil</t>
        </is>
      </c>
      <c r="C20" s="1" t="n">
        <v>2022</v>
      </c>
      <c r="D20" s="191" t="n">
        <v>594</v>
      </c>
      <c r="E20" s="191" t="n">
        <v>594</v>
      </c>
      <c r="F20" s="1" t="inlineStr">
        <is>
          <t>matches</t>
        </is>
      </c>
      <c r="G20" s="1" t="inlineStr">
        <is>
          <t>fuel_sales_fiasa.csv</t>
        </is>
      </c>
    </row>
    <row r="21">
      <c r="A21" s="1" t="inlineStr">
        <is>
          <t>G11</t>
        </is>
      </c>
      <c r="B21" s="1" t="inlineStr">
        <is>
          <t>sales_fuel_oil</t>
        </is>
      </c>
      <c r="C21" s="1" t="n">
        <v>2023</v>
      </c>
      <c r="D21" s="191" t="n">
        <v>658</v>
      </c>
      <c r="E21" s="191" t="n">
        <v>658</v>
      </c>
      <c r="F21" s="1" t="inlineStr">
        <is>
          <t>matches</t>
        </is>
      </c>
      <c r="G21" s="1" t="inlineStr">
        <is>
          <t>fuel_sales_fiasa.csv</t>
        </is>
      </c>
    </row>
    <row r="22">
      <c r="A22" s="1" t="inlineStr">
        <is>
          <t>H11</t>
        </is>
      </c>
      <c r="B22" s="1" t="inlineStr">
        <is>
          <t>sales_fuel_oil</t>
        </is>
      </c>
      <c r="C22" s="1" t="n">
        <v>2024</v>
      </c>
      <c r="D22" s="191" t="n">
        <v>441</v>
      </c>
      <c r="E22" s="191" t="n">
        <v>441</v>
      </c>
      <c r="F22" s="1" t="inlineStr">
        <is>
          <t>matches</t>
        </is>
      </c>
      <c r="G22" s="1" t="inlineStr">
        <is>
          <t>fuel_sales_fiasa.csv</t>
        </is>
      </c>
    </row>
    <row r="23">
      <c r="A23" s="1" t="inlineStr">
        <is>
          <t>F12</t>
        </is>
      </c>
      <c r="B23" s="1" t="inlineStr">
        <is>
          <t>dept_fuel_oil</t>
        </is>
      </c>
      <c r="C23" s="1" t="n">
        <v>2022</v>
      </c>
      <c r="D23" s="191" t="n">
        <v>594.0401649620001</v>
      </c>
      <c r="E23" s="191" t="n">
        <v>594.0401649620001</v>
      </c>
      <c r="F23" s="1" t="inlineStr">
        <is>
          <t>matches</t>
        </is>
      </c>
      <c r="G23" s="1" t="inlineStr">
        <is>
          <t>fuel_sales_department.csv</t>
        </is>
      </c>
    </row>
    <row r="24">
      <c r="A24" s="1" t="inlineStr">
        <is>
          <t>G12</t>
        </is>
      </c>
      <c r="B24" s="1" t="inlineStr">
        <is>
          <t>dept_fuel_oil</t>
        </is>
      </c>
      <c r="C24" s="1" t="n">
        <v>2023</v>
      </c>
      <c r="D24" s="191" t="n">
        <v>658.0930416160001</v>
      </c>
      <c r="E24" s="191" t="n">
        <v>658.0930416160001</v>
      </c>
      <c r="F24" s="1" t="inlineStr">
        <is>
          <t>matches</t>
        </is>
      </c>
      <c r="G24" s="1" t="inlineStr">
        <is>
          <t>fuel_sales_department.csv</t>
        </is>
      </c>
    </row>
    <row r="25">
      <c r="A25" s="1" t="inlineStr">
        <is>
          <t>F25</t>
        </is>
      </c>
      <c r="B25" s="1" t="inlineStr">
        <is>
          <t>macro_gdp_per_capita</t>
        </is>
      </c>
      <c r="C25" s="1" t="n">
        <v>2022</v>
      </c>
      <c r="D25" s="191" t="n">
        <v>76055.06748983047</v>
      </c>
      <c r="E25" s="191" t="n">
        <v>76055.06748983047</v>
      </c>
      <c r="F25" s="1" t="inlineStr">
        <is>
          <t>matches</t>
        </is>
      </c>
      <c r="G25" s="1" t="inlineStr">
        <is>
          <t>macro_statssa.csv</t>
        </is>
      </c>
    </row>
    <row r="26">
      <c r="A26" s="1" t="inlineStr">
        <is>
          <t>G25</t>
        </is>
      </c>
      <c r="B26" s="1" t="inlineStr">
        <is>
          <t>macro_gdp_per_capita</t>
        </is>
      </c>
      <c r="C26" s="1" t="n">
        <v>2023</v>
      </c>
      <c r="D26" s="191" t="n">
        <v>75781.52071231291</v>
      </c>
      <c r="E26" s="191" t="n">
        <v>75781.52071231291</v>
      </c>
      <c r="F26" s="1" t="inlineStr">
        <is>
          <t>matches</t>
        </is>
      </c>
      <c r="G26" s="1" t="inlineStr">
        <is>
          <t>macro_statssa.csv</t>
        </is>
      </c>
    </row>
    <row r="27">
      <c r="A27" s="1" t="inlineStr">
        <is>
          <t>H25</t>
        </is>
      </c>
      <c r="B27" s="1" t="inlineStr">
        <is>
          <t>macro_gdp_per_capita</t>
        </is>
      </c>
      <c r="C27" s="1" t="n">
        <v>2024</v>
      </c>
      <c r="D27" s="191" t="n">
        <v>75255.62912098455</v>
      </c>
      <c r="E27" s="191" t="n">
        <v>75255.62912098455</v>
      </c>
      <c r="F27" s="1" t="inlineStr">
        <is>
          <t>matches</t>
        </is>
      </c>
      <c r="G27" s="1" t="inlineStr">
        <is>
          <t>macro_statssa.csv</t>
        </is>
      </c>
    </row>
    <row r="28">
      <c r="A28" s="1" t="inlineStr">
        <is>
          <t>I25</t>
        </is>
      </c>
      <c r="B28" s="1" t="inlineStr">
        <is>
          <t>macro_gdp_per_capita</t>
        </is>
      </c>
      <c r="C28" s="1" t="n">
        <v>2025</v>
      </c>
      <c r="D28" s="191" t="n">
        <v>75149.98563223911</v>
      </c>
      <c r="E28" s="191" t="n">
        <v>75149.98563223911</v>
      </c>
      <c r="F28" s="1" t="inlineStr">
        <is>
          <t>matches</t>
        </is>
      </c>
      <c r="G28" s="1" t="inlineStr">
        <is>
          <t>macro_statssa.csv</t>
        </is>
      </c>
    </row>
    <row r="29">
      <c r="A29" s="1" t="inlineStr">
        <is>
          <t>F26</t>
        </is>
      </c>
      <c r="B29" s="1" t="inlineStr">
        <is>
          <t>macro_agriculture_forestry_and_fishing</t>
        </is>
      </c>
      <c r="C29" s="1" t="n">
        <v>2022</v>
      </c>
      <c r="D29" s="191" t="n">
        <v>131.7706421450265</v>
      </c>
      <c r="E29" s="191" t="n">
        <v>131.7706421450265</v>
      </c>
      <c r="F29" s="1" t="inlineStr">
        <is>
          <t>matches</t>
        </is>
      </c>
      <c r="G29" s="1" t="inlineStr">
        <is>
          <t>macro_statssa.csv</t>
        </is>
      </c>
    </row>
    <row r="30">
      <c r="A30" s="1" t="inlineStr">
        <is>
          <t>G26</t>
        </is>
      </c>
      <c r="B30" s="1" t="inlineStr">
        <is>
          <t>macro_agriculture_forestry_and_fishing</t>
        </is>
      </c>
      <c r="C30" s="1" t="n">
        <v>2023</v>
      </c>
      <c r="D30" s="191" t="n">
        <v>125.7466421450265</v>
      </c>
      <c r="E30" s="191" t="n">
        <v>125.7466421450265</v>
      </c>
      <c r="F30" s="1" t="inlineStr">
        <is>
          <t>matches</t>
        </is>
      </c>
      <c r="G30" s="1" t="inlineStr">
        <is>
          <t>macro_statssa.csv</t>
        </is>
      </c>
    </row>
    <row r="31">
      <c r="A31" s="1" t="inlineStr">
        <is>
          <t>H26</t>
        </is>
      </c>
      <c r="B31" s="1" t="inlineStr">
        <is>
          <t>macro_agriculture_forestry_and_fishing</t>
        </is>
      </c>
      <c r="C31" s="1" t="n">
        <v>2024</v>
      </c>
      <c r="D31" s="191" t="n">
        <v>114.7916421450265</v>
      </c>
      <c r="E31" s="191" t="n">
        <v>114.7916421450265</v>
      </c>
      <c r="F31" s="1" t="inlineStr">
        <is>
          <t>matches</t>
        </is>
      </c>
      <c r="G31" s="1" t="inlineStr">
        <is>
          <t>macro_statssa.csv</t>
        </is>
      </c>
    </row>
    <row r="32">
      <c r="A32" s="1" t="inlineStr">
        <is>
          <t>I26</t>
        </is>
      </c>
      <c r="B32" s="1" t="inlineStr">
        <is>
          <t>macro_agriculture_forestry_and_fishing</t>
        </is>
      </c>
      <c r="C32" s="1" t="n">
        <v>2025</v>
      </c>
      <c r="D32" s="191" t="n">
        <v>134.7967469817132</v>
      </c>
      <c r="E32" s="191" t="n">
        <v>134.7967469817132</v>
      </c>
      <c r="F32" s="1" t="inlineStr">
        <is>
          <t>matches</t>
        </is>
      </c>
      <c r="G32" s="1" t="inlineStr">
        <is>
          <t>macro_statssa.csv</t>
        </is>
      </c>
    </row>
    <row r="33">
      <c r="A33" s="1" t="inlineStr">
        <is>
          <t>F27</t>
        </is>
      </c>
      <c r="B33" s="1" t="inlineStr">
        <is>
          <t>macro_manufacturing</t>
        </is>
      </c>
      <c r="C33" s="1" t="n">
        <v>2022</v>
      </c>
      <c r="D33" s="191" t="n">
        <v>523.0907540648606</v>
      </c>
      <c r="E33" s="191" t="n">
        <v>523.0907540648606</v>
      </c>
      <c r="F33" s="1" t="inlineStr">
        <is>
          <t>matches</t>
        </is>
      </c>
      <c r="G33" s="1" t="inlineStr">
        <is>
          <t>macro_statssa.csv</t>
        </is>
      </c>
    </row>
    <row r="34">
      <c r="A34" s="1" t="inlineStr">
        <is>
          <t>G27</t>
        </is>
      </c>
      <c r="B34" s="1" t="inlineStr">
        <is>
          <t>macro_manufacturing</t>
        </is>
      </c>
      <c r="C34" s="1" t="n">
        <v>2023</v>
      </c>
      <c r="D34" s="191" t="n">
        <v>524.9937540648609</v>
      </c>
      <c r="E34" s="191" t="n">
        <v>524.9937540648609</v>
      </c>
      <c r="F34" s="1" t="inlineStr">
        <is>
          <t>matches</t>
        </is>
      </c>
      <c r="G34" s="1" t="inlineStr">
        <is>
          <t>macro_statssa.csv</t>
        </is>
      </c>
    </row>
    <row r="35">
      <c r="A35" s="1" t="inlineStr">
        <is>
          <t>H27</t>
        </is>
      </c>
      <c r="B35" s="1" t="inlineStr">
        <is>
          <t>macro_manufacturing</t>
        </is>
      </c>
      <c r="C35" s="1" t="n">
        <v>2024</v>
      </c>
      <c r="D35" s="191" t="n">
        <v>523.150754064861</v>
      </c>
      <c r="E35" s="191" t="n">
        <v>523.150754064861</v>
      </c>
      <c r="F35" s="1" t="inlineStr">
        <is>
          <t>matches</t>
        </is>
      </c>
      <c r="G35" s="1" t="inlineStr">
        <is>
          <t>macro_statssa.csv</t>
        </is>
      </c>
    </row>
    <row r="36">
      <c r="A36" s="1" t="inlineStr">
        <is>
          <t>I27</t>
        </is>
      </c>
      <c r="B36" s="1" t="inlineStr">
        <is>
          <t>macro_manufacturing</t>
        </is>
      </c>
      <c r="C36" s="1" t="n">
        <v>2025</v>
      </c>
      <c r="D36" s="191" t="n">
        <v>516.9856529750193</v>
      </c>
      <c r="E36" s="191" t="n">
        <v>516.9856529750193</v>
      </c>
      <c r="F36" s="1" t="inlineStr">
        <is>
          <t>matches</t>
        </is>
      </c>
      <c r="G36" s="1" t="inlineStr">
        <is>
          <t>macro_statssa.csv</t>
        </is>
      </c>
    </row>
    <row r="37">
      <c r="A37" s="1" t="inlineStr">
        <is>
          <t>F28</t>
        </is>
      </c>
      <c r="B37" s="1" t="inlineStr">
        <is>
          <t>macro_mining_and_quarrying</t>
        </is>
      </c>
      <c r="C37" s="1" t="n">
        <v>2022</v>
      </c>
      <c r="D37" s="191" t="n">
        <v>204.4529227196744</v>
      </c>
      <c r="E37" s="191" t="n">
        <v>204.4529227196744</v>
      </c>
      <c r="F37" s="1" t="inlineStr">
        <is>
          <t>matches</t>
        </is>
      </c>
      <c r="G37" s="1" t="inlineStr">
        <is>
          <t>macro_statssa.csv</t>
        </is>
      </c>
    </row>
    <row r="38">
      <c r="A38" s="1" t="inlineStr">
        <is>
          <t>G28</t>
        </is>
      </c>
      <c r="B38" s="1" t="inlineStr">
        <is>
          <t>macro_mining_and_quarrying</t>
        </is>
      </c>
      <c r="C38" s="1" t="n">
        <v>2023</v>
      </c>
      <c r="D38" s="191" t="n">
        <v>204.2286999662737</v>
      </c>
      <c r="E38" s="191" t="n">
        <v>204.2286999662738</v>
      </c>
      <c r="F38" s="1" t="inlineStr">
        <is>
          <t>matches</t>
        </is>
      </c>
      <c r="G38" s="1" t="inlineStr">
        <is>
          <t>macro_statssa.csv</t>
        </is>
      </c>
    </row>
    <row r="39">
      <c r="A39" s="1" t="inlineStr">
        <is>
          <t>H28</t>
        </is>
      </c>
      <c r="B39" s="1" t="inlineStr">
        <is>
          <t>macro_mining_and_quarrying</t>
        </is>
      </c>
      <c r="C39" s="1" t="n">
        <v>2024</v>
      </c>
      <c r="D39" s="191" t="n">
        <v>205.1258295918731</v>
      </c>
      <c r="E39" s="191" t="n">
        <v>205.1258295918731</v>
      </c>
      <c r="F39" s="1" t="inlineStr">
        <is>
          <t>matches</t>
        </is>
      </c>
      <c r="G39" s="1" t="inlineStr">
        <is>
          <t>macro_statssa.csv</t>
        </is>
      </c>
    </row>
    <row r="40">
      <c r="A40" s="1" t="inlineStr">
        <is>
          <t>I28</t>
        </is>
      </c>
      <c r="B40" s="1" t="inlineStr">
        <is>
          <t>macro_mining_and_quarrying</t>
        </is>
      </c>
      <c r="C40" s="1" t="n">
        <v>2025</v>
      </c>
      <c r="D40" s="191" t="n">
        <v>205.4648860142573</v>
      </c>
      <c r="E40" s="191" t="n">
        <v>205.4648860142574</v>
      </c>
      <c r="F40" s="1" t="inlineStr">
        <is>
          <t>matches</t>
        </is>
      </c>
      <c r="G40" s="1" t="inlineStr">
        <is>
          <t>macro_statssa.csv</t>
        </is>
      </c>
    </row>
    <row r="41">
      <c r="A41" s="1" t="inlineStr">
        <is>
          <t>F29</t>
        </is>
      </c>
      <c r="B41" s="1" t="inlineStr">
        <is>
          <t>macro_construction</t>
        </is>
      </c>
      <c r="C41" s="1" t="n">
        <v>2022</v>
      </c>
      <c r="D41" s="191" t="n">
        <v>110.0650907489087</v>
      </c>
      <c r="E41" s="191" t="n">
        <v>110.0650907489087</v>
      </c>
      <c r="F41" s="1" t="inlineStr">
        <is>
          <t>matches</t>
        </is>
      </c>
      <c r="G41" s="1" t="inlineStr">
        <is>
          <t>macro_statssa.csv</t>
        </is>
      </c>
    </row>
    <row r="42">
      <c r="A42" s="1" t="inlineStr">
        <is>
          <t>G29</t>
        </is>
      </c>
      <c r="B42" s="1" t="inlineStr">
        <is>
          <t>macro_construction</t>
        </is>
      </c>
      <c r="C42" s="1" t="n">
        <v>2023</v>
      </c>
      <c r="D42" s="191" t="n">
        <v>109.5650907489087</v>
      </c>
      <c r="E42" s="191" t="n">
        <v>109.5650907489087</v>
      </c>
      <c r="F42" s="1" t="inlineStr">
        <is>
          <t>matches</t>
        </is>
      </c>
      <c r="G42" s="1" t="inlineStr">
        <is>
          <t>macro_statssa.csv</t>
        </is>
      </c>
    </row>
    <row r="43">
      <c r="A43" s="1" t="inlineStr">
        <is>
          <t>H29</t>
        </is>
      </c>
      <c r="B43" s="1" t="inlineStr">
        <is>
          <t>macro_construction</t>
        </is>
      </c>
      <c r="C43" s="1" t="n">
        <v>2024</v>
      </c>
      <c r="D43" s="191" t="n">
        <v>103.6250907489087</v>
      </c>
      <c r="E43" s="191" t="n">
        <v>103.6250907489087</v>
      </c>
      <c r="F43" s="1" t="inlineStr">
        <is>
          <t>matches</t>
        </is>
      </c>
      <c r="G43" s="1" t="inlineStr">
        <is>
          <t>macro_statssa.csv</t>
        </is>
      </c>
    </row>
    <row r="44">
      <c r="A44" s="1" t="inlineStr">
        <is>
          <t>I29</t>
        </is>
      </c>
      <c r="B44" s="1" t="inlineStr">
        <is>
          <t>macro_construction</t>
        </is>
      </c>
      <c r="C44" s="1" t="n">
        <v>2025</v>
      </c>
      <c r="D44" s="191" t="n">
        <v>99.09852067977131</v>
      </c>
      <c r="E44" s="191" t="n">
        <v>99.09852067977131</v>
      </c>
      <c r="F44" s="1" t="inlineStr">
        <is>
          <t>matches</t>
        </is>
      </c>
      <c r="G44" s="1" t="inlineStr">
        <is>
          <t>macro_statssa.csv</t>
        </is>
      </c>
    </row>
    <row r="45">
      <c r="A45" s="1" t="inlineStr">
        <is>
          <t>F30</t>
        </is>
      </c>
      <c r="B45" s="1" t="inlineStr">
        <is>
          <t>manufacturing_volume_total</t>
        </is>
      </c>
      <c r="C45" s="1" t="n">
        <v>2022</v>
      </c>
      <c r="D45" s="191" t="n">
        <v>93.14166666666667</v>
      </c>
      <c r="E45" s="191" t="n">
        <v>93.14166666666667</v>
      </c>
      <c r="F45" s="1" t="inlineStr">
        <is>
          <t>matches</t>
        </is>
      </c>
      <c r="G45" s="1" t="inlineStr">
        <is>
          <t>activity_statssa_monthly.csv</t>
        </is>
      </c>
    </row>
    <row r="46">
      <c r="A46" s="1" t="inlineStr">
        <is>
          <t>G30</t>
        </is>
      </c>
      <c r="B46" s="1" t="inlineStr">
        <is>
          <t>manufacturing_volume_total</t>
        </is>
      </c>
      <c r="C46" s="1" t="n">
        <v>2023</v>
      </c>
      <c r="D46" s="191" t="n">
        <v>93.71666666666665</v>
      </c>
      <c r="E46" s="191" t="n">
        <v>93.71666666666665</v>
      </c>
      <c r="F46" s="1" t="inlineStr">
        <is>
          <t>matches</t>
        </is>
      </c>
      <c r="G46" s="1" t="inlineStr">
        <is>
          <t>activity_statssa_monthly.csv</t>
        </is>
      </c>
    </row>
    <row r="47">
      <c r="A47" s="1" t="inlineStr">
        <is>
          <t>H30</t>
        </is>
      </c>
      <c r="B47" s="1" t="inlineStr">
        <is>
          <t>manufacturing_volume_total</t>
        </is>
      </c>
      <c r="C47" s="1" t="n">
        <v>2024</v>
      </c>
      <c r="D47" s="191" t="n">
        <v>93.33333333333333</v>
      </c>
      <c r="E47" s="191" t="n">
        <v>93.33333333333333</v>
      </c>
      <c r="F47" s="1" t="inlineStr">
        <is>
          <t>matches</t>
        </is>
      </c>
      <c r="G47" s="1" t="inlineStr">
        <is>
          <t>activity_statssa_monthly.csv</t>
        </is>
      </c>
    </row>
    <row r="48">
      <c r="A48" s="1" t="inlineStr">
        <is>
          <t>I30</t>
        </is>
      </c>
      <c r="B48" s="1" t="inlineStr">
        <is>
          <t>manufacturing_volume_total</t>
        </is>
      </c>
      <c r="C48" s="1" t="n">
        <v>2025</v>
      </c>
      <c r="D48" s="191" t="n">
        <v>92.14166666666665</v>
      </c>
      <c r="E48" s="191" t="n">
        <v>92.14166666666667</v>
      </c>
      <c r="F48" s="1" t="inlineStr">
        <is>
          <t>matches</t>
        </is>
      </c>
      <c r="G48" s="1" t="inlineStr">
        <is>
          <t>activity_statssa_monthly.csv</t>
        </is>
      </c>
    </row>
    <row r="49">
      <c r="A49" s="1" t="inlineStr">
        <is>
          <t>F31</t>
        </is>
      </c>
      <c r="B49" s="1" t="inlineStr">
        <is>
          <t>mining_volume_total</t>
        </is>
      </c>
      <c r="C49" s="1" t="n">
        <v>2022</v>
      </c>
      <c r="D49" s="191" t="n">
        <v>93.00833333333334</v>
      </c>
      <c r="E49" s="191" t="n">
        <v>93.00833333333333</v>
      </c>
      <c r="F49" s="1" t="inlineStr">
        <is>
          <t>matches</t>
        </is>
      </c>
      <c r="G49" s="1" t="inlineStr">
        <is>
          <t>activity_statssa_monthly.csv</t>
        </is>
      </c>
    </row>
    <row r="50">
      <c r="A50" s="1" t="inlineStr">
        <is>
          <t>G31</t>
        </is>
      </c>
      <c r="B50" s="1" t="inlineStr">
        <is>
          <t>mining_volume_total</t>
        </is>
      </c>
      <c r="C50" s="1" t="n">
        <v>2023</v>
      </c>
      <c r="D50" s="191" t="n">
        <v>93.01666666666667</v>
      </c>
      <c r="E50" s="191" t="n">
        <v>93.01666666666667</v>
      </c>
      <c r="F50" s="1" t="inlineStr">
        <is>
          <t>matches</t>
        </is>
      </c>
      <c r="G50" s="1" t="inlineStr">
        <is>
          <t>activity_statssa_monthly.csv</t>
        </is>
      </c>
    </row>
    <row r="51">
      <c r="A51" s="1" t="inlineStr">
        <is>
          <t>H31</t>
        </is>
      </c>
      <c r="B51" s="1" t="inlineStr">
        <is>
          <t>mining_volume_total</t>
        </is>
      </c>
      <c r="C51" s="1" t="n">
        <v>2024</v>
      </c>
      <c r="D51" s="191" t="n">
        <v>93.53333333333332</v>
      </c>
      <c r="E51" s="191" t="n">
        <v>93.53333333333335</v>
      </c>
      <c r="F51" s="1" t="inlineStr">
        <is>
          <t>matches</t>
        </is>
      </c>
      <c r="G51" s="1" t="inlineStr">
        <is>
          <t>activity_statssa_monthly.csv</t>
        </is>
      </c>
    </row>
    <row r="52">
      <c r="A52" s="1" t="inlineStr">
        <is>
          <t>I31</t>
        </is>
      </c>
      <c r="B52" s="1" t="inlineStr">
        <is>
          <t>mining_volume_total</t>
        </is>
      </c>
      <c r="C52" s="1" t="n">
        <v>2025</v>
      </c>
      <c r="D52" s="191" t="n">
        <v>93.70833333333333</v>
      </c>
      <c r="E52" s="191" t="n">
        <v>93.70833333333333</v>
      </c>
      <c r="F52" s="1" t="inlineStr">
        <is>
          <t>matches</t>
        </is>
      </c>
      <c r="G52" s="1" t="inlineStr">
        <is>
          <t>activity_statssa_monthly.csv</t>
        </is>
      </c>
    </row>
    <row r="53">
      <c r="A53" s="1" t="inlineStr">
        <is>
          <t>F43</t>
        </is>
      </c>
      <c r="B53" s="1" t="inlineStr">
        <is>
          <t>Provincial: EC petrol / million L/year</t>
        </is>
      </c>
      <c r="C53" s="1" t="n">
        <v>2022</v>
      </c>
      <c r="D53" s="191" t="n">
        <v>703.1324447169991</v>
      </c>
      <c r="E53" s="191" t="n">
        <v>703.132444716999</v>
      </c>
      <c r="F53" s="1" t="inlineStr">
        <is>
          <t>matches</t>
        </is>
      </c>
      <c r="G53" s="1" t="inlineStr">
        <is>
          <t>fuel_sales_department_by_province.csv</t>
        </is>
      </c>
    </row>
    <row r="54">
      <c r="A54" s="1" t="inlineStr">
        <is>
          <t>F44</t>
        </is>
      </c>
      <c r="B54" s="1" t="inlineStr">
        <is>
          <t>Provincial: FS petrol / million L/year</t>
        </is>
      </c>
      <c r="C54" s="1" t="n">
        <v>2022</v>
      </c>
      <c r="D54" s="191" t="n">
        <v>587.4580081820001</v>
      </c>
      <c r="E54" s="191" t="n">
        <v>587.4580081820001</v>
      </c>
      <c r="F54" s="1" t="inlineStr">
        <is>
          <t>matches</t>
        </is>
      </c>
      <c r="G54" s="1" t="inlineStr">
        <is>
          <t>fuel_sales_department_by_province.csv</t>
        </is>
      </c>
    </row>
    <row r="55">
      <c r="A55" s="1" t="inlineStr">
        <is>
          <t>F45</t>
        </is>
      </c>
      <c r="B55" s="1" t="inlineStr">
        <is>
          <t>Provincial: GP petrol / million L/year</t>
        </is>
      </c>
      <c r="C55" s="1" t="n">
        <v>2022</v>
      </c>
      <c r="D55" s="191" t="n">
        <v>3530.440256933996</v>
      </c>
      <c r="E55" s="191" t="n">
        <v>3530.440256933996</v>
      </c>
      <c r="F55" s="1" t="inlineStr">
        <is>
          <t>matches</t>
        </is>
      </c>
      <c r="G55" s="1" t="inlineStr">
        <is>
          <t>fuel_sales_department_by_province.csv</t>
        </is>
      </c>
    </row>
    <row r="56">
      <c r="A56" s="1" t="inlineStr">
        <is>
          <t>F46</t>
        </is>
      </c>
      <c r="B56" s="1" t="inlineStr">
        <is>
          <t>Provincial: KZN petrol / million L/year</t>
        </is>
      </c>
      <c r="C56" s="1" t="n">
        <v>2022</v>
      </c>
      <c r="D56" s="191" t="n">
        <v>1498.937893394999</v>
      </c>
      <c r="E56" s="191" t="n">
        <v>1498.937893394999</v>
      </c>
      <c r="F56" s="1" t="inlineStr">
        <is>
          <t>matches</t>
        </is>
      </c>
      <c r="G56" s="1" t="inlineStr">
        <is>
          <t>fuel_sales_department_by_province.csv</t>
        </is>
      </c>
    </row>
    <row r="57">
      <c r="A57" s="1" t="inlineStr">
        <is>
          <t>F47</t>
        </is>
      </c>
      <c r="B57" s="1" t="inlineStr">
        <is>
          <t>Provincial: LP petrol / million L/year</t>
        </is>
      </c>
      <c r="C57" s="1" t="n">
        <v>2022</v>
      </c>
      <c r="D57" s="191" t="n">
        <v>273.644045045999</v>
      </c>
      <c r="E57" s="191" t="n">
        <v>273.644045045999</v>
      </c>
      <c r="F57" s="1" t="inlineStr">
        <is>
          <t>matches</t>
        </is>
      </c>
      <c r="G57" s="1" t="inlineStr">
        <is>
          <t>fuel_sales_department_by_province.csv</t>
        </is>
      </c>
    </row>
    <row r="58">
      <c r="A58" s="1" t="inlineStr">
        <is>
          <t>F48</t>
        </is>
      </c>
      <c r="B58" s="1" t="inlineStr">
        <is>
          <t>Provincial: MP petrol / million L/year</t>
        </is>
      </c>
      <c r="C58" s="1" t="n">
        <v>2022</v>
      </c>
      <c r="D58" s="191" t="n">
        <v>612.2656460789989</v>
      </c>
      <c r="E58" s="191" t="n">
        <v>612.2656460789989</v>
      </c>
      <c r="F58" s="1" t="inlineStr">
        <is>
          <t>matches</t>
        </is>
      </c>
      <c r="G58" s="1" t="inlineStr">
        <is>
          <t>fuel_sales_department_by_province.csv</t>
        </is>
      </c>
    </row>
    <row r="59">
      <c r="A59" s="1" t="inlineStr">
        <is>
          <t>F49</t>
        </is>
      </c>
      <c r="B59" s="1" t="inlineStr">
        <is>
          <t>Provincial: NC petrol / million L/year</t>
        </is>
      </c>
      <c r="C59" s="1" t="n">
        <v>2022</v>
      </c>
      <c r="D59" s="191" t="n">
        <v>99.82992901300001</v>
      </c>
      <c r="E59" s="191" t="n">
        <v>99.829929013</v>
      </c>
      <c r="F59" s="1" t="inlineStr">
        <is>
          <t>matches</t>
        </is>
      </c>
      <c r="G59" s="1" t="inlineStr">
        <is>
          <t>fuel_sales_department_by_province.csv</t>
        </is>
      </c>
    </row>
    <row r="60">
      <c r="A60" s="1" t="inlineStr">
        <is>
          <t>F50</t>
        </is>
      </c>
      <c r="B60" s="1" t="inlineStr">
        <is>
          <t>Provincial: NW petrol / million L/year</t>
        </is>
      </c>
      <c r="C60" s="1" t="n">
        <v>2022</v>
      </c>
      <c r="D60" s="191" t="n">
        <v>448.1562321239999</v>
      </c>
      <c r="E60" s="191" t="n">
        <v>448.1562321239999</v>
      </c>
      <c r="F60" s="1" t="inlineStr">
        <is>
          <t>matches</t>
        </is>
      </c>
      <c r="G60" s="1" t="inlineStr">
        <is>
          <t>fuel_sales_department_by_province.csv</t>
        </is>
      </c>
    </row>
    <row r="61">
      <c r="A61" s="1" t="inlineStr">
        <is>
          <t>F51</t>
        </is>
      </c>
      <c r="B61" s="1" t="inlineStr">
        <is>
          <t>Provincial: WC petrol / million L/year</t>
        </is>
      </c>
      <c r="C61" s="1" t="n">
        <v>2022</v>
      </c>
      <c r="D61" s="191" t="n">
        <v>1431.005460082997</v>
      </c>
      <c r="E61" s="191" t="n">
        <v>1431.005460082997</v>
      </c>
      <c r="F61" s="1" t="inlineStr">
        <is>
          <t>matches</t>
        </is>
      </c>
      <c r="G61" s="1" t="inlineStr">
        <is>
          <t>fuel_sales_department_by_province.csv</t>
        </is>
      </c>
    </row>
    <row r="62">
      <c r="A62" s="1" t="inlineStr">
        <is>
          <t>F52</t>
        </is>
      </c>
      <c r="B62" s="1" t="inlineStr">
        <is>
          <t>Provincial: EC diesel / million L/year</t>
        </is>
      </c>
      <c r="C62" s="1" t="n">
        <v>2022</v>
      </c>
      <c r="D62" s="191" t="n">
        <v>1032.35218272</v>
      </c>
      <c r="E62" s="191" t="n">
        <v>1032.35218272</v>
      </c>
      <c r="F62" s="1" t="inlineStr">
        <is>
          <t>matches</t>
        </is>
      </c>
      <c r="G62" s="1" t="inlineStr">
        <is>
          <t>fuel_sales_department_by_province.csv</t>
        </is>
      </c>
    </row>
    <row r="63">
      <c r="A63" s="1" t="inlineStr">
        <is>
          <t>F53</t>
        </is>
      </c>
      <c r="B63" s="1" t="inlineStr">
        <is>
          <t>Provincial: FS diesel / million L/year</t>
        </is>
      </c>
      <c r="C63" s="1" t="n">
        <v>2022</v>
      </c>
      <c r="D63" s="191" t="n">
        <v>781.8611598310002</v>
      </c>
      <c r="E63" s="191" t="n">
        <v>781.8611598310002</v>
      </c>
      <c r="F63" s="1" t="inlineStr">
        <is>
          <t>matches</t>
        </is>
      </c>
      <c r="G63" s="1" t="inlineStr">
        <is>
          <t>fuel_sales_department_by_province.csv</t>
        </is>
      </c>
    </row>
    <row r="64">
      <c r="A64" s="1" t="inlineStr">
        <is>
          <t>F54</t>
        </is>
      </c>
      <c r="B64" s="1" t="inlineStr">
        <is>
          <t>Provincial: GP diesel / million L/year</t>
        </is>
      </c>
      <c r="C64" s="1" t="n">
        <v>2022</v>
      </c>
      <c r="D64" s="191" t="n">
        <v>3278.990501961999</v>
      </c>
      <c r="E64" s="191" t="n">
        <v>3278.990501961999</v>
      </c>
      <c r="F64" s="1" t="inlineStr">
        <is>
          <t>matches</t>
        </is>
      </c>
      <c r="G64" s="1" t="inlineStr">
        <is>
          <t>fuel_sales_department_by_province.csv</t>
        </is>
      </c>
    </row>
    <row r="65">
      <c r="A65" s="1" t="inlineStr">
        <is>
          <t>F55</t>
        </is>
      </c>
      <c r="B65" s="1" t="inlineStr">
        <is>
          <t>Provincial: KZN diesel / million L/year</t>
        </is>
      </c>
      <c r="C65" s="1" t="n">
        <v>2022</v>
      </c>
      <c r="D65" s="191" t="n">
        <v>2785.554802503</v>
      </c>
      <c r="E65" s="191" t="n">
        <v>2785.554802503</v>
      </c>
      <c r="F65" s="1" t="inlineStr">
        <is>
          <t>matches</t>
        </is>
      </c>
      <c r="G65" s="1" t="inlineStr">
        <is>
          <t>fuel_sales_department_by_province.csv</t>
        </is>
      </c>
    </row>
    <row r="66">
      <c r="A66" s="1" t="inlineStr">
        <is>
          <t>F56</t>
        </is>
      </c>
      <c r="B66" s="1" t="inlineStr">
        <is>
          <t>Provincial: LP diesel / million L/year</t>
        </is>
      </c>
      <c r="C66" s="1" t="n">
        <v>2022</v>
      </c>
      <c r="D66" s="191" t="n">
        <v>221.987440248</v>
      </c>
      <c r="E66" s="191" t="n">
        <v>221.987440248</v>
      </c>
      <c r="F66" s="1" t="inlineStr">
        <is>
          <t>matches</t>
        </is>
      </c>
      <c r="G66" s="1" t="inlineStr">
        <is>
          <t>fuel_sales_department_by_province.csv</t>
        </is>
      </c>
    </row>
    <row r="67">
      <c r="A67" s="1" t="inlineStr">
        <is>
          <t>F57</t>
        </is>
      </c>
      <c r="B67" s="1" t="inlineStr">
        <is>
          <t>Provincial: MP diesel / million L/year</t>
        </is>
      </c>
      <c r="C67" s="1" t="n">
        <v>2022</v>
      </c>
      <c r="D67" s="191" t="n">
        <v>1144.924075864997</v>
      </c>
      <c r="E67" s="191" t="n">
        <v>1144.924075864997</v>
      </c>
      <c r="F67" s="1" t="inlineStr">
        <is>
          <t>matches</t>
        </is>
      </c>
      <c r="G67" s="1" t="inlineStr">
        <is>
          <t>fuel_sales_department_by_province.csv</t>
        </is>
      </c>
    </row>
    <row r="68">
      <c r="A68" s="1" t="inlineStr">
        <is>
          <t>F58</t>
        </is>
      </c>
      <c r="B68" s="1" t="inlineStr">
        <is>
          <t>Provincial: NC diesel / million L/year</t>
        </is>
      </c>
      <c r="C68" s="1" t="n">
        <v>2022</v>
      </c>
      <c r="D68" s="191" t="n">
        <v>351.9801199100001</v>
      </c>
      <c r="E68" s="191" t="n">
        <v>351.9801199100001</v>
      </c>
      <c r="F68" s="1" t="inlineStr">
        <is>
          <t>matches</t>
        </is>
      </c>
      <c r="G68" s="1" t="inlineStr">
        <is>
          <t>fuel_sales_department_by_province.csv</t>
        </is>
      </c>
    </row>
    <row r="69">
      <c r="A69" s="1" t="inlineStr">
        <is>
          <t>F59</t>
        </is>
      </c>
      <c r="B69" s="1" t="inlineStr">
        <is>
          <t>Provincial: NW diesel / million L/year</t>
        </is>
      </c>
      <c r="C69" s="1" t="n">
        <v>2022</v>
      </c>
      <c r="D69" s="191" t="n">
        <v>619.906488913</v>
      </c>
      <c r="E69" s="191" t="n">
        <v>619.906488913</v>
      </c>
      <c r="F69" s="1" t="inlineStr">
        <is>
          <t>matches</t>
        </is>
      </c>
      <c r="G69" s="1" t="inlineStr">
        <is>
          <t>fuel_sales_department_by_province.csv</t>
        </is>
      </c>
    </row>
    <row r="70">
      <c r="A70" s="1" t="inlineStr">
        <is>
          <t>F60</t>
        </is>
      </c>
      <c r="B70" s="1" t="inlineStr">
        <is>
          <t>Provincial: WC diesel / million L/year</t>
        </is>
      </c>
      <c r="C70" s="1" t="n">
        <v>2022</v>
      </c>
      <c r="D70" s="191" t="n">
        <v>2499.769547067</v>
      </c>
      <c r="E70" s="191"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Power fleet, Vehicle history, HML response, Gap status, Checks, History sources. No other cell changed.</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90" t="inlineStr">
        <is>
          <t>Used for</t>
        </is>
      </c>
      <c r="B4" s="190" t="inlineStr">
        <is>
          <t>Publisher</t>
        </is>
      </c>
      <c r="C4" s="190" t="inlineStr">
        <is>
          <t>Link</t>
        </is>
      </c>
      <c r="D4" s="190" t="inlineStr">
        <is>
          <t>Original file</t>
        </is>
      </c>
      <c r="E4" s="190" t="inlineStr">
        <is>
          <t>Where the original is kept</t>
        </is>
      </c>
      <c r="F4" s="190" t="inlineStr">
        <is>
          <t>Extract in the repository</t>
        </is>
      </c>
      <c r="G4" s="190" t="inlineStr">
        <is>
          <t>Refresh command</t>
        </is>
      </c>
      <c r="H4" s="190" t="inlineStr">
        <is>
          <t>Periods</t>
        </is>
      </c>
      <c r="I4" s="190" t="inlineStr">
        <is>
          <t>Limits</t>
        </is>
      </c>
    </row>
    <row r="5">
      <c r="A5" s="189" t="inlineStr">
        <is>
          <t>History sections 1 and 4: national sales</t>
        </is>
      </c>
      <c r="B5" s="189" t="inlineStr">
        <is>
          <t>Department of Mineral and Petroleum Resources (energy department)</t>
        </is>
      </c>
      <c r="C5" s="189" t="inlineStr">
        <is>
          <t>https://www.dmpr.gov.za/Portals/0/Energy_Website/files/media/SA FUEL SALES VOLUME/</t>
        </is>
      </c>
      <c r="D5" s="189" t="inlineStr">
        <is>
          <t>&lt;year&gt;-...-FSV....xls(x), national annual workbooks 2005-2023</t>
        </is>
      </c>
      <c r="E5" s="189" t="inlineStr">
        <is>
          <t>local to Manish and Nigel; not on main</t>
        </is>
      </c>
      <c r="F5" s="189" t="inlineStr">
        <is>
          <t>assumptions/2026/timeseries/fuel_sales_department.csv</t>
        </is>
      </c>
      <c r="G5" s="189" t="inlineStr">
        <is>
          <t>python -m lfm.scripts.fetch_energy_dept --vintage 2026</t>
        </is>
      </c>
      <c r="H5" s="189" t="inlineStr">
        <is>
          <t>2005-2023</t>
        </is>
      </c>
      <c r="I5" s="189" t="inlineStr">
        <is>
          <t>2013 corrected on manish-branch (published sheet). Series ends 2023.</t>
        </is>
      </c>
    </row>
    <row r="6">
      <c r="A6" s="189" t="inlineStr">
        <is>
          <t>History section 1: sales by province</t>
        </is>
      </c>
      <c r="B6" s="189" t="inlineStr">
        <is>
          <t>Department of Mineral and Petroleum Resources (energy department)</t>
        </is>
      </c>
      <c r="C6" s="189" t="inlineStr">
        <is>
          <t>https://www.dmpr.gov.za/Portals/0/Energy_Website/files/media/SA FUEL SALES VOLUME/</t>
        </is>
      </c>
      <c r="D6" s="189" t="inlineStr">
        <is>
          <t>&lt;year&gt;-...-Magisterial-Districts-data.xlsx, quarterly sheets</t>
        </is>
      </c>
      <c r="E6" s="189" t="inlineStr">
        <is>
          <t>local to Manish and Nigel; not on main (2013 annual workbook on manish-branch)</t>
        </is>
      </c>
      <c r="F6" s="189" t="inlineStr">
        <is>
          <t>assumptions/2026/timeseries/fuel_sales_department_by_province.csv</t>
        </is>
      </c>
      <c r="G6" s="189" t="inlineStr">
        <is>
          <t>python -m lfm.scripts.fetch_energy_dept --vintage 2026</t>
        </is>
      </c>
      <c r="H6" s="189" t="inlineStr">
        <is>
          <t>2013-2022</t>
        </is>
      </c>
      <c r="I6" s="189" t="inlineStr">
        <is>
          <t>Ends 2022. 2018 understated about 1.8% (district Q1 sheet incomplete). 2014-Q3 differs from national file.</t>
        </is>
      </c>
    </row>
    <row r="7">
      <c r="A7" s="189" t="inlineStr">
        <is>
          <t>History section 2: imports and exports</t>
        </is>
      </c>
      <c r="B7" s="189" t="inlineStr">
        <is>
          <t>South African Revenue Service, trade statistics</t>
        </is>
      </c>
      <c r="C7" s="189" t="inlineStr">
        <is>
          <t>https://tools.sars.gov.za/tradestatsportal/data_download.aspx</t>
        </is>
      </c>
      <c r="D7" s="189" t="inlineStr">
        <is>
          <t>sars-&lt;imports|exports&gt;-chapter27-fuels-&lt;year&gt;.xlsx, 2010-2026</t>
        </is>
      </c>
      <c r="E7" s="189" t="inlineStr">
        <is>
          <t>on manish-branch (external/data/raw/sars/)</t>
        </is>
      </c>
      <c r="F7" s="189" t="inlineStr">
        <is>
          <t>assumptions/2026/timeseries/fuel_trade_sars.csv</t>
        </is>
      </c>
      <c r="G7" s="189" t="inlineStr">
        <is>
          <t>python -m lfm.scripts.fetch_sars --vintage 2026</t>
        </is>
      </c>
      <c r="H7" s="189" t="inlineStr">
        <is>
          <t>2010-2026</t>
        </is>
      </c>
      <c r="I7" s="189" t="inlineStr">
        <is>
          <t>Primary record of imports and exports from 2014. Kilograms to 2012, litres from 2014, both in 2013.</t>
        </is>
      </c>
    </row>
    <row r="8">
      <c r="A8" s="189" t="inlineStr">
        <is>
          <t>History section 2: FIASA comparison rows</t>
        </is>
      </c>
      <c r="B8" s="189" t="inlineStr">
        <is>
          <t>Fuels Industry Association of South Africa (from customs data)</t>
        </is>
      </c>
      <c r="C8" s="189" t="inlineStr">
        <is>
          <t>https://fuelsindustry.org.za/publications/annual-reports/</t>
        </is>
      </c>
      <c r="D8" s="189" t="inlineStr">
        <is>
          <t>annual-report-&lt;year&gt;.pdf; 2025 edition pp.47-49</t>
        </is>
      </c>
      <c r="E8" s="189" t="inlineStr">
        <is>
          <t>local to Manish and Nigel; not on main; 2025 edition on main</t>
        </is>
      </c>
      <c r="F8" s="189" t="inlineStr">
        <is>
          <t>assumptions/2026/timeseries/fuel_trade_fiasa.csv</t>
        </is>
      </c>
      <c r="G8" s="189" t="inlineStr">
        <is>
          <t>python -m lfm.scripts.fetch_fuel_sales --vintage 2026</t>
        </is>
      </c>
      <c r="H8" s="189" t="inlineStr">
        <is>
          <t>2009-2025</t>
        </is>
      </c>
      <c r="I8" s="189" t="inlineStr">
        <is>
          <t>Cross-check, and the record before 2014; SARS is primary from 2014. 'Kerosene' is jet plus paraffin. Its 2024 diesel import figure is 4.000 bn L above customs.</t>
        </is>
      </c>
    </row>
    <row r="9">
      <c r="A9" s="189" t="inlineStr">
        <is>
          <t>History section 4: FIASA comparison row</t>
        </is>
      </c>
      <c r="B9" s="189" t="inlineStr">
        <is>
          <t>Fuels Industry Association of South Africa</t>
        </is>
      </c>
      <c r="C9" s="189" t="inlineStr">
        <is>
          <t>https://fuelsindustry.org.za/publications/annual-reports/</t>
        </is>
      </c>
      <c r="D9" s="189" t="inlineStr">
        <is>
          <t>annual-report-&lt;year&gt;.pdf, 2021-2025 editions</t>
        </is>
      </c>
      <c r="E9" s="189" t="inlineStr">
        <is>
          <t>local to Manish and Nigel; not on main; 2025 edition on main</t>
        </is>
      </c>
      <c r="F9" s="189" t="inlineStr">
        <is>
          <t>assumptions/2026/timeseries/fuel_sales_fiasa.csv</t>
        </is>
      </c>
      <c r="G9" s="189" t="inlineStr">
        <is>
          <t>python -m lfm.scripts.fetch_fuel_sales --vintage 2026</t>
        </is>
      </c>
      <c r="H9" s="189" t="inlineStr">
        <is>
          <t>2009-2024</t>
        </is>
      </c>
      <c r="I9" s="189" t="inlineStr">
        <is>
          <t>Used for 2024 only. Its 2013 figures equal the department's superseded sheet.</t>
        </is>
      </c>
    </row>
    <row r="10">
      <c r="A10" s="189" t="inlineStr">
        <is>
          <t>History section 3 and Sector history: production and diesel by sector</t>
        </is>
      </c>
      <c r="B10" s="189" t="inlineStr">
        <is>
          <t>Department of Mineral and Petroleum Resources (energy department)</t>
        </is>
      </c>
      <c r="C10" s="189" t="inlineStr">
        <is>
          <t>https://www.dmpr.gov.za/Portals/0/Energy_Website/files/media/Energy_Balances.html</t>
        </is>
      </c>
      <c r="D10" s="189" t="inlineStr">
        <is>
          <t>&lt;year&gt;-Commodity-Flow-and-Energy-Balance.xlsx, 2007-2021</t>
        </is>
      </c>
      <c r="E10" s="189" t="inlineStr">
        <is>
          <t>local to Manish and Nigel; not on main</t>
        </is>
      </c>
      <c r="F10" s="189" t="inlineStr">
        <is>
          <t>assumptions/2026/timeseries/energy_balance_department.csv</t>
        </is>
      </c>
      <c r="G10" s="189" t="inlineStr">
        <is>
          <t>python -m lfm.scripts.fetch_energy_dept --vintage 2026</t>
        </is>
      </c>
      <c r="H10" s="189" t="inlineStr">
        <is>
          <t>2007-2021</t>
        </is>
      </c>
      <c r="I10" s="189" t="inlineStr">
        <is>
          <t>Ends 2021. Sector definitions shift in 2016. Fuel oil not extracted.</t>
        </is>
      </c>
    </row>
    <row r="11">
      <c r="A11" s="189" t="inlineStr">
        <is>
          <t>History section 3: refinery output reported to JODI (comparison only, not used)</t>
        </is>
      </c>
      <c r="B11" s="189" t="inlineStr">
        <is>
          <t>JODI oil database (South Africa's submissions)</t>
        </is>
      </c>
      <c r="C11" s="189" t="inlineStr">
        <is>
          <t>https://www.jodidata.org/oil/database/data-downloads.aspx</t>
        </is>
      </c>
      <c r="D11" s="189" t="inlineStr">
        <is>
          <t>jodi-secondary-zaf-2017-2022.csv; jodi-secondary-zaf-2023-2025.csv</t>
        </is>
      </c>
      <c r="E11" s="189" t="inlineStr">
        <is>
          <t>on manish-branch (external/data/raw/jodi/)</t>
        </is>
      </c>
      <c r="F11" s="189" t="inlineStr">
        <is>
          <t>assumptions/2026/timeseries/oil_balance_jodi.csv</t>
        </is>
      </c>
      <c r="G11" s="189" t="inlineStr">
        <is>
          <t>python -m lfm.scripts.stage_jodi --vintage 2026</t>
        </is>
      </c>
      <c r="H11" s="189" t="inlineStr">
        <is>
          <t>2017-2024</t>
        </is>
      </c>
      <c r="I11" s="189" t="inlineStr">
        <is>
          <t>Lowest JODI assessment code throughout. Diesel refinery output agrees with the energy balance within 4% for 2017-2021; petrol is 12-24% higher. Imports, demand and stocks are not usable.</t>
        </is>
      </c>
    </row>
    <row r="12">
      <c r="A12" s="189" t="inlineStr">
        <is>
          <t>History section 3: operators' reported output</t>
        </is>
      </c>
      <c r="B12" s="189" t="inlineStr">
        <is>
          <t>Sasol (production and sales metrics); Glencore (annual reports)</t>
        </is>
      </c>
      <c r="C12" s="189" t="inlineStr">
        <is>
          <t>https://www.sasol.com/</t>
        </is>
      </c>
      <c r="D12" s="189" t="inlineStr">
        <is>
          <t>sasol-metrics-fy2022/2025/2026.pdf, p.4; GLEN-2023/2024/2025-Annual-Report.pdf</t>
        </is>
      </c>
      <c r="E12" s="189" t="inlineStr">
        <is>
          <t>Sasol files on manish-branch (external/data/raw/sasol/); Glencore reports by link only</t>
        </is>
      </c>
      <c r="F12" s="189" t="inlineStr">
        <is>
          <t>assumptions/2026/reference/refinery_output_operators.csv</t>
        </is>
      </c>
      <c r="G12" s="189" t="inlineStr">
        <is>
          <t>none</t>
        </is>
      </c>
      <c r="H12" s="189" t="inlineStr">
        <is>
          <t>2020-2026</t>
        </is>
      </c>
      <c r="I12" s="189" t="inlineStr">
        <is>
          <t>All refined products, no product split; fiscal and calendar years; Astron as energy content.</t>
        </is>
      </c>
    </row>
    <row r="13">
      <c r="A13" s="189" t="inlineStr">
        <is>
          <t>History section 5: litres levied</t>
        </is>
      </c>
      <c r="B13" s="189" t="inlineStr">
        <is>
          <t>Road Accident Fund</t>
        </is>
      </c>
      <c r="C13" s="189" t="inlineStr">
        <is>
          <t>https://static.pmg.org.za/RAF_Annual_Report_2025.pdf</t>
        </is>
      </c>
      <c r="D13" s="189" t="inlineStr">
        <is>
          <t>raf-annual-report-2024-25.pdf, note 16 (p.183)</t>
        </is>
      </c>
      <c r="E13" s="189" t="inlineStr">
        <is>
          <t>on manish-branch (external/data/raw/raf/)</t>
        </is>
      </c>
      <c r="F13" s="189" t="inlineStr">
        <is>
          <t>assumptions/2026/reference/fuel_levy_revenue_raf.csv</t>
        </is>
      </c>
      <c r="G13" s="189" t="inlineStr">
        <is>
          <t>none</t>
        </is>
      </c>
      <c r="H13" s="189" t="inlineStr">
        <is>
          <t>2024-2025</t>
        </is>
      </c>
      <c r="I13" s="189" t="inlineStr">
        <is>
          <t>Gross levies and diesel rebate in rand; litres derived in the balance note. Fiscal years; petrol and diesel together.</t>
        </is>
      </c>
    </row>
    <row r="14">
      <c r="A14" s="189" t="inlineStr">
        <is>
          <t>Sector history: mining and manufacturing volume indices</t>
        </is>
      </c>
      <c r="B14" s="189" t="inlineStr">
        <is>
          <t>Statistics South Africa (P2041 mining, P3041.2 manufacturing, P7162 land transport, P0141 CPI)</t>
        </is>
      </c>
      <c r="C14" s="189" t="inlineStr">
        <is>
          <t>https://www.statssa.gov.za/?page_id=1847</t>
        </is>
      </c>
      <c r="D14" s="189" t="inlineStr">
        <is>
          <t>release zips, July and August 2026</t>
        </is>
      </c>
      <c r="E14" s="189" t="inlineStr">
        <is>
          <t>on manish-branch (external/data/raw/statssa/)</t>
        </is>
      </c>
      <c r="F14" s="189" t="inlineStr">
        <is>
          <t>assumptions/2026/timeseries/activity_statssa_monthly.csv</t>
        </is>
      </c>
      <c r="G14" s="189" t="inlineStr">
        <is>
          <t>python -m lfm.scripts.fetch_statssa_monthly --vintage 2026</t>
        </is>
      </c>
      <c r="H14" s="189" t="inlineStr">
        <is>
          <t>1998-01-2026-08</t>
        </is>
      </c>
      <c r="I14" s="189" t="inlineStr">
        <is>
          <t>Activity measures, not fuel volumes. Not seasonally adjusted. Tonnes, not tonne-kilometres.</t>
        </is>
      </c>
    </row>
    <row r="15">
      <c r="A15" s="189" t="inlineStr">
        <is>
          <t>Sector history: agriculture real value added</t>
        </is>
      </c>
      <c r="B15" s="189" t="inlineStr">
        <is>
          <t>Statistics South Africa (P0441 GDP; P0302 mid-year population)</t>
        </is>
      </c>
      <c r="C15" s="189" t="inlineStr">
        <is>
          <t>https://www.statssa.gov.za/?page_id=1854&amp;PPN=P0441</t>
        </is>
      </c>
      <c r="D15" s="189" t="inlineStr">
        <is>
          <t>GDP P0441 - GDP Time series Q2 2026.xlsx (Annual sheet); Country projection ... (2002-2026).xlsx</t>
        </is>
      </c>
      <c r="E15" s="189" t="inlineStr">
        <is>
          <t>on manish-branch (external/data/raw/statssa/)</t>
        </is>
      </c>
      <c r="F15" s="189" t="inlineStr">
        <is>
          <t>assumptions/2026/timeseries/macro_statssa.csv</t>
        </is>
      </c>
      <c r="G15" s="189" t="inlineStr">
        <is>
          <t>python -m lfm.scripts.fetch_economy --vintage 2026</t>
        </is>
      </c>
      <c r="H15" s="189" t="inlineStr">
        <is>
          <t>1993-2050</t>
        </is>
      </c>
      <c r="I15" s="189" t="inlineStr">
        <is>
          <t>Manual placement each release. Years after 2026 are projections, not observations.</t>
        </is>
      </c>
    </row>
    <row r="16">
      <c r="A16" s="189" t="inlineStr">
        <is>
          <t>History section 7: aircraft movements</t>
        </is>
      </c>
      <c r="B16" s="189" t="inlineStr">
        <is>
          <t>Airports Company South Africa</t>
        </is>
      </c>
      <c r="C16" s="189" t="inlineStr">
        <is>
          <t>https://www.airports.co.za/StatisticsLib/</t>
        </is>
      </c>
      <c r="D16" s="189" t="inlineStr">
        <is>
          <t>derived from the monthly file</t>
        </is>
      </c>
      <c r="E16" s="189" t="inlineStr">
        <is>
          <t>derived</t>
        </is>
      </c>
      <c r="F16" s="189" t="inlineStr">
        <is>
          <t>assumptions/2026/timeseries/air_traffic_acsa_annual.csv</t>
        </is>
      </c>
      <c r="G16" s="189" t="inlineStr">
        <is>
          <t>python -m lfm.scripts.fetch_acsa --vintage 2026</t>
        </is>
      </c>
      <c r="H16" s="189" t="inlineStr">
        <is>
          <t>2013-2025</t>
        </is>
      </c>
      <c r="I16" s="189" t="inlineStr"/>
    </row>
    <row r="17">
      <c r="A17" s="189" t="inlineStr">
        <is>
          <t>History section 6: quarter 1 2023 provincial shares</t>
        </is>
      </c>
      <c r="B17" s="189" t="inlineStr">
        <is>
          <t>Department of Mineral and Petroleum Resources (energy department)</t>
        </is>
      </c>
      <c r="C17" s="189" t="inlineStr">
        <is>
          <t>https://www.dmpr.gov.za/Portals/0/Energy_Website/files/media/SA FUEL SALES VOLUME/</t>
        </is>
      </c>
      <c r="D17" s="189" t="inlineStr">
        <is>
          <t>same workbooks; source_file column names each one</t>
        </is>
      </c>
      <c r="E17" s="189" t="inlineStr">
        <is>
          <t>local to Manish and Nigel; not on main</t>
        </is>
      </c>
      <c r="F17" s="189" t="inlineStr">
        <is>
          <t>assumptions/2026/timeseries/fuel_sales_department_by_province_quarterly.csv</t>
        </is>
      </c>
      <c r="G17" s="189" t="inlineStr">
        <is>
          <t>python -m lfm.scripts.fetch_energy_dept --vintage 2026</t>
        </is>
      </c>
      <c r="H17" s="189" t="inlineStr">
        <is>
          <t>2013-Q1-2023-Q1</t>
        </is>
      </c>
      <c r="I17" s="189" t="inlineStr">
        <is>
          <t>26 province/product years have blank quarters in the source (none petrol or diesel).</t>
        </is>
      </c>
    </row>
    <row r="18">
      <c r="A18" s="189" t="inlineStr">
        <is>
          <t>History section 6: provincial GDP used to move the 2024 shares</t>
        </is>
      </c>
      <c r="B18" s="189" t="inlineStr">
        <is>
          <t>Statistics South Africa (P0441.2 Provincial GDP)</t>
        </is>
      </c>
      <c r="C18" s="189" t="inlineStr">
        <is>
          <t>https://www.statssa.gov.za/?page_id=1847</t>
        </is>
      </c>
      <c r="D18" s="189" t="inlineStr">
        <is>
          <t>P0441.2  Provincial Gross Domestic Product(2024).zip, Tables 2-10, block c</t>
        </is>
      </c>
      <c r="E18" s="189" t="inlineStr">
        <is>
          <t>on manish-branch (external/data/raw/statssa/)</t>
        </is>
      </c>
      <c r="F18" s="189" t="inlineStr">
        <is>
          <t>assumptions/2026/timeseries/gdp_by_province_statssa.csv</t>
        </is>
      </c>
      <c r="G18" s="189" t="inlineStr">
        <is>
          <t>python -m lfm.scripts.fetch_economy --vintage 2026</t>
        </is>
      </c>
      <c r="H18" s="189" t="inlineStr">
        <is>
          <t>2013-2024</t>
        </is>
      </c>
      <c r="I18" s="189" t="inlineStr">
        <is>
          <t>Annual, 2013-2024. Economic activity by province, not fuel litres.</t>
        </is>
      </c>
    </row>
    <row r="19">
      <c r="A19" s="189" t="inlineStr">
        <is>
          <t>Diesel by use and Power fleet: power generation</t>
        </is>
      </c>
      <c r="B19" s="189" t="inlineStr">
        <is>
          <t>Eskom integrated reports</t>
        </is>
      </c>
      <c r="C19" s="189" t="inlineStr">
        <is>
          <t>https://www.eskom.co.za/investors/integrated-results/</t>
        </is>
      </c>
      <c r="D19" s="189" t="inlineStr">
        <is>
          <t>integrated report PDFs, years to March 2022-2026</t>
        </is>
      </c>
      <c r="E19" s="189" t="inlineStr">
        <is>
          <t>local to Manish and Nigel; not on main</t>
        </is>
      </c>
      <c r="F19" s="189" t="inlineStr">
        <is>
          <t>assumptions/2026/timeseries/ocgt_generation_eskom.csv</t>
        </is>
      </c>
      <c r="G19" s="189" t="inlineStr">
        <is>
          <t>python -m lfm.scripts.fetch_eskom --vintage 2026</t>
        </is>
      </c>
      <c r="H19" s="189" t="inlineStr">
        <is>
          <t>2022-2026</t>
        </is>
      </c>
      <c r="I19" s="189" t="inlineStr">
        <is>
          <t>GWh for financial years; diesel litres not reported in the extract.</t>
        </is>
      </c>
    </row>
    <row r="20">
      <c r="A20" s="189" t="inlineStr">
        <is>
          <t>Power fleet: stations, capacities and retirement dates</t>
        </is>
      </c>
      <c r="B20" s="189" t="inlineStr">
        <is>
          <t>Eskom; press reports</t>
        </is>
      </c>
      <c r="C20" s="189" t="inlineStr">
        <is>
          <t>https://www.eskom.co.za/eskom-divisions/gx/peaking-power-stations/</t>
        </is>
      </c>
      <c r="D20" s="189" t="inlineStr">
        <is>
          <t>eskom-gx0001-generation-plant-mix-rev29.pdf</t>
        </is>
      </c>
      <c r="E20" s="189" t="inlineStr">
        <is>
          <t>on manish-branch (external/data/raw/eskom/)</t>
        </is>
      </c>
      <c r="F20" s="189" t="inlineStr">
        <is>
          <t>assumptions/2026/infrastructure/power_fleet_diesel.csv</t>
        </is>
      </c>
      <c r="G20" s="189" t="inlineStr">
        <is>
          <t>none</t>
        </is>
      </c>
      <c r="H20" s="189" t="inlineStr">
        <is>
          <t>-</t>
        </is>
      </c>
      <c r="I20" s="189" t="inlineStr">
        <is>
          <t>Diesel peaking stations and coal stations being retired, with capacities and dates. Three rows are marked to confirm.</t>
        </is>
      </c>
    </row>
    <row r="21">
      <c r="A21" s="189" t="inlineStr">
        <is>
          <t>Diesel by use: the 0.31 litres per kWh factor</t>
        </is>
      </c>
      <c r="B21" s="189" t="inlineStr">
        <is>
          <t>Parliament (replies by the Ministers of Public Enterprises and of Electricity and Energy)</t>
        </is>
      </c>
      <c r="C21" s="189" t="inlineStr">
        <is>
          <t>https://pmg.org.za/committee-question/30686/</t>
        </is>
      </c>
      <c r="D21" s="189" t="inlineStr">
        <is>
          <t>reply NW1980 (2025); press reports for 2022 and 2023</t>
        </is>
      </c>
      <c r="E21" s="189" t="inlineStr">
        <is>
          <t>by link only</t>
        </is>
      </c>
      <c r="F21" s="189" t="inlineStr">
        <is>
          <t>assumptions/2026/reference/ocgt_diesel_burn_reported.csv</t>
        </is>
      </c>
      <c r="G21" s="189" t="inlineStr">
        <is>
          <t>none</t>
        </is>
      </c>
      <c r="H21" s="189" t="inlineStr">
        <is>
          <t>2022-2025</t>
        </is>
      </c>
      <c r="I21" s="189" t="inlineStr">
        <is>
          <t>Three years; none for the year to March 2024. Implies 0.31 litres per kWh; not adopted in the model.</t>
        </is>
      </c>
    </row>
    <row r="22">
      <c r="A22" s="189" t="inlineStr">
        <is>
          <t>Diesel by use: price used to convert road freight fuel spending to litres</t>
        </is>
      </c>
      <c r="B22" s="189" t="inlineStr">
        <is>
          <t>Department of Mineral and Petroleum Resources (energy department)</t>
        </is>
      </c>
      <c r="C22" s="189" t="inlineStr">
        <is>
          <t>https://www.dmpr.gov.za/Portals/0/Energy_Website/files/media/</t>
        </is>
      </c>
      <c r="D22" s="189" t="inlineStr">
        <is>
          <t>fuel-price-history-&lt;year&gt;.pdf, 2011-2025; price-breakdown-&lt;year&gt;-&lt;month&gt;.pdf to February 2026; cef-daily-&lt;date&gt;.pdf from February 2026 (Central Energy Fund)</t>
        </is>
      </c>
      <c r="E22" s="189" t="inlineStr">
        <is>
          <t>local to Manish and Nigel; not on main</t>
        </is>
      </c>
      <c r="F22" s="189" t="inlineStr">
        <is>
          <t>assumptions/2026/timeseries/fuel_prices_department.csv</t>
        </is>
      </c>
      <c r="G22" s="189" t="inlineStr">
        <is>
          <t>python -m lfm.scripts.fetch_energy_dept --vintage 2026</t>
        </is>
      </c>
      <c r="H22" s="189" t="inlineStr">
        <is>
          <t>2011-01-2026-10</t>
        </is>
      </c>
      <c r="I22" s="189" t="inlineStr">
        <is>
          <t>Runs to October 2026. Department to February 2026, then CEF daily sheets, which give inland prices only: coastal diesel has no value from December 2025, coastal petrol and paraffin none from March 2026.</t>
        </is>
      </c>
    </row>
    <row r="23">
      <c r="A23" s="189" t="inlineStr">
        <is>
          <t>Diesel by use and Vehicle history: vehicle classes, distance and fuel use</t>
        </is>
      </c>
      <c r="B23" s="189" t="inlineStr">
        <is>
          <t>Stone, Merven, Maseela and Moonsamy (2018), J. Energy in Southern Africa 29(2), and supplement</t>
        </is>
      </c>
      <c r="C23" s="189" t="inlineStr">
        <is>
          <t>https://www.scielo.org.za/pdf/jesa/v29n2/06.pdf</t>
        </is>
      </c>
      <c r="D23" s="189" t="inlineStr">
        <is>
          <t>stone-2018-vehicle-parc-model-jesa-29-2.pdf; stone-2018-supplementary.pdf</t>
        </is>
      </c>
      <c r="E23" s="189" t="inlineStr">
        <is>
          <t>on manish-branch (external/data/raw/literature/)</t>
        </is>
      </c>
      <c r="F23" s="189" t="inlineStr">
        <is>
          <t>assumptions/2026/reference/vehicle_parameters_stone2018.csv</t>
        </is>
      </c>
      <c r="G23" s="189" t="inlineStr">
        <is>
          <t>none</t>
        </is>
      </c>
      <c r="H23" s="189" t="inlineStr">
        <is>
          <t>-</t>
        </is>
      </c>
      <c r="I23" s="189" t="inlineStr">
        <is>
          <t>Values are for 2014. Transcription not independently re-checked.</t>
        </is>
      </c>
    </row>
    <row r="24">
      <c r="A24" s="189" t="inlineStr">
        <is>
          <t>Vehicle history: registered vehicles by class</t>
        </is>
      </c>
      <c r="B24" s="189" t="inlineStr">
        <is>
          <t>NaTIS (Road Traffic Management Corporation)</t>
        </is>
      </c>
      <c r="C24" s="189" t="inlineStr">
        <is>
          <t>https://www.natis.gov.za/</t>
        </is>
      </c>
      <c r="D24" s="189" t="inlineStr">
        <is>
          <t>monthly live vehicle population PDFs</t>
        </is>
      </c>
      <c r="E24" s="189" t="inlineStr">
        <is>
          <t>local to Manish and Nigel; not on main</t>
        </is>
      </c>
      <c r="F24" s="189" t="inlineStr">
        <is>
          <t>assumptions/2026/timeseries/vehicle_population_natis.csv</t>
        </is>
      </c>
      <c r="G24" s="189" t="inlineStr">
        <is>
          <t>python -m lfm.scripts.fetch_natis --vintage 2026</t>
        </is>
      </c>
      <c r="H24" s="189" t="inlineStr">
        <is>
          <t>2021-02-2026-06</t>
        </is>
      </c>
      <c r="I24" s="189" t="inlineStr">
        <is>
          <t>All fuels together; no petrol/diesel split.</t>
        </is>
      </c>
    </row>
    <row r="25">
      <c r="A25" s="189" t="inlineStr">
        <is>
          <t>Vehicle history: new sales by segment</t>
        </is>
      </c>
      <c r="B25" s="189" t="inlineStr">
        <is>
          <t>naamsa, quarterly review of business conditions</t>
        </is>
      </c>
      <c r="C25" s="189" t="inlineStr">
        <is>
          <t>https://naamsa.net/quarterly-reviews/</t>
        </is>
      </c>
      <c r="D25" s="189" t="inlineStr">
        <is>
          <t>quarterly review PDFs</t>
        </is>
      </c>
      <c r="E25" s="189" t="inlineStr">
        <is>
          <t>local to Manish and Nigel; not on main</t>
        </is>
      </c>
      <c r="F25" s="189" t="inlineStr">
        <is>
          <t>assumptions/2026/timeseries/new_vehicle_market_naamsa.csv</t>
        </is>
      </c>
      <c r="G25" s="189" t="inlineStr">
        <is>
          <t>python -m lfm.scripts.fetch_naamsa --vintage 2026</t>
        </is>
      </c>
      <c r="H25" s="189" t="inlineStr">
        <is>
          <t>2015-2027</t>
        </is>
      </c>
      <c r="I25" s="189" t="inlineStr">
        <is>
          <t>2026-2027 are naamsa's own outlook, not observations.</t>
        </is>
      </c>
    </row>
    <row r="26">
      <c r="A26" s="189" t="inlineStr">
        <is>
          <t>Vehicle history: electrified new sales</t>
        </is>
      </c>
      <c r="B26" s="189" t="inlineStr">
        <is>
          <t>naamsa, quarterly review of business conditions</t>
        </is>
      </c>
      <c r="C26" s="189" t="inlineStr">
        <is>
          <t>https://naamsa.net/quarterly-reviews/</t>
        </is>
      </c>
      <c r="D26" s="189" t="inlineStr">
        <is>
          <t>quarterly review PDFs</t>
        </is>
      </c>
      <c r="E26" s="189" t="inlineStr">
        <is>
          <t>local to Manish and Nigel; not on main</t>
        </is>
      </c>
      <c r="F26" s="189" t="inlineStr">
        <is>
          <t>assumptions/2026/timeseries/nev_sales_naamsa.csv</t>
        </is>
      </c>
      <c r="G26" s="189" t="inlineStr">
        <is>
          <t>python -m lfm.scripts.fetch_naamsa --vintage 2026</t>
        </is>
      </c>
      <c r="H26" s="189" t="inlineStr">
        <is>
          <t>2019-2025</t>
        </is>
      </c>
      <c r="I26" s="189" t="inlineStr">
        <is>
          <t>New sales, not fleet. Audit logged parser warnings on the 5 October refresh.</t>
        </is>
      </c>
    </row>
    <row r="27">
      <c r="A27" s="189" t="inlineStr">
        <is>
          <t>Vehicle history: fuel split of the registered fleet</t>
        </is>
      </c>
      <c r="B27" s="189" t="inlineStr">
        <is>
          <t>Department of Transport, Transport Statistics Bulletin 2023, Table 2.8 (source: RTMC)</t>
        </is>
      </c>
      <c r="C27" s="189" t="inlineStr">
        <is>
          <t>https://www.transport.gov.za/wp-content/uploads/2023/02/Transport-Statistics-Bulletin-2023.pdf</t>
        </is>
      </c>
      <c r="D27" s="189" t="inlineStr">
        <is>
          <t>dot-transport-statistics-bulletin-2023.pdf, p.40</t>
        </is>
      </c>
      <c r="E27" s="189" t="inlineStr">
        <is>
          <t>on manish-branch (external/data/raw/literature/)</t>
        </is>
      </c>
      <c r="F27" s="189" t="inlineStr">
        <is>
          <t>assumptions/2026/reference/vehicle_population_by_fuel_dot2023.csv</t>
        </is>
      </c>
      <c r="G27" s="189" t="inlineStr">
        <is>
          <t>none</t>
        </is>
      </c>
      <c r="H27" s="189" t="inlineStr">
        <is>
          <t>2023-12-2023-12</t>
        </is>
      </c>
      <c r="I27" s="189" t="inlineStr">
        <is>
          <t>One date only (December 2023). No later edition found.</t>
        </is>
      </c>
    </row>
    <row r="28">
      <c r="A28" s="189" t="inlineStr">
        <is>
          <t>Diesel by use: fuel bought by road freight businesses</t>
        </is>
      </c>
      <c r="B28" s="189" t="inlineStr">
        <is>
          <t>Statistics South Africa</t>
        </is>
      </c>
      <c r="C28" s="189" t="inlineStr">
        <is>
          <t>https://www.statssa.gov.za/?page_id=1854&amp;PPN=Report-71-02-01</t>
        </is>
      </c>
      <c r="D28" s="189" t="inlineStr">
        <is>
          <t>Report-71-02-012023.pdf, Table 20 (p.33)</t>
        </is>
      </c>
      <c r="E28" s="189" t="inlineStr">
        <is>
          <t>on manish-branch (external/data/raw/statssa/statssa-transport-and-storage-industry-2023.pdf)</t>
        </is>
      </c>
      <c r="F28" s="189" t="inlineStr">
        <is>
          <t>typed into build_demand_baseline_workbook.py (ROAD_FREIGHT_FUEL_RAND)</t>
        </is>
      </c>
      <c r="G28" s="189" t="inlineStr">
        <is>
          <t>none</t>
        </is>
      </c>
      <c r="H28" s="189" t="inlineStr">
        <is>
          <t>2019, 2023</t>
        </is>
      </c>
      <c r="I28" s="189" t="inlineStr">
        <is>
          <t>Hire-and-reward operators only; 2023 preliminary</t>
        </is>
      </c>
    </row>
    <row r="29">
      <c r="A29" s="189" t="inlineStr">
        <is>
          <t>Diesel by use: land freight share of diesel</t>
        </is>
      </c>
      <c r="B29" s="189" t="inlineStr">
        <is>
          <t>Merven, Hartley and Ahjum (2019), SA-TIED Working Paper 60</t>
        </is>
      </c>
      <c r="C29" s="189" t="inlineStr">
        <is>
          <t>https://sa-tied.wider.unu.edu/sites/default/files/pdf/SATIED_WP60_Merven_Hartley_Ahjum_April_2019.pdf</t>
        </is>
      </c>
      <c r="D29" s="189" t="inlineStr">
        <is>
          <t>p.10</t>
        </is>
      </c>
      <c r="E29" s="189" t="inlineStr">
        <is>
          <t>on manish-branch (external/data/raw/literature/)</t>
        </is>
      </c>
      <c r="F29" s="189" t="inlineStr">
        <is>
          <t>quoted on the sheet</t>
        </is>
      </c>
      <c r="G29" s="189" t="inlineStr">
        <is>
          <t>none</t>
        </is>
      </c>
      <c r="H29" s="189" t="inlineStr">
        <is>
          <t>2012</t>
        </is>
      </c>
      <c r="I29" s="189" t="inlineStr">
        <is>
          <t>Modelled; same research group as the vehicle study</t>
        </is>
      </c>
    </row>
    <row r="30">
      <c r="A30" s="189" t="inlineStr">
        <is>
          <t>Vehicle history and Diesel by use: the model's settings</t>
        </is>
      </c>
      <c r="B30" s="189" t="inlineStr">
        <is>
          <t>AIA (Reatile workbook, March 2025)</t>
        </is>
      </c>
      <c r="C30" s="189" t="inlineStr"/>
      <c r="D30" s="189" t="inlineStr">
        <is>
          <t>assumptions/2026/vehicles.yaml</t>
        </is>
      </c>
      <c r="E30" s="189" t="inlineStr">
        <is>
          <t>in the repository</t>
        </is>
      </c>
      <c r="F30" s="189" t="inlineStr">
        <is>
          <t>assumptions/2026/vehicles.yaml</t>
        </is>
      </c>
      <c r="G30" s="189" t="inlineStr">
        <is>
          <t>none</t>
        </is>
      </c>
      <c r="H30" s="189" t="inlineStr"/>
      <c r="I30" s="189" t="inlineStr">
        <is>
          <t>Placeholders without a published source</t>
        </is>
      </c>
    </row>
    <row r="31">
      <c r="A31" s="189" t="inlineStr">
        <is>
          <t>HML response</t>
        </is>
      </c>
      <c r="B31" s="189" t="inlineStr">
        <is>
          <t>AIA (analyst), from the sources named in each row</t>
        </is>
      </c>
      <c r="C31" s="189" t="inlineStr"/>
      <c r="D31" s="189" t="inlineStr">
        <is>
          <t>workstreams/WS2_model_development/fuel_lever_response_2026-10-07.csv</t>
        </is>
      </c>
      <c r="E31" s="189" t="inlineStr">
        <is>
          <t>in the repository</t>
        </is>
      </c>
      <c r="F31" s="189" t="inlineStr">
        <is>
          <t>same file</t>
        </is>
      </c>
      <c r="G31" s="189" t="inlineStr">
        <is>
          <t>python -m lfm.scripts.build_fuel_lever_response --vintage 2026</t>
        </is>
      </c>
      <c r="H31" s="189" t="inlineStr">
        <is>
          <t>2030, 2035</t>
        </is>
      </c>
      <c r="I31" s="189"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2026-10-08T15:25:03Z</dcterms:created>
  <dcterms:modified xmlns:dcterms="http://purl.org/dc/terms/" xmlns:xsi="http://www.w3.org/2001/XMLSchema-instance" xsi:type="dcterms:W3CDTF">2026-10-08T15:25:05Z</dcterms:modified>
</cp:coreProperties>
</file>