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Power fleet" sheetId="20" state="visible" r:id="rId20"/>
    <sheet xmlns:r="http://schemas.openxmlformats.org/officeDocument/2006/relationships" name="Vehicle history" sheetId="21" state="visible" r:id="rId21"/>
    <sheet xmlns:r="http://schemas.openxmlformats.org/officeDocument/2006/relationships" name="HML response" sheetId="22" state="visible" r:id="rId22"/>
    <sheet xmlns:r="http://schemas.openxmlformats.org/officeDocument/2006/relationships" name="Gap status" sheetId="23" state="visible" r:id="rId23"/>
    <sheet xmlns:r="http://schemas.openxmlformats.org/officeDocument/2006/relationships" name="Checks" sheetId="24" state="visible" r:id="rId24"/>
    <sheet xmlns:r="http://schemas.openxmlformats.org/officeDocument/2006/relationships" name="History sources" sheetId="25" state="visible" r:id="rId25"/>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2023-2025 (yellow, italic) are ESTIMATES from section 6, not department data.</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IF(ISNUMBER(Q84),Q84,"")</f>
        <v/>
      </c>
      <c r="R6" s="155">
        <f>IF(ISNUMBER(R84),R84,"")</f>
        <v/>
      </c>
      <c r="S6" s="155">
        <f>IF(ISNUMBER(S84),S84,"")</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2023-2025 (yellow, italic) are ESTIMATES from section 6, not department data.</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IF(ISNUMBER(Q85),Q85,"")</f>
        <v/>
      </c>
      <c r="R7" s="155">
        <f>IF(ISNUMBER(R85),R85,"")</f>
        <v/>
      </c>
      <c r="S7" s="155">
        <f>IF(ISNUMBER(S85),S85,"")</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2023-2025 (yellow, italic) are ESTIMATES from section 6, not department data.</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IF(ISNUMBER(Q86),Q86,"")</f>
        <v/>
      </c>
      <c r="R8" s="155">
        <f>IF(ISNUMBER(R86),R86,"")</f>
        <v/>
      </c>
      <c r="S8" s="155">
        <f>IF(ISNUMBER(S86),S86,"")</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2023-2025 (yellow, italic) are ESTIMATES from section 6, not department data.</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IF(ISNUMBER(Q87),Q87,"")</f>
        <v/>
      </c>
      <c r="R9" s="155">
        <f>IF(ISNUMBER(R87),R87,"")</f>
        <v/>
      </c>
      <c r="S9" s="155">
        <f>IF(ISNUMBER(S87),S87,"")</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2023-2025 (yellow, italic) are ESTIMATES from section 6, not department data.</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IF(ISNUMBER(Q88),Q88,"")</f>
        <v/>
      </c>
      <c r="R10" s="155">
        <f>IF(ISNUMBER(R88),R88,"")</f>
        <v/>
      </c>
      <c r="S10" s="155">
        <f>IF(ISNUMBER(S88),S88,"")</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2023-2025 (yellow, italic) are ESTIMATES from section 6, not department data.</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IF(ISNUMBER(Q89),Q89,"")</f>
        <v/>
      </c>
      <c r="R11" s="155">
        <f>IF(ISNUMBER(R89),R89,"")</f>
        <v/>
      </c>
      <c r="S11" s="155">
        <f>IF(ISNUMBER(S89),S89,"")</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2023-2025 (yellow, italic) are ESTIMATES from section 6, not department data.</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IF(ISNUMBER(Q90),Q90,"")</f>
        <v/>
      </c>
      <c r="R12" s="155">
        <f>IF(ISNUMBER(R90),R90,"")</f>
        <v/>
      </c>
      <c r="S12" s="155">
        <f>IF(ISNUMBER(S90),S90,"")</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2023-2025 (yellow, italic) are ESTIMATES from section 6, not department data.</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IF(ISNUMBER(Q91),Q91,"")</f>
        <v/>
      </c>
      <c r="R13" s="155">
        <f>IF(ISNUMBER(R91),R91,"")</f>
        <v/>
      </c>
      <c r="S13" s="155">
        <f>IF(ISNUMBER(S91),S91,"")</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2023-2025 (yellow, italic) are ESTIMATES from section 6, not department data.</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IF(ISNUMBER(Q92),Q92,"")</f>
        <v/>
      </c>
      <c r="R14" s="155">
        <f>IF(ISNUMBER(R92),R92,"")</f>
        <v/>
      </c>
      <c r="S14" s="155">
        <f>IF(ISNUMBER(S92),S92,"")</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2024 national sales: source to be agreed (Nigel)</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c r="V17" s="156" t="inlineStr">
        <is>
          <t>See integrity_flag_log_2026-10-06.md</t>
        </is>
      </c>
    </row>
    <row r="18">
      <c r="A18" s="159" t="inlineStr">
        <is>
          <t>Why 2025 is blank, petrol</t>
        </is>
      </c>
      <c r="B18" s="160" t="inlineStr"/>
      <c r="C18" s="160" t="inlineStr">
        <is>
          <t>Note</t>
        </is>
      </c>
      <c r="D18" s="161" t="n"/>
      <c r="E18" s="159" t="inlineStr">
        <is>
          <t>No national petrol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18" s="161" t="n"/>
      <c r="G18" s="161" t="n"/>
      <c r="H18" s="161" t="n"/>
      <c r="I18" s="161" t="n"/>
      <c r="J18" s="161" t="n"/>
      <c r="K18" s="161" t="n"/>
      <c r="L18" s="161" t="n"/>
      <c r="M18" s="161" t="n"/>
      <c r="N18" s="161" t="n"/>
      <c r="O18" s="161" t="n"/>
      <c r="P18" s="161" t="n"/>
      <c r="Q18" s="161" t="n"/>
      <c r="R18" s="161" t="n"/>
      <c r="S18" s="161" t="n"/>
      <c r="T18" s="159" t="inlineStr">
        <is>
          <t>2025 not estimated</t>
        </is>
      </c>
      <c r="U18" s="159" t="inlineStr"/>
      <c r="V18" s="159" t="inlineStr">
        <is>
          <t>Add the 2025 national figure when the department or FIASA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2023-2025 (yellow, italic) are ESTIMATES from section 6, not department data.</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IF(ISNUMBER(Q104),Q104,"")</f>
        <v/>
      </c>
      <c r="R21" s="155">
        <f>IF(ISNUMBER(R104),R104,"")</f>
        <v/>
      </c>
      <c r="S21" s="155">
        <f>IF(ISNUMBER(S104),S104,"")</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2023-2025 (yellow, italic) are ESTIMATES from section 6, not department data.</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IF(ISNUMBER(Q105),Q105,"")</f>
        <v/>
      </c>
      <c r="R22" s="155">
        <f>IF(ISNUMBER(R105),R105,"")</f>
        <v/>
      </c>
      <c r="S22" s="155">
        <f>IF(ISNUMBER(S105),S105,"")</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2023-2025 (yellow, italic) are ESTIMATES from section 6, not department data.</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IF(ISNUMBER(Q106),Q106,"")</f>
        <v/>
      </c>
      <c r="R23" s="155">
        <f>IF(ISNUMBER(R106),R106,"")</f>
        <v/>
      </c>
      <c r="S23" s="155">
        <f>IF(ISNUMBER(S106),S106,"")</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2023-2025 (yellow, italic) are ESTIMATES from section 6, not department data.</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IF(ISNUMBER(Q107),Q107,"")</f>
        <v/>
      </c>
      <c r="R24" s="155">
        <f>IF(ISNUMBER(R107),R107,"")</f>
        <v/>
      </c>
      <c r="S24" s="155">
        <f>IF(ISNUMBER(S107),S107,"")</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2023-2025 (yellow, italic) are ESTIMATES from section 6, not department data.</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IF(ISNUMBER(Q108),Q108,"")</f>
        <v/>
      </c>
      <c r="R25" s="155">
        <f>IF(ISNUMBER(R108),R108,"")</f>
        <v/>
      </c>
      <c r="S25" s="155">
        <f>IF(ISNUMBER(S108),S108,"")</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2023-2025 (yellow, italic) are ESTIMATES from section 6, not department data.</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IF(ISNUMBER(Q109),Q109,"")</f>
        <v/>
      </c>
      <c r="R26" s="155">
        <f>IF(ISNUMBER(R109),R109,"")</f>
        <v/>
      </c>
      <c r="S26" s="155">
        <f>IF(ISNUMBER(S109),S109,"")</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2023-2025 (yellow, italic) are ESTIMATES from section 6, not department data.</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IF(ISNUMBER(Q110),Q110,"")</f>
        <v/>
      </c>
      <c r="R27" s="155">
        <f>IF(ISNUMBER(R110),R110,"")</f>
        <v/>
      </c>
      <c r="S27" s="155">
        <f>IF(ISNUMBER(S110),S110,"")</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2023-2025 (yellow, italic) are ESTIMATES from section 6, not department data.</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IF(ISNUMBER(Q111),Q111,"")</f>
        <v/>
      </c>
      <c r="R28" s="155">
        <f>IF(ISNUMBER(R111),R111,"")</f>
        <v/>
      </c>
      <c r="S28" s="155">
        <f>IF(ISNUMBER(S111),S111,"")</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2023-2025 (yellow, italic) are ESTIMATES from section 6, not department data.</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IF(ISNUMBER(Q112),Q112,"")</f>
        <v/>
      </c>
      <c r="R29" s="155">
        <f>IF(ISNUMBER(R112),R112,"")</f>
        <v/>
      </c>
      <c r="S29" s="155">
        <f>IF(ISNUMBER(S112),S112,"")</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2024 national sales: source to be agreed (Nigel)</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c r="V32" s="156" t="inlineStr">
        <is>
          <t>See integrity_flag_log_2026-10-06.md</t>
        </is>
      </c>
    </row>
    <row r="33">
      <c r="A33" s="159" t="inlineStr">
        <is>
          <t>Why 2025 is blank, diesel</t>
        </is>
      </c>
      <c r="B33" s="160" t="inlineStr"/>
      <c r="C33" s="160" t="inlineStr">
        <is>
          <t>Note</t>
        </is>
      </c>
      <c r="D33" s="161" t="n"/>
      <c r="E33" s="159" t="inlineStr">
        <is>
          <t>No national diesel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33" s="161" t="n"/>
      <c r="G33" s="161" t="n"/>
      <c r="H33" s="161" t="n"/>
      <c r="I33" s="161" t="n"/>
      <c r="J33" s="161" t="n"/>
      <c r="K33" s="161" t="n"/>
      <c r="L33" s="161" t="n"/>
      <c r="M33" s="161" t="n"/>
      <c r="N33" s="161" t="n"/>
      <c r="O33" s="161" t="n"/>
      <c r="P33" s="161" t="n"/>
      <c r="Q33" s="161" t="n"/>
      <c r="R33" s="161" t="n"/>
      <c r="S33" s="161" t="n"/>
      <c r="T33" s="159" t="inlineStr">
        <is>
          <t>2025 not estimated</t>
        </is>
      </c>
      <c r="U33" s="159" t="inlineStr"/>
      <c r="V33" s="159" t="inlineStr">
        <is>
          <t>Add the 2025 national figure when the department or FIASA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The only production by product.</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energy balances</t>
        </is>
      </c>
      <c r="V51" s="152" t="inlineStr">
        <is>
          <t>Production by product after 2021 is not published by any source found</t>
        </is>
      </c>
    </row>
    <row r="52">
      <c r="A52" s="152" t="inlineStr">
        <is>
          <t>Production reported, diesel</t>
        </is>
      </c>
      <c r="B52" s="153" t="inlineStr">
        <is>
          <t>million L/year</t>
        </is>
      </c>
      <c r="C52" s="153" t="inlineStr">
        <is>
          <t>Source observation</t>
        </is>
      </c>
      <c r="D52" s="154" t="n"/>
      <c r="E52" s="152" t="inlineStr">
        <is>
          <t>National production line of the department's energy balance. The only production by product.</t>
        </is>
      </c>
      <c r="F52" s="154" t="n">
        <v>9661.628000000001</v>
      </c>
      <c r="G52" s="154" t="n">
        <v>9380.035</v>
      </c>
      <c r="H52" s="154" t="n">
        <v>9587.74</v>
      </c>
      <c r="I52" s="154" t="n">
        <v>9368.482</v>
      </c>
      <c r="J52" s="154" t="n">
        <v>9014.190000000001</v>
      </c>
      <c r="K52" s="154" t="n">
        <v>7921.726</v>
      </c>
      <c r="L52" s="154" t="n">
        <v>8425.262000000001</v>
      </c>
      <c r="M52" s="154" t="n">
        <v>9080.357</v>
      </c>
      <c r="N52" s="154" t="n">
        <v>6447.8095</v>
      </c>
      <c r="O52" s="154" t="n">
        <v>5314.964285718001</v>
      </c>
      <c r="P52" s="154" t="n"/>
      <c r="Q52" s="154" t="n"/>
      <c r="R52" s="154" t="n"/>
      <c r="S52" s="154" t="n"/>
      <c r="T52" s="152" t="inlineStr">
        <is>
          <t>2012-2021; no balance published after 2021</t>
        </is>
      </c>
      <c r="U52" s="152" t="inlineStr">
        <is>
          <t>Department energy balances</t>
        </is>
      </c>
      <c r="V52" s="152" t="inlineStr">
        <is>
          <t>Production by product after 2021 is not published by any source found</t>
        </is>
      </c>
    </row>
    <row r="53">
      <c r="A53" s="159" t="inlineStr">
        <is>
          <t>Secunda, all refined products</t>
        </is>
      </c>
      <c r="B53" s="160" t="inlineStr">
        <is>
          <t>million barrels</t>
        </is>
      </c>
      <c r="C53" s="160" t="inlineStr">
        <is>
          <t>Reported units; not converted</t>
        </is>
      </c>
      <c r="D53" s="161" t="n"/>
      <c r="E53" s="159" t="inlineStr">
        <is>
          <t>As reported by the operator; year to 30 June. All products together, so not comparable with the rows above without assumptions.</t>
        </is>
      </c>
      <c r="F53" s="161" t="n"/>
      <c r="G53" s="161" t="n"/>
      <c r="H53" s="161" t="n"/>
      <c r="I53" s="161" t="n"/>
      <c r="J53" s="161" t="n"/>
      <c r="K53" s="161" t="n"/>
      <c r="L53" s="161" t="n"/>
      <c r="M53" s="161" t="n"/>
      <c r="N53" s="161" t="n">
        <v>31.2</v>
      </c>
      <c r="O53" s="161" t="n">
        <v>32.1</v>
      </c>
      <c r="P53" s="161" t="n">
        <v>29.2</v>
      </c>
      <c r="Q53" s="161" t="n">
        <v>29.9</v>
      </c>
      <c r="R53" s="161" t="n">
        <v>29.1</v>
      </c>
      <c r="S53" s="161" t="n">
        <v>27.6</v>
      </c>
      <c r="T53" s="159" t="inlineStr">
        <is>
          <t>Operator reports; no split by product</t>
        </is>
      </c>
      <c r="U53" s="159" t="inlineStr">
        <is>
          <t>Sasol production metrics; Glencore annual reports</t>
        </is>
      </c>
      <c r="V53" s="159" t="inlineStr"/>
    </row>
    <row r="54">
      <c r="A54" s="159" t="inlineStr">
        <is>
          <t>Natref, Sasol's 63.64% share</t>
        </is>
      </c>
      <c r="B54" s="160" t="inlineStr">
        <is>
          <t>million barrels</t>
        </is>
      </c>
      <c r="C54" s="160" t="inlineStr">
        <is>
          <t>Reported units; not converted</t>
        </is>
      </c>
      <c r="D54" s="161" t="n"/>
      <c r="E54" s="159" t="inlineStr">
        <is>
          <t>As reported by the operator; year to 30 June. All products together, so not comparable with the rows above without assumptions.</t>
        </is>
      </c>
      <c r="F54" s="161" t="n"/>
      <c r="G54" s="161" t="n"/>
      <c r="H54" s="161" t="n"/>
      <c r="I54" s="161" t="n"/>
      <c r="J54" s="161" t="n"/>
      <c r="K54" s="161" t="n"/>
      <c r="L54" s="161" t="n"/>
      <c r="M54" s="161" t="n"/>
      <c r="N54" s="161" t="n">
        <v>16.8</v>
      </c>
      <c r="O54" s="161" t="n">
        <v>17.7</v>
      </c>
      <c r="P54" s="161" t="n">
        <v>18.9</v>
      </c>
      <c r="Q54" s="161" t="n">
        <v>17.2</v>
      </c>
      <c r="R54" s="161" t="n">
        <v>17.8</v>
      </c>
      <c r="S54" s="161" t="n">
        <v>14.7</v>
      </c>
      <c r="T54" s="159" t="inlineStr">
        <is>
          <t>Operator reports; no split by product</t>
        </is>
      </c>
      <c r="U54" s="159" t="inlineStr">
        <is>
          <t>Sasol production metrics; Glencore annual reports</t>
        </is>
      </c>
      <c r="V54" s="159" t="inlineStr"/>
    </row>
    <row r="55">
      <c r="A55" s="159" t="inlineStr">
        <is>
          <t>Astron (Cape Town), all refined products</t>
        </is>
      </c>
      <c r="B55" s="160" t="inlineStr">
        <is>
          <t>billion Btu</t>
        </is>
      </c>
      <c r="C55" s="160" t="inlineStr">
        <is>
          <t>Reported units; not converted</t>
        </is>
      </c>
      <c r="D55" s="161" t="n"/>
      <c r="E55" s="159" t="inlineStr">
        <is>
          <t>As reported by the operator; calendar year. All products together, so not comparable with the rows above without assumptions.</t>
        </is>
      </c>
      <c r="F55" s="161" t="n"/>
      <c r="G55" s="161" t="n"/>
      <c r="H55" s="161" t="n"/>
      <c r="I55" s="161" t="n"/>
      <c r="J55" s="161" t="n"/>
      <c r="K55" s="161" t="n"/>
      <c r="L55" s="161" t="n"/>
      <c r="M55" s="161" t="n"/>
      <c r="N55" s="161" t="n"/>
      <c r="O55" s="161" t="n"/>
      <c r="P55" s="161" t="n"/>
      <c r="Q55" s="161" t="n">
        <v>136665</v>
      </c>
      <c r="R55" s="161" t="n">
        <v>166204</v>
      </c>
      <c r="S55" s="161" t="n">
        <v>164365</v>
      </c>
      <c r="T55" s="159" t="inlineStr">
        <is>
          <t>Operator reports; no split by product</t>
        </is>
      </c>
      <c r="U55" s="159" t="inlineStr">
        <is>
          <t>Sasol production metrics; Glencore annual reports</t>
        </is>
      </c>
      <c r="V55" s="159" t="inlineStr"/>
    </row>
    <row r="57">
      <c r="A57" s="151" t="inlineStr">
        <is>
          <t>4. Balance: consumption = imports - exports + production + stock change</t>
        </is>
      </c>
      <c r="B57" s="151" t="n"/>
      <c r="C57" s="151" t="n"/>
      <c r="D57" s="151" t="n"/>
      <c r="E57" s="151" t="n"/>
      <c r="F57" s="151" t="n"/>
      <c r="G57" s="151" t="n"/>
      <c r="H57" s="151" t="n"/>
      <c r="I57" s="151" t="n"/>
      <c r="J57" s="151" t="n"/>
      <c r="K57" s="151" t="n"/>
      <c r="L57" s="151" t="n"/>
      <c r="M57" s="151" t="n"/>
      <c r="N57" s="151" t="n"/>
      <c r="O57" s="151" t="n"/>
      <c r="P57" s="151" t="n"/>
      <c r="Q57" s="151" t="n"/>
      <c r="R57" s="151" t="n"/>
      <c r="S57" s="151" t="n"/>
      <c r="T57" s="151" t="n"/>
      <c r="U57" s="151" t="n"/>
      <c r="V57" s="151" t="n"/>
    </row>
    <row r="58">
      <c r="A58" s="159" t="inlineStr">
        <is>
          <t>FIASA sales, petrol</t>
        </is>
      </c>
      <c r="B58" s="160" t="inlineStr">
        <is>
          <t>million L/year</t>
        </is>
      </c>
      <c r="C58" s="160" t="inlineStr">
        <is>
          <t>Comparison only</t>
        </is>
      </c>
      <c r="D58" s="161" t="n"/>
      <c r="E58" s="159" t="inlineStr">
        <is>
          <t>FIASA annual report, latest edition. Attributed by FIASA to the department.</t>
        </is>
      </c>
      <c r="F58" s="161" t="n">
        <v>11714</v>
      </c>
      <c r="G58" s="161" t="n">
        <v>11153</v>
      </c>
      <c r="H58" s="161" t="n">
        <v>11344</v>
      </c>
      <c r="I58" s="161" t="n">
        <v>12072</v>
      </c>
      <c r="J58" s="161" t="n">
        <v>10160</v>
      </c>
      <c r="K58" s="161" t="n">
        <v>11174</v>
      </c>
      <c r="L58" s="161" t="n">
        <v>11142</v>
      </c>
      <c r="M58" s="161" t="n">
        <v>10773</v>
      </c>
      <c r="N58" s="161" t="n">
        <v>8761</v>
      </c>
      <c r="O58" s="161" t="n">
        <v>9302</v>
      </c>
      <c r="P58" s="161" t="n">
        <v>9185</v>
      </c>
      <c r="Q58" s="161" t="n">
        <v>9037</v>
      </c>
      <c r="R58" s="161" t="n">
        <v>9029</v>
      </c>
      <c r="S58" s="161" t="n"/>
      <c r="T58" s="159" t="inlineStr">
        <is>
          <t>2024 differs between FIASA's 2024 and 2025 editions</t>
        </is>
      </c>
      <c r="U58" s="159" t="inlineStr">
        <is>
          <t>Fuels Industry Association of South Africa, annual reports</t>
        </is>
      </c>
      <c r="V58" s="159" t="inlineStr"/>
    </row>
    <row r="59">
      <c r="A59" s="156" t="inlineStr">
        <is>
          <t>Sales used, petrol</t>
        </is>
      </c>
      <c r="B59" s="157" t="inlineStr">
        <is>
          <t>million L/year</t>
        </is>
      </c>
      <c r="C59" s="157" t="inlineStr">
        <is>
          <t>Reporting formula</t>
        </is>
      </c>
      <c r="D59" s="158" t="n"/>
      <c r="E59" s="156" t="inlineStr">
        <is>
          <t>Department national file where published; otherwise FIASA, which is unverified.</t>
        </is>
      </c>
      <c r="F59" s="158">
        <f>IF(ISNUMBER(F16),F16,IF(ISNUMBER(F58),F58,""))</f>
        <v/>
      </c>
      <c r="G59" s="158">
        <f>IF(ISNUMBER(G16),G16,IF(ISNUMBER(G58),G58,""))</f>
        <v/>
      </c>
      <c r="H59" s="158">
        <f>IF(ISNUMBER(H16),H16,IF(ISNUMBER(H58),H58,""))</f>
        <v/>
      </c>
      <c r="I59" s="158">
        <f>IF(ISNUMBER(I16),I16,IF(ISNUMBER(I58),I58,""))</f>
        <v/>
      </c>
      <c r="J59" s="158">
        <f>IF(ISNUMBER(J16),J16,IF(ISNUMBER(J58),J58,""))</f>
        <v/>
      </c>
      <c r="K59" s="158">
        <f>IF(ISNUMBER(K16),K16,IF(ISNUMBER(K58),K58,""))</f>
        <v/>
      </c>
      <c r="L59" s="158">
        <f>IF(ISNUMBER(L16),L16,IF(ISNUMBER(L58),L58,""))</f>
        <v/>
      </c>
      <c r="M59" s="158">
        <f>IF(ISNUMBER(M16),M16,IF(ISNUMBER(M58),M58,""))</f>
        <v/>
      </c>
      <c r="N59" s="158">
        <f>IF(ISNUMBER(N16),N16,IF(ISNUMBER(N58),N58,""))</f>
        <v/>
      </c>
      <c r="O59" s="158">
        <f>IF(ISNUMBER(O16),O16,IF(ISNUMBER(O58),O58,""))</f>
        <v/>
      </c>
      <c r="P59" s="158">
        <f>IF(ISNUMBER(P16),P16,IF(ISNUMBER(P58),P58,""))</f>
        <v/>
      </c>
      <c r="Q59" s="158">
        <f>IF(ISNUMBER(Q16),Q16,IF(ISNUMBER(Q58),Q58,""))</f>
        <v/>
      </c>
      <c r="R59" s="158">
        <f>IF(ISNUMBER(R16),R16,IF(ISNUMBER(R58),R58,""))</f>
        <v/>
      </c>
      <c r="S59" s="158">
        <f>IF(ISNUMBER(S16),S16,IF(ISNUMBER(S58),S58,""))</f>
        <v/>
      </c>
      <c r="T59" s="156" t="inlineStr">
        <is>
          <t>Department to 2023; FIASA for 2024</t>
        </is>
      </c>
      <c r="U59" s="156" t="inlineStr"/>
      <c r="V59" s="156" t="inlineStr">
        <is>
          <t>Agree the 2024 source (Nigel)</t>
        </is>
      </c>
    </row>
    <row r="60">
      <c r="A60" s="156" t="inlineStr">
        <is>
          <t>Net imports used, petrol</t>
        </is>
      </c>
      <c r="B60" s="157" t="inlineStr">
        <is>
          <t>million L/year</t>
        </is>
      </c>
      <c r="C60" s="157" t="inlineStr">
        <is>
          <t>Reporting formula</t>
        </is>
      </c>
      <c r="D60" s="158" t="n"/>
      <c r="E60" s="156" t="inlineStr">
        <is>
          <t>SARS customs from 2014 (section 2).</t>
        </is>
      </c>
      <c r="F60" s="158">
        <f>IF(ISNUMBER(F43),F43,"")</f>
        <v/>
      </c>
      <c r="G60" s="158">
        <f>IF(ISNUMBER(G43),G43,"")</f>
        <v/>
      </c>
      <c r="H60" s="158">
        <f>IF(ISNUMBER(H43),H43,"")</f>
        <v/>
      </c>
      <c r="I60" s="158">
        <f>IF(ISNUMBER(I43),I43,"")</f>
        <v/>
      </c>
      <c r="J60" s="158">
        <f>IF(ISNUMBER(J43),J43,"")</f>
        <v/>
      </c>
      <c r="K60" s="158">
        <f>IF(ISNUMBER(K43),K43,"")</f>
        <v/>
      </c>
      <c r="L60" s="158">
        <f>IF(ISNUMBER(L43),L43,"")</f>
        <v/>
      </c>
      <c r="M60" s="158">
        <f>IF(ISNUMBER(M43),M43,"")</f>
        <v/>
      </c>
      <c r="N60" s="158">
        <f>IF(ISNUMBER(N43),N43,"")</f>
        <v/>
      </c>
      <c r="O60" s="158">
        <f>IF(ISNUMBER(O43),O43,"")</f>
        <v/>
      </c>
      <c r="P60" s="158">
        <f>IF(ISNUMBER(P43),P43,"")</f>
        <v/>
      </c>
      <c r="Q60" s="158">
        <f>IF(ISNUMBER(Q43),Q43,"")</f>
        <v/>
      </c>
      <c r="R60" s="158">
        <f>IF(ISNUMBER(R43),R43,"")</f>
        <v/>
      </c>
      <c r="S60" s="158">
        <f>IF(ISNUMBER(S43),S43,"")</f>
        <v/>
      </c>
      <c r="T60" s="156" t="inlineStr"/>
      <c r="U60" s="156" t="inlineStr"/>
      <c r="V60" s="156" t="inlineStr"/>
    </row>
    <row r="61">
      <c r="A61" s="156" t="inlineStr">
        <is>
          <t>Sales less net imports, petrol</t>
        </is>
      </c>
      <c r="B61" s="157" t="inlineStr">
        <is>
          <t>million L/year</t>
        </is>
      </c>
      <c r="C61" s="157" t="inlineStr">
        <is>
          <t>Reporting formula</t>
        </is>
      </c>
      <c r="D61" s="158" t="n"/>
      <c r="E61" s="156" t="inlineStr">
        <is>
          <t>What production, stock changes and gaps in sales coverage must together supply. Not a measurement of production.</t>
        </is>
      </c>
      <c r="F61" s="158">
        <f>IF(COUNT(F59,F60)&lt;2,"",F59-F60)</f>
        <v/>
      </c>
      <c r="G61" s="158">
        <f>IF(COUNT(G59,G60)&lt;2,"",G59-G60)</f>
        <v/>
      </c>
      <c r="H61" s="158">
        <f>IF(COUNT(H59,H60)&lt;2,"",H59-H60)</f>
        <v/>
      </c>
      <c r="I61" s="158">
        <f>IF(COUNT(I59,I60)&lt;2,"",I59-I60)</f>
        <v/>
      </c>
      <c r="J61" s="158">
        <f>IF(COUNT(J59,J60)&lt;2,"",J59-J60)</f>
        <v/>
      </c>
      <c r="K61" s="158">
        <f>IF(COUNT(K59,K60)&lt;2,"",K59-K60)</f>
        <v/>
      </c>
      <c r="L61" s="158">
        <f>IF(COUNT(L59,L60)&lt;2,"",L59-L60)</f>
        <v/>
      </c>
      <c r="M61" s="158">
        <f>IF(COUNT(M59,M60)&lt;2,"",M59-M60)</f>
        <v/>
      </c>
      <c r="N61" s="158">
        <f>IF(COUNT(N59,N60)&lt;2,"",N59-N60)</f>
        <v/>
      </c>
      <c r="O61" s="158">
        <f>IF(COUNT(O59,O60)&lt;2,"",O59-O60)</f>
        <v/>
      </c>
      <c r="P61" s="158">
        <f>IF(COUNT(P59,P60)&lt;2,"",P59-P60)</f>
        <v/>
      </c>
      <c r="Q61" s="158">
        <f>IF(COUNT(Q59,Q60)&lt;2,"",Q59-Q60)</f>
        <v/>
      </c>
      <c r="R61" s="158">
        <f>IF(COUNT(R59,R60)&lt;2,"",R59-R60)</f>
        <v/>
      </c>
      <c r="S61" s="158">
        <f>IF(COUNT(S59,S60)&lt;2,"",S59-S60)</f>
        <v/>
      </c>
      <c r="T61" s="156" t="inlineStr"/>
      <c r="U61" s="156" t="inlineStr"/>
      <c r="V61" s="156" t="inlineStr"/>
    </row>
    <row r="62">
      <c r="A62" s="156" t="inlineStr">
        <is>
          <t>Unexplained after reported production, petrol</t>
        </is>
      </c>
      <c r="B62" s="157" t="inlineStr">
        <is>
          <t>million L/year</t>
        </is>
      </c>
      <c r="C62" s="157" t="inlineStr">
        <is>
          <t>Reporting formula</t>
        </is>
      </c>
      <c r="D62" s="158" t="n"/>
      <c r="E62" s="156" t="inlineStr">
        <is>
          <t>Sales less net imports less reported production: stock change plus anything the sources do not cover.</t>
        </is>
      </c>
      <c r="F62" s="158">
        <f>IF(COUNT(F61,F51)&lt;2,"",F61-F51)</f>
        <v/>
      </c>
      <c r="G62" s="158">
        <f>IF(COUNT(G61,G51)&lt;2,"",G61-G51)</f>
        <v/>
      </c>
      <c r="H62" s="158">
        <f>IF(COUNT(H61,H51)&lt;2,"",H61-H51)</f>
        <v/>
      </c>
      <c r="I62" s="158">
        <f>IF(COUNT(I61,I51)&lt;2,"",I61-I51)</f>
        <v/>
      </c>
      <c r="J62" s="158">
        <f>IF(COUNT(J61,J51)&lt;2,"",J61-J51)</f>
        <v/>
      </c>
      <c r="K62" s="158">
        <f>IF(COUNT(K61,K51)&lt;2,"",K61-K51)</f>
        <v/>
      </c>
      <c r="L62" s="158">
        <f>IF(COUNT(L61,L51)&lt;2,"",L61-L51)</f>
        <v/>
      </c>
      <c r="M62" s="158">
        <f>IF(COUNT(M61,M51)&lt;2,"",M61-M51)</f>
        <v/>
      </c>
      <c r="N62" s="158">
        <f>IF(COUNT(N61,N51)&lt;2,"",N61-N51)</f>
        <v/>
      </c>
      <c r="O62" s="158">
        <f>IF(COUNT(O61,O51)&lt;2,"",O61-O51)</f>
        <v/>
      </c>
      <c r="P62" s="158">
        <f>IF(COUNT(P61,P51)&lt;2,"",P61-P51)</f>
        <v/>
      </c>
      <c r="Q62" s="158">
        <f>IF(COUNT(Q61,Q51)&lt;2,"",Q61-Q51)</f>
        <v/>
      </c>
      <c r="R62" s="158">
        <f>IF(COUNT(R61,R51)&lt;2,"",R61-R51)</f>
        <v/>
      </c>
      <c r="S62" s="158">
        <f>IF(COUNT(S61,S51)&lt;2,"",S61-S51)</f>
        <v/>
      </c>
      <c r="T62" s="156" t="inlineStr">
        <is>
          <t>Only where production is reported (to 2021)</t>
        </is>
      </c>
      <c r="U62" s="156" t="inlineStr"/>
      <c r="V62" s="156" t="inlineStr">
        <is>
          <t>No usable stock series exists; JODI's carries its lowest reliability code</t>
        </is>
      </c>
    </row>
    <row r="63">
      <c r="A63" s="159" t="inlineStr">
        <is>
          <t>FIASA sales, diesel</t>
        </is>
      </c>
      <c r="B63" s="160" t="inlineStr">
        <is>
          <t>million L/year</t>
        </is>
      </c>
      <c r="C63" s="160" t="inlineStr">
        <is>
          <t>Comparison only</t>
        </is>
      </c>
      <c r="D63" s="161" t="n"/>
      <c r="E63" s="159" t="inlineStr">
        <is>
          <t>FIASA annual report, latest edition. Attributed by FIASA to the department.</t>
        </is>
      </c>
      <c r="F63" s="161" t="n">
        <v>11262</v>
      </c>
      <c r="G63" s="161" t="n">
        <v>11890</v>
      </c>
      <c r="H63" s="161" t="n">
        <v>13169</v>
      </c>
      <c r="I63" s="161" t="n">
        <v>14178</v>
      </c>
      <c r="J63" s="161" t="n">
        <v>10846</v>
      </c>
      <c r="K63" s="161" t="n">
        <v>12147</v>
      </c>
      <c r="L63" s="161" t="n">
        <v>12539</v>
      </c>
      <c r="M63" s="161" t="n">
        <v>12909</v>
      </c>
      <c r="N63" s="161" t="n">
        <v>11690</v>
      </c>
      <c r="O63" s="161" t="n">
        <v>12946</v>
      </c>
      <c r="P63" s="161" t="n">
        <v>12717</v>
      </c>
      <c r="Q63" s="161" t="n">
        <v>12907</v>
      </c>
      <c r="R63" s="161" t="n">
        <v>11734</v>
      </c>
      <c r="S63" s="161" t="n"/>
      <c r="T63" s="159" t="inlineStr">
        <is>
          <t>2024 differs between FIASA's 2024 and 2025 editions</t>
        </is>
      </c>
      <c r="U63" s="159" t="inlineStr">
        <is>
          <t>Fuels Industry Association of South Africa, annual reports</t>
        </is>
      </c>
      <c r="V63" s="159" t="inlineStr"/>
    </row>
    <row r="64">
      <c r="A64" s="156" t="inlineStr">
        <is>
          <t>Sales used, diesel</t>
        </is>
      </c>
      <c r="B64" s="157" t="inlineStr">
        <is>
          <t>million L/year</t>
        </is>
      </c>
      <c r="C64" s="157" t="inlineStr">
        <is>
          <t>Reporting formula</t>
        </is>
      </c>
      <c r="D64" s="158" t="n"/>
      <c r="E64" s="156" t="inlineStr">
        <is>
          <t>Department national file where published; otherwise FIASA, which is unverified.</t>
        </is>
      </c>
      <c r="F64" s="158">
        <f>IF(ISNUMBER(F31),F31,IF(ISNUMBER(F63),F63,""))</f>
        <v/>
      </c>
      <c r="G64" s="158">
        <f>IF(ISNUMBER(G31),G31,IF(ISNUMBER(G63),G63,""))</f>
        <v/>
      </c>
      <c r="H64" s="158">
        <f>IF(ISNUMBER(H31),H31,IF(ISNUMBER(H63),H63,""))</f>
        <v/>
      </c>
      <c r="I64" s="158">
        <f>IF(ISNUMBER(I31),I31,IF(ISNUMBER(I63),I63,""))</f>
        <v/>
      </c>
      <c r="J64" s="158">
        <f>IF(ISNUMBER(J31),J31,IF(ISNUMBER(J63),J63,""))</f>
        <v/>
      </c>
      <c r="K64" s="158">
        <f>IF(ISNUMBER(K31),K31,IF(ISNUMBER(K63),K63,""))</f>
        <v/>
      </c>
      <c r="L64" s="158">
        <f>IF(ISNUMBER(L31),L31,IF(ISNUMBER(L63),L63,""))</f>
        <v/>
      </c>
      <c r="M64" s="158">
        <f>IF(ISNUMBER(M31),M31,IF(ISNUMBER(M63),M63,""))</f>
        <v/>
      </c>
      <c r="N64" s="158">
        <f>IF(ISNUMBER(N31),N31,IF(ISNUMBER(N63),N63,""))</f>
        <v/>
      </c>
      <c r="O64" s="158">
        <f>IF(ISNUMBER(O31),O31,IF(ISNUMBER(O63),O63,""))</f>
        <v/>
      </c>
      <c r="P64" s="158">
        <f>IF(ISNUMBER(P31),P31,IF(ISNUMBER(P63),P63,""))</f>
        <v/>
      </c>
      <c r="Q64" s="158">
        <f>IF(ISNUMBER(Q31),Q31,IF(ISNUMBER(Q63),Q63,""))</f>
        <v/>
      </c>
      <c r="R64" s="158">
        <f>IF(ISNUMBER(R31),R31,IF(ISNUMBER(R63),R63,""))</f>
        <v/>
      </c>
      <c r="S64" s="158">
        <f>IF(ISNUMBER(S31),S31,IF(ISNUMBER(S63),S63,""))</f>
        <v/>
      </c>
      <c r="T64" s="156" t="inlineStr">
        <is>
          <t>Department to 2023; FIASA for 2024</t>
        </is>
      </c>
      <c r="U64" s="156" t="inlineStr"/>
      <c r="V64" s="156" t="inlineStr">
        <is>
          <t>Agree the 2024 source (Nigel)</t>
        </is>
      </c>
    </row>
    <row r="65">
      <c r="A65" s="156" t="inlineStr">
        <is>
          <t>Net imports used, diesel</t>
        </is>
      </c>
      <c r="B65" s="157" t="inlineStr">
        <is>
          <t>million L/year</t>
        </is>
      </c>
      <c r="C65" s="157" t="inlineStr">
        <is>
          <t>Reporting formula</t>
        </is>
      </c>
      <c r="D65" s="158" t="n"/>
      <c r="E65" s="156" t="inlineStr">
        <is>
          <t>SARS customs from 2014 (section 2).</t>
        </is>
      </c>
      <c r="F65" s="158">
        <f>IF(ISNUMBER(F42),F42,"")</f>
        <v/>
      </c>
      <c r="G65" s="158">
        <f>IF(ISNUMBER(G42),G42,"")</f>
        <v/>
      </c>
      <c r="H65" s="158">
        <f>IF(ISNUMBER(H42),H42,"")</f>
        <v/>
      </c>
      <c r="I65" s="158">
        <f>IF(ISNUMBER(I42),I42,"")</f>
        <v/>
      </c>
      <c r="J65" s="158">
        <f>IF(ISNUMBER(J42),J42,"")</f>
        <v/>
      </c>
      <c r="K65" s="158">
        <f>IF(ISNUMBER(K42),K42,"")</f>
        <v/>
      </c>
      <c r="L65" s="158">
        <f>IF(ISNUMBER(L42),L42,"")</f>
        <v/>
      </c>
      <c r="M65" s="158">
        <f>IF(ISNUMBER(M42),M42,"")</f>
        <v/>
      </c>
      <c r="N65" s="158">
        <f>IF(ISNUMBER(N42),N42,"")</f>
        <v/>
      </c>
      <c r="O65" s="158">
        <f>IF(ISNUMBER(O42),O42,"")</f>
        <v/>
      </c>
      <c r="P65" s="158">
        <f>IF(ISNUMBER(P42),P42,"")</f>
        <v/>
      </c>
      <c r="Q65" s="158">
        <f>IF(ISNUMBER(Q42),Q42,"")</f>
        <v/>
      </c>
      <c r="R65" s="158">
        <f>IF(ISNUMBER(R42),R42,"")</f>
        <v/>
      </c>
      <c r="S65" s="158">
        <f>IF(ISNUMBER(S42),S42,"")</f>
        <v/>
      </c>
      <c r="T65" s="156" t="inlineStr"/>
      <c r="U65" s="156" t="inlineStr"/>
      <c r="V65" s="156" t="inlineStr"/>
    </row>
    <row r="66">
      <c r="A66" s="156" t="inlineStr">
        <is>
          <t>Sales less net imports, diesel</t>
        </is>
      </c>
      <c r="B66" s="157" t="inlineStr">
        <is>
          <t>million L/year</t>
        </is>
      </c>
      <c r="C66" s="157" t="inlineStr">
        <is>
          <t>Reporting formula</t>
        </is>
      </c>
      <c r="D66" s="158" t="n"/>
      <c r="E66" s="156" t="inlineStr">
        <is>
          <t>What production, stock changes and gaps in sales coverage must together supply. Not a measurement of production.</t>
        </is>
      </c>
      <c r="F66" s="158">
        <f>IF(COUNT(F64,F65)&lt;2,"",F64-F65)</f>
        <v/>
      </c>
      <c r="G66" s="158">
        <f>IF(COUNT(G64,G65)&lt;2,"",G64-G65)</f>
        <v/>
      </c>
      <c r="H66" s="158">
        <f>IF(COUNT(H64,H65)&lt;2,"",H64-H65)</f>
        <v/>
      </c>
      <c r="I66" s="158">
        <f>IF(COUNT(I64,I65)&lt;2,"",I64-I65)</f>
        <v/>
      </c>
      <c r="J66" s="158">
        <f>IF(COUNT(J64,J65)&lt;2,"",J64-J65)</f>
        <v/>
      </c>
      <c r="K66" s="158">
        <f>IF(COUNT(K64,K65)&lt;2,"",K64-K65)</f>
        <v/>
      </c>
      <c r="L66" s="158">
        <f>IF(COUNT(L64,L65)&lt;2,"",L64-L65)</f>
        <v/>
      </c>
      <c r="M66" s="158">
        <f>IF(COUNT(M64,M65)&lt;2,"",M64-M65)</f>
        <v/>
      </c>
      <c r="N66" s="158">
        <f>IF(COUNT(N64,N65)&lt;2,"",N64-N65)</f>
        <v/>
      </c>
      <c r="O66" s="158">
        <f>IF(COUNT(O64,O65)&lt;2,"",O64-O65)</f>
        <v/>
      </c>
      <c r="P66" s="158">
        <f>IF(COUNT(P64,P65)&lt;2,"",P64-P65)</f>
        <v/>
      </c>
      <c r="Q66" s="158">
        <f>IF(COUNT(Q64,Q65)&lt;2,"",Q64-Q65)</f>
        <v/>
      </c>
      <c r="R66" s="158">
        <f>IF(COUNT(R64,R65)&lt;2,"",R64-R65)</f>
        <v/>
      </c>
      <c r="S66" s="158">
        <f>IF(COUNT(S64,S65)&lt;2,"",S64-S65)</f>
        <v/>
      </c>
      <c r="T66" s="156" t="inlineStr"/>
      <c r="U66" s="156" t="inlineStr"/>
      <c r="V66" s="156" t="inlineStr"/>
    </row>
    <row r="67">
      <c r="A67" s="156" t="inlineStr">
        <is>
          <t>Unexplained after reported production, diesel</t>
        </is>
      </c>
      <c r="B67" s="157" t="inlineStr">
        <is>
          <t>million L/year</t>
        </is>
      </c>
      <c r="C67" s="157" t="inlineStr">
        <is>
          <t>Reporting formula</t>
        </is>
      </c>
      <c r="D67" s="158" t="n"/>
      <c r="E67" s="156" t="inlineStr">
        <is>
          <t>Sales less net imports less reported production: stock change plus anything the sources do not cover.</t>
        </is>
      </c>
      <c r="F67" s="158">
        <f>IF(COUNT(F66,F52)&lt;2,"",F66-F52)</f>
        <v/>
      </c>
      <c r="G67" s="158">
        <f>IF(COUNT(G66,G52)&lt;2,"",G66-G52)</f>
        <v/>
      </c>
      <c r="H67" s="158">
        <f>IF(COUNT(H66,H52)&lt;2,"",H66-H52)</f>
        <v/>
      </c>
      <c r="I67" s="158">
        <f>IF(COUNT(I66,I52)&lt;2,"",I66-I52)</f>
        <v/>
      </c>
      <c r="J67" s="158">
        <f>IF(COUNT(J66,J52)&lt;2,"",J66-J52)</f>
        <v/>
      </c>
      <c r="K67" s="158">
        <f>IF(COUNT(K66,K52)&lt;2,"",K66-K52)</f>
        <v/>
      </c>
      <c r="L67" s="158">
        <f>IF(COUNT(L66,L52)&lt;2,"",L66-L52)</f>
        <v/>
      </c>
      <c r="M67" s="158">
        <f>IF(COUNT(M66,M52)&lt;2,"",M66-M52)</f>
        <v/>
      </c>
      <c r="N67" s="158">
        <f>IF(COUNT(N66,N52)&lt;2,"",N66-N52)</f>
        <v/>
      </c>
      <c r="O67" s="158">
        <f>IF(COUNT(O66,O52)&lt;2,"",O66-O52)</f>
        <v/>
      </c>
      <c r="P67" s="158">
        <f>IF(COUNT(P66,P52)&lt;2,"",P66-P52)</f>
        <v/>
      </c>
      <c r="Q67" s="158">
        <f>IF(COUNT(Q66,Q52)&lt;2,"",Q66-Q52)</f>
        <v/>
      </c>
      <c r="R67" s="158">
        <f>IF(COUNT(R66,R52)&lt;2,"",R66-R52)</f>
        <v/>
      </c>
      <c r="S67" s="158">
        <f>IF(COUNT(S66,S52)&lt;2,"",S66-S52)</f>
        <v/>
      </c>
      <c r="T67" s="156" t="inlineStr">
        <is>
          <t>Only where production is reported (to 2021)</t>
        </is>
      </c>
      <c r="U67" s="156" t="inlineStr"/>
      <c r="V67" s="156" t="inlineStr">
        <is>
          <t>No usable stock series exists; JODI's carries its lowest reliability code</t>
        </is>
      </c>
    </row>
    <row r="69">
      <c r="A69" s="151" t="inlineStr">
        <is>
          <t>5. Independent count of litres: Road Accident Fund levy (new evidence, 7 October)</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59" t="inlineStr">
        <is>
          <t>Litres levied, petrol and diesel</t>
        </is>
      </c>
      <c r="B70" s="160" t="inlineStr">
        <is>
          <t>million L/year</t>
        </is>
      </c>
      <c r="C70" s="160" t="inlineStr">
        <is>
          <t>Comparison only</t>
        </is>
      </c>
      <c r="D70" s="161" t="n"/>
      <c r="E70" s="159" t="inlineStr">
        <is>
          <t>Gross levies divided by 218 cents a litre. Fiscal year to 31 March of the following year, shown under the calendar year it mostly covers.</t>
        </is>
      </c>
      <c r="F70" s="161" t="n"/>
      <c r="G70" s="161" t="n"/>
      <c r="H70" s="161" t="n"/>
      <c r="I70" s="161" t="n"/>
      <c r="J70" s="161" t="n"/>
      <c r="K70" s="161" t="n"/>
      <c r="L70" s="161" t="n"/>
      <c r="M70" s="161" t="n"/>
      <c r="N70" s="161" t="n"/>
      <c r="O70" s="161" t="n"/>
      <c r="P70" s="161" t="n"/>
      <c r="Q70" s="161" t="n">
        <v>24246.16513761468</v>
      </c>
      <c r="R70" s="161" t="n">
        <v>24424.24541284404</v>
      </c>
      <c r="S70" s="161" t="n"/>
      <c r="T70" s="159" t="inlineStr">
        <is>
          <t>Both fuels together; accrual basis; not reconciled with SARS's statement</t>
        </is>
      </c>
      <c r="U70" s="159" t="inlineStr">
        <is>
          <t>Road Accident Fund Annual Report 2024/25, note 16 (p.183)</t>
        </is>
      </c>
      <c r="V70" s="159" t="inlineStr"/>
    </row>
    <row r="71">
      <c r="A71" s="156" t="inlineStr">
        <is>
          <t>Recorded sales used, petrol and diesel</t>
        </is>
      </c>
      <c r="B71" s="157" t="inlineStr">
        <is>
          <t>million L/year</t>
        </is>
      </c>
      <c r="C71" s="157" t="inlineStr">
        <is>
          <t>Reporting formula</t>
        </is>
      </c>
      <c r="D71" s="158" t="n"/>
      <c r="E71" s="156" t="inlineStr">
        <is>
          <t>Sum of the two 'sales used' rows.</t>
        </is>
      </c>
      <c r="F71" s="158">
        <f>IF(COUNT(F59,F64)&lt;2,"",F59+F64)</f>
        <v/>
      </c>
      <c r="G71" s="158">
        <f>IF(COUNT(G59,G64)&lt;2,"",G59+G64)</f>
        <v/>
      </c>
      <c r="H71" s="158">
        <f>IF(COUNT(H59,H64)&lt;2,"",H59+H64)</f>
        <v/>
      </c>
      <c r="I71" s="158">
        <f>IF(COUNT(I59,I64)&lt;2,"",I59+I64)</f>
        <v/>
      </c>
      <c r="J71" s="158">
        <f>IF(COUNT(J59,J64)&lt;2,"",J59+J64)</f>
        <v/>
      </c>
      <c r="K71" s="158">
        <f>IF(COUNT(K59,K64)&lt;2,"",K59+K64)</f>
        <v/>
      </c>
      <c r="L71" s="158">
        <f>IF(COUNT(L59,L64)&lt;2,"",L59+L64)</f>
        <v/>
      </c>
      <c r="M71" s="158">
        <f>IF(COUNT(M59,M64)&lt;2,"",M59+M64)</f>
        <v/>
      </c>
      <c r="N71" s="158">
        <f>IF(COUNT(N59,N64)&lt;2,"",N59+N64)</f>
        <v/>
      </c>
      <c r="O71" s="158">
        <f>IF(COUNT(O59,O64)&lt;2,"",O59+O64)</f>
        <v/>
      </c>
      <c r="P71" s="158">
        <f>IF(COUNT(P59,P64)&lt;2,"",P59+P64)</f>
        <v/>
      </c>
      <c r="Q71" s="158">
        <f>IF(COUNT(Q59,Q64)&lt;2,"",Q59+Q64)</f>
        <v/>
      </c>
      <c r="R71" s="158">
        <f>IF(COUNT(R59,R64)&lt;2,"",R59+R64)</f>
        <v/>
      </c>
      <c r="S71" s="158">
        <f>IF(COUNT(S59,S64)&lt;2,"",S59+S64)</f>
        <v/>
      </c>
      <c r="T71" s="156" t="inlineStr"/>
      <c r="U71" s="156" t="inlineStr"/>
      <c r="V71" s="156" t="inlineStr"/>
    </row>
    <row r="72">
      <c r="A72" s="156" t="inlineStr">
        <is>
          <t>Litres levied less recorded sales</t>
        </is>
      </c>
      <c r="B72" s="157" t="inlineStr">
        <is>
          <t>million L/year</t>
        </is>
      </c>
      <c r="C72" s="157" t="inlineStr">
        <is>
          <t>Reporting formula</t>
        </is>
      </c>
      <c r="D72" s="158" t="n"/>
      <c r="E72" s="156" t="inlineStr">
        <is>
          <t>An indication that recorded sales may undercount. A hypothesis to test; not added to demand.</t>
        </is>
      </c>
      <c r="F72" s="158">
        <f>IF(COUNT(F70,F71)&lt;2,"",F70-F71)</f>
        <v/>
      </c>
      <c r="G72" s="158">
        <f>IF(COUNT(G70,G71)&lt;2,"",G70-G71)</f>
        <v/>
      </c>
      <c r="H72" s="158">
        <f>IF(COUNT(H70,H71)&lt;2,"",H70-H71)</f>
        <v/>
      </c>
      <c r="I72" s="158">
        <f>IF(COUNT(I70,I71)&lt;2,"",I70-I71)</f>
        <v/>
      </c>
      <c r="J72" s="158">
        <f>IF(COUNT(J70,J71)&lt;2,"",J70-J71)</f>
        <v/>
      </c>
      <c r="K72" s="158">
        <f>IF(COUNT(K70,K71)&lt;2,"",K70-K71)</f>
        <v/>
      </c>
      <c r="L72" s="158">
        <f>IF(COUNT(L70,L71)&lt;2,"",L70-L71)</f>
        <v/>
      </c>
      <c r="M72" s="158">
        <f>IF(COUNT(M70,M71)&lt;2,"",M70-M71)</f>
        <v/>
      </c>
      <c r="N72" s="158">
        <f>IF(COUNT(N70,N71)&lt;2,"",N70-N71)</f>
        <v/>
      </c>
      <c r="O72" s="158">
        <f>IF(COUNT(O70,O71)&lt;2,"",O70-O71)</f>
        <v/>
      </c>
      <c r="P72" s="158">
        <f>IF(COUNT(P70,P71)&lt;2,"",P70-P71)</f>
        <v/>
      </c>
      <c r="Q72" s="158">
        <f>IF(COUNT(Q70,Q71)&lt;2,"",Q70-Q71)</f>
        <v/>
      </c>
      <c r="R72" s="158">
        <f>IF(COUNT(R70,R71)&lt;2,"",R70-R71)</f>
        <v/>
      </c>
      <c r="S72" s="158">
        <f>IF(COUNT(S70,S71)&lt;2,"",S70-S71)</f>
        <v/>
      </c>
      <c r="T72" s="156" t="inlineStr"/>
      <c r="U72" s="156" t="inlineStr"/>
      <c r="V72" s="156" t="inlineStr"/>
    </row>
    <row r="74">
      <c r="A74" s="151" t="inlineStr">
        <is>
          <t>6. Estimated sales by province, 2023-2025: petrol (estimates, not observations)</t>
        </is>
      </c>
      <c r="B74" s="151" t="n"/>
      <c r="C74" s="151" t="n"/>
      <c r="D74" s="151" t="n"/>
      <c r="E74" s="151" t="n"/>
      <c r="F74" s="151" t="n"/>
      <c r="G74" s="151" t="n"/>
      <c r="H74" s="151" t="n"/>
      <c r="I74" s="151" t="n"/>
      <c r="J74" s="151" t="n"/>
      <c r="K74" s="151" t="n"/>
      <c r="L74" s="151" t="n"/>
      <c r="M74" s="151" t="n"/>
      <c r="N74" s="151" t="n"/>
      <c r="O74" s="151" t="n"/>
      <c r="P74" s="151" t="n"/>
      <c r="Q74" s="151" t="n"/>
      <c r="R74" s="151" t="n"/>
      <c r="S74" s="151" t="n"/>
      <c r="T74" s="151" t="n"/>
      <c r="U74" s="151" t="n"/>
      <c r="V74" s="151" t="n"/>
    </row>
    <row r="75">
      <c r="A75" s="162" t="inlineStr">
        <is>
          <t>Gauteng share of petrol</t>
        </is>
      </c>
      <c r="B75" s="163" t="inlineStr">
        <is>
          <t>% of national</t>
        </is>
      </c>
      <c r="C75" s="163" t="inlineStr">
        <is>
          <t>Proposed estimate</t>
        </is>
      </c>
      <c r="D75" s="164" t="n"/>
      <c r="E75" s="162" t="inlineStr">
        <is>
          <t>2023: the province's share of quarter 1 2023 sales, as observed. 2024: the 2023 share moved with the province's share of real GDP. 2025: 2024 held.</t>
        </is>
      </c>
      <c r="F75" s="164" t="n"/>
      <c r="G75" s="164" t="n"/>
      <c r="H75" s="164" t="n"/>
      <c r="I75" s="164" t="n"/>
      <c r="J75" s="164" t="n"/>
      <c r="K75" s="164" t="n"/>
      <c r="L75" s="164" t="n"/>
      <c r="M75" s="164" t="n"/>
      <c r="N75" s="164" t="n"/>
      <c r="O75" s="164" t="n"/>
      <c r="P75" s="164" t="n"/>
      <c r="Q75" s="164" t="n">
        <v>38.29082808102595</v>
      </c>
      <c r="R75" s="164" t="n">
        <v>38.377262681276</v>
      </c>
      <c r="S75" s="164" t="n">
        <v>38.377262681276</v>
      </c>
      <c r="T75" s="162" t="inlineStr">
        <is>
          <t>Estimate</t>
        </is>
      </c>
      <c r="U75" s="162" t="inlineStr">
        <is>
          <t>Department district data, quarter 1 2023; Stats SA P0441.2</t>
        </is>
      </c>
      <c r="V75" s="162" t="inlineStr"/>
    </row>
    <row r="76">
      <c r="A76" s="162" t="inlineStr">
        <is>
          <t>KwaZulu-Natal share of petrol</t>
        </is>
      </c>
      <c r="B76" s="163" t="inlineStr">
        <is>
          <t>% of national</t>
        </is>
      </c>
      <c r="C76" s="163" t="inlineStr">
        <is>
          <t>Proposed estimate</t>
        </is>
      </c>
      <c r="D76" s="164" t="n"/>
      <c r="E76" s="162" t="inlineStr">
        <is>
          <t>2023: the province's share of quarter 1 2023 sales, as observed. 2024: the 2023 share moved with the province's share of real GDP. 2025: 2024 held.</t>
        </is>
      </c>
      <c r="F76" s="164" t="n"/>
      <c r="G76" s="164" t="n"/>
      <c r="H76" s="164" t="n"/>
      <c r="I76" s="164" t="n"/>
      <c r="J76" s="164" t="n"/>
      <c r="K76" s="164" t="n"/>
      <c r="L76" s="164" t="n"/>
      <c r="M76" s="164" t="n"/>
      <c r="N76" s="164" t="n"/>
      <c r="O76" s="164" t="n"/>
      <c r="P76" s="164" t="n"/>
      <c r="Q76" s="164" t="n">
        <v>16.13082894316334</v>
      </c>
      <c r="R76" s="164" t="n">
        <v>16.11326672611471</v>
      </c>
      <c r="S76" s="164" t="n">
        <v>16.11326672611471</v>
      </c>
      <c r="T76" s="162" t="inlineStr">
        <is>
          <t>Estimate</t>
        </is>
      </c>
      <c r="U76" s="162" t="inlineStr">
        <is>
          <t>Department district data, quarter 1 2023; Stats SA P0441.2</t>
        </is>
      </c>
      <c r="V76" s="162" t="inlineStr"/>
    </row>
    <row r="77">
      <c r="A77" s="162" t="inlineStr">
        <is>
          <t>Western Cape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16.21627470314407</v>
      </c>
      <c r="R77" s="164" t="n">
        <v>16.24783009372781</v>
      </c>
      <c r="S77" s="164" t="n">
        <v>16.24783009372781</v>
      </c>
      <c r="T77" s="162" t="inlineStr">
        <is>
          <t>Estimate</t>
        </is>
      </c>
      <c r="U77" s="162" t="inlineStr">
        <is>
          <t>Department district data, quarter 1 2023; Stats SA P0441.2</t>
        </is>
      </c>
      <c r="V77" s="162" t="inlineStr"/>
    </row>
    <row r="78">
      <c r="A78" s="162" t="inlineStr">
        <is>
          <t>Eastern Cape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7.511233012378306</v>
      </c>
      <c r="R78" s="164" t="n">
        <v>7.458565493679201</v>
      </c>
      <c r="S78" s="164" t="n">
        <v>7.458565493679201</v>
      </c>
      <c r="T78" s="162" t="inlineStr">
        <is>
          <t>Estimate</t>
        </is>
      </c>
      <c r="U78" s="162" t="inlineStr">
        <is>
          <t>Department district data, quarter 1 2023; Stats SA P0441.2</t>
        </is>
      </c>
      <c r="V78" s="162" t="inlineStr"/>
    </row>
    <row r="79">
      <c r="A79" s="162" t="inlineStr">
        <is>
          <t>Mpumalanga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7.055371979667532</v>
      </c>
      <c r="R79" s="164" t="n">
        <v>7.040255181823918</v>
      </c>
      <c r="S79" s="164" t="n">
        <v>7.040255181823918</v>
      </c>
      <c r="T79" s="162" t="inlineStr">
        <is>
          <t>Estimate</t>
        </is>
      </c>
      <c r="U79" s="162" t="inlineStr">
        <is>
          <t>Department district data, quarter 1 2023; Stats SA P0441.2</t>
        </is>
      </c>
      <c r="V79" s="162" t="inlineStr"/>
    </row>
    <row r="80">
      <c r="A80" s="162" t="inlineStr">
        <is>
          <t>Free State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5.932159079461925</v>
      </c>
      <c r="R80" s="164" t="n">
        <v>5.927995171497546</v>
      </c>
      <c r="S80" s="164" t="n">
        <v>5.927995171497546</v>
      </c>
      <c r="T80" s="162" t="inlineStr">
        <is>
          <t>Estimate</t>
        </is>
      </c>
      <c r="U80" s="162" t="inlineStr">
        <is>
          <t>Department district data, quarter 1 2023; Stats SA P0441.2</t>
        </is>
      </c>
      <c r="V80" s="162" t="inlineStr"/>
    </row>
    <row r="81">
      <c r="A81" s="162" t="inlineStr">
        <is>
          <t>North West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4.766687274392559</v>
      </c>
      <c r="R81" s="164" t="n">
        <v>4.734315144837777</v>
      </c>
      <c r="S81" s="164" t="n">
        <v>4.734315144837777</v>
      </c>
      <c r="T81" s="162" t="inlineStr">
        <is>
          <t>Estimate</t>
        </is>
      </c>
      <c r="U81" s="162" t="inlineStr">
        <is>
          <t>Department district data, quarter 1 2023; Stats SA P0441.2</t>
        </is>
      </c>
      <c r="V81" s="162" t="inlineStr"/>
    </row>
    <row r="82">
      <c r="A82" s="162" t="inlineStr">
        <is>
          <t>Limpopo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3.008852500759491</v>
      </c>
      <c r="R82" s="164" t="n">
        <v>3.01928993993442</v>
      </c>
      <c r="S82" s="164" t="n">
        <v>3.01928993993442</v>
      </c>
      <c r="T82" s="162" t="inlineStr">
        <is>
          <t>Estimate</t>
        </is>
      </c>
      <c r="U82" s="162" t="inlineStr">
        <is>
          <t>Department district data, quarter 1 2023; Stats SA P0441.2</t>
        </is>
      </c>
      <c r="V82" s="162" t="inlineStr"/>
    </row>
    <row r="83">
      <c r="A83" s="162" t="inlineStr">
        <is>
          <t>Northern Cape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1.087764426006824</v>
      </c>
      <c r="R83" s="164" t="n">
        <v>1.081219567108614</v>
      </c>
      <c r="S83" s="164" t="n">
        <v>1.081219567108614</v>
      </c>
      <c r="T83" s="162" t="inlineStr">
        <is>
          <t>Estimate</t>
        </is>
      </c>
      <c r="U83" s="162" t="inlineStr">
        <is>
          <t>Department district data, quarter 1 2023; Stats SA P0441.2</t>
        </is>
      </c>
      <c r="V83" s="162" t="inlineStr"/>
    </row>
    <row r="84">
      <c r="A84" s="162" t="inlineStr">
        <is>
          <t>Gauteng petrol, estimated</t>
        </is>
      </c>
      <c r="B84" s="163" t="inlineStr">
        <is>
          <t>million L/year</t>
        </is>
      </c>
      <c r="C84" s="163" t="inlineStr">
        <is>
          <t>Proposed estimate</t>
        </is>
      </c>
      <c r="D84" s="165" t="n"/>
      <c r="E84" s="162" t="inlineStr">
        <is>
          <t>Estimated share times national sales used (section 4). Blank where no national figure exists.</t>
        </is>
      </c>
      <c r="F84" s="165" t="n"/>
      <c r="G84" s="165" t="n"/>
      <c r="H84" s="165" t="n"/>
      <c r="I84" s="165" t="n"/>
      <c r="J84" s="165" t="n"/>
      <c r="K84" s="165" t="n"/>
      <c r="L84" s="165" t="n"/>
      <c r="M84" s="165" t="n"/>
      <c r="N84" s="165" t="n"/>
      <c r="O84" s="165" t="n"/>
      <c r="P84" s="165" t="n"/>
      <c r="Q84" s="165">
        <f>IF(COUNT(Q75,Q59)&lt;2,"",Q75/100*Q59)</f>
        <v/>
      </c>
      <c r="R84" s="165">
        <f>IF(COUNT(R75,R59)&lt;2,"",R75/100*R59)</f>
        <v/>
      </c>
      <c r="S84" s="165">
        <f>IF(COUNT(S75,S59)&lt;2,"",S75/100*S59)</f>
        <v/>
      </c>
      <c r="T84" s="162" t="inlineStr">
        <is>
          <t>Estimate; 2024 also carries the unverified national total</t>
        </is>
      </c>
      <c r="U84" s="162" t="inlineStr"/>
      <c r="V84" s="162" t="inlineStr">
        <is>
          <t>Replace when the department publishes district data after 2023 quarter 1</t>
        </is>
      </c>
    </row>
    <row r="85">
      <c r="A85" s="162" t="inlineStr">
        <is>
          <t>KwaZulu-Natal petrol, estimated</t>
        </is>
      </c>
      <c r="B85" s="163" t="inlineStr">
        <is>
          <t>million L/year</t>
        </is>
      </c>
      <c r="C85" s="163" t="inlineStr">
        <is>
          <t>Proposed estimate</t>
        </is>
      </c>
      <c r="D85" s="165" t="n"/>
      <c r="E85" s="162" t="inlineStr">
        <is>
          <t>Estimated share times national sales used (section 4). Blank where no national figure exists.</t>
        </is>
      </c>
      <c r="F85" s="165" t="n"/>
      <c r="G85" s="165" t="n"/>
      <c r="H85" s="165" t="n"/>
      <c r="I85" s="165" t="n"/>
      <c r="J85" s="165" t="n"/>
      <c r="K85" s="165" t="n"/>
      <c r="L85" s="165" t="n"/>
      <c r="M85" s="165" t="n"/>
      <c r="N85" s="165" t="n"/>
      <c r="O85" s="165" t="n"/>
      <c r="P85" s="165" t="n"/>
      <c r="Q85" s="165">
        <f>IF(COUNT(Q76,Q59)&lt;2,"",Q76/100*Q59)</f>
        <v/>
      </c>
      <c r="R85" s="165">
        <f>IF(COUNT(R76,R59)&lt;2,"",R76/100*R59)</f>
        <v/>
      </c>
      <c r="S85" s="165">
        <f>IF(COUNT(S76,S59)&lt;2,"",S76/100*S59)</f>
        <v/>
      </c>
      <c r="T85" s="162" t="inlineStr">
        <is>
          <t>Estimate; 2024 also carries the unverified national total</t>
        </is>
      </c>
      <c r="U85" s="162" t="inlineStr"/>
      <c r="V85" s="162" t="inlineStr">
        <is>
          <t>Replace when the department publishes district data after 2023 quarter 1</t>
        </is>
      </c>
    </row>
    <row r="86">
      <c r="A86" s="162" t="inlineStr">
        <is>
          <t>Western Cape petrol, estimated</t>
        </is>
      </c>
      <c r="B86" s="163" t="inlineStr">
        <is>
          <t>million L/year</t>
        </is>
      </c>
      <c r="C86" s="163" t="inlineStr">
        <is>
          <t>Proposed estimate</t>
        </is>
      </c>
      <c r="D86" s="165" t="n"/>
      <c r="E86" s="162" t="inlineStr">
        <is>
          <t>Estimated share times national sales used (section 4). Blank where no national figure exists.</t>
        </is>
      </c>
      <c r="F86" s="165" t="n"/>
      <c r="G86" s="165" t="n"/>
      <c r="H86" s="165" t="n"/>
      <c r="I86" s="165" t="n"/>
      <c r="J86" s="165" t="n"/>
      <c r="K86" s="165" t="n"/>
      <c r="L86" s="165" t="n"/>
      <c r="M86" s="165" t="n"/>
      <c r="N86" s="165" t="n"/>
      <c r="O86" s="165" t="n"/>
      <c r="P86" s="165" t="n"/>
      <c r="Q86" s="165">
        <f>IF(COUNT(Q77,Q59)&lt;2,"",Q77/100*Q59)</f>
        <v/>
      </c>
      <c r="R86" s="165">
        <f>IF(COUNT(R77,R59)&lt;2,"",R77/100*R59)</f>
        <v/>
      </c>
      <c r="S86" s="165">
        <f>IF(COUNT(S77,S59)&lt;2,"",S77/100*S59)</f>
        <v/>
      </c>
      <c r="T86" s="162" t="inlineStr">
        <is>
          <t>Estimate; 2024 also carries the unverified national total</t>
        </is>
      </c>
      <c r="U86" s="162" t="inlineStr"/>
      <c r="V86" s="162" t="inlineStr">
        <is>
          <t>Replace when the department publishes district data after 2023 quarter 1</t>
        </is>
      </c>
    </row>
    <row r="87">
      <c r="A87" s="162" t="inlineStr">
        <is>
          <t>Eastern Cape petrol, estimated</t>
        </is>
      </c>
      <c r="B87" s="163" t="inlineStr">
        <is>
          <t>million L/year</t>
        </is>
      </c>
      <c r="C87" s="163" t="inlineStr">
        <is>
          <t>Proposed estimate</t>
        </is>
      </c>
      <c r="D87" s="165" t="n"/>
      <c r="E87" s="162" t="inlineStr">
        <is>
          <t>Estimated share times national sales used (section 4). Blank where no national figure exists.</t>
        </is>
      </c>
      <c r="F87" s="165" t="n"/>
      <c r="G87" s="165" t="n"/>
      <c r="H87" s="165" t="n"/>
      <c r="I87" s="165" t="n"/>
      <c r="J87" s="165" t="n"/>
      <c r="K87" s="165" t="n"/>
      <c r="L87" s="165" t="n"/>
      <c r="M87" s="165" t="n"/>
      <c r="N87" s="165" t="n"/>
      <c r="O87" s="165" t="n"/>
      <c r="P87" s="165" t="n"/>
      <c r="Q87" s="165">
        <f>IF(COUNT(Q78,Q59)&lt;2,"",Q78/100*Q59)</f>
        <v/>
      </c>
      <c r="R87" s="165">
        <f>IF(COUNT(R78,R59)&lt;2,"",R78/100*R59)</f>
        <v/>
      </c>
      <c r="S87" s="165">
        <f>IF(COUNT(S78,S59)&lt;2,"",S78/100*S59)</f>
        <v/>
      </c>
      <c r="T87" s="162" t="inlineStr">
        <is>
          <t>Estimate; 2024 also carries the unverified national total</t>
        </is>
      </c>
      <c r="U87" s="162" t="inlineStr"/>
      <c r="V87" s="162" t="inlineStr">
        <is>
          <t>Replace when the department publishes district data after 2023 quarter 1</t>
        </is>
      </c>
    </row>
    <row r="88">
      <c r="A88" s="162" t="inlineStr">
        <is>
          <t>Mpumalanga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IF(COUNT(Q79,Q59)&lt;2,"",Q79/100*Q59)</f>
        <v/>
      </c>
      <c r="R88" s="165">
        <f>IF(COUNT(R79,R59)&lt;2,"",R79/100*R59)</f>
        <v/>
      </c>
      <c r="S88" s="165">
        <f>IF(COUNT(S79,S59)&lt;2,"",S79/100*S59)</f>
        <v/>
      </c>
      <c r="T88" s="162" t="inlineStr">
        <is>
          <t>Estimate; 2024 also carries the unverified national total</t>
        </is>
      </c>
      <c r="U88" s="162" t="inlineStr"/>
      <c r="V88" s="162" t="inlineStr">
        <is>
          <t>Replace when the department publishes district data after 2023 quarter 1</t>
        </is>
      </c>
    </row>
    <row r="89">
      <c r="A89" s="162" t="inlineStr">
        <is>
          <t>Free State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IF(COUNT(Q80,Q59)&lt;2,"",Q80/100*Q59)</f>
        <v/>
      </c>
      <c r="R89" s="165">
        <f>IF(COUNT(R80,R59)&lt;2,"",R80/100*R59)</f>
        <v/>
      </c>
      <c r="S89" s="165">
        <f>IF(COUNT(S80,S59)&lt;2,"",S80/100*S59)</f>
        <v/>
      </c>
      <c r="T89" s="162" t="inlineStr">
        <is>
          <t>Estimate; 2024 also carries the unverified national total</t>
        </is>
      </c>
      <c r="U89" s="162" t="inlineStr"/>
      <c r="V89" s="162" t="inlineStr">
        <is>
          <t>Replace when the department publishes district data after 2023 quarter 1</t>
        </is>
      </c>
    </row>
    <row r="90">
      <c r="A90" s="162" t="inlineStr">
        <is>
          <t>North West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IF(COUNT(Q81,Q59)&lt;2,"",Q81/100*Q59)</f>
        <v/>
      </c>
      <c r="R90" s="165">
        <f>IF(COUNT(R81,R59)&lt;2,"",R81/100*R59)</f>
        <v/>
      </c>
      <c r="S90" s="165">
        <f>IF(COUNT(S81,S59)&lt;2,"",S81/100*S59)</f>
        <v/>
      </c>
      <c r="T90" s="162" t="inlineStr">
        <is>
          <t>Estimate; 2024 also carries the unverified national total</t>
        </is>
      </c>
      <c r="U90" s="162" t="inlineStr"/>
      <c r="V90" s="162" t="inlineStr">
        <is>
          <t>Replace when the department publishes district data after 2023 quarter 1</t>
        </is>
      </c>
    </row>
    <row r="91">
      <c r="A91" s="162" t="inlineStr">
        <is>
          <t>Limpopo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IF(COUNT(Q82,Q59)&lt;2,"",Q82/100*Q59)</f>
        <v/>
      </c>
      <c r="R91" s="165">
        <f>IF(COUNT(R82,R59)&lt;2,"",R82/100*R59)</f>
        <v/>
      </c>
      <c r="S91" s="165">
        <f>IF(COUNT(S82,S59)&lt;2,"",S82/100*S59)</f>
        <v/>
      </c>
      <c r="T91" s="162" t="inlineStr">
        <is>
          <t>Estimate; 2024 also carries the unverified national total</t>
        </is>
      </c>
      <c r="U91" s="162" t="inlineStr"/>
      <c r="V91" s="162" t="inlineStr">
        <is>
          <t>Replace when the department publishes district data after 2023 quarter 1</t>
        </is>
      </c>
    </row>
    <row r="92">
      <c r="A92" s="162" t="inlineStr">
        <is>
          <t>Northern Cape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IF(COUNT(Q83,Q59)&lt;2,"",Q83/100*Q59)</f>
        <v/>
      </c>
      <c r="R92" s="165">
        <f>IF(COUNT(R83,R59)&lt;2,"",R83/100*R59)</f>
        <v/>
      </c>
      <c r="S92" s="165">
        <f>IF(COUNT(S83,S59)&lt;2,"",S83/100*S59)</f>
        <v/>
      </c>
      <c r="T92" s="162" t="inlineStr">
        <is>
          <t>Estimate; 2024 also carries the unverified national total</t>
        </is>
      </c>
      <c r="U92" s="162" t="inlineStr"/>
      <c r="V92" s="162" t="inlineStr">
        <is>
          <t>Replace when the department publishes district data after 2023 quarter 1</t>
        </is>
      </c>
    </row>
    <row r="94">
      <c r="A94" s="151" t="inlineStr">
        <is>
          <t>6. Estimated sales by province, 2023-2025: diesel (estimates, not observations)</t>
        </is>
      </c>
      <c r="B94" s="151" t="n"/>
      <c r="C94" s="151" t="n"/>
      <c r="D94" s="151" t="n"/>
      <c r="E94" s="151" t="n"/>
      <c r="F94" s="151" t="n"/>
      <c r="G94" s="151" t="n"/>
      <c r="H94" s="151" t="n"/>
      <c r="I94" s="151" t="n"/>
      <c r="J94" s="151" t="n"/>
      <c r="K94" s="151" t="n"/>
      <c r="L94" s="151" t="n"/>
      <c r="M94" s="151" t="n"/>
      <c r="N94" s="151" t="n"/>
      <c r="O94" s="151" t="n"/>
      <c r="P94" s="151" t="n"/>
      <c r="Q94" s="151" t="n"/>
      <c r="R94" s="151" t="n"/>
      <c r="S94" s="151" t="n"/>
      <c r="T94" s="151" t="n"/>
      <c r="U94" s="151" t="n"/>
      <c r="V94" s="151" t="n"/>
    </row>
    <row r="95">
      <c r="A95" s="162" t="inlineStr">
        <is>
          <t>Gauteng share of diesel</t>
        </is>
      </c>
      <c r="B95" s="163" t="inlineStr">
        <is>
          <t>% of national</t>
        </is>
      </c>
      <c r="C95" s="163" t="inlineStr">
        <is>
          <t>Proposed estimate</t>
        </is>
      </c>
      <c r="D95" s="164" t="n"/>
      <c r="E95" s="162" t="inlineStr">
        <is>
          <t>2023: the province's share of quarter 1 2023 sales, as observed. 2024: the 2023 share moved with the province's share of real GDP. 2025: 2024 held.</t>
        </is>
      </c>
      <c r="F95" s="164" t="n"/>
      <c r="G95" s="164" t="n"/>
      <c r="H95" s="164" t="n"/>
      <c r="I95" s="164" t="n"/>
      <c r="J95" s="164" t="n"/>
      <c r="K95" s="164" t="n"/>
      <c r="L95" s="164" t="n"/>
      <c r="M95" s="164" t="n"/>
      <c r="N95" s="164" t="n"/>
      <c r="O95" s="164" t="n"/>
      <c r="P95" s="164" t="n"/>
      <c r="Q95" s="164" t="n">
        <v>25.95571268012436</v>
      </c>
      <c r="R95" s="164" t="n">
        <v>26.02351192632266</v>
      </c>
      <c r="S95" s="164" t="n">
        <v>26.02351192632266</v>
      </c>
      <c r="T95" s="162" t="inlineStr">
        <is>
          <t>Estimate</t>
        </is>
      </c>
      <c r="U95" s="162" t="inlineStr">
        <is>
          <t>Department district data, quarter 1 2023; Stats SA P0441.2</t>
        </is>
      </c>
      <c r="V95" s="162" t="inlineStr"/>
    </row>
    <row r="96">
      <c r="A96" s="162" t="inlineStr">
        <is>
          <t>KwaZulu-Natal share of diesel</t>
        </is>
      </c>
      <c r="B96" s="163" t="inlineStr">
        <is>
          <t>% of national</t>
        </is>
      </c>
      <c r="C96" s="163" t="inlineStr">
        <is>
          <t>Proposed estimate</t>
        </is>
      </c>
      <c r="D96" s="164" t="n"/>
      <c r="E96" s="162" t="inlineStr">
        <is>
          <t>2023: the province's share of quarter 1 2023 sales, as observed. 2024: the 2023 share moved with the province's share of real GDP. 2025: 2024 held.</t>
        </is>
      </c>
      <c r="F96" s="164" t="n"/>
      <c r="G96" s="164" t="n"/>
      <c r="H96" s="164" t="n"/>
      <c r="I96" s="164" t="n"/>
      <c r="J96" s="164" t="n"/>
      <c r="K96" s="164" t="n"/>
      <c r="L96" s="164" t="n"/>
      <c r="M96" s="164" t="n"/>
      <c r="N96" s="164" t="n"/>
      <c r="O96" s="164" t="n"/>
      <c r="P96" s="164" t="n"/>
      <c r="Q96" s="164" t="n">
        <v>18.98574601235529</v>
      </c>
      <c r="R96" s="164" t="n">
        <v>18.97178908483028</v>
      </c>
      <c r="S96" s="164" t="n">
        <v>18.97178908483028</v>
      </c>
      <c r="T96" s="162" t="inlineStr">
        <is>
          <t>Estimate</t>
        </is>
      </c>
      <c r="U96" s="162" t="inlineStr">
        <is>
          <t>Department district data, quarter 1 2023; Stats SA P0441.2</t>
        </is>
      </c>
      <c r="V96" s="162" t="inlineStr"/>
    </row>
    <row r="97">
      <c r="A97" s="162" t="inlineStr">
        <is>
          <t>Western Cape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23.48567896125875</v>
      </c>
      <c r="R97" s="164" t="n">
        <v>23.53970993881584</v>
      </c>
      <c r="S97" s="164" t="n">
        <v>23.53970993881584</v>
      </c>
      <c r="T97" s="162" t="inlineStr">
        <is>
          <t>Estimate</t>
        </is>
      </c>
      <c r="U97" s="162" t="inlineStr">
        <is>
          <t>Department district data, quarter 1 2023; Stats SA P0441.2</t>
        </is>
      </c>
      <c r="V97" s="162" t="inlineStr"/>
    </row>
    <row r="98">
      <c r="A98" s="162" t="inlineStr">
        <is>
          <t>Eastern Cape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7.89067723132441</v>
      </c>
      <c r="R98" s="164" t="n">
        <v>7.83812278680507</v>
      </c>
      <c r="S98" s="164" t="n">
        <v>7.83812278680507</v>
      </c>
      <c r="T98" s="162" t="inlineStr">
        <is>
          <t>Estimate</t>
        </is>
      </c>
      <c r="U98" s="162" t="inlineStr">
        <is>
          <t>Department district data, quarter 1 2023; Stats SA P0441.2</t>
        </is>
      </c>
      <c r="V98" s="162" t="inlineStr"/>
    </row>
    <row r="99">
      <c r="A99" s="162" t="inlineStr">
        <is>
          <t>Mpumalanga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9.154016030764375</v>
      </c>
      <c r="R99" s="164" t="n">
        <v>9.137636223166661</v>
      </c>
      <c r="S99" s="164" t="n">
        <v>9.137636223166661</v>
      </c>
      <c r="T99" s="162" t="inlineStr">
        <is>
          <t>Estimate</t>
        </is>
      </c>
      <c r="U99" s="162" t="inlineStr">
        <is>
          <t>Department district data, quarter 1 2023; Stats SA P0441.2</t>
        </is>
      </c>
      <c r="V99" s="162" t="inlineStr"/>
    </row>
    <row r="100">
      <c r="A100" s="162" t="inlineStr">
        <is>
          <t>Free State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5.426397730797064</v>
      </c>
      <c r="R100" s="164" t="n">
        <v>5.42450839649958</v>
      </c>
      <c r="S100" s="164" t="n">
        <v>5.42450839649958</v>
      </c>
      <c r="T100" s="162" t="inlineStr">
        <is>
          <t>Estimate</t>
        </is>
      </c>
      <c r="U100" s="162" t="inlineStr">
        <is>
          <t>Department district data, quarter 1 2023; Stats SA P0441.2</t>
        </is>
      </c>
      <c r="V100" s="162" t="inlineStr"/>
    </row>
    <row r="101">
      <c r="A101" s="162" t="inlineStr">
        <is>
          <t>North West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4.4050379640929</v>
      </c>
      <c r="R101" s="164" t="n">
        <v>4.376670684154155</v>
      </c>
      <c r="S101" s="164" t="n">
        <v>4.376670684154155</v>
      </c>
      <c r="T101" s="162" t="inlineStr">
        <is>
          <t>Estimate</t>
        </is>
      </c>
      <c r="U101" s="162" t="inlineStr">
        <is>
          <t>Department district data, quarter 1 2023; Stats SA P0441.2</t>
        </is>
      </c>
      <c r="V101" s="162" t="inlineStr"/>
    </row>
    <row r="102">
      <c r="A102" s="162" t="inlineStr">
        <is>
          <t>Limpopo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1.888937215844854</v>
      </c>
      <c r="R102" s="164" t="n">
        <v>1.896160763259574</v>
      </c>
      <c r="S102" s="164" t="n">
        <v>1.896160763259574</v>
      </c>
      <c r="T102" s="162" t="inlineStr">
        <is>
          <t>Estimate</t>
        </is>
      </c>
      <c r="U102" s="162" t="inlineStr">
        <is>
          <t>Department district data, quarter 1 2023; Stats SA P0441.2</t>
        </is>
      </c>
      <c r="V102" s="162" t="inlineStr"/>
    </row>
    <row r="103">
      <c r="A103" s="162" t="inlineStr">
        <is>
          <t>Northern Cape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2.807796173437997</v>
      </c>
      <c r="R103" s="164" t="n">
        <v>2.791890196146183</v>
      </c>
      <c r="S103" s="164" t="n">
        <v>2.791890196146183</v>
      </c>
      <c r="T103" s="162" t="inlineStr">
        <is>
          <t>Estimate</t>
        </is>
      </c>
      <c r="U103" s="162" t="inlineStr">
        <is>
          <t>Department district data, quarter 1 2023; Stats SA P0441.2</t>
        </is>
      </c>
      <c r="V103" s="162" t="inlineStr"/>
    </row>
    <row r="104">
      <c r="A104" s="162" t="inlineStr">
        <is>
          <t>Gauteng diesel, estimated</t>
        </is>
      </c>
      <c r="B104" s="163" t="inlineStr">
        <is>
          <t>million L/year</t>
        </is>
      </c>
      <c r="C104" s="163" t="inlineStr">
        <is>
          <t>Proposed estimate</t>
        </is>
      </c>
      <c r="D104" s="165" t="n"/>
      <c r="E104" s="162" t="inlineStr">
        <is>
          <t>Estimated share times national sales used (section 4). Blank where no national figure exists.</t>
        </is>
      </c>
      <c r="F104" s="165" t="n"/>
      <c r="G104" s="165" t="n"/>
      <c r="H104" s="165" t="n"/>
      <c r="I104" s="165" t="n"/>
      <c r="J104" s="165" t="n"/>
      <c r="K104" s="165" t="n"/>
      <c r="L104" s="165" t="n"/>
      <c r="M104" s="165" t="n"/>
      <c r="N104" s="165" t="n"/>
      <c r="O104" s="165" t="n"/>
      <c r="P104" s="165" t="n"/>
      <c r="Q104" s="165">
        <f>IF(COUNT(Q95,Q64)&lt;2,"",Q95/100*Q64)</f>
        <v/>
      </c>
      <c r="R104" s="165">
        <f>IF(COUNT(R95,R64)&lt;2,"",R95/100*R64)</f>
        <v/>
      </c>
      <c r="S104" s="165">
        <f>IF(COUNT(S95,S64)&lt;2,"",S95/100*S64)</f>
        <v/>
      </c>
      <c r="T104" s="162" t="inlineStr">
        <is>
          <t>Estimate; 2024 also carries the unverified national total</t>
        </is>
      </c>
      <c r="U104" s="162" t="inlineStr"/>
      <c r="V104" s="162" t="inlineStr">
        <is>
          <t>Replace when the department publishes district data after 2023 quarter 1</t>
        </is>
      </c>
    </row>
    <row r="105">
      <c r="A105" s="162" t="inlineStr">
        <is>
          <t>KwaZulu-Natal diesel, estimated</t>
        </is>
      </c>
      <c r="B105" s="163" t="inlineStr">
        <is>
          <t>million L/year</t>
        </is>
      </c>
      <c r="C105" s="163" t="inlineStr">
        <is>
          <t>Proposed estimate</t>
        </is>
      </c>
      <c r="D105" s="165" t="n"/>
      <c r="E105" s="162" t="inlineStr">
        <is>
          <t>Estimated share times national sales used (section 4). Blank where no national figure exists.</t>
        </is>
      </c>
      <c r="F105" s="165" t="n"/>
      <c r="G105" s="165" t="n"/>
      <c r="H105" s="165" t="n"/>
      <c r="I105" s="165" t="n"/>
      <c r="J105" s="165" t="n"/>
      <c r="K105" s="165" t="n"/>
      <c r="L105" s="165" t="n"/>
      <c r="M105" s="165" t="n"/>
      <c r="N105" s="165" t="n"/>
      <c r="O105" s="165" t="n"/>
      <c r="P105" s="165" t="n"/>
      <c r="Q105" s="165">
        <f>IF(COUNT(Q96,Q64)&lt;2,"",Q96/100*Q64)</f>
        <v/>
      </c>
      <c r="R105" s="165">
        <f>IF(COUNT(R96,R64)&lt;2,"",R96/100*R64)</f>
        <v/>
      </c>
      <c r="S105" s="165">
        <f>IF(COUNT(S96,S64)&lt;2,"",S96/100*S64)</f>
        <v/>
      </c>
      <c r="T105" s="162" t="inlineStr">
        <is>
          <t>Estimate; 2024 also carries the unverified national total</t>
        </is>
      </c>
      <c r="U105" s="162" t="inlineStr"/>
      <c r="V105" s="162" t="inlineStr">
        <is>
          <t>Replace when the department publishes district data after 2023 quarter 1</t>
        </is>
      </c>
    </row>
    <row r="106">
      <c r="A106" s="162" t="inlineStr">
        <is>
          <t>Western Cape diesel, estimated</t>
        </is>
      </c>
      <c r="B106" s="163" t="inlineStr">
        <is>
          <t>million L/year</t>
        </is>
      </c>
      <c r="C106" s="163" t="inlineStr">
        <is>
          <t>Proposed estimate</t>
        </is>
      </c>
      <c r="D106" s="165" t="n"/>
      <c r="E106" s="162" t="inlineStr">
        <is>
          <t>Estimated share times national sales used (section 4). Blank where no national figure exists.</t>
        </is>
      </c>
      <c r="F106" s="165" t="n"/>
      <c r="G106" s="165" t="n"/>
      <c r="H106" s="165" t="n"/>
      <c r="I106" s="165" t="n"/>
      <c r="J106" s="165" t="n"/>
      <c r="K106" s="165" t="n"/>
      <c r="L106" s="165" t="n"/>
      <c r="M106" s="165" t="n"/>
      <c r="N106" s="165" t="n"/>
      <c r="O106" s="165" t="n"/>
      <c r="P106" s="165" t="n"/>
      <c r="Q106" s="165">
        <f>IF(COUNT(Q97,Q64)&lt;2,"",Q97/100*Q64)</f>
        <v/>
      </c>
      <c r="R106" s="165">
        <f>IF(COUNT(R97,R64)&lt;2,"",R97/100*R64)</f>
        <v/>
      </c>
      <c r="S106" s="165">
        <f>IF(COUNT(S97,S64)&lt;2,"",S97/100*S64)</f>
        <v/>
      </c>
      <c r="T106" s="162" t="inlineStr">
        <is>
          <t>Estimate; 2024 also carries the unverified national total</t>
        </is>
      </c>
      <c r="U106" s="162" t="inlineStr"/>
      <c r="V106" s="162" t="inlineStr">
        <is>
          <t>Replace when the department publishes district data after 2023 quarter 1</t>
        </is>
      </c>
    </row>
    <row r="107">
      <c r="A107" s="162" t="inlineStr">
        <is>
          <t>Eastern Cape diesel, estimated</t>
        </is>
      </c>
      <c r="B107" s="163" t="inlineStr">
        <is>
          <t>million L/year</t>
        </is>
      </c>
      <c r="C107" s="163" t="inlineStr">
        <is>
          <t>Proposed estimate</t>
        </is>
      </c>
      <c r="D107" s="165" t="n"/>
      <c r="E107" s="162" t="inlineStr">
        <is>
          <t>Estimated share times national sales used (section 4). Blank where no national figure exists.</t>
        </is>
      </c>
      <c r="F107" s="165" t="n"/>
      <c r="G107" s="165" t="n"/>
      <c r="H107" s="165" t="n"/>
      <c r="I107" s="165" t="n"/>
      <c r="J107" s="165" t="n"/>
      <c r="K107" s="165" t="n"/>
      <c r="L107" s="165" t="n"/>
      <c r="M107" s="165" t="n"/>
      <c r="N107" s="165" t="n"/>
      <c r="O107" s="165" t="n"/>
      <c r="P107" s="165" t="n"/>
      <c r="Q107" s="165">
        <f>IF(COUNT(Q98,Q64)&lt;2,"",Q98/100*Q64)</f>
        <v/>
      </c>
      <c r="R107" s="165">
        <f>IF(COUNT(R98,R64)&lt;2,"",R98/100*R64)</f>
        <v/>
      </c>
      <c r="S107" s="165">
        <f>IF(COUNT(S98,S64)&lt;2,"",S98/100*S64)</f>
        <v/>
      </c>
      <c r="T107" s="162" t="inlineStr">
        <is>
          <t>Estimate; 2024 also carries the unverified national total</t>
        </is>
      </c>
      <c r="U107" s="162" t="inlineStr"/>
      <c r="V107" s="162" t="inlineStr">
        <is>
          <t>Replace when the department publishes district data after 2023 quarter 1</t>
        </is>
      </c>
    </row>
    <row r="108">
      <c r="A108" s="162" t="inlineStr">
        <is>
          <t>Mpumalanga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IF(COUNT(Q99,Q64)&lt;2,"",Q99/100*Q64)</f>
        <v/>
      </c>
      <c r="R108" s="165">
        <f>IF(COUNT(R99,R64)&lt;2,"",R99/100*R64)</f>
        <v/>
      </c>
      <c r="S108" s="165">
        <f>IF(COUNT(S99,S64)&lt;2,"",S99/100*S64)</f>
        <v/>
      </c>
      <c r="T108" s="162" t="inlineStr">
        <is>
          <t>Estimate; 2024 also carries the unverified national total</t>
        </is>
      </c>
      <c r="U108" s="162" t="inlineStr"/>
      <c r="V108" s="162" t="inlineStr">
        <is>
          <t>Replace when the department publishes district data after 2023 quarter 1</t>
        </is>
      </c>
    </row>
    <row r="109">
      <c r="A109" s="162" t="inlineStr">
        <is>
          <t>Free State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IF(COUNT(Q100,Q64)&lt;2,"",Q100/100*Q64)</f>
        <v/>
      </c>
      <c r="R109" s="165">
        <f>IF(COUNT(R100,R64)&lt;2,"",R100/100*R64)</f>
        <v/>
      </c>
      <c r="S109" s="165">
        <f>IF(COUNT(S100,S64)&lt;2,"",S100/100*S64)</f>
        <v/>
      </c>
      <c r="T109" s="162" t="inlineStr">
        <is>
          <t>Estimate; 2024 also carries the unverified national total</t>
        </is>
      </c>
      <c r="U109" s="162" t="inlineStr"/>
      <c r="V109" s="162" t="inlineStr">
        <is>
          <t>Replace when the department publishes district data after 2023 quarter 1</t>
        </is>
      </c>
    </row>
    <row r="110">
      <c r="A110" s="162" t="inlineStr">
        <is>
          <t>North West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IF(COUNT(Q101,Q64)&lt;2,"",Q101/100*Q64)</f>
        <v/>
      </c>
      <c r="R110" s="165">
        <f>IF(COUNT(R101,R64)&lt;2,"",R101/100*R64)</f>
        <v/>
      </c>
      <c r="S110" s="165">
        <f>IF(COUNT(S101,S64)&lt;2,"",S101/100*S64)</f>
        <v/>
      </c>
      <c r="T110" s="162" t="inlineStr">
        <is>
          <t>Estimate; 2024 also carries the unverified national total</t>
        </is>
      </c>
      <c r="U110" s="162" t="inlineStr"/>
      <c r="V110" s="162" t="inlineStr">
        <is>
          <t>Replace when the department publishes district data after 2023 quarter 1</t>
        </is>
      </c>
    </row>
    <row r="111">
      <c r="A111" s="162" t="inlineStr">
        <is>
          <t>Limpopo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IF(COUNT(Q102,Q64)&lt;2,"",Q102/100*Q64)</f>
        <v/>
      </c>
      <c r="R111" s="165">
        <f>IF(COUNT(R102,R64)&lt;2,"",R102/100*R64)</f>
        <v/>
      </c>
      <c r="S111" s="165">
        <f>IF(COUNT(S102,S64)&lt;2,"",S102/100*S64)</f>
        <v/>
      </c>
      <c r="T111" s="162" t="inlineStr">
        <is>
          <t>Estimate; 2024 also carries the unverified national total</t>
        </is>
      </c>
      <c r="U111" s="162" t="inlineStr"/>
      <c r="V111" s="162" t="inlineStr">
        <is>
          <t>Replace when the department publishes district data after 2023 quarter 1</t>
        </is>
      </c>
    </row>
    <row r="112">
      <c r="A112" s="162" t="inlineStr">
        <is>
          <t>Northern Cape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IF(COUNT(Q103,Q64)&lt;2,"",Q103/100*Q64)</f>
        <v/>
      </c>
      <c r="R112" s="165">
        <f>IF(COUNT(R103,R64)&lt;2,"",R103/100*R64)</f>
        <v/>
      </c>
      <c r="S112" s="165">
        <f>IF(COUNT(S103,S64)&lt;2,"",S103/100*S64)</f>
        <v/>
      </c>
      <c r="T112" s="162" t="inlineStr">
        <is>
          <t>Estimate; 2024 also carries the unverified national total</t>
        </is>
      </c>
      <c r="U112" s="162" t="inlineStr"/>
      <c r="V112" s="162" t="inlineStr">
        <is>
          <t>Replace when the department publishes district data after 2023 quarter 1</t>
        </is>
      </c>
    </row>
    <row r="114">
      <c r="A114" s="151" t="inlineStr">
        <is>
          <t>7. Jet fuel: sales, trade, production and aircraft movements</t>
        </is>
      </c>
      <c r="B114" s="151" t="n"/>
      <c r="C114" s="151" t="n"/>
      <c r="D114" s="151" t="n"/>
      <c r="E114" s="151" t="n"/>
      <c r="F114" s="151" t="n"/>
      <c r="G114" s="151" t="n"/>
      <c r="H114" s="151" t="n"/>
      <c r="I114" s="151" t="n"/>
      <c r="J114" s="151" t="n"/>
      <c r="K114" s="151" t="n"/>
      <c r="L114" s="151" t="n"/>
      <c r="M114" s="151" t="n"/>
      <c r="N114" s="151" t="n"/>
      <c r="O114" s="151" t="n"/>
      <c r="P114" s="151" t="n"/>
      <c r="Q114" s="151" t="n"/>
      <c r="R114" s="151" t="n"/>
      <c r="S114" s="151" t="n"/>
      <c r="T114" s="151" t="n"/>
      <c r="U114" s="151" t="n"/>
      <c r="V114" s="151" t="n"/>
    </row>
    <row r="115">
      <c r="A115" s="152" t="inlineStr">
        <is>
          <t>Department national file, jet</t>
        </is>
      </c>
      <c r="B115" s="153" t="inlineStr">
        <is>
          <t>million L/year</t>
        </is>
      </c>
      <c r="C115" s="153" t="inlineStr">
        <is>
          <t>Source observation</t>
        </is>
      </c>
      <c r="D115" s="154" t="n"/>
      <c r="E115" s="152" t="inlineStr">
        <is>
          <t>National annual workbook, years with four quarters reported.</t>
        </is>
      </c>
      <c r="F115" s="154" t="n">
        <v>2431.08548</v>
      </c>
      <c r="G115" s="154" t="n">
        <v>2305.651372</v>
      </c>
      <c r="H115" s="154" t="n">
        <v>2293.018714</v>
      </c>
      <c r="I115" s="154" t="n">
        <v>2457.95129655</v>
      </c>
      <c r="J115" s="154" t="n">
        <v>2598.760123418</v>
      </c>
      <c r="K115" s="154" t="n">
        <v>2712.662668234242</v>
      </c>
      <c r="L115" s="154" t="n">
        <v>2346.059526818</v>
      </c>
      <c r="M115" s="154" t="n">
        <v>2438.852598017</v>
      </c>
      <c r="N115" s="154" t="n">
        <v>1090.817659253</v>
      </c>
      <c r="O115" s="154" t="n">
        <v>1047.881004178</v>
      </c>
      <c r="P115" s="154" t="n">
        <v>1478.149852603</v>
      </c>
      <c r="Q115" s="154" t="n">
        <v>1843.971762465</v>
      </c>
      <c r="R115" s="154" t="n"/>
      <c r="S115" s="154" t="n"/>
      <c r="T115" s="152" t="inlineStr">
        <is>
          <t>2012-2023</t>
        </is>
      </c>
      <c r="U115" s="152" t="inlineStr">
        <is>
          <t>Department of Mineral and Petroleum Resources, sales volumes, national workbooks</t>
        </is>
      </c>
      <c r="V115" s="152" t="inlineStr"/>
    </row>
    <row r="116">
      <c r="A116" s="159" t="inlineStr">
        <is>
          <t>FIASA sales, jet</t>
        </is>
      </c>
      <c r="B116" s="160" t="inlineStr">
        <is>
          <t>million L/year</t>
        </is>
      </c>
      <c r="C116" s="160" t="inlineStr">
        <is>
          <t>Comparison only</t>
        </is>
      </c>
      <c r="D116" s="161" t="n"/>
      <c r="E116" s="159" t="inlineStr">
        <is>
          <t>FIASA annual report, latest edition.</t>
        </is>
      </c>
      <c r="F116" s="161" t="n">
        <v>2367</v>
      </c>
      <c r="G116" s="161" t="n">
        <v>2223</v>
      </c>
      <c r="H116" s="161" t="n">
        <v>2197</v>
      </c>
      <c r="I116" s="161" t="n">
        <v>2441</v>
      </c>
      <c r="J116" s="161" t="n">
        <v>2121</v>
      </c>
      <c r="K116" s="161" t="n">
        <v>2713</v>
      </c>
      <c r="L116" s="161" t="n">
        <v>2346</v>
      </c>
      <c r="M116" s="161" t="n">
        <v>2439</v>
      </c>
      <c r="N116" s="161" t="n">
        <v>1091</v>
      </c>
      <c r="O116" s="161" t="n">
        <v>1048</v>
      </c>
      <c r="P116" s="161" t="n">
        <v>1478</v>
      </c>
      <c r="Q116" s="161" t="n">
        <v>1844</v>
      </c>
      <c r="R116" s="161" t="n">
        <v>1955</v>
      </c>
      <c r="S116" s="161" t="n"/>
      <c r="T116" s="159" t="inlineStr">
        <is>
          <t>2024: 1,754 in FIASA's 2024 edition, 1,955 in its 2025 edition</t>
        </is>
      </c>
      <c r="U116" s="159" t="inlineStr">
        <is>
          <t>Fuels Industry Association of South Africa, annual reports</t>
        </is>
      </c>
      <c r="V116" s="159" t="inlineStr"/>
    </row>
    <row r="117">
      <c r="A117" s="156" t="inlineStr">
        <is>
          <t>Sales used, jet</t>
        </is>
      </c>
      <c r="B117" s="157" t="inlineStr">
        <is>
          <t>million L/year</t>
        </is>
      </c>
      <c r="C117" s="157" t="inlineStr">
        <is>
          <t>Reporting formula</t>
        </is>
      </c>
      <c r="D117" s="158" t="n"/>
      <c r="E117" s="156" t="inlineStr">
        <is>
          <t>Department where published; otherwise FIASA, unverified.</t>
        </is>
      </c>
      <c r="F117" s="158">
        <f>IF(ISNUMBER(F115),F115,IF(ISNUMBER(F116),F116,""))</f>
        <v/>
      </c>
      <c r="G117" s="158">
        <f>IF(ISNUMBER(G115),G115,IF(ISNUMBER(G116),G116,""))</f>
        <v/>
      </c>
      <c r="H117" s="158">
        <f>IF(ISNUMBER(H115),H115,IF(ISNUMBER(H116),H116,""))</f>
        <v/>
      </c>
      <c r="I117" s="158">
        <f>IF(ISNUMBER(I115),I115,IF(ISNUMBER(I116),I116,""))</f>
        <v/>
      </c>
      <c r="J117" s="158">
        <f>IF(ISNUMBER(J115),J115,IF(ISNUMBER(J116),J116,""))</f>
        <v/>
      </c>
      <c r="K117" s="158">
        <f>IF(ISNUMBER(K115),K115,IF(ISNUMBER(K116),K116,""))</f>
        <v/>
      </c>
      <c r="L117" s="158">
        <f>IF(ISNUMBER(L115),L115,IF(ISNUMBER(L116),L116,""))</f>
        <v/>
      </c>
      <c r="M117" s="158">
        <f>IF(ISNUMBER(M115),M115,IF(ISNUMBER(M116),M116,""))</f>
        <v/>
      </c>
      <c r="N117" s="158">
        <f>IF(ISNUMBER(N115),N115,IF(ISNUMBER(N116),N116,""))</f>
        <v/>
      </c>
      <c r="O117" s="158">
        <f>IF(ISNUMBER(O115),O115,IF(ISNUMBER(O116),O116,""))</f>
        <v/>
      </c>
      <c r="P117" s="158">
        <f>IF(ISNUMBER(P115),P115,IF(ISNUMBER(P116),P116,""))</f>
        <v/>
      </c>
      <c r="Q117" s="158">
        <f>IF(ISNUMBER(Q115),Q115,IF(ISNUMBER(Q116),Q116,""))</f>
        <v/>
      </c>
      <c r="R117" s="158">
        <f>IF(ISNUMBER(R115),R115,IF(ISNUMBER(R116),R116,""))</f>
        <v/>
      </c>
      <c r="S117" s="158">
        <f>IF(ISNUMBER(S115),S115,IF(ISNUMBER(S116),S116,""))</f>
        <v/>
      </c>
      <c r="T117" s="156" t="inlineStr"/>
      <c r="U117" s="156" t="inlineStr"/>
      <c r="V117" s="156" t="inlineStr"/>
    </row>
    <row r="118">
      <c r="A118" s="152" t="inlineStr">
        <is>
          <t>Imports, jet</t>
        </is>
      </c>
      <c r="B118" s="153" t="inlineStr">
        <is>
          <t>million L/year</t>
        </is>
      </c>
      <c r="C118" s="153" t="inlineStr">
        <is>
          <t>Source observation</t>
        </is>
      </c>
      <c r="D118" s="154" t="n"/>
      <c r="E118" s="152" t="inlineStr">
        <is>
          <t>Complete years reported in litres.</t>
        </is>
      </c>
      <c r="F118" s="154" t="n"/>
      <c r="G118" s="154" t="n"/>
      <c r="H118" s="154" t="n"/>
      <c r="I118" s="154" t="n"/>
      <c r="J118" s="154" t="n"/>
      <c r="K118" s="154" t="n">
        <v>418.603994</v>
      </c>
      <c r="L118" s="154" t="n">
        <v>341.60306375</v>
      </c>
      <c r="M118" s="154" t="n"/>
      <c r="N118" s="154" t="n">
        <v>587.4314575</v>
      </c>
      <c r="O118" s="154" t="n">
        <v>446.819487</v>
      </c>
      <c r="P118" s="154" t="n">
        <v>810.3529865</v>
      </c>
      <c r="Q118" s="154" t="n">
        <v>673.86142982</v>
      </c>
      <c r="R118" s="154" t="n">
        <v>718.0868890700001</v>
      </c>
      <c r="S118" s="154" t="n">
        <v>884.9844383200001</v>
      </c>
      <c r="T118" s="152" t="inlineStr">
        <is>
          <t>From 2014; 2019 blank because one month is missing</t>
        </is>
      </c>
      <c r="U118" s="152" t="inlineStr">
        <is>
          <t>South African Revenue Service, trade statistics by tariff line</t>
        </is>
      </c>
      <c r="V118" s="152" t="inlineStr"/>
    </row>
    <row r="119">
      <c r="A119" s="152" t="inlineStr">
        <is>
          <t>Exports, jet</t>
        </is>
      </c>
      <c r="B119" s="153" t="inlineStr">
        <is>
          <t>million L/year</t>
        </is>
      </c>
      <c r="C119" s="153" t="inlineStr">
        <is>
          <t>Source observation</t>
        </is>
      </c>
      <c r="D119" s="154" t="n"/>
      <c r="E119" s="152" t="inlineStr">
        <is>
          <t>Complete years reported in litres. Whether fuel loaded onto international flights is recorded as an export is not established.</t>
        </is>
      </c>
      <c r="F119" s="154" t="n"/>
      <c r="G119" s="154" t="n"/>
      <c r="H119" s="154" t="n">
        <v>114.794276</v>
      </c>
      <c r="I119" s="154" t="n">
        <v>821.0071333</v>
      </c>
      <c r="J119" s="154" t="n">
        <v>334.5899605</v>
      </c>
      <c r="K119" s="154" t="n">
        <v>348.7657881</v>
      </c>
      <c r="L119" s="154" t="n">
        <v>327.817396</v>
      </c>
      <c r="M119" s="154" t="n">
        <v>293.094467</v>
      </c>
      <c r="N119" s="154" t="n">
        <v>620.3165292</v>
      </c>
      <c r="O119" s="154" t="n">
        <v>98.7798698</v>
      </c>
      <c r="P119" s="154" t="n">
        <v>384.881163</v>
      </c>
      <c r="Q119" s="154" t="n">
        <v>451.76833507</v>
      </c>
      <c r="R119" s="154" t="n">
        <v>478.4344717</v>
      </c>
      <c r="S119" s="154" t="n">
        <v>471.98413936</v>
      </c>
      <c r="T119" s="152" t="inlineStr">
        <is>
          <t>From 2014</t>
        </is>
      </c>
      <c r="U119" s="152" t="inlineStr">
        <is>
          <t>South African Revenue Service, trade statistics by tariff line</t>
        </is>
      </c>
      <c r="V119" s="152" t="inlineStr"/>
    </row>
    <row r="120">
      <c r="A120" s="156" t="inlineStr">
        <is>
          <t>Net imports, jet</t>
        </is>
      </c>
      <c r="B120" s="157" t="inlineStr">
        <is>
          <t>million L/year</t>
        </is>
      </c>
      <c r="C120" s="157" t="inlineStr">
        <is>
          <t>Reporting formula</t>
        </is>
      </c>
      <c r="D120" s="158" t="n"/>
      <c r="E120" s="156" t="inlineStr">
        <is>
          <t>Imports less exports.</t>
        </is>
      </c>
      <c r="F120" s="158">
        <f>IF(COUNT(F118,F119)&lt;2,"",F118-F119)</f>
        <v/>
      </c>
      <c r="G120" s="158">
        <f>IF(COUNT(G118,G119)&lt;2,"",G118-G119)</f>
        <v/>
      </c>
      <c r="H120" s="158">
        <f>IF(COUNT(H118,H119)&lt;2,"",H118-H119)</f>
        <v/>
      </c>
      <c r="I120" s="158">
        <f>IF(COUNT(I118,I119)&lt;2,"",I118-I119)</f>
        <v/>
      </c>
      <c r="J120" s="158">
        <f>IF(COUNT(J118,J119)&lt;2,"",J118-J119)</f>
        <v/>
      </c>
      <c r="K120" s="158">
        <f>IF(COUNT(K118,K119)&lt;2,"",K118-K119)</f>
        <v/>
      </c>
      <c r="L120" s="158">
        <f>IF(COUNT(L118,L119)&lt;2,"",L118-L119)</f>
        <v/>
      </c>
      <c r="M120" s="158">
        <f>IF(COUNT(M118,M119)&lt;2,"",M118-M119)</f>
        <v/>
      </c>
      <c r="N120" s="158">
        <f>IF(COUNT(N118,N119)&lt;2,"",N118-N119)</f>
        <v/>
      </c>
      <c r="O120" s="158">
        <f>IF(COUNT(O118,O119)&lt;2,"",O118-O119)</f>
        <v/>
      </c>
      <c r="P120" s="158">
        <f>IF(COUNT(P118,P119)&lt;2,"",P118-P119)</f>
        <v/>
      </c>
      <c r="Q120" s="158">
        <f>IF(COUNT(Q118,Q119)&lt;2,"",Q118-Q119)</f>
        <v/>
      </c>
      <c r="R120" s="158">
        <f>IF(COUNT(R118,R119)&lt;2,"",R118-R119)</f>
        <v/>
      </c>
      <c r="S120" s="158">
        <f>IF(COUNT(S118,S119)&lt;2,"",S118-S119)</f>
        <v/>
      </c>
      <c r="T120" s="156" t="inlineStr"/>
      <c r="U120" s="156" t="inlineStr"/>
      <c r="V120" s="156" t="inlineStr"/>
    </row>
    <row r="121">
      <c r="A121" s="152" t="inlineStr">
        <is>
          <t>Production reported, jet</t>
        </is>
      </c>
      <c r="B121" s="153" t="inlineStr">
        <is>
          <t>million L/year</t>
        </is>
      </c>
      <c r="C121" s="153" t="inlineStr">
        <is>
          <t>Source observation</t>
        </is>
      </c>
      <c r="D121" s="154" t="n"/>
      <c r="E121" s="152" t="inlineStr">
        <is>
          <t>National production line of the energy balance.</t>
        </is>
      </c>
      <c r="F121" s="154" t="n">
        <v>1100.507375</v>
      </c>
      <c r="G121" s="154" t="n">
        <v>1762.443875</v>
      </c>
      <c r="H121" s="154" t="n">
        <v>1715.08725</v>
      </c>
      <c r="I121" s="154" t="n">
        <v>2967.27825</v>
      </c>
      <c r="J121" s="154" t="n">
        <v>3047.4005</v>
      </c>
      <c r="K121" s="154" t="n">
        <v>1518.965125</v>
      </c>
      <c r="L121" s="154" t="n">
        <v>1543.192125</v>
      </c>
      <c r="M121" s="154" t="n">
        <v>1089.709875</v>
      </c>
      <c r="N121" s="154" t="n">
        <v>962.755625</v>
      </c>
      <c r="O121" s="154" t="n">
        <v>861.3591022420001</v>
      </c>
      <c r="P121" s="154" t="n"/>
      <c r="Q121" s="154" t="n"/>
      <c r="R121" s="154" t="n"/>
      <c r="S121" s="154" t="n"/>
      <c r="T121" s="152" t="inlineStr">
        <is>
          <t>2012-2021</t>
        </is>
      </c>
      <c r="U121" s="152" t="inlineStr">
        <is>
          <t>Department energy balances</t>
        </is>
      </c>
      <c r="V121" s="152" t="inlineStr"/>
    </row>
    <row r="122">
      <c r="A122" s="156" t="inlineStr">
        <is>
          <t>Sales less net imports, jet</t>
        </is>
      </c>
      <c r="B122" s="157" t="inlineStr">
        <is>
          <t>million L/year</t>
        </is>
      </c>
      <c r="C122" s="157" t="inlineStr">
        <is>
          <t>Reporting formula</t>
        </is>
      </c>
      <c r="D122" s="158" t="n"/>
      <c r="E122" s="156" t="inlineStr">
        <is>
          <t>What production and stock changes must supply. Not a measurement of production.</t>
        </is>
      </c>
      <c r="F122" s="158">
        <f>IF(COUNT(F117,F120)&lt;2,"",F117-F120)</f>
        <v/>
      </c>
      <c r="G122" s="158">
        <f>IF(COUNT(G117,G120)&lt;2,"",G117-G120)</f>
        <v/>
      </c>
      <c r="H122" s="158">
        <f>IF(COUNT(H117,H120)&lt;2,"",H117-H120)</f>
        <v/>
      </c>
      <c r="I122" s="158">
        <f>IF(COUNT(I117,I120)&lt;2,"",I117-I120)</f>
        <v/>
      </c>
      <c r="J122" s="158">
        <f>IF(COUNT(J117,J120)&lt;2,"",J117-J120)</f>
        <v/>
      </c>
      <c r="K122" s="158">
        <f>IF(COUNT(K117,K120)&lt;2,"",K117-K120)</f>
        <v/>
      </c>
      <c r="L122" s="158">
        <f>IF(COUNT(L117,L120)&lt;2,"",L117-L120)</f>
        <v/>
      </c>
      <c r="M122" s="158">
        <f>IF(COUNT(M117,M120)&lt;2,"",M117-M120)</f>
        <v/>
      </c>
      <c r="N122" s="158">
        <f>IF(COUNT(N117,N120)&lt;2,"",N117-N120)</f>
        <v/>
      </c>
      <c r="O122" s="158">
        <f>IF(COUNT(O117,O120)&lt;2,"",O117-O120)</f>
        <v/>
      </c>
      <c r="P122" s="158">
        <f>IF(COUNT(P117,P120)&lt;2,"",P117-P120)</f>
        <v/>
      </c>
      <c r="Q122" s="158">
        <f>IF(COUNT(Q117,Q120)&lt;2,"",Q117-Q120)</f>
        <v/>
      </c>
      <c r="R122" s="158">
        <f>IF(COUNT(R117,R120)&lt;2,"",R117-R120)</f>
        <v/>
      </c>
      <c r="S122" s="158">
        <f>IF(COUNT(S117,S120)&lt;2,"",S117-S120)</f>
        <v/>
      </c>
      <c r="T122" s="156" t="inlineStr"/>
      <c r="U122" s="156" t="inlineStr"/>
      <c r="V122" s="156" t="inlineStr"/>
    </row>
    <row r="123">
      <c r="A123" s="156" t="inlineStr">
        <is>
          <t>Unexplained after reported production, jet</t>
        </is>
      </c>
      <c r="B123" s="157" t="inlineStr">
        <is>
          <t>million L/year</t>
        </is>
      </c>
      <c r="C123" s="157" t="inlineStr">
        <is>
          <t>Reporting formula</t>
        </is>
      </c>
      <c r="D123" s="158" t="n"/>
      <c r="E123" s="156" t="inlineStr">
        <is>
          <t>Sales less net imports less reported production.</t>
        </is>
      </c>
      <c r="F123" s="158">
        <f>IF(COUNT(F122,F121)&lt;2,"",F122-F121)</f>
        <v/>
      </c>
      <c r="G123" s="158">
        <f>IF(COUNT(G122,G121)&lt;2,"",G122-G121)</f>
        <v/>
      </c>
      <c r="H123" s="158">
        <f>IF(COUNT(H122,H121)&lt;2,"",H122-H121)</f>
        <v/>
      </c>
      <c r="I123" s="158">
        <f>IF(COUNT(I122,I121)&lt;2,"",I122-I121)</f>
        <v/>
      </c>
      <c r="J123" s="158">
        <f>IF(COUNT(J122,J121)&lt;2,"",J122-J121)</f>
        <v/>
      </c>
      <c r="K123" s="158">
        <f>IF(COUNT(K122,K121)&lt;2,"",K122-K121)</f>
        <v/>
      </c>
      <c r="L123" s="158">
        <f>IF(COUNT(L122,L121)&lt;2,"",L122-L121)</f>
        <v/>
      </c>
      <c r="M123" s="158">
        <f>IF(COUNT(M122,M121)&lt;2,"",M122-M121)</f>
        <v/>
      </c>
      <c r="N123" s="158">
        <f>IF(COUNT(N122,N121)&lt;2,"",N122-N121)</f>
        <v/>
      </c>
      <c r="O123" s="158">
        <f>IF(COUNT(O122,O121)&lt;2,"",O122-O121)</f>
        <v/>
      </c>
      <c r="P123" s="158">
        <f>IF(COUNT(P122,P121)&lt;2,"",P122-P121)</f>
        <v/>
      </c>
      <c r="Q123" s="158">
        <f>IF(COUNT(Q122,Q121)&lt;2,"",Q122-Q121)</f>
        <v/>
      </c>
      <c r="R123" s="158">
        <f>IF(COUNT(R122,R121)&lt;2,"",R122-R121)</f>
        <v/>
      </c>
      <c r="S123" s="158">
        <f>IF(COUNT(S122,S121)&lt;2,"",S122-S121)</f>
        <v/>
      </c>
      <c r="T123" s="156" t="inlineStr"/>
      <c r="U123" s="156" t="inlineStr"/>
      <c r="V123" s="156" t="inlineStr"/>
    </row>
    <row r="124">
      <c r="A124" s="152" t="inlineStr">
        <is>
          <t>Aircraft movements at ACSA airports</t>
        </is>
      </c>
      <c r="B124" s="153" t="inlineStr">
        <is>
          <t>movements/year</t>
        </is>
      </c>
      <c r="C124" s="153" t="inlineStr">
        <is>
          <t>Source observation</t>
        </is>
      </c>
      <c r="D124" s="166" t="n"/>
      <c r="E124" s="152" t="inlineStr">
        <is>
          <t>Arrivals and departures, all flight types, nine ACSA airports. Non-ACSA airports (Lanseria and others) are not covered.</t>
        </is>
      </c>
      <c r="F124" s="166" t="n"/>
      <c r="G124" s="166" t="n">
        <v>514106</v>
      </c>
      <c r="H124" s="166" t="n">
        <v>541048</v>
      </c>
      <c r="I124" s="166" t="n">
        <v>565516</v>
      </c>
      <c r="J124" s="166" t="n">
        <v>568527</v>
      </c>
      <c r="K124" s="166" t="n">
        <v>530912</v>
      </c>
      <c r="L124" s="166" t="n">
        <v>519847</v>
      </c>
      <c r="M124" s="166" t="n">
        <v>512467</v>
      </c>
      <c r="N124" s="166" t="n">
        <v>236675</v>
      </c>
      <c r="O124" s="166" t="n">
        <v>316436</v>
      </c>
      <c r="P124" s="166" t="n">
        <v>416058</v>
      </c>
      <c r="Q124" s="166" t="n">
        <v>451317</v>
      </c>
      <c r="R124" s="166" t="n">
        <v>456214</v>
      </c>
      <c r="S124" s="166" t="n">
        <v>462123</v>
      </c>
      <c r="T124" s="152" t="inlineStr">
        <is>
          <t>2013-2025</t>
        </is>
      </c>
      <c r="U124" s="152" t="inlineStr">
        <is>
          <t>Airports Company South Africa, traffic statistics</t>
        </is>
      </c>
      <c r="V124" s="152" t="inlineStr"/>
    </row>
    <row r="125">
      <c r="A125" s="156" t="inlineStr">
        <is>
          <t>Jet sold per aircraft movement</t>
        </is>
      </c>
      <c r="B125" s="157" t="inlineStr">
        <is>
          <t>litres/movement</t>
        </is>
      </c>
      <c r="C125" s="157" t="inlineStr">
        <is>
          <t>Reporting formula</t>
        </is>
      </c>
      <c r="D125" s="167" t="n"/>
      <c r="E125" s="156" t="inlineStr">
        <is>
          <t>Sales used divided by movements. 4,086 litres in 2023 against 4,759 in 2019; the reason for the fall is not established. Driver proposed for jet: movements times this intensity.</t>
        </is>
      </c>
      <c r="F125" s="167">
        <f>IF(COUNT(F117,F124)&lt;2,"",F117*1000000/F124)</f>
        <v/>
      </c>
      <c r="G125" s="167">
        <f>IF(COUNT(G117,G124)&lt;2,"",G117*1000000/G124)</f>
        <v/>
      </c>
      <c r="H125" s="167">
        <f>IF(COUNT(H117,H124)&lt;2,"",H117*1000000/H124)</f>
        <v/>
      </c>
      <c r="I125" s="167">
        <f>IF(COUNT(I117,I124)&lt;2,"",I117*1000000/I124)</f>
        <v/>
      </c>
      <c r="J125" s="167">
        <f>IF(COUNT(J117,J124)&lt;2,"",J117*1000000/J124)</f>
        <v/>
      </c>
      <c r="K125" s="167">
        <f>IF(COUNT(K117,K124)&lt;2,"",K117*1000000/K124)</f>
        <v/>
      </c>
      <c r="L125" s="167">
        <f>IF(COUNT(L117,L124)&lt;2,"",L117*1000000/L124)</f>
        <v/>
      </c>
      <c r="M125" s="167">
        <f>IF(COUNT(M117,M124)&lt;2,"",M117*1000000/M124)</f>
        <v/>
      </c>
      <c r="N125" s="167">
        <f>IF(COUNT(N117,N124)&lt;2,"",N117*1000000/N124)</f>
        <v/>
      </c>
      <c r="O125" s="167">
        <f>IF(COUNT(O117,O124)&lt;2,"",O117*1000000/O124)</f>
        <v/>
      </c>
      <c r="P125" s="167">
        <f>IF(COUNT(P117,P124)&lt;2,"",P117*1000000/P124)</f>
        <v/>
      </c>
      <c r="Q125" s="167">
        <f>IF(COUNT(Q117,Q124)&lt;2,"",Q117*1000000/Q124)</f>
        <v/>
      </c>
      <c r="R125" s="167">
        <f>IF(COUNT(R117,R124)&lt;2,"",R117*1000000/R124)</f>
        <v/>
      </c>
      <c r="S125" s="167">
        <f>IF(COUNT(S117,S124)&lt;2,"",S117*1000000/S124)</f>
        <v/>
      </c>
      <c r="T125" s="156" t="inlineStr"/>
      <c r="U125" s="156" t="inlineStr"/>
      <c r="V125"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 FIASA (unverified) for 2024.</t>
        </is>
      </c>
      <c r="F6" s="158">
        <f>IF(ISNUMBER(History!F64),History!F64,"")</f>
        <v/>
      </c>
      <c r="G6" s="158">
        <f>IF(ISNUMBER(History!G64),History!G64,"")</f>
        <v/>
      </c>
      <c r="H6" s="158">
        <f>IF(ISNUMBER(History!H64),History!H64,"")</f>
        <v/>
      </c>
      <c r="I6" s="158">
        <f>IF(ISNUMBER(History!I64),History!I64,"")</f>
        <v/>
      </c>
      <c r="J6" s="158">
        <f>IF(ISNUMBER(History!J64),History!J64,"")</f>
        <v/>
      </c>
      <c r="K6" s="158">
        <f>IF(ISNUMBER(History!K64),History!K64,"")</f>
        <v/>
      </c>
      <c r="L6" s="158">
        <f>IF(ISNUMBER(History!L64),History!L64,"")</f>
        <v/>
      </c>
      <c r="M6" s="158">
        <f>IF(ISNUMBER(History!M64),History!M64,"")</f>
        <v/>
      </c>
      <c r="N6" s="158">
        <f>IF(ISNUMBER(History!N64),History!N64,"")</f>
        <v/>
      </c>
      <c r="O6" s="158">
        <f>IF(ISNUMBER(History!O64),History!O64,"")</f>
        <v/>
      </c>
      <c r="P6" s="158">
        <f>IF(ISNUMBER(History!P64),History!P64,"")</f>
        <v/>
      </c>
      <c r="Q6" s="158">
        <f>IF(ISNUMBER(History!Q64),History!Q64,"")</f>
        <v/>
      </c>
      <c r="R6" s="158">
        <f>IF(ISNUMBER(History!R64),History!R64,"")</f>
        <v/>
      </c>
      <c r="S6" s="158">
        <f>IF(ISNUMBER(History!S64),History!S64,"")</f>
        <v/>
      </c>
      <c r="T6" s="156" t="inlineStr">
        <is>
          <t>2012-2024</t>
        </is>
      </c>
      <c r="U6" s="156" t="inlineStr"/>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6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what each could burn</t>
        </is>
      </c>
    </row>
    <row r="2">
      <c r="A2" s="1" t="inlineStr">
        <is>
          <t>A block by station and year, as asked on 7 October. Capacities are from Eskom's fact sheet; retirement dates from Eskom and from reports of the environment minister's decisions; everything about repowering with gas is a scenario. Yellow rows are assumptions.</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72" t="n">
        <v>0.31</v>
      </c>
      <c r="E6" s="162" t="inlineStr">
        <is>
          <t>Reported Eskom burn over generation in three years. A proposal awaiting review.</t>
        </is>
      </c>
      <c r="F6" s="172" t="n"/>
      <c r="G6" s="172" t="n"/>
      <c r="H6" s="172" t="n"/>
      <c r="I6" s="172" t="n"/>
      <c r="J6" s="172" t="n"/>
      <c r="K6" s="172" t="n"/>
      <c r="L6" s="172" t="n"/>
      <c r="M6" s="172" t="n"/>
      <c r="N6" s="172" t="n"/>
      <c r="O6" s="172" t="n"/>
      <c r="P6" s="172" t="n"/>
      <c r="Q6" s="172" t="n"/>
      <c r="R6" s="172" t="n"/>
      <c r="S6" s="172" t="n"/>
      <c r="T6" s="162" t="inlineStr"/>
      <c r="U6" s="162" t="inlineStr">
        <is>
          <t>Parliamentary replies on Eskom diesel burn; Eskom generation</t>
        </is>
      </c>
      <c r="V6" s="162" t="inlineStr"/>
    </row>
    <row r="7">
      <c r="A7" s="162" t="inlineStr">
        <is>
          <t>Share of output on diesel once gas is the main fuel</t>
        </is>
      </c>
      <c r="B7" s="163" t="inlineStr">
        <is>
          <t>%</t>
        </is>
      </c>
      <c r="C7" s="163" t="inlineStr">
        <is>
          <t>Assumption</t>
        </is>
      </c>
      <c r="D7" s="173" t="n">
        <v>10</v>
      </c>
      <c r="E7" s="162" t="inlineStr">
        <is>
          <t>Applies to Ankerlig and Gourikwa after the gas switch and to any repowered site. NO SOURCE: Eskom's tender says only that gas will be 'supplemented by diesel as and when it's required'.</t>
        </is>
      </c>
      <c r="F7" s="173" t="n"/>
      <c r="G7" s="173" t="n"/>
      <c r="H7" s="173" t="n"/>
      <c r="I7" s="173" t="n"/>
      <c r="J7" s="173" t="n"/>
      <c r="K7" s="173" t="n"/>
      <c r="L7" s="173" t="n"/>
      <c r="M7" s="173" t="n"/>
      <c r="N7" s="173" t="n"/>
      <c r="O7" s="173" t="n"/>
      <c r="P7" s="173" t="n"/>
      <c r="Q7" s="173" t="n"/>
      <c r="R7" s="173" t="n"/>
      <c r="S7" s="173" t="n"/>
      <c r="T7" s="162" t="inlineStr"/>
      <c r="U7" s="162" t="inlineStr"/>
      <c r="V7" s="162" t="inlineStr">
        <is>
          <t>Agree a value (Nigel, Henry)</t>
        </is>
      </c>
    </row>
    <row r="8">
      <c r="A8" s="162" t="inlineStr">
        <is>
          <t>Load factor of gas plants at repowered sites</t>
        </is>
      </c>
      <c r="B8" s="163" t="inlineStr">
        <is>
          <t>%</t>
        </is>
      </c>
      <c r="C8" s="163" t="inlineStr">
        <is>
          <t>Assumption</t>
        </is>
      </c>
      <c r="D8" s="173" t="n">
        <v>40</v>
      </c>
      <c r="E8" s="162" t="inlineStr">
        <is>
          <t>NO SOURCE. Eskom describes the gas it needs as dispatchable baseload, so well above a peaker.</t>
        </is>
      </c>
      <c r="F8" s="173" t="n"/>
      <c r="G8" s="173" t="n"/>
      <c r="H8" s="173" t="n"/>
      <c r="I8" s="173" t="n"/>
      <c r="J8" s="173" t="n"/>
      <c r="K8" s="173" t="n"/>
      <c r="L8" s="173" t="n"/>
      <c r="M8" s="173" t="n"/>
      <c r="N8" s="173" t="n"/>
      <c r="O8" s="173" t="n"/>
      <c r="P8" s="173" t="n"/>
      <c r="Q8" s="173" t="n"/>
      <c r="R8" s="173" t="n"/>
      <c r="S8" s="173" t="n"/>
      <c r="T8" s="162" t="inlineStr"/>
      <c r="U8" s="162" t="inlineStr"/>
      <c r="V8" s="162" t="inlineStr">
        <is>
          <t>Agree a value (Nigel, Henry)</t>
        </is>
      </c>
    </row>
    <row r="10">
      <c r="A10" s="151" t="inlineStr">
        <is>
          <t>1. Stations that burn diesel today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 held flat</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 held flat</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runs to about 2031;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 held flat</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runs to about 2030;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 held flat</t>
        </is>
      </c>
      <c r="U14" s="152" t="inlineStr">
        <is>
          <t>Capacity owners and agreement: African Energy 9 October 2015. Fuel: Global Energy Monitor citing an ENGIE brochure (diesel; able to run on gas)</t>
        </is>
      </c>
      <c r="V14" s="152" t="inlineStr"/>
    </row>
    <row r="15">
      <c r="A15" s="156" t="inlineStr">
        <is>
          <t>Diesel stations, total</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74" t="n"/>
      <c r="E21" s="156" t="inlineStr">
        <is>
          <t>Generation divided by what all six stations would produce running all year.</t>
        </is>
      </c>
      <c r="F21" s="174">
        <f>IF(ISNUMBER(F20),F20/((F15+F16+F17)*8.76)*100,"")</f>
        <v/>
      </c>
      <c r="G21" s="174">
        <f>IF(ISNUMBER(G20),G20/((G15+G16+G17)*8.76)*100,"")</f>
        <v/>
      </c>
      <c r="H21" s="174">
        <f>IF(ISNUMBER(H20),H20/((H15+H16+H17)*8.76)*100,"")</f>
        <v/>
      </c>
      <c r="I21" s="174">
        <f>IF(ISNUMBER(I20),I20/((I15+I16+I17)*8.76)*100,"")</f>
        <v/>
      </c>
      <c r="J21" s="174">
        <f>IF(ISNUMBER(J20),J20/((J15+J16+J17)*8.76)*100,"")</f>
        <v/>
      </c>
      <c r="K21" s="174">
        <f>IF(ISNUMBER(K20),K20/((K15+K16+K17)*8.76)*100,"")</f>
        <v/>
      </c>
      <c r="L21" s="174">
        <f>IF(ISNUMBER(L20),L20/((L15+L16+L17)*8.76)*100,"")</f>
        <v/>
      </c>
      <c r="M21" s="174">
        <f>IF(ISNUMBER(M20),M20/((M15+M16+M17)*8.76)*100,"")</f>
        <v/>
      </c>
      <c r="N21" s="174">
        <f>IF(ISNUMBER(N20),N20/((N15+N16+N17)*8.76)*100,"")</f>
        <v/>
      </c>
      <c r="O21" s="174">
        <f>IF(ISNUMBER(O20),O20/((O15+O16+O17)*8.76)*100,"")</f>
        <v/>
      </c>
      <c r="P21" s="174">
        <f>IF(ISNUMBER(P20),P20/((P15+P16+P17)*8.76)*100,"")</f>
        <v/>
      </c>
      <c r="Q21" s="174">
        <f>IF(ISNUMBER(Q20),Q20/((Q15+Q16+Q17)*8.76)*100,"")</f>
        <v/>
      </c>
      <c r="R21" s="174">
        <f>IF(ISNUMBER(R20),R20/((R15+R16+R17)*8.76)*100,"")</f>
        <v/>
      </c>
      <c r="S21" s="174">
        <f>IF(ISNUMBER(S20),S20/((S15+S16+S17)*8.76)*100,"")</f>
        <v/>
      </c>
      <c r="T21" s="156" t="inlineStr"/>
      <c r="U21" s="156" t="inlineStr"/>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What today's diesel stations could burn</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62" t="inlineStr">
        <is>
          <t>Share of Ankerlig and Gourikwa output on diesel</t>
        </is>
      </c>
      <c r="B27" s="163" t="inlineStr">
        <is>
          <t>%</t>
        </is>
      </c>
      <c r="C27" s="163" t="inlineStr">
        <is>
          <t>Assumption</t>
        </is>
      </c>
      <c r="D27" s="173" t="n"/>
      <c r="E27" s="162" t="inlineStr">
        <is>
          <t>100% until Eskom's stated gas switch (December 2027), then the backup share above. Set every year to 100 to see the case where the switch does not happen.</t>
        </is>
      </c>
      <c r="F27" s="173">
        <f>100</f>
        <v/>
      </c>
      <c r="G27" s="173">
        <f>100</f>
        <v/>
      </c>
      <c r="H27" s="173">
        <f>100</f>
        <v/>
      </c>
      <c r="I27" s="173">
        <f>100</f>
        <v/>
      </c>
      <c r="J27" s="173">
        <f>100</f>
        <v/>
      </c>
      <c r="K27" s="173">
        <f>100</f>
        <v/>
      </c>
      <c r="L27" s="173">
        <f>$D$7</f>
        <v/>
      </c>
      <c r="M27" s="173">
        <f>$D$7</f>
        <v/>
      </c>
      <c r="N27" s="173">
        <f>$D$7</f>
        <v/>
      </c>
      <c r="O27" s="173">
        <f>$D$7</f>
        <v/>
      </c>
      <c r="P27" s="173">
        <f>$D$7</f>
        <v/>
      </c>
      <c r="Q27" s="173">
        <f>$D$7</f>
        <v/>
      </c>
      <c r="R27" s="173">
        <f>$D$7</f>
        <v/>
      </c>
      <c r="S27" s="173">
        <f>$D$7</f>
        <v/>
      </c>
      <c r="T27" s="162" t="inlineStr">
        <is>
          <t>Whether the switch is on schedule is not established</t>
        </is>
      </c>
      <c r="U27" s="162" t="inlineStr">
        <is>
          <t>Eskom gas supply tender, as reported by News24, 12 June 2023</t>
        </is>
      </c>
      <c r="V27" s="162" t="inlineStr"/>
    </row>
    <row r="28">
      <c r="A28" s="162" t="inlineStr">
        <is>
          <t>Diesel at a low load factor</t>
        </is>
      </c>
      <c r="B28" s="163" t="inlineStr">
        <is>
          <t>million L/year</t>
        </is>
      </c>
      <c r="C28" s="163" t="inlineStr">
        <is>
          <t>Proposed estimate</t>
        </is>
      </c>
      <c r="D28" s="165" t="n">
        <v>3.590017953416939</v>
      </c>
      <c r="E28" s="162" t="inlineStr">
        <is>
          <t>Load factor in column D (%): the fleet's observed figure for the year to March 2026. Avon and Dedisa wholly on diesel; Ankerlig and Gourikwa at the share above.</t>
        </is>
      </c>
      <c r="F28" s="165">
        <f>(F13+F14+(F11+F12)*F27/100)*8.76*$D$28/100*$D$6</f>
        <v/>
      </c>
      <c r="G28" s="165">
        <f>(G13+G14+(G11+G12)*G27/100)*8.76*$D$28/100*$D$6</f>
        <v/>
      </c>
      <c r="H28" s="165">
        <f>(H13+H14+(H11+H12)*H27/100)*8.76*$D$28/100*$D$6</f>
        <v/>
      </c>
      <c r="I28" s="165">
        <f>(I13+I14+(I11+I12)*I27/100)*8.76*$D$28/100*$D$6</f>
        <v/>
      </c>
      <c r="J28" s="165">
        <f>(J13+J14+(J11+J12)*J27/100)*8.76*$D$28/100*$D$6</f>
        <v/>
      </c>
      <c r="K28" s="165">
        <f>(K13+K14+(K11+K12)*K27/100)*8.76*$D$28/100*$D$6</f>
        <v/>
      </c>
      <c r="L28" s="165">
        <f>(L13+L14+(L11+L12)*L27/100)*8.76*$D$28/100*$D$6</f>
        <v/>
      </c>
      <c r="M28" s="165">
        <f>(M13+M14+(M11+M12)*M27/100)*8.76*$D$28/100*$D$6</f>
        <v/>
      </c>
      <c r="N28" s="165">
        <f>(N13+N14+(N11+N12)*N27/100)*8.76*$D$28/100*$D$6</f>
        <v/>
      </c>
      <c r="O28" s="165">
        <f>(O13+O14+(O11+O12)*O27/100)*8.76*$D$28/100*$D$6</f>
        <v/>
      </c>
      <c r="P28" s="165">
        <f>(P13+P14+(P11+P12)*P27/100)*8.76*$D$28/100*$D$6</f>
        <v/>
      </c>
      <c r="Q28" s="165">
        <f>(Q13+Q14+(Q11+Q12)*Q27/100)*8.76*$D$28/100*$D$6</f>
        <v/>
      </c>
      <c r="R28" s="165">
        <f>(R13+R14+(R11+R12)*R27/100)*8.76*$D$28/100*$D$6</f>
        <v/>
      </c>
      <c r="S28" s="165">
        <f>(S13+S14+(S11+S12)*S27/100)*8.76*$D$28/100*$D$6</f>
        <v/>
      </c>
      <c r="T28" s="162" t="inlineStr">
        <is>
          <t>Estimate</t>
        </is>
      </c>
      <c r="U28" s="162" t="inlineStr">
        <is>
          <t>Eskom generation; Eskom fact sheet GX 0001</t>
        </is>
      </c>
      <c r="V28" s="162" t="inlineStr"/>
    </row>
    <row r="29">
      <c r="A29" s="162" t="inlineStr">
        <is>
          <t>Diesel at a medium load factor</t>
        </is>
      </c>
      <c r="B29" s="163" t="inlineStr">
        <is>
          <t>million L/year</t>
        </is>
      </c>
      <c r="C29" s="163" t="inlineStr">
        <is>
          <t>Proposed estimate</t>
        </is>
      </c>
      <c r="D29" s="165" t="n">
        <v>9.44251246691128</v>
      </c>
      <c r="E29" s="162" t="inlineStr">
        <is>
          <t>Load factor in column D (%): the fleet's observed figure for the year to March 2025. Avon and Dedisa wholly on diesel; Ankerlig and Gourikwa at the share above.</t>
        </is>
      </c>
      <c r="F29" s="165">
        <f>(F13+F14+(F11+F12)*F27/100)*8.76*$D$29/100*$D$6</f>
        <v/>
      </c>
      <c r="G29" s="165">
        <f>(G13+G14+(G11+G12)*G27/100)*8.76*$D$29/100*$D$6</f>
        <v/>
      </c>
      <c r="H29" s="165">
        <f>(H13+H14+(H11+H12)*H27/100)*8.76*$D$29/100*$D$6</f>
        <v/>
      </c>
      <c r="I29" s="165">
        <f>(I13+I14+(I11+I12)*I27/100)*8.76*$D$29/100*$D$6</f>
        <v/>
      </c>
      <c r="J29" s="165">
        <f>(J13+J14+(J11+J12)*J27/100)*8.76*$D$29/100*$D$6</f>
        <v/>
      </c>
      <c r="K29" s="165">
        <f>(K13+K14+(K11+K12)*K27/100)*8.76*$D$29/100*$D$6</f>
        <v/>
      </c>
      <c r="L29" s="165">
        <f>(L13+L14+(L11+L12)*L27/100)*8.76*$D$29/100*$D$6</f>
        <v/>
      </c>
      <c r="M29" s="165">
        <f>(M13+M14+(M11+M12)*M27/100)*8.76*$D$29/100*$D$6</f>
        <v/>
      </c>
      <c r="N29" s="165">
        <f>(N13+N14+(N11+N12)*N27/100)*8.76*$D$29/100*$D$6</f>
        <v/>
      </c>
      <c r="O29" s="165">
        <f>(O13+O14+(O11+O12)*O27/100)*8.76*$D$29/100*$D$6</f>
        <v/>
      </c>
      <c r="P29" s="165">
        <f>(P13+P14+(P11+P12)*P27/100)*8.76*$D$29/100*$D$6</f>
        <v/>
      </c>
      <c r="Q29" s="165">
        <f>(Q13+Q14+(Q11+Q12)*Q27/100)*8.76*$D$29/100*$D$6</f>
        <v/>
      </c>
      <c r="R29" s="165">
        <f>(R13+R14+(R11+R12)*R27/100)*8.76*$D$29/100*$D$6</f>
        <v/>
      </c>
      <c r="S29" s="165">
        <f>(S13+S14+(S11+S12)*S27/100)*8.76*$D$29/100*$D$6</f>
        <v/>
      </c>
      <c r="T29" s="162" t="inlineStr">
        <is>
          <t>Estimate</t>
        </is>
      </c>
      <c r="U29" s="162" t="inlineStr">
        <is>
          <t>Eskom generation; Eskom fact sheet GX 0001</t>
        </is>
      </c>
      <c r="V29" s="162" t="inlineStr"/>
    </row>
    <row r="30">
      <c r="A30" s="162" t="inlineStr">
        <is>
          <t>Diesel at a high load factor</t>
        </is>
      </c>
      <c r="B30" s="163" t="inlineStr">
        <is>
          <t>million L/year</t>
        </is>
      </c>
      <c r="C30" s="163" t="inlineStr">
        <is>
          <t>Proposed estimate</t>
        </is>
      </c>
      <c r="D30" s="165" t="n">
        <v>17.1116425712913</v>
      </c>
      <c r="E30" s="162" t="inlineStr">
        <is>
          <t>Load factor in column D (%): the fleet's observed figure for the year to March 2024, the peak of load-shedding. Avon and Dedisa wholly on diesel; Ankerlig and Gourikwa at the share above.</t>
        </is>
      </c>
      <c r="F30" s="165">
        <f>(F13+F14+(F11+F12)*F27/100)*8.76*$D$30/100*$D$6</f>
        <v/>
      </c>
      <c r="G30" s="165">
        <f>(G13+G14+(G11+G12)*G27/100)*8.76*$D$30/100*$D$6</f>
        <v/>
      </c>
      <c r="H30" s="165">
        <f>(H13+H14+(H11+H12)*H27/100)*8.76*$D$30/100*$D$6</f>
        <v/>
      </c>
      <c r="I30" s="165">
        <f>(I13+I14+(I11+I12)*I27/100)*8.76*$D$30/100*$D$6</f>
        <v/>
      </c>
      <c r="J30" s="165">
        <f>(J13+J14+(J11+J12)*J27/100)*8.76*$D$30/100*$D$6</f>
        <v/>
      </c>
      <c r="K30" s="165">
        <f>(K13+K14+(K11+K12)*K27/100)*8.76*$D$30/100*$D$6</f>
        <v/>
      </c>
      <c r="L30" s="165">
        <f>(L13+L14+(L11+L12)*L27/100)*8.76*$D$30/100*$D$6</f>
        <v/>
      </c>
      <c r="M30" s="165">
        <f>(M13+M14+(M11+M12)*M27/100)*8.76*$D$30/100*$D$6</f>
        <v/>
      </c>
      <c r="N30" s="165">
        <f>(N13+N14+(N11+N12)*N27/100)*8.76*$D$30/100*$D$6</f>
        <v/>
      </c>
      <c r="O30" s="165">
        <f>(O13+O14+(O11+O12)*O27/100)*8.76*$D$30/100*$D$6</f>
        <v/>
      </c>
      <c r="P30" s="165">
        <f>(P13+P14+(P11+P12)*P27/100)*8.76*$D$30/100*$D$6</f>
        <v/>
      </c>
      <c r="Q30" s="165">
        <f>(Q13+Q14+(Q11+Q12)*Q27/100)*8.76*$D$30/100*$D$6</f>
        <v/>
      </c>
      <c r="R30" s="165">
        <f>(R13+R14+(R11+R12)*R27/100)*8.76*$D$30/100*$D$6</f>
        <v/>
      </c>
      <c r="S30" s="165">
        <f>(S13+S14+(S11+S12)*S27/100)*8.76*$D$30/100*$D$6</f>
        <v/>
      </c>
      <c r="T30" s="162" t="inlineStr">
        <is>
          <t>Estimate</t>
        </is>
      </c>
      <c r="U30" s="162" t="inlineStr">
        <is>
          <t>Eskom generation; Eskom fact sheet GX 0001</t>
        </is>
      </c>
      <c r="V30" s="162" t="inlineStr"/>
    </row>
    <row r="31">
      <c r="A31" s="156" t="inlineStr">
        <is>
          <t>Ceiling: all four stations on diesel all year</t>
        </is>
      </c>
      <c r="B31" s="157" t="inlineStr">
        <is>
          <t>million L/year</t>
        </is>
      </c>
      <c r="C31" s="157" t="inlineStr">
        <is>
          <t>Reporting formula</t>
        </is>
      </c>
      <c r="D31" s="158" t="n"/>
      <c r="E31" s="156" t="inlineStr">
        <is>
          <t>Total capacity times 8,760 hours times litres per kWh. A physical limit, not a forecast.</t>
        </is>
      </c>
      <c r="F31" s="158">
        <f>F15*8.76*$D$6</f>
        <v/>
      </c>
      <c r="G31" s="158">
        <f>G15*8.76*$D$6</f>
        <v/>
      </c>
      <c r="H31" s="158">
        <f>H15*8.76*$D$6</f>
        <v/>
      </c>
      <c r="I31" s="158">
        <f>I15*8.76*$D$6</f>
        <v/>
      </c>
      <c r="J31" s="158">
        <f>J15*8.76*$D$6</f>
        <v/>
      </c>
      <c r="K31" s="158">
        <f>K15*8.76*$D$6</f>
        <v/>
      </c>
      <c r="L31" s="158">
        <f>L15*8.76*$D$6</f>
        <v/>
      </c>
      <c r="M31" s="158">
        <f>M15*8.76*$D$6</f>
        <v/>
      </c>
      <c r="N31" s="158">
        <f>N15*8.76*$D$6</f>
        <v/>
      </c>
      <c r="O31" s="158">
        <f>O15*8.76*$D$6</f>
        <v/>
      </c>
      <c r="P31" s="158">
        <f>P15*8.76*$D$6</f>
        <v/>
      </c>
      <c r="Q31" s="158">
        <f>Q15*8.76*$D$6</f>
        <v/>
      </c>
      <c r="R31" s="158">
        <f>R15*8.76*$D$6</f>
        <v/>
      </c>
      <c r="S31" s="158">
        <f>S15*8.76*$D$6</f>
        <v/>
      </c>
      <c r="T31" s="156" t="inlineStr"/>
      <c r="U31" s="156" t="inlineStr"/>
      <c r="V31" s="156" t="inlineStr"/>
    </row>
    <row r="33">
      <c r="A33" s="151" t="inlineStr">
        <is>
          <t>4. Coal stations being retired: capacity still operating</t>
        </is>
      </c>
      <c r="B33" s="151" t="n"/>
      <c r="C33" s="151" t="n"/>
      <c r="D33" s="151" t="n"/>
      <c r="E33" s="151" t="n"/>
      <c r="F33" s="151" t="n"/>
      <c r="G33" s="151" t="n"/>
      <c r="H33" s="151" t="n"/>
      <c r="I33" s="151" t="n"/>
      <c r="J33" s="151" t="n"/>
      <c r="K33" s="151" t="n"/>
      <c r="L33" s="151" t="n"/>
      <c r="M33" s="151" t="n"/>
      <c r="N33" s="151" t="n"/>
      <c r="O33" s="151" t="n"/>
      <c r="P33" s="151" t="n"/>
      <c r="Q33" s="151" t="n"/>
      <c r="R33" s="151" t="n"/>
      <c r="S33" s="151" t="n"/>
      <c r="T33" s="151" t="n"/>
      <c r="U33" s="151" t="n"/>
      <c r="V33" s="151" t="n"/>
    </row>
    <row r="34">
      <c r="A34" s="152" t="inlineStr">
        <is>
          <t>Komati</t>
        </is>
      </c>
      <c r="B34" s="153" t="inlineStr">
        <is>
          <t>MW</t>
        </is>
      </c>
      <c r="C34" s="153" t="inlineStr">
        <is>
          <t>Source observation</t>
        </is>
      </c>
      <c r="D34" s="166" t="n"/>
      <c r="E34" s="152" t="inlineStr">
        <is>
          <t>Shut down from midday on 31 October 2022. To be converted to 150 MW of solar 70 MW of wind and 150 MW of batteries; no gas plant.</t>
        </is>
      </c>
      <c r="F34" s="166" t="n">
        <v>990</v>
      </c>
      <c r="G34" s="166" t="n">
        <v>0</v>
      </c>
      <c r="H34" s="166" t="n">
        <v>0</v>
      </c>
      <c r="I34" s="166" t="n">
        <v>0</v>
      </c>
      <c r="J34" s="166" t="n">
        <v>0</v>
      </c>
      <c r="K34" s="166" t="n">
        <v>0</v>
      </c>
      <c r="L34" s="166" t="n">
        <v>0</v>
      </c>
      <c r="M34" s="166" t="n">
        <v>0</v>
      </c>
      <c r="N34" s="166" t="n">
        <v>0</v>
      </c>
      <c r="O34" s="166" t="n">
        <v>0</v>
      </c>
      <c r="P34" s="166" t="n">
        <v>0</v>
      </c>
      <c r="Q34" s="166" t="n">
        <v>0</v>
      </c>
      <c r="R34" s="166" t="n">
        <v>0</v>
      </c>
      <c r="S34" s="166" t="n">
        <v>0</v>
      </c>
      <c r="T34" s="152" t="inlineStr">
        <is>
          <t>Capacity shown to the last full year of operation</t>
        </is>
      </c>
      <c r="U34" s="152" t="inlineStr">
        <is>
          <t>Capacity: Eskom fact sheet GX 0001 Rev 29. Shutdown: Eskom statement of 31 October 2022 (eskom.co.za)</t>
        </is>
      </c>
      <c r="V34" s="152" t="inlineStr"/>
    </row>
    <row r="35">
      <c r="A35" s="152" t="inlineStr">
        <is>
          <t>Camden</t>
        </is>
      </c>
      <c r="B35" s="153" t="inlineStr">
        <is>
          <t>MW</t>
        </is>
      </c>
      <c r="C35" s="153" t="inlineStr">
        <is>
          <t>Source observation</t>
        </is>
      </c>
      <c r="D35" s="166" t="n"/>
      <c r="E35" s="152" t="inlineStr">
        <is>
          <t>Exemption to operate until 31 March 2030. Eskom was to decide by end September 2026 between shutdown repowering and repurposing; outcome not found.</t>
        </is>
      </c>
      <c r="F35" s="166" t="n">
        <v>1561</v>
      </c>
      <c r="G35" s="166" t="n">
        <v>1561</v>
      </c>
      <c r="H35" s="166" t="n">
        <v>1561</v>
      </c>
      <c r="I35" s="166" t="n">
        <v>1561</v>
      </c>
      <c r="J35" s="166" t="n">
        <v>1561</v>
      </c>
      <c r="K35" s="166" t="n">
        <v>1561</v>
      </c>
      <c r="L35" s="166" t="n">
        <v>1561</v>
      </c>
      <c r="M35" s="166" t="n">
        <v>1561</v>
      </c>
      <c r="N35" s="166" t="n">
        <v>0</v>
      </c>
      <c r="O35" s="166" t="n">
        <v>0</v>
      </c>
      <c r="P35" s="166" t="n">
        <v>0</v>
      </c>
      <c r="Q35" s="166" t="n">
        <v>0</v>
      </c>
      <c r="R35" s="166" t="n">
        <v>0</v>
      </c>
      <c r="S35" s="166" t="n">
        <v>0</v>
      </c>
      <c r="T35" s="152" t="inlineStr">
        <is>
          <t>Capacity shown to the last full year of operation</t>
        </is>
      </c>
      <c r="U35" s="152" t="inlineStr">
        <is>
          <t>Capacity: Eskom fact sheet GX 0001 Rev 29. Dates: TechCentral 22 April 2026</t>
        </is>
      </c>
      <c r="V35" s="152" t="inlineStr"/>
    </row>
    <row r="36">
      <c r="A36" s="152" t="inlineStr">
        <is>
          <t>Grootvlei</t>
        </is>
      </c>
      <c r="B36" s="153" t="inlineStr">
        <is>
          <t>MW</t>
        </is>
      </c>
      <c r="C36" s="153" t="inlineStr">
        <is>
          <t>Source observation</t>
        </is>
      </c>
      <c r="D36" s="166" t="n"/>
      <c r="E36" s="152" t="inlineStr">
        <is>
          <t>Exemption to operate until 31 March 2030. Decision due end September 2026; outcome not found.</t>
        </is>
      </c>
      <c r="F36" s="166" t="n">
        <v>1180</v>
      </c>
      <c r="G36" s="166" t="n">
        <v>1180</v>
      </c>
      <c r="H36" s="166" t="n">
        <v>1180</v>
      </c>
      <c r="I36" s="166" t="n">
        <v>1180</v>
      </c>
      <c r="J36" s="166" t="n">
        <v>1180</v>
      </c>
      <c r="K36" s="166" t="n">
        <v>1180</v>
      </c>
      <c r="L36" s="166" t="n">
        <v>1180</v>
      </c>
      <c r="M36" s="166" t="n">
        <v>1180</v>
      </c>
      <c r="N36" s="166" t="n">
        <v>0</v>
      </c>
      <c r="O36" s="166" t="n">
        <v>0</v>
      </c>
      <c r="P36" s="166" t="n">
        <v>0</v>
      </c>
      <c r="Q36" s="166" t="n">
        <v>0</v>
      </c>
      <c r="R36" s="166" t="n">
        <v>0</v>
      </c>
      <c r="S36" s="166" t="n">
        <v>0</v>
      </c>
      <c r="T36" s="152" t="inlineStr">
        <is>
          <t>Capacity shown to the last full year of operation</t>
        </is>
      </c>
      <c r="U36" s="152" t="inlineStr">
        <is>
          <t>Capacity: Eskom fact sheet GX 0001 Rev 29. Dates: TechCentral 22 April 2026</t>
        </is>
      </c>
      <c r="V36" s="152" t="inlineStr"/>
    </row>
    <row r="37">
      <c r="A37" s="152" t="inlineStr">
        <is>
          <t>Hendrina</t>
        </is>
      </c>
      <c r="B37" s="153" t="inlineStr">
        <is>
          <t>MW</t>
        </is>
      </c>
      <c r="C37" s="153" t="inlineStr">
        <is>
          <t>Source observation</t>
        </is>
      </c>
      <c r="D37" s="166" t="n"/>
      <c r="E37" s="152" t="inlineStr">
        <is>
          <t>Exemption to operate until 31 March 2030. Decision due end September 2026; outcome not found.</t>
        </is>
      </c>
      <c r="F37" s="166" t="n">
        <v>1723</v>
      </c>
      <c r="G37" s="166" t="n">
        <v>1723</v>
      </c>
      <c r="H37" s="166" t="n">
        <v>1723</v>
      </c>
      <c r="I37" s="166" t="n">
        <v>1723</v>
      </c>
      <c r="J37" s="166" t="n">
        <v>1723</v>
      </c>
      <c r="K37" s="166" t="n">
        <v>1723</v>
      </c>
      <c r="L37" s="166" t="n">
        <v>1723</v>
      </c>
      <c r="M37" s="166" t="n">
        <v>1723</v>
      </c>
      <c r="N37" s="166" t="n">
        <v>0</v>
      </c>
      <c r="O37" s="166" t="n">
        <v>0</v>
      </c>
      <c r="P37" s="166" t="n">
        <v>0</v>
      </c>
      <c r="Q37" s="166" t="n">
        <v>0</v>
      </c>
      <c r="R37" s="166" t="n">
        <v>0</v>
      </c>
      <c r="S37" s="166" t="n">
        <v>0</v>
      </c>
      <c r="T37" s="152" t="inlineStr">
        <is>
          <t>Capacity shown to the last full year of operation</t>
        </is>
      </c>
      <c r="U37" s="152" t="inlineStr">
        <is>
          <t>Capacity: Eskom fact sheet GX 0001 Rev 29. Dates: TechCentral 22 April 2026</t>
        </is>
      </c>
      <c r="V37" s="152" t="inlineStr"/>
    </row>
    <row r="38">
      <c r="A38" s="152" t="inlineStr">
        <is>
          <t>Arnot</t>
        </is>
      </c>
      <c r="B38" s="153" t="inlineStr">
        <is>
          <t>MW</t>
        </is>
      </c>
      <c r="C38" s="153" t="inlineStr">
        <is>
          <t>Source observation</t>
        </is>
      </c>
      <c r="D38" s="166" t="n"/>
      <c r="E38" s="152" t="inlineStr">
        <is>
          <t>Exemption to operate until 31 March 2030. Decision due end September 2026; outcome not found.</t>
        </is>
      </c>
      <c r="F38" s="166" t="n">
        <v>2220</v>
      </c>
      <c r="G38" s="166" t="n">
        <v>2220</v>
      </c>
      <c r="H38" s="166" t="n">
        <v>2220</v>
      </c>
      <c r="I38" s="166" t="n">
        <v>2220</v>
      </c>
      <c r="J38" s="166" t="n">
        <v>2220</v>
      </c>
      <c r="K38" s="166" t="n">
        <v>2220</v>
      </c>
      <c r="L38" s="166" t="n">
        <v>2220</v>
      </c>
      <c r="M38" s="166" t="n">
        <v>2220</v>
      </c>
      <c r="N38" s="166" t="n">
        <v>0</v>
      </c>
      <c r="O38" s="166" t="n">
        <v>0</v>
      </c>
      <c r="P38" s="166" t="n">
        <v>0</v>
      </c>
      <c r="Q38" s="166" t="n">
        <v>0</v>
      </c>
      <c r="R38" s="166" t="n">
        <v>0</v>
      </c>
      <c r="S38" s="166" t="n">
        <v>0</v>
      </c>
      <c r="T38" s="152" t="inlineStr">
        <is>
          <t>Capacity shown to the last full year of operation</t>
        </is>
      </c>
      <c r="U38" s="152" t="inlineStr">
        <is>
          <t>Capacity: Eskom fact sheet GX 0001 Rev 29. Dates: TechCentral 22 April 2026</t>
        </is>
      </c>
      <c r="V38" s="152" t="inlineStr"/>
    </row>
    <row r="39">
      <c r="A39" s="152" t="inlineStr">
        <is>
          <t>Kriel</t>
        </is>
      </c>
      <c r="B39" s="153" t="inlineStr">
        <is>
          <t>MW</t>
        </is>
      </c>
      <c r="C39" s="153" t="inlineStr">
        <is>
          <t>Source observation</t>
        </is>
      </c>
      <c r="D39" s="166" t="n"/>
      <c r="E39" s="152" t="inlineStr">
        <is>
          <t>Exemption to operate until 31 March 2030. Decision due end September 2026; outcome not found.</t>
        </is>
      </c>
      <c r="F39" s="166" t="n">
        <v>2790</v>
      </c>
      <c r="G39" s="166" t="n">
        <v>2790</v>
      </c>
      <c r="H39" s="166" t="n">
        <v>2790</v>
      </c>
      <c r="I39" s="166" t="n">
        <v>2790</v>
      </c>
      <c r="J39" s="166" t="n">
        <v>2790</v>
      </c>
      <c r="K39" s="166" t="n">
        <v>2790</v>
      </c>
      <c r="L39" s="166" t="n">
        <v>2790</v>
      </c>
      <c r="M39" s="166" t="n">
        <v>2790</v>
      </c>
      <c r="N39" s="166" t="n">
        <v>0</v>
      </c>
      <c r="O39" s="166" t="n">
        <v>0</v>
      </c>
      <c r="P39" s="166" t="n">
        <v>0</v>
      </c>
      <c r="Q39" s="166" t="n">
        <v>0</v>
      </c>
      <c r="R39" s="166" t="n">
        <v>0</v>
      </c>
      <c r="S39" s="166" t="n">
        <v>0</v>
      </c>
      <c r="T39" s="152" t="inlineStr">
        <is>
          <t>Capacity shown to the last full year of operation</t>
        </is>
      </c>
      <c r="U39" s="152" t="inlineStr">
        <is>
          <t>Capacity: Eskom fact sheet GX 0001 Rev 29. Dates: TechCentral 22 April 2026</t>
        </is>
      </c>
      <c r="V39" s="152" t="inlineStr"/>
    </row>
    <row r="40">
      <c r="A40" s="152" t="inlineStr">
        <is>
          <t>Duvha</t>
        </is>
      </c>
      <c r="B40" s="153" t="inlineStr">
        <is>
          <t>MW</t>
        </is>
      </c>
      <c r="C40" s="153" t="inlineStr">
        <is>
          <t>Source observation</t>
        </is>
      </c>
      <c r="D40" s="166" t="n"/>
      <c r="E40" s="152" t="inlineStr">
        <is>
          <t>Planned shutdown on 21 February 2034; emissions exemption granted to that date.</t>
        </is>
      </c>
      <c r="F40" s="166" t="n">
        <v>3000</v>
      </c>
      <c r="G40" s="166" t="n">
        <v>3000</v>
      </c>
      <c r="H40" s="166" t="n">
        <v>3000</v>
      </c>
      <c r="I40" s="166" t="n">
        <v>3000</v>
      </c>
      <c r="J40" s="166" t="n">
        <v>3000</v>
      </c>
      <c r="K40" s="166" t="n">
        <v>3000</v>
      </c>
      <c r="L40" s="166" t="n">
        <v>3000</v>
      </c>
      <c r="M40" s="166" t="n">
        <v>3000</v>
      </c>
      <c r="N40" s="166" t="n">
        <v>3000</v>
      </c>
      <c r="O40" s="166" t="n">
        <v>3000</v>
      </c>
      <c r="P40" s="166" t="n">
        <v>3000</v>
      </c>
      <c r="Q40" s="166" t="n">
        <v>3000</v>
      </c>
      <c r="R40" s="166" t="n">
        <v>0</v>
      </c>
      <c r="S40" s="166" t="n">
        <v>0</v>
      </c>
      <c r="T40" s="152" t="inlineStr">
        <is>
          <t>Capacity shown to the last full year of operation</t>
        </is>
      </c>
      <c r="U40" s="152" t="inlineStr">
        <is>
          <t>Capacity: Eskom fact sheet GX 0001 Rev 29. Date: Mail &amp; Guardian 31 March 2025 reporting the environment minister's decision</t>
        </is>
      </c>
      <c r="V40" s="152" t="inlineStr"/>
    </row>
    <row r="41">
      <c r="A41" s="152" t="inlineStr">
        <is>
          <t>Matla</t>
        </is>
      </c>
      <c r="B41" s="153" t="inlineStr">
        <is>
          <t>MW</t>
        </is>
      </c>
      <c r="C41" s="153" t="inlineStr">
        <is>
          <t>Source observation</t>
        </is>
      </c>
      <c r="D41" s="166" t="n"/>
      <c r="E41" s="152" t="inlineStr">
        <is>
          <t>Planned shutdown on 20 July 2034; emissions exemption granted to that date.</t>
        </is>
      </c>
      <c r="F41" s="166" t="n">
        <v>3600</v>
      </c>
      <c r="G41" s="166" t="n">
        <v>3600</v>
      </c>
      <c r="H41" s="166" t="n">
        <v>3600</v>
      </c>
      <c r="I41" s="166" t="n">
        <v>3600</v>
      </c>
      <c r="J41" s="166" t="n">
        <v>3600</v>
      </c>
      <c r="K41" s="166" t="n">
        <v>3600</v>
      </c>
      <c r="L41" s="166" t="n">
        <v>3600</v>
      </c>
      <c r="M41" s="166" t="n">
        <v>3600</v>
      </c>
      <c r="N41" s="166" t="n">
        <v>3600</v>
      </c>
      <c r="O41" s="166" t="n">
        <v>3600</v>
      </c>
      <c r="P41" s="166" t="n">
        <v>3600</v>
      </c>
      <c r="Q41" s="166" t="n">
        <v>3600</v>
      </c>
      <c r="R41" s="166" t="n">
        <v>0</v>
      </c>
      <c r="S41" s="166" t="n">
        <v>0</v>
      </c>
      <c r="T41" s="152" t="inlineStr">
        <is>
          <t>Capacity shown to the last full year of operation</t>
        </is>
      </c>
      <c r="U41" s="152" t="inlineStr">
        <is>
          <t>Capacity: Eskom fact sheet GX 0001 Rev 29. Date: Mail &amp; Guardian 31 March 2025 reporting the environment minister's decision</t>
        </is>
      </c>
      <c r="V41" s="152" t="inlineStr"/>
    </row>
    <row r="42">
      <c r="A42" s="156" t="inlineStr">
        <is>
          <t>Coal capacity operating, these eight stations</t>
        </is>
      </c>
      <c r="B42" s="157" t="inlineStr">
        <is>
          <t>MW</t>
        </is>
      </c>
      <c r="C42" s="157" t="inlineStr">
        <is>
          <t>Reporting formula</t>
        </is>
      </c>
      <c r="D42" s="167" t="n"/>
      <c r="E42" s="156" t="inlineStr">
        <is>
          <t>Sum of the rows above.</t>
        </is>
      </c>
      <c r="F42" s="167">
        <f>SUM(F34:F41)</f>
        <v/>
      </c>
      <c r="G42" s="167">
        <f>SUM(G34:G41)</f>
        <v/>
      </c>
      <c r="H42" s="167">
        <f>SUM(H34:H41)</f>
        <v/>
      </c>
      <c r="I42" s="167">
        <f>SUM(I34:I41)</f>
        <v/>
      </c>
      <c r="J42" s="167">
        <f>SUM(J34:J41)</f>
        <v/>
      </c>
      <c r="K42" s="167">
        <f>SUM(K34:K41)</f>
        <v/>
      </c>
      <c r="L42" s="167">
        <f>SUM(L34:L41)</f>
        <v/>
      </c>
      <c r="M42" s="167">
        <f>SUM(M34:M41)</f>
        <v/>
      </c>
      <c r="N42" s="167">
        <f>SUM(N34:N41)</f>
        <v/>
      </c>
      <c r="O42" s="167">
        <f>SUM(O34:O41)</f>
        <v/>
      </c>
      <c r="P42" s="167">
        <f>SUM(P34:P41)</f>
        <v/>
      </c>
      <c r="Q42" s="167">
        <f>SUM(Q34:Q41)</f>
        <v/>
      </c>
      <c r="R42" s="167">
        <f>SUM(R34:R41)</f>
        <v/>
      </c>
      <c r="S42" s="167">
        <f>SUM(S34:S41)</f>
        <v/>
      </c>
      <c r="T42" s="156" t="inlineStr"/>
      <c r="U42" s="156" t="inlineStr"/>
      <c r="V42" s="156" t="inlineStr"/>
    </row>
    <row r="43">
      <c r="A43" s="156" t="inlineStr">
        <is>
          <t>Coal capacity retired since 2022</t>
        </is>
      </c>
      <c r="B43" s="157" t="inlineStr">
        <is>
          <t>MW</t>
        </is>
      </c>
      <c r="C43" s="157" t="inlineStr">
        <is>
          <t>Reporting formula</t>
        </is>
      </c>
      <c r="D43" s="167" t="n"/>
      <c r="E43" s="156" t="inlineStr">
        <is>
          <t>2022 total less this year's.</t>
        </is>
      </c>
      <c r="F43" s="167">
        <f>F42-F42</f>
        <v/>
      </c>
      <c r="G43" s="167">
        <f>F42-G42</f>
        <v/>
      </c>
      <c r="H43" s="167">
        <f>F42-H42</f>
        <v/>
      </c>
      <c r="I43" s="167">
        <f>F42-I42</f>
        <v/>
      </c>
      <c r="J43" s="167">
        <f>F42-J42</f>
        <v/>
      </c>
      <c r="K43" s="167">
        <f>F42-K42</f>
        <v/>
      </c>
      <c r="L43" s="167">
        <f>F42-L42</f>
        <v/>
      </c>
      <c r="M43" s="167">
        <f>F42-M42</f>
        <v/>
      </c>
      <c r="N43" s="167">
        <f>F42-N42</f>
        <v/>
      </c>
      <c r="O43" s="167">
        <f>F42-O42</f>
        <v/>
      </c>
      <c r="P43" s="167">
        <f>F42-P42</f>
        <v/>
      </c>
      <c r="Q43" s="167">
        <f>F42-Q42</f>
        <v/>
      </c>
      <c r="R43" s="167">
        <f>F42-R42</f>
        <v/>
      </c>
      <c r="S43" s="167">
        <f>F42-S42</f>
        <v/>
      </c>
      <c r="T43" s="156" t="inlineStr"/>
      <c r="U43" s="156" t="inlineStr"/>
      <c r="V43" s="156" t="inlineStr">
        <is>
          <t>Eskom was to decide by end September 2026 between shutdown, repowering and repurposing; outcome not found</t>
        </is>
      </c>
    </row>
    <row r="45">
      <c r="A45" s="151" t="inlineStr">
        <is>
          <t>5. If retired sites are repowered with gas turbines that can burn diesel (scenario)</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62" t="inlineStr">
        <is>
          <t>Gas capacity at repowered sites, low</t>
        </is>
      </c>
      <c r="B46" s="163" t="inlineStr">
        <is>
          <t>MW</t>
        </is>
      </c>
      <c r="C46" s="163" t="inlineStr">
        <is>
          <t>Scenario</t>
        </is>
      </c>
      <c r="D46" s="175" t="n"/>
      <c r="E46" s="162" t="inlineStr">
        <is>
          <t>From 2030: none of the retired sites gets a gas plant. Which sites, if any, is not decided.</t>
        </is>
      </c>
      <c r="F46" s="175" t="n">
        <v>0</v>
      </c>
      <c r="G46" s="175" t="n">
        <v>0</v>
      </c>
      <c r="H46" s="175" t="n">
        <v>0</v>
      </c>
      <c r="I46" s="175" t="n">
        <v>0</v>
      </c>
      <c r="J46" s="175" t="n">
        <v>0</v>
      </c>
      <c r="K46" s="175" t="n">
        <v>0</v>
      </c>
      <c r="L46" s="175" t="n">
        <v>0</v>
      </c>
      <c r="M46" s="175" t="n">
        <v>0</v>
      </c>
      <c r="N46" s="175" t="n">
        <v>0</v>
      </c>
      <c r="O46" s="175" t="n">
        <v>0</v>
      </c>
      <c r="P46" s="175" t="n">
        <v>0</v>
      </c>
      <c r="Q46" s="175" t="n">
        <v>0</v>
      </c>
      <c r="R46" s="175" t="n">
        <v>0</v>
      </c>
      <c r="S46" s="175" t="n">
        <v>0</v>
      </c>
      <c r="T46" s="162" t="inlineStr">
        <is>
          <t>Scenario, not a plan</t>
        </is>
      </c>
      <c r="U46" s="162" t="inlineStr">
        <is>
          <t>IRP 2025 gas requirement, as reported by TechCentral, 22 April 2026</t>
        </is>
      </c>
      <c r="V46" s="162" t="inlineStr"/>
    </row>
    <row r="47">
      <c r="A47" s="162" t="inlineStr">
        <is>
          <t>Gas capacity at repowered sites, medium</t>
        </is>
      </c>
      <c r="B47" s="163" t="inlineStr">
        <is>
          <t>MW</t>
        </is>
      </c>
      <c r="C47" s="163" t="inlineStr">
        <is>
          <t>Scenario</t>
        </is>
      </c>
      <c r="D47" s="175" t="n"/>
      <c r="E47" s="162" t="inlineStr">
        <is>
          <t>From 2030: half of the IRP 2025 gas requirement is built at these sites. Which sites, if any, is not decided.</t>
        </is>
      </c>
      <c r="F47" s="175" t="n">
        <v>0</v>
      </c>
      <c r="G47" s="175" t="n">
        <v>0</v>
      </c>
      <c r="H47" s="175" t="n">
        <v>0</v>
      </c>
      <c r="I47" s="175" t="n">
        <v>0</v>
      </c>
      <c r="J47" s="175" t="n">
        <v>0</v>
      </c>
      <c r="K47" s="175" t="n">
        <v>0</v>
      </c>
      <c r="L47" s="175" t="n">
        <v>0</v>
      </c>
      <c r="M47" s="175" t="n">
        <v>0</v>
      </c>
      <c r="N47" s="175" t="n">
        <v>3000</v>
      </c>
      <c r="O47" s="175" t="n">
        <v>3000</v>
      </c>
      <c r="P47" s="175" t="n">
        <v>3000</v>
      </c>
      <c r="Q47" s="175" t="n">
        <v>3000</v>
      </c>
      <c r="R47" s="175" t="n">
        <v>3000</v>
      </c>
      <c r="S47" s="175" t="n">
        <v>3000</v>
      </c>
      <c r="T47" s="162" t="inlineStr">
        <is>
          <t>Scenario, not a plan</t>
        </is>
      </c>
      <c r="U47" s="162" t="inlineStr">
        <is>
          <t>IRP 2025 gas requirement, as reported by TechCentral, 22 April 2026</t>
        </is>
      </c>
      <c r="V47" s="162" t="inlineStr"/>
    </row>
    <row r="48">
      <c r="A48" s="162" t="inlineStr">
        <is>
          <t>Gas capacity at repowered sites, high</t>
        </is>
      </c>
      <c r="B48" s="163" t="inlineStr">
        <is>
          <t>MW</t>
        </is>
      </c>
      <c r="C48" s="163" t="inlineStr">
        <is>
          <t>Scenario</t>
        </is>
      </c>
      <c r="D48" s="175" t="n"/>
      <c r="E48" s="162" t="inlineStr">
        <is>
          <t>From 2030: all 6 GW of the IRP 2025 gas requirement is built at these sites. Which sites, if any, is not decided.</t>
        </is>
      </c>
      <c r="F48" s="175" t="n">
        <v>0</v>
      </c>
      <c r="G48" s="175" t="n">
        <v>0</v>
      </c>
      <c r="H48" s="175" t="n">
        <v>0</v>
      </c>
      <c r="I48" s="175" t="n">
        <v>0</v>
      </c>
      <c r="J48" s="175" t="n">
        <v>0</v>
      </c>
      <c r="K48" s="175" t="n">
        <v>0</v>
      </c>
      <c r="L48" s="175" t="n">
        <v>0</v>
      </c>
      <c r="M48" s="175" t="n">
        <v>0</v>
      </c>
      <c r="N48" s="175" t="n">
        <v>6000</v>
      </c>
      <c r="O48" s="175" t="n">
        <v>6000</v>
      </c>
      <c r="P48" s="175" t="n">
        <v>6000</v>
      </c>
      <c r="Q48" s="175" t="n">
        <v>6000</v>
      </c>
      <c r="R48" s="175" t="n">
        <v>6000</v>
      </c>
      <c r="S48" s="175" t="n">
        <v>6000</v>
      </c>
      <c r="T48" s="162" t="inlineStr">
        <is>
          <t>Scenario, not a plan</t>
        </is>
      </c>
      <c r="U48" s="162" t="inlineStr">
        <is>
          <t>IRP 2025 gas requirement, as reported by TechCentral, 22 April 2026</t>
        </is>
      </c>
      <c r="V48" s="162" t="inlineStr"/>
    </row>
    <row r="49">
      <c r="A49" s="162" t="inlineStr">
        <is>
          <t>Diesel as backup fuel at repowered sites, low</t>
        </is>
      </c>
      <c r="B49" s="163" t="inlineStr">
        <is>
          <t>million L/year</t>
        </is>
      </c>
      <c r="C49" s="163" t="inlineStr">
        <is>
          <t>Scenario</t>
        </is>
      </c>
      <c r="D49" s="165" t="n"/>
      <c r="E49" s="162" t="inlineStr">
        <is>
          <t>Gas capacity times load factor times the share of output on diesel times litres per kWh.</t>
        </is>
      </c>
      <c r="F49" s="165">
        <f>F46*8.76*$D$8/100*$D$7/100*$D$6</f>
        <v/>
      </c>
      <c r="G49" s="165">
        <f>G46*8.76*$D$8/100*$D$7/100*$D$6</f>
        <v/>
      </c>
      <c r="H49" s="165">
        <f>H46*8.76*$D$8/100*$D$7/100*$D$6</f>
        <v/>
      </c>
      <c r="I49" s="165">
        <f>I46*8.76*$D$8/100*$D$7/100*$D$6</f>
        <v/>
      </c>
      <c r="J49" s="165">
        <f>J46*8.76*$D$8/100*$D$7/100*$D$6</f>
        <v/>
      </c>
      <c r="K49" s="165">
        <f>K46*8.76*$D$8/100*$D$7/100*$D$6</f>
        <v/>
      </c>
      <c r="L49" s="165">
        <f>L46*8.76*$D$8/100*$D$7/100*$D$6</f>
        <v/>
      </c>
      <c r="M49" s="165">
        <f>M46*8.76*$D$8/100*$D$7/100*$D$6</f>
        <v/>
      </c>
      <c r="N49" s="165">
        <f>N46*8.76*$D$8/100*$D$7/100*$D$6</f>
        <v/>
      </c>
      <c r="O49" s="165">
        <f>O46*8.76*$D$8/100*$D$7/100*$D$6</f>
        <v/>
      </c>
      <c r="P49" s="165">
        <f>P46*8.76*$D$8/100*$D$7/100*$D$6</f>
        <v/>
      </c>
      <c r="Q49" s="165">
        <f>Q46*8.76*$D$8/100*$D$7/100*$D$6</f>
        <v/>
      </c>
      <c r="R49" s="165">
        <f>R46*8.76*$D$8/100*$D$7/100*$D$6</f>
        <v/>
      </c>
      <c r="S49" s="165">
        <f>S46*8.76*$D$8/100*$D$7/100*$D$6</f>
        <v/>
      </c>
      <c r="T49" s="162" t="inlineStr">
        <is>
          <t>Scenario</t>
        </is>
      </c>
      <c r="U49" s="162" t="inlineStr"/>
      <c r="V49" s="162" t="inlineStr"/>
    </row>
    <row r="50">
      <c r="A50" s="162" t="inlineStr">
        <is>
          <t>Diesel as backup fuel at repowered sites, medium</t>
        </is>
      </c>
      <c r="B50" s="163" t="inlineStr">
        <is>
          <t>million L/year</t>
        </is>
      </c>
      <c r="C50" s="163" t="inlineStr">
        <is>
          <t>Scenario</t>
        </is>
      </c>
      <c r="D50" s="165" t="n"/>
      <c r="E50" s="162" t="inlineStr">
        <is>
          <t>Gas capacity times load factor times the share of output on diesel times litres per kWh.</t>
        </is>
      </c>
      <c r="F50" s="165">
        <f>F47*8.76*$D$8/100*$D$7/100*$D$6</f>
        <v/>
      </c>
      <c r="G50" s="165">
        <f>G47*8.76*$D$8/100*$D$7/100*$D$6</f>
        <v/>
      </c>
      <c r="H50" s="165">
        <f>H47*8.76*$D$8/100*$D$7/100*$D$6</f>
        <v/>
      </c>
      <c r="I50" s="165">
        <f>I47*8.76*$D$8/100*$D$7/100*$D$6</f>
        <v/>
      </c>
      <c r="J50" s="165">
        <f>J47*8.76*$D$8/100*$D$7/100*$D$6</f>
        <v/>
      </c>
      <c r="K50" s="165">
        <f>K47*8.76*$D$8/100*$D$7/100*$D$6</f>
        <v/>
      </c>
      <c r="L50" s="165">
        <f>L47*8.76*$D$8/100*$D$7/100*$D$6</f>
        <v/>
      </c>
      <c r="M50" s="165">
        <f>M47*8.76*$D$8/100*$D$7/100*$D$6</f>
        <v/>
      </c>
      <c r="N50" s="165">
        <f>N47*8.76*$D$8/100*$D$7/100*$D$6</f>
        <v/>
      </c>
      <c r="O50" s="165">
        <f>O47*8.76*$D$8/100*$D$7/100*$D$6</f>
        <v/>
      </c>
      <c r="P50" s="165">
        <f>P47*8.76*$D$8/100*$D$7/100*$D$6</f>
        <v/>
      </c>
      <c r="Q50" s="165">
        <f>Q47*8.76*$D$8/100*$D$7/100*$D$6</f>
        <v/>
      </c>
      <c r="R50" s="165">
        <f>R47*8.76*$D$8/100*$D$7/100*$D$6</f>
        <v/>
      </c>
      <c r="S50" s="165">
        <f>S47*8.76*$D$8/100*$D$7/100*$D$6</f>
        <v/>
      </c>
      <c r="T50" s="162" t="inlineStr">
        <is>
          <t>Scenario</t>
        </is>
      </c>
      <c r="U50" s="162" t="inlineStr"/>
      <c r="V50" s="162" t="inlineStr"/>
    </row>
    <row r="51">
      <c r="A51" s="162" t="inlineStr">
        <is>
          <t>Diesel as backup fuel at repowered sites, high</t>
        </is>
      </c>
      <c r="B51" s="163" t="inlineStr">
        <is>
          <t>million L/year</t>
        </is>
      </c>
      <c r="C51" s="163" t="inlineStr">
        <is>
          <t>Scenario</t>
        </is>
      </c>
      <c r="D51" s="165" t="n"/>
      <c r="E51" s="162" t="inlineStr">
        <is>
          <t>Gas capacity times load factor times the share of output on diesel times litres per kWh.</t>
        </is>
      </c>
      <c r="F51" s="165">
        <f>F48*8.76*$D$8/100*$D$7/100*$D$6</f>
        <v/>
      </c>
      <c r="G51" s="165">
        <f>G48*8.76*$D$8/100*$D$7/100*$D$6</f>
        <v/>
      </c>
      <c r="H51" s="165">
        <f>H48*8.76*$D$8/100*$D$7/100*$D$6</f>
        <v/>
      </c>
      <c r="I51" s="165">
        <f>I48*8.76*$D$8/100*$D$7/100*$D$6</f>
        <v/>
      </c>
      <c r="J51" s="165">
        <f>J48*8.76*$D$8/100*$D$7/100*$D$6</f>
        <v/>
      </c>
      <c r="K51" s="165">
        <f>K48*8.76*$D$8/100*$D$7/100*$D$6</f>
        <v/>
      </c>
      <c r="L51" s="165">
        <f>L48*8.76*$D$8/100*$D$7/100*$D$6</f>
        <v/>
      </c>
      <c r="M51" s="165">
        <f>M48*8.76*$D$8/100*$D$7/100*$D$6</f>
        <v/>
      </c>
      <c r="N51" s="165">
        <f>N48*8.76*$D$8/100*$D$7/100*$D$6</f>
        <v/>
      </c>
      <c r="O51" s="165">
        <f>O48*8.76*$D$8/100*$D$7/100*$D$6</f>
        <v/>
      </c>
      <c r="P51" s="165">
        <f>P48*8.76*$D$8/100*$D$7/100*$D$6</f>
        <v/>
      </c>
      <c r="Q51" s="165">
        <f>Q48*8.76*$D$8/100*$D$7/100*$D$6</f>
        <v/>
      </c>
      <c r="R51" s="165">
        <f>R48*8.76*$D$8/100*$D$7/100*$D$6</f>
        <v/>
      </c>
      <c r="S51" s="165">
        <f>S48*8.76*$D$8/100*$D$7/100*$D$6</f>
        <v/>
      </c>
      <c r="T51" s="162" t="inlineStr">
        <is>
          <t>Scenario</t>
        </is>
      </c>
      <c r="U51" s="162" t="inlineStr"/>
      <c r="V51" s="162" t="inlineStr"/>
    </row>
    <row r="52">
      <c r="A52" s="156" t="inlineStr">
        <is>
          <t>Ceiling: high case with no gas all year</t>
        </is>
      </c>
      <c r="B52" s="157" t="inlineStr">
        <is>
          <t>million L/year</t>
        </is>
      </c>
      <c r="C52" s="157" t="inlineStr">
        <is>
          <t>Reporting formula</t>
        </is>
      </c>
      <c r="D52" s="158" t="n"/>
      <c r="E52" s="156" t="inlineStr">
        <is>
          <t>High-case gas capacity at its load factor, wholly on diesel. What the sites could draw if gas supply failed.</t>
        </is>
      </c>
      <c r="F52" s="158">
        <f>F48*8.76*$D$8/100*$D$6</f>
        <v/>
      </c>
      <c r="G52" s="158">
        <f>G48*8.76*$D$8/100*$D$6</f>
        <v/>
      </c>
      <c r="H52" s="158">
        <f>H48*8.76*$D$8/100*$D$6</f>
        <v/>
      </c>
      <c r="I52" s="158">
        <f>I48*8.76*$D$8/100*$D$6</f>
        <v/>
      </c>
      <c r="J52" s="158">
        <f>J48*8.76*$D$8/100*$D$6</f>
        <v/>
      </c>
      <c r="K52" s="158">
        <f>K48*8.76*$D$8/100*$D$6</f>
        <v/>
      </c>
      <c r="L52" s="158">
        <f>L48*8.76*$D$8/100*$D$6</f>
        <v/>
      </c>
      <c r="M52" s="158">
        <f>M48*8.76*$D$8/100*$D$6</f>
        <v/>
      </c>
      <c r="N52" s="158">
        <f>N48*8.76*$D$8/100*$D$6</f>
        <v/>
      </c>
      <c r="O52" s="158">
        <f>O48*8.76*$D$8/100*$D$6</f>
        <v/>
      </c>
      <c r="P52" s="158">
        <f>P48*8.76*$D$8/100*$D$6</f>
        <v/>
      </c>
      <c r="Q52" s="158">
        <f>Q48*8.76*$D$8/100*$D$6</f>
        <v/>
      </c>
      <c r="R52" s="158">
        <f>R48*8.76*$D$8/100*$D$6</f>
        <v/>
      </c>
      <c r="S52" s="158">
        <f>S48*8.76*$D$8/100*$D$6</f>
        <v/>
      </c>
      <c r="T52" s="156" t="inlineStr"/>
      <c r="U52" s="156" t="inlineStr"/>
      <c r="V52" s="156" t="inlineStr"/>
    </row>
    <row r="54">
      <c r="A54" s="151" t="inlineStr">
        <is>
          <t>6. Diesel for power, all sites</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Total, low</t>
        </is>
      </c>
      <c r="B55" s="163" t="inlineStr">
        <is>
          <t>million L/year</t>
        </is>
      </c>
      <c r="C55" s="163" t="inlineStr">
        <is>
          <t>Proposed estimate</t>
        </is>
      </c>
      <c r="D55" s="165" t="n"/>
      <c r="E55" s="162" t="inlineStr">
        <is>
          <t>Today's stations plus repowered sites, same case.</t>
        </is>
      </c>
      <c r="F55" s="165">
        <f>F28+F49</f>
        <v/>
      </c>
      <c r="G55" s="165">
        <f>G28+G49</f>
        <v/>
      </c>
      <c r="H55" s="165">
        <f>H28+H49</f>
        <v/>
      </c>
      <c r="I55" s="165">
        <f>I28+I49</f>
        <v/>
      </c>
      <c r="J55" s="165">
        <f>J28+J49</f>
        <v/>
      </c>
      <c r="K55" s="165">
        <f>K28+K49</f>
        <v/>
      </c>
      <c r="L55" s="165">
        <f>L28+L49</f>
        <v/>
      </c>
      <c r="M55" s="165">
        <f>M28+M49</f>
        <v/>
      </c>
      <c r="N55" s="165">
        <f>N28+N49</f>
        <v/>
      </c>
      <c r="O55" s="165">
        <f>O28+O49</f>
        <v/>
      </c>
      <c r="P55" s="165">
        <f>P28+P49</f>
        <v/>
      </c>
      <c r="Q55" s="165">
        <f>Q28+Q49</f>
        <v/>
      </c>
      <c r="R55" s="165">
        <f>R28+R49</f>
        <v/>
      </c>
      <c r="S55" s="165">
        <f>S28+S49</f>
        <v/>
      </c>
      <c r="T55" s="162" t="inlineStr"/>
      <c r="U55" s="162" t="inlineStr"/>
      <c r="V55" s="162" t="inlineStr"/>
    </row>
    <row r="56">
      <c r="A56" s="162" t="inlineStr">
        <is>
          <t>Total, medium</t>
        </is>
      </c>
      <c r="B56" s="163" t="inlineStr">
        <is>
          <t>million L/year</t>
        </is>
      </c>
      <c r="C56" s="163" t="inlineStr">
        <is>
          <t>Proposed estimate</t>
        </is>
      </c>
      <c r="D56" s="165" t="n"/>
      <c r="E56" s="162" t="inlineStr">
        <is>
          <t>Today's stations plus repowered sites, same case.</t>
        </is>
      </c>
      <c r="F56" s="165">
        <f>F29+F50</f>
        <v/>
      </c>
      <c r="G56" s="165">
        <f>G29+G50</f>
        <v/>
      </c>
      <c r="H56" s="165">
        <f>H29+H50</f>
        <v/>
      </c>
      <c r="I56" s="165">
        <f>I29+I50</f>
        <v/>
      </c>
      <c r="J56" s="165">
        <f>J29+J50</f>
        <v/>
      </c>
      <c r="K56" s="165">
        <f>K29+K50</f>
        <v/>
      </c>
      <c r="L56" s="165">
        <f>L29+L50</f>
        <v/>
      </c>
      <c r="M56" s="165">
        <f>M29+M50</f>
        <v/>
      </c>
      <c r="N56" s="165">
        <f>N29+N50</f>
        <v/>
      </c>
      <c r="O56" s="165">
        <f>O29+O50</f>
        <v/>
      </c>
      <c r="P56" s="165">
        <f>P29+P50</f>
        <v/>
      </c>
      <c r="Q56" s="165">
        <f>Q29+Q50</f>
        <v/>
      </c>
      <c r="R56" s="165">
        <f>R29+R50</f>
        <v/>
      </c>
      <c r="S56" s="165">
        <f>S29+S50</f>
        <v/>
      </c>
      <c r="T56" s="162" t="inlineStr"/>
      <c r="U56" s="162" t="inlineStr"/>
      <c r="V56" s="162" t="inlineStr"/>
    </row>
    <row r="57">
      <c r="A57" s="162" t="inlineStr">
        <is>
          <t>Total, high</t>
        </is>
      </c>
      <c r="B57" s="163" t="inlineStr">
        <is>
          <t>million L/year</t>
        </is>
      </c>
      <c r="C57" s="163" t="inlineStr">
        <is>
          <t>Proposed estimate</t>
        </is>
      </c>
      <c r="D57" s="165" t="n"/>
      <c r="E57" s="162" t="inlineStr">
        <is>
          <t>Today's stations plus repowered sites, same case.</t>
        </is>
      </c>
      <c r="F57" s="165">
        <f>F30+F51</f>
        <v/>
      </c>
      <c r="G57" s="165">
        <f>G30+G51</f>
        <v/>
      </c>
      <c r="H57" s="165">
        <f>H30+H51</f>
        <v/>
      </c>
      <c r="I57" s="165">
        <f>I30+I51</f>
        <v/>
      </c>
      <c r="J57" s="165">
        <f>J30+J51</f>
        <v/>
      </c>
      <c r="K57" s="165">
        <f>K30+K51</f>
        <v/>
      </c>
      <c r="L57" s="165">
        <f>L30+L51</f>
        <v/>
      </c>
      <c r="M57" s="165">
        <f>M30+M51</f>
        <v/>
      </c>
      <c r="N57" s="165">
        <f>N30+N51</f>
        <v/>
      </c>
      <c r="O57" s="165">
        <f>O30+O51</f>
        <v/>
      </c>
      <c r="P57" s="165">
        <f>P30+P51</f>
        <v/>
      </c>
      <c r="Q57" s="165">
        <f>Q30+Q51</f>
        <v/>
      </c>
      <c r="R57" s="165">
        <f>R30+R51</f>
        <v/>
      </c>
      <c r="S57" s="165">
        <f>S30+S51</f>
        <v/>
      </c>
      <c r="T57" s="162" t="inlineStr"/>
      <c r="U57" s="162" t="inlineStr"/>
      <c r="V57" s="162" t="inlineStr"/>
    </row>
    <row r="58">
      <c r="A58" s="156" t="inlineStr">
        <is>
          <t>Ceiling, all sites</t>
        </is>
      </c>
      <c r="B58" s="157" t="inlineStr">
        <is>
          <t>million L/year</t>
        </is>
      </c>
      <c r="C58" s="157" t="inlineStr">
        <is>
          <t>Reporting formula</t>
        </is>
      </c>
      <c r="D58" s="158" t="n"/>
      <c r="E58" s="156" t="inlineStr">
        <is>
          <t>The two ceilings added: how much the fleet could consume.</t>
        </is>
      </c>
      <c r="F58" s="158">
        <f>F31+F52</f>
        <v/>
      </c>
      <c r="G58" s="158">
        <f>G31+G52</f>
        <v/>
      </c>
      <c r="H58" s="158">
        <f>H31+H52</f>
        <v/>
      </c>
      <c r="I58" s="158">
        <f>I31+I52</f>
        <v/>
      </c>
      <c r="J58" s="158">
        <f>J31+J52</f>
        <v/>
      </c>
      <c r="K58" s="158">
        <f>K31+K52</f>
        <v/>
      </c>
      <c r="L58" s="158">
        <f>L31+L52</f>
        <v/>
      </c>
      <c r="M58" s="158">
        <f>M31+M52</f>
        <v/>
      </c>
      <c r="N58" s="158">
        <f>N31+N52</f>
        <v/>
      </c>
      <c r="O58" s="158">
        <f>O31+O52</f>
        <v/>
      </c>
      <c r="P58" s="158">
        <f>P31+P52</f>
        <v/>
      </c>
      <c r="Q58" s="158">
        <f>Q31+Q52</f>
        <v/>
      </c>
      <c r="R58" s="158">
        <f>R31+R52</f>
        <v/>
      </c>
      <c r="S58" s="158">
        <f>S31+S52</f>
        <v/>
      </c>
      <c r="T58" s="156" t="inlineStr"/>
      <c r="U58" s="156" t="inlineStr"/>
      <c r="V58" s="156" t="inlineStr"/>
    </row>
    <row r="59">
      <c r="A59" s="156" t="inlineStr">
        <is>
          <t>For reference: diesel burned, estimated</t>
        </is>
      </c>
      <c r="B59" s="157" t="inlineStr">
        <is>
          <t>million L/year</t>
        </is>
      </c>
      <c r="C59" s="157" t="inlineStr">
        <is>
          <t>Reporting formula</t>
        </is>
      </c>
      <c r="D59" s="158" t="n"/>
      <c r="E59" s="156" t="inlineStr">
        <is>
          <t>From section 2.</t>
        </is>
      </c>
      <c r="F59" s="158">
        <f>IF(ISNUMBER(F22),F22,"")</f>
        <v/>
      </c>
      <c r="G59" s="158">
        <f>IF(ISNUMBER(G22),G22,"")</f>
        <v/>
      </c>
      <c r="H59" s="158">
        <f>IF(ISNUMBER(H22),H22,"")</f>
        <v/>
      </c>
      <c r="I59" s="158">
        <f>IF(ISNUMBER(I22),I22,"")</f>
        <v/>
      </c>
      <c r="J59" s="158">
        <f>IF(ISNUMBER(J22),J22,"")</f>
        <v/>
      </c>
      <c r="K59" s="158">
        <f>IF(ISNUMBER(K22),K22,"")</f>
        <v/>
      </c>
      <c r="L59" s="158">
        <f>IF(ISNUMBER(L22),L22,"")</f>
        <v/>
      </c>
      <c r="M59" s="158">
        <f>IF(ISNUMBER(M22),M22,"")</f>
        <v/>
      </c>
      <c r="N59" s="158">
        <f>IF(ISNUMBER(N22),N22,"")</f>
        <v/>
      </c>
      <c r="O59" s="158">
        <f>IF(ISNUMBER(O22),O22,"")</f>
        <v/>
      </c>
      <c r="P59" s="158">
        <f>IF(ISNUMBER(P22),P22,"")</f>
        <v/>
      </c>
      <c r="Q59" s="158">
        <f>IF(ISNUMBER(Q22),Q22,"")</f>
        <v/>
      </c>
      <c r="R59" s="158">
        <f>IF(ISNUMBER(R22),R22,"")</f>
        <v/>
      </c>
      <c r="S59" s="158">
        <f>IF(ISNUMBER(S22),S22,"")</f>
        <v/>
      </c>
      <c r="T59" s="156" t="inlineStr"/>
      <c r="U59" s="156" t="inlineStr"/>
      <c r="V59" s="156" t="inlineStr"/>
    </row>
    <row r="61">
      <c r="A61" s="151" t="inlineStr">
        <is>
          <t>7. Not established</t>
        </is>
      </c>
      <c r="B61" s="151" t="n"/>
      <c r="C61" s="151" t="n"/>
      <c r="D61" s="151" t="n"/>
      <c r="E61" s="151" t="n"/>
      <c r="F61" s="151" t="n"/>
      <c r="G61" s="151" t="n"/>
      <c r="H61" s="151" t="n"/>
      <c r="I61" s="151" t="n"/>
      <c r="J61" s="151" t="n"/>
      <c r="K61" s="151" t="n"/>
      <c r="L61" s="151" t="n"/>
      <c r="M61" s="151" t="n"/>
      <c r="N61" s="151" t="n"/>
      <c r="O61" s="151" t="n"/>
      <c r="P61" s="151" t="n"/>
      <c r="Q61" s="151" t="n"/>
      <c r="R61" s="151" t="n"/>
      <c r="S61" s="151" t="n"/>
      <c r="T61" s="151" t="n"/>
      <c r="U61" s="151" t="n"/>
      <c r="V61" s="151" t="n"/>
    </row>
    <row r="62">
      <c r="A62" s="162" t="inlineStr">
        <is>
          <t>Outcome of Eskom's September 2026 decision</t>
        </is>
      </c>
      <c r="B62" s="163" t="inlineStr"/>
      <c r="C62" s="163" t="inlineStr">
        <is>
          <t>Gap</t>
        </is>
      </c>
      <c r="D62" s="165" t="n"/>
      <c r="E62" s="162" t="inlineStr">
        <is>
          <t>Whether Camden, Grootvlei, Hendrina, Arnot and Kriel shut, are repowered or run on.</t>
        </is>
      </c>
      <c r="F62" s="165" t="n"/>
      <c r="G62" s="165" t="n"/>
      <c r="H62" s="165" t="n"/>
      <c r="I62" s="165" t="n"/>
      <c r="J62" s="165" t="n"/>
      <c r="K62" s="165" t="n"/>
      <c r="L62" s="165" t="n"/>
      <c r="M62" s="165" t="n"/>
      <c r="N62" s="165" t="n"/>
      <c r="O62" s="165" t="n"/>
      <c r="P62" s="165" t="n"/>
      <c r="Q62" s="165" t="n"/>
      <c r="R62" s="165" t="n"/>
      <c r="S62" s="165" t="n"/>
      <c r="T62" s="162" t="inlineStr">
        <is>
          <t>Open</t>
        </is>
      </c>
      <c r="U62" s="162" t="inlineStr"/>
      <c r="V62" s="162" t="inlineStr"/>
    </row>
    <row r="63">
      <c r="A63" s="162" t="inlineStr">
        <is>
          <t>Which sites get gas plants, and how large</t>
        </is>
      </c>
      <c r="B63" s="163" t="inlineStr"/>
      <c r="C63" s="163" t="inlineStr">
        <is>
          <t>Gap</t>
        </is>
      </c>
      <c r="D63" s="165" t="n"/>
      <c r="E63" s="162" t="inlineStr">
        <is>
          <t>Section 5 uses the national gas requirement as a stand-in.</t>
        </is>
      </c>
      <c r="F63" s="165" t="n"/>
      <c r="G63" s="165" t="n"/>
      <c r="H63" s="165" t="n"/>
      <c r="I63" s="165" t="n"/>
      <c r="J63" s="165" t="n"/>
      <c r="K63" s="165" t="n"/>
      <c r="L63" s="165" t="n"/>
      <c r="M63" s="165" t="n"/>
      <c r="N63" s="165" t="n"/>
      <c r="O63" s="165" t="n"/>
      <c r="P63" s="165" t="n"/>
      <c r="Q63" s="165" t="n"/>
      <c r="R63" s="165" t="n"/>
      <c r="S63" s="165" t="n"/>
      <c r="T63" s="162" t="inlineStr">
        <is>
          <t>Open</t>
        </is>
      </c>
      <c r="U63" s="162" t="inlineStr"/>
      <c r="V63" s="162" t="inlineStr"/>
    </row>
    <row r="64">
      <c r="A64" s="162" t="inlineStr">
        <is>
          <t>Whether Ankerlig and Gourikwa switch to gas on time</t>
        </is>
      </c>
      <c r="B64" s="163" t="inlineStr"/>
      <c r="C64" s="163" t="inlineStr">
        <is>
          <t>Gap</t>
        </is>
      </c>
      <c r="D64" s="165" t="n"/>
      <c r="E64" s="162" t="inlineStr">
        <is>
          <t>Eskom's stated target was December 2027.</t>
        </is>
      </c>
      <c r="F64" s="165" t="n"/>
      <c r="G64" s="165" t="n"/>
      <c r="H64" s="165" t="n"/>
      <c r="I64" s="165" t="n"/>
      <c r="J64" s="165" t="n"/>
      <c r="K64" s="165" t="n"/>
      <c r="L64" s="165" t="n"/>
      <c r="M64" s="165" t="n"/>
      <c r="N64" s="165" t="n"/>
      <c r="O64" s="165" t="n"/>
      <c r="P64" s="165" t="n"/>
      <c r="Q64" s="165" t="n"/>
      <c r="R64" s="165" t="n"/>
      <c r="S64" s="165" t="n"/>
      <c r="T64" s="162" t="inlineStr">
        <is>
          <t>Open</t>
        </is>
      </c>
      <c r="U64" s="162" t="inlineStr"/>
      <c r="V64" s="162" t="inlineStr"/>
    </row>
    <row r="65">
      <c r="A65" s="162" t="inlineStr">
        <is>
          <t>Share of output on diesel when gas is the main fuel</t>
        </is>
      </c>
      <c r="B65" s="163" t="inlineStr"/>
      <c r="C65" s="163" t="inlineStr">
        <is>
          <t>Gap</t>
        </is>
      </c>
      <c r="D65" s="165" t="n"/>
      <c r="E65" s="162" t="inlineStr">
        <is>
          <t>No source; 10% is a placeholder.</t>
        </is>
      </c>
      <c r="F65" s="165" t="n"/>
      <c r="G65" s="165" t="n"/>
      <c r="H65" s="165" t="n"/>
      <c r="I65" s="165" t="n"/>
      <c r="J65" s="165" t="n"/>
      <c r="K65" s="165" t="n"/>
      <c r="L65" s="165" t="n"/>
      <c r="M65" s="165" t="n"/>
      <c r="N65" s="165" t="n"/>
      <c r="O65" s="165" t="n"/>
      <c r="P65" s="165" t="n"/>
      <c r="Q65" s="165" t="n"/>
      <c r="R65" s="165" t="n"/>
      <c r="S65" s="165" t="n"/>
      <c r="T65" s="162" t="inlineStr">
        <is>
          <t>Open</t>
        </is>
      </c>
      <c r="U65" s="162" t="inlineStr"/>
      <c r="V65" s="162" t="inlineStr"/>
    </row>
    <row r="66">
      <c r="A66" s="162" t="inlineStr">
        <is>
          <t>Private generators at firms and homes</t>
        </is>
      </c>
      <c r="B66" s="163" t="inlineStr"/>
      <c r="C66" s="163" t="inlineStr">
        <is>
          <t>Gap</t>
        </is>
      </c>
      <c r="D66" s="165" t="n"/>
      <c r="E66" s="162" t="inlineStr">
        <is>
          <t>Not in this block; no measured volume exists.</t>
        </is>
      </c>
      <c r="F66" s="165" t="n"/>
      <c r="G66" s="165" t="n"/>
      <c r="H66" s="165" t="n"/>
      <c r="I66" s="165" t="n"/>
      <c r="J66" s="165" t="n"/>
      <c r="K66" s="165" t="n"/>
      <c r="L66" s="165" t="n"/>
      <c r="M66" s="165" t="n"/>
      <c r="N66" s="165" t="n"/>
      <c r="O66" s="165" t="n"/>
      <c r="P66" s="165" t="n"/>
      <c r="Q66" s="165" t="n"/>
      <c r="R66" s="165" t="n"/>
      <c r="S66" s="165" t="n"/>
      <c r="T66" s="162" t="inlineStr">
        <is>
          <t>Open</t>
        </is>
      </c>
      <c r="U66" s="162" t="inlineStr"/>
      <c r="V66" s="162" t="inlineStr"/>
    </row>
    <row r="67">
      <c r="A67" s="162" t="inlineStr">
        <is>
          <t>Avon and Dedisa after their power purchase agreements end</t>
        </is>
      </c>
      <c r="B67" s="163" t="inlineStr"/>
      <c r="C67" s="163" t="inlineStr">
        <is>
          <t>Gap</t>
        </is>
      </c>
      <c r="D67" s="165" t="n"/>
      <c r="E67" s="162" t="inlineStr">
        <is>
          <t>The 15-year agreements run to about 2031 and 2030. The sheet keeps both stations to 2035; whether they are extended, sold or closed is not known.</t>
        </is>
      </c>
      <c r="F67" s="165" t="n"/>
      <c r="G67" s="165" t="n"/>
      <c r="H67" s="165" t="n"/>
      <c r="I67" s="165" t="n"/>
      <c r="J67" s="165" t="n"/>
      <c r="K67" s="165" t="n"/>
      <c r="L67" s="165" t="n"/>
      <c r="M67" s="165" t="n"/>
      <c r="N67" s="165" t="n"/>
      <c r="O67" s="165" t="n"/>
      <c r="P67" s="165" t="n"/>
      <c r="Q67" s="165" t="n"/>
      <c r="R67" s="165" t="n"/>
      <c r="S67" s="165" t="n"/>
      <c r="T67" s="162" t="inlineStr">
        <is>
          <t>Open</t>
        </is>
      </c>
      <c r="U67" s="162" t="inlineStr"/>
      <c r="V67" s="16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4" t="n">
        <v>78</v>
      </c>
      <c r="E18" s="156" t="inlineStr">
        <is>
          <t>Observed share. Column D is the model's fixed split of new vehicles.</t>
        </is>
      </c>
      <c r="F18" s="174">
        <f>IF(COUNT(F14,F17)&lt;2,"",F14/F17*100)</f>
        <v/>
      </c>
      <c r="G18" s="174">
        <f>IF(COUNT(G14,G17)&lt;2,"",G14/G17*100)</f>
        <v/>
      </c>
      <c r="H18" s="174">
        <f>IF(COUNT(H14,H17)&lt;2,"",H14/H17*100)</f>
        <v/>
      </c>
      <c r="I18" s="174">
        <f>IF(COUNT(I14,I17)&lt;2,"",I14/I17*100)</f>
        <v/>
      </c>
      <c r="J18" s="174">
        <f>IF(COUNT(J14,J17)&lt;2,"",J14/J17*100)</f>
        <v/>
      </c>
      <c r="K18" s="174">
        <f>IF(COUNT(K14,K17)&lt;2,"",K14/K17*100)</f>
        <v/>
      </c>
      <c r="L18" s="174">
        <f>IF(COUNT(L14,L17)&lt;2,"",L14/L17*100)</f>
        <v/>
      </c>
      <c r="M18" s="174">
        <f>IF(COUNT(M14,M17)&lt;2,"",M14/M17*100)</f>
        <v/>
      </c>
      <c r="N18" s="174">
        <f>IF(COUNT(N14,N17)&lt;2,"",N14/N17*100)</f>
        <v/>
      </c>
      <c r="O18" s="174">
        <f>IF(COUNT(O14,O17)&lt;2,"",O14/O17*100)</f>
        <v/>
      </c>
      <c r="P18" s="174">
        <f>IF(COUNT(P14,P17)&lt;2,"",P14/P17*100)</f>
        <v/>
      </c>
      <c r="Q18" s="174">
        <f>IF(COUNT(Q14,Q17)&lt;2,"",Q14/Q17*100)</f>
        <v/>
      </c>
      <c r="R18" s="174">
        <f>IF(COUNT(R14,R17)&lt;2,"",R14/R17*100)</f>
        <v/>
      </c>
      <c r="S18" s="174">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4" t="n">
        <v>18</v>
      </c>
      <c r="E19" s="156" t="inlineStr">
        <is>
          <t>Observed share. Column D is the model's fixed split of new vehicles.</t>
        </is>
      </c>
      <c r="F19" s="174">
        <f>IF(COUNT(F15,F17)&lt;2,"",F15/F17*100)</f>
        <v/>
      </c>
      <c r="G19" s="174">
        <f>IF(COUNT(G15,G17)&lt;2,"",G15/G17*100)</f>
        <v/>
      </c>
      <c r="H19" s="174">
        <f>IF(COUNT(H15,H17)&lt;2,"",H15/H17*100)</f>
        <v/>
      </c>
      <c r="I19" s="174">
        <f>IF(COUNT(I15,I17)&lt;2,"",I15/I17*100)</f>
        <v/>
      </c>
      <c r="J19" s="174">
        <f>IF(COUNT(J15,J17)&lt;2,"",J15/J17*100)</f>
        <v/>
      </c>
      <c r="K19" s="174">
        <f>IF(COUNT(K15,K17)&lt;2,"",K15/K17*100)</f>
        <v/>
      </c>
      <c r="L19" s="174">
        <f>IF(COUNT(L15,L17)&lt;2,"",L15/L17*100)</f>
        <v/>
      </c>
      <c r="M19" s="174">
        <f>IF(COUNT(M15,M17)&lt;2,"",M15/M17*100)</f>
        <v/>
      </c>
      <c r="N19" s="174">
        <f>IF(COUNT(N15,N17)&lt;2,"",N15/N17*100)</f>
        <v/>
      </c>
      <c r="O19" s="174">
        <f>IF(COUNT(O15,O17)&lt;2,"",O15/O17*100)</f>
        <v/>
      </c>
      <c r="P19" s="174">
        <f>IF(COUNT(P15,P17)&lt;2,"",P15/P17*100)</f>
        <v/>
      </c>
      <c r="Q19" s="174">
        <f>IF(COUNT(Q15,Q17)&lt;2,"",Q15/Q17*100)</f>
        <v/>
      </c>
      <c r="R19" s="174">
        <f>IF(COUNT(R15,R17)&lt;2,"",R15/R17*100)</f>
        <v/>
      </c>
      <c r="S19" s="174">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4" t="n">
        <v>4</v>
      </c>
      <c r="E20" s="156" t="inlineStr">
        <is>
          <t>Observed share. Column D is the model's fixed split of new vehicles.</t>
        </is>
      </c>
      <c r="F20" s="174">
        <f>IF(COUNT(F16,F17)&lt;2,"",F16/F17*100)</f>
        <v/>
      </c>
      <c r="G20" s="174">
        <f>IF(COUNT(G16,G17)&lt;2,"",G16/G17*100)</f>
        <v/>
      </c>
      <c r="H20" s="174">
        <f>IF(COUNT(H16,H17)&lt;2,"",H16/H17*100)</f>
        <v/>
      </c>
      <c r="I20" s="174">
        <f>IF(COUNT(I16,I17)&lt;2,"",I16/I17*100)</f>
        <v/>
      </c>
      <c r="J20" s="174">
        <f>IF(COUNT(J16,J17)&lt;2,"",J16/J17*100)</f>
        <v/>
      </c>
      <c r="K20" s="174">
        <f>IF(COUNT(K16,K17)&lt;2,"",K16/K17*100)</f>
        <v/>
      </c>
      <c r="L20" s="174">
        <f>IF(COUNT(L16,L17)&lt;2,"",L16/L17*100)</f>
        <v/>
      </c>
      <c r="M20" s="174">
        <f>IF(COUNT(M16,M17)&lt;2,"",M16/M17*100)</f>
        <v/>
      </c>
      <c r="N20" s="174">
        <f>IF(COUNT(N16,N17)&lt;2,"",N16/N17*100)</f>
        <v/>
      </c>
      <c r="O20" s="174">
        <f>IF(COUNT(O16,O17)&lt;2,"",O16/O17*100)</f>
        <v/>
      </c>
      <c r="P20" s="174">
        <f>IF(COUNT(P16,P17)&lt;2,"",P16/P17*100)</f>
        <v/>
      </c>
      <c r="Q20" s="174">
        <f>IF(COUNT(Q16,Q17)&lt;2,"",Q16/Q17*100)</f>
        <v/>
      </c>
      <c r="R20" s="174">
        <f>IF(COUNT(R16,R17)&lt;2,"",R16/R17*100)</f>
        <v/>
      </c>
      <c r="S20" s="174">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c r="V23" s="156" t="inlineStr"/>
    </row>
    <row r="24">
      <c r="A24" s="156" t="inlineStr">
        <is>
          <t>Cars retirement rate</t>
        </is>
      </c>
      <c r="B24" s="157" t="inlineStr">
        <is>
          <t>% of last December's stock</t>
        </is>
      </c>
      <c r="C24" s="157" t="inlineStr">
        <is>
          <t>Reporting formula</t>
        </is>
      </c>
      <c r="D24" s="174" t="n">
        <v>4</v>
      </c>
      <c r="E24" s="156" t="inlineStr">
        <is>
          <t>Retired divided by last December's stock. Column D is the model's scrappage rate.</t>
        </is>
      </c>
      <c r="F24" s="174" t="n"/>
      <c r="G24" s="174">
        <f>IF(ISNUMBER(G23),G23/F6*100,"")</f>
        <v/>
      </c>
      <c r="H24" s="174">
        <f>IF(ISNUMBER(H23),H23/G6*100,"")</f>
        <v/>
      </c>
      <c r="I24" s="174">
        <f>IF(ISNUMBER(I23),I23/H6*100,"")</f>
        <v/>
      </c>
      <c r="J24" s="174">
        <f>IF(ISNUMBER(J23),J23/I6*100,"")</f>
        <v/>
      </c>
      <c r="K24" s="174">
        <f>IF(ISNUMBER(K23),K23/J6*100,"")</f>
        <v/>
      </c>
      <c r="L24" s="174">
        <f>IF(ISNUMBER(L23),L23/K6*100,"")</f>
        <v/>
      </c>
      <c r="M24" s="174">
        <f>IF(ISNUMBER(M23),M23/L6*100,"")</f>
        <v/>
      </c>
      <c r="N24" s="174">
        <f>IF(ISNUMBER(N23),N23/M6*100,"")</f>
        <v/>
      </c>
      <c r="O24" s="174">
        <f>IF(ISNUMBER(O23),O23/N6*100,"")</f>
        <v/>
      </c>
      <c r="P24" s="174">
        <f>IF(ISNUMBER(P23),P23/O6*100,"")</f>
        <v/>
      </c>
      <c r="Q24" s="174">
        <f>IF(ISNUMBER(Q23),Q23/P6*100,"")</f>
        <v/>
      </c>
      <c r="R24" s="174">
        <f>IF(ISNUMBER(R23),R23/Q6*100,"")</f>
        <v/>
      </c>
      <c r="S24" s="174">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c r="V25" s="156" t="inlineStr"/>
    </row>
    <row r="26">
      <c r="A26" s="156" t="inlineStr">
        <is>
          <t>Light commercial vehicles retirement rate</t>
        </is>
      </c>
      <c r="B26" s="157" t="inlineStr">
        <is>
          <t>% of last December's stock</t>
        </is>
      </c>
      <c r="C26" s="157" t="inlineStr">
        <is>
          <t>Reporting formula</t>
        </is>
      </c>
      <c r="D26" s="174" t="n">
        <v>5</v>
      </c>
      <c r="E26" s="156" t="inlineStr">
        <is>
          <t>Retired divided by last December's stock. Column D is the model's scrappage rate.</t>
        </is>
      </c>
      <c r="F26" s="174" t="n"/>
      <c r="G26" s="174">
        <f>IF(ISNUMBER(G25),G25/F7*100,"")</f>
        <v/>
      </c>
      <c r="H26" s="174">
        <f>IF(ISNUMBER(H25),H25/G7*100,"")</f>
        <v/>
      </c>
      <c r="I26" s="174">
        <f>IF(ISNUMBER(I25),I25/H7*100,"")</f>
        <v/>
      </c>
      <c r="J26" s="174">
        <f>IF(ISNUMBER(J25),J25/I7*100,"")</f>
        <v/>
      </c>
      <c r="K26" s="174">
        <f>IF(ISNUMBER(K25),K25/J7*100,"")</f>
        <v/>
      </c>
      <c r="L26" s="174">
        <f>IF(ISNUMBER(L25),L25/K7*100,"")</f>
        <v/>
      </c>
      <c r="M26" s="174">
        <f>IF(ISNUMBER(M25),M25/L7*100,"")</f>
        <v/>
      </c>
      <c r="N26" s="174">
        <f>IF(ISNUMBER(N25),N25/M7*100,"")</f>
        <v/>
      </c>
      <c r="O26" s="174">
        <f>IF(ISNUMBER(O25),O25/N7*100,"")</f>
        <v/>
      </c>
      <c r="P26" s="174">
        <f>IF(ISNUMBER(P25),P25/O7*100,"")</f>
        <v/>
      </c>
      <c r="Q26" s="174">
        <f>IF(ISNUMBER(Q25),Q25/P7*100,"")</f>
        <v/>
      </c>
      <c r="R26" s="174">
        <f>IF(ISNUMBER(R25),R25/Q7*100,"")</f>
        <v/>
      </c>
      <c r="S26" s="174">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c r="V27" s="156" t="inlineStr"/>
    </row>
    <row r="28">
      <c r="A28" s="156" t="inlineStr">
        <is>
          <t>Trucks retirement rate</t>
        </is>
      </c>
      <c r="B28" s="157" t="inlineStr">
        <is>
          <t>% of last December's stock</t>
        </is>
      </c>
      <c r="C28" s="157" t="inlineStr">
        <is>
          <t>Reporting formula</t>
        </is>
      </c>
      <c r="D28" s="174" t="n">
        <v>6</v>
      </c>
      <c r="E28" s="156" t="inlineStr">
        <is>
          <t>Retired divided by last December's stock. Column D is the model's scrappage rate.</t>
        </is>
      </c>
      <c r="F28" s="174" t="n"/>
      <c r="G28" s="174">
        <f>IF(ISNUMBER(G27),G27/F8*100,"")</f>
        <v/>
      </c>
      <c r="H28" s="174">
        <f>IF(ISNUMBER(H27),H27/G8*100,"")</f>
        <v/>
      </c>
      <c r="I28" s="174">
        <f>IF(ISNUMBER(I27),I27/H8*100,"")</f>
        <v/>
      </c>
      <c r="J28" s="174">
        <f>IF(ISNUMBER(J27),J27/I8*100,"")</f>
        <v/>
      </c>
      <c r="K28" s="174">
        <f>IF(ISNUMBER(K27),K27/J8*100,"")</f>
        <v/>
      </c>
      <c r="L28" s="174">
        <f>IF(ISNUMBER(L27),L27/K8*100,"")</f>
        <v/>
      </c>
      <c r="M28" s="174">
        <f>IF(ISNUMBER(M27),M27/L8*100,"")</f>
        <v/>
      </c>
      <c r="N28" s="174">
        <f>IF(ISNUMBER(N27),N27/M8*100,"")</f>
        <v/>
      </c>
      <c r="O28" s="174">
        <f>IF(ISNUMBER(O27),O27/N8*100,"")</f>
        <v/>
      </c>
      <c r="P28" s="174">
        <f>IF(ISNUMBER(P27),P27/O8*100,"")</f>
        <v/>
      </c>
      <c r="Q28" s="174">
        <f>IF(ISNUMBER(Q27),Q27/P8*100,"")</f>
        <v/>
      </c>
      <c r="R28" s="174">
        <f>IF(ISNUMBER(R27),R27/Q8*100,"")</f>
        <v/>
      </c>
      <c r="S28" s="174">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IF(COUNT(History!F59,F39)&lt;2,"",History!F59*1000000/F39)</f>
        <v/>
      </c>
      <c r="G52" s="167">
        <f>IF(COUNT(History!G59,G39)&lt;2,"",History!G59*1000000/G39)</f>
        <v/>
      </c>
      <c r="H52" s="167">
        <f>IF(COUNT(History!H59,H39)&lt;2,"",History!H59*1000000/H39)</f>
        <v/>
      </c>
      <c r="I52" s="167">
        <f>IF(COUNT(History!I59,I39)&lt;2,"",History!I59*1000000/I39)</f>
        <v/>
      </c>
      <c r="J52" s="167">
        <f>IF(COUNT(History!J59,J39)&lt;2,"",History!J59*1000000/J39)</f>
        <v/>
      </c>
      <c r="K52" s="167">
        <f>IF(COUNT(History!K59,K39)&lt;2,"",History!K59*1000000/K39)</f>
        <v/>
      </c>
      <c r="L52" s="167">
        <f>IF(COUNT(History!L59,L39)&lt;2,"",History!L59*1000000/L39)</f>
        <v/>
      </c>
      <c r="M52" s="167">
        <f>IF(COUNT(History!M59,M39)&lt;2,"",History!M59*1000000/M39)</f>
        <v/>
      </c>
      <c r="N52" s="167">
        <f>IF(COUNT(History!N59,N39)&lt;2,"",History!N59*1000000/N39)</f>
        <v/>
      </c>
      <c r="O52" s="167">
        <f>IF(COUNT(History!O59,O39)&lt;2,"",History!O59*1000000/O39)</f>
        <v/>
      </c>
      <c r="P52" s="167">
        <f>IF(COUNT(History!P59,P39)&lt;2,"",History!P59*1000000/P39)</f>
        <v/>
      </c>
      <c r="Q52" s="167">
        <f>IF(COUNT(History!Q59,Q39)&lt;2,"",History!Q59*1000000/Q39)</f>
        <v/>
      </c>
      <c r="R52" s="167">
        <f>IF(COUNT(History!R59,R39)&lt;2,"",History!R59*1000000/R39)</f>
        <v/>
      </c>
      <c r="S52" s="167">
        <f>IF(COUNT(History!S59,S39)&lt;2,"",History!S59*1000000/S39)</f>
        <v/>
      </c>
      <c r="T52" s="156" t="inlineStr"/>
      <c r="U52" s="156" t="inlineStr"/>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c r="V60" s="162" t="inlineStr">
        <is>
          <t>Source to be found or assumption agreed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6" t="inlineStr">
        <is>
          <t>diesel</t>
        </is>
      </c>
      <c r="B5" s="176" t="inlineStr">
        <is>
          <t>road_activity</t>
        </is>
      </c>
      <c r="C5" s="176" t="inlineStr">
        <is>
          <t>index_2024_100</t>
        </is>
      </c>
      <c r="D5" s="176" t="inlineStr">
        <is>
          <t>100</t>
        </is>
      </c>
      <c r="E5" s="176" t="inlineStr">
        <is>
          <t>road freight payload 980 Mt in 2024 (Stats SA P7162)</t>
        </is>
      </c>
      <c r="F5" s="176" t="inlineStr">
        <is>
          <t>95 / 115 / 135</t>
        </is>
      </c>
      <c r="G5" s="176" t="inlineStr">
        <is>
          <t>95 / 115 / 135</t>
        </is>
      </c>
      <c r="H5" s="176" t="inlineStr">
        <is>
          <t>95 / 135 / 175</t>
        </is>
      </c>
      <c r="I5" s="176" t="inlineStr">
        <is>
          <t>95 / 135 / 150</t>
        </is>
      </c>
      <c r="J5" s="176" t="inlineStr">
        <is>
          <t>replacement proposed</t>
        </is>
      </c>
      <c r="K5" s="176"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6" t="inlineStr">
        <is>
          <t>diesel</t>
        </is>
      </c>
      <c r="B6" s="176" t="inlineStr">
        <is>
          <t>rail_diversion</t>
        </is>
      </c>
      <c r="C6" s="176" t="inlineStr">
        <is>
          <t>percent</t>
        </is>
      </c>
      <c r="D6" s="176" t="inlineStr">
        <is>
          <t>0</t>
        </is>
      </c>
      <c r="E6" s="176" t="inlineStr">
        <is>
          <t>rail 161 Mt and road 980 Mt in 2024 (Stats SA P7162)</t>
        </is>
      </c>
      <c r="F6" s="176" t="inlineStr">
        <is>
          <t>0 / 10 / 20</t>
        </is>
      </c>
      <c r="G6" s="176" t="inlineStr">
        <is>
          <t>0 / 3 / 9</t>
        </is>
      </c>
      <c r="H6" s="176" t="inlineStr">
        <is>
          <t>0 / 20 / 35</t>
        </is>
      </c>
      <c r="I6" s="176" t="inlineStr">
        <is>
          <t>0 / 7 / 13</t>
        </is>
      </c>
      <c r="J6" s="176" t="inlineStr">
        <is>
          <t>replacement proposed</t>
        </is>
      </c>
      <c r="K6" s="176"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6" t="inlineStr">
        <is>
          <t>diesel</t>
        </is>
      </c>
      <c r="B7" s="176" t="inlineStr">
        <is>
          <t>ocgt_generation</t>
        </is>
      </c>
      <c r="C7" s="176" t="inlineStr">
        <is>
          <t>index_FY2024_100</t>
        </is>
      </c>
      <c r="D7" s="176" t="inlineStr">
        <is>
          <t>100</t>
        </is>
      </c>
      <c r="E7" s="176" t="inlineStr">
        <is>
          <t>Eskom and independent OCGT output 5,143 GWh, year to March 2024</t>
        </is>
      </c>
      <c r="F7" s="176" t="inlineStr">
        <is>
          <t>10 / 25 / 60</t>
        </is>
      </c>
      <c r="G7" s="176" t="inlineStr">
        <is>
          <t>10 / 25 / 60</t>
        </is>
      </c>
      <c r="H7" s="176" t="inlineStr">
        <is>
          <t>5 / 15 / 50</t>
        </is>
      </c>
      <c r="I7" s="176" t="inlineStr">
        <is>
          <t>5 / 15 / 50</t>
        </is>
      </c>
      <c r="J7" s="176" t="inlineStr">
        <is>
          <t>no change</t>
        </is>
      </c>
      <c r="K7" s="176" t="inlineStr">
        <is>
          <t>Year to March 2025 is 55 and year to March 2026 is 21 on this index, so the medium of 25 in 2030 holds today's level. Reported burn is 0.31 litres per kWh in three years. No change proposed.</t>
        </is>
      </c>
    </row>
    <row r="8">
      <c r="A8" s="176" t="inlineStr">
        <is>
          <t>diesel</t>
        </is>
      </c>
      <c r="B8" s="176" t="inlineStr">
        <is>
          <t>new_cohort_efficiency</t>
        </is>
      </c>
      <c r="C8" s="176" t="inlineStr">
        <is>
          <t>percent_per_year</t>
        </is>
      </c>
      <c r="D8" s="176" t="inlineStr">
        <is>
          <t>0.5 to 1.0</t>
        </is>
      </c>
      <c r="E8" s="176" t="inlineStr">
        <is>
          <t>registered diesel efficiency paths (low and high demand cases)</t>
        </is>
      </c>
      <c r="F8" s="176" t="inlineStr">
        <is>
          <t>0.5 / 0.75 / 1</t>
        </is>
      </c>
      <c r="G8" s="176" t="inlineStr">
        <is>
          <t>0.5 / 0.75 / 1</t>
        </is>
      </c>
      <c r="H8" s="176" t="inlineStr">
        <is>
          <t>0.5 / 0.75 / 1</t>
        </is>
      </c>
      <c r="I8" s="176" t="inlineStr">
        <is>
          <t>0.5 / 0.75 / 1</t>
        </is>
      </c>
      <c r="J8" s="176" t="inlineStr">
        <is>
          <t>no change</t>
        </is>
      </c>
      <c r="K8" s="176" t="inlineStr">
        <is>
          <t>Low and high equal the registered endpoints. Neither has a source. No change proposed.</t>
        </is>
      </c>
    </row>
    <row r="9">
      <c r="A9" s="176" t="inlineStr">
        <is>
          <t>diesel</t>
        </is>
      </c>
      <c r="B9" s="176" t="inlineStr">
        <is>
          <t>plant_utilisation</t>
        </is>
      </c>
      <c r="C9" s="176" t="inlineStr">
        <is>
          <t>percent</t>
        </is>
      </c>
      <c r="D9" s="176" t="inlineStr">
        <is>
          <t>67</t>
        </is>
      </c>
      <c r="E9" s="176" t="inlineStr">
        <is>
          <t>reported 2024 output over reported capacity, three plants; indicative</t>
        </is>
      </c>
      <c r="F9" s="176" t="inlineStr">
        <is>
          <t>60 / 75 / 90</t>
        </is>
      </c>
      <c r="G9" s="176" t="inlineStr">
        <is>
          <t>60 / 75 / 90</t>
        </is>
      </c>
      <c r="H9" s="176" t="inlineStr">
        <is>
          <t>60 / 75 / 90</t>
        </is>
      </c>
      <c r="I9" s="176" t="inlineStr">
        <is>
          <t>60 / 75 / 90</t>
        </is>
      </c>
      <c r="J9" s="176" t="inlineStr">
        <is>
          <t>no change</t>
        </is>
      </c>
      <c r="K9"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6" t="inlineStr">
        <is>
          <t>diesel</t>
        </is>
      </c>
      <c r="B10" s="176" t="inlineStr">
        <is>
          <t>product_yield</t>
        </is>
      </c>
      <c r="C10" s="176" t="inlineStr">
        <is>
          <t>percent</t>
        </is>
      </c>
      <c r="D10" s="176" t="inlineStr">
        <is>
          <t>29</t>
        </is>
      </c>
      <c r="E10" s="176" t="inlineStr">
        <is>
          <t>diesel share of refinery output in 2024 (JODI; lowest reliability)</t>
        </is>
      </c>
      <c r="F10" s="176" t="inlineStr">
        <is>
          <t>20 / 25 / 30</t>
        </is>
      </c>
      <c r="G10" s="176" t="inlineStr">
        <is>
          <t>25 / 30 / 40</t>
        </is>
      </c>
      <c r="H10" s="176" t="inlineStr">
        <is>
          <t>20 / 25 / 30</t>
        </is>
      </c>
      <c r="I10" s="176" t="inlineStr">
        <is>
          <t>25 / 30 / 40</t>
        </is>
      </c>
      <c r="J10" s="176" t="inlineStr">
        <is>
          <t>replacement proposed</t>
        </is>
      </c>
      <c r="K10" s="176"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6" t="inlineStr">
        <is>
          <t>diesel</t>
        </is>
      </c>
      <c r="B11" s="176" t="inlineStr">
        <is>
          <t>restart_capacity</t>
        </is>
      </c>
      <c r="C11" s="176" t="inlineStr">
        <is>
          <t>thousand_bbl_per_day</t>
        </is>
      </c>
      <c r="D11" s="176" t="inlineStr">
        <is>
          <t>0</t>
        </is>
      </c>
      <c r="E11" s="176" t="inlineStr">
        <is>
          <t>no committed addition</t>
        </is>
      </c>
      <c r="F11" s="176" t="inlineStr">
        <is>
          <t>0 / 0 / 0</t>
        </is>
      </c>
      <c r="G11" s="176" t="inlineStr">
        <is>
          <t>0 / 0 / 0</t>
        </is>
      </c>
      <c r="H11" s="176" t="inlineStr">
        <is>
          <t>0 / 0 / 400</t>
        </is>
      </c>
      <c r="I11" s="176" t="inlineStr">
        <is>
          <t>0 / 0 / 400</t>
        </is>
      </c>
      <c r="J11" s="176" t="inlineStr">
        <is>
          <t>no change</t>
        </is>
      </c>
      <c r="K11" s="176" t="inlineStr">
        <is>
          <t>Existing conditional illustration; no investment decision, timing or product slate is sourced.</t>
        </is>
      </c>
    </row>
    <row r="12">
      <c r="A12" s="176" t="inlineStr">
        <is>
          <t>jet</t>
        </is>
      </c>
      <c r="B12" s="176" t="inlineStr">
        <is>
          <t>aircraft_movements</t>
        </is>
      </c>
      <c r="C12" s="176" t="inlineStr">
        <is>
          <t>index_2024_100</t>
        </is>
      </c>
      <c r="D12" s="176" t="inlineStr">
        <is>
          <t>100</t>
        </is>
      </c>
      <c r="E12" s="176" t="inlineStr">
        <is>
          <t>456,214 movements at ACSA airports in 2024</t>
        </is>
      </c>
      <c r="F12" s="176" t="inlineStr">
        <is>
          <t>100 / 120 / 140</t>
        </is>
      </c>
      <c r="G12" s="176" t="inlineStr">
        <is>
          <t>100 / 110 / 125</t>
        </is>
      </c>
      <c r="H12" s="176" t="inlineStr">
        <is>
          <t>100 / 145 / 190</t>
        </is>
      </c>
      <c r="I12" s="176" t="inlineStr">
        <is>
          <t>100 / 120 / 140</t>
        </is>
      </c>
      <c r="J12" s="176" t="inlineStr">
        <is>
          <t>replacement proposed</t>
        </is>
      </c>
      <c r="K12" s="176"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6" t="inlineStr">
        <is>
          <t>jet</t>
        </is>
      </c>
      <c r="B13" s="176" t="inlineStr">
        <is>
          <t>fuel_burn_per_movement</t>
        </is>
      </c>
      <c r="C13" s="176" t="inlineStr">
        <is>
          <t>index_2024_100</t>
        </is>
      </c>
      <c r="D13" s="176" t="inlineStr">
        <is>
          <t>100</t>
        </is>
      </c>
      <c r="E13" s="176" t="inlineStr">
        <is>
          <t>4,090 litres of jet sold per movement in 2024</t>
        </is>
      </c>
      <c r="F13" s="176" t="inlineStr">
        <is>
          <t>80 / 90 / 100</t>
        </is>
      </c>
      <c r="G13" s="176" t="inlineStr">
        <is>
          <t>80 / 90 / 113</t>
        </is>
      </c>
      <c r="H13" s="176" t="inlineStr">
        <is>
          <t>65 / 80 / 100</t>
        </is>
      </c>
      <c r="I13" s="176" t="inlineStr">
        <is>
          <t>65 / 80 / 113</t>
        </is>
      </c>
      <c r="J13" s="176" t="inlineStr">
        <is>
          <t>replacement proposed</t>
        </is>
      </c>
      <c r="K13" s="176"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6" t="inlineStr">
        <is>
          <t>jet</t>
        </is>
      </c>
      <c r="B14" s="176" t="inlineStr">
        <is>
          <t>saf_volume_share</t>
        </is>
      </c>
      <c r="C14" s="176" t="inlineStr">
        <is>
          <t>percent</t>
        </is>
      </c>
      <c r="D14" s="176" t="inlineStr">
        <is>
          <t>0</t>
        </is>
      </c>
      <c r="E14" s="176" t="inlineStr">
        <is>
          <t>no sustainable aviation fuel supply recorded in the sources held; unsourced</t>
        </is>
      </c>
      <c r="F14" s="176" t="inlineStr">
        <is>
          <t>0 / 2 / 5</t>
        </is>
      </c>
      <c r="G14" s="176" t="inlineStr">
        <is>
          <t>0 / 2 / 5</t>
        </is>
      </c>
      <c r="H14" s="176" t="inlineStr">
        <is>
          <t>0 / 5 / 10</t>
        </is>
      </c>
      <c r="I14" s="176" t="inlineStr">
        <is>
          <t>0 / 5 / 10</t>
        </is>
      </c>
      <c r="J14" s="176" t="inlineStr">
        <is>
          <t>no change</t>
        </is>
      </c>
      <c r="K14" s="176" t="inlineStr">
        <is>
          <t>No South African blend requirement is sourced. No change proposed.</t>
        </is>
      </c>
    </row>
    <row r="15">
      <c r="A15" s="176" t="inlineStr">
        <is>
          <t>jet</t>
        </is>
      </c>
      <c r="B15" s="176" t="inlineStr">
        <is>
          <t>plant_utilisation</t>
        </is>
      </c>
      <c r="C15" s="176" t="inlineStr">
        <is>
          <t>percent</t>
        </is>
      </c>
      <c r="D15" s="176" t="inlineStr">
        <is>
          <t>67</t>
        </is>
      </c>
      <c r="E15" s="176" t="inlineStr">
        <is>
          <t>reported 2024 output over reported capacity, three plants; indicative</t>
        </is>
      </c>
      <c r="F15" s="176" t="inlineStr">
        <is>
          <t>60 / 75 / 90</t>
        </is>
      </c>
      <c r="G15" s="176" t="inlineStr">
        <is>
          <t>60 / 75 / 90</t>
        </is>
      </c>
      <c r="H15" s="176" t="inlineStr">
        <is>
          <t>60 / 75 / 90</t>
        </is>
      </c>
      <c r="I15" s="176" t="inlineStr">
        <is>
          <t>60 / 75 / 90</t>
        </is>
      </c>
      <c r="J15" s="176" t="inlineStr">
        <is>
          <t>no change</t>
        </is>
      </c>
      <c r="K15"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6" t="inlineStr">
        <is>
          <t>jet</t>
        </is>
      </c>
      <c r="B16" s="176" t="inlineStr">
        <is>
          <t>product_yield</t>
        </is>
      </c>
      <c r="C16" s="176" t="inlineStr">
        <is>
          <t>percent</t>
        </is>
      </c>
      <c r="D16" s="176" t="inlineStr">
        <is>
          <t>10</t>
        </is>
      </c>
      <c r="E16" s="176" t="inlineStr">
        <is>
          <t>registered legacy yield for capable plants</t>
        </is>
      </c>
      <c r="F16" s="176" t="inlineStr">
        <is>
          <t>5 / 10 / 15</t>
        </is>
      </c>
      <c r="G16" s="176" t="inlineStr">
        <is>
          <t>5 / 10 / 15</t>
        </is>
      </c>
      <c r="H16" s="176" t="inlineStr">
        <is>
          <t>5 / 10 / 15</t>
        </is>
      </c>
      <c r="I16" s="176" t="inlineStr">
        <is>
          <t>5 / 10 / 15</t>
        </is>
      </c>
      <c r="J16" s="176" t="inlineStr">
        <is>
          <t>no change</t>
        </is>
      </c>
      <c r="K16" s="176" t="inlineStr">
        <is>
          <t>Jet was 5 to 8% of the five fuels produced in the 2017-2021 energy balances, consistent with the range. No change proposed.</t>
        </is>
      </c>
    </row>
    <row r="17">
      <c r="A17" s="176" t="inlineStr">
        <is>
          <t>jet</t>
        </is>
      </c>
      <c r="B17" s="176" t="inlineStr">
        <is>
          <t>restart_capacity</t>
        </is>
      </c>
      <c r="C17" s="176" t="inlineStr">
        <is>
          <t>thousand_bbl_per_day</t>
        </is>
      </c>
      <c r="D17" s="176" t="inlineStr">
        <is>
          <t>0</t>
        </is>
      </c>
      <c r="E17" s="176" t="inlineStr">
        <is>
          <t>no committed addition</t>
        </is>
      </c>
      <c r="F17" s="176" t="inlineStr">
        <is>
          <t>0 / 0 / 0</t>
        </is>
      </c>
      <c r="G17" s="176" t="inlineStr">
        <is>
          <t>0 / 0 / 0</t>
        </is>
      </c>
      <c r="H17" s="176" t="inlineStr">
        <is>
          <t>0 / 0 / 400</t>
        </is>
      </c>
      <c r="I17" s="176" t="inlineStr">
        <is>
          <t>0 / 0 / 400</t>
        </is>
      </c>
      <c r="J17" s="176" t="inlineStr">
        <is>
          <t>no change</t>
        </is>
      </c>
      <c r="K17" s="176" t="inlineStr">
        <is>
          <t>Existing conditional illustration; no investment decision, timing or product slate is sourced.</t>
        </is>
      </c>
    </row>
    <row r="18">
      <c r="A18" s="176" t="inlineStr">
        <is>
          <t>petrol</t>
        </is>
      </c>
      <c r="B18" s="176" t="inlineStr">
        <is>
          <t>passenger_mileage</t>
        </is>
      </c>
      <c r="C18" s="176" t="inlineStr">
        <is>
          <t>km_per_vehicle_year</t>
        </is>
      </c>
      <c r="D18" s="176" t="inlineStr">
        <is>
          <t>17000</t>
        </is>
      </c>
      <c r="E18" s="176" t="inlineStr">
        <is>
          <t>registered placeholder; not an observation</t>
        </is>
      </c>
      <c r="F18" s="176" t="inlineStr">
        <is>
          <t>13600 / 17000 / 20400</t>
        </is>
      </c>
      <c r="G18" s="176" t="inlineStr">
        <is>
          <t>12900 / 14500 / 17000</t>
        </is>
      </c>
      <c r="H18" s="176" t="inlineStr">
        <is>
          <t>13600 / 17000 / 20400</t>
        </is>
      </c>
      <c r="I18" s="176" t="inlineStr">
        <is>
          <t>12900 / 14500 / 17000</t>
        </is>
      </c>
      <c r="J18" s="176" t="inlineStr">
        <is>
          <t>replacement proposed</t>
        </is>
      </c>
      <c r="K18" s="176"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6" t="inlineStr">
        <is>
          <t>petrol</t>
        </is>
      </c>
      <c r="B19" s="176" t="inlineStr">
        <is>
          <t>gdp_growth</t>
        </is>
      </c>
      <c r="C19" s="176" t="inlineStr">
        <is>
          <t>percent_per_year</t>
        </is>
      </c>
      <c r="D19" s="176" t="inlineStr">
        <is>
          <t>0.5</t>
        </is>
      </c>
      <c r="E19" s="176" t="inlineStr">
        <is>
          <t>real GDP growth in 2024 (Stats SA P0441)</t>
        </is>
      </c>
      <c r="F19" s="176" t="inlineStr">
        <is>
          <t>1 / 2 / 3</t>
        </is>
      </c>
      <c r="G19" s="176" t="inlineStr">
        <is>
          <t>0.7 / 1.6 / 2</t>
        </is>
      </c>
      <c r="H19" s="176" t="inlineStr">
        <is>
          <t>1 / 2 / 3</t>
        </is>
      </c>
      <c r="I19" s="176" t="inlineStr">
        <is>
          <t>0.7 / 1.6 / 2</t>
        </is>
      </c>
      <c r="J19" s="176" t="inlineStr">
        <is>
          <t>replacement proposed</t>
        </is>
      </c>
      <c r="K19" s="176"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6" t="inlineStr">
        <is>
          <t>petrol</t>
        </is>
      </c>
      <c r="B20" s="176" t="inlineStr">
        <is>
          <t>bev_new_sales_share</t>
        </is>
      </c>
      <c r="C20" s="176" t="inlineStr">
        <is>
          <t>percent</t>
        </is>
      </c>
      <c r="D20" s="176" t="inlineStr">
        <is>
          <t>0.2</t>
        </is>
      </c>
      <c r="E20" s="176" t="inlineStr">
        <is>
          <t>1,088 battery electric vehicles sold in 2025, share of all new vehicles (naamsa)</t>
        </is>
      </c>
      <c r="F20" s="176" t="inlineStr">
        <is>
          <t>5 / 15 / 30</t>
        </is>
      </c>
      <c r="G20" s="176" t="inlineStr">
        <is>
          <t>0.5 / 4 / 20</t>
        </is>
      </c>
      <c r="H20" s="176" t="inlineStr">
        <is>
          <t>15 / 35 / 60</t>
        </is>
      </c>
      <c r="I20" s="176" t="inlineStr">
        <is>
          <t>2 / 15 / 40</t>
        </is>
      </c>
      <c r="J20" s="176" t="inlineStr">
        <is>
          <t>replacement proposed</t>
        </is>
      </c>
      <c r="K20" s="176"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6" t="inlineStr">
        <is>
          <t>petrol</t>
        </is>
      </c>
      <c r="B21" s="176" t="inlineStr">
        <is>
          <t>new_cohort_efficiency</t>
        </is>
      </c>
      <c r="C21" s="176" t="inlineStr">
        <is>
          <t>percent_per_year</t>
        </is>
      </c>
      <c r="D21" s="176" t="inlineStr">
        <is>
          <t>1.0 to 1.5</t>
        </is>
      </c>
      <c r="E21" s="176" t="inlineStr">
        <is>
          <t>registered petrol efficiency paths (low and high demand cases)</t>
        </is>
      </c>
      <c r="F21" s="176" t="inlineStr">
        <is>
          <t>1 / 1.25 / 1.5</t>
        </is>
      </c>
      <c r="G21" s="176" t="inlineStr">
        <is>
          <t>1 / 1.25 / 1.5</t>
        </is>
      </c>
      <c r="H21" s="176" t="inlineStr">
        <is>
          <t>1 / 1.25 / 1.5</t>
        </is>
      </c>
      <c r="I21" s="176" t="inlineStr">
        <is>
          <t>1 / 1.25 / 1.5</t>
        </is>
      </c>
      <c r="J21" s="176" t="inlineStr">
        <is>
          <t>no change</t>
        </is>
      </c>
      <c r="K21" s="176" t="inlineStr">
        <is>
          <t>Low and high equal the registered endpoints. Neither has a source. No change proposed.</t>
        </is>
      </c>
    </row>
    <row r="22">
      <c r="A22" s="176" t="inlineStr">
        <is>
          <t>petrol</t>
        </is>
      </c>
      <c r="B22" s="176" t="inlineStr">
        <is>
          <t>plant_utilisation</t>
        </is>
      </c>
      <c r="C22" s="176" t="inlineStr">
        <is>
          <t>percent</t>
        </is>
      </c>
      <c r="D22" s="176" t="inlineStr">
        <is>
          <t>67</t>
        </is>
      </c>
      <c r="E22" s="176" t="inlineStr">
        <is>
          <t>reported 2024 output over reported capacity, three plants; indicative</t>
        </is>
      </c>
      <c r="F22" s="176" t="inlineStr">
        <is>
          <t>60 / 75 / 90</t>
        </is>
      </c>
      <c r="G22" s="176" t="inlineStr">
        <is>
          <t>60 / 75 / 90</t>
        </is>
      </c>
      <c r="H22" s="176" t="inlineStr">
        <is>
          <t>60 / 75 / 90</t>
        </is>
      </c>
      <c r="I22" s="176" t="inlineStr">
        <is>
          <t>60 / 75 / 90</t>
        </is>
      </c>
      <c r="J22" s="176" t="inlineStr">
        <is>
          <t>no change</t>
        </is>
      </c>
      <c r="K22"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6" t="inlineStr">
        <is>
          <t>petrol</t>
        </is>
      </c>
      <c r="B23" s="176" t="inlineStr">
        <is>
          <t>product_yield</t>
        </is>
      </c>
      <c r="C23" s="176" t="inlineStr">
        <is>
          <t>percent</t>
        </is>
      </c>
      <c r="D23" s="176" t="inlineStr">
        <is>
          <t>54</t>
        </is>
      </c>
      <c r="E23" s="176" t="inlineStr">
        <is>
          <t>petrol share of refinery output in 2024 (JODI; lowest reliability)</t>
        </is>
      </c>
      <c r="F23" s="176" t="inlineStr">
        <is>
          <t>35 / 45 / 55</t>
        </is>
      </c>
      <c r="G23" s="176" t="inlineStr">
        <is>
          <t>45 / 50 / 55</t>
        </is>
      </c>
      <c r="H23" s="176" t="inlineStr">
        <is>
          <t>35 / 45 / 55</t>
        </is>
      </c>
      <c r="I23" s="176" t="inlineStr">
        <is>
          <t>45 / 50 / 55</t>
        </is>
      </c>
      <c r="J23" s="176" t="inlineStr">
        <is>
          <t>replacement proposed</t>
        </is>
      </c>
      <c r="K23" s="176"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6" t="inlineStr">
        <is>
          <t>petrol</t>
        </is>
      </c>
      <c r="B24" s="176" t="inlineStr">
        <is>
          <t>restart_capacity</t>
        </is>
      </c>
      <c r="C24" s="176" t="inlineStr">
        <is>
          <t>thousand_bbl_per_day</t>
        </is>
      </c>
      <c r="D24" s="176" t="inlineStr">
        <is>
          <t>0</t>
        </is>
      </c>
      <c r="E24" s="176" t="inlineStr">
        <is>
          <t>no committed addition</t>
        </is>
      </c>
      <c r="F24" s="176" t="inlineStr">
        <is>
          <t>0 / 0 / 0</t>
        </is>
      </c>
      <c r="G24" s="176" t="inlineStr">
        <is>
          <t>0 / 0 / 0</t>
        </is>
      </c>
      <c r="H24" s="176" t="inlineStr">
        <is>
          <t>0 / 0 / 400</t>
        </is>
      </c>
      <c r="I24" s="176" t="inlineStr">
        <is>
          <t>0 / 0 / 400</t>
        </is>
      </c>
      <c r="J24" s="176" t="inlineStr">
        <is>
          <t>no change</t>
        </is>
      </c>
      <c r="K24" s="176" t="inlineStr">
        <is>
          <t>Existing conditional illustration; no investment decision, timing or product slate is sourced.</t>
        </is>
      </c>
    </row>
    <row r="25">
      <c r="A25" s="176" t="inlineStr">
        <is>
          <t>diesel</t>
        </is>
      </c>
      <c r="B25" s="176" t="inlineStr">
        <is>
          <t>real_fuel_price</t>
        </is>
      </c>
      <c r="C25" s="176" t="inlineStr">
        <is>
          <t>index_2024_100</t>
        </is>
      </c>
      <c r="D25" s="176" t="inlineStr">
        <is>
          <t>100</t>
        </is>
      </c>
      <c r="E25" s="176" t="inlineStr">
        <is>
          <t>regulated inland price deflated by headline CPI, 2024 average</t>
        </is>
      </c>
      <c r="F25" s="176" t="inlineStr">
        <is>
          <t>- / - / -</t>
        </is>
      </c>
      <c r="G25" s="176" t="inlineStr">
        <is>
          <t>80 / 100 / 140</t>
        </is>
      </c>
      <c r="H25" s="176" t="inlineStr">
        <is>
          <t>- / - / -</t>
        </is>
      </c>
      <c r="I25" s="176" t="inlineStr">
        <is>
          <t>80 / 100 / 140</t>
        </is>
      </c>
      <c r="J25" s="176" t="inlineStr">
        <is>
          <t>added lever</t>
        </is>
      </c>
      <c r="K25" s="176"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6" t="inlineStr">
        <is>
          <t>diesel</t>
        </is>
      </c>
      <c r="B26" s="176" t="inlineStr">
        <is>
          <t>private_backup_generation</t>
        </is>
      </c>
      <c r="C26" s="176" t="inlineStr">
        <is>
          <t>bn_litres_per_year</t>
        </is>
      </c>
      <c r="D26" s="176" t="inlineStr">
        <is>
          <t>not measured</t>
        </is>
      </c>
      <c r="E26" s="176" t="inlineStr">
        <is>
          <t>no measured volume exists</t>
        </is>
      </c>
      <c r="F26" s="176" t="inlineStr">
        <is>
          <t>- / - / -</t>
        </is>
      </c>
      <c r="G26" s="176" t="inlineStr">
        <is>
          <t>0 / 0 / 0.5</t>
        </is>
      </c>
      <c r="H26" s="176" t="inlineStr">
        <is>
          <t>- / - / -</t>
        </is>
      </c>
      <c r="I26" s="176" t="inlineStr">
        <is>
          <t>0 / 0 / 0.5</t>
        </is>
      </c>
      <c r="J26" s="176" t="inlineStr">
        <is>
          <t>added lever</t>
        </is>
      </c>
      <c r="K26" s="176"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6" t="inlineStr">
        <is>
          <t>diesel</t>
        </is>
      </c>
      <c r="B27" s="176" t="inlineStr">
        <is>
          <t>electric_share_of_new_truck_sales</t>
        </is>
      </c>
      <c r="C27" s="176" t="inlineStr">
        <is>
          <t>percent</t>
        </is>
      </c>
      <c r="D27" s="176" t="inlineStr">
        <is>
          <t>not reported</t>
        </is>
      </c>
      <c r="E27" s="176" t="inlineStr">
        <is>
          <t>naamsa reports electrified sales for the whole market only; assumed close to zero</t>
        </is>
      </c>
      <c r="F27" s="176" t="inlineStr">
        <is>
          <t>- / - / -</t>
        </is>
      </c>
      <c r="G27" s="176" t="inlineStr">
        <is>
          <t>0 / 0.4 / 3</t>
        </is>
      </c>
      <c r="H27" s="176" t="inlineStr">
        <is>
          <t>- / - / -</t>
        </is>
      </c>
      <c r="I27" s="176" t="inlineStr">
        <is>
          <t>0 / 3 / 9</t>
        </is>
      </c>
      <c r="J27" s="176" t="inlineStr">
        <is>
          <t>added lever</t>
        </is>
      </c>
      <c r="K27" s="176"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6" t="inlineStr">
        <is>
          <t>diesel</t>
        </is>
      </c>
      <c r="B28" s="176" t="inlineStr">
        <is>
          <t>electric_share_of_new_light_commercial_sales</t>
        </is>
      </c>
      <c r="C28" s="176" t="inlineStr">
        <is>
          <t>percent</t>
        </is>
      </c>
      <c r="D28" s="176" t="inlineStr">
        <is>
          <t>not reported</t>
        </is>
      </c>
      <c r="E28" s="176" t="inlineStr">
        <is>
          <t>naamsa reports electrified sales for the whole market only; assumed close to zero</t>
        </is>
      </c>
      <c r="F28" s="176" t="inlineStr">
        <is>
          <t>- / - / -</t>
        </is>
      </c>
      <c r="G28" s="176" t="inlineStr">
        <is>
          <t>0 / 1 / 5</t>
        </is>
      </c>
      <c r="H28" s="176" t="inlineStr">
        <is>
          <t>- / - / -</t>
        </is>
      </c>
      <c r="I28" s="176" t="inlineStr">
        <is>
          <t>0 / 5 / 10</t>
        </is>
      </c>
      <c r="J28" s="176" t="inlineStr">
        <is>
          <t>added lever</t>
        </is>
      </c>
      <c r="K28" s="176"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6" t="inlineStr">
        <is>
          <t>petrol</t>
        </is>
      </c>
      <c r="B29" s="176" t="inlineStr">
        <is>
          <t>real_fuel_price</t>
        </is>
      </c>
      <c r="C29" s="176" t="inlineStr">
        <is>
          <t>index_2024_100</t>
        </is>
      </c>
      <c r="D29" s="176" t="inlineStr">
        <is>
          <t>100</t>
        </is>
      </c>
      <c r="E29" s="176" t="inlineStr">
        <is>
          <t>regulated inland price deflated by headline CPI, 2024 average</t>
        </is>
      </c>
      <c r="F29" s="176" t="inlineStr">
        <is>
          <t>- / - / -</t>
        </is>
      </c>
      <c r="G29" s="176" t="inlineStr">
        <is>
          <t>80 / 100 / 120</t>
        </is>
      </c>
      <c r="H29" s="176" t="inlineStr">
        <is>
          <t>- / - / -</t>
        </is>
      </c>
      <c r="I29" s="176" t="inlineStr">
        <is>
          <t>80 / 100 / 120</t>
        </is>
      </c>
      <c r="J29" s="176" t="inlineStr">
        <is>
          <t>added lever</t>
        </is>
      </c>
      <c r="K29" s="176"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6" t="inlineStr">
        <is>
          <t>petrol</t>
        </is>
      </c>
      <c r="B30" s="176" t="inlineStr">
        <is>
          <t>plug_in_hybrid_new_sales_share</t>
        </is>
      </c>
      <c r="C30" s="176" t="inlineStr">
        <is>
          <t>percent</t>
        </is>
      </c>
      <c r="D30" s="176" t="inlineStr">
        <is>
          <t>0.5</t>
        </is>
      </c>
      <c r="E30" s="176" t="inlineStr">
        <is>
          <t>share of all new vehicles in 2025 (naamsa)</t>
        </is>
      </c>
      <c r="F30" s="176" t="inlineStr">
        <is>
          <t>- / - / -</t>
        </is>
      </c>
      <c r="G30" s="176" t="inlineStr">
        <is>
          <t>0.5 / 1.2 / 2.1</t>
        </is>
      </c>
      <c r="H30" s="176" t="inlineStr">
        <is>
          <t>- / - / -</t>
        </is>
      </c>
      <c r="I30" s="176" t="inlineStr">
        <is>
          <t>0.5 / 2 / 3.7</t>
        </is>
      </c>
      <c r="J30" s="176" t="inlineStr">
        <is>
          <t>added lever</t>
        </is>
      </c>
      <c r="K30" s="176"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6" t="inlineStr">
        <is>
          <t>petrol</t>
        </is>
      </c>
      <c r="B31" s="176" t="inlineStr">
        <is>
          <t>conventional_hybrid_new_sales_share</t>
        </is>
      </c>
      <c r="C31" s="176" t="inlineStr">
        <is>
          <t>percent</t>
        </is>
      </c>
      <c r="D31" s="176" t="inlineStr">
        <is>
          <t>2.1</t>
        </is>
      </c>
      <c r="E31" s="176" t="inlineStr">
        <is>
          <t>share of all new vehicles in 2025 (naamsa)</t>
        </is>
      </c>
      <c r="F31" s="176" t="inlineStr">
        <is>
          <t>- / - / -</t>
        </is>
      </c>
      <c r="G31" s="176" t="inlineStr">
        <is>
          <t>2.1 / 4.4 / 6.7</t>
        </is>
      </c>
      <c r="H31" s="176" t="inlineStr">
        <is>
          <t>- / - / -</t>
        </is>
      </c>
      <c r="I31" s="176" t="inlineStr">
        <is>
          <t>2.1 / 6.7 / 11.3</t>
        </is>
      </c>
      <c r="J31" s="176" t="inlineStr">
        <is>
          <t>added lever</t>
        </is>
      </c>
      <c r="K31" s="176"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6" t="inlineStr">
        <is>
          <t>petrol</t>
        </is>
      </c>
      <c r="B32" s="176" t="inlineStr">
        <is>
          <t>rail_passenger_journeys</t>
        </is>
      </c>
      <c r="C32" s="176" t="inlineStr">
        <is>
          <t>million_per_year</t>
        </is>
      </c>
      <c r="D32" s="176" t="inlineStr">
        <is>
          <t>74</t>
        </is>
      </c>
      <c r="E32" s="176" t="inlineStr">
        <is>
          <t>rail passenger journeys in 2024 (Stats SA P7162)</t>
        </is>
      </c>
      <c r="F32" s="176" t="inlineStr">
        <is>
          <t>- / - / -</t>
        </is>
      </c>
      <c r="G32" s="176" t="inlineStr">
        <is>
          <t>100 / 180 / 320</t>
        </is>
      </c>
      <c r="H32" s="176" t="inlineStr">
        <is>
          <t>- / - / -</t>
        </is>
      </c>
      <c r="I32" s="176" t="inlineStr">
        <is>
          <t>100 / 250 / 320</t>
        </is>
      </c>
      <c r="J32" s="176" t="inlineStr">
        <is>
          <t>added lever</t>
        </is>
      </c>
      <c r="K32" s="176"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6" t="inlineStr">
        <is>
          <t>throughput</t>
        </is>
      </c>
      <c r="B33" s="176" t="inlineStr">
        <is>
          <t>exports_to_neighbours</t>
        </is>
      </c>
      <c r="C33" s="176" t="inlineStr">
        <is>
          <t>bn_litres_per_year</t>
        </is>
      </c>
      <c r="D33" s="176" t="inlineStr">
        <is>
          <t>1.48</t>
        </is>
      </c>
      <c r="E33" s="176" t="inlineStr">
        <is>
          <t>petrol and diesel exported to nine neighbouring countries in 2024 (SARS customs)</t>
        </is>
      </c>
      <c r="F33" s="176" t="inlineStr">
        <is>
          <t>- / - / -</t>
        </is>
      </c>
      <c r="G33" s="176" t="inlineStr">
        <is>
          <t>0.7 / 1.4 / 1.7</t>
        </is>
      </c>
      <c r="H33" s="176" t="inlineStr">
        <is>
          <t>- / - / -</t>
        </is>
      </c>
      <c r="I33" s="176" t="inlineStr">
        <is>
          <t>0.7 / 1.4 / 1.7</t>
        </is>
      </c>
      <c r="J33" s="176" t="inlineStr">
        <is>
          <t>added lever</t>
        </is>
      </c>
      <c r="K33" s="176"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6" t="inlineStr">
        <is>
          <t>G01</t>
        </is>
      </c>
      <c r="B5" s="176" t="inlineStr">
        <is>
          <t>National fuel balance</t>
        </is>
      </c>
      <c r="C5" s="176" t="inlineStr">
        <is>
          <t>Narrowed</t>
        </is>
      </c>
      <c r="D5" s="176" t="inlineStr">
        <is>
          <t>Balance rebuilt on customs trade for 2014-2025; Road Accident Fund levy found as an independent count.</t>
        </is>
      </c>
      <c r="E5" s="176" t="inlineStr">
        <is>
          <t>2024 sales source; no 2025 sales figure; production by product after 2021; stocks.</t>
        </is>
      </c>
      <c r="F5" s="176" t="inlineStr">
        <is>
          <t>History, sections 2-5</t>
        </is>
      </c>
    </row>
    <row r="6">
      <c r="A6" s="176" t="inlineStr">
        <is>
          <t>G02</t>
        </is>
      </c>
      <c r="B6" s="176" t="inlineStr">
        <is>
          <t>Fleet and new sales</t>
        </is>
      </c>
      <c r="C6" s="176" t="inlineStr">
        <is>
          <t>Narrowed</t>
        </is>
      </c>
      <c r="D6" s="176" t="inlineStr">
        <is>
          <t>Registered vehicles by class 2021-2025, new sales 2017-2025 and apparent retirements lined up against the model.</t>
        </is>
      </c>
      <c r="E6" s="176" t="inlineStr">
        <is>
          <t>Stock by age and by fuel within each class is in no source held.</t>
        </is>
      </c>
      <c r="F6" s="176" t="inlineStr">
        <is>
          <t>Vehicle history</t>
        </is>
      </c>
    </row>
    <row r="7">
      <c r="A7" s="176" t="inlineStr">
        <is>
          <t>G03</t>
        </is>
      </c>
      <c r="B7" s="176" t="inlineStr">
        <is>
          <t>Passenger electrification</t>
        </is>
      </c>
      <c r="C7" s="176" t="inlineStr">
        <is>
          <t>Narrowed</t>
        </is>
      </c>
      <c r="D7" s="176" t="inlineStr">
        <is>
          <t>Battery electric, plug-in and conventional hybrid sales and shares, 2019-2025.</t>
        </is>
      </c>
      <c r="E7" s="176" t="inlineStr">
        <is>
          <t>Passenger-only denominators; electric vehicles in the fleet after 2023; fuel saved by hybrids.</t>
        </is>
      </c>
      <c r="F7" s="176" t="inlineStr">
        <is>
          <t>Vehicle history, section 4</t>
        </is>
      </c>
    </row>
    <row r="8">
      <c r="A8" s="176" t="inlineStr">
        <is>
          <t>G04</t>
        </is>
      </c>
      <c r="B8" s="176" t="inlineStr">
        <is>
          <t>Road freight activity</t>
        </is>
      </c>
      <c r="C8" s="176" t="inlineStr">
        <is>
          <t>Narrowed</t>
        </is>
      </c>
      <c r="D8" s="176" t="inlineStr">
        <is>
          <t>Heavy vehicle diesel is estimated for every year and set against road freight tonnes, giving litres per tonne. Stats SA fuel purchases by road freight firms give a floor of about 2.9 bn litres (2019) and 3.2 bn (2023).</t>
        </is>
      </c>
      <c r="E8" s="176" t="inlineStr">
        <is>
          <t>An annual tonne-kilometre series (only 2013 is published); distance, payload and empty running; light commercial freight scope.</t>
        </is>
      </c>
      <c r="F8" s="176" t="inlineStr">
        <is>
          <t>Diesel by use, sections 3, 3b and 4</t>
        </is>
      </c>
    </row>
    <row r="9">
      <c r="A9" s="176" t="inlineStr">
        <is>
          <t>G05</t>
        </is>
      </c>
      <c r="B9" s="176" t="inlineStr">
        <is>
          <t>Freight electrification</t>
        </is>
      </c>
      <c r="C9" s="176" t="inlineStr">
        <is>
          <t>Proposed</t>
        </is>
      </c>
      <c r="D9" s="176"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6" t="inlineStr">
        <is>
          <t>South African sales of electric trucks by size; duty cycles that could switch first; charging at depots.</t>
        </is>
      </c>
      <c r="F9" s="176" t="inlineStr">
        <is>
          <t>HML response</t>
        </is>
      </c>
    </row>
    <row r="10">
      <c r="A10" s="176" t="inlineStr">
        <is>
          <t>G06</t>
        </is>
      </c>
      <c r="B10" s="176" t="inlineStr">
        <is>
          <t>Manufacturing</t>
        </is>
      </c>
      <c r="C10" s="176" t="inlineStr">
        <is>
          <t>Narrowed</t>
        </is>
      </c>
      <c r="D10" s="176" t="inlineStr">
        <is>
          <t>Manufacturing and other industry diesel by difference, 2016-2021 (0.16-0.23 bn litres), with litres per index point.</t>
        </is>
      </c>
      <c r="E10" s="176" t="inlineStr">
        <is>
          <t>Sub-sector detail; the balance has no manufacturing lines before 2016.</t>
        </is>
      </c>
      <c r="F10" s="176" t="inlineStr">
        <is>
          <t>Sector history</t>
        </is>
      </c>
    </row>
    <row r="11">
      <c r="A11" s="176" t="inlineStr">
        <is>
          <t>G07</t>
        </is>
      </c>
      <c r="B11" s="176" t="inlineStr">
        <is>
          <t>Mining and construction</t>
        </is>
      </c>
      <c r="C11" s="176" t="inlineStr">
        <is>
          <t>Narrowed</t>
        </is>
      </c>
      <c r="D11" s="176" t="inlineStr">
        <is>
          <t>Mining diesel 2012-2021 with litres per index point (11-17 million); indicative 2022-2025.</t>
        </is>
      </c>
      <c r="E11" s="176" t="inlineStr">
        <is>
          <t>Observed fuel after 2021; site and commodity split; on-road boundary.</t>
        </is>
      </c>
      <c r="F11" s="176" t="inlineStr">
        <is>
          <t>Sector history</t>
        </is>
      </c>
    </row>
    <row r="12">
      <c r="A12" s="176" t="inlineStr">
        <is>
          <t>G08</t>
        </is>
      </c>
      <c r="B12" s="176" t="inlineStr">
        <is>
          <t>Agriculture</t>
        </is>
      </c>
      <c r="C12" s="176" t="inlineStr">
        <is>
          <t>Narrowed</t>
        </is>
      </c>
      <c r="D12" s="176" t="inlineStr">
        <is>
          <t>Agriculture diesel 2012-2021 with litres per rand of value added; indicative 2022-2025. Rebated diesel across all rebate sectors is 1.46 bn litres (year to March 2025).</t>
        </is>
      </c>
      <c r="E12" s="176" t="inlineStr">
        <is>
          <t>A fuel baseline after 2021; crop and irrigation activity.</t>
        </is>
      </c>
      <c r="F12" s="176" t="inlineStr">
        <is>
          <t>Sector history</t>
        </is>
      </c>
    </row>
    <row r="13">
      <c r="A13" s="176" t="inlineStr">
        <is>
          <t>G09</t>
        </is>
      </c>
      <c r="B13" s="176" t="inlineStr">
        <is>
          <t>Generation</t>
        </is>
      </c>
      <c r="C13" s="176" t="inlineStr">
        <is>
          <t>Narrowed</t>
        </is>
      </c>
      <c r="D13" s="176" t="inlineStr">
        <is>
          <t>Generation to the year ending March 2026; 0.31 litres per kWh in three reported years. The model's 2024 figure (3.58 bn litres) is at least 2 bn above reported burn.</t>
        </is>
      </c>
      <c r="E13" s="176" t="inlineStr">
        <is>
          <t>Matched fuel burn by calendar year; private backup generation has no measured volume.</t>
        </is>
      </c>
      <c r="F13" s="176" t="inlineStr">
        <is>
          <t>Diesel by use, section 1</t>
        </is>
      </c>
    </row>
    <row r="14">
      <c r="A14" s="176" t="inlineStr">
        <is>
          <t>G10</t>
        </is>
      </c>
      <c r="B14" s="176" t="inlineStr">
        <is>
          <t>Aviation</t>
        </is>
      </c>
      <c r="C14" s="176" t="inlineStr">
        <is>
          <t>Narrowed</t>
        </is>
      </c>
      <c r="D14" s="176" t="inlineStr">
        <is>
          <t>Jet sales, trade, production and aircraft movements lined up; jet sold per movement computed.</t>
        </is>
      </c>
      <c r="E14" s="176" t="inlineStr">
        <is>
          <t>Cargo, aircraft and route mix; airports outside ACSA; jet by airport.</t>
        </is>
      </c>
      <c r="F14" s="176" t="inlineStr">
        <is>
          <t>History, section 7</t>
        </is>
      </c>
    </row>
    <row r="15">
      <c r="A15" s="176" t="inlineStr">
        <is>
          <t>G11</t>
        </is>
      </c>
      <c r="B15" s="176" t="inlineStr">
        <is>
          <t>Provincial demand</t>
        </is>
      </c>
      <c r="C15" s="176" t="inlineStr">
        <is>
          <t>Narrowed</t>
        </is>
      </c>
      <c r="D15" s="176" t="inlineStr">
        <is>
          <t>2013-2022 observed; 2023 and 2024 estimated with the best of six methods back-tested.</t>
        </is>
      </c>
      <c r="E15" s="176" t="inlineStr">
        <is>
          <t>District data after 2023 quarter 1, which the department has not published; 2025 national total.</t>
        </is>
      </c>
      <c r="F15" s="176" t="inlineStr">
        <is>
          <t>History, sections 1 and 6</t>
        </is>
      </c>
    </row>
    <row r="16">
      <c r="A16" s="176" t="inlineStr">
        <is>
          <t>G12</t>
        </is>
      </c>
      <c r="B16" s="176" t="inlineStr">
        <is>
          <t>Marine and other coverage</t>
        </is>
      </c>
      <c r="C16" s="176" t="inlineStr">
        <is>
          <t>Open</t>
        </is>
      </c>
      <c r="D16" s="176" t="inlineStr">
        <is>
          <t>Nothing new. The model's marine placeholder equals the 2007 balance figure.</t>
        </is>
      </c>
      <c r="E16" s="176" t="inlineStr">
        <is>
          <t>Everything listed.</t>
        </is>
      </c>
      <c r="F16" s="176" t="inlineStr"/>
    </row>
    <row r="17">
      <c r="A17" s="176" t="inlineStr">
        <is>
          <t>G13</t>
        </is>
      </c>
      <c r="B17" s="176" t="inlineStr">
        <is>
          <t>Ranges and annual forecast paths</t>
        </is>
      </c>
      <c r="C17" s="176" t="inlineStr">
        <is>
          <t>Proposed</t>
        </is>
      </c>
      <c r="D17" s="176" t="inlineStr">
        <is>
          <t>Baseline, rationale and source for all 20 levers; 39 of 120 values with a proposed replacement; nine levers added.</t>
        </is>
      </c>
      <c r="E17" s="176" t="inlineStr">
        <is>
          <t>Agreement on the reference case and annual paths.</t>
        </is>
      </c>
      <c r="F17" s="176" t="inlineStr">
        <is>
          <t>HML response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7" t="inlineStr">
        <is>
          <t>Evidence row</t>
        </is>
      </c>
      <c r="B4" s="177" t="inlineStr">
        <is>
          <t>Series</t>
        </is>
      </c>
      <c r="C4" s="177" t="inlineStr">
        <is>
          <t>Year</t>
        </is>
      </c>
      <c r="D4" s="177" t="inlineStr">
        <is>
          <t>Workbook value</t>
        </is>
      </c>
      <c r="E4" s="177" t="inlineStr">
        <is>
          <t>Recomputed from inputs</t>
        </is>
      </c>
      <c r="F4" s="177" t="inlineStr">
        <is>
          <t>Result</t>
        </is>
      </c>
      <c r="G4" s="177" t="inlineStr">
        <is>
          <t>Input file</t>
        </is>
      </c>
    </row>
    <row r="5">
      <c r="A5" s="1" t="inlineStr">
        <is>
          <t>F5</t>
        </is>
      </c>
      <c r="B5" s="1" t="inlineStr">
        <is>
          <t>sales_petrol</t>
        </is>
      </c>
      <c r="C5" s="1" t="n">
        <v>2022</v>
      </c>
      <c r="D5" s="178" t="n">
        <v>9185</v>
      </c>
      <c r="E5" s="178" t="n">
        <v>9185</v>
      </c>
      <c r="F5" s="1" t="inlineStr">
        <is>
          <t>matches</t>
        </is>
      </c>
      <c r="G5" s="1" t="inlineStr">
        <is>
          <t>fuel_sales_fiasa.csv</t>
        </is>
      </c>
    </row>
    <row r="6">
      <c r="A6" s="1" t="inlineStr">
        <is>
          <t>G5</t>
        </is>
      </c>
      <c r="B6" s="1" t="inlineStr">
        <is>
          <t>sales_petrol</t>
        </is>
      </c>
      <c r="C6" s="1" t="n">
        <v>2023</v>
      </c>
      <c r="D6" s="178" t="n">
        <v>9037</v>
      </c>
      <c r="E6" s="178" t="n">
        <v>9037</v>
      </c>
      <c r="F6" s="1" t="inlineStr">
        <is>
          <t>matches</t>
        </is>
      </c>
      <c r="G6" s="1" t="inlineStr">
        <is>
          <t>fuel_sales_fiasa.csv</t>
        </is>
      </c>
    </row>
    <row r="7">
      <c r="A7" s="1" t="inlineStr">
        <is>
          <t>H5</t>
        </is>
      </c>
      <c r="B7" s="1" t="inlineStr">
        <is>
          <t>sales_petrol</t>
        </is>
      </c>
      <c r="C7" s="1" t="n">
        <v>2024</v>
      </c>
      <c r="D7" s="178" t="n">
        <v>9029</v>
      </c>
      <c r="E7" s="178" t="n">
        <v>9029</v>
      </c>
      <c r="F7" s="1" t="inlineStr">
        <is>
          <t>matches</t>
        </is>
      </c>
      <c r="G7" s="1" t="inlineStr">
        <is>
          <t>fuel_sales_fiasa.csv</t>
        </is>
      </c>
    </row>
    <row r="8">
      <c r="A8" s="1" t="inlineStr">
        <is>
          <t>F6</t>
        </is>
      </c>
      <c r="B8" s="1" t="inlineStr">
        <is>
          <t>dept_petrol</t>
        </is>
      </c>
      <c r="C8" s="1" t="n">
        <v>2022</v>
      </c>
      <c r="D8" s="178" t="n">
        <v>9184.869915572999</v>
      </c>
      <c r="E8" s="178" t="n">
        <v>9184.869915572999</v>
      </c>
      <c r="F8" s="1" t="inlineStr">
        <is>
          <t>matches</t>
        </is>
      </c>
      <c r="G8" s="1" t="inlineStr">
        <is>
          <t>fuel_sales_department.csv</t>
        </is>
      </c>
    </row>
    <row r="9">
      <c r="A9" s="1" t="inlineStr">
        <is>
          <t>G6</t>
        </is>
      </c>
      <c r="B9" s="1" t="inlineStr">
        <is>
          <t>dept_petrol</t>
        </is>
      </c>
      <c r="C9" s="1" t="n">
        <v>2023</v>
      </c>
      <c r="D9" s="178" t="n">
        <v>9036.950113492001</v>
      </c>
      <c r="E9" s="178" t="n">
        <v>9036.950113492001</v>
      </c>
      <c r="F9" s="1" t="inlineStr">
        <is>
          <t>matches</t>
        </is>
      </c>
      <c r="G9" s="1" t="inlineStr">
        <is>
          <t>fuel_sales_department.csv</t>
        </is>
      </c>
    </row>
    <row r="10">
      <c r="A10" s="1" t="inlineStr">
        <is>
          <t>F7</t>
        </is>
      </c>
      <c r="B10" s="1" t="inlineStr">
        <is>
          <t>sales_diesel</t>
        </is>
      </c>
      <c r="C10" s="1" t="n">
        <v>2022</v>
      </c>
      <c r="D10" s="178" t="n">
        <v>12717</v>
      </c>
      <c r="E10" s="178" t="n">
        <v>12717</v>
      </c>
      <c r="F10" s="1" t="inlineStr">
        <is>
          <t>matches</t>
        </is>
      </c>
      <c r="G10" s="1" t="inlineStr">
        <is>
          <t>fuel_sales_fiasa.csv</t>
        </is>
      </c>
    </row>
    <row r="11">
      <c r="A11" s="1" t="inlineStr">
        <is>
          <t>G7</t>
        </is>
      </c>
      <c r="B11" s="1" t="inlineStr">
        <is>
          <t>sales_diesel</t>
        </is>
      </c>
      <c r="C11" s="1" t="n">
        <v>2023</v>
      </c>
      <c r="D11" s="178" t="n">
        <v>12907</v>
      </c>
      <c r="E11" s="178" t="n">
        <v>12907</v>
      </c>
      <c r="F11" s="1" t="inlineStr">
        <is>
          <t>matches</t>
        </is>
      </c>
      <c r="G11" s="1" t="inlineStr">
        <is>
          <t>fuel_sales_fiasa.csv</t>
        </is>
      </c>
    </row>
    <row r="12">
      <c r="A12" s="1" t="inlineStr">
        <is>
          <t>H7</t>
        </is>
      </c>
      <c r="B12" s="1" t="inlineStr">
        <is>
          <t>sales_diesel</t>
        </is>
      </c>
      <c r="C12" s="1" t="n">
        <v>2024</v>
      </c>
      <c r="D12" s="178" t="n">
        <v>11734</v>
      </c>
      <c r="E12" s="178" t="n">
        <v>11734</v>
      </c>
      <c r="F12" s="1" t="inlineStr">
        <is>
          <t>matches</t>
        </is>
      </c>
      <c r="G12" s="1" t="inlineStr">
        <is>
          <t>fuel_sales_fiasa.csv</t>
        </is>
      </c>
    </row>
    <row r="13">
      <c r="A13" s="1" t="inlineStr">
        <is>
          <t>F8</t>
        </is>
      </c>
      <c r="B13" s="1" t="inlineStr">
        <is>
          <t>dept_diesel</t>
        </is>
      </c>
      <c r="C13" s="1" t="n">
        <v>2022</v>
      </c>
      <c r="D13" s="178" t="n">
        <v>12717.326319019</v>
      </c>
      <c r="E13" s="178" t="n">
        <v>12717.326319019</v>
      </c>
      <c r="F13" s="1" t="inlineStr">
        <is>
          <t>matches</t>
        </is>
      </c>
      <c r="G13" s="1" t="inlineStr">
        <is>
          <t>fuel_sales_department.csv</t>
        </is>
      </c>
    </row>
    <row r="14">
      <c r="A14" s="1" t="inlineStr">
        <is>
          <t>G8</t>
        </is>
      </c>
      <c r="B14" s="1" t="inlineStr">
        <is>
          <t>dept_diesel</t>
        </is>
      </c>
      <c r="C14" s="1" t="n">
        <v>2023</v>
      </c>
      <c r="D14" s="178" t="n">
        <v>12907.499965808</v>
      </c>
      <c r="E14" s="178" t="n">
        <v>12907.499965808</v>
      </c>
      <c r="F14" s="1" t="inlineStr">
        <is>
          <t>matches</t>
        </is>
      </c>
      <c r="G14" s="1" t="inlineStr">
        <is>
          <t>fuel_sales_department.csv</t>
        </is>
      </c>
    </row>
    <row r="15">
      <c r="A15" s="1" t="inlineStr">
        <is>
          <t>F9</t>
        </is>
      </c>
      <c r="B15" s="1" t="inlineStr">
        <is>
          <t>sales_jet</t>
        </is>
      </c>
      <c r="C15" s="1" t="n">
        <v>2022</v>
      </c>
      <c r="D15" s="178" t="n">
        <v>1478</v>
      </c>
      <c r="E15" s="178" t="n">
        <v>1478</v>
      </c>
      <c r="F15" s="1" t="inlineStr">
        <is>
          <t>matches</t>
        </is>
      </c>
      <c r="G15" s="1" t="inlineStr">
        <is>
          <t>fuel_sales_fiasa.csv</t>
        </is>
      </c>
    </row>
    <row r="16">
      <c r="A16" s="1" t="inlineStr">
        <is>
          <t>G9</t>
        </is>
      </c>
      <c r="B16" s="1" t="inlineStr">
        <is>
          <t>sales_jet</t>
        </is>
      </c>
      <c r="C16" s="1" t="n">
        <v>2023</v>
      </c>
      <c r="D16" s="178" t="n">
        <v>1844</v>
      </c>
      <c r="E16" s="178" t="n">
        <v>1844</v>
      </c>
      <c r="F16" s="1" t="inlineStr">
        <is>
          <t>matches</t>
        </is>
      </c>
      <c r="G16" s="1" t="inlineStr">
        <is>
          <t>fuel_sales_fiasa.csv</t>
        </is>
      </c>
    </row>
    <row r="17">
      <c r="A17" s="1" t="inlineStr">
        <is>
          <t>H9</t>
        </is>
      </c>
      <c r="B17" s="1" t="inlineStr">
        <is>
          <t>sales_jet</t>
        </is>
      </c>
      <c r="C17" s="1" t="n">
        <v>2024</v>
      </c>
      <c r="D17" s="178" t="n">
        <v>1955</v>
      </c>
      <c r="E17" s="178" t="n">
        <v>1955</v>
      </c>
      <c r="F17" s="1" t="inlineStr">
        <is>
          <t>matches</t>
        </is>
      </c>
      <c r="G17" s="1" t="inlineStr">
        <is>
          <t>fuel_sales_fiasa.csv</t>
        </is>
      </c>
    </row>
    <row r="18">
      <c r="A18" s="1" t="inlineStr">
        <is>
          <t>F10</t>
        </is>
      </c>
      <c r="B18" s="1" t="inlineStr">
        <is>
          <t>dept_jet</t>
        </is>
      </c>
      <c r="C18" s="1" t="n">
        <v>2022</v>
      </c>
      <c r="D18" s="178" t="n">
        <v>1478.149852603</v>
      </c>
      <c r="E18" s="178" t="n">
        <v>1478.149852603</v>
      </c>
      <c r="F18" s="1" t="inlineStr">
        <is>
          <t>matches</t>
        </is>
      </c>
      <c r="G18" s="1" t="inlineStr">
        <is>
          <t>fuel_sales_department.csv</t>
        </is>
      </c>
    </row>
    <row r="19">
      <c r="A19" s="1" t="inlineStr">
        <is>
          <t>G10</t>
        </is>
      </c>
      <c r="B19" s="1" t="inlineStr">
        <is>
          <t>dept_jet</t>
        </is>
      </c>
      <c r="C19" s="1" t="n">
        <v>2023</v>
      </c>
      <c r="D19" s="178" t="n">
        <v>1843.971762465</v>
      </c>
      <c r="E19" s="178" t="n">
        <v>1843.971762465</v>
      </c>
      <c r="F19" s="1" t="inlineStr">
        <is>
          <t>matches</t>
        </is>
      </c>
      <c r="G19" s="1" t="inlineStr">
        <is>
          <t>fuel_sales_department.csv</t>
        </is>
      </c>
    </row>
    <row r="20">
      <c r="A20" s="1" t="inlineStr">
        <is>
          <t>F11</t>
        </is>
      </c>
      <c r="B20" s="1" t="inlineStr">
        <is>
          <t>sales_fuel_oil</t>
        </is>
      </c>
      <c r="C20" s="1" t="n">
        <v>2022</v>
      </c>
      <c r="D20" s="178" t="n">
        <v>594</v>
      </c>
      <c r="E20" s="178" t="n">
        <v>594</v>
      </c>
      <c r="F20" s="1" t="inlineStr">
        <is>
          <t>matches</t>
        </is>
      </c>
      <c r="G20" s="1" t="inlineStr">
        <is>
          <t>fuel_sales_fiasa.csv</t>
        </is>
      </c>
    </row>
    <row r="21">
      <c r="A21" s="1" t="inlineStr">
        <is>
          <t>G11</t>
        </is>
      </c>
      <c r="B21" s="1" t="inlineStr">
        <is>
          <t>sales_fuel_oil</t>
        </is>
      </c>
      <c r="C21" s="1" t="n">
        <v>2023</v>
      </c>
      <c r="D21" s="178" t="n">
        <v>658</v>
      </c>
      <c r="E21" s="178" t="n">
        <v>658</v>
      </c>
      <c r="F21" s="1" t="inlineStr">
        <is>
          <t>matches</t>
        </is>
      </c>
      <c r="G21" s="1" t="inlineStr">
        <is>
          <t>fuel_sales_fiasa.csv</t>
        </is>
      </c>
    </row>
    <row r="22">
      <c r="A22" s="1" t="inlineStr">
        <is>
          <t>H11</t>
        </is>
      </c>
      <c r="B22" s="1" t="inlineStr">
        <is>
          <t>sales_fuel_oil</t>
        </is>
      </c>
      <c r="C22" s="1" t="n">
        <v>2024</v>
      </c>
      <c r="D22" s="178" t="n">
        <v>441</v>
      </c>
      <c r="E22" s="178" t="n">
        <v>441</v>
      </c>
      <c r="F22" s="1" t="inlineStr">
        <is>
          <t>matches</t>
        </is>
      </c>
      <c r="G22" s="1" t="inlineStr">
        <is>
          <t>fuel_sales_fiasa.csv</t>
        </is>
      </c>
    </row>
    <row r="23">
      <c r="A23" s="1" t="inlineStr">
        <is>
          <t>F12</t>
        </is>
      </c>
      <c r="B23" s="1" t="inlineStr">
        <is>
          <t>dept_fuel_oil</t>
        </is>
      </c>
      <c r="C23" s="1" t="n">
        <v>2022</v>
      </c>
      <c r="D23" s="178" t="n">
        <v>594.0401649620001</v>
      </c>
      <c r="E23" s="178" t="n">
        <v>594.0401649620001</v>
      </c>
      <c r="F23" s="1" t="inlineStr">
        <is>
          <t>matches</t>
        </is>
      </c>
      <c r="G23" s="1" t="inlineStr">
        <is>
          <t>fuel_sales_department.csv</t>
        </is>
      </c>
    </row>
    <row r="24">
      <c r="A24" s="1" t="inlineStr">
        <is>
          <t>G12</t>
        </is>
      </c>
      <c r="B24" s="1" t="inlineStr">
        <is>
          <t>dept_fuel_oil</t>
        </is>
      </c>
      <c r="C24" s="1" t="n">
        <v>2023</v>
      </c>
      <c r="D24" s="178" t="n">
        <v>658.0930416160001</v>
      </c>
      <c r="E24" s="178" t="n">
        <v>658.0930416160001</v>
      </c>
      <c r="F24" s="1" t="inlineStr">
        <is>
          <t>matches</t>
        </is>
      </c>
      <c r="G24" s="1" t="inlineStr">
        <is>
          <t>fuel_sales_department.csv</t>
        </is>
      </c>
    </row>
    <row r="25">
      <c r="A25" s="1" t="inlineStr">
        <is>
          <t>F25</t>
        </is>
      </c>
      <c r="B25" s="1" t="inlineStr">
        <is>
          <t>macro_gdp_per_capita</t>
        </is>
      </c>
      <c r="C25" s="1" t="n">
        <v>2022</v>
      </c>
      <c r="D25" s="178" t="n">
        <v>76055.06748983047</v>
      </c>
      <c r="E25" s="178" t="n">
        <v>76055.06748983047</v>
      </c>
      <c r="F25" s="1" t="inlineStr">
        <is>
          <t>matches</t>
        </is>
      </c>
      <c r="G25" s="1" t="inlineStr">
        <is>
          <t>macro_statssa.csv</t>
        </is>
      </c>
    </row>
    <row r="26">
      <c r="A26" s="1" t="inlineStr">
        <is>
          <t>G25</t>
        </is>
      </c>
      <c r="B26" s="1" t="inlineStr">
        <is>
          <t>macro_gdp_per_capita</t>
        </is>
      </c>
      <c r="C26" s="1" t="n">
        <v>2023</v>
      </c>
      <c r="D26" s="178" t="n">
        <v>75781.52071231291</v>
      </c>
      <c r="E26" s="178" t="n">
        <v>75781.52071231291</v>
      </c>
      <c r="F26" s="1" t="inlineStr">
        <is>
          <t>matches</t>
        </is>
      </c>
      <c r="G26" s="1" t="inlineStr">
        <is>
          <t>macro_statssa.csv</t>
        </is>
      </c>
    </row>
    <row r="27">
      <c r="A27" s="1" t="inlineStr">
        <is>
          <t>H25</t>
        </is>
      </c>
      <c r="B27" s="1" t="inlineStr">
        <is>
          <t>macro_gdp_per_capita</t>
        </is>
      </c>
      <c r="C27" s="1" t="n">
        <v>2024</v>
      </c>
      <c r="D27" s="178" t="n">
        <v>75255.62912098455</v>
      </c>
      <c r="E27" s="178" t="n">
        <v>75255.62912098455</v>
      </c>
      <c r="F27" s="1" t="inlineStr">
        <is>
          <t>matches</t>
        </is>
      </c>
      <c r="G27" s="1" t="inlineStr">
        <is>
          <t>macro_statssa.csv</t>
        </is>
      </c>
    </row>
    <row r="28">
      <c r="A28" s="1" t="inlineStr">
        <is>
          <t>I25</t>
        </is>
      </c>
      <c r="B28" s="1" t="inlineStr">
        <is>
          <t>macro_gdp_per_capita</t>
        </is>
      </c>
      <c r="C28" s="1" t="n">
        <v>2025</v>
      </c>
      <c r="D28" s="178" t="n">
        <v>75149.98563223911</v>
      </c>
      <c r="E28" s="178" t="n">
        <v>75149.98563223911</v>
      </c>
      <c r="F28" s="1" t="inlineStr">
        <is>
          <t>matches</t>
        </is>
      </c>
      <c r="G28" s="1" t="inlineStr">
        <is>
          <t>macro_statssa.csv</t>
        </is>
      </c>
    </row>
    <row r="29">
      <c r="A29" s="1" t="inlineStr">
        <is>
          <t>F26</t>
        </is>
      </c>
      <c r="B29" s="1" t="inlineStr">
        <is>
          <t>macro_agriculture_forestry_and_fishing</t>
        </is>
      </c>
      <c r="C29" s="1" t="n">
        <v>2022</v>
      </c>
      <c r="D29" s="178" t="n">
        <v>131.7706421450265</v>
      </c>
      <c r="E29" s="178" t="n">
        <v>131.7706421450265</v>
      </c>
      <c r="F29" s="1" t="inlineStr">
        <is>
          <t>matches</t>
        </is>
      </c>
      <c r="G29" s="1" t="inlineStr">
        <is>
          <t>macro_statssa.csv</t>
        </is>
      </c>
    </row>
    <row r="30">
      <c r="A30" s="1" t="inlineStr">
        <is>
          <t>G26</t>
        </is>
      </c>
      <c r="B30" s="1" t="inlineStr">
        <is>
          <t>macro_agriculture_forestry_and_fishing</t>
        </is>
      </c>
      <c r="C30" s="1" t="n">
        <v>2023</v>
      </c>
      <c r="D30" s="178" t="n">
        <v>125.7466421450265</v>
      </c>
      <c r="E30" s="178" t="n">
        <v>125.7466421450265</v>
      </c>
      <c r="F30" s="1" t="inlineStr">
        <is>
          <t>matches</t>
        </is>
      </c>
      <c r="G30" s="1" t="inlineStr">
        <is>
          <t>macro_statssa.csv</t>
        </is>
      </c>
    </row>
    <row r="31">
      <c r="A31" s="1" t="inlineStr">
        <is>
          <t>H26</t>
        </is>
      </c>
      <c r="B31" s="1" t="inlineStr">
        <is>
          <t>macro_agriculture_forestry_and_fishing</t>
        </is>
      </c>
      <c r="C31" s="1" t="n">
        <v>2024</v>
      </c>
      <c r="D31" s="178" t="n">
        <v>114.7916421450265</v>
      </c>
      <c r="E31" s="178" t="n">
        <v>114.7916421450265</v>
      </c>
      <c r="F31" s="1" t="inlineStr">
        <is>
          <t>matches</t>
        </is>
      </c>
      <c r="G31" s="1" t="inlineStr">
        <is>
          <t>macro_statssa.csv</t>
        </is>
      </c>
    </row>
    <row r="32">
      <c r="A32" s="1" t="inlineStr">
        <is>
          <t>I26</t>
        </is>
      </c>
      <c r="B32" s="1" t="inlineStr">
        <is>
          <t>macro_agriculture_forestry_and_fishing</t>
        </is>
      </c>
      <c r="C32" s="1" t="n">
        <v>2025</v>
      </c>
      <c r="D32" s="178" t="n">
        <v>134.7967469817132</v>
      </c>
      <c r="E32" s="178" t="n">
        <v>134.7967469817132</v>
      </c>
      <c r="F32" s="1" t="inlineStr">
        <is>
          <t>matches</t>
        </is>
      </c>
      <c r="G32" s="1" t="inlineStr">
        <is>
          <t>macro_statssa.csv</t>
        </is>
      </c>
    </row>
    <row r="33">
      <c r="A33" s="1" t="inlineStr">
        <is>
          <t>F27</t>
        </is>
      </c>
      <c r="B33" s="1" t="inlineStr">
        <is>
          <t>macro_manufacturing</t>
        </is>
      </c>
      <c r="C33" s="1" t="n">
        <v>2022</v>
      </c>
      <c r="D33" s="178" t="n">
        <v>523.0907540648606</v>
      </c>
      <c r="E33" s="178" t="n">
        <v>523.0907540648606</v>
      </c>
      <c r="F33" s="1" t="inlineStr">
        <is>
          <t>matches</t>
        </is>
      </c>
      <c r="G33" s="1" t="inlineStr">
        <is>
          <t>macro_statssa.csv</t>
        </is>
      </c>
    </row>
    <row r="34">
      <c r="A34" s="1" t="inlineStr">
        <is>
          <t>G27</t>
        </is>
      </c>
      <c r="B34" s="1" t="inlineStr">
        <is>
          <t>macro_manufacturing</t>
        </is>
      </c>
      <c r="C34" s="1" t="n">
        <v>2023</v>
      </c>
      <c r="D34" s="178" t="n">
        <v>524.9937540648609</v>
      </c>
      <c r="E34" s="178" t="n">
        <v>524.9937540648609</v>
      </c>
      <c r="F34" s="1" t="inlineStr">
        <is>
          <t>matches</t>
        </is>
      </c>
      <c r="G34" s="1" t="inlineStr">
        <is>
          <t>macro_statssa.csv</t>
        </is>
      </c>
    </row>
    <row r="35">
      <c r="A35" s="1" t="inlineStr">
        <is>
          <t>H27</t>
        </is>
      </c>
      <c r="B35" s="1" t="inlineStr">
        <is>
          <t>macro_manufacturing</t>
        </is>
      </c>
      <c r="C35" s="1" t="n">
        <v>2024</v>
      </c>
      <c r="D35" s="178" t="n">
        <v>523.150754064861</v>
      </c>
      <c r="E35" s="178" t="n">
        <v>523.150754064861</v>
      </c>
      <c r="F35" s="1" t="inlineStr">
        <is>
          <t>matches</t>
        </is>
      </c>
      <c r="G35" s="1" t="inlineStr">
        <is>
          <t>macro_statssa.csv</t>
        </is>
      </c>
    </row>
    <row r="36">
      <c r="A36" s="1" t="inlineStr">
        <is>
          <t>I27</t>
        </is>
      </c>
      <c r="B36" s="1" t="inlineStr">
        <is>
          <t>macro_manufacturing</t>
        </is>
      </c>
      <c r="C36" s="1" t="n">
        <v>2025</v>
      </c>
      <c r="D36" s="178" t="n">
        <v>516.9856529750193</v>
      </c>
      <c r="E36" s="178" t="n">
        <v>516.9856529750193</v>
      </c>
      <c r="F36" s="1" t="inlineStr">
        <is>
          <t>matches</t>
        </is>
      </c>
      <c r="G36" s="1" t="inlineStr">
        <is>
          <t>macro_statssa.csv</t>
        </is>
      </c>
    </row>
    <row r="37">
      <c r="A37" s="1" t="inlineStr">
        <is>
          <t>F28</t>
        </is>
      </c>
      <c r="B37" s="1" t="inlineStr">
        <is>
          <t>macro_mining_and_quarrying</t>
        </is>
      </c>
      <c r="C37" s="1" t="n">
        <v>2022</v>
      </c>
      <c r="D37" s="178" t="n">
        <v>204.4529227196744</v>
      </c>
      <c r="E37" s="178" t="n">
        <v>204.4529227196744</v>
      </c>
      <c r="F37" s="1" t="inlineStr">
        <is>
          <t>matches</t>
        </is>
      </c>
      <c r="G37" s="1" t="inlineStr">
        <is>
          <t>macro_statssa.csv</t>
        </is>
      </c>
    </row>
    <row r="38">
      <c r="A38" s="1" t="inlineStr">
        <is>
          <t>G28</t>
        </is>
      </c>
      <c r="B38" s="1" t="inlineStr">
        <is>
          <t>macro_mining_and_quarrying</t>
        </is>
      </c>
      <c r="C38" s="1" t="n">
        <v>2023</v>
      </c>
      <c r="D38" s="178" t="n">
        <v>204.2286999662737</v>
      </c>
      <c r="E38" s="178" t="n">
        <v>204.2286999662738</v>
      </c>
      <c r="F38" s="1" t="inlineStr">
        <is>
          <t>matches</t>
        </is>
      </c>
      <c r="G38" s="1" t="inlineStr">
        <is>
          <t>macro_statssa.csv</t>
        </is>
      </c>
    </row>
    <row r="39">
      <c r="A39" s="1" t="inlineStr">
        <is>
          <t>H28</t>
        </is>
      </c>
      <c r="B39" s="1" t="inlineStr">
        <is>
          <t>macro_mining_and_quarrying</t>
        </is>
      </c>
      <c r="C39" s="1" t="n">
        <v>2024</v>
      </c>
      <c r="D39" s="178" t="n">
        <v>205.1258295918731</v>
      </c>
      <c r="E39" s="178" t="n">
        <v>205.1258295918731</v>
      </c>
      <c r="F39" s="1" t="inlineStr">
        <is>
          <t>matches</t>
        </is>
      </c>
      <c r="G39" s="1" t="inlineStr">
        <is>
          <t>macro_statssa.csv</t>
        </is>
      </c>
    </row>
    <row r="40">
      <c r="A40" s="1" t="inlineStr">
        <is>
          <t>I28</t>
        </is>
      </c>
      <c r="B40" s="1" t="inlineStr">
        <is>
          <t>macro_mining_and_quarrying</t>
        </is>
      </c>
      <c r="C40" s="1" t="n">
        <v>2025</v>
      </c>
      <c r="D40" s="178" t="n">
        <v>205.4648860142573</v>
      </c>
      <c r="E40" s="178" t="n">
        <v>205.4648860142574</v>
      </c>
      <c r="F40" s="1" t="inlineStr">
        <is>
          <t>matches</t>
        </is>
      </c>
      <c r="G40" s="1" t="inlineStr">
        <is>
          <t>macro_statssa.csv</t>
        </is>
      </c>
    </row>
    <row r="41">
      <c r="A41" s="1" t="inlineStr">
        <is>
          <t>F29</t>
        </is>
      </c>
      <c r="B41" s="1" t="inlineStr">
        <is>
          <t>macro_construction</t>
        </is>
      </c>
      <c r="C41" s="1" t="n">
        <v>2022</v>
      </c>
      <c r="D41" s="178" t="n">
        <v>110.0650907489087</v>
      </c>
      <c r="E41" s="178" t="n">
        <v>110.0650907489087</v>
      </c>
      <c r="F41" s="1" t="inlineStr">
        <is>
          <t>matches</t>
        </is>
      </c>
      <c r="G41" s="1" t="inlineStr">
        <is>
          <t>macro_statssa.csv</t>
        </is>
      </c>
    </row>
    <row r="42">
      <c r="A42" s="1" t="inlineStr">
        <is>
          <t>G29</t>
        </is>
      </c>
      <c r="B42" s="1" t="inlineStr">
        <is>
          <t>macro_construction</t>
        </is>
      </c>
      <c r="C42" s="1" t="n">
        <v>2023</v>
      </c>
      <c r="D42" s="178" t="n">
        <v>109.5650907489087</v>
      </c>
      <c r="E42" s="178" t="n">
        <v>109.5650907489087</v>
      </c>
      <c r="F42" s="1" t="inlineStr">
        <is>
          <t>matches</t>
        </is>
      </c>
      <c r="G42" s="1" t="inlineStr">
        <is>
          <t>macro_statssa.csv</t>
        </is>
      </c>
    </row>
    <row r="43">
      <c r="A43" s="1" t="inlineStr">
        <is>
          <t>H29</t>
        </is>
      </c>
      <c r="B43" s="1" t="inlineStr">
        <is>
          <t>macro_construction</t>
        </is>
      </c>
      <c r="C43" s="1" t="n">
        <v>2024</v>
      </c>
      <c r="D43" s="178" t="n">
        <v>103.6250907489087</v>
      </c>
      <c r="E43" s="178" t="n">
        <v>103.6250907489087</v>
      </c>
      <c r="F43" s="1" t="inlineStr">
        <is>
          <t>matches</t>
        </is>
      </c>
      <c r="G43" s="1" t="inlineStr">
        <is>
          <t>macro_statssa.csv</t>
        </is>
      </c>
    </row>
    <row r="44">
      <c r="A44" s="1" t="inlineStr">
        <is>
          <t>I29</t>
        </is>
      </c>
      <c r="B44" s="1" t="inlineStr">
        <is>
          <t>macro_construction</t>
        </is>
      </c>
      <c r="C44" s="1" t="n">
        <v>2025</v>
      </c>
      <c r="D44" s="178" t="n">
        <v>99.09852067977131</v>
      </c>
      <c r="E44" s="178" t="n">
        <v>99.09852067977131</v>
      </c>
      <c r="F44" s="1" t="inlineStr">
        <is>
          <t>matches</t>
        </is>
      </c>
      <c r="G44" s="1" t="inlineStr">
        <is>
          <t>macro_statssa.csv</t>
        </is>
      </c>
    </row>
    <row r="45">
      <c r="A45" s="1" t="inlineStr">
        <is>
          <t>F30</t>
        </is>
      </c>
      <c r="B45" s="1" t="inlineStr">
        <is>
          <t>manufacturing_volume_total</t>
        </is>
      </c>
      <c r="C45" s="1" t="n">
        <v>2022</v>
      </c>
      <c r="D45" s="178" t="n">
        <v>93.14166666666667</v>
      </c>
      <c r="E45" s="178" t="n">
        <v>93.14166666666667</v>
      </c>
      <c r="F45" s="1" t="inlineStr">
        <is>
          <t>matches</t>
        </is>
      </c>
      <c r="G45" s="1" t="inlineStr">
        <is>
          <t>activity_statssa_monthly.csv</t>
        </is>
      </c>
    </row>
    <row r="46">
      <c r="A46" s="1" t="inlineStr">
        <is>
          <t>G30</t>
        </is>
      </c>
      <c r="B46" s="1" t="inlineStr">
        <is>
          <t>manufacturing_volume_total</t>
        </is>
      </c>
      <c r="C46" s="1" t="n">
        <v>2023</v>
      </c>
      <c r="D46" s="178" t="n">
        <v>93.71666666666665</v>
      </c>
      <c r="E46" s="178" t="n">
        <v>93.71666666666665</v>
      </c>
      <c r="F46" s="1" t="inlineStr">
        <is>
          <t>matches</t>
        </is>
      </c>
      <c r="G46" s="1" t="inlineStr">
        <is>
          <t>activity_statssa_monthly.csv</t>
        </is>
      </c>
    </row>
    <row r="47">
      <c r="A47" s="1" t="inlineStr">
        <is>
          <t>H30</t>
        </is>
      </c>
      <c r="B47" s="1" t="inlineStr">
        <is>
          <t>manufacturing_volume_total</t>
        </is>
      </c>
      <c r="C47" s="1" t="n">
        <v>2024</v>
      </c>
      <c r="D47" s="178" t="n">
        <v>93.33333333333333</v>
      </c>
      <c r="E47" s="178" t="n">
        <v>93.33333333333333</v>
      </c>
      <c r="F47" s="1" t="inlineStr">
        <is>
          <t>matches</t>
        </is>
      </c>
      <c r="G47" s="1" t="inlineStr">
        <is>
          <t>activity_statssa_monthly.csv</t>
        </is>
      </c>
    </row>
    <row r="48">
      <c r="A48" s="1" t="inlineStr">
        <is>
          <t>I30</t>
        </is>
      </c>
      <c r="B48" s="1" t="inlineStr">
        <is>
          <t>manufacturing_volume_total</t>
        </is>
      </c>
      <c r="C48" s="1" t="n">
        <v>2025</v>
      </c>
      <c r="D48" s="178" t="n">
        <v>92.14166666666665</v>
      </c>
      <c r="E48" s="178" t="n">
        <v>92.14166666666667</v>
      </c>
      <c r="F48" s="1" t="inlineStr">
        <is>
          <t>matches</t>
        </is>
      </c>
      <c r="G48" s="1" t="inlineStr">
        <is>
          <t>activity_statssa_monthly.csv</t>
        </is>
      </c>
    </row>
    <row r="49">
      <c r="A49" s="1" t="inlineStr">
        <is>
          <t>F31</t>
        </is>
      </c>
      <c r="B49" s="1" t="inlineStr">
        <is>
          <t>mining_volume_total</t>
        </is>
      </c>
      <c r="C49" s="1" t="n">
        <v>2022</v>
      </c>
      <c r="D49" s="178" t="n">
        <v>93.00833333333334</v>
      </c>
      <c r="E49" s="178" t="n">
        <v>93.00833333333333</v>
      </c>
      <c r="F49" s="1" t="inlineStr">
        <is>
          <t>matches</t>
        </is>
      </c>
      <c r="G49" s="1" t="inlineStr">
        <is>
          <t>activity_statssa_monthly.csv</t>
        </is>
      </c>
    </row>
    <row r="50">
      <c r="A50" s="1" t="inlineStr">
        <is>
          <t>G31</t>
        </is>
      </c>
      <c r="B50" s="1" t="inlineStr">
        <is>
          <t>mining_volume_total</t>
        </is>
      </c>
      <c r="C50" s="1" t="n">
        <v>2023</v>
      </c>
      <c r="D50" s="178" t="n">
        <v>93.01666666666667</v>
      </c>
      <c r="E50" s="178" t="n">
        <v>93.01666666666667</v>
      </c>
      <c r="F50" s="1" t="inlineStr">
        <is>
          <t>matches</t>
        </is>
      </c>
      <c r="G50" s="1" t="inlineStr">
        <is>
          <t>activity_statssa_monthly.csv</t>
        </is>
      </c>
    </row>
    <row r="51">
      <c r="A51" s="1" t="inlineStr">
        <is>
          <t>H31</t>
        </is>
      </c>
      <c r="B51" s="1" t="inlineStr">
        <is>
          <t>mining_volume_total</t>
        </is>
      </c>
      <c r="C51" s="1" t="n">
        <v>2024</v>
      </c>
      <c r="D51" s="178" t="n">
        <v>93.53333333333332</v>
      </c>
      <c r="E51" s="178" t="n">
        <v>93.53333333333335</v>
      </c>
      <c r="F51" s="1" t="inlineStr">
        <is>
          <t>matches</t>
        </is>
      </c>
      <c r="G51" s="1" t="inlineStr">
        <is>
          <t>activity_statssa_monthly.csv</t>
        </is>
      </c>
    </row>
    <row r="52">
      <c r="A52" s="1" t="inlineStr">
        <is>
          <t>I31</t>
        </is>
      </c>
      <c r="B52" s="1" t="inlineStr">
        <is>
          <t>mining_volume_total</t>
        </is>
      </c>
      <c r="C52" s="1" t="n">
        <v>2025</v>
      </c>
      <c r="D52" s="178" t="n">
        <v>93.70833333333333</v>
      </c>
      <c r="E52" s="178" t="n">
        <v>93.70833333333333</v>
      </c>
      <c r="F52" s="1" t="inlineStr">
        <is>
          <t>matches</t>
        </is>
      </c>
      <c r="G52" s="1" t="inlineStr">
        <is>
          <t>activity_statssa_monthly.csv</t>
        </is>
      </c>
    </row>
    <row r="53">
      <c r="A53" s="1" t="inlineStr">
        <is>
          <t>F43</t>
        </is>
      </c>
      <c r="B53" s="1" t="inlineStr">
        <is>
          <t>Provincial: EC petrol / million L/year</t>
        </is>
      </c>
      <c r="C53" s="1" t="n">
        <v>2022</v>
      </c>
      <c r="D53" s="178" t="n">
        <v>703.1324447169991</v>
      </c>
      <c r="E53" s="178" t="n">
        <v>703.132444716999</v>
      </c>
      <c r="F53" s="1" t="inlineStr">
        <is>
          <t>matches</t>
        </is>
      </c>
      <c r="G53" s="1" t="inlineStr">
        <is>
          <t>fuel_sales_department_by_province.csv</t>
        </is>
      </c>
    </row>
    <row r="54">
      <c r="A54" s="1" t="inlineStr">
        <is>
          <t>F44</t>
        </is>
      </c>
      <c r="B54" s="1" t="inlineStr">
        <is>
          <t>Provincial: FS petrol / million L/year</t>
        </is>
      </c>
      <c r="C54" s="1" t="n">
        <v>2022</v>
      </c>
      <c r="D54" s="178" t="n">
        <v>587.4580081820001</v>
      </c>
      <c r="E54" s="178" t="n">
        <v>587.4580081820001</v>
      </c>
      <c r="F54" s="1" t="inlineStr">
        <is>
          <t>matches</t>
        </is>
      </c>
      <c r="G54" s="1" t="inlineStr">
        <is>
          <t>fuel_sales_department_by_province.csv</t>
        </is>
      </c>
    </row>
    <row r="55">
      <c r="A55" s="1" t="inlineStr">
        <is>
          <t>F45</t>
        </is>
      </c>
      <c r="B55" s="1" t="inlineStr">
        <is>
          <t>Provincial: GP petrol / million L/year</t>
        </is>
      </c>
      <c r="C55" s="1" t="n">
        <v>2022</v>
      </c>
      <c r="D55" s="178" t="n">
        <v>3530.440256933996</v>
      </c>
      <c r="E55" s="178" t="n">
        <v>3530.440256933996</v>
      </c>
      <c r="F55" s="1" t="inlineStr">
        <is>
          <t>matches</t>
        </is>
      </c>
      <c r="G55" s="1" t="inlineStr">
        <is>
          <t>fuel_sales_department_by_province.csv</t>
        </is>
      </c>
    </row>
    <row r="56">
      <c r="A56" s="1" t="inlineStr">
        <is>
          <t>F46</t>
        </is>
      </c>
      <c r="B56" s="1" t="inlineStr">
        <is>
          <t>Provincial: KZN petrol / million L/year</t>
        </is>
      </c>
      <c r="C56" s="1" t="n">
        <v>2022</v>
      </c>
      <c r="D56" s="178" t="n">
        <v>1498.937893394999</v>
      </c>
      <c r="E56" s="178" t="n">
        <v>1498.937893394999</v>
      </c>
      <c r="F56" s="1" t="inlineStr">
        <is>
          <t>matches</t>
        </is>
      </c>
      <c r="G56" s="1" t="inlineStr">
        <is>
          <t>fuel_sales_department_by_province.csv</t>
        </is>
      </c>
    </row>
    <row r="57">
      <c r="A57" s="1" t="inlineStr">
        <is>
          <t>F47</t>
        </is>
      </c>
      <c r="B57" s="1" t="inlineStr">
        <is>
          <t>Provincial: LP petrol / million L/year</t>
        </is>
      </c>
      <c r="C57" s="1" t="n">
        <v>2022</v>
      </c>
      <c r="D57" s="178" t="n">
        <v>273.644045045999</v>
      </c>
      <c r="E57" s="178" t="n">
        <v>273.644045045999</v>
      </c>
      <c r="F57" s="1" t="inlineStr">
        <is>
          <t>matches</t>
        </is>
      </c>
      <c r="G57" s="1" t="inlineStr">
        <is>
          <t>fuel_sales_department_by_province.csv</t>
        </is>
      </c>
    </row>
    <row r="58">
      <c r="A58" s="1" t="inlineStr">
        <is>
          <t>F48</t>
        </is>
      </c>
      <c r="B58" s="1" t="inlineStr">
        <is>
          <t>Provincial: MP petrol / million L/year</t>
        </is>
      </c>
      <c r="C58" s="1" t="n">
        <v>2022</v>
      </c>
      <c r="D58" s="178" t="n">
        <v>612.2656460789989</v>
      </c>
      <c r="E58" s="178" t="n">
        <v>612.2656460789989</v>
      </c>
      <c r="F58" s="1" t="inlineStr">
        <is>
          <t>matches</t>
        </is>
      </c>
      <c r="G58" s="1" t="inlineStr">
        <is>
          <t>fuel_sales_department_by_province.csv</t>
        </is>
      </c>
    </row>
    <row r="59">
      <c r="A59" s="1" t="inlineStr">
        <is>
          <t>F49</t>
        </is>
      </c>
      <c r="B59" s="1" t="inlineStr">
        <is>
          <t>Provincial: NC petrol / million L/year</t>
        </is>
      </c>
      <c r="C59" s="1" t="n">
        <v>2022</v>
      </c>
      <c r="D59" s="178" t="n">
        <v>99.82992901300001</v>
      </c>
      <c r="E59" s="178" t="n">
        <v>99.829929013</v>
      </c>
      <c r="F59" s="1" t="inlineStr">
        <is>
          <t>matches</t>
        </is>
      </c>
      <c r="G59" s="1" t="inlineStr">
        <is>
          <t>fuel_sales_department_by_province.csv</t>
        </is>
      </c>
    </row>
    <row r="60">
      <c r="A60" s="1" t="inlineStr">
        <is>
          <t>F50</t>
        </is>
      </c>
      <c r="B60" s="1" t="inlineStr">
        <is>
          <t>Provincial: NW petrol / million L/year</t>
        </is>
      </c>
      <c r="C60" s="1" t="n">
        <v>2022</v>
      </c>
      <c r="D60" s="178" t="n">
        <v>448.1562321239999</v>
      </c>
      <c r="E60" s="178" t="n">
        <v>448.1562321239999</v>
      </c>
      <c r="F60" s="1" t="inlineStr">
        <is>
          <t>matches</t>
        </is>
      </c>
      <c r="G60" s="1" t="inlineStr">
        <is>
          <t>fuel_sales_department_by_province.csv</t>
        </is>
      </c>
    </row>
    <row r="61">
      <c r="A61" s="1" t="inlineStr">
        <is>
          <t>F51</t>
        </is>
      </c>
      <c r="B61" s="1" t="inlineStr">
        <is>
          <t>Provincial: WC petrol / million L/year</t>
        </is>
      </c>
      <c r="C61" s="1" t="n">
        <v>2022</v>
      </c>
      <c r="D61" s="178" t="n">
        <v>1431.005460082997</v>
      </c>
      <c r="E61" s="178" t="n">
        <v>1431.005460082997</v>
      </c>
      <c r="F61" s="1" t="inlineStr">
        <is>
          <t>matches</t>
        </is>
      </c>
      <c r="G61" s="1" t="inlineStr">
        <is>
          <t>fuel_sales_department_by_province.csv</t>
        </is>
      </c>
    </row>
    <row r="62">
      <c r="A62" s="1" t="inlineStr">
        <is>
          <t>F52</t>
        </is>
      </c>
      <c r="B62" s="1" t="inlineStr">
        <is>
          <t>Provincial: EC diesel / million L/year</t>
        </is>
      </c>
      <c r="C62" s="1" t="n">
        <v>2022</v>
      </c>
      <c r="D62" s="178" t="n">
        <v>1032.35218272</v>
      </c>
      <c r="E62" s="178" t="n">
        <v>1032.35218272</v>
      </c>
      <c r="F62" s="1" t="inlineStr">
        <is>
          <t>matches</t>
        </is>
      </c>
      <c r="G62" s="1" t="inlineStr">
        <is>
          <t>fuel_sales_department_by_province.csv</t>
        </is>
      </c>
    </row>
    <row r="63">
      <c r="A63" s="1" t="inlineStr">
        <is>
          <t>F53</t>
        </is>
      </c>
      <c r="B63" s="1" t="inlineStr">
        <is>
          <t>Provincial: FS diesel / million L/year</t>
        </is>
      </c>
      <c r="C63" s="1" t="n">
        <v>2022</v>
      </c>
      <c r="D63" s="178" t="n">
        <v>781.8611598310002</v>
      </c>
      <c r="E63" s="178" t="n">
        <v>781.8611598310002</v>
      </c>
      <c r="F63" s="1" t="inlineStr">
        <is>
          <t>matches</t>
        </is>
      </c>
      <c r="G63" s="1" t="inlineStr">
        <is>
          <t>fuel_sales_department_by_province.csv</t>
        </is>
      </c>
    </row>
    <row r="64">
      <c r="A64" s="1" t="inlineStr">
        <is>
          <t>F54</t>
        </is>
      </c>
      <c r="B64" s="1" t="inlineStr">
        <is>
          <t>Provincial: GP diesel / million L/year</t>
        </is>
      </c>
      <c r="C64" s="1" t="n">
        <v>2022</v>
      </c>
      <c r="D64" s="178" t="n">
        <v>3278.990501961999</v>
      </c>
      <c r="E64" s="178" t="n">
        <v>3278.990501961999</v>
      </c>
      <c r="F64" s="1" t="inlineStr">
        <is>
          <t>matches</t>
        </is>
      </c>
      <c r="G64" s="1" t="inlineStr">
        <is>
          <t>fuel_sales_department_by_province.csv</t>
        </is>
      </c>
    </row>
    <row r="65">
      <c r="A65" s="1" t="inlineStr">
        <is>
          <t>F55</t>
        </is>
      </c>
      <c r="B65" s="1" t="inlineStr">
        <is>
          <t>Provincial: KZN diesel / million L/year</t>
        </is>
      </c>
      <c r="C65" s="1" t="n">
        <v>2022</v>
      </c>
      <c r="D65" s="178" t="n">
        <v>2785.554802503</v>
      </c>
      <c r="E65" s="178" t="n">
        <v>2785.554802503</v>
      </c>
      <c r="F65" s="1" t="inlineStr">
        <is>
          <t>matches</t>
        </is>
      </c>
      <c r="G65" s="1" t="inlineStr">
        <is>
          <t>fuel_sales_department_by_province.csv</t>
        </is>
      </c>
    </row>
    <row r="66">
      <c r="A66" s="1" t="inlineStr">
        <is>
          <t>F56</t>
        </is>
      </c>
      <c r="B66" s="1" t="inlineStr">
        <is>
          <t>Provincial: LP diesel / million L/year</t>
        </is>
      </c>
      <c r="C66" s="1" t="n">
        <v>2022</v>
      </c>
      <c r="D66" s="178" t="n">
        <v>221.987440248</v>
      </c>
      <c r="E66" s="178" t="n">
        <v>221.987440248</v>
      </c>
      <c r="F66" s="1" t="inlineStr">
        <is>
          <t>matches</t>
        </is>
      </c>
      <c r="G66" s="1" t="inlineStr">
        <is>
          <t>fuel_sales_department_by_province.csv</t>
        </is>
      </c>
    </row>
    <row r="67">
      <c r="A67" s="1" t="inlineStr">
        <is>
          <t>F57</t>
        </is>
      </c>
      <c r="B67" s="1" t="inlineStr">
        <is>
          <t>Provincial: MP diesel / million L/year</t>
        </is>
      </c>
      <c r="C67" s="1" t="n">
        <v>2022</v>
      </c>
      <c r="D67" s="178" t="n">
        <v>1144.924075864997</v>
      </c>
      <c r="E67" s="178" t="n">
        <v>1144.924075864997</v>
      </c>
      <c r="F67" s="1" t="inlineStr">
        <is>
          <t>matches</t>
        </is>
      </c>
      <c r="G67" s="1" t="inlineStr">
        <is>
          <t>fuel_sales_department_by_province.csv</t>
        </is>
      </c>
    </row>
    <row r="68">
      <c r="A68" s="1" t="inlineStr">
        <is>
          <t>F58</t>
        </is>
      </c>
      <c r="B68" s="1" t="inlineStr">
        <is>
          <t>Provincial: NC diesel / million L/year</t>
        </is>
      </c>
      <c r="C68" s="1" t="n">
        <v>2022</v>
      </c>
      <c r="D68" s="178" t="n">
        <v>351.9801199100001</v>
      </c>
      <c r="E68" s="178" t="n">
        <v>351.9801199100001</v>
      </c>
      <c r="F68" s="1" t="inlineStr">
        <is>
          <t>matches</t>
        </is>
      </c>
      <c r="G68" s="1" t="inlineStr">
        <is>
          <t>fuel_sales_department_by_province.csv</t>
        </is>
      </c>
    </row>
    <row r="69">
      <c r="A69" s="1" t="inlineStr">
        <is>
          <t>F59</t>
        </is>
      </c>
      <c r="B69" s="1" t="inlineStr">
        <is>
          <t>Provincial: NW diesel / million L/year</t>
        </is>
      </c>
      <c r="C69" s="1" t="n">
        <v>2022</v>
      </c>
      <c r="D69" s="178" t="n">
        <v>619.906488913</v>
      </c>
      <c r="E69" s="178" t="n">
        <v>619.906488913</v>
      </c>
      <c r="F69" s="1" t="inlineStr">
        <is>
          <t>matches</t>
        </is>
      </c>
      <c r="G69" s="1" t="inlineStr">
        <is>
          <t>fuel_sales_department_by_province.csv</t>
        </is>
      </c>
    </row>
    <row r="70">
      <c r="A70" s="1" t="inlineStr">
        <is>
          <t>F60</t>
        </is>
      </c>
      <c r="B70" s="1" t="inlineStr">
        <is>
          <t>Provincial: WC diesel / million L/year</t>
        </is>
      </c>
      <c r="C70" s="1" t="n">
        <v>2022</v>
      </c>
      <c r="D70" s="178" t="n">
        <v>2499.769547067</v>
      </c>
      <c r="E70" s="17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left on FIASA, which is unverified; the department has published no 2024 figure.</t>
        </is>
      </c>
    </row>
    <row r="85">
      <c r="A85" s="1" t="inlineStr">
        <is>
          <t>Sheets added: History, Sector history, Diesel by use, Power fleet, Vehicle history, HML response, Gap status, Checks, History sources. No other cell changed.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7" t="inlineStr">
        <is>
          <t>Used for</t>
        </is>
      </c>
      <c r="B4" s="177" t="inlineStr">
        <is>
          <t>Publisher</t>
        </is>
      </c>
      <c r="C4" s="177" t="inlineStr">
        <is>
          <t>Link</t>
        </is>
      </c>
      <c r="D4" s="177" t="inlineStr">
        <is>
          <t>Original file</t>
        </is>
      </c>
      <c r="E4" s="177" t="inlineStr">
        <is>
          <t>Where the original is kept</t>
        </is>
      </c>
      <c r="F4" s="177" t="inlineStr">
        <is>
          <t>Extract in the repository</t>
        </is>
      </c>
      <c r="G4" s="177" t="inlineStr">
        <is>
          <t>Refresh command</t>
        </is>
      </c>
      <c r="H4" s="177" t="inlineStr">
        <is>
          <t>Periods</t>
        </is>
      </c>
      <c r="I4" s="177" t="inlineStr">
        <is>
          <t>Limits</t>
        </is>
      </c>
    </row>
    <row r="5">
      <c r="A5" s="176" t="inlineStr">
        <is>
          <t>History sections 1 and 4: national sales</t>
        </is>
      </c>
      <c r="B5" s="176" t="inlineStr">
        <is>
          <t>Department of Mineral and Petroleum Resources (energy department)</t>
        </is>
      </c>
      <c r="C5" s="176" t="inlineStr">
        <is>
          <t>https://www.dmpr.gov.za/Portals/0/Energy_Website/files/media/SA FUEL SALES VOLUME/</t>
        </is>
      </c>
      <c r="D5" s="176" t="inlineStr">
        <is>
          <t>&lt;year&gt;-...-FSV....xls(x), national annual workbooks 2005-2023</t>
        </is>
      </c>
      <c r="E5" s="176" t="inlineStr">
        <is>
          <t>local to Manish and Nigel; not on main</t>
        </is>
      </c>
      <c r="F5" s="176" t="inlineStr">
        <is>
          <t>assumptions/2026/timeseries/fuel_sales_department.csv</t>
        </is>
      </c>
      <c r="G5" s="176" t="inlineStr">
        <is>
          <t>python -m lfm.scripts.fetch_energy_dept --vintage 2026</t>
        </is>
      </c>
      <c r="H5" s="176" t="inlineStr">
        <is>
          <t>2005-2023</t>
        </is>
      </c>
      <c r="I5" s="176" t="inlineStr">
        <is>
          <t>2013 corrected on manish-branch (published sheet). Series ends 2023.</t>
        </is>
      </c>
    </row>
    <row r="6">
      <c r="A6" s="176" t="inlineStr">
        <is>
          <t>History section 1: sales by province</t>
        </is>
      </c>
      <c r="B6" s="176" t="inlineStr">
        <is>
          <t>Department of Mineral and Petroleum Resources (energy department)</t>
        </is>
      </c>
      <c r="C6" s="176" t="inlineStr">
        <is>
          <t>https://www.dmpr.gov.za/Portals/0/Energy_Website/files/media/SA FUEL SALES VOLUME/</t>
        </is>
      </c>
      <c r="D6" s="176" t="inlineStr">
        <is>
          <t>&lt;year&gt;-...-Magisterial-Districts-data.xlsx, quarterly sheets</t>
        </is>
      </c>
      <c r="E6" s="176" t="inlineStr">
        <is>
          <t>local to Manish and Nigel; not on main (2013 annual workbook on manish-branch)</t>
        </is>
      </c>
      <c r="F6" s="176" t="inlineStr">
        <is>
          <t>assumptions/2026/timeseries/fuel_sales_department_by_province.csv</t>
        </is>
      </c>
      <c r="G6" s="176" t="inlineStr">
        <is>
          <t>python -m lfm.scripts.fetch_energy_dept --vintage 2026</t>
        </is>
      </c>
      <c r="H6" s="176" t="inlineStr">
        <is>
          <t>2013-2022</t>
        </is>
      </c>
      <c r="I6" s="176" t="inlineStr">
        <is>
          <t>Ends 2022. 2018 understated about 1.8% (district Q1 sheet incomplete). 2014-Q3 differs from national file.</t>
        </is>
      </c>
    </row>
    <row r="7">
      <c r="A7" s="176" t="inlineStr">
        <is>
          <t>History section 2: imports and exports</t>
        </is>
      </c>
      <c r="B7" s="176" t="inlineStr">
        <is>
          <t>South African Revenue Service, trade statistics</t>
        </is>
      </c>
      <c r="C7" s="176" t="inlineStr">
        <is>
          <t>https://tools.sars.gov.za/tradestatsportal/data_download.aspx</t>
        </is>
      </c>
      <c r="D7" s="176" t="inlineStr">
        <is>
          <t>sars-&lt;imports|exports&gt;-chapter27-fuels-&lt;year&gt;.xlsx, 2010-2026</t>
        </is>
      </c>
      <c r="E7" s="176" t="inlineStr">
        <is>
          <t>on manish-branch (external/data/raw/sars/)</t>
        </is>
      </c>
      <c r="F7" s="176" t="inlineStr">
        <is>
          <t>assumptions/2026/timeseries/fuel_trade_sars.csv</t>
        </is>
      </c>
      <c r="G7" s="176" t="inlineStr">
        <is>
          <t>python -m lfm.scripts.fetch_sars --vintage 2026</t>
        </is>
      </c>
      <c r="H7" s="176" t="inlineStr">
        <is>
          <t>2010-2026</t>
        </is>
      </c>
      <c r="I7" s="176" t="inlineStr">
        <is>
          <t>Primary record of imports and exports from 2014. Kilograms to 2012, litres from 2014, both in 2013.</t>
        </is>
      </c>
    </row>
    <row r="8">
      <c r="A8" s="176" t="inlineStr">
        <is>
          <t>History section 2: FIASA comparison rows</t>
        </is>
      </c>
      <c r="B8" s="176" t="inlineStr">
        <is>
          <t>Fuels Industry Association of South Africa (from customs data)</t>
        </is>
      </c>
      <c r="C8" s="176" t="inlineStr">
        <is>
          <t>https://fuelsindustry.org.za/publications/annual-reports/</t>
        </is>
      </c>
      <c r="D8" s="176" t="inlineStr">
        <is>
          <t>annual-report-&lt;year&gt;.pdf; 2025 edition pp.47-49</t>
        </is>
      </c>
      <c r="E8" s="176" t="inlineStr">
        <is>
          <t>local to Manish and Nigel; not on main; 2025 edition on main</t>
        </is>
      </c>
      <c r="F8" s="176" t="inlineStr">
        <is>
          <t>assumptions/2026/timeseries/fuel_trade_fiasa.csv</t>
        </is>
      </c>
      <c r="G8" s="176" t="inlineStr">
        <is>
          <t>python -m lfm.scripts.fetch_fuel_sales --vintage 2026</t>
        </is>
      </c>
      <c r="H8" s="176" t="inlineStr">
        <is>
          <t>2009-2025</t>
        </is>
      </c>
      <c r="I8" s="176" t="inlineStr">
        <is>
          <t>Cross-check, and the record before 2014; SARS is primary from 2014. 'Kerosene' is jet plus paraffin. Its 2024 diesel import figure is 4.000 bn L above customs.</t>
        </is>
      </c>
    </row>
    <row r="9">
      <c r="A9" s="176" t="inlineStr">
        <is>
          <t>History section 4: FIASA comparison row</t>
        </is>
      </c>
      <c r="B9" s="176" t="inlineStr">
        <is>
          <t>Fuels Industry Association of South Africa</t>
        </is>
      </c>
      <c r="C9" s="176" t="inlineStr">
        <is>
          <t>https://fuelsindustry.org.za/publications/annual-reports/</t>
        </is>
      </c>
      <c r="D9" s="176" t="inlineStr">
        <is>
          <t>annual-report-&lt;year&gt;.pdf, 2021-2025 editions</t>
        </is>
      </c>
      <c r="E9" s="176" t="inlineStr">
        <is>
          <t>local to Manish and Nigel; not on main; 2025 edition on main</t>
        </is>
      </c>
      <c r="F9" s="176" t="inlineStr">
        <is>
          <t>assumptions/2026/timeseries/fuel_sales_fiasa.csv</t>
        </is>
      </c>
      <c r="G9" s="176" t="inlineStr">
        <is>
          <t>python -m lfm.scripts.fetch_fuel_sales --vintage 2026</t>
        </is>
      </c>
      <c r="H9" s="176" t="inlineStr">
        <is>
          <t>2009-2024</t>
        </is>
      </c>
      <c r="I9" s="176" t="inlineStr">
        <is>
          <t>Used for 2024 only. Its 2013 figures equal the department's superseded sheet.</t>
        </is>
      </c>
    </row>
    <row r="10">
      <c r="A10" s="176" t="inlineStr">
        <is>
          <t>History section 3 and Sector history: production and diesel by sector</t>
        </is>
      </c>
      <c r="B10" s="176" t="inlineStr">
        <is>
          <t>Department of Mineral and Petroleum Resources (energy department)</t>
        </is>
      </c>
      <c r="C10" s="176" t="inlineStr">
        <is>
          <t>https://www.dmpr.gov.za/Portals/0/Energy_Website/files/media/Energy_Balances.html</t>
        </is>
      </c>
      <c r="D10" s="176" t="inlineStr">
        <is>
          <t>&lt;year&gt;-Commodity-Flow-and-Energy-Balance.xlsx, 2007-2021</t>
        </is>
      </c>
      <c r="E10" s="176" t="inlineStr">
        <is>
          <t>local to Manish and Nigel; not on main</t>
        </is>
      </c>
      <c r="F10" s="176" t="inlineStr">
        <is>
          <t>assumptions/2026/timeseries/energy_balance_department.csv</t>
        </is>
      </c>
      <c r="G10" s="176" t="inlineStr">
        <is>
          <t>python -m lfm.scripts.fetch_energy_dept --vintage 2026</t>
        </is>
      </c>
      <c r="H10" s="176" t="inlineStr">
        <is>
          <t>2007-2021</t>
        </is>
      </c>
      <c r="I10" s="176" t="inlineStr">
        <is>
          <t>Ends 2021. Sector definitions shift in 2016. Fuel oil not extracted.</t>
        </is>
      </c>
    </row>
    <row r="11">
      <c r="A11" s="176" t="inlineStr">
        <is>
          <t>History section 3: operators' reported output</t>
        </is>
      </c>
      <c r="B11" s="176" t="inlineStr">
        <is>
          <t>Sasol (production and sales metrics); Glencore (annual reports)</t>
        </is>
      </c>
      <c r="C11" s="176" t="inlineStr">
        <is>
          <t>https://www.sasol.com/</t>
        </is>
      </c>
      <c r="D11" s="176" t="inlineStr">
        <is>
          <t>sasol-metrics-fy2022/2025/2026.pdf, p.4; GLEN-2023/2024/2025-Annual-Report.pdf</t>
        </is>
      </c>
      <c r="E11" s="176" t="inlineStr">
        <is>
          <t>Sasol files on manish-branch (external/data/raw/sasol/); Glencore reports by link only</t>
        </is>
      </c>
      <c r="F11" s="176" t="inlineStr">
        <is>
          <t>assumptions/2026/reference/refinery_output_operators.csv</t>
        </is>
      </c>
      <c r="G11" s="176" t="inlineStr">
        <is>
          <t>none</t>
        </is>
      </c>
      <c r="H11" s="176" t="inlineStr">
        <is>
          <t>2020-2026</t>
        </is>
      </c>
      <c r="I11" s="176" t="inlineStr">
        <is>
          <t>All refined products, no product split; fiscal and calendar years; Astron as energy content.</t>
        </is>
      </c>
    </row>
    <row r="12">
      <c r="A12" s="176" t="inlineStr">
        <is>
          <t>History section 5: litres levied</t>
        </is>
      </c>
      <c r="B12" s="176" t="inlineStr">
        <is>
          <t>Road Accident Fund</t>
        </is>
      </c>
      <c r="C12" s="176" t="inlineStr">
        <is>
          <t>https://static.pmg.org.za/RAF_Annual_Report_2025.pdf</t>
        </is>
      </c>
      <c r="D12" s="176" t="inlineStr">
        <is>
          <t>raf-annual-report-2024-25.pdf, note 16 (p.183)</t>
        </is>
      </c>
      <c r="E12" s="176" t="inlineStr">
        <is>
          <t>on manish-branch (external/data/raw/raf/)</t>
        </is>
      </c>
      <c r="F12" s="176" t="inlineStr">
        <is>
          <t>assumptions/2026/reference/fuel_levy_revenue_raf.csv</t>
        </is>
      </c>
      <c r="G12" s="176" t="inlineStr">
        <is>
          <t>none</t>
        </is>
      </c>
      <c r="H12" s="176" t="inlineStr">
        <is>
          <t>2024-2025</t>
        </is>
      </c>
      <c r="I12" s="176" t="inlineStr">
        <is>
          <t>Gross levies and diesel rebate in rand; litres derived in the balance note. Fiscal years; petrol and diesel together.</t>
        </is>
      </c>
    </row>
    <row r="13">
      <c r="A13" s="176" t="inlineStr">
        <is>
          <t>Sector history: mining and manufacturing volume indices</t>
        </is>
      </c>
      <c r="B13" s="176" t="inlineStr">
        <is>
          <t>Statistics South Africa (P2041 mining, P3041.2 manufacturing, P7162 land transport, P0141 CPI)</t>
        </is>
      </c>
      <c r="C13" s="176" t="inlineStr">
        <is>
          <t>https://www.statssa.gov.za/?page_id=1847</t>
        </is>
      </c>
      <c r="D13" s="176" t="inlineStr">
        <is>
          <t>release zips, July and August 2026</t>
        </is>
      </c>
      <c r="E13" s="176" t="inlineStr">
        <is>
          <t>on manish-branch (external/data/raw/statssa/)</t>
        </is>
      </c>
      <c r="F13" s="176" t="inlineStr">
        <is>
          <t>assumptions/2026/timeseries/activity_statssa_monthly.csv</t>
        </is>
      </c>
      <c r="G13" s="176" t="inlineStr">
        <is>
          <t>python -m lfm.scripts.fetch_statssa_monthly --vintage 2026</t>
        </is>
      </c>
      <c r="H13" s="176" t="inlineStr">
        <is>
          <t>1998-01-2026-08</t>
        </is>
      </c>
      <c r="I13" s="176" t="inlineStr">
        <is>
          <t>Activity measures, not fuel volumes. Not seasonally adjusted. Tonnes, not tonne-kilometres.</t>
        </is>
      </c>
    </row>
    <row r="14">
      <c r="A14" s="176" t="inlineStr">
        <is>
          <t>Sector history: agriculture real value added</t>
        </is>
      </c>
      <c r="B14" s="176" t="inlineStr">
        <is>
          <t>Statistics South Africa (P0441 GDP; P0302 mid-year population)</t>
        </is>
      </c>
      <c r="C14" s="176" t="inlineStr">
        <is>
          <t>https://www.statssa.gov.za/?page_id=1854&amp;PPN=P0441</t>
        </is>
      </c>
      <c r="D14" s="176" t="inlineStr">
        <is>
          <t>GDP P0441 - GDP Time series Q2 2026.xlsx (Annual sheet); Country projection ... (2002-2026).xlsx</t>
        </is>
      </c>
      <c r="E14" s="176" t="inlineStr">
        <is>
          <t>on manish-branch (external/data/raw/statssa/)</t>
        </is>
      </c>
      <c r="F14" s="176" t="inlineStr">
        <is>
          <t>assumptions/2026/timeseries/macro_statssa.csv</t>
        </is>
      </c>
      <c r="G14" s="176" t="inlineStr">
        <is>
          <t>python -m lfm.scripts.fetch_economy --vintage 2026</t>
        </is>
      </c>
      <c r="H14" s="176" t="inlineStr">
        <is>
          <t>1993-2050</t>
        </is>
      </c>
      <c r="I14" s="176" t="inlineStr">
        <is>
          <t>Manual placement each release. Years after 2026 are projections, not observations.</t>
        </is>
      </c>
    </row>
    <row r="15">
      <c r="A15" s="176" t="inlineStr">
        <is>
          <t>History section 7: aircraft movements</t>
        </is>
      </c>
      <c r="B15" s="176" t="inlineStr">
        <is>
          <t>Airports Company South Africa</t>
        </is>
      </c>
      <c r="C15" s="176" t="inlineStr">
        <is>
          <t>https://www.airports.co.za/StatisticsLib/</t>
        </is>
      </c>
      <c r="D15" s="176" t="inlineStr">
        <is>
          <t>derived from the monthly file</t>
        </is>
      </c>
      <c r="E15" s="176" t="inlineStr">
        <is>
          <t>derived</t>
        </is>
      </c>
      <c r="F15" s="176" t="inlineStr">
        <is>
          <t>assumptions/2026/timeseries/air_traffic_acsa_annual.csv</t>
        </is>
      </c>
      <c r="G15" s="176" t="inlineStr">
        <is>
          <t>python -m lfm.scripts.fetch_acsa --vintage 2026</t>
        </is>
      </c>
      <c r="H15" s="176" t="inlineStr">
        <is>
          <t>2013-2025</t>
        </is>
      </c>
      <c r="I15" s="176" t="inlineStr"/>
    </row>
    <row r="16">
      <c r="A16" s="176" t="inlineStr">
        <is>
          <t>History section 6: quarter 1 2023 provincial shares</t>
        </is>
      </c>
      <c r="B16" s="176" t="inlineStr">
        <is>
          <t>Department of Mineral and Petroleum Resources (energy department)</t>
        </is>
      </c>
      <c r="C16" s="176" t="inlineStr">
        <is>
          <t>https://www.dmpr.gov.za/Portals/0/Energy_Website/files/media/SA FUEL SALES VOLUME/</t>
        </is>
      </c>
      <c r="D16" s="176" t="inlineStr">
        <is>
          <t>same workbooks; source_file column names each one</t>
        </is>
      </c>
      <c r="E16" s="176" t="inlineStr">
        <is>
          <t>local to Manish and Nigel; not on main</t>
        </is>
      </c>
      <c r="F16" s="176" t="inlineStr">
        <is>
          <t>assumptions/2026/timeseries/fuel_sales_department_by_province_quarterly.csv</t>
        </is>
      </c>
      <c r="G16" s="176" t="inlineStr">
        <is>
          <t>python -m lfm.scripts.fetch_energy_dept --vintage 2026</t>
        </is>
      </c>
      <c r="H16" s="176" t="inlineStr">
        <is>
          <t>2013-Q1-2023-Q1</t>
        </is>
      </c>
      <c r="I16" s="176" t="inlineStr">
        <is>
          <t>26 province/product years have blank quarters in the source (none petrol or diesel).</t>
        </is>
      </c>
    </row>
    <row r="17">
      <c r="A17" s="176" t="inlineStr">
        <is>
          <t>History section 6: provincial GDP used to move the 2024 shares</t>
        </is>
      </c>
      <c r="B17" s="176" t="inlineStr">
        <is>
          <t>Statistics South Africa (P0441.2 Provincial GDP)</t>
        </is>
      </c>
      <c r="C17" s="176" t="inlineStr">
        <is>
          <t>https://www.statssa.gov.za/?page_id=1847</t>
        </is>
      </c>
      <c r="D17" s="176" t="inlineStr">
        <is>
          <t>P0441.2  Provincial Gross Domestic Product(2024).zip, Tables 2-10, block c</t>
        </is>
      </c>
      <c r="E17" s="176" t="inlineStr">
        <is>
          <t>on manish-branch (external/data/raw/statssa/)</t>
        </is>
      </c>
      <c r="F17" s="176" t="inlineStr">
        <is>
          <t>assumptions/2026/timeseries/gdp_by_province_statssa.csv</t>
        </is>
      </c>
      <c r="G17" s="176" t="inlineStr">
        <is>
          <t>python -m lfm.scripts.fetch_economy --vintage 2026</t>
        </is>
      </c>
      <c r="H17" s="176" t="inlineStr">
        <is>
          <t>2013-2024</t>
        </is>
      </c>
      <c r="I17" s="176" t="inlineStr">
        <is>
          <t>Annual, 2013-2024. Economic activity by province, not fuel litres.</t>
        </is>
      </c>
    </row>
    <row r="18">
      <c r="A18" s="176" t="inlineStr">
        <is>
          <t>Diesel by use and Power fleet: power generation</t>
        </is>
      </c>
      <c r="B18" s="176" t="inlineStr">
        <is>
          <t>Eskom integrated reports</t>
        </is>
      </c>
      <c r="C18" s="176" t="inlineStr">
        <is>
          <t>https://www.eskom.co.za/investors/integrated-results/</t>
        </is>
      </c>
      <c r="D18" s="176" t="inlineStr">
        <is>
          <t>integrated report PDFs, years to March 2022-2026</t>
        </is>
      </c>
      <c r="E18" s="176" t="inlineStr">
        <is>
          <t>local to Manish and Nigel; not on main</t>
        </is>
      </c>
      <c r="F18" s="176" t="inlineStr">
        <is>
          <t>assumptions/2026/timeseries/ocgt_generation_eskom.csv</t>
        </is>
      </c>
      <c r="G18" s="176" t="inlineStr">
        <is>
          <t>python -m lfm.scripts.fetch_eskom --vintage 2026</t>
        </is>
      </c>
      <c r="H18" s="176" t="inlineStr">
        <is>
          <t>2022-2026</t>
        </is>
      </c>
      <c r="I18" s="176" t="inlineStr">
        <is>
          <t>GWh for financial years; diesel litres not reported in the extract.</t>
        </is>
      </c>
    </row>
    <row r="19">
      <c r="A19" s="176" t="inlineStr">
        <is>
          <t>Power fleet: stations, capacities and retirement dates</t>
        </is>
      </c>
      <c r="B19" s="176" t="inlineStr">
        <is>
          <t>Eskom; press reports</t>
        </is>
      </c>
      <c r="C19" s="176" t="inlineStr">
        <is>
          <t>https://www.eskom.co.za/eskom-divisions/gx/peaking-power-stations/</t>
        </is>
      </c>
      <c r="D19" s="176" t="inlineStr">
        <is>
          <t>eskom-gx0001-generation-plant-mix-rev29.pdf</t>
        </is>
      </c>
      <c r="E19" s="176" t="inlineStr">
        <is>
          <t>on manish-branch (external/data/raw/eskom/)</t>
        </is>
      </c>
      <c r="F19" s="176" t="inlineStr">
        <is>
          <t>assumptions/2026/infrastructure/power_fleet_diesel.csv</t>
        </is>
      </c>
      <c r="G19" s="176" t="inlineStr">
        <is>
          <t>none</t>
        </is>
      </c>
      <c r="H19" s="176" t="inlineStr">
        <is>
          <t>-</t>
        </is>
      </c>
      <c r="I19" s="176" t="inlineStr">
        <is>
          <t>Diesel peaking stations and coal stations being retired, with capacities and dates. Three rows are marked to confirm.</t>
        </is>
      </c>
    </row>
    <row r="20">
      <c r="A20" s="176" t="inlineStr">
        <is>
          <t>Diesel by use: the 0.31 litres per kWh factor</t>
        </is>
      </c>
      <c r="B20" s="176" t="inlineStr">
        <is>
          <t>Parliament (replies by the Ministers of Public Enterprises and of Electricity and Energy)</t>
        </is>
      </c>
      <c r="C20" s="176" t="inlineStr">
        <is>
          <t>https://pmg.org.za/committee-question/30686/</t>
        </is>
      </c>
      <c r="D20" s="176" t="inlineStr">
        <is>
          <t>reply NW1980 (2025); press reports for 2022 and 2023</t>
        </is>
      </c>
      <c r="E20" s="176" t="inlineStr">
        <is>
          <t>by link only</t>
        </is>
      </c>
      <c r="F20" s="176" t="inlineStr">
        <is>
          <t>assumptions/2026/reference/ocgt_diesel_burn_reported.csv</t>
        </is>
      </c>
      <c r="G20" s="176" t="inlineStr">
        <is>
          <t>none</t>
        </is>
      </c>
      <c r="H20" s="176" t="inlineStr">
        <is>
          <t>2022-2025</t>
        </is>
      </c>
      <c r="I20" s="176" t="inlineStr">
        <is>
          <t>Three years; none for the year to March 2024. Implies 0.31 litres per kWh; not adopted in the model.</t>
        </is>
      </c>
    </row>
    <row r="21">
      <c r="A21" s="176" t="inlineStr">
        <is>
          <t>Diesel by use: price used to convert road freight fuel spending to litres</t>
        </is>
      </c>
      <c r="B21" s="176" t="inlineStr">
        <is>
          <t>Department of Mineral and Petroleum Resources (energy department)</t>
        </is>
      </c>
      <c r="C21" s="176" t="inlineStr">
        <is>
          <t>https://www.dmpr.gov.za/Portals/0/Energy_Website/files/media/</t>
        </is>
      </c>
      <c r="D21" s="176" t="inlineStr">
        <is>
          <t>fuel-price-history-&lt;year&gt;.pdf, 2011-2025; price-breakdown-&lt;year&gt;-&lt;month&gt;.pdf to February 2026; cef-daily-&lt;date&gt;.pdf from February 2026 (Central Energy Fund)</t>
        </is>
      </c>
      <c r="E21" s="176" t="inlineStr">
        <is>
          <t>local to Manish and Nigel; not on main</t>
        </is>
      </c>
      <c r="F21" s="176" t="inlineStr">
        <is>
          <t>assumptions/2026/timeseries/fuel_prices_department.csv</t>
        </is>
      </c>
      <c r="G21" s="176" t="inlineStr">
        <is>
          <t>python -m lfm.scripts.fetch_energy_dept --vintage 2026</t>
        </is>
      </c>
      <c r="H21" s="176" t="inlineStr">
        <is>
          <t>2011-01-2026-10</t>
        </is>
      </c>
      <c r="I21" s="176" t="inlineStr">
        <is>
          <t>Runs to October 2026. Department to February 2026, then CEF daily sheets, which give inland prices only: coastal diesel has no value from December 2025, coastal petrol and paraffin none from March 2026.</t>
        </is>
      </c>
    </row>
    <row r="22">
      <c r="A22" s="176" t="inlineStr">
        <is>
          <t>Diesel by use and Vehicle history: vehicle classes, distance and fuel use</t>
        </is>
      </c>
      <c r="B22" s="176" t="inlineStr">
        <is>
          <t>Stone, Merven, Maseela and Moonsamy (2018), J. Energy in Southern Africa 29(2), and supplement</t>
        </is>
      </c>
      <c r="C22" s="176" t="inlineStr">
        <is>
          <t>https://www.scielo.org.za/pdf/jesa/v29n2/06.pdf</t>
        </is>
      </c>
      <c r="D22" s="176" t="inlineStr">
        <is>
          <t>stone-2018-vehicle-parc-model-jesa-29-2.pdf; stone-2018-supplementary.pdf</t>
        </is>
      </c>
      <c r="E22" s="176" t="inlineStr">
        <is>
          <t>on manish-branch (external/data/raw/literature/)</t>
        </is>
      </c>
      <c r="F22" s="176" t="inlineStr">
        <is>
          <t>assumptions/2026/reference/vehicle_parameters_stone2018.csv</t>
        </is>
      </c>
      <c r="G22" s="176" t="inlineStr">
        <is>
          <t>none</t>
        </is>
      </c>
      <c r="H22" s="176" t="inlineStr">
        <is>
          <t>-</t>
        </is>
      </c>
      <c r="I22" s="176" t="inlineStr">
        <is>
          <t>Values are for 2014. Transcription not independently re-checked.</t>
        </is>
      </c>
    </row>
    <row r="23">
      <c r="A23" s="176" t="inlineStr">
        <is>
          <t>Vehicle history: registered vehicles by class</t>
        </is>
      </c>
      <c r="B23" s="176" t="inlineStr">
        <is>
          <t>NaTIS (Road Traffic Management Corporation)</t>
        </is>
      </c>
      <c r="C23" s="176" t="inlineStr">
        <is>
          <t>https://www.natis.gov.za/</t>
        </is>
      </c>
      <c r="D23" s="176" t="inlineStr">
        <is>
          <t>monthly live vehicle population PDFs</t>
        </is>
      </c>
      <c r="E23" s="176" t="inlineStr">
        <is>
          <t>local to Manish and Nigel; not on main</t>
        </is>
      </c>
      <c r="F23" s="176" t="inlineStr">
        <is>
          <t>assumptions/2026/timeseries/vehicle_population_natis.csv</t>
        </is>
      </c>
      <c r="G23" s="176" t="inlineStr">
        <is>
          <t>python -m lfm.scripts.fetch_natis --vintage 2026</t>
        </is>
      </c>
      <c r="H23" s="176" t="inlineStr">
        <is>
          <t>2021-02-2026-06</t>
        </is>
      </c>
      <c r="I23" s="176" t="inlineStr">
        <is>
          <t>All fuels together; no petrol/diesel split.</t>
        </is>
      </c>
    </row>
    <row r="24">
      <c r="A24" s="176" t="inlineStr">
        <is>
          <t>Vehicle history: new sales by segment</t>
        </is>
      </c>
      <c r="B24" s="176" t="inlineStr">
        <is>
          <t>naamsa, quarterly review of business conditions</t>
        </is>
      </c>
      <c r="C24" s="176" t="inlineStr">
        <is>
          <t>https://naamsa.net/quarterly-reviews/</t>
        </is>
      </c>
      <c r="D24" s="176" t="inlineStr">
        <is>
          <t>quarterly review PDFs</t>
        </is>
      </c>
      <c r="E24" s="176" t="inlineStr">
        <is>
          <t>local to Manish and Nigel; not on main</t>
        </is>
      </c>
      <c r="F24" s="176" t="inlineStr">
        <is>
          <t>assumptions/2026/timeseries/new_vehicle_market_naamsa.csv</t>
        </is>
      </c>
      <c r="G24" s="176" t="inlineStr">
        <is>
          <t>python -m lfm.scripts.fetch_naamsa --vintage 2026</t>
        </is>
      </c>
      <c r="H24" s="176" t="inlineStr">
        <is>
          <t>2015-2027</t>
        </is>
      </c>
      <c r="I24" s="176" t="inlineStr">
        <is>
          <t>2026-2027 are naamsa's own outlook, not observations.</t>
        </is>
      </c>
    </row>
    <row r="25">
      <c r="A25" s="176" t="inlineStr">
        <is>
          <t>Vehicle history: electrified new sales</t>
        </is>
      </c>
      <c r="B25" s="176" t="inlineStr">
        <is>
          <t>naamsa, quarterly review of business conditions</t>
        </is>
      </c>
      <c r="C25" s="176" t="inlineStr">
        <is>
          <t>https://naamsa.net/quarterly-reviews/</t>
        </is>
      </c>
      <c r="D25" s="176" t="inlineStr">
        <is>
          <t>quarterly review PDFs</t>
        </is>
      </c>
      <c r="E25" s="176" t="inlineStr">
        <is>
          <t>local to Manish and Nigel; not on main</t>
        </is>
      </c>
      <c r="F25" s="176" t="inlineStr">
        <is>
          <t>assumptions/2026/timeseries/nev_sales_naamsa.csv</t>
        </is>
      </c>
      <c r="G25" s="176" t="inlineStr">
        <is>
          <t>python -m lfm.scripts.fetch_naamsa --vintage 2026</t>
        </is>
      </c>
      <c r="H25" s="176" t="inlineStr">
        <is>
          <t>2019-2025</t>
        </is>
      </c>
      <c r="I25" s="176" t="inlineStr">
        <is>
          <t>New sales, not fleet. Audit logged parser warnings on the 5 October refresh.</t>
        </is>
      </c>
    </row>
    <row r="26">
      <c r="A26" s="176" t="inlineStr">
        <is>
          <t>Vehicle history: fuel split of the registered fleet</t>
        </is>
      </c>
      <c r="B26" s="176" t="inlineStr">
        <is>
          <t>Department of Transport, Transport Statistics Bulletin 2023, Table 2.8 (source: RTMC)</t>
        </is>
      </c>
      <c r="C26" s="176" t="inlineStr">
        <is>
          <t>https://www.transport.gov.za/wp-content/uploads/2023/02/Transport-Statistics-Bulletin-2023.pdf</t>
        </is>
      </c>
      <c r="D26" s="176" t="inlineStr">
        <is>
          <t>dot-transport-statistics-bulletin-2023.pdf, p.40</t>
        </is>
      </c>
      <c r="E26" s="176" t="inlineStr">
        <is>
          <t>on manish-branch (external/data/raw/literature/)</t>
        </is>
      </c>
      <c r="F26" s="176" t="inlineStr">
        <is>
          <t>assumptions/2026/reference/vehicle_population_by_fuel_dot2023.csv</t>
        </is>
      </c>
      <c r="G26" s="176" t="inlineStr">
        <is>
          <t>none</t>
        </is>
      </c>
      <c r="H26" s="176" t="inlineStr">
        <is>
          <t>2023-12-2023-12</t>
        </is>
      </c>
      <c r="I26" s="176" t="inlineStr">
        <is>
          <t>One date only (December 2023). No later edition found.</t>
        </is>
      </c>
    </row>
    <row r="27">
      <c r="A27" s="176" t="inlineStr">
        <is>
          <t>Diesel by use: fuel bought by road freight businesses</t>
        </is>
      </c>
      <c r="B27" s="176" t="inlineStr">
        <is>
          <t>Statistics South Africa</t>
        </is>
      </c>
      <c r="C27" s="176" t="inlineStr">
        <is>
          <t>https://www.statssa.gov.za/?page_id=1854&amp;PPN=Report-71-02-01</t>
        </is>
      </c>
      <c r="D27" s="176" t="inlineStr">
        <is>
          <t>Report-71-02-012023.pdf, Table 20 (p.33)</t>
        </is>
      </c>
      <c r="E27" s="176" t="inlineStr">
        <is>
          <t>on manish-branch (external/data/raw/statssa/statssa-transport-and-storage-industry-2023.pdf)</t>
        </is>
      </c>
      <c r="F27" s="176" t="inlineStr">
        <is>
          <t>typed into build_demand_baseline_workbook.py (ROAD_FREIGHT_FUEL_RAND)</t>
        </is>
      </c>
      <c r="G27" s="176" t="inlineStr">
        <is>
          <t>none</t>
        </is>
      </c>
      <c r="H27" s="176" t="inlineStr">
        <is>
          <t>2019, 2023</t>
        </is>
      </c>
      <c r="I27" s="176" t="inlineStr">
        <is>
          <t>Hire-and-reward operators only; 2023 preliminary</t>
        </is>
      </c>
    </row>
    <row r="28">
      <c r="A28" s="176" t="inlineStr">
        <is>
          <t>Diesel by use: land freight share of diesel</t>
        </is>
      </c>
      <c r="B28" s="176" t="inlineStr">
        <is>
          <t>Merven, Hartley and Ahjum (2019), SA-TIED Working Paper 60</t>
        </is>
      </c>
      <c r="C28" s="176" t="inlineStr">
        <is>
          <t>https://sa-tied.wider.unu.edu/sites/default/files/pdf/SATIED_WP60_Merven_Hartley_Ahjum_April_2019.pdf</t>
        </is>
      </c>
      <c r="D28" s="176" t="inlineStr">
        <is>
          <t>p.10</t>
        </is>
      </c>
      <c r="E28" s="176" t="inlineStr">
        <is>
          <t>on manish-branch (external/data/raw/literature/)</t>
        </is>
      </c>
      <c r="F28" s="176" t="inlineStr">
        <is>
          <t>quoted on the sheet</t>
        </is>
      </c>
      <c r="G28" s="176" t="inlineStr">
        <is>
          <t>none</t>
        </is>
      </c>
      <c r="H28" s="176" t="inlineStr">
        <is>
          <t>2012</t>
        </is>
      </c>
      <c r="I28" s="176" t="inlineStr">
        <is>
          <t>Modelled; same research group as the vehicle study</t>
        </is>
      </c>
    </row>
    <row r="29">
      <c r="A29" s="176" t="inlineStr">
        <is>
          <t>Vehicle history and Diesel by use: the model's settings</t>
        </is>
      </c>
      <c r="B29" s="176" t="inlineStr">
        <is>
          <t>AIA (Reatile workbook, March 2025)</t>
        </is>
      </c>
      <c r="C29" s="176" t="inlineStr"/>
      <c r="D29" s="176" t="inlineStr">
        <is>
          <t>assumptions/2026/vehicles.yaml</t>
        </is>
      </c>
      <c r="E29" s="176" t="inlineStr">
        <is>
          <t>in the repository</t>
        </is>
      </c>
      <c r="F29" s="176" t="inlineStr">
        <is>
          <t>assumptions/2026/vehicles.yaml</t>
        </is>
      </c>
      <c r="G29" s="176" t="inlineStr">
        <is>
          <t>none</t>
        </is>
      </c>
      <c r="H29" s="176" t="inlineStr"/>
      <c r="I29" s="176" t="inlineStr">
        <is>
          <t>Placeholders without a published source</t>
        </is>
      </c>
    </row>
    <row r="30">
      <c r="A30" s="176" t="inlineStr">
        <is>
          <t>HML response</t>
        </is>
      </c>
      <c r="B30" s="176" t="inlineStr">
        <is>
          <t>AIA (analyst), from the sources named in each row</t>
        </is>
      </c>
      <c r="C30" s="176" t="inlineStr"/>
      <c r="D30" s="176" t="inlineStr">
        <is>
          <t>workstreams/WS2_model_development/fuel_lever_response_2026-10-07.csv</t>
        </is>
      </c>
      <c r="E30" s="176" t="inlineStr">
        <is>
          <t>in the repository</t>
        </is>
      </c>
      <c r="F30" s="176" t="inlineStr">
        <is>
          <t>same file</t>
        </is>
      </c>
      <c r="G30" s="176" t="inlineStr">
        <is>
          <t>python -m lfm.scripts.build_fuel_lever_response --vintage 2026</t>
        </is>
      </c>
      <c r="H30" s="176" t="inlineStr">
        <is>
          <t>2030, 2035</t>
        </is>
      </c>
      <c r="I30" s="176"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2026-10-08T09:10:49Z</dcterms:created>
  <dcterms:modified xmlns:dcterms="http://purl.org/dc/terms/" xmlns:xsi="http://www.w3.org/2001/XMLSchema-instance" xsi:type="dcterms:W3CDTF">2026-10-08T09:10:50Z</dcterms:modified>
</cp:coreProperties>
</file>