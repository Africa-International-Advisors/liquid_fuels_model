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Power fleet" sheetId="29" state="visible" r:id="rId29"/>
    <sheet xmlns:r="http://schemas.openxmlformats.org/officeDocument/2006/relationships" name="Vehicle history" sheetId="30" state="visible" r:id="rId30"/>
    <sheet xmlns:r="http://schemas.openxmlformats.org/officeDocument/2006/relationships" name="HML response" sheetId="31" state="visible" r:id="rId31"/>
    <sheet xmlns:r="http://schemas.openxmlformats.org/officeDocument/2006/relationships" name="Gap status" sheetId="32" state="visible" r:id="rId32"/>
    <sheet xmlns:r="http://schemas.openxmlformats.org/officeDocument/2006/relationships" name="Checks" sheetId="33" state="visible" r:id="rId33"/>
    <sheet xmlns:r="http://schemas.openxmlformats.org/officeDocument/2006/relationships" name="History sources" sheetId="34" state="visible" r:id="rId34"/>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06">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5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32 facts read from sources, 3 calculated, 6 not available (yellow). Each row gives its source. Petrol and diesel only: 26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2">
      <c r="A12" s="151" t="inlineStr">
        <is>
          <t>Pipeline cost</t>
        </is>
      </c>
      <c r="B12" s="151" t="n"/>
      <c r="C12" s="151" t="n"/>
      <c r="D12" s="151" t="n"/>
      <c r="E12" s="151" t="n"/>
      <c r="F12" s="151" t="n"/>
      <c r="G12" s="151" t="n"/>
      <c r="H12" s="151" t="n"/>
      <c r="I12" s="151" t="n"/>
    </row>
    <row r="13">
      <c r="A13" s="152" t="inlineStr">
        <is>
          <t>Effect of the tariff decision on the fuel price</t>
        </is>
      </c>
      <c r="B13" s="152" t="inlineStr">
        <is>
          <t>Durban to Johannesburg proxy</t>
        </is>
      </c>
      <c r="C13" s="152" t="inlineStr">
        <is>
          <t>+5.23; +3.80</t>
        </is>
      </c>
      <c r="D13" s="152" t="inlineStr">
        <is>
          <t>cents a litre</t>
        </is>
      </c>
      <c r="E13" s="152" t="inlineStr">
        <is>
          <t>2025/26; 2026/27</t>
        </is>
      </c>
      <c r="F13" s="152" t="inlineStr">
        <is>
          <t>observed</t>
        </is>
      </c>
      <c r="G13" s="152" t="inlineStr">
        <is>
          <t>NERSA media statement, 15 April 2025</t>
        </is>
      </c>
      <c r="H13" s="152" t="inlineStr">
        <is>
          <t>p.1</t>
        </is>
      </c>
      <c r="I13" s="152" t="inlineStr">
        <is>
          <t>This is the change, not the tariff. The tariff by route is in the reasons for decision, not yet obtained.</t>
        </is>
      </c>
    </row>
    <row r="14">
      <c r="A14" s="152" t="inlineStr">
        <is>
          <t>Pipeline tariff, Durban to Alrode</t>
        </is>
      </c>
      <c r="B14" s="152" t="inlineStr">
        <is>
          <t>Durban to Alrode (Johannesburg)</t>
        </is>
      </c>
      <c r="C14" s="152" t="inlineStr">
        <is>
          <t>61.74; 67.99</t>
        </is>
      </c>
      <c r="D14" s="152" t="inlineStr">
        <is>
          <t>cents a litre</t>
        </is>
      </c>
      <c r="E14" s="152" t="inlineStr">
        <is>
          <t>2023/24; 2024/25</t>
        </is>
      </c>
      <c r="F14" s="152" t="inlineStr">
        <is>
          <t>observed</t>
        </is>
      </c>
      <c r="G14" s="152" t="inlineStr">
        <is>
          <t>NERSA statement of 15 March 2024, as quoted by Engineering News</t>
        </is>
      </c>
      <c r="H14" s="152" t="inlineStr"/>
      <c r="I14" s="152" t="inlineStr">
        <is>
          <t>Read from a news report quoting the regulator word for word; NERSA's own statement was not located. A 10.13% increase.</t>
        </is>
      </c>
    </row>
    <row r="15">
      <c r="A15" s="156" t="inlineStr">
        <is>
          <t>Pipeline tariff, Durban to Alrode</t>
        </is>
      </c>
      <c r="B15" s="156" t="inlineStr">
        <is>
          <t>Durban to Alrode (Johannesburg)</t>
        </is>
      </c>
      <c r="C15" s="156" t="inlineStr">
        <is>
          <t>73.22; 77.02</t>
        </is>
      </c>
      <c r="D15" s="156" t="inlineStr">
        <is>
          <t>cents a litre</t>
        </is>
      </c>
      <c r="E15" s="156" t="inlineStr">
        <is>
          <t>2025/26; 2026/27</t>
        </is>
      </c>
      <c r="F15" s="156" t="inlineStr">
        <is>
          <t>inferred</t>
        </is>
      </c>
      <c r="G15" s="156" t="inlineStr">
        <is>
          <t>67.99 plus the increases of 5.23 and 3.80 in NERSA's statement of 15 April 2025</t>
        </is>
      </c>
      <c r="H15" s="156" t="inlineStr">
        <is>
          <t>p.1</t>
        </is>
      </c>
      <c r="I15" s="156" t="inlineStr">
        <is>
          <t>Assumes the stated effect on the fuel price is the change in this tariff, as it was in 2024/25. To confirm in the reasons for decision.</t>
        </is>
      </c>
    </row>
    <row r="16">
      <c r="A16" s="162" t="inlineStr">
        <is>
          <t>Tariff on routes other than Durban to Alrode</t>
        </is>
      </c>
      <c r="B16" s="162" t="inlineStr">
        <is>
          <t>Other inland routes</t>
        </is>
      </c>
      <c r="C16" s="162" t="inlineStr">
        <is>
          <t>Not available</t>
        </is>
      </c>
      <c r="D16" s="162" t="inlineStr">
        <is>
          <t>cents a litre</t>
        </is>
      </c>
      <c r="E16" s="162" t="inlineStr">
        <is>
          <t>2026/27</t>
        </is>
      </c>
      <c r="F16" s="162" t="inlineStr">
        <is>
          <t>not available</t>
        </is>
      </c>
      <c r="G16" s="162" t="inlineStr">
        <is>
          <t>NERSA reasons for decision (not obtained)</t>
        </is>
      </c>
      <c r="H16" s="162" t="inlineStr"/>
      <c r="I16" s="162" t="inlineStr">
        <is>
          <t>Needed to compare destinations other than Gauteng. In NERSA's reasons for decision, not located. Owner: Manish.</t>
        </is>
      </c>
    </row>
    <row r="18">
      <c r="A18" s="151" t="inlineStr">
        <is>
          <t>Delivered cost</t>
        </is>
      </c>
      <c r="B18" s="151" t="n"/>
      <c r="C18" s="151" t="n"/>
      <c r="D18" s="151" t="n"/>
      <c r="E18" s="151" t="n"/>
      <c r="F18" s="151" t="n"/>
      <c r="G18" s="151" t="n"/>
      <c r="H18" s="151" t="n"/>
      <c r="I18" s="151" t="n"/>
    </row>
    <row r="19">
      <c r="A19" s="152" t="inlineStr">
        <is>
          <t>Regulated price difference, inland less coast, diesel wholesale</t>
        </is>
      </c>
      <c r="B19" s="152" t="inlineStr">
        <is>
          <t>Gauteng less coast</t>
        </is>
      </c>
      <c r="C19" s="152" t="inlineStr">
        <is>
          <t>79.0; 83.3; 83.3</t>
        </is>
      </c>
      <c r="D19" s="152" t="inlineStr">
        <is>
          <t>cents a litre</t>
        </is>
      </c>
      <c r="E19" s="152" t="inlineStr">
        <is>
          <t>July 2024; July 2025; November 2025</t>
        </is>
      </c>
      <c r="F19" s="152" t="inlineStr">
        <is>
          <t>observed</t>
        </is>
      </c>
      <c r="G19" s="152" t="inlineStr">
        <is>
          <t>Department of Mineral and Petroleum Resources, regulated fuel prices</t>
        </is>
      </c>
      <c r="H19" s="152" t="inlineStr"/>
      <c r="I19" s="152" t="inlineStr">
        <is>
          <t>The regulated allowance for moving fuel inland, not an operator's actual cost. Coast series held ends November 2025.</t>
        </is>
      </c>
    </row>
    <row r="20">
      <c r="A20" s="152" t="inlineStr">
        <is>
          <t>Regulated transport differential, Gauteng (zone 9C)</t>
        </is>
      </c>
      <c r="B20" s="152" t="inlineStr">
        <is>
          <t>Coast to Gauteng</t>
        </is>
      </c>
      <c r="C20" s="152" t="inlineStr">
        <is>
          <t>33.1; 82.8; 91.1</t>
        </is>
      </c>
      <c r="D20" s="152" t="inlineStr">
        <is>
          <t>cents a litre</t>
        </is>
      </c>
      <c r="E20" s="152" t="inlineStr">
        <is>
          <t>April 2014; April 2024; April 2026</t>
        </is>
      </c>
      <c r="F20" s="152" t="inlineStr">
        <is>
          <t>observed</t>
        </is>
      </c>
      <c r="G20" s="152" t="inlineStr">
        <is>
          <t>Department zone lists (2014, 2024); Central Energy Fund price composition (2026)</t>
        </is>
      </c>
      <c r="H20" s="152" t="inlineStr">
        <is>
          <t>CEF p.3</t>
        </is>
      </c>
      <c r="I20" s="152" t="inlineStr">
        <is>
          <t>The regulated allowance for getting petrol and diesel to Gauteng, which the regulator ties to the pipeline tariff. Not a commercial rate.</t>
        </is>
      </c>
    </row>
    <row r="21">
      <c r="A21" s="152" t="inlineStr">
        <is>
          <t>Regulated transport differential, all zones</t>
        </is>
      </c>
      <c r="B21" s="152" t="inlineStr">
        <is>
          <t>Coast to each of 54 pricing zones</t>
        </is>
      </c>
      <c r="C21" s="152" t="inlineStr">
        <is>
          <t>3.8 to 179.6</t>
        </is>
      </c>
      <c r="D21" s="152" t="inlineStr">
        <is>
          <t>cents a litre</t>
        </is>
      </c>
      <c r="E21" s="152" t="inlineStr">
        <is>
          <t>April 2024</t>
        </is>
      </c>
      <c r="F21" s="152" t="inlineStr">
        <is>
          <t>observed</t>
        </is>
      </c>
      <c r="G21" s="152" t="inlineStr">
        <is>
          <t>Department diesel wholesale price list, effective 3 April 2024</t>
        </is>
      </c>
      <c r="H21" s="152" t="inlineStr">
        <is>
          <t>pp.1-2</t>
        </is>
      </c>
      <c r="I21" s="152" t="inlineStr">
        <is>
          <t>Lowest at the coast (zone 1A), highest in zone 17A. By zone on the DR04 transport cost sheet. The files do not say which mode serves each zone.</t>
        </is>
      </c>
    </row>
    <row r="22">
      <c r="A22" s="156" t="inlineStr">
        <is>
          <t>Regulated transport differential less the pipeline tariff, Gauteng</t>
        </is>
      </c>
      <c r="B22" s="156" t="inlineStr">
        <is>
          <t>Coast to Gauteng</t>
        </is>
      </c>
      <c r="C22" s="156" t="inlineStr">
        <is>
          <t>14.8</t>
        </is>
      </c>
      <c r="D22" s="156" t="inlineStr">
        <is>
          <t>cents a litre</t>
        </is>
      </c>
      <c r="E22" s="156" t="inlineStr">
        <is>
          <t>2024/25</t>
        </is>
      </c>
      <c r="F22" s="156" t="inlineStr">
        <is>
          <t>inferred</t>
        </is>
      </c>
      <c r="G22" s="156" t="inlineStr">
        <is>
          <t>82.8 (zone 9C, April 2024) less 67.99 (Durban to Alrode, 2024/25)</t>
        </is>
      </c>
      <c r="H22" s="156" t="inlineStr"/>
      <c r="I22" s="156" t="inlineStr">
        <is>
          <t>What the rest of the Gauteng differential covers is not established.</t>
        </is>
      </c>
    </row>
    <row r="23">
      <c r="A23" s="152" t="inlineStr">
        <is>
          <t>Regulated secondary distribution (depot to service station by road)</t>
        </is>
      </c>
      <c r="B23" s="152" t="inlineStr">
        <is>
          <t>All zones</t>
        </is>
      </c>
      <c r="C23" s="152" t="inlineStr">
        <is>
          <t>17.2; 19.1</t>
        </is>
      </c>
      <c r="D23" s="152" t="inlineStr">
        <is>
          <t>cents a litre</t>
        </is>
      </c>
      <c r="E23" s="152" t="inlineStr">
        <is>
          <t>April 2024; April 2026</t>
        </is>
      </c>
      <c r="F23" s="152" t="inlineStr">
        <is>
          <t>observed</t>
        </is>
      </c>
      <c r="G23" s="152" t="inlineStr">
        <is>
          <t>Department diesel margins (2024); Central Energy Fund price composition (2026)</t>
        </is>
      </c>
      <c r="H23" s="152" t="inlineStr">
        <is>
          <t>CEF p.3</t>
        </is>
      </c>
      <c r="I23" s="152" t="inlineStr">
        <is>
          <t>The only regulated road delivery element. One national figure; it does not vary by distance.</t>
        </is>
      </c>
    </row>
    <row r="24">
      <c r="A24" s="152" t="inlineStr">
        <is>
          <t>Regulated secondary storage</t>
        </is>
      </c>
      <c r="B24" s="152" t="inlineStr">
        <is>
          <t>All zones</t>
        </is>
      </c>
      <c r="C24" s="152" t="inlineStr">
        <is>
          <t>36.6; 39.0</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regulated allowance for depot storage, which is the service a terminal such as Lesedi sells. One national figure.</t>
        </is>
      </c>
    </row>
    <row r="25">
      <c r="A25" s="152" t="inlineStr">
        <is>
          <t>Road against pipeline, as stated by a haulier</t>
        </is>
      </c>
      <c r="B25" s="152" t="inlineStr">
        <is>
          <t>Durban to Gauteng</t>
        </is>
      </c>
      <c r="C25" s="152" t="inlineStr">
        <is>
          <t>Pipeline plus the last stretch by truck costs about a third more than trucking all the way</t>
        </is>
      </c>
      <c r="D25" s="152" t="inlineStr"/>
      <c r="E25" s="152" t="inlineStr">
        <is>
          <t>May 2025</t>
        </is>
      </c>
      <c r="F25" s="152" t="inlineStr">
        <is>
          <t>observed</t>
        </is>
      </c>
      <c r="G25" s="152" t="inlineStr">
        <is>
          <t>Bloomberg, 12 May 2025, quoting the managing director of a fuel haulier</t>
        </is>
      </c>
      <c r="H25" s="152" t="inlineStr"/>
      <c r="I25" s="152" t="inlineStr">
        <is>
          <t>One operator's statement, with no rate given. It implies road is competitive with the pipeline; it is not a measured cost.</t>
        </is>
      </c>
    </row>
    <row r="26">
      <c r="A26" s="162" t="inlineStr">
        <is>
          <t>Commercial road tanker rate, Durban to Gauteng</t>
        </is>
      </c>
      <c r="B26" s="162" t="inlineStr">
        <is>
          <t>Road</t>
        </is>
      </c>
      <c r="C26" s="162" t="inlineStr">
        <is>
          <t>Not available</t>
        </is>
      </c>
      <c r="D26" s="162" t="inlineStr">
        <is>
          <t>cents a litre</t>
        </is>
      </c>
      <c r="E26" s="162" t="inlineStr"/>
      <c r="F26" s="162" t="inlineStr">
        <is>
          <t>not available</t>
        </is>
      </c>
      <c r="G26" s="162" t="inlineStr">
        <is>
          <t>None public</t>
        </is>
      </c>
      <c r="H26" s="162" t="inlineStr"/>
      <c r="I26" s="162" t="inlineStr">
        <is>
          <t>Hauliers' rates are not published. The regulated differentials above are the nearest public figure. Needs Vopak or a haulier quote.</t>
        </is>
      </c>
    </row>
    <row r="27">
      <c r="A27" s="162" t="inlineStr">
        <is>
          <t>Rail rate, Durban to Gauteng</t>
        </is>
      </c>
      <c r="B27" s="162" t="inlineStr">
        <is>
          <t>Rail</t>
        </is>
      </c>
      <c r="C27" s="162" t="inlineStr">
        <is>
          <t>Not available</t>
        </is>
      </c>
      <c r="D27" s="162" t="inlineStr">
        <is>
          <t>cents a litre</t>
        </is>
      </c>
      <c r="E27" s="162" t="inlineStr"/>
      <c r="F27" s="162" t="inlineStr">
        <is>
          <t>not available</t>
        </is>
      </c>
      <c r="G27" s="162" t="inlineStr">
        <is>
          <t>None public</t>
        </is>
      </c>
      <c r="H27" s="162" t="inlineStr"/>
      <c r="I27" s="162" t="inlineStr">
        <is>
          <t>Transnet Freight Rail does not publish rates by commodity, and none was found for fuel. Needs Transnet or Vopak.</t>
        </is>
      </c>
    </row>
    <row r="29">
      <c r="A29" s="151" t="inlineStr">
        <is>
          <t>Port use</t>
        </is>
      </c>
      <c r="B29" s="151" t="n"/>
      <c r="C29" s="151" t="n"/>
      <c r="D29" s="151" t="n"/>
      <c r="E29" s="151" t="n"/>
      <c r="F29" s="151" t="n"/>
      <c r="G29" s="151" t="n"/>
      <c r="H29" s="151" t="n"/>
      <c r="I29" s="151" t="n"/>
    </row>
    <row r="30">
      <c r="A30" s="152" t="inlineStr">
        <is>
          <t>Petrol and diesel imports cleared</t>
        </is>
      </c>
      <c r="B30" s="152" t="inlineStr">
        <is>
          <t>Durban customs office</t>
        </is>
      </c>
      <c r="C30" s="152" t="inlineStr">
        <is>
          <t>11.84; 13.16</t>
        </is>
      </c>
      <c r="D30" s="152" t="inlineStr">
        <is>
          <t>billion litres</t>
        </is>
      </c>
      <c r="E30" s="152" t="inlineStr">
        <is>
          <t>2024; 2025</t>
        </is>
      </c>
      <c r="F30" s="152" t="inlineStr">
        <is>
          <t>observed</t>
        </is>
      </c>
      <c r="G30" s="152" t="inlineStr">
        <is>
          <t>SARS customs, by office</t>
        </is>
      </c>
      <c r="H30" s="152" t="inlineStr"/>
      <c r="I30" s="152" t="inlineStr">
        <is>
          <t>Customs office of clearance: the nearest public record of entry port, not a berth or terminal record.</t>
        </is>
      </c>
    </row>
    <row r="31">
      <c r="A31" s="152" t="inlineStr">
        <is>
          <t>Durban share of petrol and diesel imports</t>
        </is>
      </c>
      <c r="B31" s="152" t="inlineStr">
        <is>
          <t>Durban customs office</t>
        </is>
      </c>
      <c r="C31" s="152" t="inlineStr">
        <is>
          <t>80.0; 78.8</t>
        </is>
      </c>
      <c r="D31" s="152" t="inlineStr">
        <is>
          <t>%</t>
        </is>
      </c>
      <c r="E31" s="152" t="inlineStr">
        <is>
          <t>2024; 2025</t>
        </is>
      </c>
      <c r="F31" s="152" t="inlineStr">
        <is>
          <t>observed</t>
        </is>
      </c>
      <c r="G31" s="152" t="inlineStr">
        <is>
          <t>SARS customs, by office</t>
        </is>
      </c>
      <c r="H31" s="152" t="inlineStr"/>
      <c r="I31" s="152" t="inlineStr"/>
    </row>
    <row r="32">
      <c r="A32" s="152" t="inlineStr">
        <is>
          <t>Petrol and diesel imports cleared</t>
        </is>
      </c>
      <c r="B32" s="152" t="inlineStr">
        <is>
          <t>Richards Bay customs office</t>
        </is>
      </c>
      <c r="C32" s="152" t="inlineStr">
        <is>
          <t>0.39; 0.66</t>
        </is>
      </c>
      <c r="D32" s="152" t="inlineStr">
        <is>
          <t>billion litres</t>
        </is>
      </c>
      <c r="E32" s="152" t="inlineStr">
        <is>
          <t>2024; 2025</t>
        </is>
      </c>
      <c r="F32" s="152" t="inlineStr">
        <is>
          <t>observed</t>
        </is>
      </c>
      <c r="G32" s="152" t="inlineStr">
        <is>
          <t>SARS customs, by office</t>
        </is>
      </c>
      <c r="H32" s="152" t="inlineStr"/>
      <c r="I32" s="152" t="inlineStr"/>
    </row>
    <row r="33">
      <c r="A33" s="152" t="inlineStr">
        <is>
          <t>Petrol and diesel imports cleared</t>
        </is>
      </c>
      <c r="B33" s="152" t="inlineStr">
        <is>
          <t>Cape Town customs office</t>
        </is>
      </c>
      <c r="C33" s="152" t="inlineStr">
        <is>
          <t>1.09; 1.52</t>
        </is>
      </c>
      <c r="D33" s="152" t="inlineStr">
        <is>
          <t>billion litres</t>
        </is>
      </c>
      <c r="E33" s="152" t="inlineStr">
        <is>
          <t>2024; 2025</t>
        </is>
      </c>
      <c r="F33" s="152" t="inlineStr">
        <is>
          <t>observed</t>
        </is>
      </c>
      <c r="G33" s="152" t="inlineStr">
        <is>
          <t>SARS customs, by office</t>
        </is>
      </c>
      <c r="H33" s="152" t="inlineStr"/>
      <c r="I33" s="152" t="inlineStr"/>
    </row>
    <row r="34">
      <c r="A34" s="152" t="inlineStr">
        <is>
          <t>Petrol and diesel imports by road from Mozambique</t>
        </is>
      </c>
      <c r="B34" s="152" t="inlineStr">
        <is>
          <t>Komatipoort customs office</t>
        </is>
      </c>
      <c r="C34" s="152" t="inlineStr">
        <is>
          <t>0.19; 0.09</t>
        </is>
      </c>
      <c r="D34" s="152" t="inlineStr">
        <is>
          <t>billion litres</t>
        </is>
      </c>
      <c r="E34" s="152" t="inlineStr">
        <is>
          <t>2024; 2025</t>
        </is>
      </c>
      <c r="F34" s="152" t="inlineStr">
        <is>
          <t>observed</t>
        </is>
      </c>
      <c r="G34" s="152" t="inlineStr">
        <is>
          <t>SARS customs, by office</t>
        </is>
      </c>
      <c r="H34" s="152" t="inlineStr"/>
      <c r="I34" s="152" t="inlineStr">
        <is>
          <t>The only recorded entry from the Maputo and Matola side.</t>
        </is>
      </c>
    </row>
    <row r="36">
      <c r="A36" s="151" t="inlineStr">
        <is>
          <t>Port limit</t>
        </is>
      </c>
      <c r="B36" s="151" t="n"/>
      <c r="C36" s="151" t="n"/>
      <c r="D36" s="151" t="n"/>
      <c r="E36" s="151" t="n"/>
      <c r="F36" s="151" t="n"/>
      <c r="G36" s="151" t="n"/>
      <c r="H36" s="151" t="n"/>
      <c r="I36" s="151" t="n"/>
    </row>
    <row r="37">
      <c r="A37" s="152" t="inlineStr">
        <is>
          <t>Berths</t>
        </is>
      </c>
      <c r="B37" s="152" t="inlineStr">
        <is>
          <t>Durban</t>
        </is>
      </c>
      <c r="C37" s="152" t="inlineStr">
        <is>
          <t>58 berths, 41 in operation, of which 8 liquid bulk</t>
        </is>
      </c>
      <c r="D37" s="152" t="inlineStr"/>
      <c r="E37" s="152" t="inlineStr">
        <is>
          <t>as on the page, read 8 October 2026</t>
        </is>
      </c>
      <c r="F37" s="152" t="inlineStr">
        <is>
          <t>observed</t>
        </is>
      </c>
      <c r="G37" s="152" t="inlineStr">
        <is>
          <t>Transnet National Ports Authority, Our Ports page</t>
        </is>
      </c>
      <c r="H37" s="152" t="inlineStr">
        <is>
          <t>Port of Durban, Fast Fact</t>
        </is>
      </c>
      <c r="I37" s="152" t="inlineStr">
        <is>
          <t>No capacity in kilolitres is given on the page.</t>
        </is>
      </c>
    </row>
    <row r="38">
      <c r="A38" s="152" t="inlineStr">
        <is>
          <t>Berths</t>
        </is>
      </c>
      <c r="B38" s="152" t="inlineStr">
        <is>
          <t>Richards Bay</t>
        </is>
      </c>
      <c r="C38" s="152" t="inlineStr">
        <is>
          <t>22 berths, of which 2 liquid bulk</t>
        </is>
      </c>
      <c r="D38" s="152" t="inlineStr"/>
      <c r="E38" s="152" t="inlineStr">
        <is>
          <t>as on the page, read 8 October 2026</t>
        </is>
      </c>
      <c r="F38" s="152" t="inlineStr">
        <is>
          <t>observed</t>
        </is>
      </c>
      <c r="G38" s="152" t="inlineStr">
        <is>
          <t>Transnet National Ports Authority, Our Ports page</t>
        </is>
      </c>
      <c r="H38" s="152" t="inlineStr">
        <is>
          <t>Port of Richards Bay, Fast Fact</t>
        </is>
      </c>
      <c r="I38" s="152" t="inlineStr">
        <is>
          <t>No capacity in kilolitres is given on the page.</t>
        </is>
      </c>
    </row>
    <row r="39">
      <c r="A39" s="152" t="inlineStr">
        <is>
          <t>Planned berth changes at Island View</t>
        </is>
      </c>
      <c r="B39" s="152" t="inlineStr">
        <is>
          <t>Durban, Island View</t>
        </is>
      </c>
      <c r="C39" s="152" t="inlineStr">
        <is>
          <t>Berth 1 to be rebuilt (2026); Berth 3 to convert from dry bulk to liquid bulk (2026)</t>
        </is>
      </c>
      <c r="D39" s="152" t="inlineStr"/>
      <c r="E39" s="152" t="inlineStr">
        <is>
          <t>port framework plan 2022-2032</t>
        </is>
      </c>
      <c r="F39" s="152" t="inlineStr">
        <is>
          <t>observed</t>
        </is>
      </c>
      <c r="G39" s="152" t="inlineStr">
        <is>
          <t>Port authority tariff application slides, 2 September 2025</t>
        </is>
      </c>
      <c r="H39" s="152" t="inlineStr">
        <is>
          <t>PDF p.14</t>
        </is>
      </c>
      <c r="I39" s="152" t="inlineStr">
        <is>
          <t>Whether either is delivered is shown only by colour on the slide, which the text does not carry.</t>
        </is>
      </c>
    </row>
    <row r="40">
      <c r="A40" s="152" t="inlineStr">
        <is>
          <t>Planned liquid bulk berth at Richards Bay</t>
        </is>
      </c>
      <c r="B40" s="152" t="inlineStr">
        <is>
          <t>Richards Bay</t>
        </is>
      </c>
      <c r="C40" s="152" t="inlineStr">
        <is>
          <t>New liquid bulk berth 210 (2025); South Dunes liquid bulk development (2024)</t>
        </is>
      </c>
      <c r="D40" s="152" t="inlineStr"/>
      <c r="E40" s="152" t="inlineStr">
        <is>
          <t>port framework plan 2022-2032</t>
        </is>
      </c>
      <c r="F40" s="152" t="inlineStr">
        <is>
          <t>observed</t>
        </is>
      </c>
      <c r="G40" s="152" t="inlineStr">
        <is>
          <t>Port authority tariff application slides, 2 September 2025</t>
        </is>
      </c>
      <c r="H40" s="152" t="inlineStr">
        <is>
          <t>PDF pp.11-12</t>
        </is>
      </c>
      <c r="I40" s="152" t="inlineStr">
        <is>
          <t>Delivery status not readable from the text.</t>
        </is>
      </c>
    </row>
    <row r="42">
      <c r="A42" s="151" t="inlineStr">
        <is>
          <t>Access</t>
        </is>
      </c>
      <c r="B42" s="151" t="n"/>
      <c r="C42" s="151" t="n"/>
      <c r="D42" s="151" t="n"/>
      <c r="E42" s="151" t="n"/>
      <c r="F42" s="151" t="n"/>
      <c r="G42" s="151" t="n"/>
      <c r="H42" s="151" t="n"/>
      <c r="I42" s="151" t="n"/>
    </row>
    <row r="43">
      <c r="A43" s="152" t="inlineStr">
        <is>
          <t>Lesedi connection to the pipeline</t>
        </is>
      </c>
      <c r="B43" s="152" t="inlineStr">
        <is>
          <t>Vopak Lesedi, Jameson Park</t>
        </is>
      </c>
      <c r="C43" s="152" t="inlineStr">
        <is>
          <t>Four pipelines to the Transnet system at Jameson Park; intake from the Transnet pipeline</t>
        </is>
      </c>
      <c r="D43" s="152" t="inlineStr"/>
      <c r="E43" s="152" t="inlineStr">
        <is>
          <t>licence of 26 August 2020</t>
        </is>
      </c>
      <c r="F43" s="152" t="inlineStr">
        <is>
          <t>observed</t>
        </is>
      </c>
      <c r="G43" s="152" t="inlineStr">
        <is>
          <t>NERSA reasons for decision, Vopak licence amendment</t>
        </is>
      </c>
      <c r="H43" s="152" t="inlineStr">
        <is>
          <t>PDF p.6</t>
        </is>
      </c>
      <c r="I43" s="152" t="inlineStr"/>
    </row>
    <row r="44">
      <c r="A44" s="152" t="inlineStr">
        <is>
          <t>Lesedi dispatch</t>
        </is>
      </c>
      <c r="B44" s="152" t="inlineStr">
        <is>
          <t>Vopak Lesedi, Jameson Park</t>
        </is>
      </c>
      <c r="C44" s="152" t="inlineStr">
        <is>
          <t>8</t>
        </is>
      </c>
      <c r="D44" s="152" t="inlineStr">
        <is>
          <t>road loading bays</t>
        </is>
      </c>
      <c r="E44" s="152" t="inlineStr">
        <is>
          <t>2025</t>
        </is>
      </c>
      <c r="F44" s="152" t="inlineStr">
        <is>
          <t>observed</t>
        </is>
      </c>
      <c r="G44" s="152" t="inlineStr">
        <is>
          <t>NERSA reasons for decision, Vopak licence amendment</t>
        </is>
      </c>
      <c r="H44" s="152" t="inlineStr">
        <is>
          <t>PDF p.7</t>
        </is>
      </c>
      <c r="I44" s="152" t="inlineStr">
        <is>
          <t>Dispatch is by road only; no rail or outbound pipeline is mentioned.</t>
        </is>
      </c>
    </row>
    <row r="45">
      <c r="A45" s="152" t="inlineStr">
        <is>
          <t>Lesedi licensed capacity</t>
        </is>
      </c>
      <c r="B45" s="152" t="inlineStr">
        <is>
          <t>Vopak Lesedi, Jameson Park</t>
        </is>
      </c>
      <c r="C45" s="152" t="inlineStr">
        <is>
          <t>100000 rising to 140000</t>
        </is>
      </c>
      <c r="D45" s="152" t="inlineStr">
        <is>
          <t>m3</t>
        </is>
      </c>
      <c r="E45" s="152" t="inlineStr">
        <is>
          <t>2020; after the 2025 expansion</t>
        </is>
      </c>
      <c r="F45" s="152" t="inlineStr">
        <is>
          <t>observed</t>
        </is>
      </c>
      <c r="G45" s="152" t="inlineStr">
        <is>
          <t>NERSA reasons for decision, Vopak licence amendment</t>
        </is>
      </c>
      <c r="H45" s="152" t="inlineStr">
        <is>
          <t>PDF p.6</t>
        </is>
      </c>
      <c r="I45" s="152" t="inlineStr">
        <is>
          <t>Design capacity. Six tanks (three diesel, three petrol) plus two diesel tanks.</t>
        </is>
      </c>
    </row>
    <row r="46">
      <c r="A46" s="152" t="inlineStr">
        <is>
          <t>Who ships to Lesedi</t>
        </is>
      </c>
      <c r="B46" s="152" t="inlineStr">
        <is>
          <t>Durban to Jameson Park</t>
        </is>
      </c>
      <c r="C46" s="152" t="inlineStr">
        <is>
          <t>Lesedi's contracted customers are shippers on the Transnet pipeline from Durban, with one exception</t>
        </is>
      </c>
      <c r="D46" s="152" t="inlineStr"/>
      <c r="E46" s="152" t="inlineStr">
        <is>
          <t>2024/25</t>
        </is>
      </c>
      <c r="F46" s="152" t="inlineStr">
        <is>
          <t>observed</t>
        </is>
      </c>
      <c r="G46" s="152" t="inlineStr">
        <is>
          <t>NERSA reasons for decision, Vopak licence amendment</t>
        </is>
      </c>
      <c r="H46" s="152" t="inlineStr">
        <is>
          <t>PDF p.9</t>
        </is>
      </c>
      <c r="I46" s="152" t="inlineStr">
        <is>
          <t>Customer names are redacted.</t>
        </is>
      </c>
    </row>
    <row r="47">
      <c r="A47" s="152" t="inlineStr">
        <is>
          <t>Durban terminal receipt</t>
        </is>
      </c>
      <c r="B47" s="152" t="inlineStr">
        <is>
          <t>Vopak Terminal Durban, Island View</t>
        </is>
      </c>
      <c r="C47" s="152" t="inlineStr">
        <is>
          <t>By ship (own lines at jetties 1, 2 and 4; industry lines at berths 6, 7 and 8) and by pipeline transfer from neighbouring companies</t>
        </is>
      </c>
      <c r="D47" s="152" t="inlineStr"/>
      <c r="E47" s="152" t="inlineStr">
        <is>
          <t>undated allocation mechanism</t>
        </is>
      </c>
      <c r="F47" s="152" t="inlineStr">
        <is>
          <t>observed</t>
        </is>
      </c>
      <c r="G47" s="152" t="inlineStr">
        <is>
          <t>Vopak Terminal Durban allocation mechanism filed with NERSA</t>
        </is>
      </c>
      <c r="H47" s="152" t="inlineStr">
        <is>
          <t>p.5</t>
        </is>
      </c>
      <c r="I47" s="152" t="inlineStr">
        <is>
          <t>The document is old: it gives 18,091 m3 of petroleum storage, far below today's. Berth access needs confirming with Vopak.</t>
        </is>
      </c>
    </row>
    <row r="48">
      <c r="A48" s="152" t="inlineStr">
        <is>
          <t>Durban terminal dispatch</t>
        </is>
      </c>
      <c r="B48" s="152" t="inlineStr">
        <is>
          <t>Vopak Terminal Durban, Island View</t>
        </is>
      </c>
      <c r="C48" s="152" t="inlineStr">
        <is>
          <t>Mainly road; also ship or barge loading and pipeline transfer</t>
        </is>
      </c>
      <c r="D48" s="152" t="inlineStr"/>
      <c r="E48" s="152" t="inlineStr">
        <is>
          <t>undated allocation mechanism</t>
        </is>
      </c>
      <c r="F48" s="152" t="inlineStr">
        <is>
          <t>observed</t>
        </is>
      </c>
      <c r="G48" s="152" t="inlineStr">
        <is>
          <t>Vopak Terminal Durban allocation mechanism filed with NERSA</t>
        </is>
      </c>
      <c r="H48" s="152" t="inlineStr">
        <is>
          <t>pp.4, 6</t>
        </is>
      </c>
      <c r="I48" s="152" t="inlineStr">
        <is>
          <t>Whether Vopak Durban injects directly into the Transnet trunk line is not stated in this document.</t>
        </is>
      </c>
    </row>
    <row r="49">
      <c r="A49" s="152" t="inlineStr">
        <is>
          <t>Notice periods at Durban</t>
        </is>
      </c>
      <c r="B49" s="152" t="inlineStr">
        <is>
          <t>Vopak Terminal Durban</t>
        </is>
      </c>
      <c r="C49" s="152" t="inlineStr">
        <is>
          <t>Two weeks for a vessel; one week for a pipeline transfer; two days for road loading</t>
        </is>
      </c>
      <c r="D49" s="152" t="inlineStr"/>
      <c r="E49" s="152" t="inlineStr">
        <is>
          <t>undated allocation mechanism</t>
        </is>
      </c>
      <c r="F49" s="152" t="inlineStr">
        <is>
          <t>observed</t>
        </is>
      </c>
      <c r="G49" s="152" t="inlineStr">
        <is>
          <t>Vopak Terminal Durban allocation mechanism filed with NERSA</t>
        </is>
      </c>
      <c r="H49" s="152" t="inlineStr">
        <is>
          <t>p.3</t>
        </is>
      </c>
      <c r="I49" s="152" t="inlineStr">
        <is>
          <t>Old document; confirm with Vopak.</t>
        </is>
      </c>
    </row>
    <row r="51">
      <c r="A51" s="151" t="inlineStr">
        <is>
          <t>Competing routes</t>
        </is>
      </c>
      <c r="B51" s="151" t="n"/>
      <c r="C51" s="151" t="n"/>
      <c r="D51" s="151" t="n"/>
      <c r="E51" s="151" t="n"/>
      <c r="F51" s="151" t="n"/>
      <c r="G51" s="151" t="n"/>
      <c r="H51" s="151" t="n"/>
      <c r="I51" s="151" t="n"/>
    </row>
    <row r="52">
      <c r="A52" s="152" t="inlineStr">
        <is>
          <t>Diesel imported by road from Mozambique</t>
        </is>
      </c>
      <c r="B52" s="152" t="inlineStr">
        <is>
          <t>Maputo and Matola, through Komatipoort</t>
        </is>
      </c>
      <c r="C52" s="152" t="inlineStr">
        <is>
          <t>0.21; 0.21; 0.20; 0.27; 0.25; 0.19; 0.08</t>
        </is>
      </c>
      <c r="D52" s="152" t="inlineStr">
        <is>
          <t>billion litres</t>
        </is>
      </c>
      <c r="E52" s="152" t="inlineStr">
        <is>
          <t>2019; 2020; 2021; 2022; 2023; 2024; 2025</t>
        </is>
      </c>
      <c r="F52" s="152" t="inlineStr">
        <is>
          <t>observed</t>
        </is>
      </c>
      <c r="G52" s="152" t="inlineStr">
        <is>
          <t>SARS customs, by office</t>
        </is>
      </c>
      <c r="H52" s="152" t="inlineStr"/>
      <c r="I52" s="152" t="inlineStr">
        <is>
          <t>Falling since 2022. Diesel and petrol together were 0.5% of petrol and diesel imports in 2025.</t>
        </is>
      </c>
    </row>
    <row r="53">
      <c r="A53" s="152" t="inlineStr">
        <is>
          <t>Petrol imported by road from Mozambique</t>
        </is>
      </c>
      <c r="B53" s="152" t="inlineStr">
        <is>
          <t>Maputo and Matola, through Komatipoort</t>
        </is>
      </c>
      <c r="C53" s="152" t="inlineStr">
        <is>
          <t>0.039; 0.031; 0.039; 0.029; 0.000; 0.001; 0.004</t>
        </is>
      </c>
      <c r="D53" s="152" t="inlineStr">
        <is>
          <t>billion litres</t>
        </is>
      </c>
      <c r="E53" s="152" t="inlineStr">
        <is>
          <t>2019; 2020; 2021; 2022; 2023; 2024; 2025</t>
        </is>
      </c>
      <c r="F53" s="152" t="inlineStr">
        <is>
          <t>observed</t>
        </is>
      </c>
      <c r="G53" s="152" t="inlineStr">
        <is>
          <t>SARS customs, by office</t>
        </is>
      </c>
      <c r="H53" s="152" t="inlineStr"/>
      <c r="I53" s="152" t="inlineStr">
        <is>
          <t>Small and almost nil since 2023.</t>
        </is>
      </c>
    </row>
    <row r="54">
      <c r="A54" s="152" t="inlineStr">
        <is>
          <t>Petrol and diesel imported through Namibian and Botswanan border posts</t>
        </is>
      </c>
      <c r="B54" s="152" t="inlineStr">
        <is>
          <t>Walvis Bay and the Trans-Kalahari road</t>
        </is>
      </c>
      <c r="C54" s="152" t="inlineStr">
        <is>
          <t>0.00 in every year</t>
        </is>
      </c>
      <c r="D54" s="152" t="inlineStr">
        <is>
          <t>billion litres</t>
        </is>
      </c>
      <c r="E54" s="152" t="inlineStr">
        <is>
          <t>2019-2025</t>
        </is>
      </c>
      <c r="F54" s="152" t="inlineStr">
        <is>
          <t>observed</t>
        </is>
      </c>
      <c r="G54" s="152" t="inlineStr">
        <is>
          <t>SARS customs, by office</t>
        </is>
      </c>
      <c r="H54" s="152" t="inlineStr"/>
      <c r="I54" s="152" t="inlineStr">
        <is>
          <t>Nakop (Narogas), Kopfontein, Skilpadshek, Groblersbrug and Ramatlabama record none. The route is not used for supply into South Africa.</t>
        </is>
      </c>
    </row>
    <row r="55">
      <c r="A55" s="152" t="inlineStr">
        <is>
          <t>Diesel and petrol storage planned at Walvis Bay</t>
        </is>
      </c>
      <c r="B55" s="152" t="inlineStr">
        <is>
          <t>Walvis Bay, national fuel storage facility</t>
        </is>
      </c>
      <c r="C55" s="152" t="inlineStr">
        <is>
          <t>45 diesel; 20 petrol</t>
        </is>
      </c>
      <c r="D55" s="152" t="inlineStr">
        <is>
          <t>million litres</t>
        </is>
      </c>
      <c r="E55" s="152" t="inlineStr">
        <is>
          <t>as planned; news item undated</t>
        </is>
      </c>
      <c r="F55" s="152" t="inlineStr">
        <is>
          <t>observed</t>
        </is>
      </c>
      <c r="G55" s="152" t="inlineStr">
        <is>
          <t>Namibian Ports Authority news item</t>
        </is>
      </c>
      <c r="H55" s="152" t="inlineStr"/>
      <c r="I55" s="152" t="inlineStr">
        <is>
          <t>Of 75 million litres in all; the rest is fuel oil and aviation fuel. Built for Namibia's own supply. Current operating capacity not confirmed.</t>
        </is>
      </c>
    </row>
    <row r="56">
      <c r="A56" s="162" t="inlineStr">
        <is>
          <t>Petrol and diesel storage at Matola</t>
        </is>
      </c>
      <c r="B56" s="162" t="inlineStr">
        <is>
          <t>Maputo and Matola terminals</t>
        </is>
      </c>
      <c r="C56" s="162" t="inlineStr">
        <is>
          <t>Not available</t>
        </is>
      </c>
      <c r="D56" s="162" t="inlineStr">
        <is>
          <t>m3</t>
        </is>
      </c>
      <c r="E56" s="162" t="inlineStr"/>
      <c r="F56" s="162" t="inlineStr">
        <is>
          <t>not available</t>
        </is>
      </c>
      <c r="G56" s="162" t="inlineStr">
        <is>
          <t>None for petrol and diesel alone</t>
        </is>
      </c>
      <c r="H56" s="162" t="inlineStr"/>
      <c r="I56" s="162" t="inlineStr">
        <is>
          <t>A 2015 report gives one operator 275,500 m3 in Mozambique, but that includes bitumen, so it is not used. Capacity by product not found.</t>
        </is>
      </c>
    </row>
    <row r="57">
      <c r="A57" s="162" t="inlineStr">
        <is>
          <t>Road rate and border cost, Matola to Gauteng</t>
        </is>
      </c>
      <c r="B57" s="162" t="inlineStr">
        <is>
          <t>Maputo and Matola, through Komatipoort</t>
        </is>
      </c>
      <c r="C57" s="162" t="inlineStr">
        <is>
          <t>Not available</t>
        </is>
      </c>
      <c r="D57" s="162" t="inlineStr">
        <is>
          <t>cents a litre</t>
        </is>
      </c>
      <c r="E57" s="162" t="inlineStr"/>
      <c r="F57" s="162" t="inlineStr">
        <is>
          <t>not available</t>
        </is>
      </c>
      <c r="G57" s="162" t="inlineStr">
        <is>
          <t>None public</t>
        </is>
      </c>
      <c r="H57" s="162" t="inlineStr"/>
      <c r="I57" s="162" t="inlineStr">
        <is>
          <t>Needed for a matched delivered cost. Needs a haulier or Vopak.</t>
        </is>
      </c>
    </row>
    <row r="58">
      <c r="A58" s="162" t="inlineStr">
        <is>
          <t>Petrol and diesel supplied inland by Natref and Secunda</t>
        </is>
      </c>
      <c r="B58" s="162" t="inlineStr">
        <is>
          <t>Sasolburg and Secunda</t>
        </is>
      </c>
      <c r="C58" s="162" t="inlineStr">
        <is>
          <t>Not available</t>
        </is>
      </c>
      <c r="D58" s="162" t="inlineStr">
        <is>
          <t>billion litres</t>
        </is>
      </c>
      <c r="E58" s="162" t="inlineStr"/>
      <c r="F58" s="162" t="inlineStr">
        <is>
          <t>not started</t>
        </is>
      </c>
      <c r="G58" s="162" t="inlineStr">
        <is>
          <t>None found</t>
        </is>
      </c>
      <c r="H58" s="162" t="inlineStr"/>
      <c r="I58"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58C</t>
        </is>
      </c>
      <c r="B17" s="172" t="inlineStr">
        <is>
          <t>Mpumalanga, KwaZulu Natal</t>
        </is>
      </c>
      <c r="C17" s="190" t="n">
        <v>3</v>
      </c>
      <c r="D17" s="172" t="inlineStr">
        <is>
          <t>Piet Retief, Simdlangentsha, Wakkerstroom</t>
        </is>
      </c>
      <c r="E17" s="191" t="n">
        <v>35.4</v>
      </c>
      <c r="F17" s="191" t="n">
        <v>93.09999999999999</v>
      </c>
      <c r="G17" s="192">
        <f>IF(COUNT(E17,F17)&lt;2,"",F17-E17)</f>
        <v/>
      </c>
      <c r="H17" s="172" t="inlineStr">
        <is>
          <t>Department of Mineral and Petroleum Resources, zone lists effective 2 April 2014 and 3 April 2024</t>
        </is>
      </c>
    </row>
    <row r="18">
      <c r="A18" s="170" t="inlineStr">
        <is>
          <t>8C</t>
        </is>
      </c>
      <c r="B18" s="172" t="inlineStr">
        <is>
          <t>Mpumalanga, Free State</t>
        </is>
      </c>
      <c r="C18" s="190" t="n">
        <v>14</v>
      </c>
      <c r="D18" s="172" t="inlineStr">
        <is>
          <t>Amersfoort, Clocolan, Ermelo, Ficksburg, Frankfort, Heilbron</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14C</t>
        </is>
      </c>
      <c r="B33" s="172" t="inlineStr">
        <is>
          <t>Limpopo</t>
        </is>
      </c>
      <c r="C33" s="190" t="n">
        <v>3</v>
      </c>
      <c r="D33" s="172" t="inlineStr">
        <is>
          <t>Dzanani North (East of Musina), Musina (Messina) (East of 30o longitude), Mutale</t>
        </is>
      </c>
      <c r="E33" s="191" t="n">
        <v>92.2</v>
      </c>
      <c r="F33" s="191" t="n">
        <v>175.8</v>
      </c>
      <c r="G33" s="192">
        <f>IF(COUNT(E33,F33)&lt;2,"",F33-E33)</f>
        <v/>
      </c>
      <c r="H33" s="172" t="inlineStr">
        <is>
          <t>Department of Mineral and Petroleum Resources, zone lists effective 2 April 2014 and 3 April 2024</t>
        </is>
      </c>
    </row>
    <row r="34">
      <c r="A34" s="170" t="inlineStr">
        <is>
          <t>64C</t>
        </is>
      </c>
      <c r="B34" s="172" t="inlineStr">
        <is>
          <t>Limpopo</t>
        </is>
      </c>
      <c r="C34" s="190" t="n">
        <v>2</v>
      </c>
      <c r="D34" s="172" t="inlineStr">
        <is>
          <t>Giyani, Malamulele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19A</t>
        </is>
      </c>
      <c r="B62" s="172" t="inlineStr">
        <is>
          <t>Northern Cape</t>
        </is>
      </c>
      <c r="C62" s="190" t="n">
        <v>1</v>
      </c>
      <c r="D62" s="172" t="inlineStr">
        <is>
          <t>Gordonia (north of 27o30' latitude)</t>
        </is>
      </c>
      <c r="E62" s="191" t="n">
        <v>106.6</v>
      </c>
      <c r="F62" s="191" t="n">
        <v>167.3</v>
      </c>
      <c r="G62" s="192">
        <f>IF(COUNT(E62,F62)&lt;2,"",F62-E62)</f>
        <v/>
      </c>
      <c r="H62" s="172" t="inlineStr">
        <is>
          <t>Department of Mineral and Petroleum Resources, zone lists effective 2 April 2014 and 3 April 2024</t>
        </is>
      </c>
    </row>
    <row r="63">
      <c r="A63" s="170" t="inlineStr">
        <is>
          <t>69A</t>
        </is>
      </c>
      <c r="B63" s="172" t="inlineStr">
        <is>
          <t>Northern Cape</t>
        </is>
      </c>
      <c r="C63" s="190" t="n">
        <v>1</v>
      </c>
      <c r="D63" s="172" t="inlineStr">
        <is>
          <t>Kenhardt (west of 20o longitude)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26 facts read from sources, 6 calculated, 8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It is inside recorded diesel sales and cannot be separated.</t>
        </is>
      </c>
    </row>
    <row r="12">
      <c r="A12" s="152" t="inlineStr">
        <is>
          <t>Diesel stations and capacity</t>
        </is>
      </c>
      <c r="B12" s="152" t="inlineStr">
        <is>
          <t>Ankerlig; Gourikwa; Avon; Dedisa</t>
        </is>
      </c>
      <c r="C12" s="152" t="inlineStr">
        <is>
          <t>1,338; 746; 670; 335</t>
        </is>
      </c>
      <c r="D12" s="152" t="inlineStr">
        <is>
          <t>MW</t>
        </is>
      </c>
      <c r="E12" s="152" t="inlineStr">
        <is>
          <t>current</t>
        </is>
      </c>
      <c r="F12" s="152" t="inlineStr">
        <is>
          <t>observed</t>
        </is>
      </c>
      <c r="G12" s="152" t="inlineStr">
        <is>
          <t>Eskom fact sheet GX 0001 (July 2024); African Energy (2015)</t>
        </is>
      </c>
      <c r="H12" s="152" t="inlineStr"/>
      <c r="I12" s="152" t="inlineStr">
        <is>
          <t>Avon began in July 2016 and Dedisa in October 2015.</t>
        </is>
      </c>
    </row>
    <row r="13">
      <c r="A13" s="152" t="inlineStr">
        <is>
          <t>Coal stations retiring</t>
        </is>
      </c>
      <c r="B13" s="152" t="inlineStr">
        <is>
          <t>Komati; Camden; Grootvlei; Hendrina; Arnot; Kriel; Duvha; Matla</t>
        </is>
      </c>
      <c r="C13" s="152" t="inlineStr">
        <is>
          <t>2022; 2029; 2029; 2029; 2029; 2029; 2033; 2033</t>
        </is>
      </c>
      <c r="D13" s="152" t="inlineStr">
        <is>
          <t>last full year</t>
        </is>
      </c>
      <c r="E13" s="152" t="inlineStr"/>
      <c r="F13" s="152" t="inlineStr">
        <is>
          <t>observed</t>
        </is>
      </c>
      <c r="G13" s="152" t="inlineStr">
        <is>
          <t>Eskom statements and press reports named in the file</t>
        </is>
      </c>
      <c r="H13" s="152" t="inlineStr"/>
      <c r="I13" s="152" t="inlineStr">
        <is>
          <t>Eskom's decision on five of them, due end September 2026, had not been announced by 8 October.</t>
        </is>
      </c>
    </row>
    <row r="14">
      <c r="A14" s="152" t="inlineStr">
        <is>
          <t>Independent diesel plants: contract end</t>
        </is>
      </c>
      <c r="B14" s="152" t="inlineStr">
        <is>
          <t>Dedisa and Avon (1.01 GW)</t>
        </is>
      </c>
      <c r="C14" s="152" t="inlineStr">
        <is>
          <t>Contracts expire</t>
        </is>
      </c>
      <c r="D14" s="152" t="inlineStr"/>
      <c r="E14" s="152" t="inlineStr">
        <is>
          <t>August and September 2030</t>
        </is>
      </c>
      <c r="F14" s="152" t="inlineStr">
        <is>
          <t>observed</t>
        </is>
      </c>
      <c r="G14" s="152" t="inlineStr">
        <is>
          <t>System operator, Medium-Term System Adequacy Outlook 2026-2030 (30 October 2025)</t>
        </is>
      </c>
      <c r="H14" s="152" t="inlineStr">
        <is>
          <t>PDF p.22</t>
        </is>
      </c>
      <c r="I14" s="152" t="inlineStr">
        <is>
          <t>The department's two diesel peaking plants.</t>
        </is>
      </c>
    </row>
    <row r="15">
      <c r="A15" s="152" t="inlineStr">
        <is>
          <t>Kerosene stations: shutdown</t>
        </is>
      </c>
      <c r="B15" s="152" t="inlineStr">
        <is>
          <t>Acacia and Port Rex (0.34 GW)</t>
        </is>
      </c>
      <c r="C15" s="152" t="inlineStr">
        <is>
          <t>Scheduled for shutdown</t>
        </is>
      </c>
      <c r="D15" s="152" t="inlineStr"/>
      <c r="E15" s="152" t="inlineStr">
        <is>
          <t>2030</t>
        </is>
      </c>
      <c r="F15" s="152" t="inlineStr">
        <is>
          <t>observed</t>
        </is>
      </c>
      <c r="G15" s="152" t="inlineStr">
        <is>
          <t>System operator, Medium-Term System Adequacy Outlook 2026-2030 (30 October 2025)</t>
        </is>
      </c>
      <c r="H15" s="152" t="inlineStr">
        <is>
          <t>PDF p.18</t>
        </is>
      </c>
      <c r="I15" s="152" t="inlineStr"/>
    </row>
    <row r="16">
      <c r="A16" s="152" t="inlineStr">
        <is>
          <t>New gas plant: commissioning</t>
        </is>
      </c>
      <c r="B16" s="152" t="inlineStr">
        <is>
          <t>Combined-cycle gas turbines: 3 GW Eskom, 3 GW independent (gas bid windows 1 and 2)</t>
        </is>
      </c>
      <c r="C16" s="152" t="inlineStr">
        <is>
          <t>6 GW</t>
        </is>
      </c>
      <c r="D16" s="152" t="inlineStr"/>
      <c r="E16" s="152" t="inlineStr">
        <is>
          <t>2030</t>
        </is>
      </c>
      <c r="F16" s="152" t="inlineStr">
        <is>
          <t>observed</t>
        </is>
      </c>
      <c r="G16" s="152" t="inlineStr">
        <is>
          <t>System operator, Medium-Term System Adequacy Outlook 2026-2030 (30 October 2025)</t>
        </is>
      </c>
      <c r="H16" s="152" t="inlineStr">
        <is>
          <t>PDF p.25</t>
        </is>
      </c>
      <c r="I16" s="152" t="inlineStr">
        <is>
          <t>Assumed, not in construction. The outlook studies a delay beyond 2030 as a risk.</t>
        </is>
      </c>
    </row>
    <row r="17">
      <c r="A17" s="152" t="inlineStr">
        <is>
          <t>Diesel turbine use expected by the system operator</t>
        </is>
      </c>
      <c r="B17" s="152" t="inlineStr">
        <is>
          <t>Diesel turbines (Ankerlig, Gourikwa, Dedisa, Avon)</t>
        </is>
      </c>
      <c r="C17" s="152" t="inlineStr">
        <is>
          <t>Minimal, below 6% in most cases; higher in 2029, and in 2030 if the gas plant is late</t>
        </is>
      </c>
      <c r="D17" s="152" t="inlineStr"/>
      <c r="E17" s="152" t="inlineStr">
        <is>
          <t>2026-2030</t>
        </is>
      </c>
      <c r="F17" s="152" t="inlineStr">
        <is>
          <t>observed</t>
        </is>
      </c>
      <c r="G17" s="152" t="inlineStr">
        <is>
          <t>System operator, Medium-Term System Adequacy Outlook 2026-2030 (30 October 2025)</t>
        </is>
      </c>
      <c r="H17" s="152" t="inlineStr">
        <is>
          <t>PDF p.35</t>
        </is>
      </c>
      <c r="I17" s="152" t="inlineStr">
        <is>
          <t>The system operator's own modelling.</t>
        </is>
      </c>
    </row>
    <row r="18">
      <c r="A18" s="152" t="inlineStr">
        <is>
          <t>Coal capacity shutting down</t>
        </is>
      </c>
      <c r="B18" s="152" t="inlineStr">
        <is>
          <t>Eskom coal fleet</t>
        </is>
      </c>
      <c r="C18" s="152" t="inlineStr">
        <is>
          <t>5.26; 3.14</t>
        </is>
      </c>
      <c r="D18" s="152" t="inlineStr">
        <is>
          <t>GW</t>
        </is>
      </c>
      <c r="E18" s="152" t="inlineStr">
        <is>
          <t>2029; 2030, by March</t>
        </is>
      </c>
      <c r="F18" s="152" t="inlineStr">
        <is>
          <t>observed</t>
        </is>
      </c>
      <c r="G18" s="152" t="inlineStr">
        <is>
          <t>System operator, Medium-Term System Adequacy Outlook 2026-2030 (30 October 2025)</t>
        </is>
      </c>
      <c r="H18" s="152" t="inlineStr">
        <is>
          <t>PDF p.18</t>
        </is>
      </c>
      <c r="I18" s="152" t="inlineStr">
        <is>
          <t>Camden, Hendrina, Arnot, Grootvlei and Kriel run to the end of 2028; phased shutdown from 2029. Eskom's coal fleet falls from 40.1 GW to 31.7 GW.</t>
        </is>
      </c>
    </row>
    <row r="19">
      <c r="A19" s="162" t="inlineStr">
        <is>
          <t>New gas plant: dates by project</t>
        </is>
      </c>
      <c r="B19" s="162" t="inlineStr">
        <is>
          <t>Independent producers and Eskom</t>
        </is>
      </c>
      <c r="C19" s="162" t="inlineStr">
        <is>
          <t>Not available</t>
        </is>
      </c>
      <c r="D19" s="162" t="inlineStr">
        <is>
          <t>MW by year</t>
        </is>
      </c>
      <c r="E19" s="162" t="inlineStr"/>
      <c r="F19" s="162" t="inlineStr">
        <is>
          <t>not available</t>
        </is>
      </c>
      <c r="G19" s="162" t="inlineStr">
        <is>
          <t>None found</t>
        </is>
      </c>
      <c r="H19" s="162" t="inlineStr"/>
      <c r="I19" s="162" t="inlineStr">
        <is>
          <t>The outlook gives one assumed year for all 6 GW. No project has reached construction.</t>
        </is>
      </c>
    </row>
    <row r="21">
      <c r="A21" s="151" t="inlineStr">
        <is>
          <t>Vehicle fleet</t>
        </is>
      </c>
      <c r="B21" s="151" t="n"/>
      <c r="C21" s="151" t="n"/>
      <c r="D21" s="151" t="n"/>
      <c r="E21" s="151" t="n"/>
      <c r="F21" s="151" t="n"/>
      <c r="G21" s="151" t="n"/>
      <c r="H21" s="151" t="n"/>
      <c r="I21" s="151" t="n"/>
    </row>
    <row r="22">
      <c r="A22" s="152" t="inlineStr">
        <is>
          <t>Registered vehicles by class</t>
        </is>
      </c>
      <c r="B22" s="152" t="inlineStr">
        <is>
          <t>South Africa</t>
        </is>
      </c>
      <c r="C22" s="152" t="inlineStr">
        <is>
          <t>cars 8,340,592; light commercial 2,816,547; trucks 409,049; buses 66,872; minibuses 356,997</t>
        </is>
      </c>
      <c r="D22" s="152" t="inlineStr">
        <is>
          <t>vehicles</t>
        </is>
      </c>
      <c r="E22" s="152" t="inlineStr">
        <is>
          <t>2026-06</t>
        </is>
      </c>
      <c r="F22" s="152" t="inlineStr">
        <is>
          <t>observed</t>
        </is>
      </c>
      <c r="G22" s="152" t="inlineStr">
        <is>
          <t>eNaTIS live vehicle population by class and province</t>
        </is>
      </c>
      <c r="H22" s="152" t="inlineStr"/>
      <c r="I22" s="152" t="inlineStr">
        <is>
          <t>By province on the DR07 fleet by province sheet. Monthly from February 2021.</t>
        </is>
      </c>
    </row>
    <row r="23">
      <c r="A23" s="156" t="inlineStr">
        <is>
          <t>Largest provinces, share of registered vehicles</t>
        </is>
      </c>
      <c r="B23" s="156" t="inlineStr">
        <is>
          <t>Gauteng; Western Cape; KwaZulu-Natal</t>
        </is>
      </c>
      <c r="C23" s="156" t="inlineStr">
        <is>
          <t>39.0; 16.3; 14.1</t>
        </is>
      </c>
      <c r="D23" s="156" t="inlineStr">
        <is>
          <t>%</t>
        </is>
      </c>
      <c r="E23" s="156" t="inlineStr">
        <is>
          <t>2026-06</t>
        </is>
      </c>
      <c r="F23" s="156" t="inlineStr">
        <is>
          <t>inferred</t>
        </is>
      </c>
      <c r="G23" s="156" t="inlineStr">
        <is>
          <t>Calculated from eNaTIS</t>
        </is>
      </c>
      <c r="H23" s="156" t="inlineStr"/>
      <c r="I23" s="156" t="inlineStr"/>
    </row>
    <row r="24">
      <c r="A24" s="152" t="inlineStr">
        <is>
          <t>Registered vehicles by fuel</t>
        </is>
      </c>
      <c r="B24" s="152" t="inlineStr">
        <is>
          <t>South Africa</t>
        </is>
      </c>
      <c r="C24" s="152" t="inlineStr">
        <is>
          <t>petrol 8,555,772; diesel 3,335,546</t>
        </is>
      </c>
      <c r="D24" s="152" t="inlineStr">
        <is>
          <t>vehicles</t>
        </is>
      </c>
      <c r="E24" s="152" t="inlineStr">
        <is>
          <t>December 2023</t>
        </is>
      </c>
      <c r="F24" s="152" t="inlineStr">
        <is>
          <t>observed</t>
        </is>
      </c>
      <c r="G24" s="152" t="inlineStr">
        <is>
          <t>Department of Transport, Transport Statistics Bulletin 2023</t>
        </is>
      </c>
      <c r="H24" s="152" t="inlineStr"/>
      <c r="I24" s="152" t="inlineStr">
        <is>
          <t>National only, and not split by class. No later edition found.</t>
        </is>
      </c>
    </row>
    <row r="25">
      <c r="A25" s="162" t="inlineStr">
        <is>
          <t>Vehicles by fuel within each class, and by province</t>
        </is>
      </c>
      <c r="B25" s="162" t="inlineStr">
        <is>
          <t>South Africa</t>
        </is>
      </c>
      <c r="C25" s="162" t="inlineStr">
        <is>
          <t>Not available</t>
        </is>
      </c>
      <c r="D25" s="162" t="inlineStr">
        <is>
          <t>vehicles</t>
        </is>
      </c>
      <c r="E25" s="162" t="inlineStr"/>
      <c r="F25" s="162" t="inlineStr">
        <is>
          <t>not available</t>
        </is>
      </c>
      <c r="G25" s="162" t="inlineStr">
        <is>
          <t>None found</t>
        </is>
      </c>
      <c r="H25" s="162" t="inlineStr"/>
      <c r="I25" s="162" t="inlineStr">
        <is>
          <t>Needed to say how many diesel bakkies or petrol cars each province has. eNaTIS publishes class and province, not fuel.</t>
        </is>
      </c>
    </row>
    <row r="26">
      <c r="A26" s="162" t="inlineStr">
        <is>
          <t>Vehicles by age</t>
        </is>
      </c>
      <c r="B26" s="162" t="inlineStr">
        <is>
          <t>South Africa</t>
        </is>
      </c>
      <c r="C26" s="162" t="inlineStr">
        <is>
          <t>Not available</t>
        </is>
      </c>
      <c r="D26" s="162" t="inlineStr">
        <is>
          <t>vehicles</t>
        </is>
      </c>
      <c r="E26" s="162" t="inlineStr"/>
      <c r="F26" s="162" t="inlineStr">
        <is>
          <t>not available</t>
        </is>
      </c>
      <c r="G26" s="162" t="inlineStr">
        <is>
          <t>None found</t>
        </is>
      </c>
      <c r="H26" s="162" t="inlineStr"/>
      <c r="I26" s="162" t="inlineStr">
        <is>
          <t>Needed for fleet replacement. Only apparent retirements can be calculated (Vehicle history sheet).</t>
        </is>
      </c>
    </row>
    <row r="28">
      <c r="A28" s="151" t="inlineStr">
        <is>
          <t>New vehicles and electric share</t>
        </is>
      </c>
      <c r="B28" s="151" t="n"/>
      <c r="C28" s="151" t="n"/>
      <c r="D28" s="151" t="n"/>
      <c r="E28" s="151" t="n"/>
      <c r="F28" s="151" t="n"/>
      <c r="G28" s="151" t="n"/>
      <c r="H28" s="151" t="n"/>
      <c r="I28" s="151" t="n"/>
    </row>
    <row r="29">
      <c r="A29" s="152" t="inlineStr">
        <is>
          <t>New vehicles sold, by segment</t>
        </is>
      </c>
      <c r="B29" s="152" t="inlineStr">
        <is>
          <t>South Africa</t>
        </is>
      </c>
      <c r="C29" s="152" t="inlineStr">
        <is>
          <t>cars 422,463; light commercial 143,964; medium and heavy commercial 30,911</t>
        </is>
      </c>
      <c r="D29" s="152" t="inlineStr">
        <is>
          <t>vehicles</t>
        </is>
      </c>
      <c r="E29" s="152" t="inlineStr">
        <is>
          <t>2025</t>
        </is>
      </c>
      <c r="F29" s="152" t="inlineStr">
        <is>
          <t>observed</t>
        </is>
      </c>
      <c r="G29" s="152" t="inlineStr">
        <is>
          <t>naamsa, industry vehicle sales</t>
        </is>
      </c>
      <c r="H29" s="152" t="inlineStr"/>
      <c r="I29" s="152" t="inlineStr"/>
    </row>
    <row r="30">
      <c r="A30" s="152" t="inlineStr">
        <is>
          <t>Electric and hybrid vehicles sold</t>
        </is>
      </c>
      <c r="B30" s="152" t="inlineStr">
        <is>
          <t>South Africa</t>
        </is>
      </c>
      <c r="C30" s="152" t="inlineStr">
        <is>
          <t>battery electric 1,088; plug-in hybrid 2,810; conventional hybrid 12,818</t>
        </is>
      </c>
      <c r="D30" s="152" t="inlineStr">
        <is>
          <t>vehicles</t>
        </is>
      </c>
      <c r="E30" s="152" t="inlineStr">
        <is>
          <t>2025</t>
        </is>
      </c>
      <c r="F30" s="152" t="inlineStr">
        <is>
          <t>observed</t>
        </is>
      </c>
      <c r="G30" s="152" t="inlineStr">
        <is>
          <t>naamsa, new energy vehicle sales</t>
        </is>
      </c>
      <c r="H30" s="152" t="inlineStr"/>
      <c r="I30" s="152" t="inlineStr"/>
    </row>
    <row r="31">
      <c r="A31" s="156" t="inlineStr">
        <is>
          <t>Share of new vehicles sold</t>
        </is>
      </c>
      <c r="B31" s="156" t="inlineStr">
        <is>
          <t>South Africa</t>
        </is>
      </c>
      <c r="C31" s="156" t="inlineStr">
        <is>
          <t>battery electric 0.18; plug-in hybrid 0.47; conventional hybrid 2.15</t>
        </is>
      </c>
      <c r="D31" s="156" t="inlineStr">
        <is>
          <t>%</t>
        </is>
      </c>
      <c r="E31" s="156" t="inlineStr">
        <is>
          <t>2025</t>
        </is>
      </c>
      <c r="F31" s="156" t="inlineStr">
        <is>
          <t>inferred</t>
        </is>
      </c>
      <c r="G31" s="156" t="inlineStr">
        <is>
          <t>Calculated from the two naamsa series</t>
        </is>
      </c>
      <c r="H31" s="156" t="inlineStr"/>
      <c r="I31" s="156" t="inlineStr">
        <is>
          <t>Battery electric sales fell from 2024 to 2025.</t>
        </is>
      </c>
    </row>
    <row r="32">
      <c r="A32" s="152" t="inlineStr">
        <is>
          <t>Diesel share of new light vehicles sold</t>
        </is>
      </c>
      <c r="B32" s="152" t="inlineStr">
        <is>
          <t>New light-duty vehicles</t>
        </is>
      </c>
      <c r="C32" s="152" t="inlineStr">
        <is>
          <t>35</t>
        </is>
      </c>
      <c r="D32" s="152" t="inlineStr">
        <is>
          <t>%</t>
        </is>
      </c>
      <c r="E32" s="152" t="inlineStr">
        <is>
          <t>2019</t>
        </is>
      </c>
      <c r="F32" s="152" t="inlineStr">
        <is>
          <t>observed</t>
        </is>
      </c>
      <c r="G32" s="152" t="inlineStr">
        <is>
          <t>IEA, Fuel economy in South Africa (Global Fuel Economy Initiative 2021)</t>
        </is>
      </c>
      <c r="H32" s="152" t="inlineStr"/>
      <c r="I32" s="152" t="inlineStr">
        <is>
          <t>No later figure found.</t>
        </is>
      </c>
    </row>
    <row r="33">
      <c r="A33" s="162" t="inlineStr">
        <is>
          <t>Electric trucks and electric light commercial vehicles sold</t>
        </is>
      </c>
      <c r="B33" s="162" t="inlineStr">
        <is>
          <t>South Africa</t>
        </is>
      </c>
      <c r="C33" s="162" t="inlineStr">
        <is>
          <t>Not available</t>
        </is>
      </c>
      <c r="D33" s="162" t="inlineStr">
        <is>
          <t>vehicles</t>
        </is>
      </c>
      <c r="E33" s="162" t="inlineStr"/>
      <c r="F33" s="162" t="inlineStr">
        <is>
          <t>not available</t>
        </is>
      </c>
      <c r="G33" s="162" t="inlineStr">
        <is>
          <t>None found</t>
        </is>
      </c>
      <c r="H33" s="162" t="inlineStr"/>
      <c r="I33" s="162" t="inlineStr">
        <is>
          <t>naamsa does not report electric sales by segment. Benchmarks from other countries are on the HML response sheet.</t>
        </is>
      </c>
    </row>
    <row r="35">
      <c r="A35" s="151" t="inlineStr">
        <is>
          <t>Vehicle efficiency and distance</t>
        </is>
      </c>
      <c r="B35" s="151" t="n"/>
      <c r="C35" s="151" t="n"/>
      <c r="D35" s="151" t="n"/>
      <c r="E35" s="151" t="n"/>
      <c r="F35" s="151" t="n"/>
      <c r="G35" s="151" t="n"/>
      <c r="H35" s="151" t="n"/>
      <c r="I35" s="151" t="n"/>
    </row>
    <row r="36">
      <c r="A36" s="152" t="inlineStr">
        <is>
          <t>Fuel use and distance, petrol cars</t>
        </is>
      </c>
      <c r="B36" s="152" t="inlineStr">
        <is>
          <t>Petrol cars</t>
        </is>
      </c>
      <c r="C36" s="152" t="inlineStr">
        <is>
          <t>8.2 fleet average; 7.8 new; 14,457 km a year</t>
        </is>
      </c>
      <c r="D36" s="152" t="inlineStr">
        <is>
          <t>litres per 100 km; km</t>
        </is>
      </c>
      <c r="E36" s="152" t="inlineStr">
        <is>
          <t>2010 fleet</t>
        </is>
      </c>
      <c r="F36" s="152" t="inlineStr">
        <is>
          <t>observed</t>
        </is>
      </c>
      <c r="G36" s="152" t="inlineStr">
        <is>
          <t>Stone et al. (2018), vehicle parc model</t>
        </is>
      </c>
      <c r="H36" s="152" t="inlineStr"/>
      <c r="I36" s="152" t="inlineStr">
        <is>
          <t>One year only. All 24 vehicle types are in the file and on the Vehicle history sheet.</t>
        </is>
      </c>
    </row>
    <row r="37">
      <c r="A37" s="152" t="inlineStr">
        <is>
          <t>Fuel use and distance, diesel cars</t>
        </is>
      </c>
      <c r="B37" s="152" t="inlineStr">
        <is>
          <t>Diesel cars</t>
        </is>
      </c>
      <c r="C37" s="152" t="inlineStr">
        <is>
          <t>8.1 fleet average; 7.4 new; 16,748 km a year</t>
        </is>
      </c>
      <c r="D37" s="152" t="inlineStr">
        <is>
          <t>litres per 100 km; km</t>
        </is>
      </c>
      <c r="E37" s="152" t="inlineStr">
        <is>
          <t>2010 fleet</t>
        </is>
      </c>
      <c r="F37" s="152" t="inlineStr">
        <is>
          <t>observed</t>
        </is>
      </c>
      <c r="G37" s="152" t="inlineStr">
        <is>
          <t>Stone et al. (2018), vehicle parc model</t>
        </is>
      </c>
      <c r="H37" s="152" t="inlineStr"/>
      <c r="I37" s="152" t="inlineStr">
        <is>
          <t>One year only. All 24 vehicle types are in the file and on the Vehicle history sheet.</t>
        </is>
      </c>
    </row>
    <row r="38">
      <c r="A38" s="152" t="inlineStr">
        <is>
          <t>Fuel use of new light vehicles, by year</t>
        </is>
      </c>
      <c r="B38" s="152" t="inlineStr">
        <is>
          <t>New cars and light commercial vehicles</t>
        </is>
      </c>
      <c r="C38" s="152" t="inlineStr">
        <is>
          <t>8.8; 8.6; 7.8; 7.4</t>
        </is>
      </c>
      <c r="D38" s="152" t="inlineStr">
        <is>
          <t>litres of petrol equivalent per 100 km</t>
        </is>
      </c>
      <c r="E38" s="152" t="inlineStr">
        <is>
          <t>2005; 2010; 2015; 2019</t>
        </is>
      </c>
      <c r="F38" s="152" t="inlineStr">
        <is>
          <t>observed</t>
        </is>
      </c>
      <c r="G38" s="152" t="inlineStr">
        <is>
          <t>IEA and Global Fuel Economy Initiative (Working Paper 15, 2017; country page, 2021)</t>
        </is>
      </c>
      <c r="H38" s="152" t="inlineStr">
        <is>
          <t>PDF p.119</t>
        </is>
      </c>
      <c r="I38" s="152" t="inlineStr">
        <is>
          <t>Nine years between 2005 and 2019 are on the DR07 efficiency and rail sheet. Nothing after 2019 was found.</t>
        </is>
      </c>
    </row>
    <row r="39">
      <c r="A39" s="152" t="inlineStr">
        <is>
          <t>Fuel use of new light vehicles: average change</t>
        </is>
      </c>
      <c r="B39" s="152" t="inlineStr">
        <is>
          <t>New light-duty vehicles</t>
        </is>
      </c>
      <c r="C39" s="152" t="inlineStr">
        <is>
          <t>-1.3</t>
        </is>
      </c>
      <c r="D39" s="152" t="inlineStr">
        <is>
          <t>% a year</t>
        </is>
      </c>
      <c r="E39" s="152" t="inlineStr">
        <is>
          <t>2005-2019</t>
        </is>
      </c>
      <c r="F39" s="152" t="inlineStr">
        <is>
          <t>observed</t>
        </is>
      </c>
      <c r="G39" s="152" t="inlineStr">
        <is>
          <t>IEA, Fuel economy in South Africa (Global Fuel Economy Initiative 2021)</t>
        </is>
      </c>
      <c r="H39" s="152" t="inlineStr"/>
      <c r="I39" s="152" t="inlineStr">
        <is>
          <t>The model assumes 0.5 to 1.5% a year, so the observed rate sits inside the model's range.</t>
        </is>
      </c>
    </row>
    <row r="40">
      <c r="A40" s="152" t="inlineStr">
        <is>
          <t>Fuel use of new passenger cars</t>
        </is>
      </c>
      <c r="B40" s="152" t="inlineStr">
        <is>
          <t>New passenger cars</t>
        </is>
      </c>
      <c r="C40" s="152" t="inlineStr">
        <is>
          <t>6.3</t>
        </is>
      </c>
      <c r="D40" s="152" t="inlineStr">
        <is>
          <t>litres per 100 km</t>
        </is>
      </c>
      <c r="E40" s="152" t="inlineStr">
        <is>
          <t>2015</t>
        </is>
      </c>
      <c r="F40" s="152" t="inlineStr">
        <is>
          <t>observed</t>
        </is>
      </c>
      <c r="G40" s="152" t="inlineStr">
        <is>
          <t>ICCT white paper, South Africa's new passenger vehicle CO2 emission standards (January 2018)</t>
        </is>
      </c>
      <c r="H40" s="152" t="inlineStr">
        <is>
          <t>PDF p.5</t>
        </is>
      </c>
      <c r="I40" s="152" t="inlineStr">
        <is>
          <t>148 g CO2 per km on the older European test cycle, which reads lower than the worldwide cycle. From naamsa data.</t>
        </is>
      </c>
    </row>
    <row r="41">
      <c r="A41" s="162" t="inlineStr">
        <is>
          <t>Fuel use of new vehicles after 2019, and of trucks in any year</t>
        </is>
      </c>
      <c r="B41" s="162" t="inlineStr">
        <is>
          <t>South Africa</t>
        </is>
      </c>
      <c r="C41" s="162" t="inlineStr">
        <is>
          <t>Not available</t>
        </is>
      </c>
      <c r="D41" s="162" t="inlineStr">
        <is>
          <t>litres per 100 km</t>
        </is>
      </c>
      <c r="E41" s="162" t="inlineStr"/>
      <c r="F41" s="162" t="inlineStr">
        <is>
          <t>not available</t>
        </is>
      </c>
      <c r="G41" s="162" t="inlineStr">
        <is>
          <t>None found</t>
        </is>
      </c>
      <c r="H41" s="162" t="inlineStr"/>
      <c r="I41" s="162" t="inlineStr">
        <is>
          <t>The IEA series stops at 2019 and covers light vehicles only.</t>
        </is>
      </c>
    </row>
    <row r="42">
      <c r="A42" s="152" t="inlineStr">
        <is>
          <t>Efficiency gain assumed in the model</t>
        </is>
      </c>
      <c r="B42" s="152" t="inlineStr">
        <is>
          <t>New diesel and petrol vehicles</t>
        </is>
      </c>
      <c r="C42" s="152" t="inlineStr">
        <is>
          <t>diesel 0.5 (high demand); diesel 1.0 (low demand); petrol 1.0 (high demand); petrol 1.5 (low demand)</t>
        </is>
      </c>
      <c r="D42" s="152" t="inlineStr">
        <is>
          <t>% a year</t>
        </is>
      </c>
      <c r="E42" s="152" t="inlineStr">
        <is>
          <t>2030</t>
        </is>
      </c>
      <c r="F42" s="152" t="inlineStr">
        <is>
          <t>observed</t>
        </is>
      </c>
      <c r="G42" s="152" t="inlineStr">
        <is>
          <t>Reatile workbook (model input)</t>
        </is>
      </c>
      <c r="H42" s="152" t="inlineStr"/>
      <c r="I42" s="152" t="inlineStr">
        <is>
          <t>A model setting with no source behind it. Nothing was found to confirm or replace it.</t>
        </is>
      </c>
    </row>
    <row r="44">
      <c r="A44" s="151" t="inlineStr">
        <is>
          <t>Freight and rail</t>
        </is>
      </c>
      <c r="B44" s="151" t="n"/>
      <c r="C44" s="151" t="n"/>
      <c r="D44" s="151" t="n"/>
      <c r="E44" s="151" t="n"/>
      <c r="F44" s="151" t="n"/>
      <c r="G44" s="151" t="n"/>
      <c r="H44" s="151" t="n"/>
      <c r="I44" s="151" t="n"/>
    </row>
    <row r="45">
      <c r="A45" s="152" t="inlineStr">
        <is>
          <t>Freight carried by road</t>
        </is>
      </c>
      <c r="B45" s="152" t="inlineStr">
        <is>
          <t>South Africa</t>
        </is>
      </c>
      <c r="C45" s="152" t="inlineStr">
        <is>
          <t>980; 976</t>
        </is>
      </c>
      <c r="D45" s="152" t="inlineStr">
        <is>
          <t>million tonnes</t>
        </is>
      </c>
      <c r="E45" s="152" t="inlineStr">
        <is>
          <t>2024; 2025</t>
        </is>
      </c>
      <c r="F45" s="152" t="inlineStr">
        <is>
          <t>observed</t>
        </is>
      </c>
      <c r="G45" s="152" t="inlineStr">
        <is>
          <t>Statistics South Africa, Land transport survey (P7162), December 2025</t>
        </is>
      </c>
      <c r="H45" s="152" t="inlineStr">
        <is>
          <t>PDF p.7</t>
        </is>
      </c>
      <c r="I45" s="152" t="inlineStr">
        <is>
          <t>Tonnes, not tonne-kilometres.</t>
        </is>
      </c>
    </row>
    <row r="46">
      <c r="A46" s="152" t="inlineStr">
        <is>
          <t>Freight carried by rail</t>
        </is>
      </c>
      <c r="B46" s="152" t="inlineStr">
        <is>
          <t>South Africa</t>
        </is>
      </c>
      <c r="C46" s="152" t="inlineStr">
        <is>
          <t>161; 168</t>
        </is>
      </c>
      <c r="D46" s="152" t="inlineStr">
        <is>
          <t>million tonnes</t>
        </is>
      </c>
      <c r="E46" s="152" t="inlineStr">
        <is>
          <t>2024; 2025</t>
        </is>
      </c>
      <c r="F46" s="152" t="inlineStr">
        <is>
          <t>observed</t>
        </is>
      </c>
      <c r="G46" s="152" t="inlineStr">
        <is>
          <t>Statistics South Africa, Land transport survey (P7162), December 2025</t>
        </is>
      </c>
      <c r="H46" s="152" t="inlineStr">
        <is>
          <t>PDF p.7</t>
        </is>
      </c>
      <c r="I46" s="152" t="inlineStr">
        <is>
          <t>Tonnes, not tonne-kilometres.</t>
        </is>
      </c>
    </row>
    <row r="47">
      <c r="A47" s="156" t="inlineStr">
        <is>
          <t>Rail's share of road and rail tonnes</t>
        </is>
      </c>
      <c r="B47" s="156" t="inlineStr">
        <is>
          <t>South Africa</t>
        </is>
      </c>
      <c r="C47" s="156" t="inlineStr">
        <is>
          <t>14.1; 14.7</t>
        </is>
      </c>
      <c r="D47" s="156" t="inlineStr">
        <is>
          <t>%</t>
        </is>
      </c>
      <c r="E47" s="156" t="inlineStr">
        <is>
          <t>2024; 2025</t>
        </is>
      </c>
      <c r="F47" s="156" t="inlineStr">
        <is>
          <t>inferred</t>
        </is>
      </c>
      <c r="G47" s="156" t="inlineStr">
        <is>
          <t>Calculated from the survey</t>
        </is>
      </c>
      <c r="H47" s="156" t="inlineStr"/>
      <c r="I47" s="156" t="inlineStr"/>
    </row>
    <row r="48">
      <c r="A48" s="152" t="inlineStr">
        <is>
          <t>Freight carried by Transnet Freight Rail</t>
        </is>
      </c>
      <c r="B48" s="152" t="inlineStr">
        <is>
          <t>Transnet Freight Rail, all freight</t>
        </is>
      </c>
      <c r="C48" s="152" t="inlineStr">
        <is>
          <t>226.3; 215.1; 212.4; 183.3; 173.1; 149.5; 151.7; 160.1</t>
        </is>
      </c>
      <c r="D48" s="152" t="inlineStr">
        <is>
          <t>million tonnes</t>
        </is>
      </c>
      <c r="E48" s="152" t="inlineStr">
        <is>
          <t>years to March 2018; 2019; 2020; 2021; 2022; 2023; 2024; 2025</t>
        </is>
      </c>
      <c r="F48" s="152" t="inlineStr">
        <is>
          <t>observed</t>
        </is>
      </c>
      <c r="G48" s="152" t="inlineStr">
        <is>
          <t>Transnet annual results 2025, presentation</t>
        </is>
      </c>
      <c r="H48" s="152" t="inlineStr">
        <is>
          <t>PDF p.14</t>
        </is>
      </c>
      <c r="I48" s="152" t="inlineStr">
        <is>
          <t>Fell by a third from 2018 to 2023 and has risen since. Export iron ore, export coal and general freight together.</t>
        </is>
      </c>
    </row>
    <row r="49">
      <c r="A49" s="152" t="inlineStr">
        <is>
          <t>Transnet's rail target</t>
        </is>
      </c>
      <c r="B49" s="152" t="inlineStr">
        <is>
          <t>Transnet</t>
        </is>
      </c>
      <c r="C49" s="152" t="inlineStr">
        <is>
          <t>250</t>
        </is>
      </c>
      <c r="D49" s="152" t="inlineStr">
        <is>
          <t>million tonnes</t>
        </is>
      </c>
      <c r="E49" s="152" t="inlineStr">
        <is>
          <t>target</t>
        </is>
      </c>
      <c r="F49" s="152" t="inlineStr">
        <is>
          <t>observed</t>
        </is>
      </c>
      <c r="G49" s="152" t="inlineStr">
        <is>
          <t>Transnet annual results 2025, presentation</t>
        </is>
      </c>
      <c r="H49" s="152" t="inlineStr">
        <is>
          <t>PDF p.36</t>
        </is>
      </c>
      <c r="I49" s="152" t="inlineStr">
        <is>
          <t>Transnet 'aims to grow its capacity to handle 250 million tons'. The slide gives no year; Nigel cited 2030.</t>
        </is>
      </c>
    </row>
    <row r="50">
      <c r="A50" s="156" t="inlineStr">
        <is>
          <t>Extra rail freight if the target is met</t>
        </is>
      </c>
      <c r="B50" s="156" t="inlineStr">
        <is>
          <t>Transnet Freight Rail</t>
        </is>
      </c>
      <c r="C50" s="156" t="inlineStr">
        <is>
          <t>90</t>
        </is>
      </c>
      <c r="D50" s="156" t="inlineStr">
        <is>
          <t>million tonnes</t>
        </is>
      </c>
      <c r="E50" s="156" t="inlineStr">
        <is>
          <t>target less the year to March 2025</t>
        </is>
      </c>
      <c r="F50" s="156" t="inlineStr">
        <is>
          <t>inferred</t>
        </is>
      </c>
      <c r="G50" s="156" t="inlineStr">
        <is>
          <t>Calculated from the two rows above</t>
        </is>
      </c>
      <c r="H50" s="156" t="inlineStr"/>
      <c r="I50" s="156" t="inlineStr">
        <is>
          <t>About 9% of road freight tonnes. Not all of it would come from road.</t>
        </is>
      </c>
    </row>
    <row r="51">
      <c r="A51" s="162" t="inlineStr">
        <is>
          <t>Road freight in tonne-kilometres, by year</t>
        </is>
      </c>
      <c r="B51" s="162" t="inlineStr">
        <is>
          <t>South Africa</t>
        </is>
      </c>
      <c r="C51" s="162" t="inlineStr">
        <is>
          <t>Not available</t>
        </is>
      </c>
      <c r="D51" s="162" t="inlineStr">
        <is>
          <t>billion tonne-km</t>
        </is>
      </c>
      <c r="E51" s="162" t="inlineStr"/>
      <c r="F51" s="162" t="inlineStr">
        <is>
          <t>not available</t>
        </is>
      </c>
      <c r="G51" s="162" t="inlineStr">
        <is>
          <t>None found as an annual series</t>
        </is>
      </c>
      <c r="H51" s="162" t="inlineStr"/>
      <c r="I51" s="162" t="inlineStr">
        <is>
          <t>Needed to size freight that could move to rail. Only single-year figures exist in published studies.</t>
        </is>
      </c>
    </row>
    <row r="52">
      <c r="A52" s="162" t="inlineStr">
        <is>
          <t>Diesel used by rail locomotives</t>
        </is>
      </c>
      <c r="B52" s="162" t="inlineStr">
        <is>
          <t>Transnet Freight Rail</t>
        </is>
      </c>
      <c r="C52" s="162" t="inlineStr">
        <is>
          <t>Not available</t>
        </is>
      </c>
      <c r="D52" s="162" t="inlineStr">
        <is>
          <t>million litres</t>
        </is>
      </c>
      <c r="E52" s="162" t="inlineStr"/>
      <c r="F52" s="162" t="inlineStr">
        <is>
          <t>not available</t>
        </is>
      </c>
      <c r="G52" s="162" t="inlineStr">
        <is>
          <t>None found</t>
        </is>
      </c>
      <c r="H52" s="162" t="inlineStr"/>
      <c r="I52" s="162" t="inlineStr">
        <is>
          <t>Needed so that freight moving to rail is not counted as diesel saved in full.</t>
        </is>
      </c>
    </row>
    <row r="54">
      <c r="A54" s="151" t="inlineStr">
        <is>
          <t>Sector activity</t>
        </is>
      </c>
      <c r="B54" s="151" t="n"/>
      <c r="C54" s="151" t="n"/>
      <c r="D54" s="151" t="n"/>
      <c r="E54" s="151" t="n"/>
      <c r="F54" s="151" t="n"/>
      <c r="G54" s="151" t="n"/>
      <c r="H54" s="151" t="n"/>
      <c r="I54" s="151" t="n"/>
    </row>
    <row r="55">
      <c r="A55" s="152" t="inlineStr">
        <is>
          <t>Mining, manufacturing and agriculture: activity and diesel per unit</t>
        </is>
      </c>
      <c r="B55" s="152" t="inlineStr">
        <is>
          <t>South Africa</t>
        </is>
      </c>
      <c r="C55" s="152" t="inlineStr">
        <is>
          <t>On the Sector history sheet</t>
        </is>
      </c>
      <c r="D55" s="152" t="inlineStr"/>
      <c r="E55" s="152" t="inlineStr">
        <is>
          <t>2012-2025</t>
        </is>
      </c>
      <c r="F55" s="152" t="inlineStr">
        <is>
          <t>observed</t>
        </is>
      </c>
      <c r="G55" s="152" t="inlineStr">
        <is>
          <t>Statistics South Africa (P2041, P3041.2, P0441); department energy balances</t>
        </is>
      </c>
      <c r="H55" s="152" t="inlineStr"/>
      <c r="I55"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The register gives class and province, not fuel: petrol and diesel are not split by class or province in any source held (nationally, December 2023: 8.56 million petrol and 3.34 million diesel).</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0" t="n">
        <v>0.31</v>
      </c>
      <c r="E6" s="162" t="inlineStr">
        <is>
          <t>Reported Eskom burn over generation in three years. A proposal awaiting review.</t>
        </is>
      </c>
      <c r="F6" s="200" t="n"/>
      <c r="G6" s="200" t="n"/>
      <c r="H6" s="200" t="n"/>
      <c r="I6" s="200" t="n"/>
      <c r="J6" s="200" t="n"/>
      <c r="K6" s="200" t="n"/>
      <c r="L6" s="200" t="n"/>
      <c r="M6" s="200" t="n"/>
      <c r="N6" s="200" t="n"/>
      <c r="O6" s="200" t="n"/>
      <c r="P6" s="200" t="n"/>
      <c r="Q6" s="200" t="n"/>
      <c r="R6" s="200" t="n"/>
      <c r="S6" s="200"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1" t="n">
        <v>10</v>
      </c>
      <c r="E7" s="162" t="inlineStr">
        <is>
          <t>Diesel as the backup fuel of a station whose main fuel is gas. NO SOURCE: Eskom's tender says only that gas will be 'supplemented by diesel as and when it's required'.</t>
        </is>
      </c>
      <c r="F7" s="201" t="n"/>
      <c r="G7" s="201" t="n"/>
      <c r="H7" s="201" t="n"/>
      <c r="I7" s="201" t="n"/>
      <c r="J7" s="201" t="n"/>
      <c r="K7" s="201" t="n"/>
      <c r="L7" s="201" t="n"/>
      <c r="M7" s="201" t="n"/>
      <c r="N7" s="201" t="n"/>
      <c r="O7" s="201" t="n"/>
      <c r="P7" s="201" t="n"/>
      <c r="Q7" s="201" t="n"/>
      <c r="R7" s="201" t="n"/>
      <c r="S7" s="201"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1" t="n">
        <v>40</v>
      </c>
      <c r="E8" s="162" t="inlineStr">
        <is>
          <t>NO SOURCE. Eskom describes the gas it needs as dispatchable baseload, so well above a peaker.</t>
        </is>
      </c>
      <c r="F8" s="201" t="n"/>
      <c r="G8" s="201" t="n"/>
      <c r="H8" s="201" t="n"/>
      <c r="I8" s="201" t="n"/>
      <c r="J8" s="201" t="n"/>
      <c r="K8" s="201" t="n"/>
      <c r="L8" s="201" t="n"/>
      <c r="M8" s="201" t="n"/>
      <c r="N8" s="201" t="n"/>
      <c r="O8" s="201" t="n"/>
      <c r="P8" s="201" t="n"/>
      <c r="Q8" s="201" t="n"/>
      <c r="R8" s="201" t="n"/>
      <c r="S8" s="201"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2" t="n"/>
      <c r="E21" s="156" t="inlineStr">
        <is>
          <t>Generation divided by what all six stations would produce running all year.</t>
        </is>
      </c>
      <c r="F21" s="202">
        <f>IF(ISNUMBER(F20),F20/((F15+F16+F17)*8.76)*100,"")</f>
        <v/>
      </c>
      <c r="G21" s="202">
        <f>IF(ISNUMBER(G20),G20/((G15+G16+G17)*8.76)*100,"")</f>
        <v/>
      </c>
      <c r="H21" s="202">
        <f>IF(ISNUMBER(H20),H20/((H15+H16+H17)*8.76)*100,"")</f>
        <v/>
      </c>
      <c r="I21" s="202">
        <f>IF(ISNUMBER(I20),I20/((I15+I16+I17)*8.76)*100,"")</f>
        <v/>
      </c>
      <c r="J21" s="202">
        <f>IF(ISNUMBER(J20),J20/((J15+J16+J17)*8.76)*100,"")</f>
        <v/>
      </c>
      <c r="K21" s="202">
        <f>IF(ISNUMBER(K20),K20/((K15+K16+K17)*8.76)*100,"")</f>
        <v/>
      </c>
      <c r="L21" s="202">
        <f>IF(ISNUMBER(L20),L20/((L15+L16+L17)*8.76)*100,"")</f>
        <v/>
      </c>
      <c r="M21" s="202">
        <f>IF(ISNUMBER(M20),M20/((M15+M16+M17)*8.76)*100,"")</f>
        <v/>
      </c>
      <c r="N21" s="202">
        <f>IF(ISNUMBER(N20),N20/((N15+N16+N17)*8.76)*100,"")</f>
        <v/>
      </c>
      <c r="O21" s="202">
        <f>IF(ISNUMBER(O20),O20/((O15+O16+O17)*8.76)*100,"")</f>
        <v/>
      </c>
      <c r="P21" s="202">
        <f>IF(ISNUMBER(P20),P20/((P15+P16+P17)*8.76)*100,"")</f>
        <v/>
      </c>
      <c r="Q21" s="202">
        <f>IF(ISNUMBER(Q20),Q20/((Q15+Q16+Q17)*8.76)*100,"")</f>
        <v/>
      </c>
      <c r="R21" s="202">
        <f>IF(ISNUMBER(R20),R20/((R15+R16+R17)*8.76)*100,"")</f>
        <v/>
      </c>
      <c r="S21" s="202">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3" t="n"/>
      <c r="E39" s="162" t="inlineStr">
        <is>
          <t>Each to the last full year of its agreement (Dedisa 2029, Avon 2030), then zero.</t>
        </is>
      </c>
      <c r="F39" s="203" t="n">
        <v>1005</v>
      </c>
      <c r="G39" s="203" t="n">
        <v>1005</v>
      </c>
      <c r="H39" s="203" t="n">
        <v>1005</v>
      </c>
      <c r="I39" s="203" t="n">
        <v>1005</v>
      </c>
      <c r="J39" s="203" t="n">
        <v>1005</v>
      </c>
      <c r="K39" s="203" t="n">
        <v>1005</v>
      </c>
      <c r="L39" s="203" t="n">
        <v>1005</v>
      </c>
      <c r="M39" s="203" t="n">
        <v>1005</v>
      </c>
      <c r="N39" s="203" t="n">
        <v>0</v>
      </c>
      <c r="O39" s="203" t="n">
        <v>0</v>
      </c>
      <c r="P39" s="203" t="n">
        <v>0</v>
      </c>
      <c r="Q39" s="203" t="n">
        <v>0</v>
      </c>
      <c r="R39" s="203" t="n">
        <v>0</v>
      </c>
      <c r="S39" s="203"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1" t="n"/>
      <c r="E40" s="162" t="inlineStr">
        <is>
          <t>100% until Eskom's stated gas switch in December 2027, then the backup share.</t>
        </is>
      </c>
      <c r="F40" s="201">
        <f>100</f>
        <v/>
      </c>
      <c r="G40" s="201">
        <f>100</f>
        <v/>
      </c>
      <c r="H40" s="201">
        <f>100</f>
        <v/>
      </c>
      <c r="I40" s="201">
        <f>100</f>
        <v/>
      </c>
      <c r="J40" s="201">
        <f>100</f>
        <v/>
      </c>
      <c r="K40" s="201">
        <f>100</f>
        <v/>
      </c>
      <c r="L40" s="201">
        <f>$D$7</f>
        <v/>
      </c>
      <c r="M40" s="201">
        <f>$D$7</f>
        <v/>
      </c>
      <c r="N40" s="201">
        <f>$D$7</f>
        <v/>
      </c>
      <c r="O40" s="201">
        <f>$D$7</f>
        <v/>
      </c>
      <c r="P40" s="201">
        <f>$D$7</f>
        <v/>
      </c>
      <c r="Q40" s="201">
        <f>$D$7</f>
        <v/>
      </c>
      <c r="R40" s="201">
        <f>$D$7</f>
        <v/>
      </c>
      <c r="S40" s="201">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3" t="n"/>
      <c r="E41" s="162" t="inlineStr">
        <is>
          <t>From 2030, when Camden, Grootvlei, Hendrina, Arnot and Kriel are due to stop. Which sites, and how large, is not decided; the national gas requirement is used as a stand-in.</t>
        </is>
      </c>
      <c r="F41" s="203" t="n">
        <v>0</v>
      </c>
      <c r="G41" s="203" t="n">
        <v>0</v>
      </c>
      <c r="H41" s="203" t="n">
        <v>0</v>
      </c>
      <c r="I41" s="203" t="n">
        <v>0</v>
      </c>
      <c r="J41" s="203" t="n">
        <v>0</v>
      </c>
      <c r="K41" s="203" t="n">
        <v>0</v>
      </c>
      <c r="L41" s="203" t="n">
        <v>0</v>
      </c>
      <c r="M41" s="203" t="n">
        <v>0</v>
      </c>
      <c r="N41" s="203" t="n">
        <v>0</v>
      </c>
      <c r="O41" s="203" t="n">
        <v>0</v>
      </c>
      <c r="P41" s="203" t="n">
        <v>0</v>
      </c>
      <c r="Q41" s="203" t="n">
        <v>0</v>
      </c>
      <c r="R41" s="203" t="n">
        <v>0</v>
      </c>
      <c r="S41" s="203"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3" t="n"/>
      <c r="E47" s="162" t="inlineStr">
        <is>
          <t>Both stations to 2035.</t>
        </is>
      </c>
      <c r="F47" s="203" t="n">
        <v>1005</v>
      </c>
      <c r="G47" s="203" t="n">
        <v>1005</v>
      </c>
      <c r="H47" s="203" t="n">
        <v>1005</v>
      </c>
      <c r="I47" s="203" t="n">
        <v>1005</v>
      </c>
      <c r="J47" s="203" t="n">
        <v>1005</v>
      </c>
      <c r="K47" s="203" t="n">
        <v>1005</v>
      </c>
      <c r="L47" s="203" t="n">
        <v>1005</v>
      </c>
      <c r="M47" s="203" t="n">
        <v>1005</v>
      </c>
      <c r="N47" s="203" t="n">
        <v>1005</v>
      </c>
      <c r="O47" s="203" t="n">
        <v>1005</v>
      </c>
      <c r="P47" s="203" t="n">
        <v>1005</v>
      </c>
      <c r="Q47" s="203" t="n">
        <v>1005</v>
      </c>
      <c r="R47" s="203" t="n">
        <v>1005</v>
      </c>
      <c r="S47" s="203"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1" t="n"/>
      <c r="E48" s="162" t="inlineStr">
        <is>
          <t>100% until Eskom's stated gas switch in December 2027, then the backup share.</t>
        </is>
      </c>
      <c r="F48" s="201">
        <f>100</f>
        <v/>
      </c>
      <c r="G48" s="201">
        <f>100</f>
        <v/>
      </c>
      <c r="H48" s="201">
        <f>100</f>
        <v/>
      </c>
      <c r="I48" s="201">
        <f>100</f>
        <v/>
      </c>
      <c r="J48" s="201">
        <f>100</f>
        <v/>
      </c>
      <c r="K48" s="201">
        <f>100</f>
        <v/>
      </c>
      <c r="L48" s="201">
        <f>$D$7</f>
        <v/>
      </c>
      <c r="M48" s="201">
        <f>$D$7</f>
        <v/>
      </c>
      <c r="N48" s="201">
        <f>$D$7</f>
        <v/>
      </c>
      <c r="O48" s="201">
        <f>$D$7</f>
        <v/>
      </c>
      <c r="P48" s="201">
        <f>$D$7</f>
        <v/>
      </c>
      <c r="Q48" s="201">
        <f>$D$7</f>
        <v/>
      </c>
      <c r="R48" s="201">
        <f>$D$7</f>
        <v/>
      </c>
      <c r="S48" s="201">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3" t="n"/>
      <c r="E49" s="162" t="inlineStr">
        <is>
          <t>From 2030, when Camden, Grootvlei, Hendrina, Arnot and Kriel are due to stop. Which sites, and how large, is not decided; the national gas requirement is used as a stand-in.</t>
        </is>
      </c>
      <c r="F49" s="203" t="n">
        <v>0</v>
      </c>
      <c r="G49" s="203" t="n">
        <v>0</v>
      </c>
      <c r="H49" s="203" t="n">
        <v>0</v>
      </c>
      <c r="I49" s="203" t="n">
        <v>0</v>
      </c>
      <c r="J49" s="203" t="n">
        <v>0</v>
      </c>
      <c r="K49" s="203" t="n">
        <v>0</v>
      </c>
      <c r="L49" s="203" t="n">
        <v>0</v>
      </c>
      <c r="M49" s="203" t="n">
        <v>0</v>
      </c>
      <c r="N49" s="203" t="n">
        <v>3000</v>
      </c>
      <c r="O49" s="203" t="n">
        <v>3000</v>
      </c>
      <c r="P49" s="203" t="n">
        <v>3000</v>
      </c>
      <c r="Q49" s="203" t="n">
        <v>3000</v>
      </c>
      <c r="R49" s="203" t="n">
        <v>3000</v>
      </c>
      <c r="S49" s="203"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3" t="n"/>
      <c r="E55" s="162" t="inlineStr">
        <is>
          <t>Both stations to 2035.</t>
        </is>
      </c>
      <c r="F55" s="203" t="n">
        <v>1005</v>
      </c>
      <c r="G55" s="203" t="n">
        <v>1005</v>
      </c>
      <c r="H55" s="203" t="n">
        <v>1005</v>
      </c>
      <c r="I55" s="203" t="n">
        <v>1005</v>
      </c>
      <c r="J55" s="203" t="n">
        <v>1005</v>
      </c>
      <c r="K55" s="203" t="n">
        <v>1005</v>
      </c>
      <c r="L55" s="203" t="n">
        <v>1005</v>
      </c>
      <c r="M55" s="203" t="n">
        <v>1005</v>
      </c>
      <c r="N55" s="203" t="n">
        <v>1005</v>
      </c>
      <c r="O55" s="203" t="n">
        <v>1005</v>
      </c>
      <c r="P55" s="203" t="n">
        <v>1005</v>
      </c>
      <c r="Q55" s="203" t="n">
        <v>1005</v>
      </c>
      <c r="R55" s="203" t="n">
        <v>1005</v>
      </c>
      <c r="S55" s="203"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1" t="n"/>
      <c r="E56" s="162" t="inlineStr">
        <is>
          <t>100% throughout: the gas supply does not arrive.</t>
        </is>
      </c>
      <c r="F56" s="201">
        <f>100</f>
        <v/>
      </c>
      <c r="G56" s="201">
        <f>100</f>
        <v/>
      </c>
      <c r="H56" s="201">
        <f>100</f>
        <v/>
      </c>
      <c r="I56" s="201">
        <f>100</f>
        <v/>
      </c>
      <c r="J56" s="201">
        <f>100</f>
        <v/>
      </c>
      <c r="K56" s="201">
        <f>100</f>
        <v/>
      </c>
      <c r="L56" s="201">
        <f>100</f>
        <v/>
      </c>
      <c r="M56" s="201">
        <f>100</f>
        <v/>
      </c>
      <c r="N56" s="201">
        <f>100</f>
        <v/>
      </c>
      <c r="O56" s="201">
        <f>100</f>
        <v/>
      </c>
      <c r="P56" s="201">
        <f>100</f>
        <v/>
      </c>
      <c r="Q56" s="201">
        <f>100</f>
        <v/>
      </c>
      <c r="R56" s="201">
        <f>100</f>
        <v/>
      </c>
      <c r="S56" s="201">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3" t="n"/>
      <c r="E57" s="162" t="inlineStr">
        <is>
          <t>From 2030, when Camden, Grootvlei, Hendrina, Arnot and Kriel are due to stop. Which sites, and how large, is not decided; the national gas requirement is used as a stand-in.</t>
        </is>
      </c>
      <c r="F57" s="203" t="n">
        <v>0</v>
      </c>
      <c r="G57" s="203" t="n">
        <v>0</v>
      </c>
      <c r="H57" s="203" t="n">
        <v>0</v>
      </c>
      <c r="I57" s="203" t="n">
        <v>0</v>
      </c>
      <c r="J57" s="203" t="n">
        <v>0</v>
      </c>
      <c r="K57" s="203" t="n">
        <v>0</v>
      </c>
      <c r="L57" s="203" t="n">
        <v>0</v>
      </c>
      <c r="M57" s="203" t="n">
        <v>0</v>
      </c>
      <c r="N57" s="203" t="n">
        <v>6000</v>
      </c>
      <c r="O57" s="203" t="n">
        <v>6000</v>
      </c>
      <c r="P57" s="203" t="n">
        <v>6000</v>
      </c>
      <c r="Q57" s="203" t="n">
        <v>6000</v>
      </c>
      <c r="R57" s="203" t="n">
        <v>6000</v>
      </c>
      <c r="S57" s="203"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2" t="n">
        <v>78</v>
      </c>
      <c r="E18" s="156" t="inlineStr">
        <is>
          <t>Observed share. Column D is the model's fixed split of new vehicles.</t>
        </is>
      </c>
      <c r="F18" s="202">
        <f>IF(COUNT(F14,F17)&lt;2,"",F14/F17*100)</f>
        <v/>
      </c>
      <c r="G18" s="202">
        <f>IF(COUNT(G14,G17)&lt;2,"",G14/G17*100)</f>
        <v/>
      </c>
      <c r="H18" s="202">
        <f>IF(COUNT(H14,H17)&lt;2,"",H14/H17*100)</f>
        <v/>
      </c>
      <c r="I18" s="202">
        <f>IF(COUNT(I14,I17)&lt;2,"",I14/I17*100)</f>
        <v/>
      </c>
      <c r="J18" s="202">
        <f>IF(COUNT(J14,J17)&lt;2,"",J14/J17*100)</f>
        <v/>
      </c>
      <c r="K18" s="202">
        <f>IF(COUNT(K14,K17)&lt;2,"",K14/K17*100)</f>
        <v/>
      </c>
      <c r="L18" s="202">
        <f>IF(COUNT(L14,L17)&lt;2,"",L14/L17*100)</f>
        <v/>
      </c>
      <c r="M18" s="202">
        <f>IF(COUNT(M14,M17)&lt;2,"",M14/M17*100)</f>
        <v/>
      </c>
      <c r="N18" s="202">
        <f>IF(COUNT(N14,N17)&lt;2,"",N14/N17*100)</f>
        <v/>
      </c>
      <c r="O18" s="202">
        <f>IF(COUNT(O14,O17)&lt;2,"",O14/O17*100)</f>
        <v/>
      </c>
      <c r="P18" s="202">
        <f>IF(COUNT(P14,P17)&lt;2,"",P14/P17*100)</f>
        <v/>
      </c>
      <c r="Q18" s="202">
        <f>IF(COUNT(Q14,Q17)&lt;2,"",Q14/Q17*100)</f>
        <v/>
      </c>
      <c r="R18" s="202">
        <f>IF(COUNT(R14,R17)&lt;2,"",R14/R17*100)</f>
        <v/>
      </c>
      <c r="S18" s="202">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2" t="n">
        <v>18</v>
      </c>
      <c r="E19" s="156" t="inlineStr">
        <is>
          <t>Observed share. Column D is the model's fixed split of new vehicles.</t>
        </is>
      </c>
      <c r="F19" s="202">
        <f>IF(COUNT(F15,F17)&lt;2,"",F15/F17*100)</f>
        <v/>
      </c>
      <c r="G19" s="202">
        <f>IF(COUNT(G15,G17)&lt;2,"",G15/G17*100)</f>
        <v/>
      </c>
      <c r="H19" s="202">
        <f>IF(COUNT(H15,H17)&lt;2,"",H15/H17*100)</f>
        <v/>
      </c>
      <c r="I19" s="202">
        <f>IF(COUNT(I15,I17)&lt;2,"",I15/I17*100)</f>
        <v/>
      </c>
      <c r="J19" s="202">
        <f>IF(COUNT(J15,J17)&lt;2,"",J15/J17*100)</f>
        <v/>
      </c>
      <c r="K19" s="202">
        <f>IF(COUNT(K15,K17)&lt;2,"",K15/K17*100)</f>
        <v/>
      </c>
      <c r="L19" s="202">
        <f>IF(COUNT(L15,L17)&lt;2,"",L15/L17*100)</f>
        <v/>
      </c>
      <c r="M19" s="202">
        <f>IF(COUNT(M15,M17)&lt;2,"",M15/M17*100)</f>
        <v/>
      </c>
      <c r="N19" s="202">
        <f>IF(COUNT(N15,N17)&lt;2,"",N15/N17*100)</f>
        <v/>
      </c>
      <c r="O19" s="202">
        <f>IF(COUNT(O15,O17)&lt;2,"",O15/O17*100)</f>
        <v/>
      </c>
      <c r="P19" s="202">
        <f>IF(COUNT(P15,P17)&lt;2,"",P15/P17*100)</f>
        <v/>
      </c>
      <c r="Q19" s="202">
        <f>IF(COUNT(Q15,Q17)&lt;2,"",Q15/Q17*100)</f>
        <v/>
      </c>
      <c r="R19" s="202">
        <f>IF(COUNT(R15,R17)&lt;2,"",R15/R17*100)</f>
        <v/>
      </c>
      <c r="S19" s="202">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2" t="n">
        <v>4</v>
      </c>
      <c r="E20" s="156" t="inlineStr">
        <is>
          <t>Observed share. Column D is the model's fixed split of new vehicles.</t>
        </is>
      </c>
      <c r="F20" s="202">
        <f>IF(COUNT(F16,F17)&lt;2,"",F16/F17*100)</f>
        <v/>
      </c>
      <c r="G20" s="202">
        <f>IF(COUNT(G16,G17)&lt;2,"",G16/G17*100)</f>
        <v/>
      </c>
      <c r="H20" s="202">
        <f>IF(COUNT(H16,H17)&lt;2,"",H16/H17*100)</f>
        <v/>
      </c>
      <c r="I20" s="202">
        <f>IF(COUNT(I16,I17)&lt;2,"",I16/I17*100)</f>
        <v/>
      </c>
      <c r="J20" s="202">
        <f>IF(COUNT(J16,J17)&lt;2,"",J16/J17*100)</f>
        <v/>
      </c>
      <c r="K20" s="202">
        <f>IF(COUNT(K16,K17)&lt;2,"",K16/K17*100)</f>
        <v/>
      </c>
      <c r="L20" s="202">
        <f>IF(COUNT(L16,L17)&lt;2,"",L16/L17*100)</f>
        <v/>
      </c>
      <c r="M20" s="202">
        <f>IF(COUNT(M16,M17)&lt;2,"",M16/M17*100)</f>
        <v/>
      </c>
      <c r="N20" s="202">
        <f>IF(COUNT(N16,N17)&lt;2,"",N16/N17*100)</f>
        <v/>
      </c>
      <c r="O20" s="202">
        <f>IF(COUNT(O16,O17)&lt;2,"",O16/O17*100)</f>
        <v/>
      </c>
      <c r="P20" s="202">
        <f>IF(COUNT(P16,P17)&lt;2,"",P16/P17*100)</f>
        <v/>
      </c>
      <c r="Q20" s="202">
        <f>IF(COUNT(Q16,Q17)&lt;2,"",Q16/Q17*100)</f>
        <v/>
      </c>
      <c r="R20" s="202">
        <f>IF(COUNT(R16,R17)&lt;2,"",R16/R17*100)</f>
        <v/>
      </c>
      <c r="S20" s="202">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2" t="n">
        <v>4</v>
      </c>
      <c r="E24" s="156" t="inlineStr">
        <is>
          <t>Retired divided by last December's stock. Column D is the model's scrappage rate.</t>
        </is>
      </c>
      <c r="F24" s="202" t="n"/>
      <c r="G24" s="202">
        <f>IF(ISNUMBER(G23),G23/F6*100,"")</f>
        <v/>
      </c>
      <c r="H24" s="202">
        <f>IF(ISNUMBER(H23),H23/G6*100,"")</f>
        <v/>
      </c>
      <c r="I24" s="202">
        <f>IF(ISNUMBER(I23),I23/H6*100,"")</f>
        <v/>
      </c>
      <c r="J24" s="202">
        <f>IF(ISNUMBER(J23),J23/I6*100,"")</f>
        <v/>
      </c>
      <c r="K24" s="202">
        <f>IF(ISNUMBER(K23),K23/J6*100,"")</f>
        <v/>
      </c>
      <c r="L24" s="202">
        <f>IF(ISNUMBER(L23),L23/K6*100,"")</f>
        <v/>
      </c>
      <c r="M24" s="202">
        <f>IF(ISNUMBER(M23),M23/L6*100,"")</f>
        <v/>
      </c>
      <c r="N24" s="202">
        <f>IF(ISNUMBER(N23),N23/M6*100,"")</f>
        <v/>
      </c>
      <c r="O24" s="202">
        <f>IF(ISNUMBER(O23),O23/N6*100,"")</f>
        <v/>
      </c>
      <c r="P24" s="202">
        <f>IF(ISNUMBER(P23),P23/O6*100,"")</f>
        <v/>
      </c>
      <c r="Q24" s="202">
        <f>IF(ISNUMBER(Q23),Q23/P6*100,"")</f>
        <v/>
      </c>
      <c r="R24" s="202">
        <f>IF(ISNUMBER(R23),R23/Q6*100,"")</f>
        <v/>
      </c>
      <c r="S24" s="202">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2" t="n">
        <v>5</v>
      </c>
      <c r="E26" s="156" t="inlineStr">
        <is>
          <t>Retired divided by last December's stock. Column D is the model's scrappage rate.</t>
        </is>
      </c>
      <c r="F26" s="202" t="n"/>
      <c r="G26" s="202">
        <f>IF(ISNUMBER(G25),G25/F7*100,"")</f>
        <v/>
      </c>
      <c r="H26" s="202">
        <f>IF(ISNUMBER(H25),H25/G7*100,"")</f>
        <v/>
      </c>
      <c r="I26" s="202">
        <f>IF(ISNUMBER(I25),I25/H7*100,"")</f>
        <v/>
      </c>
      <c r="J26" s="202">
        <f>IF(ISNUMBER(J25),J25/I7*100,"")</f>
        <v/>
      </c>
      <c r="K26" s="202">
        <f>IF(ISNUMBER(K25),K25/J7*100,"")</f>
        <v/>
      </c>
      <c r="L26" s="202">
        <f>IF(ISNUMBER(L25),L25/K7*100,"")</f>
        <v/>
      </c>
      <c r="M26" s="202">
        <f>IF(ISNUMBER(M25),M25/L7*100,"")</f>
        <v/>
      </c>
      <c r="N26" s="202">
        <f>IF(ISNUMBER(N25),N25/M7*100,"")</f>
        <v/>
      </c>
      <c r="O26" s="202">
        <f>IF(ISNUMBER(O25),O25/N7*100,"")</f>
        <v/>
      </c>
      <c r="P26" s="202">
        <f>IF(ISNUMBER(P25),P25/O7*100,"")</f>
        <v/>
      </c>
      <c r="Q26" s="202">
        <f>IF(ISNUMBER(Q25),Q25/P7*100,"")</f>
        <v/>
      </c>
      <c r="R26" s="202">
        <f>IF(ISNUMBER(R25),R25/Q7*100,"")</f>
        <v/>
      </c>
      <c r="S26" s="202">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2" t="n">
        <v>6</v>
      </c>
      <c r="E28" s="156" t="inlineStr">
        <is>
          <t>Retired divided by last December's stock. Column D is the model's scrappage rate.</t>
        </is>
      </c>
      <c r="F28" s="202" t="n"/>
      <c r="G28" s="202">
        <f>IF(ISNUMBER(G27),G27/F8*100,"")</f>
        <v/>
      </c>
      <c r="H28" s="202">
        <f>IF(ISNUMBER(H27),H27/G8*100,"")</f>
        <v/>
      </c>
      <c r="I28" s="202">
        <f>IF(ISNUMBER(I27),I27/H8*100,"")</f>
        <v/>
      </c>
      <c r="J28" s="202">
        <f>IF(ISNUMBER(J27),J27/I8*100,"")</f>
        <v/>
      </c>
      <c r="K28" s="202">
        <f>IF(ISNUMBER(K27),K27/J8*100,"")</f>
        <v/>
      </c>
      <c r="L28" s="202">
        <f>IF(ISNUMBER(L27),L27/K8*100,"")</f>
        <v/>
      </c>
      <c r="M28" s="202">
        <f>IF(ISNUMBER(M27),M27/L8*100,"")</f>
        <v/>
      </c>
      <c r="N28" s="202">
        <f>IF(ISNUMBER(N27),N27/M8*100,"")</f>
        <v/>
      </c>
      <c r="O28" s="202">
        <f>IF(ISNUMBER(O27),O27/N8*100,"")</f>
        <v/>
      </c>
      <c r="P28" s="202">
        <f>IF(ISNUMBER(P27),P27/O8*100,"")</f>
        <v/>
      </c>
      <c r="Q28" s="202">
        <f>IF(ISNUMBER(Q27),Q27/P8*100,"")</f>
        <v/>
      </c>
      <c r="R28" s="202">
        <f>IF(ISNUMBER(R27),R27/Q8*100,"")</f>
        <v/>
      </c>
      <c r="S28" s="202">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4" t="inlineStr">
        <is>
          <t>diesel</t>
        </is>
      </c>
      <c r="B5" s="204" t="inlineStr">
        <is>
          <t>road_activity</t>
        </is>
      </c>
      <c r="C5" s="204" t="inlineStr">
        <is>
          <t>index_2024_100</t>
        </is>
      </c>
      <c r="D5" s="204" t="inlineStr">
        <is>
          <t>100</t>
        </is>
      </c>
      <c r="E5" s="204" t="inlineStr">
        <is>
          <t>road freight payload 980 Mt in 2024 (Stats SA P7162)</t>
        </is>
      </c>
      <c r="F5" s="204" t="inlineStr">
        <is>
          <t>95 / 115 / 135</t>
        </is>
      </c>
      <c r="G5" s="204" t="inlineStr">
        <is>
          <t>95 / 115 / 135</t>
        </is>
      </c>
      <c r="H5" s="204" t="inlineStr">
        <is>
          <t>95 / 135 / 175</t>
        </is>
      </c>
      <c r="I5" s="204" t="inlineStr">
        <is>
          <t>95 / 135 / 150</t>
        </is>
      </c>
      <c r="J5" s="204" t="inlineStr">
        <is>
          <t>replacement proposed</t>
        </is>
      </c>
      <c r="K5" s="204"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4" t="inlineStr">
        <is>
          <t>diesel</t>
        </is>
      </c>
      <c r="B6" s="204" t="inlineStr">
        <is>
          <t>rail_diversion</t>
        </is>
      </c>
      <c r="C6" s="204" t="inlineStr">
        <is>
          <t>percent</t>
        </is>
      </c>
      <c r="D6" s="204" t="inlineStr">
        <is>
          <t>0</t>
        </is>
      </c>
      <c r="E6" s="204" t="inlineStr">
        <is>
          <t>rail 161 Mt and road 980 Mt in 2024 (Stats SA P7162)</t>
        </is>
      </c>
      <c r="F6" s="204" t="inlineStr">
        <is>
          <t>0 / 10 / 20</t>
        </is>
      </c>
      <c r="G6" s="204" t="inlineStr">
        <is>
          <t>0 / 3 / 9</t>
        </is>
      </c>
      <c r="H6" s="204" t="inlineStr">
        <is>
          <t>0 / 20 / 35</t>
        </is>
      </c>
      <c r="I6" s="204" t="inlineStr">
        <is>
          <t>0 / 7 / 13</t>
        </is>
      </c>
      <c r="J6" s="204" t="inlineStr">
        <is>
          <t>replacement proposed</t>
        </is>
      </c>
      <c r="K6" s="204"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4" t="inlineStr">
        <is>
          <t>diesel</t>
        </is>
      </c>
      <c r="B7" s="204" t="inlineStr">
        <is>
          <t>ocgt_generation</t>
        </is>
      </c>
      <c r="C7" s="204" t="inlineStr">
        <is>
          <t>index_FY2024_100</t>
        </is>
      </c>
      <c r="D7" s="204" t="inlineStr">
        <is>
          <t>100</t>
        </is>
      </c>
      <c r="E7" s="204" t="inlineStr">
        <is>
          <t>Eskom and independent OCGT output 5,143 GWh, year to March 2024</t>
        </is>
      </c>
      <c r="F7" s="204" t="inlineStr">
        <is>
          <t>10 / 25 / 60</t>
        </is>
      </c>
      <c r="G7" s="204" t="inlineStr">
        <is>
          <t>10 / 25 / 60</t>
        </is>
      </c>
      <c r="H7" s="204" t="inlineStr">
        <is>
          <t>5 / 15 / 50</t>
        </is>
      </c>
      <c r="I7" s="204" t="inlineStr">
        <is>
          <t>5 / 15 / 50</t>
        </is>
      </c>
      <c r="J7" s="204" t="inlineStr">
        <is>
          <t>no change</t>
        </is>
      </c>
      <c r="K7" s="204" t="inlineStr">
        <is>
          <t>Year to March 2025 is 55 and year to March 2026 is 21 on this index, so the medium of 25 in 2030 holds today's level. Reported burn is 0.31 litres per kWh in three years. No change proposed.</t>
        </is>
      </c>
    </row>
    <row r="8">
      <c r="A8" s="204" t="inlineStr">
        <is>
          <t>diesel</t>
        </is>
      </c>
      <c r="B8" s="204" t="inlineStr">
        <is>
          <t>new_cohort_efficiency</t>
        </is>
      </c>
      <c r="C8" s="204" t="inlineStr">
        <is>
          <t>percent_per_year</t>
        </is>
      </c>
      <c r="D8" s="204" t="inlineStr">
        <is>
          <t>0.5 to 1.0</t>
        </is>
      </c>
      <c r="E8" s="204" t="inlineStr">
        <is>
          <t>registered diesel efficiency paths (low and high demand cases)</t>
        </is>
      </c>
      <c r="F8" s="204" t="inlineStr">
        <is>
          <t>0.5 / 0.75 / 1</t>
        </is>
      </c>
      <c r="G8" s="204" t="inlineStr">
        <is>
          <t>0.5 / 0.75 / 1</t>
        </is>
      </c>
      <c r="H8" s="204" t="inlineStr">
        <is>
          <t>0.5 / 0.75 / 1</t>
        </is>
      </c>
      <c r="I8" s="204" t="inlineStr">
        <is>
          <t>0.5 / 0.75 / 1</t>
        </is>
      </c>
      <c r="J8" s="204" t="inlineStr">
        <is>
          <t>no change</t>
        </is>
      </c>
      <c r="K8" s="204" t="inlineStr">
        <is>
          <t>Low and high equal the registered endpoints. Neither has a source. No change proposed.</t>
        </is>
      </c>
    </row>
    <row r="9">
      <c r="A9" s="204" t="inlineStr">
        <is>
          <t>diesel</t>
        </is>
      </c>
      <c r="B9" s="204" t="inlineStr">
        <is>
          <t>plant_utilisation</t>
        </is>
      </c>
      <c r="C9" s="204" t="inlineStr">
        <is>
          <t>percent</t>
        </is>
      </c>
      <c r="D9" s="204" t="inlineStr">
        <is>
          <t>67</t>
        </is>
      </c>
      <c r="E9" s="204" t="inlineStr">
        <is>
          <t>reported 2024 output over reported capacity, three plants; indicative</t>
        </is>
      </c>
      <c r="F9" s="204" t="inlineStr">
        <is>
          <t>60 / 75 / 90</t>
        </is>
      </c>
      <c r="G9" s="204" t="inlineStr">
        <is>
          <t>60 / 75 / 90</t>
        </is>
      </c>
      <c r="H9" s="204" t="inlineStr">
        <is>
          <t>60 / 75 / 90</t>
        </is>
      </c>
      <c r="I9" s="204" t="inlineStr">
        <is>
          <t>60 / 75 / 90</t>
        </is>
      </c>
      <c r="J9" s="204" t="inlineStr">
        <is>
          <t>no change</t>
        </is>
      </c>
      <c r="K9" s="204"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4" t="inlineStr">
        <is>
          <t>diesel</t>
        </is>
      </c>
      <c r="B10" s="204" t="inlineStr">
        <is>
          <t>product_yield</t>
        </is>
      </c>
      <c r="C10" s="204" t="inlineStr">
        <is>
          <t>percent</t>
        </is>
      </c>
      <c r="D10" s="204" t="inlineStr">
        <is>
          <t>29</t>
        </is>
      </c>
      <c r="E10" s="204" t="inlineStr">
        <is>
          <t>diesel share of refinery output in 2024 (JODI; lowest reliability)</t>
        </is>
      </c>
      <c r="F10" s="204" t="inlineStr">
        <is>
          <t>20 / 25 / 30</t>
        </is>
      </c>
      <c r="G10" s="204" t="inlineStr">
        <is>
          <t>25 / 30 / 40</t>
        </is>
      </c>
      <c r="H10" s="204" t="inlineStr">
        <is>
          <t>20 / 25 / 30</t>
        </is>
      </c>
      <c r="I10" s="204" t="inlineStr">
        <is>
          <t>25 / 30 / 40</t>
        </is>
      </c>
      <c r="J10" s="204" t="inlineStr">
        <is>
          <t>replacement proposed</t>
        </is>
      </c>
      <c r="K10" s="204"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4" t="inlineStr">
        <is>
          <t>diesel</t>
        </is>
      </c>
      <c r="B11" s="204" t="inlineStr">
        <is>
          <t>restart_capacity</t>
        </is>
      </c>
      <c r="C11" s="204" t="inlineStr">
        <is>
          <t>thousand_bbl_per_day</t>
        </is>
      </c>
      <c r="D11" s="204" t="inlineStr">
        <is>
          <t>0</t>
        </is>
      </c>
      <c r="E11" s="204" t="inlineStr">
        <is>
          <t>no committed addition</t>
        </is>
      </c>
      <c r="F11" s="204" t="inlineStr">
        <is>
          <t>0 / 0 / 0</t>
        </is>
      </c>
      <c r="G11" s="204" t="inlineStr">
        <is>
          <t>0 / 0 / 0</t>
        </is>
      </c>
      <c r="H11" s="204" t="inlineStr">
        <is>
          <t>0 / 0 / 400</t>
        </is>
      </c>
      <c r="I11" s="204" t="inlineStr">
        <is>
          <t>0 / 0 / 400</t>
        </is>
      </c>
      <c r="J11" s="204" t="inlineStr">
        <is>
          <t>no change</t>
        </is>
      </c>
      <c r="K11" s="204" t="inlineStr">
        <is>
          <t>Existing conditional illustration; no investment decision, timing or product slate is sourced.</t>
        </is>
      </c>
    </row>
    <row r="12">
      <c r="A12" s="204" t="inlineStr">
        <is>
          <t>jet</t>
        </is>
      </c>
      <c r="B12" s="204" t="inlineStr">
        <is>
          <t>aircraft_movements</t>
        </is>
      </c>
      <c r="C12" s="204" t="inlineStr">
        <is>
          <t>index_2024_100</t>
        </is>
      </c>
      <c r="D12" s="204" t="inlineStr">
        <is>
          <t>100</t>
        </is>
      </c>
      <c r="E12" s="204" t="inlineStr">
        <is>
          <t>456,214 movements at ACSA airports in 2024</t>
        </is>
      </c>
      <c r="F12" s="204" t="inlineStr">
        <is>
          <t>100 / 120 / 140</t>
        </is>
      </c>
      <c r="G12" s="204" t="inlineStr">
        <is>
          <t>100 / 110 / 125</t>
        </is>
      </c>
      <c r="H12" s="204" t="inlineStr">
        <is>
          <t>100 / 145 / 190</t>
        </is>
      </c>
      <c r="I12" s="204" t="inlineStr">
        <is>
          <t>100 / 120 / 140</t>
        </is>
      </c>
      <c r="J12" s="204" t="inlineStr">
        <is>
          <t>replacement proposed</t>
        </is>
      </c>
      <c r="K12" s="204"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4" t="inlineStr">
        <is>
          <t>jet</t>
        </is>
      </c>
      <c r="B13" s="204" t="inlineStr">
        <is>
          <t>fuel_burn_per_movement</t>
        </is>
      </c>
      <c r="C13" s="204" t="inlineStr">
        <is>
          <t>index_2024_100</t>
        </is>
      </c>
      <c r="D13" s="204" t="inlineStr">
        <is>
          <t>100</t>
        </is>
      </c>
      <c r="E13" s="204" t="inlineStr">
        <is>
          <t>4,090 litres of jet sold per movement in 2024</t>
        </is>
      </c>
      <c r="F13" s="204" t="inlineStr">
        <is>
          <t>80 / 90 / 100</t>
        </is>
      </c>
      <c r="G13" s="204" t="inlineStr">
        <is>
          <t>80 / 90 / 113</t>
        </is>
      </c>
      <c r="H13" s="204" t="inlineStr">
        <is>
          <t>65 / 80 / 100</t>
        </is>
      </c>
      <c r="I13" s="204" t="inlineStr">
        <is>
          <t>65 / 80 / 113</t>
        </is>
      </c>
      <c r="J13" s="204" t="inlineStr">
        <is>
          <t>replacement proposed</t>
        </is>
      </c>
      <c r="K13" s="204"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4" t="inlineStr">
        <is>
          <t>jet</t>
        </is>
      </c>
      <c r="B14" s="204" t="inlineStr">
        <is>
          <t>saf_volume_share</t>
        </is>
      </c>
      <c r="C14" s="204" t="inlineStr">
        <is>
          <t>percent</t>
        </is>
      </c>
      <c r="D14" s="204" t="inlineStr">
        <is>
          <t>0</t>
        </is>
      </c>
      <c r="E14" s="204" t="inlineStr">
        <is>
          <t>no sustainable aviation fuel supply recorded in the sources held; unsourced</t>
        </is>
      </c>
      <c r="F14" s="204" t="inlineStr">
        <is>
          <t>0 / 2 / 5</t>
        </is>
      </c>
      <c r="G14" s="204" t="inlineStr">
        <is>
          <t>0 / 2 / 5</t>
        </is>
      </c>
      <c r="H14" s="204" t="inlineStr">
        <is>
          <t>0 / 5 / 10</t>
        </is>
      </c>
      <c r="I14" s="204" t="inlineStr">
        <is>
          <t>0 / 5 / 10</t>
        </is>
      </c>
      <c r="J14" s="204" t="inlineStr">
        <is>
          <t>no change</t>
        </is>
      </c>
      <c r="K14" s="204" t="inlineStr">
        <is>
          <t>No South African blend requirement is sourced. No change proposed.</t>
        </is>
      </c>
    </row>
    <row r="15">
      <c r="A15" s="204" t="inlineStr">
        <is>
          <t>jet</t>
        </is>
      </c>
      <c r="B15" s="204" t="inlineStr">
        <is>
          <t>plant_utilisation</t>
        </is>
      </c>
      <c r="C15" s="204" t="inlineStr">
        <is>
          <t>percent</t>
        </is>
      </c>
      <c r="D15" s="204" t="inlineStr">
        <is>
          <t>67</t>
        </is>
      </c>
      <c r="E15" s="204" t="inlineStr">
        <is>
          <t>reported 2024 output over reported capacity, three plants; indicative</t>
        </is>
      </c>
      <c r="F15" s="204" t="inlineStr">
        <is>
          <t>60 / 75 / 90</t>
        </is>
      </c>
      <c r="G15" s="204" t="inlineStr">
        <is>
          <t>60 / 75 / 90</t>
        </is>
      </c>
      <c r="H15" s="204" t="inlineStr">
        <is>
          <t>60 / 75 / 90</t>
        </is>
      </c>
      <c r="I15" s="204" t="inlineStr">
        <is>
          <t>60 / 75 / 90</t>
        </is>
      </c>
      <c r="J15" s="204" t="inlineStr">
        <is>
          <t>no change</t>
        </is>
      </c>
      <c r="K15" s="204"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4" t="inlineStr">
        <is>
          <t>jet</t>
        </is>
      </c>
      <c r="B16" s="204" t="inlineStr">
        <is>
          <t>product_yield</t>
        </is>
      </c>
      <c r="C16" s="204" t="inlineStr">
        <is>
          <t>percent</t>
        </is>
      </c>
      <c r="D16" s="204" t="inlineStr">
        <is>
          <t>10</t>
        </is>
      </c>
      <c r="E16" s="204" t="inlineStr">
        <is>
          <t>registered legacy yield for capable plants</t>
        </is>
      </c>
      <c r="F16" s="204" t="inlineStr">
        <is>
          <t>5 / 10 / 15</t>
        </is>
      </c>
      <c r="G16" s="204" t="inlineStr">
        <is>
          <t>5 / 10 / 15</t>
        </is>
      </c>
      <c r="H16" s="204" t="inlineStr">
        <is>
          <t>5 / 10 / 15</t>
        </is>
      </c>
      <c r="I16" s="204" t="inlineStr">
        <is>
          <t>5 / 10 / 15</t>
        </is>
      </c>
      <c r="J16" s="204" t="inlineStr">
        <is>
          <t>no change</t>
        </is>
      </c>
      <c r="K16" s="204" t="inlineStr">
        <is>
          <t>Jet was 5 to 8% of the five fuels produced in the 2017-2021 energy balances, consistent with the range. No change proposed.</t>
        </is>
      </c>
    </row>
    <row r="17">
      <c r="A17" s="204" t="inlineStr">
        <is>
          <t>jet</t>
        </is>
      </c>
      <c r="B17" s="204" t="inlineStr">
        <is>
          <t>restart_capacity</t>
        </is>
      </c>
      <c r="C17" s="204" t="inlineStr">
        <is>
          <t>thousand_bbl_per_day</t>
        </is>
      </c>
      <c r="D17" s="204" t="inlineStr">
        <is>
          <t>0</t>
        </is>
      </c>
      <c r="E17" s="204" t="inlineStr">
        <is>
          <t>no committed addition</t>
        </is>
      </c>
      <c r="F17" s="204" t="inlineStr">
        <is>
          <t>0 / 0 / 0</t>
        </is>
      </c>
      <c r="G17" s="204" t="inlineStr">
        <is>
          <t>0 / 0 / 0</t>
        </is>
      </c>
      <c r="H17" s="204" t="inlineStr">
        <is>
          <t>0 / 0 / 400</t>
        </is>
      </c>
      <c r="I17" s="204" t="inlineStr">
        <is>
          <t>0 / 0 / 400</t>
        </is>
      </c>
      <c r="J17" s="204" t="inlineStr">
        <is>
          <t>no change</t>
        </is>
      </c>
      <c r="K17" s="204" t="inlineStr">
        <is>
          <t>Existing conditional illustration; no investment decision, timing or product slate is sourced.</t>
        </is>
      </c>
    </row>
    <row r="18">
      <c r="A18" s="204" t="inlineStr">
        <is>
          <t>petrol</t>
        </is>
      </c>
      <c r="B18" s="204" t="inlineStr">
        <is>
          <t>passenger_mileage</t>
        </is>
      </c>
      <c r="C18" s="204" t="inlineStr">
        <is>
          <t>km_per_vehicle_year</t>
        </is>
      </c>
      <c r="D18" s="204" t="inlineStr">
        <is>
          <t>17000</t>
        </is>
      </c>
      <c r="E18" s="204" t="inlineStr">
        <is>
          <t>registered placeholder; not an observation</t>
        </is>
      </c>
      <c r="F18" s="204" t="inlineStr">
        <is>
          <t>13600 / 17000 / 20400</t>
        </is>
      </c>
      <c r="G18" s="204" t="inlineStr">
        <is>
          <t>12900 / 14500 / 17000</t>
        </is>
      </c>
      <c r="H18" s="204" t="inlineStr">
        <is>
          <t>13600 / 17000 / 20400</t>
        </is>
      </c>
      <c r="I18" s="204" t="inlineStr">
        <is>
          <t>12900 / 14500 / 17000</t>
        </is>
      </c>
      <c r="J18" s="204" t="inlineStr">
        <is>
          <t>replacement proposed</t>
        </is>
      </c>
      <c r="K18" s="204"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4" t="inlineStr">
        <is>
          <t>petrol</t>
        </is>
      </c>
      <c r="B19" s="204" t="inlineStr">
        <is>
          <t>gdp_growth</t>
        </is>
      </c>
      <c r="C19" s="204" t="inlineStr">
        <is>
          <t>percent_per_year</t>
        </is>
      </c>
      <c r="D19" s="204" t="inlineStr">
        <is>
          <t>0.5</t>
        </is>
      </c>
      <c r="E19" s="204" t="inlineStr">
        <is>
          <t>real GDP growth in 2024 (Stats SA P0441)</t>
        </is>
      </c>
      <c r="F19" s="204" t="inlineStr">
        <is>
          <t>1 / 2 / 3</t>
        </is>
      </c>
      <c r="G19" s="204" t="inlineStr">
        <is>
          <t>0.7 / 1.6 / 2</t>
        </is>
      </c>
      <c r="H19" s="204" t="inlineStr">
        <is>
          <t>1 / 2 / 3</t>
        </is>
      </c>
      <c r="I19" s="204" t="inlineStr">
        <is>
          <t>0.7 / 1.6 / 2</t>
        </is>
      </c>
      <c r="J19" s="204" t="inlineStr">
        <is>
          <t>replacement proposed</t>
        </is>
      </c>
      <c r="K19" s="204"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4" t="inlineStr">
        <is>
          <t>petrol</t>
        </is>
      </c>
      <c r="B20" s="204" t="inlineStr">
        <is>
          <t>bev_new_sales_share</t>
        </is>
      </c>
      <c r="C20" s="204" t="inlineStr">
        <is>
          <t>percent</t>
        </is>
      </c>
      <c r="D20" s="204" t="inlineStr">
        <is>
          <t>0.2</t>
        </is>
      </c>
      <c r="E20" s="204" t="inlineStr">
        <is>
          <t>1,088 battery electric vehicles sold in 2025, share of all new vehicles (naamsa)</t>
        </is>
      </c>
      <c r="F20" s="204" t="inlineStr">
        <is>
          <t>5 / 15 / 30</t>
        </is>
      </c>
      <c r="G20" s="204" t="inlineStr">
        <is>
          <t>0.5 / 4 / 20</t>
        </is>
      </c>
      <c r="H20" s="204" t="inlineStr">
        <is>
          <t>15 / 35 / 60</t>
        </is>
      </c>
      <c r="I20" s="204" t="inlineStr">
        <is>
          <t>2 / 15 / 40</t>
        </is>
      </c>
      <c r="J20" s="204" t="inlineStr">
        <is>
          <t>replacement proposed</t>
        </is>
      </c>
      <c r="K20" s="204"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4" t="inlineStr">
        <is>
          <t>petrol</t>
        </is>
      </c>
      <c r="B21" s="204" t="inlineStr">
        <is>
          <t>new_cohort_efficiency</t>
        </is>
      </c>
      <c r="C21" s="204" t="inlineStr">
        <is>
          <t>percent_per_year</t>
        </is>
      </c>
      <c r="D21" s="204" t="inlineStr">
        <is>
          <t>1.0 to 1.5</t>
        </is>
      </c>
      <c r="E21" s="204" t="inlineStr">
        <is>
          <t>registered petrol efficiency paths (low and high demand cases)</t>
        </is>
      </c>
      <c r="F21" s="204" t="inlineStr">
        <is>
          <t>1 / 1.25 / 1.5</t>
        </is>
      </c>
      <c r="G21" s="204" t="inlineStr">
        <is>
          <t>1 / 1.25 / 1.5</t>
        </is>
      </c>
      <c r="H21" s="204" t="inlineStr">
        <is>
          <t>1 / 1.25 / 1.5</t>
        </is>
      </c>
      <c r="I21" s="204" t="inlineStr">
        <is>
          <t>1 / 1.25 / 1.5</t>
        </is>
      </c>
      <c r="J21" s="204" t="inlineStr">
        <is>
          <t>no change</t>
        </is>
      </c>
      <c r="K21" s="204" t="inlineStr">
        <is>
          <t>Low and high equal the registered endpoints. Neither has a source. No change proposed.</t>
        </is>
      </c>
    </row>
    <row r="22">
      <c r="A22" s="204" t="inlineStr">
        <is>
          <t>petrol</t>
        </is>
      </c>
      <c r="B22" s="204" t="inlineStr">
        <is>
          <t>plant_utilisation</t>
        </is>
      </c>
      <c r="C22" s="204" t="inlineStr">
        <is>
          <t>percent</t>
        </is>
      </c>
      <c r="D22" s="204" t="inlineStr">
        <is>
          <t>67</t>
        </is>
      </c>
      <c r="E22" s="204" t="inlineStr">
        <is>
          <t>reported 2024 output over reported capacity, three plants; indicative</t>
        </is>
      </c>
      <c r="F22" s="204" t="inlineStr">
        <is>
          <t>60 / 75 / 90</t>
        </is>
      </c>
      <c r="G22" s="204" t="inlineStr">
        <is>
          <t>60 / 75 / 90</t>
        </is>
      </c>
      <c r="H22" s="204" t="inlineStr">
        <is>
          <t>60 / 75 / 90</t>
        </is>
      </c>
      <c r="I22" s="204" t="inlineStr">
        <is>
          <t>60 / 75 / 90</t>
        </is>
      </c>
      <c r="J22" s="204" t="inlineStr">
        <is>
          <t>no change</t>
        </is>
      </c>
      <c r="K22" s="204"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4" t="inlineStr">
        <is>
          <t>petrol</t>
        </is>
      </c>
      <c r="B23" s="204" t="inlineStr">
        <is>
          <t>product_yield</t>
        </is>
      </c>
      <c r="C23" s="204" t="inlineStr">
        <is>
          <t>percent</t>
        </is>
      </c>
      <c r="D23" s="204" t="inlineStr">
        <is>
          <t>54</t>
        </is>
      </c>
      <c r="E23" s="204" t="inlineStr">
        <is>
          <t>petrol share of refinery output in 2024 (JODI; lowest reliability)</t>
        </is>
      </c>
      <c r="F23" s="204" t="inlineStr">
        <is>
          <t>35 / 45 / 55</t>
        </is>
      </c>
      <c r="G23" s="204" t="inlineStr">
        <is>
          <t>45 / 50 / 55</t>
        </is>
      </c>
      <c r="H23" s="204" t="inlineStr">
        <is>
          <t>35 / 45 / 55</t>
        </is>
      </c>
      <c r="I23" s="204" t="inlineStr">
        <is>
          <t>45 / 50 / 55</t>
        </is>
      </c>
      <c r="J23" s="204" t="inlineStr">
        <is>
          <t>replacement proposed</t>
        </is>
      </c>
      <c r="K23" s="204"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4" t="inlineStr">
        <is>
          <t>petrol</t>
        </is>
      </c>
      <c r="B24" s="204" t="inlineStr">
        <is>
          <t>restart_capacity</t>
        </is>
      </c>
      <c r="C24" s="204" t="inlineStr">
        <is>
          <t>thousand_bbl_per_day</t>
        </is>
      </c>
      <c r="D24" s="204" t="inlineStr">
        <is>
          <t>0</t>
        </is>
      </c>
      <c r="E24" s="204" t="inlineStr">
        <is>
          <t>no committed addition</t>
        </is>
      </c>
      <c r="F24" s="204" t="inlineStr">
        <is>
          <t>0 / 0 / 0</t>
        </is>
      </c>
      <c r="G24" s="204" t="inlineStr">
        <is>
          <t>0 / 0 / 0</t>
        </is>
      </c>
      <c r="H24" s="204" t="inlineStr">
        <is>
          <t>0 / 0 / 400</t>
        </is>
      </c>
      <c r="I24" s="204" t="inlineStr">
        <is>
          <t>0 / 0 / 400</t>
        </is>
      </c>
      <c r="J24" s="204" t="inlineStr">
        <is>
          <t>no change</t>
        </is>
      </c>
      <c r="K24" s="204" t="inlineStr">
        <is>
          <t>Existing conditional illustration; no investment decision, timing or product slate is sourced.</t>
        </is>
      </c>
    </row>
    <row r="25">
      <c r="A25" s="204" t="inlineStr">
        <is>
          <t>diesel</t>
        </is>
      </c>
      <c r="B25" s="204" t="inlineStr">
        <is>
          <t>real_fuel_price</t>
        </is>
      </c>
      <c r="C25" s="204" t="inlineStr">
        <is>
          <t>index_2024_100</t>
        </is>
      </c>
      <c r="D25" s="204" t="inlineStr">
        <is>
          <t>100</t>
        </is>
      </c>
      <c r="E25" s="204" t="inlineStr">
        <is>
          <t>regulated inland price deflated by headline CPI, 2024 average</t>
        </is>
      </c>
      <c r="F25" s="204" t="inlineStr">
        <is>
          <t>- / - / -</t>
        </is>
      </c>
      <c r="G25" s="204" t="inlineStr">
        <is>
          <t>80 / 100 / 140</t>
        </is>
      </c>
      <c r="H25" s="204" t="inlineStr">
        <is>
          <t>- / - / -</t>
        </is>
      </c>
      <c r="I25" s="204" t="inlineStr">
        <is>
          <t>80 / 100 / 140</t>
        </is>
      </c>
      <c r="J25" s="204" t="inlineStr">
        <is>
          <t>added lever</t>
        </is>
      </c>
      <c r="K25" s="204"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4" t="inlineStr">
        <is>
          <t>diesel</t>
        </is>
      </c>
      <c r="B26" s="204" t="inlineStr">
        <is>
          <t>private_backup_generation</t>
        </is>
      </c>
      <c r="C26" s="204" t="inlineStr">
        <is>
          <t>bn_litres_per_year</t>
        </is>
      </c>
      <c r="D26" s="204" t="inlineStr">
        <is>
          <t>not measured</t>
        </is>
      </c>
      <c r="E26" s="204" t="inlineStr">
        <is>
          <t>no measured volume exists</t>
        </is>
      </c>
      <c r="F26" s="204" t="inlineStr">
        <is>
          <t>- / - / -</t>
        </is>
      </c>
      <c r="G26" s="204" t="inlineStr">
        <is>
          <t>0 / 0 / 0.5</t>
        </is>
      </c>
      <c r="H26" s="204" t="inlineStr">
        <is>
          <t>- / - / -</t>
        </is>
      </c>
      <c r="I26" s="204" t="inlineStr">
        <is>
          <t>0 / 0 / 0.5</t>
        </is>
      </c>
      <c r="J26" s="204" t="inlineStr">
        <is>
          <t>added lever</t>
        </is>
      </c>
      <c r="K26" s="204"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4" t="inlineStr">
        <is>
          <t>diesel</t>
        </is>
      </c>
      <c r="B27" s="204" t="inlineStr">
        <is>
          <t>electric_share_of_new_truck_sales</t>
        </is>
      </c>
      <c r="C27" s="204" t="inlineStr">
        <is>
          <t>percent</t>
        </is>
      </c>
      <c r="D27" s="204" t="inlineStr">
        <is>
          <t>not reported</t>
        </is>
      </c>
      <c r="E27" s="204" t="inlineStr">
        <is>
          <t>naamsa reports electrified sales for the whole market only; assumed close to zero</t>
        </is>
      </c>
      <c r="F27" s="204" t="inlineStr">
        <is>
          <t>- / - / -</t>
        </is>
      </c>
      <c r="G27" s="204" t="inlineStr">
        <is>
          <t>0 / 0.4 / 3</t>
        </is>
      </c>
      <c r="H27" s="204" t="inlineStr">
        <is>
          <t>- / - / -</t>
        </is>
      </c>
      <c r="I27" s="204" t="inlineStr">
        <is>
          <t>0 / 3 / 9</t>
        </is>
      </c>
      <c r="J27" s="204" t="inlineStr">
        <is>
          <t>added lever</t>
        </is>
      </c>
      <c r="K27" s="204"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4" t="inlineStr">
        <is>
          <t>diesel</t>
        </is>
      </c>
      <c r="B28" s="204" t="inlineStr">
        <is>
          <t>electric_share_of_new_light_commercial_sales</t>
        </is>
      </c>
      <c r="C28" s="204" t="inlineStr">
        <is>
          <t>percent</t>
        </is>
      </c>
      <c r="D28" s="204" t="inlineStr">
        <is>
          <t>not reported</t>
        </is>
      </c>
      <c r="E28" s="204" t="inlineStr">
        <is>
          <t>naamsa reports electrified sales for the whole market only; assumed close to zero</t>
        </is>
      </c>
      <c r="F28" s="204" t="inlineStr">
        <is>
          <t>- / - / -</t>
        </is>
      </c>
      <c r="G28" s="204" t="inlineStr">
        <is>
          <t>0 / 1 / 5</t>
        </is>
      </c>
      <c r="H28" s="204" t="inlineStr">
        <is>
          <t>- / - / -</t>
        </is>
      </c>
      <c r="I28" s="204" t="inlineStr">
        <is>
          <t>0 / 5 / 10</t>
        </is>
      </c>
      <c r="J28" s="204" t="inlineStr">
        <is>
          <t>added lever</t>
        </is>
      </c>
      <c r="K28" s="204"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4" t="inlineStr">
        <is>
          <t>petrol</t>
        </is>
      </c>
      <c r="B29" s="204" t="inlineStr">
        <is>
          <t>real_fuel_price</t>
        </is>
      </c>
      <c r="C29" s="204" t="inlineStr">
        <is>
          <t>index_2024_100</t>
        </is>
      </c>
      <c r="D29" s="204" t="inlineStr">
        <is>
          <t>100</t>
        </is>
      </c>
      <c r="E29" s="204" t="inlineStr">
        <is>
          <t>regulated inland price deflated by headline CPI, 2024 average</t>
        </is>
      </c>
      <c r="F29" s="204" t="inlineStr">
        <is>
          <t>- / - / -</t>
        </is>
      </c>
      <c r="G29" s="204" t="inlineStr">
        <is>
          <t>80 / 100 / 120</t>
        </is>
      </c>
      <c r="H29" s="204" t="inlineStr">
        <is>
          <t>- / - / -</t>
        </is>
      </c>
      <c r="I29" s="204" t="inlineStr">
        <is>
          <t>80 / 100 / 120</t>
        </is>
      </c>
      <c r="J29" s="204" t="inlineStr">
        <is>
          <t>added lever</t>
        </is>
      </c>
      <c r="K29" s="204"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4" t="inlineStr">
        <is>
          <t>petrol</t>
        </is>
      </c>
      <c r="B30" s="204" t="inlineStr">
        <is>
          <t>plug_in_hybrid_new_sales_share</t>
        </is>
      </c>
      <c r="C30" s="204" t="inlineStr">
        <is>
          <t>percent</t>
        </is>
      </c>
      <c r="D30" s="204" t="inlineStr">
        <is>
          <t>0.5</t>
        </is>
      </c>
      <c r="E30" s="204" t="inlineStr">
        <is>
          <t>share of all new vehicles in 2025 (naamsa)</t>
        </is>
      </c>
      <c r="F30" s="204" t="inlineStr">
        <is>
          <t>- / - / -</t>
        </is>
      </c>
      <c r="G30" s="204" t="inlineStr">
        <is>
          <t>0.5 / 1.2 / 2.1</t>
        </is>
      </c>
      <c r="H30" s="204" t="inlineStr">
        <is>
          <t>- / - / -</t>
        </is>
      </c>
      <c r="I30" s="204" t="inlineStr">
        <is>
          <t>0.5 / 2 / 3.7</t>
        </is>
      </c>
      <c r="J30" s="204" t="inlineStr">
        <is>
          <t>added lever</t>
        </is>
      </c>
      <c r="K30" s="204"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4" t="inlineStr">
        <is>
          <t>petrol</t>
        </is>
      </c>
      <c r="B31" s="204" t="inlineStr">
        <is>
          <t>conventional_hybrid_new_sales_share</t>
        </is>
      </c>
      <c r="C31" s="204" t="inlineStr">
        <is>
          <t>percent</t>
        </is>
      </c>
      <c r="D31" s="204" t="inlineStr">
        <is>
          <t>2.1</t>
        </is>
      </c>
      <c r="E31" s="204" t="inlineStr">
        <is>
          <t>share of all new vehicles in 2025 (naamsa)</t>
        </is>
      </c>
      <c r="F31" s="204" t="inlineStr">
        <is>
          <t>- / - / -</t>
        </is>
      </c>
      <c r="G31" s="204" t="inlineStr">
        <is>
          <t>2.1 / 4.4 / 6.7</t>
        </is>
      </c>
      <c r="H31" s="204" t="inlineStr">
        <is>
          <t>- / - / -</t>
        </is>
      </c>
      <c r="I31" s="204" t="inlineStr">
        <is>
          <t>2.1 / 6.7 / 11.3</t>
        </is>
      </c>
      <c r="J31" s="204" t="inlineStr">
        <is>
          <t>added lever</t>
        </is>
      </c>
      <c r="K31" s="204"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4" t="inlineStr">
        <is>
          <t>petrol</t>
        </is>
      </c>
      <c r="B32" s="204" t="inlineStr">
        <is>
          <t>rail_passenger_journeys</t>
        </is>
      </c>
      <c r="C32" s="204" t="inlineStr">
        <is>
          <t>million_per_year</t>
        </is>
      </c>
      <c r="D32" s="204" t="inlineStr">
        <is>
          <t>74</t>
        </is>
      </c>
      <c r="E32" s="204" t="inlineStr">
        <is>
          <t>rail passenger journeys in 2024 (Stats SA P7162)</t>
        </is>
      </c>
      <c r="F32" s="204" t="inlineStr">
        <is>
          <t>- / - / -</t>
        </is>
      </c>
      <c r="G32" s="204" t="inlineStr">
        <is>
          <t>100 / 180 / 320</t>
        </is>
      </c>
      <c r="H32" s="204" t="inlineStr">
        <is>
          <t>- / - / -</t>
        </is>
      </c>
      <c r="I32" s="204" t="inlineStr">
        <is>
          <t>100 / 250 / 320</t>
        </is>
      </c>
      <c r="J32" s="204" t="inlineStr">
        <is>
          <t>added lever</t>
        </is>
      </c>
      <c r="K32" s="204"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4" t="inlineStr">
        <is>
          <t>throughput</t>
        </is>
      </c>
      <c r="B33" s="204" t="inlineStr">
        <is>
          <t>exports_to_neighbours</t>
        </is>
      </c>
      <c r="C33" s="204" t="inlineStr">
        <is>
          <t>bn_litres_per_year</t>
        </is>
      </c>
      <c r="D33" s="204" t="inlineStr">
        <is>
          <t>1.48</t>
        </is>
      </c>
      <c r="E33" s="204" t="inlineStr">
        <is>
          <t>petrol and diesel exported to nine neighbouring countries in 2024 (SARS customs)</t>
        </is>
      </c>
      <c r="F33" s="204" t="inlineStr">
        <is>
          <t>- / - / -</t>
        </is>
      </c>
      <c r="G33" s="204" t="inlineStr">
        <is>
          <t>0.7 / 1.4 / 1.7</t>
        </is>
      </c>
      <c r="H33" s="204" t="inlineStr">
        <is>
          <t>- / - / -</t>
        </is>
      </c>
      <c r="I33" s="204" t="inlineStr">
        <is>
          <t>0.7 / 1.4 / 1.7</t>
        </is>
      </c>
      <c r="J33" s="204" t="inlineStr">
        <is>
          <t>added lever</t>
        </is>
      </c>
      <c r="K33" s="204"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4" t="inlineStr">
        <is>
          <t>G01</t>
        </is>
      </c>
      <c r="B5" s="204" t="inlineStr">
        <is>
          <t>National fuel balance</t>
        </is>
      </c>
      <c r="C5" s="204" t="inlineStr">
        <is>
          <t>Narrowed</t>
        </is>
      </c>
      <c r="D5" s="204" t="inlineStr">
        <is>
          <t>Balance rebuilt on customs trade for 2014-2025; Road Accident Fund levy found as an independent count.</t>
        </is>
      </c>
      <c r="E5" s="204" t="inlineStr">
        <is>
          <t>No sales after 2023; no production after 2021 (the last energy balance); no stock series.</t>
        </is>
      </c>
      <c r="F5" s="204" t="inlineStr">
        <is>
          <t>History, sections 2-5</t>
        </is>
      </c>
    </row>
    <row r="6">
      <c r="A6" s="204" t="inlineStr">
        <is>
          <t>G02</t>
        </is>
      </c>
      <c r="B6" s="204" t="inlineStr">
        <is>
          <t>Fleet and new sales</t>
        </is>
      </c>
      <c r="C6" s="204" t="inlineStr">
        <is>
          <t>Narrowed</t>
        </is>
      </c>
      <c r="D6" s="204" t="inlineStr">
        <is>
          <t>Registered vehicles by class 2021-2025, new sales 2017-2025 and apparent retirements lined up against the model.</t>
        </is>
      </c>
      <c r="E6" s="204" t="inlineStr">
        <is>
          <t>Stock by age and by fuel within each class is in no source held.</t>
        </is>
      </c>
      <c r="F6" s="204" t="inlineStr">
        <is>
          <t>Vehicle history</t>
        </is>
      </c>
    </row>
    <row r="7">
      <c r="A7" s="204" t="inlineStr">
        <is>
          <t>G03</t>
        </is>
      </c>
      <c r="B7" s="204" t="inlineStr">
        <is>
          <t>Passenger electrification</t>
        </is>
      </c>
      <c r="C7" s="204" t="inlineStr">
        <is>
          <t>Narrowed</t>
        </is>
      </c>
      <c r="D7" s="204" t="inlineStr">
        <is>
          <t>Battery electric, plug-in and conventional hybrid sales and shares, 2019-2025.</t>
        </is>
      </c>
      <c r="E7" s="204" t="inlineStr">
        <is>
          <t>Passenger-only denominators; electric vehicles in the fleet after 2023; fuel saved by hybrids.</t>
        </is>
      </c>
      <c r="F7" s="204" t="inlineStr">
        <is>
          <t>Vehicle history, section 4</t>
        </is>
      </c>
    </row>
    <row r="8">
      <c r="A8" s="204" t="inlineStr">
        <is>
          <t>G04</t>
        </is>
      </c>
      <c r="B8" s="204" t="inlineStr">
        <is>
          <t>Road freight activity</t>
        </is>
      </c>
      <c r="C8" s="204" t="inlineStr">
        <is>
          <t>Narrowed</t>
        </is>
      </c>
      <c r="D8" s="204" t="inlineStr">
        <is>
          <t>Heavy vehicle diesel is estimated for every year and set against road freight tonnes, giving litres per tonne. Stats SA fuel purchases by road freight firms give a floor of about 2.9 bn litres (2019) and 3.2 bn (2023).</t>
        </is>
      </c>
      <c r="E8" s="204" t="inlineStr">
        <is>
          <t>An annual tonne-kilometre series (only 2013 is published); distance, payload and empty running; light commercial freight scope.</t>
        </is>
      </c>
      <c r="F8" s="204" t="inlineStr">
        <is>
          <t>Diesel by use, sections 3, 3b and 4</t>
        </is>
      </c>
    </row>
    <row r="9">
      <c r="A9" s="204" t="inlineStr">
        <is>
          <t>G05</t>
        </is>
      </c>
      <c r="B9" s="204" t="inlineStr">
        <is>
          <t>Freight electrification</t>
        </is>
      </c>
      <c r="C9" s="204" t="inlineStr">
        <is>
          <t>Proposed</t>
        </is>
      </c>
      <c r="D9" s="204"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4" t="inlineStr">
        <is>
          <t>South African sales of electric trucks by size; duty cycles that could switch first; charging at depots.</t>
        </is>
      </c>
      <c r="F9" s="204" t="inlineStr">
        <is>
          <t>HML response</t>
        </is>
      </c>
    </row>
    <row r="10">
      <c r="A10" s="204" t="inlineStr">
        <is>
          <t>G06</t>
        </is>
      </c>
      <c r="B10" s="204" t="inlineStr">
        <is>
          <t>Manufacturing</t>
        </is>
      </c>
      <c r="C10" s="204" t="inlineStr">
        <is>
          <t>Narrowed</t>
        </is>
      </c>
      <c r="D10" s="204" t="inlineStr">
        <is>
          <t>Manufacturing and other industry diesel by difference, 2016-2021 (0.16-0.23 bn litres), with litres per index point.</t>
        </is>
      </c>
      <c r="E10" s="204" t="inlineStr">
        <is>
          <t>Sub-sector detail; the balance has no manufacturing lines before 2016.</t>
        </is>
      </c>
      <c r="F10" s="204" t="inlineStr">
        <is>
          <t>Sector history</t>
        </is>
      </c>
    </row>
    <row r="11">
      <c r="A11" s="204" t="inlineStr">
        <is>
          <t>G07</t>
        </is>
      </c>
      <c r="B11" s="204" t="inlineStr">
        <is>
          <t>Mining and construction</t>
        </is>
      </c>
      <c r="C11" s="204" t="inlineStr">
        <is>
          <t>Narrowed</t>
        </is>
      </c>
      <c r="D11" s="204" t="inlineStr">
        <is>
          <t>Mining diesel 2012-2021 with litres per index point (11-17 million); indicative 2022-2025.</t>
        </is>
      </c>
      <c r="E11" s="204" t="inlineStr">
        <is>
          <t>Observed fuel after 2021; site and commodity split; on-road boundary.</t>
        </is>
      </c>
      <c r="F11" s="204" t="inlineStr">
        <is>
          <t>Sector history</t>
        </is>
      </c>
    </row>
    <row r="12">
      <c r="A12" s="204" t="inlineStr">
        <is>
          <t>G08</t>
        </is>
      </c>
      <c r="B12" s="204" t="inlineStr">
        <is>
          <t>Agriculture</t>
        </is>
      </c>
      <c r="C12" s="204" t="inlineStr">
        <is>
          <t>Narrowed</t>
        </is>
      </c>
      <c r="D12" s="204" t="inlineStr">
        <is>
          <t>Agriculture diesel 2012-2021 with litres per rand of value added; indicative 2022-2025. Rebated diesel across all rebate sectors is 1.46 bn litres (year to March 2025).</t>
        </is>
      </c>
      <c r="E12" s="204" t="inlineStr">
        <is>
          <t>A fuel baseline after 2021; crop and irrigation activity.</t>
        </is>
      </c>
      <c r="F12" s="204" t="inlineStr">
        <is>
          <t>Sector history</t>
        </is>
      </c>
    </row>
    <row r="13">
      <c r="A13" s="204" t="inlineStr">
        <is>
          <t>G09</t>
        </is>
      </c>
      <c r="B13" s="204" t="inlineStr">
        <is>
          <t>Generation</t>
        </is>
      </c>
      <c r="C13" s="204" t="inlineStr">
        <is>
          <t>Narrowed</t>
        </is>
      </c>
      <c r="D13" s="204" t="inlineStr">
        <is>
          <t>Generation to the year ending March 2026; 0.31 litres per kWh in three reported years. The model's 2024 figure (3.58 bn litres) is at least 2 bn above reported burn.</t>
        </is>
      </c>
      <c r="E13" s="204" t="inlineStr">
        <is>
          <t>Matched fuel burn by calendar year; private backup generation has no measured volume.</t>
        </is>
      </c>
      <c r="F13" s="204" t="inlineStr">
        <is>
          <t>Diesel by use, section 1</t>
        </is>
      </c>
    </row>
    <row r="14">
      <c r="A14" s="204" t="inlineStr">
        <is>
          <t>G10</t>
        </is>
      </c>
      <c r="B14" s="204" t="inlineStr">
        <is>
          <t>Aviation</t>
        </is>
      </c>
      <c r="C14" s="204" t="inlineStr">
        <is>
          <t>Narrowed</t>
        </is>
      </c>
      <c r="D14" s="204" t="inlineStr">
        <is>
          <t>Jet sales, trade, production and aircraft movements lined up; jet sold per movement computed.</t>
        </is>
      </c>
      <c r="E14" s="204" t="inlineStr">
        <is>
          <t>Cargo, aircraft and route mix; airports outside ACSA; jet by airport.</t>
        </is>
      </c>
      <c r="F14" s="204" t="inlineStr">
        <is>
          <t>History, section 7</t>
        </is>
      </c>
    </row>
    <row r="15">
      <c r="A15" s="204" t="inlineStr">
        <is>
          <t>G11</t>
        </is>
      </c>
      <c r="B15" s="204" t="inlineStr">
        <is>
          <t>Provincial demand</t>
        </is>
      </c>
      <c r="C15" s="204" t="inlineStr">
        <is>
          <t>Narrowed</t>
        </is>
      </c>
      <c r="D15" s="204" t="inlineStr">
        <is>
          <t>2013-2022 observed; 2023 estimated with the best of six methods back-tested; 2024 blank (no national total).</t>
        </is>
      </c>
      <c r="E15" s="204" t="inlineStr">
        <is>
          <t>District data after 2023 quarter 1, which the department has not published; 2025 national total.</t>
        </is>
      </c>
      <c r="F15" s="204" t="inlineStr">
        <is>
          <t>History, sections 1 and 6</t>
        </is>
      </c>
    </row>
    <row r="16">
      <c r="A16" s="204" t="inlineStr">
        <is>
          <t>G12</t>
        </is>
      </c>
      <c r="B16" s="204" t="inlineStr">
        <is>
          <t>Marine and other coverage</t>
        </is>
      </c>
      <c r="C16" s="204" t="inlineStr">
        <is>
          <t>Open</t>
        </is>
      </c>
      <c r="D16" s="204" t="inlineStr">
        <is>
          <t>Nothing new. The model's marine placeholder equals the 2007 balance figure.</t>
        </is>
      </c>
      <c r="E16" s="204" t="inlineStr">
        <is>
          <t>Everything listed.</t>
        </is>
      </c>
      <c r="F16" s="204" t="inlineStr"/>
    </row>
    <row r="17">
      <c r="A17" s="204" t="inlineStr">
        <is>
          <t>G13</t>
        </is>
      </c>
      <c r="B17" s="204" t="inlineStr">
        <is>
          <t>Ranges and annual forecast paths</t>
        </is>
      </c>
      <c r="C17" s="204" t="inlineStr">
        <is>
          <t>Proposed</t>
        </is>
      </c>
      <c r="D17" s="204" t="inlineStr">
        <is>
          <t>Baseline, rationale and source for all 20 levers; 39 of 120 values with a proposed replacement; nine levers added.</t>
        </is>
      </c>
      <c r="E17" s="204" t="inlineStr">
        <is>
          <t>Agreement on the reference case and annual paths.</t>
        </is>
      </c>
      <c r="F17" s="204" t="inlineStr">
        <is>
          <t>HML response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5" t="n">
        <v>9185</v>
      </c>
      <c r="E5" s="205" t="n">
        <v>9185</v>
      </c>
      <c r="F5" s="1" t="inlineStr">
        <is>
          <t>matches</t>
        </is>
      </c>
      <c r="G5" s="1" t="inlineStr">
        <is>
          <t>fuel_sales_fiasa.csv</t>
        </is>
      </c>
    </row>
    <row r="6">
      <c r="A6" s="1" t="inlineStr">
        <is>
          <t>G5</t>
        </is>
      </c>
      <c r="B6" s="1" t="inlineStr">
        <is>
          <t>sales_petrol</t>
        </is>
      </c>
      <c r="C6" s="1" t="n">
        <v>2023</v>
      </c>
      <c r="D6" s="205" t="n">
        <v>9037</v>
      </c>
      <c r="E6" s="205" t="n">
        <v>9037</v>
      </c>
      <c r="F6" s="1" t="inlineStr">
        <is>
          <t>matches</t>
        </is>
      </c>
      <c r="G6" s="1" t="inlineStr">
        <is>
          <t>fuel_sales_fiasa.csv</t>
        </is>
      </c>
    </row>
    <row r="7">
      <c r="A7" s="1" t="inlineStr">
        <is>
          <t>H5</t>
        </is>
      </c>
      <c r="B7" s="1" t="inlineStr">
        <is>
          <t>sales_petrol</t>
        </is>
      </c>
      <c r="C7" s="1" t="n">
        <v>2024</v>
      </c>
      <c r="D7" s="205" t="n">
        <v>9029</v>
      </c>
      <c r="E7" s="205" t="n">
        <v>9029</v>
      </c>
      <c r="F7" s="1" t="inlineStr">
        <is>
          <t>matches</t>
        </is>
      </c>
      <c r="G7" s="1" t="inlineStr">
        <is>
          <t>fuel_sales_fiasa.csv</t>
        </is>
      </c>
    </row>
    <row r="8">
      <c r="A8" s="1" t="inlineStr">
        <is>
          <t>F6</t>
        </is>
      </c>
      <c r="B8" s="1" t="inlineStr">
        <is>
          <t>dept_petrol</t>
        </is>
      </c>
      <c r="C8" s="1" t="n">
        <v>2022</v>
      </c>
      <c r="D8" s="205" t="n">
        <v>9184.869915572999</v>
      </c>
      <c r="E8" s="205" t="n">
        <v>9184.869915572999</v>
      </c>
      <c r="F8" s="1" t="inlineStr">
        <is>
          <t>matches</t>
        </is>
      </c>
      <c r="G8" s="1" t="inlineStr">
        <is>
          <t>fuel_sales_department.csv</t>
        </is>
      </c>
    </row>
    <row r="9">
      <c r="A9" s="1" t="inlineStr">
        <is>
          <t>G6</t>
        </is>
      </c>
      <c r="B9" s="1" t="inlineStr">
        <is>
          <t>dept_petrol</t>
        </is>
      </c>
      <c r="C9" s="1" t="n">
        <v>2023</v>
      </c>
      <c r="D9" s="205" t="n">
        <v>9036.950113492001</v>
      </c>
      <c r="E9" s="205" t="n">
        <v>9036.950113492001</v>
      </c>
      <c r="F9" s="1" t="inlineStr">
        <is>
          <t>matches</t>
        </is>
      </c>
      <c r="G9" s="1" t="inlineStr">
        <is>
          <t>fuel_sales_department.csv</t>
        </is>
      </c>
    </row>
    <row r="10">
      <c r="A10" s="1" t="inlineStr">
        <is>
          <t>F7</t>
        </is>
      </c>
      <c r="B10" s="1" t="inlineStr">
        <is>
          <t>sales_diesel</t>
        </is>
      </c>
      <c r="C10" s="1" t="n">
        <v>2022</v>
      </c>
      <c r="D10" s="205" t="n">
        <v>12717</v>
      </c>
      <c r="E10" s="205" t="n">
        <v>12717</v>
      </c>
      <c r="F10" s="1" t="inlineStr">
        <is>
          <t>matches</t>
        </is>
      </c>
      <c r="G10" s="1" t="inlineStr">
        <is>
          <t>fuel_sales_fiasa.csv</t>
        </is>
      </c>
    </row>
    <row r="11">
      <c r="A11" s="1" t="inlineStr">
        <is>
          <t>G7</t>
        </is>
      </c>
      <c r="B11" s="1" t="inlineStr">
        <is>
          <t>sales_diesel</t>
        </is>
      </c>
      <c r="C11" s="1" t="n">
        <v>2023</v>
      </c>
      <c r="D11" s="205" t="n">
        <v>12907</v>
      </c>
      <c r="E11" s="205" t="n">
        <v>12907</v>
      </c>
      <c r="F11" s="1" t="inlineStr">
        <is>
          <t>matches</t>
        </is>
      </c>
      <c r="G11" s="1" t="inlineStr">
        <is>
          <t>fuel_sales_fiasa.csv</t>
        </is>
      </c>
    </row>
    <row r="12">
      <c r="A12" s="1" t="inlineStr">
        <is>
          <t>H7</t>
        </is>
      </c>
      <c r="B12" s="1" t="inlineStr">
        <is>
          <t>sales_diesel</t>
        </is>
      </c>
      <c r="C12" s="1" t="n">
        <v>2024</v>
      </c>
      <c r="D12" s="205" t="n">
        <v>11734</v>
      </c>
      <c r="E12" s="205" t="n">
        <v>11734</v>
      </c>
      <c r="F12" s="1" t="inlineStr">
        <is>
          <t>matches</t>
        </is>
      </c>
      <c r="G12" s="1" t="inlineStr">
        <is>
          <t>fuel_sales_fiasa.csv</t>
        </is>
      </c>
    </row>
    <row r="13">
      <c r="A13" s="1" t="inlineStr">
        <is>
          <t>F8</t>
        </is>
      </c>
      <c r="B13" s="1" t="inlineStr">
        <is>
          <t>dept_diesel</t>
        </is>
      </c>
      <c r="C13" s="1" t="n">
        <v>2022</v>
      </c>
      <c r="D13" s="205" t="n">
        <v>12717.326319019</v>
      </c>
      <c r="E13" s="205" t="n">
        <v>12717.326319019</v>
      </c>
      <c r="F13" s="1" t="inlineStr">
        <is>
          <t>matches</t>
        </is>
      </c>
      <c r="G13" s="1" t="inlineStr">
        <is>
          <t>fuel_sales_department.csv</t>
        </is>
      </c>
    </row>
    <row r="14">
      <c r="A14" s="1" t="inlineStr">
        <is>
          <t>G8</t>
        </is>
      </c>
      <c r="B14" s="1" t="inlineStr">
        <is>
          <t>dept_diesel</t>
        </is>
      </c>
      <c r="C14" s="1" t="n">
        <v>2023</v>
      </c>
      <c r="D14" s="205" t="n">
        <v>12907.499965808</v>
      </c>
      <c r="E14" s="205" t="n">
        <v>12907.499965808</v>
      </c>
      <c r="F14" s="1" t="inlineStr">
        <is>
          <t>matches</t>
        </is>
      </c>
      <c r="G14" s="1" t="inlineStr">
        <is>
          <t>fuel_sales_department.csv</t>
        </is>
      </c>
    </row>
    <row r="15">
      <c r="A15" s="1" t="inlineStr">
        <is>
          <t>F9</t>
        </is>
      </c>
      <c r="B15" s="1" t="inlineStr">
        <is>
          <t>sales_jet</t>
        </is>
      </c>
      <c r="C15" s="1" t="n">
        <v>2022</v>
      </c>
      <c r="D15" s="205" t="n">
        <v>1478</v>
      </c>
      <c r="E15" s="205" t="n">
        <v>1478</v>
      </c>
      <c r="F15" s="1" t="inlineStr">
        <is>
          <t>matches</t>
        </is>
      </c>
      <c r="G15" s="1" t="inlineStr">
        <is>
          <t>fuel_sales_fiasa.csv</t>
        </is>
      </c>
    </row>
    <row r="16">
      <c r="A16" s="1" t="inlineStr">
        <is>
          <t>G9</t>
        </is>
      </c>
      <c r="B16" s="1" t="inlineStr">
        <is>
          <t>sales_jet</t>
        </is>
      </c>
      <c r="C16" s="1" t="n">
        <v>2023</v>
      </c>
      <c r="D16" s="205" t="n">
        <v>1844</v>
      </c>
      <c r="E16" s="205" t="n">
        <v>1844</v>
      </c>
      <c r="F16" s="1" t="inlineStr">
        <is>
          <t>matches</t>
        </is>
      </c>
      <c r="G16" s="1" t="inlineStr">
        <is>
          <t>fuel_sales_fiasa.csv</t>
        </is>
      </c>
    </row>
    <row r="17">
      <c r="A17" s="1" t="inlineStr">
        <is>
          <t>H9</t>
        </is>
      </c>
      <c r="B17" s="1" t="inlineStr">
        <is>
          <t>sales_jet</t>
        </is>
      </c>
      <c r="C17" s="1" t="n">
        <v>2024</v>
      </c>
      <c r="D17" s="205" t="n">
        <v>1955</v>
      </c>
      <c r="E17" s="205" t="n">
        <v>1955</v>
      </c>
      <c r="F17" s="1" t="inlineStr">
        <is>
          <t>matches</t>
        </is>
      </c>
      <c r="G17" s="1" t="inlineStr">
        <is>
          <t>fuel_sales_fiasa.csv</t>
        </is>
      </c>
    </row>
    <row r="18">
      <c r="A18" s="1" t="inlineStr">
        <is>
          <t>F10</t>
        </is>
      </c>
      <c r="B18" s="1" t="inlineStr">
        <is>
          <t>dept_jet</t>
        </is>
      </c>
      <c r="C18" s="1" t="n">
        <v>2022</v>
      </c>
      <c r="D18" s="205" t="n">
        <v>1478.149852603</v>
      </c>
      <c r="E18" s="205" t="n">
        <v>1478.149852603</v>
      </c>
      <c r="F18" s="1" t="inlineStr">
        <is>
          <t>matches</t>
        </is>
      </c>
      <c r="G18" s="1" t="inlineStr">
        <is>
          <t>fuel_sales_department.csv</t>
        </is>
      </c>
    </row>
    <row r="19">
      <c r="A19" s="1" t="inlineStr">
        <is>
          <t>G10</t>
        </is>
      </c>
      <c r="B19" s="1" t="inlineStr">
        <is>
          <t>dept_jet</t>
        </is>
      </c>
      <c r="C19" s="1" t="n">
        <v>2023</v>
      </c>
      <c r="D19" s="205" t="n">
        <v>1843.971762465</v>
      </c>
      <c r="E19" s="205" t="n">
        <v>1843.971762465</v>
      </c>
      <c r="F19" s="1" t="inlineStr">
        <is>
          <t>matches</t>
        </is>
      </c>
      <c r="G19" s="1" t="inlineStr">
        <is>
          <t>fuel_sales_department.csv</t>
        </is>
      </c>
    </row>
    <row r="20">
      <c r="A20" s="1" t="inlineStr">
        <is>
          <t>F11</t>
        </is>
      </c>
      <c r="B20" s="1" t="inlineStr">
        <is>
          <t>sales_fuel_oil</t>
        </is>
      </c>
      <c r="C20" s="1" t="n">
        <v>2022</v>
      </c>
      <c r="D20" s="205" t="n">
        <v>594</v>
      </c>
      <c r="E20" s="205" t="n">
        <v>594</v>
      </c>
      <c r="F20" s="1" t="inlineStr">
        <is>
          <t>matches</t>
        </is>
      </c>
      <c r="G20" s="1" t="inlineStr">
        <is>
          <t>fuel_sales_fiasa.csv</t>
        </is>
      </c>
    </row>
    <row r="21">
      <c r="A21" s="1" t="inlineStr">
        <is>
          <t>G11</t>
        </is>
      </c>
      <c r="B21" s="1" t="inlineStr">
        <is>
          <t>sales_fuel_oil</t>
        </is>
      </c>
      <c r="C21" s="1" t="n">
        <v>2023</v>
      </c>
      <c r="D21" s="205" t="n">
        <v>658</v>
      </c>
      <c r="E21" s="205" t="n">
        <v>658</v>
      </c>
      <c r="F21" s="1" t="inlineStr">
        <is>
          <t>matches</t>
        </is>
      </c>
      <c r="G21" s="1" t="inlineStr">
        <is>
          <t>fuel_sales_fiasa.csv</t>
        </is>
      </c>
    </row>
    <row r="22">
      <c r="A22" s="1" t="inlineStr">
        <is>
          <t>H11</t>
        </is>
      </c>
      <c r="B22" s="1" t="inlineStr">
        <is>
          <t>sales_fuel_oil</t>
        </is>
      </c>
      <c r="C22" s="1" t="n">
        <v>2024</v>
      </c>
      <c r="D22" s="205" t="n">
        <v>441</v>
      </c>
      <c r="E22" s="205" t="n">
        <v>441</v>
      </c>
      <c r="F22" s="1" t="inlineStr">
        <is>
          <t>matches</t>
        </is>
      </c>
      <c r="G22" s="1" t="inlineStr">
        <is>
          <t>fuel_sales_fiasa.csv</t>
        </is>
      </c>
    </row>
    <row r="23">
      <c r="A23" s="1" t="inlineStr">
        <is>
          <t>F12</t>
        </is>
      </c>
      <c r="B23" s="1" t="inlineStr">
        <is>
          <t>dept_fuel_oil</t>
        </is>
      </c>
      <c r="C23" s="1" t="n">
        <v>2022</v>
      </c>
      <c r="D23" s="205" t="n">
        <v>594.0401649620001</v>
      </c>
      <c r="E23" s="205" t="n">
        <v>594.0401649620001</v>
      </c>
      <c r="F23" s="1" t="inlineStr">
        <is>
          <t>matches</t>
        </is>
      </c>
      <c r="G23" s="1" t="inlineStr">
        <is>
          <t>fuel_sales_department.csv</t>
        </is>
      </c>
    </row>
    <row r="24">
      <c r="A24" s="1" t="inlineStr">
        <is>
          <t>G12</t>
        </is>
      </c>
      <c r="B24" s="1" t="inlineStr">
        <is>
          <t>dept_fuel_oil</t>
        </is>
      </c>
      <c r="C24" s="1" t="n">
        <v>2023</v>
      </c>
      <c r="D24" s="205" t="n">
        <v>658.0930416160001</v>
      </c>
      <c r="E24" s="205" t="n">
        <v>658.0930416160001</v>
      </c>
      <c r="F24" s="1" t="inlineStr">
        <is>
          <t>matches</t>
        </is>
      </c>
      <c r="G24" s="1" t="inlineStr">
        <is>
          <t>fuel_sales_department.csv</t>
        </is>
      </c>
    </row>
    <row r="25">
      <c r="A25" s="1" t="inlineStr">
        <is>
          <t>F25</t>
        </is>
      </c>
      <c r="B25" s="1" t="inlineStr">
        <is>
          <t>macro_gdp_per_capita</t>
        </is>
      </c>
      <c r="C25" s="1" t="n">
        <v>2022</v>
      </c>
      <c r="D25" s="205" t="n">
        <v>76055.06748983047</v>
      </c>
      <c r="E25" s="205" t="n">
        <v>76055.06748983047</v>
      </c>
      <c r="F25" s="1" t="inlineStr">
        <is>
          <t>matches</t>
        </is>
      </c>
      <c r="G25" s="1" t="inlineStr">
        <is>
          <t>macro_statssa.csv</t>
        </is>
      </c>
    </row>
    <row r="26">
      <c r="A26" s="1" t="inlineStr">
        <is>
          <t>G25</t>
        </is>
      </c>
      <c r="B26" s="1" t="inlineStr">
        <is>
          <t>macro_gdp_per_capita</t>
        </is>
      </c>
      <c r="C26" s="1" t="n">
        <v>2023</v>
      </c>
      <c r="D26" s="205" t="n">
        <v>75781.52071231291</v>
      </c>
      <c r="E26" s="205" t="n">
        <v>75781.52071231291</v>
      </c>
      <c r="F26" s="1" t="inlineStr">
        <is>
          <t>matches</t>
        </is>
      </c>
      <c r="G26" s="1" t="inlineStr">
        <is>
          <t>macro_statssa.csv</t>
        </is>
      </c>
    </row>
    <row r="27">
      <c r="A27" s="1" t="inlineStr">
        <is>
          <t>H25</t>
        </is>
      </c>
      <c r="B27" s="1" t="inlineStr">
        <is>
          <t>macro_gdp_per_capita</t>
        </is>
      </c>
      <c r="C27" s="1" t="n">
        <v>2024</v>
      </c>
      <c r="D27" s="205" t="n">
        <v>75255.62912098455</v>
      </c>
      <c r="E27" s="205" t="n">
        <v>75255.62912098455</v>
      </c>
      <c r="F27" s="1" t="inlineStr">
        <is>
          <t>matches</t>
        </is>
      </c>
      <c r="G27" s="1" t="inlineStr">
        <is>
          <t>macro_statssa.csv</t>
        </is>
      </c>
    </row>
    <row r="28">
      <c r="A28" s="1" t="inlineStr">
        <is>
          <t>I25</t>
        </is>
      </c>
      <c r="B28" s="1" t="inlineStr">
        <is>
          <t>macro_gdp_per_capita</t>
        </is>
      </c>
      <c r="C28" s="1" t="n">
        <v>2025</v>
      </c>
      <c r="D28" s="205" t="n">
        <v>75149.98563223911</v>
      </c>
      <c r="E28" s="205" t="n">
        <v>75149.98563223911</v>
      </c>
      <c r="F28" s="1" t="inlineStr">
        <is>
          <t>matches</t>
        </is>
      </c>
      <c r="G28" s="1" t="inlineStr">
        <is>
          <t>macro_statssa.csv</t>
        </is>
      </c>
    </row>
    <row r="29">
      <c r="A29" s="1" t="inlineStr">
        <is>
          <t>F26</t>
        </is>
      </c>
      <c r="B29" s="1" t="inlineStr">
        <is>
          <t>macro_agriculture_forestry_and_fishing</t>
        </is>
      </c>
      <c r="C29" s="1" t="n">
        <v>2022</v>
      </c>
      <c r="D29" s="205" t="n">
        <v>131.7706421450265</v>
      </c>
      <c r="E29" s="205" t="n">
        <v>131.7706421450265</v>
      </c>
      <c r="F29" s="1" t="inlineStr">
        <is>
          <t>matches</t>
        </is>
      </c>
      <c r="G29" s="1" t="inlineStr">
        <is>
          <t>macro_statssa.csv</t>
        </is>
      </c>
    </row>
    <row r="30">
      <c r="A30" s="1" t="inlineStr">
        <is>
          <t>G26</t>
        </is>
      </c>
      <c r="B30" s="1" t="inlineStr">
        <is>
          <t>macro_agriculture_forestry_and_fishing</t>
        </is>
      </c>
      <c r="C30" s="1" t="n">
        <v>2023</v>
      </c>
      <c r="D30" s="205" t="n">
        <v>125.7466421450265</v>
      </c>
      <c r="E30" s="205" t="n">
        <v>125.7466421450265</v>
      </c>
      <c r="F30" s="1" t="inlineStr">
        <is>
          <t>matches</t>
        </is>
      </c>
      <c r="G30" s="1" t="inlineStr">
        <is>
          <t>macro_statssa.csv</t>
        </is>
      </c>
    </row>
    <row r="31">
      <c r="A31" s="1" t="inlineStr">
        <is>
          <t>H26</t>
        </is>
      </c>
      <c r="B31" s="1" t="inlineStr">
        <is>
          <t>macro_agriculture_forestry_and_fishing</t>
        </is>
      </c>
      <c r="C31" s="1" t="n">
        <v>2024</v>
      </c>
      <c r="D31" s="205" t="n">
        <v>114.7916421450265</v>
      </c>
      <c r="E31" s="205" t="n">
        <v>114.7916421450265</v>
      </c>
      <c r="F31" s="1" t="inlineStr">
        <is>
          <t>matches</t>
        </is>
      </c>
      <c r="G31" s="1" t="inlineStr">
        <is>
          <t>macro_statssa.csv</t>
        </is>
      </c>
    </row>
    <row r="32">
      <c r="A32" s="1" t="inlineStr">
        <is>
          <t>I26</t>
        </is>
      </c>
      <c r="B32" s="1" t="inlineStr">
        <is>
          <t>macro_agriculture_forestry_and_fishing</t>
        </is>
      </c>
      <c r="C32" s="1" t="n">
        <v>2025</v>
      </c>
      <c r="D32" s="205" t="n">
        <v>134.7967469817132</v>
      </c>
      <c r="E32" s="205" t="n">
        <v>134.7967469817132</v>
      </c>
      <c r="F32" s="1" t="inlineStr">
        <is>
          <t>matches</t>
        </is>
      </c>
      <c r="G32" s="1" t="inlineStr">
        <is>
          <t>macro_statssa.csv</t>
        </is>
      </c>
    </row>
    <row r="33">
      <c r="A33" s="1" t="inlineStr">
        <is>
          <t>F27</t>
        </is>
      </c>
      <c r="B33" s="1" t="inlineStr">
        <is>
          <t>macro_manufacturing</t>
        </is>
      </c>
      <c r="C33" s="1" t="n">
        <v>2022</v>
      </c>
      <c r="D33" s="205" t="n">
        <v>523.0907540648606</v>
      </c>
      <c r="E33" s="205" t="n">
        <v>523.0907540648606</v>
      </c>
      <c r="F33" s="1" t="inlineStr">
        <is>
          <t>matches</t>
        </is>
      </c>
      <c r="G33" s="1" t="inlineStr">
        <is>
          <t>macro_statssa.csv</t>
        </is>
      </c>
    </row>
    <row r="34">
      <c r="A34" s="1" t="inlineStr">
        <is>
          <t>G27</t>
        </is>
      </c>
      <c r="B34" s="1" t="inlineStr">
        <is>
          <t>macro_manufacturing</t>
        </is>
      </c>
      <c r="C34" s="1" t="n">
        <v>2023</v>
      </c>
      <c r="D34" s="205" t="n">
        <v>524.9937540648609</v>
      </c>
      <c r="E34" s="205" t="n">
        <v>524.9937540648609</v>
      </c>
      <c r="F34" s="1" t="inlineStr">
        <is>
          <t>matches</t>
        </is>
      </c>
      <c r="G34" s="1" t="inlineStr">
        <is>
          <t>macro_statssa.csv</t>
        </is>
      </c>
    </row>
    <row r="35">
      <c r="A35" s="1" t="inlineStr">
        <is>
          <t>H27</t>
        </is>
      </c>
      <c r="B35" s="1" t="inlineStr">
        <is>
          <t>macro_manufacturing</t>
        </is>
      </c>
      <c r="C35" s="1" t="n">
        <v>2024</v>
      </c>
      <c r="D35" s="205" t="n">
        <v>523.150754064861</v>
      </c>
      <c r="E35" s="205" t="n">
        <v>523.150754064861</v>
      </c>
      <c r="F35" s="1" t="inlineStr">
        <is>
          <t>matches</t>
        </is>
      </c>
      <c r="G35" s="1" t="inlineStr">
        <is>
          <t>macro_statssa.csv</t>
        </is>
      </c>
    </row>
    <row r="36">
      <c r="A36" s="1" t="inlineStr">
        <is>
          <t>I27</t>
        </is>
      </c>
      <c r="B36" s="1" t="inlineStr">
        <is>
          <t>macro_manufacturing</t>
        </is>
      </c>
      <c r="C36" s="1" t="n">
        <v>2025</v>
      </c>
      <c r="D36" s="205" t="n">
        <v>516.9856529750193</v>
      </c>
      <c r="E36" s="205" t="n">
        <v>516.9856529750193</v>
      </c>
      <c r="F36" s="1" t="inlineStr">
        <is>
          <t>matches</t>
        </is>
      </c>
      <c r="G36" s="1" t="inlineStr">
        <is>
          <t>macro_statssa.csv</t>
        </is>
      </c>
    </row>
    <row r="37">
      <c r="A37" s="1" t="inlineStr">
        <is>
          <t>F28</t>
        </is>
      </c>
      <c r="B37" s="1" t="inlineStr">
        <is>
          <t>macro_mining_and_quarrying</t>
        </is>
      </c>
      <c r="C37" s="1" t="n">
        <v>2022</v>
      </c>
      <c r="D37" s="205" t="n">
        <v>204.4529227196744</v>
      </c>
      <c r="E37" s="205" t="n">
        <v>204.4529227196744</v>
      </c>
      <c r="F37" s="1" t="inlineStr">
        <is>
          <t>matches</t>
        </is>
      </c>
      <c r="G37" s="1" t="inlineStr">
        <is>
          <t>macro_statssa.csv</t>
        </is>
      </c>
    </row>
    <row r="38">
      <c r="A38" s="1" t="inlineStr">
        <is>
          <t>G28</t>
        </is>
      </c>
      <c r="B38" s="1" t="inlineStr">
        <is>
          <t>macro_mining_and_quarrying</t>
        </is>
      </c>
      <c r="C38" s="1" t="n">
        <v>2023</v>
      </c>
      <c r="D38" s="205" t="n">
        <v>204.2286999662737</v>
      </c>
      <c r="E38" s="205" t="n">
        <v>204.2286999662738</v>
      </c>
      <c r="F38" s="1" t="inlineStr">
        <is>
          <t>matches</t>
        </is>
      </c>
      <c r="G38" s="1" t="inlineStr">
        <is>
          <t>macro_statssa.csv</t>
        </is>
      </c>
    </row>
    <row r="39">
      <c r="A39" s="1" t="inlineStr">
        <is>
          <t>H28</t>
        </is>
      </c>
      <c r="B39" s="1" t="inlineStr">
        <is>
          <t>macro_mining_and_quarrying</t>
        </is>
      </c>
      <c r="C39" s="1" t="n">
        <v>2024</v>
      </c>
      <c r="D39" s="205" t="n">
        <v>205.1258295918731</v>
      </c>
      <c r="E39" s="205" t="n">
        <v>205.1258295918731</v>
      </c>
      <c r="F39" s="1" t="inlineStr">
        <is>
          <t>matches</t>
        </is>
      </c>
      <c r="G39" s="1" t="inlineStr">
        <is>
          <t>macro_statssa.csv</t>
        </is>
      </c>
    </row>
    <row r="40">
      <c r="A40" s="1" t="inlineStr">
        <is>
          <t>I28</t>
        </is>
      </c>
      <c r="B40" s="1" t="inlineStr">
        <is>
          <t>macro_mining_and_quarrying</t>
        </is>
      </c>
      <c r="C40" s="1" t="n">
        <v>2025</v>
      </c>
      <c r="D40" s="205" t="n">
        <v>205.4648860142573</v>
      </c>
      <c r="E40" s="205" t="n">
        <v>205.4648860142574</v>
      </c>
      <c r="F40" s="1" t="inlineStr">
        <is>
          <t>matches</t>
        </is>
      </c>
      <c r="G40" s="1" t="inlineStr">
        <is>
          <t>macro_statssa.csv</t>
        </is>
      </c>
    </row>
    <row r="41">
      <c r="A41" s="1" t="inlineStr">
        <is>
          <t>F29</t>
        </is>
      </c>
      <c r="B41" s="1" t="inlineStr">
        <is>
          <t>macro_construction</t>
        </is>
      </c>
      <c r="C41" s="1" t="n">
        <v>2022</v>
      </c>
      <c r="D41" s="205" t="n">
        <v>110.0650907489087</v>
      </c>
      <c r="E41" s="205" t="n">
        <v>110.0650907489087</v>
      </c>
      <c r="F41" s="1" t="inlineStr">
        <is>
          <t>matches</t>
        </is>
      </c>
      <c r="G41" s="1" t="inlineStr">
        <is>
          <t>macro_statssa.csv</t>
        </is>
      </c>
    </row>
    <row r="42">
      <c r="A42" s="1" t="inlineStr">
        <is>
          <t>G29</t>
        </is>
      </c>
      <c r="B42" s="1" t="inlineStr">
        <is>
          <t>macro_construction</t>
        </is>
      </c>
      <c r="C42" s="1" t="n">
        <v>2023</v>
      </c>
      <c r="D42" s="205" t="n">
        <v>109.5650907489087</v>
      </c>
      <c r="E42" s="205" t="n">
        <v>109.5650907489087</v>
      </c>
      <c r="F42" s="1" t="inlineStr">
        <is>
          <t>matches</t>
        </is>
      </c>
      <c r="G42" s="1" t="inlineStr">
        <is>
          <t>macro_statssa.csv</t>
        </is>
      </c>
    </row>
    <row r="43">
      <c r="A43" s="1" t="inlineStr">
        <is>
          <t>H29</t>
        </is>
      </c>
      <c r="B43" s="1" t="inlineStr">
        <is>
          <t>macro_construction</t>
        </is>
      </c>
      <c r="C43" s="1" t="n">
        <v>2024</v>
      </c>
      <c r="D43" s="205" t="n">
        <v>103.6250907489087</v>
      </c>
      <c r="E43" s="205" t="n">
        <v>103.6250907489087</v>
      </c>
      <c r="F43" s="1" t="inlineStr">
        <is>
          <t>matches</t>
        </is>
      </c>
      <c r="G43" s="1" t="inlineStr">
        <is>
          <t>macro_statssa.csv</t>
        </is>
      </c>
    </row>
    <row r="44">
      <c r="A44" s="1" t="inlineStr">
        <is>
          <t>I29</t>
        </is>
      </c>
      <c r="B44" s="1" t="inlineStr">
        <is>
          <t>macro_construction</t>
        </is>
      </c>
      <c r="C44" s="1" t="n">
        <v>2025</v>
      </c>
      <c r="D44" s="205" t="n">
        <v>99.09852067977131</v>
      </c>
      <c r="E44" s="205" t="n">
        <v>99.09852067977131</v>
      </c>
      <c r="F44" s="1" t="inlineStr">
        <is>
          <t>matches</t>
        </is>
      </c>
      <c r="G44" s="1" t="inlineStr">
        <is>
          <t>macro_statssa.csv</t>
        </is>
      </c>
    </row>
    <row r="45">
      <c r="A45" s="1" t="inlineStr">
        <is>
          <t>F30</t>
        </is>
      </c>
      <c r="B45" s="1" t="inlineStr">
        <is>
          <t>manufacturing_volume_total</t>
        </is>
      </c>
      <c r="C45" s="1" t="n">
        <v>2022</v>
      </c>
      <c r="D45" s="205" t="n">
        <v>93.14166666666667</v>
      </c>
      <c r="E45" s="205" t="n">
        <v>93.14166666666667</v>
      </c>
      <c r="F45" s="1" t="inlineStr">
        <is>
          <t>matches</t>
        </is>
      </c>
      <c r="G45" s="1" t="inlineStr">
        <is>
          <t>activity_statssa_monthly.csv</t>
        </is>
      </c>
    </row>
    <row r="46">
      <c r="A46" s="1" t="inlineStr">
        <is>
          <t>G30</t>
        </is>
      </c>
      <c r="B46" s="1" t="inlineStr">
        <is>
          <t>manufacturing_volume_total</t>
        </is>
      </c>
      <c r="C46" s="1" t="n">
        <v>2023</v>
      </c>
      <c r="D46" s="205" t="n">
        <v>93.71666666666665</v>
      </c>
      <c r="E46" s="205" t="n">
        <v>93.71666666666665</v>
      </c>
      <c r="F46" s="1" t="inlineStr">
        <is>
          <t>matches</t>
        </is>
      </c>
      <c r="G46" s="1" t="inlineStr">
        <is>
          <t>activity_statssa_monthly.csv</t>
        </is>
      </c>
    </row>
    <row r="47">
      <c r="A47" s="1" t="inlineStr">
        <is>
          <t>H30</t>
        </is>
      </c>
      <c r="B47" s="1" t="inlineStr">
        <is>
          <t>manufacturing_volume_total</t>
        </is>
      </c>
      <c r="C47" s="1" t="n">
        <v>2024</v>
      </c>
      <c r="D47" s="205" t="n">
        <v>93.33333333333333</v>
      </c>
      <c r="E47" s="205" t="n">
        <v>93.33333333333333</v>
      </c>
      <c r="F47" s="1" t="inlineStr">
        <is>
          <t>matches</t>
        </is>
      </c>
      <c r="G47" s="1" t="inlineStr">
        <is>
          <t>activity_statssa_monthly.csv</t>
        </is>
      </c>
    </row>
    <row r="48">
      <c r="A48" s="1" t="inlineStr">
        <is>
          <t>I30</t>
        </is>
      </c>
      <c r="B48" s="1" t="inlineStr">
        <is>
          <t>manufacturing_volume_total</t>
        </is>
      </c>
      <c r="C48" s="1" t="n">
        <v>2025</v>
      </c>
      <c r="D48" s="205" t="n">
        <v>92.14166666666665</v>
      </c>
      <c r="E48" s="205" t="n">
        <v>92.14166666666667</v>
      </c>
      <c r="F48" s="1" t="inlineStr">
        <is>
          <t>matches</t>
        </is>
      </c>
      <c r="G48" s="1" t="inlineStr">
        <is>
          <t>activity_statssa_monthly.csv</t>
        </is>
      </c>
    </row>
    <row r="49">
      <c r="A49" s="1" t="inlineStr">
        <is>
          <t>F31</t>
        </is>
      </c>
      <c r="B49" s="1" t="inlineStr">
        <is>
          <t>mining_volume_total</t>
        </is>
      </c>
      <c r="C49" s="1" t="n">
        <v>2022</v>
      </c>
      <c r="D49" s="205" t="n">
        <v>93.00833333333334</v>
      </c>
      <c r="E49" s="205" t="n">
        <v>93.00833333333333</v>
      </c>
      <c r="F49" s="1" t="inlineStr">
        <is>
          <t>matches</t>
        </is>
      </c>
      <c r="G49" s="1" t="inlineStr">
        <is>
          <t>activity_statssa_monthly.csv</t>
        </is>
      </c>
    </row>
    <row r="50">
      <c r="A50" s="1" t="inlineStr">
        <is>
          <t>G31</t>
        </is>
      </c>
      <c r="B50" s="1" t="inlineStr">
        <is>
          <t>mining_volume_total</t>
        </is>
      </c>
      <c r="C50" s="1" t="n">
        <v>2023</v>
      </c>
      <c r="D50" s="205" t="n">
        <v>93.01666666666667</v>
      </c>
      <c r="E50" s="205" t="n">
        <v>93.01666666666667</v>
      </c>
      <c r="F50" s="1" t="inlineStr">
        <is>
          <t>matches</t>
        </is>
      </c>
      <c r="G50" s="1" t="inlineStr">
        <is>
          <t>activity_statssa_monthly.csv</t>
        </is>
      </c>
    </row>
    <row r="51">
      <c r="A51" s="1" t="inlineStr">
        <is>
          <t>H31</t>
        </is>
      </c>
      <c r="B51" s="1" t="inlineStr">
        <is>
          <t>mining_volume_total</t>
        </is>
      </c>
      <c r="C51" s="1" t="n">
        <v>2024</v>
      </c>
      <c r="D51" s="205" t="n">
        <v>93.53333333333332</v>
      </c>
      <c r="E51" s="205" t="n">
        <v>93.53333333333335</v>
      </c>
      <c r="F51" s="1" t="inlineStr">
        <is>
          <t>matches</t>
        </is>
      </c>
      <c r="G51" s="1" t="inlineStr">
        <is>
          <t>activity_statssa_monthly.csv</t>
        </is>
      </c>
    </row>
    <row r="52">
      <c r="A52" s="1" t="inlineStr">
        <is>
          <t>I31</t>
        </is>
      </c>
      <c r="B52" s="1" t="inlineStr">
        <is>
          <t>mining_volume_total</t>
        </is>
      </c>
      <c r="C52" s="1" t="n">
        <v>2025</v>
      </c>
      <c r="D52" s="205" t="n">
        <v>93.70833333333333</v>
      </c>
      <c r="E52" s="205" t="n">
        <v>93.70833333333333</v>
      </c>
      <c r="F52" s="1" t="inlineStr">
        <is>
          <t>matches</t>
        </is>
      </c>
      <c r="G52" s="1" t="inlineStr">
        <is>
          <t>activity_statssa_monthly.csv</t>
        </is>
      </c>
    </row>
    <row r="53">
      <c r="A53" s="1" t="inlineStr">
        <is>
          <t>F43</t>
        </is>
      </c>
      <c r="B53" s="1" t="inlineStr">
        <is>
          <t>Provincial: EC petrol / million L/year</t>
        </is>
      </c>
      <c r="C53" s="1" t="n">
        <v>2022</v>
      </c>
      <c r="D53" s="205" t="n">
        <v>703.1324447169991</v>
      </c>
      <c r="E53" s="205" t="n">
        <v>703.132444716999</v>
      </c>
      <c r="F53" s="1" t="inlineStr">
        <is>
          <t>matches</t>
        </is>
      </c>
      <c r="G53" s="1" t="inlineStr">
        <is>
          <t>fuel_sales_department_by_province.csv</t>
        </is>
      </c>
    </row>
    <row r="54">
      <c r="A54" s="1" t="inlineStr">
        <is>
          <t>F44</t>
        </is>
      </c>
      <c r="B54" s="1" t="inlineStr">
        <is>
          <t>Provincial: FS petrol / million L/year</t>
        </is>
      </c>
      <c r="C54" s="1" t="n">
        <v>2022</v>
      </c>
      <c r="D54" s="205" t="n">
        <v>587.4580081820001</v>
      </c>
      <c r="E54" s="205" t="n">
        <v>587.4580081820001</v>
      </c>
      <c r="F54" s="1" t="inlineStr">
        <is>
          <t>matches</t>
        </is>
      </c>
      <c r="G54" s="1" t="inlineStr">
        <is>
          <t>fuel_sales_department_by_province.csv</t>
        </is>
      </c>
    </row>
    <row r="55">
      <c r="A55" s="1" t="inlineStr">
        <is>
          <t>F45</t>
        </is>
      </c>
      <c r="B55" s="1" t="inlineStr">
        <is>
          <t>Provincial: GP petrol / million L/year</t>
        </is>
      </c>
      <c r="C55" s="1" t="n">
        <v>2022</v>
      </c>
      <c r="D55" s="205" t="n">
        <v>3530.440256933996</v>
      </c>
      <c r="E55" s="205" t="n">
        <v>3530.440256933996</v>
      </c>
      <c r="F55" s="1" t="inlineStr">
        <is>
          <t>matches</t>
        </is>
      </c>
      <c r="G55" s="1" t="inlineStr">
        <is>
          <t>fuel_sales_department_by_province.csv</t>
        </is>
      </c>
    </row>
    <row r="56">
      <c r="A56" s="1" t="inlineStr">
        <is>
          <t>F46</t>
        </is>
      </c>
      <c r="B56" s="1" t="inlineStr">
        <is>
          <t>Provincial: KZN petrol / million L/year</t>
        </is>
      </c>
      <c r="C56" s="1" t="n">
        <v>2022</v>
      </c>
      <c r="D56" s="205" t="n">
        <v>1498.937893394999</v>
      </c>
      <c r="E56" s="205" t="n">
        <v>1498.937893394999</v>
      </c>
      <c r="F56" s="1" t="inlineStr">
        <is>
          <t>matches</t>
        </is>
      </c>
      <c r="G56" s="1" t="inlineStr">
        <is>
          <t>fuel_sales_department_by_province.csv</t>
        </is>
      </c>
    </row>
    <row r="57">
      <c r="A57" s="1" t="inlineStr">
        <is>
          <t>F47</t>
        </is>
      </c>
      <c r="B57" s="1" t="inlineStr">
        <is>
          <t>Provincial: LP petrol / million L/year</t>
        </is>
      </c>
      <c r="C57" s="1" t="n">
        <v>2022</v>
      </c>
      <c r="D57" s="205" t="n">
        <v>273.644045045999</v>
      </c>
      <c r="E57" s="205" t="n">
        <v>273.644045045999</v>
      </c>
      <c r="F57" s="1" t="inlineStr">
        <is>
          <t>matches</t>
        </is>
      </c>
      <c r="G57" s="1" t="inlineStr">
        <is>
          <t>fuel_sales_department_by_province.csv</t>
        </is>
      </c>
    </row>
    <row r="58">
      <c r="A58" s="1" t="inlineStr">
        <is>
          <t>F48</t>
        </is>
      </c>
      <c r="B58" s="1" t="inlineStr">
        <is>
          <t>Provincial: MP petrol / million L/year</t>
        </is>
      </c>
      <c r="C58" s="1" t="n">
        <v>2022</v>
      </c>
      <c r="D58" s="205" t="n">
        <v>612.2656460789989</v>
      </c>
      <c r="E58" s="205" t="n">
        <v>612.2656460789989</v>
      </c>
      <c r="F58" s="1" t="inlineStr">
        <is>
          <t>matches</t>
        </is>
      </c>
      <c r="G58" s="1" t="inlineStr">
        <is>
          <t>fuel_sales_department_by_province.csv</t>
        </is>
      </c>
    </row>
    <row r="59">
      <c r="A59" s="1" t="inlineStr">
        <is>
          <t>F49</t>
        </is>
      </c>
      <c r="B59" s="1" t="inlineStr">
        <is>
          <t>Provincial: NC petrol / million L/year</t>
        </is>
      </c>
      <c r="C59" s="1" t="n">
        <v>2022</v>
      </c>
      <c r="D59" s="205" t="n">
        <v>99.82992901300001</v>
      </c>
      <c r="E59" s="205" t="n">
        <v>99.829929013</v>
      </c>
      <c r="F59" s="1" t="inlineStr">
        <is>
          <t>matches</t>
        </is>
      </c>
      <c r="G59" s="1" t="inlineStr">
        <is>
          <t>fuel_sales_department_by_province.csv</t>
        </is>
      </c>
    </row>
    <row r="60">
      <c r="A60" s="1" t="inlineStr">
        <is>
          <t>F50</t>
        </is>
      </c>
      <c r="B60" s="1" t="inlineStr">
        <is>
          <t>Provincial: NW petrol / million L/year</t>
        </is>
      </c>
      <c r="C60" s="1" t="n">
        <v>2022</v>
      </c>
      <c r="D60" s="205" t="n">
        <v>448.1562321239999</v>
      </c>
      <c r="E60" s="205" t="n">
        <v>448.1562321239999</v>
      </c>
      <c r="F60" s="1" t="inlineStr">
        <is>
          <t>matches</t>
        </is>
      </c>
      <c r="G60" s="1" t="inlineStr">
        <is>
          <t>fuel_sales_department_by_province.csv</t>
        </is>
      </c>
    </row>
    <row r="61">
      <c r="A61" s="1" t="inlineStr">
        <is>
          <t>F51</t>
        </is>
      </c>
      <c r="B61" s="1" t="inlineStr">
        <is>
          <t>Provincial: WC petrol / million L/year</t>
        </is>
      </c>
      <c r="C61" s="1" t="n">
        <v>2022</v>
      </c>
      <c r="D61" s="205" t="n">
        <v>1431.005460082997</v>
      </c>
      <c r="E61" s="205" t="n">
        <v>1431.005460082997</v>
      </c>
      <c r="F61" s="1" t="inlineStr">
        <is>
          <t>matches</t>
        </is>
      </c>
      <c r="G61" s="1" t="inlineStr">
        <is>
          <t>fuel_sales_department_by_province.csv</t>
        </is>
      </c>
    </row>
    <row r="62">
      <c r="A62" s="1" t="inlineStr">
        <is>
          <t>F52</t>
        </is>
      </c>
      <c r="B62" s="1" t="inlineStr">
        <is>
          <t>Provincial: EC diesel / million L/year</t>
        </is>
      </c>
      <c r="C62" s="1" t="n">
        <v>2022</v>
      </c>
      <c r="D62" s="205" t="n">
        <v>1032.35218272</v>
      </c>
      <c r="E62" s="205" t="n">
        <v>1032.35218272</v>
      </c>
      <c r="F62" s="1" t="inlineStr">
        <is>
          <t>matches</t>
        </is>
      </c>
      <c r="G62" s="1" t="inlineStr">
        <is>
          <t>fuel_sales_department_by_province.csv</t>
        </is>
      </c>
    </row>
    <row r="63">
      <c r="A63" s="1" t="inlineStr">
        <is>
          <t>F53</t>
        </is>
      </c>
      <c r="B63" s="1" t="inlineStr">
        <is>
          <t>Provincial: FS diesel / million L/year</t>
        </is>
      </c>
      <c r="C63" s="1" t="n">
        <v>2022</v>
      </c>
      <c r="D63" s="205" t="n">
        <v>781.8611598310002</v>
      </c>
      <c r="E63" s="205" t="n">
        <v>781.8611598310002</v>
      </c>
      <c r="F63" s="1" t="inlineStr">
        <is>
          <t>matches</t>
        </is>
      </c>
      <c r="G63" s="1" t="inlineStr">
        <is>
          <t>fuel_sales_department_by_province.csv</t>
        </is>
      </c>
    </row>
    <row r="64">
      <c r="A64" s="1" t="inlineStr">
        <is>
          <t>F54</t>
        </is>
      </c>
      <c r="B64" s="1" t="inlineStr">
        <is>
          <t>Provincial: GP diesel / million L/year</t>
        </is>
      </c>
      <c r="C64" s="1" t="n">
        <v>2022</v>
      </c>
      <c r="D64" s="205" t="n">
        <v>3278.990501961999</v>
      </c>
      <c r="E64" s="205" t="n">
        <v>3278.990501961999</v>
      </c>
      <c r="F64" s="1" t="inlineStr">
        <is>
          <t>matches</t>
        </is>
      </c>
      <c r="G64" s="1" t="inlineStr">
        <is>
          <t>fuel_sales_department_by_province.csv</t>
        </is>
      </c>
    </row>
    <row r="65">
      <c r="A65" s="1" t="inlineStr">
        <is>
          <t>F55</t>
        </is>
      </c>
      <c r="B65" s="1" t="inlineStr">
        <is>
          <t>Provincial: KZN diesel / million L/year</t>
        </is>
      </c>
      <c r="C65" s="1" t="n">
        <v>2022</v>
      </c>
      <c r="D65" s="205" t="n">
        <v>2785.554802503</v>
      </c>
      <c r="E65" s="205" t="n">
        <v>2785.554802503</v>
      </c>
      <c r="F65" s="1" t="inlineStr">
        <is>
          <t>matches</t>
        </is>
      </c>
      <c r="G65" s="1" t="inlineStr">
        <is>
          <t>fuel_sales_department_by_province.csv</t>
        </is>
      </c>
    </row>
    <row r="66">
      <c r="A66" s="1" t="inlineStr">
        <is>
          <t>F56</t>
        </is>
      </c>
      <c r="B66" s="1" t="inlineStr">
        <is>
          <t>Provincial: LP diesel / million L/year</t>
        </is>
      </c>
      <c r="C66" s="1" t="n">
        <v>2022</v>
      </c>
      <c r="D66" s="205" t="n">
        <v>221.987440248</v>
      </c>
      <c r="E66" s="205" t="n">
        <v>221.987440248</v>
      </c>
      <c r="F66" s="1" t="inlineStr">
        <is>
          <t>matches</t>
        </is>
      </c>
      <c r="G66" s="1" t="inlineStr">
        <is>
          <t>fuel_sales_department_by_province.csv</t>
        </is>
      </c>
    </row>
    <row r="67">
      <c r="A67" s="1" t="inlineStr">
        <is>
          <t>F57</t>
        </is>
      </c>
      <c r="B67" s="1" t="inlineStr">
        <is>
          <t>Provincial: MP diesel / million L/year</t>
        </is>
      </c>
      <c r="C67" s="1" t="n">
        <v>2022</v>
      </c>
      <c r="D67" s="205" t="n">
        <v>1144.924075864997</v>
      </c>
      <c r="E67" s="205" t="n">
        <v>1144.924075864997</v>
      </c>
      <c r="F67" s="1" t="inlineStr">
        <is>
          <t>matches</t>
        </is>
      </c>
      <c r="G67" s="1" t="inlineStr">
        <is>
          <t>fuel_sales_department_by_province.csv</t>
        </is>
      </c>
    </row>
    <row r="68">
      <c r="A68" s="1" t="inlineStr">
        <is>
          <t>F58</t>
        </is>
      </c>
      <c r="B68" s="1" t="inlineStr">
        <is>
          <t>Provincial: NC diesel / million L/year</t>
        </is>
      </c>
      <c r="C68" s="1" t="n">
        <v>2022</v>
      </c>
      <c r="D68" s="205" t="n">
        <v>351.9801199100001</v>
      </c>
      <c r="E68" s="205" t="n">
        <v>351.9801199100001</v>
      </c>
      <c r="F68" s="1" t="inlineStr">
        <is>
          <t>matches</t>
        </is>
      </c>
      <c r="G68" s="1" t="inlineStr">
        <is>
          <t>fuel_sales_department_by_province.csv</t>
        </is>
      </c>
    </row>
    <row r="69">
      <c r="A69" s="1" t="inlineStr">
        <is>
          <t>F59</t>
        </is>
      </c>
      <c r="B69" s="1" t="inlineStr">
        <is>
          <t>Provincial: NW diesel / million L/year</t>
        </is>
      </c>
      <c r="C69" s="1" t="n">
        <v>2022</v>
      </c>
      <c r="D69" s="205" t="n">
        <v>619.906488913</v>
      </c>
      <c r="E69" s="205" t="n">
        <v>619.906488913</v>
      </c>
      <c r="F69" s="1" t="inlineStr">
        <is>
          <t>matches</t>
        </is>
      </c>
      <c r="G69" s="1" t="inlineStr">
        <is>
          <t>fuel_sales_department_by_province.csv</t>
        </is>
      </c>
    </row>
    <row r="70">
      <c r="A70" s="1" t="inlineStr">
        <is>
          <t>F60</t>
        </is>
      </c>
      <c r="B70" s="1" t="inlineStr">
        <is>
          <t>Provincial: WC diesel / million L/year</t>
        </is>
      </c>
      <c r="C70" s="1" t="n">
        <v>2022</v>
      </c>
      <c r="D70" s="205" t="n">
        <v>2499.769547067</v>
      </c>
      <c r="E70" s="205"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Power fleet, Vehicle history, HML response, Gap status, Checks, History sources. No other cell changed.</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4" t="inlineStr">
        <is>
          <t>History sections 1 and 4: national sales</t>
        </is>
      </c>
      <c r="B5" s="204" t="inlineStr">
        <is>
          <t>Department of Mineral and Petroleum Resources (energy department)</t>
        </is>
      </c>
      <c r="C5" s="204" t="inlineStr">
        <is>
          <t>https://www.dmpr.gov.za/Portals/0/Energy_Website/files/media/SA FUEL SALES VOLUME/</t>
        </is>
      </c>
      <c r="D5" s="204" t="inlineStr">
        <is>
          <t>&lt;year&gt;-...-FSV....xls(x), national annual workbooks 2005-2023</t>
        </is>
      </c>
      <c r="E5" s="204" t="inlineStr">
        <is>
          <t>local to Manish and Nigel; not on main</t>
        </is>
      </c>
      <c r="F5" s="204" t="inlineStr">
        <is>
          <t>assumptions/2026/timeseries/fuel_sales_department.csv</t>
        </is>
      </c>
      <c r="G5" s="204" t="inlineStr">
        <is>
          <t>python -m lfm.scripts.fetch_energy_dept --vintage 2026</t>
        </is>
      </c>
      <c r="H5" s="204" t="inlineStr">
        <is>
          <t>2005-2023</t>
        </is>
      </c>
      <c r="I5" s="204" t="inlineStr">
        <is>
          <t>2013 corrected on manish-branch (published sheet). Series ends 2023.</t>
        </is>
      </c>
    </row>
    <row r="6">
      <c r="A6" s="204" t="inlineStr">
        <is>
          <t>History section 1: sales by province</t>
        </is>
      </c>
      <c r="B6" s="204" t="inlineStr">
        <is>
          <t>Department of Mineral and Petroleum Resources (energy department)</t>
        </is>
      </c>
      <c r="C6" s="204" t="inlineStr">
        <is>
          <t>https://www.dmpr.gov.za/Portals/0/Energy_Website/files/media/SA FUEL SALES VOLUME/</t>
        </is>
      </c>
      <c r="D6" s="204" t="inlineStr">
        <is>
          <t>&lt;year&gt;-...-Magisterial-Districts-data.xlsx, quarterly sheets</t>
        </is>
      </c>
      <c r="E6" s="204" t="inlineStr">
        <is>
          <t>local to Manish and Nigel; not on main (2013 annual workbook on manish-branch)</t>
        </is>
      </c>
      <c r="F6" s="204" t="inlineStr">
        <is>
          <t>assumptions/2026/timeseries/fuel_sales_department_by_province.csv</t>
        </is>
      </c>
      <c r="G6" s="204" t="inlineStr">
        <is>
          <t>python -m lfm.scripts.fetch_energy_dept --vintage 2026</t>
        </is>
      </c>
      <c r="H6" s="204" t="inlineStr">
        <is>
          <t>2013-2022</t>
        </is>
      </c>
      <c r="I6" s="204" t="inlineStr">
        <is>
          <t>Ends 2022. 2018 understated about 1.8% (district Q1 sheet incomplete). 2014-Q3 differs from national file.</t>
        </is>
      </c>
    </row>
    <row r="7">
      <c r="A7" s="204" t="inlineStr">
        <is>
          <t>History section 2: imports and exports</t>
        </is>
      </c>
      <c r="B7" s="204" t="inlineStr">
        <is>
          <t>South African Revenue Service, trade statistics</t>
        </is>
      </c>
      <c r="C7" s="204" t="inlineStr">
        <is>
          <t>https://tools.sars.gov.za/tradestatsportal/data_download.aspx</t>
        </is>
      </c>
      <c r="D7" s="204" t="inlineStr">
        <is>
          <t>sars-&lt;imports|exports&gt;-chapter27-fuels-&lt;year&gt;.xlsx, 2010-2026</t>
        </is>
      </c>
      <c r="E7" s="204" t="inlineStr">
        <is>
          <t>on manish-branch (external/data/raw/sars/)</t>
        </is>
      </c>
      <c r="F7" s="204" t="inlineStr">
        <is>
          <t>assumptions/2026/timeseries/fuel_trade_sars.csv</t>
        </is>
      </c>
      <c r="G7" s="204" t="inlineStr">
        <is>
          <t>python -m lfm.scripts.fetch_sars --vintage 2026</t>
        </is>
      </c>
      <c r="H7" s="204" t="inlineStr">
        <is>
          <t>2010-2026</t>
        </is>
      </c>
      <c r="I7" s="204" t="inlineStr">
        <is>
          <t>Primary record of imports and exports from 2014. Kilograms to 2012, litres from 2014, both in 2013.</t>
        </is>
      </c>
    </row>
    <row r="8">
      <c r="A8" s="204" t="inlineStr">
        <is>
          <t>History section 2: FIASA comparison rows</t>
        </is>
      </c>
      <c r="B8" s="204" t="inlineStr">
        <is>
          <t>Fuels Industry Association of South Africa (from customs data)</t>
        </is>
      </c>
      <c r="C8" s="204" t="inlineStr">
        <is>
          <t>https://fuelsindustry.org.za/publications/annual-reports/</t>
        </is>
      </c>
      <c r="D8" s="204" t="inlineStr">
        <is>
          <t>annual-report-&lt;year&gt;.pdf; 2025 edition pp.47-49</t>
        </is>
      </c>
      <c r="E8" s="204" t="inlineStr">
        <is>
          <t>local to Manish and Nigel; not on main; 2025 edition on main</t>
        </is>
      </c>
      <c r="F8" s="204" t="inlineStr">
        <is>
          <t>assumptions/2026/timeseries/fuel_trade_fiasa.csv</t>
        </is>
      </c>
      <c r="G8" s="204" t="inlineStr">
        <is>
          <t>python -m lfm.scripts.fetch_fuel_sales --vintage 2026</t>
        </is>
      </c>
      <c r="H8" s="204" t="inlineStr">
        <is>
          <t>2009-2025</t>
        </is>
      </c>
      <c r="I8" s="204" t="inlineStr">
        <is>
          <t>Cross-check, and the record before 2014; SARS is primary from 2014. 'Kerosene' is jet plus paraffin. Its 2024 diesel import figure is 4.000 bn L above customs.</t>
        </is>
      </c>
    </row>
    <row r="9">
      <c r="A9" s="204" t="inlineStr">
        <is>
          <t>History section 4: FIASA comparison row</t>
        </is>
      </c>
      <c r="B9" s="204" t="inlineStr">
        <is>
          <t>Fuels Industry Association of South Africa</t>
        </is>
      </c>
      <c r="C9" s="204" t="inlineStr">
        <is>
          <t>https://fuelsindustry.org.za/publications/annual-reports/</t>
        </is>
      </c>
      <c r="D9" s="204" t="inlineStr">
        <is>
          <t>annual-report-&lt;year&gt;.pdf, 2021-2025 editions</t>
        </is>
      </c>
      <c r="E9" s="204" t="inlineStr">
        <is>
          <t>local to Manish and Nigel; not on main; 2025 edition on main</t>
        </is>
      </c>
      <c r="F9" s="204" t="inlineStr">
        <is>
          <t>assumptions/2026/timeseries/fuel_sales_fiasa.csv</t>
        </is>
      </c>
      <c r="G9" s="204" t="inlineStr">
        <is>
          <t>python -m lfm.scripts.fetch_fuel_sales --vintage 2026</t>
        </is>
      </c>
      <c r="H9" s="204" t="inlineStr">
        <is>
          <t>2009-2024</t>
        </is>
      </c>
      <c r="I9" s="204" t="inlineStr">
        <is>
          <t>Used for 2024 only. Its 2013 figures equal the department's superseded sheet.</t>
        </is>
      </c>
    </row>
    <row r="10">
      <c r="A10" s="204" t="inlineStr">
        <is>
          <t>History section 3 and Sector history: production and diesel by sector</t>
        </is>
      </c>
      <c r="B10" s="204" t="inlineStr">
        <is>
          <t>Department of Mineral and Petroleum Resources (energy department)</t>
        </is>
      </c>
      <c r="C10" s="204" t="inlineStr">
        <is>
          <t>https://www.dmpr.gov.za/Portals/0/Energy_Website/files/media/Energy_Balances.html</t>
        </is>
      </c>
      <c r="D10" s="204" t="inlineStr">
        <is>
          <t>&lt;year&gt;-Commodity-Flow-and-Energy-Balance.xlsx, 2007-2021</t>
        </is>
      </c>
      <c r="E10" s="204" t="inlineStr">
        <is>
          <t>local to Manish and Nigel; not on main</t>
        </is>
      </c>
      <c r="F10" s="204" t="inlineStr">
        <is>
          <t>assumptions/2026/timeseries/energy_balance_department.csv</t>
        </is>
      </c>
      <c r="G10" s="204" t="inlineStr">
        <is>
          <t>python -m lfm.scripts.fetch_energy_dept --vintage 2026</t>
        </is>
      </c>
      <c r="H10" s="204" t="inlineStr">
        <is>
          <t>2007-2021</t>
        </is>
      </c>
      <c r="I10" s="204" t="inlineStr">
        <is>
          <t>Ends 2021. Sector definitions shift in 2016. Fuel oil not extracted.</t>
        </is>
      </c>
    </row>
    <row r="11">
      <c r="A11" s="204" t="inlineStr">
        <is>
          <t>History section 3: refinery output reported to JODI (comparison only, not used)</t>
        </is>
      </c>
      <c r="B11" s="204" t="inlineStr">
        <is>
          <t>JODI oil database (South Africa's submissions)</t>
        </is>
      </c>
      <c r="C11" s="204" t="inlineStr">
        <is>
          <t>https://www.jodidata.org/oil/database/data-downloads.aspx</t>
        </is>
      </c>
      <c r="D11" s="204" t="inlineStr">
        <is>
          <t>jodi-secondary-zaf-2017-2022.csv; jodi-secondary-zaf-2023-2025.csv</t>
        </is>
      </c>
      <c r="E11" s="204" t="inlineStr">
        <is>
          <t>on manish-branch (external/data/raw/jodi/)</t>
        </is>
      </c>
      <c r="F11" s="204" t="inlineStr">
        <is>
          <t>assumptions/2026/timeseries/oil_balance_jodi.csv</t>
        </is>
      </c>
      <c r="G11" s="204" t="inlineStr">
        <is>
          <t>python -m lfm.scripts.stage_jodi --vintage 2026</t>
        </is>
      </c>
      <c r="H11" s="204" t="inlineStr">
        <is>
          <t>2017-2024</t>
        </is>
      </c>
      <c r="I11" s="204" t="inlineStr">
        <is>
          <t>Lowest JODI assessment code throughout. Diesel refinery output agrees with the energy balance within 4% for 2017-2021; petrol is 12-24% higher. Imports, demand and stocks are not usable.</t>
        </is>
      </c>
    </row>
    <row r="12">
      <c r="A12" s="204" t="inlineStr">
        <is>
          <t>DR04 entry points: petrol and diesel imports by customs office</t>
        </is>
      </c>
      <c r="B12" s="204" t="inlineStr">
        <is>
          <t>South African Revenue Service, trade statistics</t>
        </is>
      </c>
      <c r="C12" s="204" t="inlineStr">
        <is>
          <t>https://tools.sars.gov.za/tradestatsportal/data_download.aspx</t>
        </is>
      </c>
      <c r="D12" s="204" t="inlineStr">
        <is>
          <t>same workbooks</t>
        </is>
      </c>
      <c r="E12" s="204" t="inlineStr">
        <is>
          <t>on manish-branch (external/data/raw/sars/)</t>
        </is>
      </c>
      <c r="F12" s="204" t="inlineStr">
        <is>
          <t>assumptions/2026/timeseries/fuel_trade_sars_by_office.csv</t>
        </is>
      </c>
      <c r="G12" s="204" t="inlineStr">
        <is>
          <t>python -m lfm.scripts.fetch_sars --vintage 2026</t>
        </is>
      </c>
      <c r="H12" s="204" t="inlineStr">
        <is>
          <t>2010-2026</t>
        </is>
      </c>
      <c r="I12" s="204" t="inlineStr">
        <is>
          <t>Customs office that cleared the goods: a proxy for entry port, not a terminal record.</t>
        </is>
      </c>
    </row>
    <row r="13">
      <c r="A13" s="204" t="inlineStr">
        <is>
          <t>History section 3: operators' reported output</t>
        </is>
      </c>
      <c r="B13" s="204" t="inlineStr">
        <is>
          <t>Sasol (production and sales metrics); Glencore (annual reports)</t>
        </is>
      </c>
      <c r="C13" s="204" t="inlineStr">
        <is>
          <t>https://www.sasol.com/</t>
        </is>
      </c>
      <c r="D13" s="204" t="inlineStr">
        <is>
          <t>sasol-metrics-fy2022/2025/2026.pdf, p.4; GLEN-2023/2024/2025-Annual-Report.pdf</t>
        </is>
      </c>
      <c r="E13" s="204" t="inlineStr">
        <is>
          <t>Sasol files on manish-branch (external/data/raw/sasol/); Glencore reports by link only</t>
        </is>
      </c>
      <c r="F13" s="204" t="inlineStr">
        <is>
          <t>assumptions/2026/reference/refinery_output_operators.csv</t>
        </is>
      </c>
      <c r="G13" s="204" t="inlineStr">
        <is>
          <t>none</t>
        </is>
      </c>
      <c r="H13" s="204" t="inlineStr">
        <is>
          <t>2020-2026</t>
        </is>
      </c>
      <c r="I13" s="204" t="inlineStr">
        <is>
          <t>All refined products, no product split; fiscal and calendar years; Astron as energy content.</t>
        </is>
      </c>
    </row>
    <row r="14">
      <c r="A14" s="204" t="inlineStr">
        <is>
          <t>History section 5: litres levied</t>
        </is>
      </c>
      <c r="B14" s="204" t="inlineStr">
        <is>
          <t>Road Accident Fund</t>
        </is>
      </c>
      <c r="C14" s="204" t="inlineStr">
        <is>
          <t>https://static.pmg.org.za/RAF_Annual_Report_2025.pdf</t>
        </is>
      </c>
      <c r="D14" s="204" t="inlineStr">
        <is>
          <t>raf-annual-report-2024-25.pdf, note 16 (p.183)</t>
        </is>
      </c>
      <c r="E14" s="204" t="inlineStr">
        <is>
          <t>on manish-branch (external/data/raw/raf/)</t>
        </is>
      </c>
      <c r="F14" s="204" t="inlineStr">
        <is>
          <t>assumptions/2026/reference/fuel_levy_revenue_raf.csv</t>
        </is>
      </c>
      <c r="G14" s="204" t="inlineStr">
        <is>
          <t>none</t>
        </is>
      </c>
      <c r="H14" s="204" t="inlineStr">
        <is>
          <t>2024-2025</t>
        </is>
      </c>
      <c r="I14" s="204" t="inlineStr">
        <is>
          <t>Gross levies and diesel rebate in rand; litres derived in the balance note. Fiscal years; petrol and diesel together.</t>
        </is>
      </c>
    </row>
    <row r="15">
      <c r="A15" s="204" t="inlineStr">
        <is>
          <t>Sector history: mining and manufacturing volume indices</t>
        </is>
      </c>
      <c r="B15" s="204" t="inlineStr">
        <is>
          <t>Statistics South Africa (P2041 mining, P3041.2 manufacturing, P7162 land transport, P0141 CPI)</t>
        </is>
      </c>
      <c r="C15" s="204" t="inlineStr">
        <is>
          <t>https://www.statssa.gov.za/?page_id=1847</t>
        </is>
      </c>
      <c r="D15" s="204" t="inlineStr">
        <is>
          <t>release zips, July and August 2026</t>
        </is>
      </c>
      <c r="E15" s="204" t="inlineStr">
        <is>
          <t>on manish-branch (external/data/raw/statssa/)</t>
        </is>
      </c>
      <c r="F15" s="204" t="inlineStr">
        <is>
          <t>assumptions/2026/timeseries/activity_statssa_monthly.csv</t>
        </is>
      </c>
      <c r="G15" s="204" t="inlineStr">
        <is>
          <t>python -m lfm.scripts.fetch_statssa_monthly --vintage 2026</t>
        </is>
      </c>
      <c r="H15" s="204" t="inlineStr">
        <is>
          <t>1998-01-2026-08</t>
        </is>
      </c>
      <c r="I15" s="204" t="inlineStr">
        <is>
          <t>Activity measures, not fuel volumes. Not seasonally adjusted. Tonnes, not tonne-kilometres.</t>
        </is>
      </c>
    </row>
    <row r="16">
      <c r="A16" s="204" t="inlineStr">
        <is>
          <t>Sector history: agriculture real value added</t>
        </is>
      </c>
      <c r="B16" s="204" t="inlineStr">
        <is>
          <t>Statistics South Africa (P0441 GDP; P0302 mid-year population)</t>
        </is>
      </c>
      <c r="C16" s="204" t="inlineStr">
        <is>
          <t>https://www.statssa.gov.za/?page_id=1854&amp;PPN=P0441</t>
        </is>
      </c>
      <c r="D16" s="204" t="inlineStr">
        <is>
          <t>GDP P0441 - GDP Time series Q2 2026.xlsx (Annual sheet); Country projection ... (2002-2026).xlsx</t>
        </is>
      </c>
      <c r="E16" s="204" t="inlineStr">
        <is>
          <t>on manish-branch (external/data/raw/statssa/)</t>
        </is>
      </c>
      <c r="F16" s="204" t="inlineStr">
        <is>
          <t>assumptions/2026/timeseries/macro_statssa.csv</t>
        </is>
      </c>
      <c r="G16" s="204" t="inlineStr">
        <is>
          <t>python -m lfm.scripts.fetch_economy --vintage 2026</t>
        </is>
      </c>
      <c r="H16" s="204" t="inlineStr">
        <is>
          <t>1993-2050</t>
        </is>
      </c>
      <c r="I16" s="204" t="inlineStr">
        <is>
          <t>Manual placement each release. Years after 2026 are projections, not observations.</t>
        </is>
      </c>
    </row>
    <row r="17">
      <c r="A17" s="204" t="inlineStr">
        <is>
          <t>History section 7: aircraft movements</t>
        </is>
      </c>
      <c r="B17" s="204" t="inlineStr">
        <is>
          <t>Airports Company South Africa</t>
        </is>
      </c>
      <c r="C17" s="204" t="inlineStr">
        <is>
          <t>https://www.airports.co.za/StatisticsLib/</t>
        </is>
      </c>
      <c r="D17" s="204" t="inlineStr">
        <is>
          <t>derived from the monthly file</t>
        </is>
      </c>
      <c r="E17" s="204" t="inlineStr">
        <is>
          <t>derived</t>
        </is>
      </c>
      <c r="F17" s="204" t="inlineStr">
        <is>
          <t>assumptions/2026/timeseries/air_traffic_acsa_annual.csv</t>
        </is>
      </c>
      <c r="G17" s="204" t="inlineStr">
        <is>
          <t>python -m lfm.scripts.fetch_acsa --vintage 2026</t>
        </is>
      </c>
      <c r="H17" s="204" t="inlineStr">
        <is>
          <t>2013-2025</t>
        </is>
      </c>
      <c r="I17" s="204" t="inlineStr"/>
    </row>
    <row r="18">
      <c r="A18" s="204" t="inlineStr">
        <is>
          <t>History section 6: quarter 1 2023 provincial shares</t>
        </is>
      </c>
      <c r="B18" s="204" t="inlineStr">
        <is>
          <t>Department of Mineral and Petroleum Resources (energy department)</t>
        </is>
      </c>
      <c r="C18" s="204" t="inlineStr">
        <is>
          <t>https://www.dmpr.gov.za/Portals/0/Energy_Website/files/media/SA FUEL SALES VOLUME/</t>
        </is>
      </c>
      <c r="D18" s="204" t="inlineStr">
        <is>
          <t>same workbooks; source_file column names each one</t>
        </is>
      </c>
      <c r="E18" s="204" t="inlineStr">
        <is>
          <t>local to Manish and Nigel; not on main</t>
        </is>
      </c>
      <c r="F18" s="204" t="inlineStr">
        <is>
          <t>assumptions/2026/timeseries/fuel_sales_department_by_province_quarterly.csv</t>
        </is>
      </c>
      <c r="G18" s="204" t="inlineStr">
        <is>
          <t>python -m lfm.scripts.fetch_energy_dept --vintage 2026</t>
        </is>
      </c>
      <c r="H18" s="204" t="inlineStr">
        <is>
          <t>2013-Q1-2023-Q1</t>
        </is>
      </c>
      <c r="I18" s="204" t="inlineStr">
        <is>
          <t>26 province/product years have blank quarters in the source (none petrol or diesel).</t>
        </is>
      </c>
    </row>
    <row r="19">
      <c r="A19" s="204" t="inlineStr">
        <is>
          <t>History section 6: provincial GDP used to move the 2024 shares</t>
        </is>
      </c>
      <c r="B19" s="204" t="inlineStr">
        <is>
          <t>Statistics South Africa (P0441.2 Provincial GDP)</t>
        </is>
      </c>
      <c r="C19" s="204" t="inlineStr">
        <is>
          <t>https://www.statssa.gov.za/?page_id=1847</t>
        </is>
      </c>
      <c r="D19" s="204" t="inlineStr">
        <is>
          <t>P0441.2  Provincial Gross Domestic Product(2024).zip, Tables 2-10, block c</t>
        </is>
      </c>
      <c r="E19" s="204" t="inlineStr">
        <is>
          <t>on manish-branch (external/data/raw/statssa/)</t>
        </is>
      </c>
      <c r="F19" s="204" t="inlineStr">
        <is>
          <t>assumptions/2026/timeseries/gdp_by_province_statssa.csv</t>
        </is>
      </c>
      <c r="G19" s="204" t="inlineStr">
        <is>
          <t>python -m lfm.scripts.fetch_economy --vintage 2026</t>
        </is>
      </c>
      <c r="H19" s="204" t="inlineStr">
        <is>
          <t>2013-2024</t>
        </is>
      </c>
      <c r="I19" s="204" t="inlineStr">
        <is>
          <t>Annual, 2013-2024. Economic activity by province, not fuel litres.</t>
        </is>
      </c>
    </row>
    <row r="20">
      <c r="A20" s="204" t="inlineStr">
        <is>
          <t>Diesel by use and Power fleet: power generation</t>
        </is>
      </c>
      <c r="B20" s="204" t="inlineStr">
        <is>
          <t>Eskom integrated reports</t>
        </is>
      </c>
      <c r="C20" s="204" t="inlineStr">
        <is>
          <t>https://www.eskom.co.za/investors/integrated-results/</t>
        </is>
      </c>
      <c r="D20" s="204" t="inlineStr">
        <is>
          <t>integrated report PDFs, years to March 2022-2026</t>
        </is>
      </c>
      <c r="E20" s="204" t="inlineStr">
        <is>
          <t>local to Manish and Nigel; not on main</t>
        </is>
      </c>
      <c r="F20" s="204" t="inlineStr">
        <is>
          <t>assumptions/2026/timeseries/ocgt_generation_eskom.csv</t>
        </is>
      </c>
      <c r="G20" s="204" t="inlineStr">
        <is>
          <t>python -m lfm.scripts.fetch_eskom --vintage 2026</t>
        </is>
      </c>
      <c r="H20" s="204" t="inlineStr">
        <is>
          <t>2022-2026</t>
        </is>
      </c>
      <c r="I20" s="204" t="inlineStr">
        <is>
          <t>GWh for financial years; diesel litres not reported in the extract.</t>
        </is>
      </c>
    </row>
    <row r="21">
      <c r="A21" s="204" t="inlineStr">
        <is>
          <t>Power fleet: stations, capacities and retirement dates</t>
        </is>
      </c>
      <c r="B21" s="204" t="inlineStr">
        <is>
          <t>Eskom; press reports</t>
        </is>
      </c>
      <c r="C21" s="204" t="inlineStr">
        <is>
          <t>https://www.eskom.co.za/eskom-divisions/gx/peaking-power-stations/</t>
        </is>
      </c>
      <c r="D21" s="204" t="inlineStr">
        <is>
          <t>eskom-gx0001-generation-plant-mix-rev29.pdf</t>
        </is>
      </c>
      <c r="E21" s="204" t="inlineStr">
        <is>
          <t>on manish-branch (external/data/raw/eskom/)</t>
        </is>
      </c>
      <c r="F21" s="204" t="inlineStr">
        <is>
          <t>assumptions/2026/infrastructure/power_fleet_diesel.csv</t>
        </is>
      </c>
      <c r="G21" s="204" t="inlineStr">
        <is>
          <t>none</t>
        </is>
      </c>
      <c r="H21" s="204" t="inlineStr">
        <is>
          <t>-</t>
        </is>
      </c>
      <c r="I21" s="204" t="inlineStr">
        <is>
          <t>Diesel peaking stations and coal stations being retired, with capacities and dates. Three rows are marked to confirm.</t>
        </is>
      </c>
    </row>
    <row r="22">
      <c r="A22" s="204" t="inlineStr">
        <is>
          <t>Diesel by use: the 0.31 litres per kWh factor</t>
        </is>
      </c>
      <c r="B22" s="204" t="inlineStr">
        <is>
          <t>Parliament (replies by the Ministers of Public Enterprises and of Electricity and Energy)</t>
        </is>
      </c>
      <c r="C22" s="204" t="inlineStr">
        <is>
          <t>https://pmg.org.za/committee-question/30686/</t>
        </is>
      </c>
      <c r="D22" s="204" t="inlineStr">
        <is>
          <t>reply NW1980 (2025); press reports for 2022 and 2023</t>
        </is>
      </c>
      <c r="E22" s="204" t="inlineStr">
        <is>
          <t>by link only</t>
        </is>
      </c>
      <c r="F22" s="204" t="inlineStr">
        <is>
          <t>assumptions/2026/reference/ocgt_diesel_burn_reported.csv</t>
        </is>
      </c>
      <c r="G22" s="204" t="inlineStr">
        <is>
          <t>none</t>
        </is>
      </c>
      <c r="H22" s="204" t="inlineStr">
        <is>
          <t>2022-2025</t>
        </is>
      </c>
      <c r="I22" s="204" t="inlineStr">
        <is>
          <t>Three years; none for the year to March 2024. Implies 0.31 litres per kWh; not adopted in the model.</t>
        </is>
      </c>
    </row>
    <row r="23">
      <c r="A23" s="204" t="inlineStr">
        <is>
          <t>Diesel by use: price used to convert road freight fuel spending to litres</t>
        </is>
      </c>
      <c r="B23" s="204" t="inlineStr">
        <is>
          <t>Department of Mineral and Petroleum Resources (energy department)</t>
        </is>
      </c>
      <c r="C23" s="204" t="inlineStr">
        <is>
          <t>https://www.dmpr.gov.za/Portals/0/Energy_Website/files/media/</t>
        </is>
      </c>
      <c r="D23" s="204" t="inlineStr">
        <is>
          <t>fuel-price-history-&lt;year&gt;.pdf, 2011-2025; price-breakdown-&lt;year&gt;-&lt;month&gt;.pdf to February 2026; cef-daily-&lt;date&gt;.pdf from February 2026 (Central Energy Fund)</t>
        </is>
      </c>
      <c r="E23" s="204" t="inlineStr">
        <is>
          <t>local to Manish and Nigel; not on main</t>
        </is>
      </c>
      <c r="F23" s="204" t="inlineStr">
        <is>
          <t>assumptions/2026/timeseries/fuel_prices_department.csv</t>
        </is>
      </c>
      <c r="G23" s="204" t="inlineStr">
        <is>
          <t>python -m lfm.scripts.fetch_energy_dept --vintage 2026</t>
        </is>
      </c>
      <c r="H23" s="204" t="inlineStr">
        <is>
          <t>2011-01-2026-10</t>
        </is>
      </c>
      <c r="I23" s="204" t="inlineStr">
        <is>
          <t>Runs to October 2026. Department to February 2026, then CEF daily sheets, which give inland prices only: coastal diesel has no value from December 2025, coastal petrol and paraffin none from March 2026.</t>
        </is>
      </c>
    </row>
    <row r="24">
      <c r="A24" s="204" t="inlineStr">
        <is>
          <t>Diesel by use and Vehicle history: vehicle classes, distance and fuel use</t>
        </is>
      </c>
      <c r="B24" s="204" t="inlineStr">
        <is>
          <t>Stone, Merven, Maseela and Moonsamy (2018), J. Energy in Southern Africa 29(2), and supplement</t>
        </is>
      </c>
      <c r="C24" s="204" t="inlineStr">
        <is>
          <t>https://www.scielo.org.za/pdf/jesa/v29n2/06.pdf</t>
        </is>
      </c>
      <c r="D24" s="204" t="inlineStr">
        <is>
          <t>stone-2018-vehicle-parc-model-jesa-29-2.pdf; stone-2018-supplementary.pdf</t>
        </is>
      </c>
      <c r="E24" s="204" t="inlineStr">
        <is>
          <t>on manish-branch (external/data/raw/literature/)</t>
        </is>
      </c>
      <c r="F24" s="204" t="inlineStr">
        <is>
          <t>assumptions/2026/reference/vehicle_parameters_stone2018.csv</t>
        </is>
      </c>
      <c r="G24" s="204" t="inlineStr">
        <is>
          <t>none</t>
        </is>
      </c>
      <c r="H24" s="204" t="inlineStr">
        <is>
          <t>-</t>
        </is>
      </c>
      <c r="I24" s="204" t="inlineStr">
        <is>
          <t>Values are for 2014. Transcription not independently re-checked.</t>
        </is>
      </c>
    </row>
    <row r="25">
      <c r="A25" s="204" t="inlineStr">
        <is>
          <t>Vehicle history: registered vehicles by class</t>
        </is>
      </c>
      <c r="B25" s="204" t="inlineStr">
        <is>
          <t>NaTIS (Road Traffic Management Corporation)</t>
        </is>
      </c>
      <c r="C25" s="204" t="inlineStr">
        <is>
          <t>https://www.natis.gov.za/</t>
        </is>
      </c>
      <c r="D25" s="204" t="inlineStr">
        <is>
          <t>monthly live vehicle population PDFs</t>
        </is>
      </c>
      <c r="E25" s="204" t="inlineStr">
        <is>
          <t>local to Manish and Nigel; not on main</t>
        </is>
      </c>
      <c r="F25" s="204" t="inlineStr">
        <is>
          <t>assumptions/2026/timeseries/vehicle_population_natis.csv</t>
        </is>
      </c>
      <c r="G25" s="204" t="inlineStr">
        <is>
          <t>python -m lfm.scripts.fetch_natis --vintage 2026</t>
        </is>
      </c>
      <c r="H25" s="204" t="inlineStr">
        <is>
          <t>2021-02-2026-06</t>
        </is>
      </c>
      <c r="I25" s="204" t="inlineStr">
        <is>
          <t>All fuels together; no petrol/diesel split.</t>
        </is>
      </c>
    </row>
    <row r="26">
      <c r="A26" s="204" t="inlineStr">
        <is>
          <t>Vehicle history: new sales by segment</t>
        </is>
      </c>
      <c r="B26" s="204" t="inlineStr">
        <is>
          <t>naamsa, quarterly review of business conditions</t>
        </is>
      </c>
      <c r="C26" s="204" t="inlineStr">
        <is>
          <t>https://naamsa.net/quarterly-reviews/</t>
        </is>
      </c>
      <c r="D26" s="204" t="inlineStr">
        <is>
          <t>quarterly review PDFs</t>
        </is>
      </c>
      <c r="E26" s="204" t="inlineStr">
        <is>
          <t>local to Manish and Nigel; not on main</t>
        </is>
      </c>
      <c r="F26" s="204" t="inlineStr">
        <is>
          <t>assumptions/2026/timeseries/new_vehicle_market_naamsa.csv</t>
        </is>
      </c>
      <c r="G26" s="204" t="inlineStr">
        <is>
          <t>python -m lfm.scripts.fetch_naamsa --vintage 2026</t>
        </is>
      </c>
      <c r="H26" s="204" t="inlineStr">
        <is>
          <t>2015-2027</t>
        </is>
      </c>
      <c r="I26" s="204" t="inlineStr">
        <is>
          <t>2026-2027 are naamsa's own outlook, not observations.</t>
        </is>
      </c>
    </row>
    <row r="27">
      <c r="A27" s="204" t="inlineStr">
        <is>
          <t>Vehicle history: electrified new sales</t>
        </is>
      </c>
      <c r="B27" s="204" t="inlineStr">
        <is>
          <t>naamsa, quarterly review of business conditions</t>
        </is>
      </c>
      <c r="C27" s="204" t="inlineStr">
        <is>
          <t>https://naamsa.net/quarterly-reviews/</t>
        </is>
      </c>
      <c r="D27" s="204" t="inlineStr">
        <is>
          <t>quarterly review PDFs</t>
        </is>
      </c>
      <c r="E27" s="204" t="inlineStr">
        <is>
          <t>local to Manish and Nigel; not on main</t>
        </is>
      </c>
      <c r="F27" s="204" t="inlineStr">
        <is>
          <t>assumptions/2026/timeseries/nev_sales_naamsa.csv</t>
        </is>
      </c>
      <c r="G27" s="204" t="inlineStr">
        <is>
          <t>python -m lfm.scripts.fetch_naamsa --vintage 2026</t>
        </is>
      </c>
      <c r="H27" s="204" t="inlineStr">
        <is>
          <t>2019-2025</t>
        </is>
      </c>
      <c r="I27" s="204" t="inlineStr">
        <is>
          <t>New sales, not fleet. Audit logged parser warnings on the 5 October refresh.</t>
        </is>
      </c>
    </row>
    <row r="28">
      <c r="A28" s="204" t="inlineStr">
        <is>
          <t>Vehicle history: fuel split of the registered fleet</t>
        </is>
      </c>
      <c r="B28" s="204" t="inlineStr">
        <is>
          <t>Department of Transport, Transport Statistics Bulletin 2023, Table 2.8 (source: RTMC)</t>
        </is>
      </c>
      <c r="C28" s="204" t="inlineStr">
        <is>
          <t>https://www.transport.gov.za/wp-content/uploads/2023/02/Transport-Statistics-Bulletin-2023.pdf</t>
        </is>
      </c>
      <c r="D28" s="204" t="inlineStr">
        <is>
          <t>dot-transport-statistics-bulletin-2023.pdf, p.40</t>
        </is>
      </c>
      <c r="E28" s="204" t="inlineStr">
        <is>
          <t>on manish-branch (external/data/raw/literature/)</t>
        </is>
      </c>
      <c r="F28" s="204" t="inlineStr">
        <is>
          <t>assumptions/2026/reference/vehicle_population_by_fuel_dot2023.csv</t>
        </is>
      </c>
      <c r="G28" s="204" t="inlineStr">
        <is>
          <t>none</t>
        </is>
      </c>
      <c r="H28" s="204" t="inlineStr">
        <is>
          <t>2023-12-2023-12</t>
        </is>
      </c>
      <c r="I28" s="204" t="inlineStr">
        <is>
          <t>One date only (December 2023). No later edition found.</t>
        </is>
      </c>
    </row>
    <row r="29">
      <c r="A29" s="204" t="inlineStr">
        <is>
          <t>Diesel by use: fuel bought by road freight businesses</t>
        </is>
      </c>
      <c r="B29" s="204" t="inlineStr">
        <is>
          <t>Statistics South Africa</t>
        </is>
      </c>
      <c r="C29" s="204" t="inlineStr">
        <is>
          <t>https://www.statssa.gov.za/?page_id=1854&amp;PPN=Report-71-02-01</t>
        </is>
      </c>
      <c r="D29" s="204" t="inlineStr">
        <is>
          <t>Report-71-02-012023.pdf, Table 20 (p.33)</t>
        </is>
      </c>
      <c r="E29" s="204" t="inlineStr">
        <is>
          <t>on manish-branch (external/data/raw/statssa/statssa-transport-and-storage-industry-2023.pdf)</t>
        </is>
      </c>
      <c r="F29" s="204" t="inlineStr">
        <is>
          <t>typed into build_demand_baseline_workbook.py (ROAD_FREIGHT_FUEL_RAND)</t>
        </is>
      </c>
      <c r="G29" s="204" t="inlineStr">
        <is>
          <t>none</t>
        </is>
      </c>
      <c r="H29" s="204" t="inlineStr">
        <is>
          <t>2019, 2023</t>
        </is>
      </c>
      <c r="I29" s="204" t="inlineStr">
        <is>
          <t>Hire-and-reward operators only; 2023 preliminary</t>
        </is>
      </c>
    </row>
    <row r="30">
      <c r="A30" s="204" t="inlineStr">
        <is>
          <t>Diesel by use: land freight share of diesel</t>
        </is>
      </c>
      <c r="B30" s="204" t="inlineStr">
        <is>
          <t>Merven, Hartley and Ahjum (2019), SA-TIED Working Paper 60</t>
        </is>
      </c>
      <c r="C30" s="204" t="inlineStr">
        <is>
          <t>https://sa-tied.wider.unu.edu/sites/default/files/pdf/SATIED_WP60_Merven_Hartley_Ahjum_April_2019.pdf</t>
        </is>
      </c>
      <c r="D30" s="204" t="inlineStr">
        <is>
          <t>p.10</t>
        </is>
      </c>
      <c r="E30" s="204" t="inlineStr">
        <is>
          <t>on manish-branch (external/data/raw/literature/)</t>
        </is>
      </c>
      <c r="F30" s="204" t="inlineStr">
        <is>
          <t>quoted on the sheet</t>
        </is>
      </c>
      <c r="G30" s="204" t="inlineStr">
        <is>
          <t>none</t>
        </is>
      </c>
      <c r="H30" s="204" t="inlineStr">
        <is>
          <t>2012</t>
        </is>
      </c>
      <c r="I30" s="204" t="inlineStr">
        <is>
          <t>Modelled; same research group as the vehicle study</t>
        </is>
      </c>
    </row>
    <row r="31">
      <c r="A31" s="204" t="inlineStr">
        <is>
          <t>Vehicle history and Diesel by use: the model's settings</t>
        </is>
      </c>
      <c r="B31" s="204" t="inlineStr">
        <is>
          <t>AIA (Reatile workbook, March 2025)</t>
        </is>
      </c>
      <c r="C31" s="204" t="inlineStr"/>
      <c r="D31" s="204" t="inlineStr">
        <is>
          <t>assumptions/2026/vehicles.yaml</t>
        </is>
      </c>
      <c r="E31" s="204" t="inlineStr">
        <is>
          <t>in the repository</t>
        </is>
      </c>
      <c r="F31" s="204" t="inlineStr">
        <is>
          <t>assumptions/2026/vehicles.yaml</t>
        </is>
      </c>
      <c r="G31" s="204" t="inlineStr">
        <is>
          <t>none</t>
        </is>
      </c>
      <c r="H31" s="204" t="inlineStr"/>
      <c r="I31" s="204" t="inlineStr">
        <is>
          <t>Placeholders without a published source</t>
        </is>
      </c>
    </row>
    <row r="32">
      <c r="A32" s="204" t="inlineStr">
        <is>
          <t>HML response</t>
        </is>
      </c>
      <c r="B32" s="204" t="inlineStr">
        <is>
          <t>AIA (analyst), from the sources named in each row</t>
        </is>
      </c>
      <c r="C32" s="204" t="inlineStr"/>
      <c r="D32" s="204" t="inlineStr">
        <is>
          <t>workstreams/WS2_model_development/fuel_lever_response_2026-10-07.csv</t>
        </is>
      </c>
      <c r="E32" s="204" t="inlineStr">
        <is>
          <t>in the repository</t>
        </is>
      </c>
      <c r="F32" s="204" t="inlineStr">
        <is>
          <t>same file</t>
        </is>
      </c>
      <c r="G32" s="204" t="inlineStr">
        <is>
          <t>python -m lfm.scripts.build_fuel_lever_response --vintage 2026</t>
        </is>
      </c>
      <c r="H32" s="204" t="inlineStr">
        <is>
          <t>2030, 2035</t>
        </is>
      </c>
      <c r="I32" s="204"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2026-10-08T19:45:54Z</dcterms:created>
  <dcterms:modified xmlns:dcterms="http://purl.org/dc/terms/" xmlns:xsi="http://www.w3.org/2001/XMLSchema-instance" xsi:type="dcterms:W3CDTF">2026-10-08T19:45:56Z</dcterms:modified>
</cp:coreProperties>
</file>