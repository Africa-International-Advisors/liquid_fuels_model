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Workshop" sheetId="1" state="visible" r:id="rId1"/>
    <sheet xmlns:r="http://schemas.openxmlformats.org/officeDocument/2006/relationships" name="Baseline" sheetId="2" state="visible" r:id="rId2"/>
    <sheet xmlns:r="http://schemas.openxmlformats.org/officeDocument/2006/relationships" name="Source selection" sheetId="3" state="visible" r:id="rId3"/>
    <sheet xmlns:r="http://schemas.openxmlformats.org/officeDocument/2006/relationships" name="Methods" sheetId="4" state="visible" r:id="rId4"/>
    <sheet xmlns:r="http://schemas.openxmlformats.org/officeDocument/2006/relationships" name="Petrol" sheetId="5" state="visible" r:id="rId5"/>
    <sheet xmlns:r="http://schemas.openxmlformats.org/officeDocument/2006/relationships" name="Freight" sheetId="6" state="visible" r:id="rId6"/>
    <sheet xmlns:r="http://schemas.openxmlformats.org/officeDocument/2006/relationships" name="Agriculture" sheetId="7" state="visible" r:id="rId7"/>
    <sheet xmlns:r="http://schemas.openxmlformats.org/officeDocument/2006/relationships" name="Manufacturing" sheetId="8" state="visible" r:id="rId8"/>
    <sheet xmlns:r="http://schemas.openxmlformats.org/officeDocument/2006/relationships" name="Mining" sheetId="9" state="visible" r:id="rId9"/>
    <sheet xmlns:r="http://schemas.openxmlformats.org/officeDocument/2006/relationships" name="Other demand" sheetId="10" state="visible" r:id="rId10"/>
    <sheet xmlns:r="http://schemas.openxmlformats.org/officeDocument/2006/relationships" name="Provincial" sheetId="11" state="visible" r:id="rId11"/>
    <sheet xmlns:r="http://schemas.openxmlformats.org/officeDocument/2006/relationships" name="Evidence" sheetId="12" state="visible" r:id="rId12"/>
    <sheet xmlns:r="http://schemas.openxmlformats.org/officeDocument/2006/relationships" name="Model run" sheetId="13" state="visible" r:id="rId13"/>
    <sheet xmlns:r="http://schemas.openxmlformats.org/officeDocument/2006/relationships" name="Data gaps" sheetId="14" state="visible" r:id="rId14"/>
    <sheet xmlns:r="http://schemas.openxmlformats.org/officeDocument/2006/relationships" name="Notes" sheetId="15" state="visible" r:id="rId15"/>
    <sheet xmlns:r="http://schemas.openxmlformats.org/officeDocument/2006/relationships" name="HML" sheetId="16" state="visible" r:id="rId16"/>
    <sheet xmlns:r="http://schemas.openxmlformats.org/officeDocument/2006/relationships" name="History" sheetId="17" state="visible" r:id="rId17"/>
    <sheet xmlns:r="http://schemas.openxmlformats.org/officeDocument/2006/relationships" name="Sector history" sheetId="18" state="visible" r:id="rId18"/>
    <sheet xmlns:r="http://schemas.openxmlformats.org/officeDocument/2006/relationships" name="Diesel by use" sheetId="19" state="visible" r:id="rId19"/>
    <sheet xmlns:r="http://schemas.openxmlformats.org/officeDocument/2006/relationships" name="Power fleet" sheetId="20" state="visible" r:id="rId20"/>
    <sheet xmlns:r="http://schemas.openxmlformats.org/officeDocument/2006/relationships" name="Vehicle history" sheetId="21" state="visible" r:id="rId21"/>
    <sheet xmlns:r="http://schemas.openxmlformats.org/officeDocument/2006/relationships" name="HML response" sheetId="22" state="visible" r:id="rId22"/>
    <sheet xmlns:r="http://schemas.openxmlformats.org/officeDocument/2006/relationships" name="Gap status" sheetId="23" state="visible" r:id="rId23"/>
    <sheet xmlns:r="http://schemas.openxmlformats.org/officeDocument/2006/relationships" name="Checks" sheetId="24" state="visible" r:id="rId24"/>
    <sheet xmlns:r="http://schemas.openxmlformats.org/officeDocument/2006/relationships" name="History sources" sheetId="25" state="visible" r:id="rId25"/>
  </sheets>
  <definedNames/>
</workbook>
</file>

<file path=xl/styles.xml><?xml version="1.0" encoding="utf-8"?>
<styleSheet xmlns="http://schemas.openxmlformats.org/spreadsheetml/2006/main">
  <numFmts count="6">
    <numFmt numFmtId="164" formatCode="#,##0.0"/>
    <numFmt numFmtId="165" formatCode="0.0%"/>
    <numFmt numFmtId="166" formatCode="0.0000"/>
    <numFmt numFmtId="167" formatCode="#,##0.0000"/>
    <numFmt numFmtId="168" formatCode="0.0"/>
    <numFmt numFmtId="169" formatCode="#,##0.000"/>
  </numFmts>
  <fonts count="8">
    <font>
      <name val="Carlito"/>
      <sz val="11"/>
    </font>
    <font>
      <name val="Arial"/>
      <color rgb="FF243B53"/>
      <sz val="10"/>
    </font>
    <font>
      <name val="Arial"/>
      <b val="1"/>
      <color rgb="FF243B53"/>
      <sz val="15"/>
    </font>
    <font>
      <name val="Arial"/>
      <color rgb="FF526575"/>
      <sz val="10"/>
    </font>
    <font>
      <name val="Arial"/>
      <b val="1"/>
      <color rgb="FFFFFFFF"/>
      <sz val="10"/>
    </font>
    <font>
      <name val="Arial"/>
      <b val="1"/>
      <color rgb="FF243B53"/>
      <sz val="10"/>
    </font>
    <font>
      <name val="Arial"/>
      <b val="1"/>
      <color rgb="FF243B53"/>
      <sz val="16"/>
    </font>
    <font>
      <name val="Arial"/>
      <i val="1"/>
      <color rgb="FF243B53"/>
      <sz val="10"/>
    </font>
  </fonts>
  <fills count="21">
    <fill>
      <patternFill/>
    </fill>
    <fill>
      <patternFill patternType="gray125"/>
    </fill>
    <fill>
      <patternFill patternType="solid">
        <fgColor rgb="FF243B53"/>
      </patternFill>
    </fill>
    <fill>
      <patternFill patternType="solid">
        <fgColor rgb="FFFFF2CC"/>
      </patternFill>
    </fill>
    <fill>
      <patternFill patternType="solid">
        <fgColor rgb="FFEAF0F5"/>
      </patternFill>
    </fill>
    <fill>
      <patternFill patternType="solid">
        <fgColor rgb="FFEAF3ED"/>
      </patternFill>
    </fill>
    <fill>
      <patternFill patternType="solid">
        <fgColor rgb="FF243B53"/>
      </patternFill>
    </fill>
    <fill>
      <patternFill patternType="solid">
        <fgColor rgb="FFEAF0F5"/>
      </patternFill>
    </fill>
    <fill>
      <patternFill patternType="solid">
        <fgColor rgb="FFFFF2CC"/>
      </patternFill>
    </fill>
    <fill>
      <patternFill patternType="solid">
        <fgColor rgb="FFEAF3ED"/>
      </patternFill>
    </fill>
    <fill>
      <patternFill patternType="solid">
        <fgColor rgb="FFFFFFFF"/>
      </patternFill>
    </fill>
    <fill>
      <patternFill patternType="solid">
        <fgColor rgb="FF243B53"/>
      </patternFill>
    </fill>
    <fill>
      <patternFill patternType="solid">
        <fgColor rgb="FFEAF0F5"/>
      </patternFill>
    </fill>
    <fill>
      <patternFill patternType="solid">
        <fgColor rgb="FFEDF3FA"/>
      </patternFill>
    </fill>
    <fill>
      <patternFill patternType="solid">
        <fgColor rgb="FFEAF3ED"/>
      </patternFill>
    </fill>
    <fill>
      <patternFill patternType="solid">
        <fgColor rgb="FFFFF2CC"/>
      </patternFill>
    </fill>
    <fill>
      <patternFill patternType="solid">
        <fgColor rgb="FF243B53"/>
      </patternFill>
    </fill>
    <fill>
      <patternFill patternType="solid">
        <fgColor rgb="FFEAF3ED"/>
      </patternFill>
    </fill>
    <fill>
      <patternFill patternType="solid">
        <fgColor rgb="FFEDF3FA"/>
      </patternFill>
    </fill>
    <fill>
      <patternFill patternType="solid">
        <fgColor rgb="FF243B53"/>
      </patternFill>
    </fill>
    <fill>
      <patternFill patternType="solid">
        <fgColor rgb="FFF4F4F4"/>
      </patternFill>
    </fill>
  </fills>
  <borders count="1">
    <border/>
  </borders>
  <cellStyleXfs count="1">
    <xf numFmtId="0" fontId="0" fillId="0" borderId="0"/>
  </cellStyleXfs>
  <cellXfs count="179">
    <xf numFmtId="0" fontId="0" fillId="0" borderId="0" pivotButton="0" quotePrefix="0" xfId="0"/>
    <xf numFmtId="0" fontId="1" fillId="0" borderId="0" pivotButton="0" quotePrefix="0" xfId="0"/>
    <xf numFmtId="0" fontId="1" fillId="0" borderId="0" applyAlignment="1" pivotButton="0" quotePrefix="0" xfId="0">
      <alignment vertical="center"/>
    </xf>
    <xf numFmtId="0" fontId="1"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xf>
    <xf numFmtId="0" fontId="1" fillId="0" borderId="0" applyAlignment="1" pivotButton="0" quotePrefix="0" xfId="0">
      <alignment vertical="center"/>
    </xf>
    <xf numFmtId="0" fontId="3" fillId="0" borderId="0" applyAlignment="1" pivotButton="0" quotePrefix="0" xfId="0">
      <alignment vertical="center"/>
    </xf>
    <xf numFmtId="0" fontId="1" fillId="2" borderId="0" applyAlignment="1" pivotButton="0" quotePrefix="0" xfId="0">
      <alignment vertical="center" wrapText="1"/>
    </xf>
    <xf numFmtId="0" fontId="4" fillId="2" borderId="0" applyAlignment="1" pivotButton="0" quotePrefix="0" xfId="0">
      <alignment vertical="center"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5" fillId="4" borderId="0" applyAlignment="1" pivotButton="0" quotePrefix="0" xfId="0">
      <alignment vertical="center" wrapText="1"/>
    </xf>
    <xf numFmtId="164" fontId="1" fillId="0" borderId="0" applyAlignment="1" pivotButton="0" quotePrefix="0" xfId="0">
      <alignment vertical="center" wrapText="1"/>
    </xf>
    <xf numFmtId="165" fontId="1" fillId="0" borderId="0" applyAlignment="1" pivotButton="0" quotePrefix="0" xfId="0">
      <alignment vertical="center" wrapText="1"/>
    </xf>
    <xf numFmtId="3" fontId="1" fillId="0" borderId="0" applyAlignment="1" pivotButton="0" quotePrefix="0" xfId="0">
      <alignment vertical="center" wrapText="1"/>
    </xf>
    <xf numFmtId="0" fontId="1" fillId="5" borderId="0" applyAlignment="1" pivotButton="0" quotePrefix="0" xfId="0">
      <alignment vertical="center" wrapText="1"/>
    </xf>
    <xf numFmtId="3" fontId="1" fillId="5" borderId="0" applyAlignment="1" pivotButton="0" quotePrefix="0" xfId="0">
      <alignment vertical="center" wrapText="1"/>
    </xf>
    <xf numFmtId="164" fontId="1" fillId="5" borderId="0" applyAlignment="1" pivotButton="0" quotePrefix="0" xfId="0">
      <alignment vertical="center" wrapText="1"/>
    </xf>
    <xf numFmtId="164" fontId="1" fillId="3" borderId="0" applyAlignment="1" pivotButton="0" quotePrefix="0" xfId="0">
      <alignment vertical="center" wrapText="1"/>
    </xf>
    <xf numFmtId="1" fontId="1" fillId="0" borderId="0" applyAlignment="1" pivotButton="0" quotePrefix="0" xfId="0">
      <alignment vertical="center" wrapText="1"/>
    </xf>
    <xf numFmtId="165" fontId="1" fillId="3" borderId="0" applyAlignment="1" pivotButton="0" quotePrefix="0" xfId="0">
      <alignment vertical="center" wrapText="1"/>
    </xf>
    <xf numFmtId="165" fontId="1" fillId="4" borderId="0" applyAlignment="1" pivotButton="0" quotePrefix="0" xfId="0">
      <alignment vertical="center" wrapText="1"/>
    </xf>
    <xf numFmtId="164" fontId="1" fillId="4" borderId="0" applyAlignment="1" pivotButton="0" quotePrefix="0" xfId="0">
      <alignment vertical="center" wrapText="1"/>
    </xf>
    <xf numFmtId="10" fontId="1" fillId="3" borderId="0" applyAlignment="1" pivotButton="0" quotePrefix="0" xfId="0">
      <alignment vertical="center" wrapText="1"/>
    </xf>
    <xf numFmtId="0" fontId="1" fillId="4" borderId="0" applyAlignment="1" pivotButton="0" quotePrefix="0" xfId="0">
      <alignment vertical="center"/>
    </xf>
    <xf numFmtId="164" fontId="1" fillId="0" borderId="0" applyAlignment="1" pivotButton="0" quotePrefix="0" xfId="0">
      <alignment vertical="center"/>
    </xf>
    <xf numFmtId="165" fontId="1" fillId="0" borderId="0" applyAlignment="1" pivotButton="0" quotePrefix="0" xfId="0">
      <alignment vertical="center"/>
    </xf>
    <xf numFmtId="3" fontId="1" fillId="5" borderId="0" applyAlignment="1" pivotButton="0" quotePrefix="0" xfId="0">
      <alignment vertical="center"/>
    </xf>
    <xf numFmtId="164" fontId="1" fillId="5" borderId="0" applyAlignment="1" pivotButton="0" quotePrefix="0" xfId="0">
      <alignment vertical="center"/>
    </xf>
    <xf numFmtId="164" fontId="1" fillId="3" borderId="0" applyAlignment="1" pivotButton="0" quotePrefix="0" xfId="0">
      <alignment vertical="center"/>
    </xf>
    <xf numFmtId="3" fontId="1" fillId="0" borderId="0" applyAlignment="1" pivotButton="0" quotePrefix="0" xfId="0">
      <alignment vertical="center"/>
    </xf>
    <xf numFmtId="1" fontId="1" fillId="0" borderId="0" applyAlignment="1" pivotButton="0" quotePrefix="0" xfId="0">
      <alignment vertical="center"/>
    </xf>
    <xf numFmtId="166" fontId="1" fillId="0" borderId="0" applyAlignment="1" pivotButton="0" quotePrefix="0" xfId="0">
      <alignment vertical="center" wrapText="1"/>
    </xf>
    <xf numFmtId="0" fontId="1" fillId="0" borderId="0" applyAlignment="1" pivotButton="0" quotePrefix="0" xfId="0">
      <alignment wrapText="1"/>
    </xf>
    <xf numFmtId="0" fontId="1" fillId="6" borderId="0" applyAlignment="1" pivotButton="0" quotePrefix="0" xfId="0">
      <alignment vertical="center" wrapText="1"/>
    </xf>
    <xf numFmtId="0" fontId="4" fillId="6" borderId="0" applyAlignment="1" pivotButton="0" quotePrefix="0" xfId="0">
      <alignment vertical="center" wrapText="1"/>
    </xf>
    <xf numFmtId="0" fontId="1" fillId="7" borderId="0" applyAlignment="1" pivotButton="0" quotePrefix="0" xfId="0">
      <alignment vertical="center" wrapText="1"/>
    </xf>
    <xf numFmtId="0" fontId="1" fillId="7" borderId="0" applyAlignment="1" pivotButton="0" quotePrefix="0" xfId="0">
      <alignment vertical="center"/>
    </xf>
    <xf numFmtId="0" fontId="5" fillId="7" borderId="0" applyAlignment="1" pivotButton="0" quotePrefix="0" xfId="0">
      <alignment vertical="center" wrapText="1"/>
    </xf>
    <xf numFmtId="164" fontId="1" fillId="8" borderId="0" applyAlignment="1" pivotButton="0" quotePrefix="0" xfId="0">
      <alignment vertical="center" wrapText="1"/>
    </xf>
    <xf numFmtId="0" fontId="1" fillId="8" borderId="0" applyAlignment="1" pivotButton="0" quotePrefix="0" xfId="0">
      <alignment vertical="center" wrapText="1"/>
    </xf>
    <xf numFmtId="164" fontId="1" fillId="8" borderId="0" applyAlignment="1" pivotButton="0" quotePrefix="0" xfId="0">
      <alignment vertical="center"/>
    </xf>
    <xf numFmtId="1" fontId="1" fillId="8" borderId="0" applyAlignment="1" pivotButton="0" quotePrefix="0" xfId="0">
      <alignment vertical="center" wrapText="1"/>
    </xf>
    <xf numFmtId="1" fontId="1" fillId="8" borderId="0" applyAlignment="1" pivotButton="0" quotePrefix="0" xfId="0">
      <alignment vertical="center"/>
    </xf>
    <xf numFmtId="0" fontId="1" fillId="9" borderId="0" applyAlignment="1" pivotButton="0" quotePrefix="0" xfId="0">
      <alignment vertical="center" wrapText="1"/>
    </xf>
    <xf numFmtId="3" fontId="1" fillId="9" borderId="0" applyAlignment="1" pivotButton="0" quotePrefix="0" xfId="0">
      <alignment vertical="center" wrapText="1"/>
    </xf>
    <xf numFmtId="3" fontId="1" fillId="9" borderId="0" applyAlignment="1" pivotButton="0" quotePrefix="0" xfId="0">
      <alignment vertical="center"/>
    </xf>
    <xf numFmtId="164" fontId="1" fillId="9" borderId="0" applyAlignment="1" pivotButton="0" quotePrefix="0" xfId="0">
      <alignment vertical="center" wrapText="1"/>
    </xf>
    <xf numFmtId="164" fontId="1" fillId="9" borderId="0" applyAlignment="1" pivotButton="0" quotePrefix="0" xfId="0">
      <alignment vertical="center"/>
    </xf>
    <xf numFmtId="10" fontId="1" fillId="0" borderId="0" applyAlignment="1" pivotButton="0" quotePrefix="0" xfId="0">
      <alignment vertical="center" wrapText="1"/>
    </xf>
    <xf numFmtId="10" fontId="1" fillId="0" borderId="0" applyAlignment="1" pivotButton="0" quotePrefix="0" xfId="0">
      <alignment vertical="center"/>
    </xf>
    <xf numFmtId="10" fontId="1" fillId="9" borderId="0" applyAlignment="1" pivotButton="0" quotePrefix="0" xfId="0">
      <alignment vertical="center" wrapText="1"/>
    </xf>
    <xf numFmtId="10" fontId="1" fillId="9" borderId="0" applyAlignment="1" pivotButton="0" quotePrefix="0" xfId="0">
      <alignment vertical="center"/>
    </xf>
    <xf numFmtId="165" fontId="1" fillId="8" borderId="0" applyAlignment="1" pivotButton="0" quotePrefix="0" xfId="0">
      <alignment vertical="center" wrapText="1"/>
    </xf>
    <xf numFmtId="165" fontId="1" fillId="8" borderId="0" applyAlignment="1" pivotButton="0" quotePrefix="0" xfId="0">
      <alignment vertical="center"/>
    </xf>
    <xf numFmtId="0" fontId="5" fillId="10" borderId="0" applyAlignment="1" pivotButton="0" quotePrefix="0" xfId="0">
      <alignment vertical="center" wrapText="1"/>
    </xf>
    <xf numFmtId="0" fontId="1" fillId="10" borderId="0" applyAlignment="1" pivotButton="0" quotePrefix="0" xfId="0">
      <alignment vertical="center" wrapText="1"/>
    </xf>
    <xf numFmtId="1" fontId="1" fillId="10" borderId="0" applyAlignment="1" pivotButton="0" quotePrefix="0" xfId="0">
      <alignment vertical="center" wrapText="1"/>
    </xf>
    <xf numFmtId="10" fontId="1" fillId="8" borderId="0" applyAlignment="1" pivotButton="0" quotePrefix="0" xfId="0">
      <alignment vertical="center" wrapText="1"/>
    </xf>
    <xf numFmtId="0" fontId="1" fillId="11" borderId="0" applyAlignment="1" pivotButton="0" quotePrefix="0" xfId="0">
      <alignment vertical="center" wrapText="1"/>
    </xf>
    <xf numFmtId="0" fontId="4" fillId="11" borderId="0" applyAlignment="1" pivotButton="0" quotePrefix="0" xfId="0">
      <alignment vertical="center" wrapText="1"/>
    </xf>
    <xf numFmtId="0" fontId="1" fillId="12" borderId="0" applyAlignment="1" pivotButton="0" quotePrefix="0" xfId="0">
      <alignment vertical="center" wrapText="1"/>
    </xf>
    <xf numFmtId="0" fontId="1" fillId="12" borderId="0" applyAlignment="1" pivotButton="0" quotePrefix="0" xfId="0">
      <alignment vertical="center"/>
    </xf>
    <xf numFmtId="0" fontId="5" fillId="12" borderId="0" applyAlignment="1" pivotButton="0" quotePrefix="0" xfId="0">
      <alignment vertical="center" wrapText="1"/>
    </xf>
    <xf numFmtId="0" fontId="1" fillId="13" borderId="0" applyAlignment="1" pivotButton="0" quotePrefix="0" xfId="0">
      <alignment vertical="center" wrapText="1"/>
    </xf>
    <xf numFmtId="164" fontId="1" fillId="13" borderId="0" applyAlignment="1" pivotButton="0" quotePrefix="0" xfId="0">
      <alignment vertical="center" wrapText="1"/>
    </xf>
    <xf numFmtId="164" fontId="1" fillId="13" borderId="0" applyAlignment="1" pivotButton="0" quotePrefix="0" xfId="0">
      <alignment vertical="center"/>
    </xf>
    <xf numFmtId="0" fontId="1" fillId="14" borderId="0" applyAlignment="1" pivotButton="0" quotePrefix="0" xfId="0">
      <alignment vertical="center" wrapText="1"/>
    </xf>
    <xf numFmtId="164" fontId="1" fillId="14" borderId="0" applyAlignment="1" pivotButton="0" quotePrefix="0" xfId="0">
      <alignment vertical="center" wrapText="1"/>
    </xf>
    <xf numFmtId="164" fontId="1" fillId="14" borderId="0" applyAlignment="1" pivotButton="0" quotePrefix="0" xfId="0">
      <alignment vertical="center"/>
    </xf>
    <xf numFmtId="0" fontId="1" fillId="15" borderId="0" applyAlignment="1" pivotButton="0" quotePrefix="0" xfId="0">
      <alignment vertical="center" wrapText="1"/>
    </xf>
    <xf numFmtId="164" fontId="1" fillId="15" borderId="0" applyAlignment="1" pivotButton="0" quotePrefix="0" xfId="0">
      <alignment vertical="center" wrapText="1"/>
    </xf>
    <xf numFmtId="164" fontId="1" fillId="15" borderId="0" applyAlignment="1" pivotButton="0" quotePrefix="0" xfId="0">
      <alignment vertical="center"/>
    </xf>
    <xf numFmtId="10" fontId="1" fillId="14" borderId="0" applyAlignment="1" pivotButton="0" quotePrefix="0" xfId="0">
      <alignment vertical="center"/>
    </xf>
    <xf numFmtId="165" fontId="1" fillId="13" borderId="0" applyAlignment="1" pivotButton="0" quotePrefix="0" xfId="0">
      <alignment vertical="center"/>
    </xf>
    <xf numFmtId="165" fontId="1" fillId="13" borderId="0" applyAlignment="1" pivotButton="0" quotePrefix="0" xfId="0">
      <alignment vertical="center" wrapText="1"/>
    </xf>
    <xf numFmtId="0" fontId="0" fillId="11" borderId="0" pivotButton="0" quotePrefix="0" xfId="0"/>
    <xf numFmtId="0" fontId="4" fillId="11" borderId="0" pivotButton="0" quotePrefix="0" xfId="0"/>
    <xf numFmtId="0" fontId="4" fillId="11" borderId="0" applyAlignment="1" pivotButton="0" quotePrefix="0" xfId="0">
      <alignment wrapText="1"/>
    </xf>
    <xf numFmtId="0" fontId="6" fillId="0" borderId="0" applyAlignment="1" pivotButton="0" quotePrefix="0" xfId="0">
      <alignment vertical="center" wrapText="1"/>
    </xf>
    <xf numFmtId="0" fontId="6" fillId="0" borderId="0" applyAlignment="1" pivotButton="0" quotePrefix="0" xfId="0">
      <alignment vertical="center"/>
    </xf>
    <xf numFmtId="0" fontId="1" fillId="16" borderId="0" applyAlignment="1" pivotButton="0" quotePrefix="0" xfId="0">
      <alignment vertical="center" wrapText="1"/>
    </xf>
    <xf numFmtId="0" fontId="4" fillId="16" borderId="0" applyAlignment="1" pivotButton="0" quotePrefix="0" xfId="0">
      <alignment vertical="center" wrapText="1"/>
    </xf>
    <xf numFmtId="167" fontId="1" fillId="0" borderId="0" applyAlignment="1" pivotButton="0" quotePrefix="0" xfId="0">
      <alignment vertical="center" wrapText="1"/>
    </xf>
    <xf numFmtId="0" fontId="0" fillId="17" borderId="0" pivotButton="0" quotePrefix="0" xfId="0"/>
    <xf numFmtId="0" fontId="1" fillId="17" borderId="0" applyAlignment="1" pivotButton="0" quotePrefix="0" xfId="0">
      <alignment vertical="center" wrapText="1"/>
    </xf>
    <xf numFmtId="0" fontId="1" fillId="17" borderId="0" pivotButton="0" quotePrefix="0" xfId="0"/>
    <xf numFmtId="0" fontId="1" fillId="17" borderId="0" applyAlignment="1" pivotButton="0" quotePrefix="0" xfId="0">
      <alignment wrapText="1"/>
    </xf>
    <xf numFmtId="164" fontId="1" fillId="17" borderId="0" applyAlignment="1" pivotButton="0" quotePrefix="0" xfId="0">
      <alignment vertical="center" wrapText="1"/>
    </xf>
    <xf numFmtId="0" fontId="0" fillId="17" borderId="0" applyAlignment="1" pivotButton="0" quotePrefix="0" xfId="0">
      <alignment wrapText="1"/>
    </xf>
    <xf numFmtId="0" fontId="0" fillId="17" borderId="0" applyAlignment="1" pivotButton="0" quotePrefix="0" xfId="0">
      <alignment vertical="center" wrapText="1"/>
    </xf>
    <xf numFmtId="164" fontId="0" fillId="17" borderId="0" applyAlignment="1" pivotButton="0" quotePrefix="0" xfId="0">
      <alignment vertical="center" wrapText="1"/>
    </xf>
    <xf numFmtId="0" fontId="1" fillId="18" borderId="0" applyAlignment="1" pivotButton="0" quotePrefix="0" xfId="0">
      <alignment vertical="center" wrapText="1"/>
    </xf>
    <xf numFmtId="164" fontId="1" fillId="18" borderId="0" applyAlignment="1" pivotButton="0" quotePrefix="0" xfId="0">
      <alignment vertical="center" wrapText="1"/>
    </xf>
    <xf numFmtId="164" fontId="1" fillId="18" borderId="0" applyAlignment="1" pivotButton="0" quotePrefix="0" xfId="0">
      <alignment vertical="center"/>
    </xf>
    <xf numFmtId="167" fontId="1" fillId="17" borderId="0" applyAlignment="1" pivotButton="0" quotePrefix="0" xfId="0">
      <alignment vertical="center" wrapText="1"/>
    </xf>
    <xf numFmtId="164" fontId="1" fillId="17" borderId="0" applyAlignment="1" pivotButton="0" quotePrefix="0" xfId="0">
      <alignment vertical="center"/>
    </xf>
    <xf numFmtId="10" fontId="1" fillId="17" borderId="0" applyAlignment="1" pivotButton="0" quotePrefix="0" xfId="0">
      <alignment vertical="center" wrapText="1"/>
    </xf>
    <xf numFmtId="10" fontId="1" fillId="17" borderId="0" applyAlignment="1" pivotButton="0" quotePrefix="0" xfId="0">
      <alignment vertical="center"/>
    </xf>
    <xf numFmtId="10" fontId="1" fillId="5" borderId="0" applyAlignment="1" pivotButton="0" quotePrefix="0" xfId="0">
      <alignment vertical="center" wrapText="1"/>
    </xf>
    <xf numFmtId="0" fontId="0" fillId="0" borderId="0" applyAlignment="1" pivotButton="0" quotePrefix="0" xfId="0">
      <alignment wrapText="1"/>
    </xf>
    <xf numFmtId="0" fontId="0" fillId="0" borderId="0" applyAlignment="1" pivotButton="0" quotePrefix="0" xfId="0">
      <alignment vertical="center" wrapText="1"/>
    </xf>
    <xf numFmtId="10" fontId="1" fillId="5" borderId="0" applyAlignment="1" pivotButton="0" quotePrefix="0" xfId="0">
      <alignment vertical="center"/>
    </xf>
    <xf numFmtId="0" fontId="0" fillId="0" borderId="0" applyAlignment="1" pivotButton="0" quotePrefix="0" xfId="0">
      <alignment vertical="center"/>
    </xf>
    <xf numFmtId="0" fontId="0" fillId="5" borderId="0" applyAlignment="1" pivotButton="0" quotePrefix="0" xfId="0">
      <alignment vertical="center" wrapText="1"/>
    </xf>
    <xf numFmtId="164" fontId="0" fillId="5" borderId="0" applyAlignment="1" pivotButton="0" quotePrefix="0" xfId="0">
      <alignment vertical="center" wrapText="1"/>
    </xf>
    <xf numFmtId="165" fontId="1" fillId="3" borderId="0" applyAlignment="1" pivotButton="0" quotePrefix="0" xfId="0">
      <alignment vertical="center"/>
    </xf>
    <xf numFmtId="164" fontId="0" fillId="5" borderId="0" applyAlignment="1" pivotButton="0" quotePrefix="0" xfId="0">
      <alignment vertical="center"/>
    </xf>
    <xf numFmtId="1" fontId="1" fillId="3" borderId="0" applyAlignment="1" pivotButton="0" quotePrefix="0" xfId="0">
      <alignment vertical="center" wrapText="1"/>
    </xf>
    <xf numFmtId="1" fontId="1" fillId="3" borderId="0" applyAlignment="1" pivotButton="0" quotePrefix="0" xfId="0">
      <alignment vertical="center"/>
    </xf>
    <xf numFmtId="167" fontId="1" fillId="5" borderId="0" applyAlignment="1" pivotButton="0" quotePrefix="0" xfId="0">
      <alignment vertical="center" wrapText="1"/>
    </xf>
    <xf numFmtId="0" fontId="1" fillId="19" borderId="0" applyAlignment="1" pivotButton="0" quotePrefix="0" xfId="0">
      <alignment vertical="center" wrapText="1"/>
    </xf>
    <xf numFmtId="0" fontId="4" fillId="19" borderId="0" applyAlignment="1" pivotButton="0" quotePrefix="0" xfId="0">
      <alignment vertical="center" wrapText="1"/>
    </xf>
    <xf numFmtId="164" fontId="1" fillId="13" borderId="0" applyAlignment="1" pivotButton="0" quotePrefix="0" xfId="0">
      <alignment vertical="center" wrapText="1"/>
    </xf>
    <xf numFmtId="164" fontId="1" fillId="13" borderId="0" applyAlignment="1" pivotButton="0" quotePrefix="0" xfId="0">
      <alignment vertical="center"/>
    </xf>
    <xf numFmtId="164" fontId="1" fillId="5" borderId="0" applyAlignment="1" pivotButton="0" quotePrefix="0" xfId="0">
      <alignment vertical="center" wrapText="1"/>
    </xf>
    <xf numFmtId="164" fontId="1" fillId="5" borderId="0" applyAlignment="1" pivotButton="0" quotePrefix="0" xfId="0">
      <alignment vertical="center"/>
    </xf>
    <xf numFmtId="164" fontId="1" fillId="3" borderId="0" applyAlignment="1" pivotButton="0" quotePrefix="0" xfId="0">
      <alignment vertical="center" wrapText="1"/>
    </xf>
    <xf numFmtId="164" fontId="1" fillId="3" borderId="0" applyAlignment="1" pivotButton="0" quotePrefix="0" xfId="0">
      <alignment vertical="center"/>
    </xf>
    <xf numFmtId="1" fontId="1" fillId="0" borderId="0" applyAlignment="1" pivotButton="0" quotePrefix="0" xfId="0">
      <alignment vertical="center" wrapText="1"/>
    </xf>
    <xf numFmtId="164" fontId="1" fillId="0" borderId="0" applyAlignment="1" pivotButton="0" quotePrefix="0" xfId="0">
      <alignment vertical="center" wrapText="1"/>
    </xf>
    <xf numFmtId="164" fontId="1" fillId="0" borderId="0" applyAlignment="1" pivotButton="0" quotePrefix="0" xfId="0">
      <alignment vertical="center"/>
    </xf>
    <xf numFmtId="166" fontId="1" fillId="0" borderId="0" applyAlignment="1" pivotButton="0" quotePrefix="0" xfId="0">
      <alignment vertical="center" wrapText="1"/>
    </xf>
    <xf numFmtId="165" fontId="1" fillId="0" borderId="0" applyAlignment="1" pivotButton="0" quotePrefix="0" xfId="0">
      <alignment vertical="center" wrapText="1"/>
    </xf>
    <xf numFmtId="165" fontId="1" fillId="0" borderId="0" applyAlignment="1" pivotButton="0" quotePrefix="0" xfId="0">
      <alignment vertical="center"/>
    </xf>
    <xf numFmtId="3" fontId="1" fillId="5" borderId="0" applyAlignment="1" pivotButton="0" quotePrefix="0" xfId="0">
      <alignment vertical="center" wrapText="1"/>
    </xf>
    <xf numFmtId="3" fontId="1" fillId="5" borderId="0" applyAlignment="1" pivotButton="0" quotePrefix="0" xfId="0">
      <alignment vertical="center"/>
    </xf>
    <xf numFmtId="10" fontId="1" fillId="5" borderId="0" applyAlignment="1" pivotButton="0" quotePrefix="0" xfId="0">
      <alignment vertical="center"/>
    </xf>
    <xf numFmtId="10" fontId="1" fillId="5" borderId="0" applyAlignment="1" pivotButton="0" quotePrefix="0" xfId="0">
      <alignment vertical="center" wrapText="1"/>
    </xf>
    <xf numFmtId="165" fontId="1" fillId="3" borderId="0" applyAlignment="1" pivotButton="0" quotePrefix="0" xfId="0">
      <alignment vertical="center" wrapText="1"/>
    </xf>
    <xf numFmtId="165" fontId="1" fillId="3" borderId="0" applyAlignment="1" pivotButton="0" quotePrefix="0" xfId="0">
      <alignment vertical="center"/>
    </xf>
    <xf numFmtId="164" fontId="0" fillId="5" borderId="0" applyAlignment="1" pivotButton="0" quotePrefix="0" xfId="0">
      <alignment vertical="center"/>
    </xf>
    <xf numFmtId="3" fontId="1" fillId="0" borderId="0" applyAlignment="1" pivotButton="0" quotePrefix="0" xfId="0">
      <alignment vertical="center" wrapText="1"/>
    </xf>
    <xf numFmtId="3" fontId="1" fillId="0" borderId="0" applyAlignment="1" pivotButton="0" quotePrefix="0" xfId="0">
      <alignment vertical="center"/>
    </xf>
    <xf numFmtId="1" fontId="1" fillId="0" borderId="0" applyAlignment="1" pivotButton="0" quotePrefix="0" xfId="0">
      <alignment vertical="center"/>
    </xf>
    <xf numFmtId="1" fontId="1" fillId="3" borderId="0" applyAlignment="1" pivotButton="0" quotePrefix="0" xfId="0">
      <alignment vertical="center" wrapText="1"/>
    </xf>
    <xf numFmtId="1" fontId="1" fillId="3" borderId="0" applyAlignment="1" pivotButton="0" quotePrefix="0" xfId="0">
      <alignment vertical="center"/>
    </xf>
    <xf numFmtId="165" fontId="1" fillId="13" borderId="0" applyAlignment="1" pivotButton="0" quotePrefix="0" xfId="0">
      <alignment vertical="center"/>
    </xf>
    <xf numFmtId="165" fontId="1" fillId="13" borderId="0" applyAlignment="1" pivotButton="0" quotePrefix="0" xfId="0">
      <alignment vertical="center" wrapText="1"/>
    </xf>
    <xf numFmtId="165" fontId="1" fillId="4" borderId="0" applyAlignment="1" pivotButton="0" quotePrefix="0" xfId="0">
      <alignment vertical="center" wrapText="1"/>
    </xf>
    <xf numFmtId="164" fontId="1" fillId="4" borderId="0" applyAlignment="1" pivotButton="0" quotePrefix="0" xfId="0">
      <alignment vertical="center" wrapText="1"/>
    </xf>
    <xf numFmtId="164" fontId="1" fillId="14" borderId="0" applyAlignment="1" pivotButton="0" quotePrefix="0" xfId="0">
      <alignment vertical="center" wrapText="1"/>
    </xf>
    <xf numFmtId="167" fontId="1" fillId="5" borderId="0" applyAlignment="1" pivotButton="0" quotePrefix="0" xfId="0">
      <alignment vertical="center" wrapText="1"/>
    </xf>
    <xf numFmtId="167" fontId="1" fillId="0" borderId="0" applyAlignment="1" pivotButton="0" quotePrefix="0" xfId="0">
      <alignment vertical="center" wrapText="1"/>
    </xf>
    <xf numFmtId="10" fontId="1" fillId="3" borderId="0" applyAlignment="1" pivotButton="0" quotePrefix="0" xfId="0">
      <alignment vertical="center" wrapText="1"/>
    </xf>
    <xf numFmtId="1" fontId="1" fillId="10" borderId="0" applyAlignment="1" pivotButton="0" quotePrefix="0" xfId="0">
      <alignment vertical="center" wrapText="1"/>
    </xf>
    <xf numFmtId="10" fontId="1" fillId="8" borderId="0" applyAlignment="1" pivotButton="0" quotePrefix="0" xfId="0">
      <alignment vertical="center" wrapText="1"/>
    </xf>
    <xf numFmtId="164" fontId="1" fillId="8" borderId="0" applyAlignment="1" pivotButton="0" quotePrefix="0" xfId="0">
      <alignment vertical="center" wrapText="1"/>
    </xf>
    <xf numFmtId="0" fontId="2" fillId="0" borderId="0" pivotButton="0" quotePrefix="0" xfId="0"/>
    <xf numFmtId="0" fontId="4" fillId="19" borderId="0" applyAlignment="1" pivotButton="0" quotePrefix="0" xfId="0">
      <alignment vertical="top" wrapText="1"/>
    </xf>
    <xf numFmtId="0" fontId="5" fillId="12" borderId="0" pivotButton="0" quotePrefix="0" xfId="0"/>
    <xf numFmtId="0" fontId="1" fillId="18" borderId="0" applyAlignment="1" pivotButton="0" quotePrefix="0" xfId="0">
      <alignment vertical="top" wrapText="1"/>
    </xf>
    <xf numFmtId="0" fontId="1" fillId="18" borderId="0" applyAlignment="1" pivotButton="0" quotePrefix="0" xfId="0">
      <alignment vertical="top"/>
    </xf>
    <xf numFmtId="164" fontId="1" fillId="18" borderId="0" applyAlignment="1" pivotButton="0" quotePrefix="0" xfId="0">
      <alignment vertical="top"/>
    </xf>
    <xf numFmtId="164" fontId="7" fillId="15" borderId="0" applyAlignment="1" pivotButton="0" quotePrefix="0" xfId="0">
      <alignment vertical="top"/>
    </xf>
    <xf numFmtId="0" fontId="1" fillId="10" borderId="0" applyAlignment="1" pivotButton="0" quotePrefix="0" xfId="0">
      <alignment vertical="top" wrapText="1"/>
    </xf>
    <xf numFmtId="0" fontId="1" fillId="10" borderId="0" applyAlignment="1" pivotButton="0" quotePrefix="0" xfId="0">
      <alignment vertical="top"/>
    </xf>
    <xf numFmtId="164" fontId="1" fillId="10" borderId="0" applyAlignment="1" pivotButton="0" quotePrefix="0" xfId="0">
      <alignment vertical="top"/>
    </xf>
    <xf numFmtId="0" fontId="1" fillId="20" borderId="0" applyAlignment="1" pivotButton="0" quotePrefix="0" xfId="0">
      <alignment vertical="top" wrapText="1"/>
    </xf>
    <xf numFmtId="0" fontId="1" fillId="20" borderId="0" applyAlignment="1" pivotButton="0" quotePrefix="0" xfId="0">
      <alignment vertical="top"/>
    </xf>
    <xf numFmtId="164" fontId="1" fillId="20" borderId="0" applyAlignment="1" pivotButton="0" quotePrefix="0" xfId="0">
      <alignment vertical="top"/>
    </xf>
    <xf numFmtId="0" fontId="1" fillId="15" borderId="0" applyAlignment="1" pivotButton="0" quotePrefix="0" xfId="0">
      <alignment vertical="top" wrapText="1"/>
    </xf>
    <xf numFmtId="0" fontId="1" fillId="15" borderId="0" applyAlignment="1" pivotButton="0" quotePrefix="0" xfId="0">
      <alignment vertical="top"/>
    </xf>
    <xf numFmtId="168" fontId="1" fillId="15" borderId="0" applyAlignment="1" pivotButton="0" quotePrefix="0" xfId="0">
      <alignment vertical="top"/>
    </xf>
    <xf numFmtId="164" fontId="1" fillId="15" borderId="0" applyAlignment="1" pivotButton="0" quotePrefix="0" xfId="0">
      <alignment vertical="top"/>
    </xf>
    <xf numFmtId="3" fontId="1" fillId="18" borderId="0" applyAlignment="1" pivotButton="0" quotePrefix="0" xfId="0">
      <alignment vertical="top"/>
    </xf>
    <xf numFmtId="3" fontId="1" fillId="10" borderId="0" applyAlignment="1" pivotButton="0" quotePrefix="0" xfId="0">
      <alignment vertical="top"/>
    </xf>
    <xf numFmtId="4" fontId="1" fillId="10" borderId="0" applyAlignment="1" pivotButton="0" quotePrefix="0" xfId="0">
      <alignment vertical="top"/>
    </xf>
    <xf numFmtId="2" fontId="1" fillId="10" borderId="0" applyAlignment="1" pivotButton="0" quotePrefix="0" xfId="0">
      <alignment vertical="top"/>
    </xf>
    <xf numFmtId="168" fontId="1" fillId="20" borderId="0" applyAlignment="1" pivotButton="0" quotePrefix="0" xfId="0">
      <alignment vertical="top"/>
    </xf>
    <xf numFmtId="3" fontId="1" fillId="20" borderId="0" applyAlignment="1" pivotButton="0" quotePrefix="0" xfId="0">
      <alignment vertical="top"/>
    </xf>
    <xf numFmtId="2" fontId="1" fillId="15" borderId="0" applyAlignment="1" pivotButton="0" quotePrefix="0" xfId="0">
      <alignment vertical="top"/>
    </xf>
    <xf numFmtId="1" fontId="1" fillId="15" borderId="0" applyAlignment="1" pivotButton="0" quotePrefix="0" xfId="0">
      <alignment vertical="top"/>
    </xf>
    <xf numFmtId="168" fontId="1" fillId="10" borderId="0" applyAlignment="1" pivotButton="0" quotePrefix="0" xfId="0">
      <alignment vertical="top"/>
    </xf>
    <xf numFmtId="3" fontId="1" fillId="15" borderId="0" applyAlignment="1" pivotButton="0" quotePrefix="0" xfId="0">
      <alignment vertical="top"/>
    </xf>
    <xf numFmtId="0" fontId="1" fillId="0" borderId="0" applyAlignment="1" pivotButton="0" quotePrefix="0" xfId="0">
      <alignment vertical="top" wrapText="1"/>
    </xf>
    <xf numFmtId="0" fontId="4" fillId="19" borderId="0" pivotButton="0" quotePrefix="0" xfId="0"/>
    <xf numFmtId="169" fontId="1"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F24"/>
  <sheetViews>
    <sheetView showGridLines="0" workbookViewId="0">
      <pane ySplit="4" topLeftCell="A5" activePane="bottomLeft" state="frozen"/>
      <selection activeCell="A1" sqref="A1"/>
    </sheetView>
  </sheetViews>
  <sheetFormatPr baseColWidth="8" defaultRowHeight="15"/>
  <cols>
    <col width="21.8799991607666" customWidth="1" min="1" max="1"/>
    <col width="45" customWidth="1" min="2" max="2"/>
    <col width="41.25" customWidth="1" min="3" max="3"/>
    <col width="18.75" customWidth="1" min="4" max="4"/>
    <col width="37.5" customWidth="1" min="5" max="5"/>
    <col width="27.5" customWidth="1" min="6" max="6"/>
  </cols>
  <sheetData>
    <row r="1" ht="28" customHeight="1">
      <c r="A1" s="5" t="inlineStr">
        <is>
          <t>Demand forecasting workshop</t>
        </is>
      </c>
      <c r="B1" s="3" t="n"/>
      <c r="C1" s="3" t="n"/>
      <c r="D1" s="3" t="n"/>
      <c r="E1" s="3" t="n"/>
      <c r="F1" s="3" t="n"/>
    </row>
    <row r="2" ht="24" customHeight="1">
      <c r="A2" s="7" t="inlineStr">
        <is>
          <t>South Africa • 7 October 2026 • Proposed direction and provisional current-model examples</t>
        </is>
      </c>
      <c r="B2" s="3" t="n"/>
      <c r="C2" s="3" t="n"/>
      <c r="D2" s="3" t="n"/>
      <c r="E2" s="3" t="n"/>
      <c r="F2" s="3" t="n"/>
    </row>
    <row r="3">
      <c r="A3" s="3" t="n"/>
      <c r="B3" s="3" t="n"/>
      <c r="C3" s="3" t="n"/>
      <c r="D3" s="3" t="n"/>
      <c r="E3" s="3" t="n"/>
      <c r="F3" s="3" t="n"/>
    </row>
    <row r="4" ht="38" customHeight="1">
      <c r="A4" s="9" t="inlineStr">
        <is>
          <t>Discussion</t>
        </is>
      </c>
      <c r="B4" s="9" t="inlineStr">
        <is>
          <t>Starting position</t>
        </is>
      </c>
      <c r="C4" s="9" t="inlineStr">
        <is>
          <t>Decision to record</t>
        </is>
      </c>
      <c r="D4" s="9" t="inlineStr">
        <is>
          <t>Lead / reviewer</t>
        </is>
      </c>
      <c r="E4" s="9" t="inlineStr">
        <is>
          <t>Agreed decision</t>
        </is>
      </c>
      <c r="F4" s="9" t="inlineStr">
        <is>
          <t>Next action / date</t>
        </is>
      </c>
    </row>
    <row r="5" ht="52" customHeight="1">
      <c r="A5" s="3" t="inlineStr">
        <is>
          <t>Purpose</t>
        </is>
      </c>
      <c r="B5" s="3" t="inlineStr">
        <is>
          <t>Start with Baseline; follow formulas to sector blocks, Model run and Evidence.</t>
        </is>
      </c>
      <c r="C5" s="3" t="inlineStr">
        <is>
          <t>Source selection holds each historical comparator choice. FIASA is provisional; HML remains last.</t>
        </is>
      </c>
      <c r="D5" s="3" t="inlineStr">
        <is>
          <t>Nigel + Manish</t>
        </is>
      </c>
      <c r="E5" s="10" t="n"/>
      <c r="F5" s="10" t="n"/>
    </row>
    <row r="6" ht="52" customHeight="1">
      <c r="A6" s="3" t="inlineStr">
        <is>
          <t>1. Segment methods</t>
        </is>
      </c>
      <c r="B6" s="3" t="inlineStr">
        <is>
          <t>Methods sheet distinguishes the existing engine from the proposed method.</t>
        </is>
      </c>
      <c r="C6" s="3" t="inlineStr">
        <is>
          <t>Agree method, segment boundaries and missing components.</t>
        </is>
      </c>
      <c r="D6" s="3" t="inlineStr">
        <is>
          <t>Manish / Nigel</t>
        </is>
      </c>
      <c r="E6" s="10" t="n"/>
      <c r="F6" s="10" t="n"/>
    </row>
    <row r="7" ht="52" customHeight="1">
      <c r="A7" s="3" t="inlineStr">
        <is>
          <t>2. Geography</t>
        </is>
      </c>
      <c r="B7" s="3" t="inlineStr">
        <is>
          <t>Use national allocation where local evidence is weak; provincial calculations where defensible.</t>
        </is>
      </c>
      <c r="C7" s="3" t="inlineStr">
        <is>
          <t>Choose method by segment and define sales versus consumption location.</t>
        </is>
      </c>
      <c r="D7" s="3" t="inlineStr">
        <is>
          <t>Manish / Nigel</t>
        </is>
      </c>
      <c r="E7" s="10" t="n"/>
      <c r="F7" s="10" t="n"/>
    </row>
    <row r="8" ht="52" customHeight="1">
      <c r="A8" s="3" t="inlineStr">
        <is>
          <t>3. Worked examples</t>
        </is>
      </c>
      <c r="B8" s="3" t="inlineStr">
        <is>
          <t>Excel recalculates source choices, linked reporting totals, unit conversions and differences.</t>
        </is>
      </c>
      <c r="C8" s="3" t="inlineStr">
        <is>
          <t>Engine results are a frozen Python run. Input/scenario changes require a Python rerun and refreshed export.</t>
        </is>
      </c>
      <c r="D8" s="3" t="inlineStr">
        <is>
          <t>Manish / Nigel</t>
        </is>
      </c>
      <c r="E8" s="10" t="n"/>
      <c r="F8" s="10" t="n"/>
    </row>
    <row r="9" ht="52" customHeight="1">
      <c r="A9" s="3" t="inlineStr">
        <is>
          <t>4. Input ranges</t>
        </is>
      </c>
      <c r="B9" s="3" t="inlineStr">
        <is>
          <t>HML contains existing proposed demand ranges plus blank brackets for missing drivers.</t>
        </is>
      </c>
      <c r="C9" s="3" t="inlineStr">
        <is>
          <t>Agree low / medium / high inputs, reference case and annual paths.</t>
        </is>
      </c>
      <c r="D9" s="3" t="inlineStr">
        <is>
          <t>Nigel / Henry</t>
        </is>
      </c>
      <c r="E9" s="10" t="n"/>
      <c r="F9" s="10" t="n"/>
    </row>
    <row r="10" ht="52" customHeight="1">
      <c r="A10" s="3" t="inlineStr">
        <is>
          <t>5. Scenario combinations</t>
        </is>
      </c>
      <c r="B10" s="3" t="inlineStr">
        <is>
          <t>A higher input can raise or lower demand. Medium is not an approved baseline.</t>
        </is>
      </c>
      <c r="C10" s="3" t="inlineStr">
        <is>
          <t>Select compatible inputs; assess demand and supply independently.</t>
        </is>
      </c>
      <c r="D10" s="3" t="inlineStr">
        <is>
          <t>Nigel / Henry</t>
        </is>
      </c>
      <c r="E10" s="10" t="n"/>
      <c r="F10" s="10" t="n"/>
    </row>
    <row r="11" ht="52" customHeight="1">
      <c r="A11" s="3" t="inlineStr">
        <is>
          <t>6. Acceptance</t>
        </is>
      </c>
      <c r="B11" s="3" t="inlineStr">
        <is>
          <t>Review corrections before engine integration.</t>
        </is>
      </c>
      <c r="C11" s="3" t="inlineStr">
        <is>
          <t>Record evidence, decision, owner and next review trigger.</t>
        </is>
      </c>
      <c r="D11" s="3" t="inlineStr">
        <is>
          <t>Nigel</t>
        </is>
      </c>
      <c r="E11" s="10" t="n"/>
      <c r="F11" s="10" t="n"/>
    </row>
    <row r="12" ht="52" customHeight="1">
      <c r="A12" s="3" t="inlineStr">
        <is>
          <t>Example scope</t>
        </is>
      </c>
      <c r="B12" s="3" t="inlineStr">
        <is>
          <t>Current high_demand scenario, vintage 2026. This is one existing case, not the proposed medium case.</t>
        </is>
      </c>
      <c r="C12" s="3" t="inlineStr">
        <is>
          <t>2022–2023 model backcast; 2024–2035 model horizon. No row is observed merely because its year is historical.</t>
        </is>
      </c>
      <c r="D12" s="3" t="inlineStr">
        <is>
          <t>All readers</t>
        </is>
      </c>
      <c r="E12" s="10" t="n"/>
      <c r="F12" s="10" t="n"/>
    </row>
    <row r="13" ht="52" customHeight="1">
      <c r="A13" s="3" t="inlineStr">
        <is>
          <t>Editable cells</t>
        </is>
      </c>
      <c r="B13" s="3" t="inlineStr">
        <is>
          <t>Yellow = missing/discussion inputs; blue = staged observations; green = current model or reporting calculations.</t>
        </is>
      </c>
      <c r="C13" s="3" t="inlineStr">
        <is>
          <t>Full-year observations stay in year columns. D may contain a clearly dated latest YTD/snapshot or older anchor.</t>
        </is>
      </c>
      <c r="D13" s="3" t="inlineStr">
        <is>
          <t>All readers</t>
        </is>
      </c>
      <c r="E13" s="10" t="n"/>
      <c r="F13" s="10" t="n"/>
    </row>
    <row r="14" ht="52" customHeight="1">
      <c r="A14" s="3" t="inlineStr">
        <is>
          <t>Calculation boundary</t>
        </is>
      </c>
      <c r="B14" s="3" t="inlineStr">
        <is>
          <t>Demand figures are snapshots from the Python engine. Editing a discussion input does not rerun the engine.</t>
        </is>
      </c>
      <c r="C14" s="3" t="inlineStr">
        <is>
          <t>Only explicit reconciliation / allocation formulas recalculate in Excel.</t>
        </is>
      </c>
      <c r="D14" s="3" t="inlineStr">
        <is>
          <t>Manish</t>
        </is>
      </c>
      <c r="E14" s="10" t="n"/>
      <c r="F14" s="10" t="n"/>
    </row>
    <row r="15" ht="52" customHeight="1">
      <c r="A15" s="3" t="inlineStr">
        <is>
          <t>Provincial example</t>
        </is>
      </c>
      <c r="B15" s="3" t="inlineStr">
        <is>
          <t>2022 observed provincial petrol/diesel and Q1 2023 partial values are now shown below the allocation template.</t>
        </is>
      </c>
      <c r="C15" s="3" t="inlineStr">
        <is>
          <t>Sales location differs from consumption. No passenger allocation shares have been silently populated.</t>
        </is>
      </c>
      <c r="D15" s="3" t="inlineStr">
        <is>
          <t>Manish / Nigel</t>
        </is>
      </c>
      <c r="E15" s="10" t="n"/>
      <c r="F15" s="10" t="n"/>
    </row>
    <row r="16" ht="52" customHeight="1">
      <c r="A16" s="3" t="inlineStr">
        <is>
          <t>Sources and run</t>
        </is>
      </c>
      <c r="B16" s="3" t="inlineStr">
        <is>
          <t>Recorded engine run: 2026-10-07T10:48:46.852505+00:00; commit 8c69f8333192483f19cd80911cb90fcd0943eb6b; high_demand; vintage 2026.</t>
        </is>
      </c>
      <c r="C16" s="3" t="inlineStr">
        <is>
          <t>Input and evidence SHA256 hashes are retained in workshop_data.json; no new model assumptions adopted.</t>
        </is>
      </c>
      <c r="D16" s="3" t="inlineStr">
        <is>
          <t>2026 draft vintage</t>
        </is>
      </c>
      <c r="E16" s="10" t="n"/>
      <c r="F16" s="10" t="n"/>
    </row>
    <row r="17" ht="52" customHeight="1">
      <c r="A17" s="3" t="inlineStr">
        <is>
          <t>Acceptance boundary</t>
        </is>
      </c>
      <c r="B17" s="3" t="inlineStr">
        <is>
          <t>54 open exceptions at workbook preparation. Current inputs and outputs remain provisional.</t>
        </is>
      </c>
      <c r="C17" s="3" t="inlineStr">
        <is>
          <t>No source approval, peer-review completion or client acceptance is inferred.</t>
        </is>
      </c>
      <c r="D17" s="3" t="inlineStr">
        <is>
          <t>Nigel</t>
        </is>
      </c>
      <c r="E17" s="10" t="n"/>
      <c r="F17" s="10" t="n"/>
    </row>
    <row r="18" ht="52" customHeight="1">
      <c r="A18" s="3" t="n"/>
      <c r="B18" s="3" t="n"/>
      <c r="C18" s="3" t="n"/>
      <c r="D18" s="3" t="n"/>
      <c r="E18" s="3" t="n"/>
      <c r="F18" s="3" t="n"/>
    </row>
    <row r="19" ht="52" customHeight="1">
      <c r="A19" s="3" t="n"/>
      <c r="B19" s="3" t="n"/>
      <c r="C19" s="3" t="n"/>
      <c r="D19" s="3" t="n"/>
      <c r="E19" s="3" t="n"/>
      <c r="F19" s="3" t="n"/>
    </row>
    <row r="20" ht="52" customHeight="1">
      <c r="A20" s="3" t="n"/>
      <c r="B20" s="3" t="n"/>
      <c r="C20" s="3" t="n"/>
      <c r="D20" s="3" t="n"/>
      <c r="E20" s="3" t="n"/>
      <c r="F20" s="3" t="n"/>
    </row>
    <row r="21" ht="52" customHeight="1">
      <c r="A21" s="3" t="n"/>
      <c r="B21" s="3" t="n"/>
      <c r="C21" s="3" t="n"/>
      <c r="D21" s="3" t="n"/>
      <c r="E21" s="3" t="n"/>
      <c r="F21" s="3" t="n"/>
    </row>
    <row r="22" ht="52" customHeight="1">
      <c r="A22" s="3" t="n"/>
      <c r="B22" s="3" t="n"/>
      <c r="C22" s="3" t="n"/>
      <c r="D22" s="3" t="n"/>
      <c r="E22" s="3" t="n"/>
      <c r="F22" s="3" t="n"/>
    </row>
    <row r="23" ht="52" customHeight="1">
      <c r="A23" s="3" t="n"/>
      <c r="B23" s="3" t="n"/>
      <c r="C23" s="3" t="n"/>
      <c r="D23" s="3" t="n"/>
      <c r="E23" s="3" t="n"/>
      <c r="F23" s="3" t="n"/>
    </row>
    <row r="24" ht="52" customHeight="1">
      <c r="A24" s="3" t="n"/>
      <c r="B24" s="3" t="n"/>
      <c r="C24" s="3" t="n"/>
      <c r="D24" s="3" t="n"/>
      <c r="E24" s="3" t="n"/>
      <c r="F24" s="3"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47"/>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3.75" customWidth="1" min="6" max="6"/>
    <col width="13.75" customWidth="1" min="7" max="7"/>
    <col width="13.75" customWidth="1" min="8" max="8"/>
    <col width="13.75" customWidth="1" min="9" max="9"/>
    <col width="13.75" customWidth="1" min="10" max="10"/>
    <col width="13.75" customWidth="1" min="11" max="11"/>
    <col width="13.75" customWidth="1" min="12" max="12"/>
    <col width="13.75" customWidth="1" min="13" max="13"/>
    <col width="13.75" customWidth="1" min="14" max="14"/>
    <col width="13.75" customWidth="1" min="15" max="15"/>
    <col width="13.75" customWidth="1" min="16" max="16"/>
    <col width="13.75" customWidth="1" min="17" max="17"/>
    <col width="13.75" customWidth="1" min="18" max="18"/>
    <col width="13.75" customWidth="1" min="19" max="19"/>
    <col width="31.8799991607666" customWidth="1" min="20" max="20"/>
    <col width="36.25" customWidth="1" min="21" max="21"/>
    <col width="36.25" customWidth="1" min="22" max="22"/>
  </cols>
  <sheetData>
    <row r="1" ht="25" customHeight="1">
      <c r="A1" s="5" t="inlineStr">
        <is>
          <t>Demand baseline and reconciliation</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Linked demand comparison. Full definitions: Notes. Historical sources: Source selection.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Petrol: national product comparison</t>
        </is>
      </c>
      <c r="B5" s="11" t="n"/>
      <c r="C5" s="11" t="n"/>
      <c r="D5" s="11" t="n"/>
      <c r="E5" s="11" t="n"/>
      <c r="F5" s="25" t="n"/>
      <c r="G5" s="25" t="n"/>
      <c r="H5" s="25" t="n"/>
      <c r="I5" s="25" t="n"/>
      <c r="J5" s="25" t="n"/>
      <c r="K5" s="25" t="n"/>
      <c r="L5" s="25" t="n"/>
      <c r="M5" s="25" t="n"/>
      <c r="N5" s="25" t="n"/>
      <c r="O5" s="25" t="n"/>
      <c r="P5" s="25" t="n"/>
      <c r="Q5" s="25" t="n"/>
      <c r="R5" s="25" t="n"/>
      <c r="S5" s="25" t="n"/>
      <c r="T5" s="11" t="n"/>
      <c r="U5" s="11" t="n"/>
      <c r="V5" s="11" t="n"/>
    </row>
    <row r="6" ht="30" customHeight="1">
      <c r="A6" s="65" t="inlineStr">
        <is>
          <t>Selected historical petrol sales</t>
        </is>
      </c>
      <c r="B6" s="65" t="inlineStr">
        <is>
          <t>million L/year</t>
        </is>
      </c>
      <c r="C6" s="65" t="inlineStr">
        <is>
          <t>Linked observation</t>
        </is>
      </c>
      <c r="D6" s="114" t="n"/>
      <c r="E6" s="65" t="inlineStr">
        <is>
          <t>Selected historical sales; see Source selection. [N001]</t>
        </is>
      </c>
      <c r="F6" s="115">
        <f>IF(ISNUMBER('Source selection'!F5),'Source selection'!F5,"")</f>
        <v/>
      </c>
      <c r="G6" s="115">
        <f>IF(ISNUMBER('Source selection'!F6),'Source selection'!F6,"")</f>
        <v/>
      </c>
      <c r="H6" s="115">
        <f>IF(ISNUMBER('Source selection'!F7),'Source selection'!F7,"")</f>
        <v/>
      </c>
      <c r="I6" s="115">
        <f>IF(ISNUMBER('Source selection'!F8),'Source selection'!F8,"")</f>
        <v/>
      </c>
      <c r="J6" s="115">
        <f>IF(ISNUMBER('Source selection'!F9),'Source selection'!F9,"")</f>
        <v/>
      </c>
      <c r="K6" s="115" t="n"/>
      <c r="L6" s="115" t="n"/>
      <c r="M6" s="115" t="n"/>
      <c r="N6" s="115" t="n"/>
      <c r="O6" s="115" t="n"/>
      <c r="P6" s="115" t="n"/>
      <c r="Q6" s="115" t="n"/>
      <c r="R6" s="115" t="n"/>
      <c r="S6" s="115" t="n"/>
      <c r="T6" s="3" t="inlineStr">
        <is>
          <t>Working comparator; not approved</t>
        </is>
      </c>
      <c r="U6" s="3" t="inlineStr">
        <is>
          <t>Source selection → Evidence</t>
        </is>
      </c>
      <c r="V6" s="3" t="inlineStr">
        <is>
          <t>Manish reconciles scope/revisions; Nigel accepts source.</t>
        </is>
      </c>
    </row>
    <row r="7" ht="30" customHeight="1">
      <c r="A7" s="65" t="inlineStr">
        <is>
          <t>Historical source / status</t>
        </is>
      </c>
      <c r="B7" s="65" t="inlineStr">
        <is>
          <t>text</t>
        </is>
      </c>
      <c r="C7" s="65" t="inlineStr">
        <is>
          <t>Selection status</t>
        </is>
      </c>
      <c r="D7" s="114" t="n"/>
      <c r="E7" s="65" t="inlineStr">
        <is>
          <t>Selected source, or unresolved when unavailable. [N002]</t>
        </is>
      </c>
      <c r="F7" s="115">
        <f>IF(ISNUMBER('Source selection'!F5),'Source selection'!E5,"Unresolved")</f>
        <v/>
      </c>
      <c r="G7" s="115">
        <f>IF(ISNUMBER('Source selection'!F6),'Source selection'!E6,"Unresolved")</f>
        <v/>
      </c>
      <c r="H7" s="115">
        <f>IF(ISNUMBER('Source selection'!F7),'Source selection'!E7,"Unresolved")</f>
        <v/>
      </c>
      <c r="I7" s="115">
        <f>IF(ISNUMBER('Source selection'!F8),'Source selection'!E8,"Unresolved")</f>
        <v/>
      </c>
      <c r="J7" s="115">
        <f>IF(ISNUMBER('Source selection'!F9),'Source selection'!E9,"Unresolved")</f>
        <v/>
      </c>
      <c r="K7" s="115" t="n"/>
      <c r="L7" s="115" t="n"/>
      <c r="M7" s="115" t="n"/>
      <c r="N7" s="115" t="n"/>
      <c r="O7" s="115" t="n"/>
      <c r="P7" s="115" t="n"/>
      <c r="Q7" s="115" t="n"/>
      <c r="R7" s="115" t="n"/>
      <c r="S7" s="115" t="n"/>
      <c r="T7" s="3" t="inlineStr">
        <is>
          <t>Not an additional demand series</t>
        </is>
      </c>
      <c r="U7" s="3" t="inlineStr">
        <is>
          <t>Source selection</t>
        </is>
      </c>
      <c r="V7" s="3" t="inlineStr">
        <is>
          <t>Review selected source before calibration.</t>
        </is>
      </c>
    </row>
    <row r="8" ht="30" customHeight="1">
      <c r="A8" s="16" t="inlineStr">
        <is>
          <t>Current model road petrol</t>
        </is>
      </c>
      <c r="B8" s="16" t="inlineStr">
        <is>
          <t>million L/year</t>
        </is>
      </c>
      <c r="C8" s="16" t="inlineStr">
        <is>
          <t>Model output</t>
        </is>
      </c>
      <c r="D8" s="116" t="n"/>
      <c r="E8" s="16" t="inlineStr">
        <is>
          <t>Passenger + LCV petrol. All-grade sales comparison. [N003]</t>
        </is>
      </c>
      <c r="F8" s="117">
        <f>IF(ISNUMBER('Petrol'!F23),'Petrol'!F23/1000000,"")</f>
        <v/>
      </c>
      <c r="G8" s="117">
        <f>IF(ISNUMBER('Petrol'!G23),'Petrol'!G23/1000000,"")</f>
        <v/>
      </c>
      <c r="H8" s="117">
        <f>IF(ISNUMBER('Petrol'!H23),'Petrol'!H23/1000000,"")</f>
        <v/>
      </c>
      <c r="I8" s="117">
        <f>IF(ISNUMBER('Petrol'!I23),'Petrol'!I23/1000000,"")</f>
        <v/>
      </c>
      <c r="J8" s="117">
        <f>IF(ISNUMBER('Petrol'!J23),'Petrol'!J23/1000000,"")</f>
        <v/>
      </c>
      <c r="K8" s="117">
        <f>IF(ISNUMBER('Petrol'!K23),'Petrol'!K23/1000000,"")</f>
        <v/>
      </c>
      <c r="L8" s="117">
        <f>IF(ISNUMBER('Petrol'!L23),'Petrol'!L23/1000000,"")</f>
        <v/>
      </c>
      <c r="M8" s="117">
        <f>IF(ISNUMBER('Petrol'!M23),'Petrol'!M23/1000000,"")</f>
        <v/>
      </c>
      <c r="N8" s="117">
        <f>IF(ISNUMBER('Petrol'!N23),'Petrol'!N23/1000000,"")</f>
        <v/>
      </c>
      <c r="O8" s="117">
        <f>IF(ISNUMBER('Petrol'!O23),'Petrol'!O23/1000000,"")</f>
        <v/>
      </c>
      <c r="P8" s="117">
        <f>IF(ISNUMBER('Petrol'!P23),'Petrol'!P23/1000000,"")</f>
        <v/>
      </c>
      <c r="Q8" s="117">
        <f>IF(ISNUMBER('Petrol'!Q23),'Petrol'!Q23/1000000,"")</f>
        <v/>
      </c>
      <c r="R8" s="117">
        <f>IF(ISNUMBER('Petrol'!R23),'Petrol'!R23/1000000,"")</f>
        <v/>
      </c>
      <c r="S8" s="117">
        <f>IF(ISNUMBER('Petrol'!S23),'Petrol'!S23/1000000,"")</f>
        <v/>
      </c>
      <c r="T8" s="3" t="inlineStr">
        <is>
          <t>2026 vintage; current high_demand case; provisional.</t>
        </is>
      </c>
      <c r="U8" s="3" t="inlineStr">
        <is>
          <t>Petrol row 23 → Model run → Python engine</t>
        </is>
      </c>
      <c r="V8" s="3" t="inlineStr">
        <is>
          <t>Validate inputs and reconcile against observed data.</t>
        </is>
      </c>
    </row>
    <row r="9" ht="30" customHeight="1">
      <c r="A9" s="16" t="inlineStr">
        <is>
          <t>Model less selected historical sales</t>
        </is>
      </c>
      <c r="B9" s="16" t="inlineStr">
        <is>
          <t>million L/year</t>
        </is>
      </c>
      <c r="C9" s="16" t="inlineStr">
        <is>
          <t>Reporting formula</t>
        </is>
      </c>
      <c r="D9" s="116" t="n"/>
      <c r="E9" s="16" t="inlineStr">
        <is>
          <t>Model minus selected sales; scope requires reconciliation. [N004]</t>
        </is>
      </c>
      <c r="F9" s="117">
        <f>IF(COUNT(F6,F8)&lt;2,"",F8-F6)</f>
        <v/>
      </c>
      <c r="G9" s="117">
        <f>IF(COUNT(G6,G8)&lt;2,"",G8-G6)</f>
        <v/>
      </c>
      <c r="H9" s="117">
        <f>IF(COUNT(H6,H8)&lt;2,"",H8-H6)</f>
        <v/>
      </c>
      <c r="I9" s="117">
        <f>IF(COUNT(I6,I8)&lt;2,"",I8-I6)</f>
        <v/>
      </c>
      <c r="J9" s="117">
        <f>IF(COUNT(J6,J8)&lt;2,"",J8-J6)</f>
        <v/>
      </c>
      <c r="K9" s="117">
        <f>IF(COUNT(K6,K8)&lt;2,"",K8-K6)</f>
        <v/>
      </c>
      <c r="L9" s="117">
        <f>IF(COUNT(L6,L8)&lt;2,"",L8-L6)</f>
        <v/>
      </c>
      <c r="M9" s="117">
        <f>IF(COUNT(M6,M8)&lt;2,"",M8-M6)</f>
        <v/>
      </c>
      <c r="N9" s="117">
        <f>IF(COUNT(N6,N8)&lt;2,"",N8-N6)</f>
        <v/>
      </c>
      <c r="O9" s="117">
        <f>IF(COUNT(O6,O8)&lt;2,"",O8-O6)</f>
        <v/>
      </c>
      <c r="P9" s="117">
        <f>IF(COUNT(P6,P8)&lt;2,"",P8-P6)</f>
        <v/>
      </c>
      <c r="Q9" s="117">
        <f>IF(COUNT(Q6,Q8)&lt;2,"",Q8-Q6)</f>
        <v/>
      </c>
      <c r="R9" s="117">
        <f>IF(COUNT(R6,R8)&lt;2,"",R8-R6)</f>
        <v/>
      </c>
      <c r="S9" s="117">
        <f>IF(COUNT(S6,S8)&lt;2,"",S8-S6)</f>
        <v/>
      </c>
      <c r="T9" s="3" t="inlineStr">
        <is>
          <t>Only where both values exist.</t>
        </is>
      </c>
      <c r="U9" s="3" t="str"/>
      <c r="V9" s="3" t="inlineStr">
        <is>
          <t>G01: reconcile grade/segment scope.</t>
        </is>
      </c>
    </row>
    <row r="10" ht="8" customHeight="1">
      <c r="A10" s="3" t="n"/>
      <c r="B10" s="3" t="n"/>
      <c r="C10" s="3" t="n"/>
      <c r="D10" s="3" t="n"/>
      <c r="E10" s="3" t="n"/>
      <c r="F10" s="6" t="n"/>
      <c r="G10" s="6" t="n"/>
      <c r="H10" s="6" t="n"/>
      <c r="I10" s="6" t="n"/>
      <c r="J10" s="6" t="n"/>
      <c r="K10" s="6" t="n"/>
      <c r="L10" s="6" t="n"/>
      <c r="M10" s="6" t="n"/>
      <c r="N10" s="6" t="n"/>
      <c r="O10" s="6" t="n"/>
      <c r="P10" s="6" t="n"/>
      <c r="Q10" s="6" t="n"/>
      <c r="R10" s="6" t="n"/>
      <c r="S10" s="6" t="n"/>
      <c r="T10" s="3" t="n"/>
      <c r="U10" s="3" t="n"/>
      <c r="V10" s="3" t="n"/>
    </row>
    <row r="11" ht="28" customHeight="1">
      <c r="A11" s="12" t="inlineStr">
        <is>
          <t>Diesel: segments and national product comparison</t>
        </is>
      </c>
      <c r="B11" s="11" t="n"/>
      <c r="C11" s="11" t="n"/>
      <c r="D11" s="11" t="n"/>
      <c r="E11" s="11" t="n"/>
      <c r="F11" s="25" t="n"/>
      <c r="G11" s="25" t="n"/>
      <c r="H11" s="25" t="n"/>
      <c r="I11" s="25" t="n"/>
      <c r="J11" s="25" t="n"/>
      <c r="K11" s="25" t="n"/>
      <c r="L11" s="25" t="n"/>
      <c r="M11" s="25" t="n"/>
      <c r="N11" s="25" t="n"/>
      <c r="O11" s="25" t="n"/>
      <c r="P11" s="25" t="n"/>
      <c r="Q11" s="25" t="n"/>
      <c r="R11" s="25" t="n"/>
      <c r="S11" s="25" t="n"/>
      <c r="T11" s="11" t="n"/>
      <c r="U11" s="11" t="n"/>
      <c r="V11" s="11" t="n"/>
    </row>
    <row r="12" ht="30" customHeight="1">
      <c r="A12" s="65" t="inlineStr">
        <is>
          <t>Selected historical diesel sales</t>
        </is>
      </c>
      <c r="B12" s="65" t="inlineStr">
        <is>
          <t>million L/year</t>
        </is>
      </c>
      <c r="C12" s="65" t="inlineStr">
        <is>
          <t>Linked observation</t>
        </is>
      </c>
      <c r="D12" s="114" t="n"/>
      <c r="E12" s="65" t="inlineStr">
        <is>
          <t>Selected historical sales; see Source selection. [N005]</t>
        </is>
      </c>
      <c r="F12" s="115">
        <f>IF(ISNUMBER('Source selection'!F10),'Source selection'!F10,"")</f>
        <v/>
      </c>
      <c r="G12" s="115">
        <f>IF(ISNUMBER('Source selection'!F11),'Source selection'!F11,"")</f>
        <v/>
      </c>
      <c r="H12" s="115">
        <f>IF(ISNUMBER('Source selection'!F12),'Source selection'!F12,"")</f>
        <v/>
      </c>
      <c r="I12" s="115">
        <f>IF(ISNUMBER('Source selection'!F13),'Source selection'!F13,"")</f>
        <v/>
      </c>
      <c r="J12" s="115">
        <f>IF(ISNUMBER('Source selection'!F14),'Source selection'!F14,"")</f>
        <v/>
      </c>
      <c r="K12" s="115" t="n"/>
      <c r="L12" s="115" t="n"/>
      <c r="M12" s="115" t="n"/>
      <c r="N12" s="115" t="n"/>
      <c r="O12" s="115" t="n"/>
      <c r="P12" s="115" t="n"/>
      <c r="Q12" s="115" t="n"/>
      <c r="R12" s="115" t="n"/>
      <c r="S12" s="115" t="n"/>
      <c r="T12" s="3" t="inlineStr">
        <is>
          <t>Working comparator; not approved</t>
        </is>
      </c>
      <c r="U12" s="3" t="inlineStr">
        <is>
          <t>Source selection → Evidence</t>
        </is>
      </c>
      <c r="V12" s="3" t="inlineStr">
        <is>
          <t>Manish reconciles scope/revisions; Nigel accepts source.</t>
        </is>
      </c>
    </row>
    <row r="13" ht="30" customHeight="1">
      <c r="A13" s="65" t="inlineStr">
        <is>
          <t>Historical source / status</t>
        </is>
      </c>
      <c r="B13" s="65" t="inlineStr">
        <is>
          <t>text</t>
        </is>
      </c>
      <c r="C13" s="65" t="inlineStr">
        <is>
          <t>Selection status</t>
        </is>
      </c>
      <c r="D13" s="114" t="n"/>
      <c r="E13" s="65" t="inlineStr">
        <is>
          <t>Selected source, or unresolved when unavailable. [N006]</t>
        </is>
      </c>
      <c r="F13" s="115">
        <f>IF(ISNUMBER('Source selection'!F10),'Source selection'!E10,"Unresolved")</f>
        <v/>
      </c>
      <c r="G13" s="115">
        <f>IF(ISNUMBER('Source selection'!F11),'Source selection'!E11,"Unresolved")</f>
        <v/>
      </c>
      <c r="H13" s="115">
        <f>IF(ISNUMBER('Source selection'!F12),'Source selection'!E12,"Unresolved")</f>
        <v/>
      </c>
      <c r="I13" s="115">
        <f>IF(ISNUMBER('Source selection'!F13),'Source selection'!E13,"Unresolved")</f>
        <v/>
      </c>
      <c r="J13" s="115">
        <f>IF(ISNUMBER('Source selection'!F14),'Source selection'!E14,"Unresolved")</f>
        <v/>
      </c>
      <c r="K13" s="115" t="n"/>
      <c r="L13" s="115" t="n"/>
      <c r="M13" s="115" t="n"/>
      <c r="N13" s="115" t="n"/>
      <c r="O13" s="115" t="n"/>
      <c r="P13" s="115" t="n"/>
      <c r="Q13" s="115" t="n"/>
      <c r="R13" s="115" t="n"/>
      <c r="S13" s="115" t="n"/>
      <c r="T13" s="3" t="inlineStr">
        <is>
          <t>Not an additional demand series</t>
        </is>
      </c>
      <c r="U13" s="3" t="inlineStr">
        <is>
          <t>Source selection</t>
        </is>
      </c>
      <c r="V13" s="3" t="inlineStr">
        <is>
          <t>Review selected source before calibration.</t>
        </is>
      </c>
    </row>
    <row r="14" ht="30" customHeight="1">
      <c r="A14" s="16" t="inlineStr">
        <is>
          <t>All road diesel</t>
        </is>
      </c>
      <c r="B14" s="16" t="inlineStr">
        <is>
          <t>million L/year</t>
        </is>
      </c>
      <c r="C14" s="16" t="inlineStr">
        <is>
          <t>Model output</t>
        </is>
      </c>
      <c r="D14" s="116" t="n"/>
      <c r="E14" s="16" t="inlineStr">
        <is>
          <t>Passenger + LCV + HCV diesel. [N007]</t>
        </is>
      </c>
      <c r="F14" s="117">
        <f>IF(ISNUMBER('Freight'!F57),'Freight'!F57/1,"")</f>
        <v/>
      </c>
      <c r="G14" s="117">
        <f>IF(ISNUMBER('Freight'!G57),'Freight'!G57/1,"")</f>
        <v/>
      </c>
      <c r="H14" s="117">
        <f>IF(ISNUMBER('Freight'!H57),'Freight'!H57/1,"")</f>
        <v/>
      </c>
      <c r="I14" s="117">
        <f>IF(ISNUMBER('Freight'!I57),'Freight'!I57/1,"")</f>
        <v/>
      </c>
      <c r="J14" s="117">
        <f>IF(ISNUMBER('Freight'!J57),'Freight'!J57/1,"")</f>
        <v/>
      </c>
      <c r="K14" s="117">
        <f>IF(ISNUMBER('Freight'!K57),'Freight'!K57/1,"")</f>
        <v/>
      </c>
      <c r="L14" s="117">
        <f>IF(ISNUMBER('Freight'!L57),'Freight'!L57/1,"")</f>
        <v/>
      </c>
      <c r="M14" s="117">
        <f>IF(ISNUMBER('Freight'!M57),'Freight'!M57/1,"")</f>
        <v/>
      </c>
      <c r="N14" s="117">
        <f>IF(ISNUMBER('Freight'!N57),'Freight'!N57/1,"")</f>
        <v/>
      </c>
      <c r="O14" s="117">
        <f>IF(ISNUMBER('Freight'!O57),'Freight'!O57/1,"")</f>
        <v/>
      </c>
      <c r="P14" s="117">
        <f>IF(ISNUMBER('Freight'!P57),'Freight'!P57/1,"")</f>
        <v/>
      </c>
      <c r="Q14" s="117">
        <f>IF(ISNUMBER('Freight'!Q57),'Freight'!Q57/1,"")</f>
        <v/>
      </c>
      <c r="R14" s="117">
        <f>IF(ISNUMBER('Freight'!R57),'Freight'!R57/1,"")</f>
        <v/>
      </c>
      <c r="S14" s="117">
        <f>IF(ISNUMBER('Freight'!S57),'Freight'!S57/1,"")</f>
        <v/>
      </c>
      <c r="T14" s="3" t="inlineStr">
        <is>
          <t>2026 vintage; current high_demand case; provisional.</t>
        </is>
      </c>
      <c r="U14" s="3" t="inlineStr">
        <is>
          <t>Freight row 57 → Model run → Python engine</t>
        </is>
      </c>
      <c r="V14" s="3" t="inlineStr">
        <is>
          <t>Validate inputs and reconcile against observed data.</t>
        </is>
      </c>
    </row>
    <row r="15" ht="30" customHeight="1">
      <c r="A15" s="16" t="inlineStr">
        <is>
          <t>Grid OCGT diesel</t>
        </is>
      </c>
      <c r="B15" s="16" t="inlineStr">
        <is>
          <t>million L/year</t>
        </is>
      </c>
      <c r="C15" s="16" t="inlineStr">
        <is>
          <t>Model output</t>
        </is>
      </c>
      <c r="D15" s="116" t="n"/>
      <c r="E15" s="16" t="inlineStr">
        <is>
          <t>Grid OCGT model. Private backup not calibrated. [N008]</t>
        </is>
      </c>
      <c r="F15" s="117">
        <f>IF(ISNUMBER('Other demand'!F12),'Other demand'!F12/1,"")</f>
        <v/>
      </c>
      <c r="G15" s="117">
        <f>IF(ISNUMBER('Other demand'!G12),'Other demand'!G12/1,"")</f>
        <v/>
      </c>
      <c r="H15" s="117">
        <f>IF(ISNUMBER('Other demand'!H12),'Other demand'!H12/1,"")</f>
        <v/>
      </c>
      <c r="I15" s="117">
        <f>IF(ISNUMBER('Other demand'!I12),'Other demand'!I12/1,"")</f>
        <v/>
      </c>
      <c r="J15" s="117">
        <f>IF(ISNUMBER('Other demand'!J12),'Other demand'!J12/1,"")</f>
        <v/>
      </c>
      <c r="K15" s="117">
        <f>IF(ISNUMBER('Other demand'!K12),'Other demand'!K12/1,"")</f>
        <v/>
      </c>
      <c r="L15" s="117">
        <f>IF(ISNUMBER('Other demand'!L12),'Other demand'!L12/1,"")</f>
        <v/>
      </c>
      <c r="M15" s="117">
        <f>IF(ISNUMBER('Other demand'!M12),'Other demand'!M12/1,"")</f>
        <v/>
      </c>
      <c r="N15" s="117">
        <f>IF(ISNUMBER('Other demand'!N12),'Other demand'!N12/1,"")</f>
        <v/>
      </c>
      <c r="O15" s="117">
        <f>IF(ISNUMBER('Other demand'!O12),'Other demand'!O12/1,"")</f>
        <v/>
      </c>
      <c r="P15" s="117">
        <f>IF(ISNUMBER('Other demand'!P12),'Other demand'!P12/1,"")</f>
        <v/>
      </c>
      <c r="Q15" s="117">
        <f>IF(ISNUMBER('Other demand'!Q12),'Other demand'!Q12/1,"")</f>
        <v/>
      </c>
      <c r="R15" s="117">
        <f>IF(ISNUMBER('Other demand'!R12),'Other demand'!R12/1,"")</f>
        <v/>
      </c>
      <c r="S15" s="117">
        <f>IF(ISNUMBER('Other demand'!S12),'Other demand'!S12/1,"")</f>
        <v/>
      </c>
      <c r="T15" s="3" t="inlineStr">
        <is>
          <t>2026 vintage; current high_demand case; provisional.</t>
        </is>
      </c>
      <c r="U15" s="3" t="inlineStr">
        <is>
          <t>Other demand row 12 → Model run → Python engine</t>
        </is>
      </c>
      <c r="V15" s="3" t="inlineStr">
        <is>
          <t>Validate inputs and reconcile against observed data.</t>
        </is>
      </c>
    </row>
    <row r="16" ht="30" customHeight="1">
      <c r="A16" s="16" t="inlineStr">
        <is>
          <t>Agricultural diesel</t>
        </is>
      </c>
      <c r="B16" s="16" t="inlineStr">
        <is>
          <t>million L/year</t>
        </is>
      </c>
      <c r="C16" s="16" t="inlineStr">
        <is>
          <t>Model output</t>
        </is>
      </c>
      <c r="D16" s="116" t="n"/>
      <c r="E16" s="16" t="inlineStr">
        <is>
          <t>GDP/capita method; provisional 2024 fuel baseline. [N009]</t>
        </is>
      </c>
      <c r="F16" s="117">
        <f>IF(ISNUMBER('Agriculture'!F13),'Agriculture'!F13/1,"")</f>
        <v/>
      </c>
      <c r="G16" s="117">
        <f>IF(ISNUMBER('Agriculture'!G13),'Agriculture'!G13/1,"")</f>
        <v/>
      </c>
      <c r="H16" s="117">
        <f>IF(ISNUMBER('Agriculture'!H13),'Agriculture'!H13/1,"")</f>
        <v/>
      </c>
      <c r="I16" s="117">
        <f>IF(ISNUMBER('Agriculture'!I13),'Agriculture'!I13/1,"")</f>
        <v/>
      </c>
      <c r="J16" s="117">
        <f>IF(ISNUMBER('Agriculture'!J13),'Agriculture'!J13/1,"")</f>
        <v/>
      </c>
      <c r="K16" s="117">
        <f>IF(ISNUMBER('Agriculture'!K13),'Agriculture'!K13/1,"")</f>
        <v/>
      </c>
      <c r="L16" s="117">
        <f>IF(ISNUMBER('Agriculture'!L13),'Agriculture'!L13/1,"")</f>
        <v/>
      </c>
      <c r="M16" s="117">
        <f>IF(ISNUMBER('Agriculture'!M13),'Agriculture'!M13/1,"")</f>
        <v/>
      </c>
      <c r="N16" s="117">
        <f>IF(ISNUMBER('Agriculture'!N13),'Agriculture'!N13/1,"")</f>
        <v/>
      </c>
      <c r="O16" s="117">
        <f>IF(ISNUMBER('Agriculture'!O13),'Agriculture'!O13/1,"")</f>
        <v/>
      </c>
      <c r="P16" s="117">
        <f>IF(ISNUMBER('Agriculture'!P13),'Agriculture'!P13/1,"")</f>
        <v/>
      </c>
      <c r="Q16" s="117">
        <f>IF(ISNUMBER('Agriculture'!Q13),'Agriculture'!Q13/1,"")</f>
        <v/>
      </c>
      <c r="R16" s="117">
        <f>IF(ISNUMBER('Agriculture'!R13),'Agriculture'!R13/1,"")</f>
        <v/>
      </c>
      <c r="S16" s="117">
        <f>IF(ISNUMBER('Agriculture'!S13),'Agriculture'!S13/1,"")</f>
        <v/>
      </c>
      <c r="T16" s="3" t="inlineStr">
        <is>
          <t>2026 vintage; current high_demand case; provisional.</t>
        </is>
      </c>
      <c r="U16" s="3" t="inlineStr">
        <is>
          <t>Agriculture row 13 → Model run → Python engine</t>
        </is>
      </c>
      <c r="V16" s="3" t="inlineStr">
        <is>
          <t>Validate inputs and reconcile against observed data.</t>
        </is>
      </c>
    </row>
    <row r="17" ht="30" customHeight="1">
      <c r="A17" s="16" t="inlineStr">
        <is>
          <t>Combined industrial diesel</t>
        </is>
      </c>
      <c r="B17" s="16" t="inlineStr">
        <is>
          <t>million L/year</t>
        </is>
      </c>
      <c r="C17" s="16" t="inlineStr">
        <is>
          <t>Model output</t>
        </is>
      </c>
      <c r="D17" s="116" t="n"/>
      <c r="E17" s="16" t="inlineStr">
        <is>
          <t>Manufacturing + mining + construction combined. [N010]</t>
        </is>
      </c>
      <c r="F17" s="117">
        <f>IF(ISNUMBER('Manufacturing'!F24),'Manufacturing'!F24/1,"")</f>
        <v/>
      </c>
      <c r="G17" s="117">
        <f>IF(ISNUMBER('Manufacturing'!G24),'Manufacturing'!G24/1,"")</f>
        <v/>
      </c>
      <c r="H17" s="117">
        <f>IF(ISNUMBER('Manufacturing'!H24),'Manufacturing'!H24/1,"")</f>
        <v/>
      </c>
      <c r="I17" s="117">
        <f>IF(ISNUMBER('Manufacturing'!I24),'Manufacturing'!I24/1,"")</f>
        <v/>
      </c>
      <c r="J17" s="117">
        <f>IF(ISNUMBER('Manufacturing'!J24),'Manufacturing'!J24/1,"")</f>
        <v/>
      </c>
      <c r="K17" s="117">
        <f>IF(ISNUMBER('Manufacturing'!K24),'Manufacturing'!K24/1,"")</f>
        <v/>
      </c>
      <c r="L17" s="117">
        <f>IF(ISNUMBER('Manufacturing'!L24),'Manufacturing'!L24/1,"")</f>
        <v/>
      </c>
      <c r="M17" s="117">
        <f>IF(ISNUMBER('Manufacturing'!M24),'Manufacturing'!M24/1,"")</f>
        <v/>
      </c>
      <c r="N17" s="117">
        <f>IF(ISNUMBER('Manufacturing'!N24),'Manufacturing'!N24/1,"")</f>
        <v/>
      </c>
      <c r="O17" s="117">
        <f>IF(ISNUMBER('Manufacturing'!O24),'Manufacturing'!O24/1,"")</f>
        <v/>
      </c>
      <c r="P17" s="117">
        <f>IF(ISNUMBER('Manufacturing'!P24),'Manufacturing'!P24/1,"")</f>
        <v/>
      </c>
      <c r="Q17" s="117">
        <f>IF(ISNUMBER('Manufacturing'!Q24),'Manufacturing'!Q24/1,"")</f>
        <v/>
      </c>
      <c r="R17" s="117">
        <f>IF(ISNUMBER('Manufacturing'!R24),'Manufacturing'!R24/1,"")</f>
        <v/>
      </c>
      <c r="S17" s="117">
        <f>IF(ISNUMBER('Manufacturing'!S24),'Manufacturing'!S24/1,"")</f>
        <v/>
      </c>
      <c r="T17" s="3" t="inlineStr">
        <is>
          <t>2026 vintage; current high_demand case; provisional.</t>
        </is>
      </c>
      <c r="U17" s="3" t="inlineStr">
        <is>
          <t>Manufacturing row 24 → Model run → Python engine</t>
        </is>
      </c>
      <c r="V17" s="3" t="inlineStr">
        <is>
          <t>Validate inputs and reconcile against observed data.</t>
        </is>
      </c>
    </row>
    <row r="18" ht="30" customHeight="1">
      <c r="A18" s="16" t="inlineStr">
        <is>
          <t>Marine diesel</t>
        </is>
      </c>
      <c r="B18" s="16" t="inlineStr">
        <is>
          <t>million L/year</t>
        </is>
      </c>
      <c r="C18" s="16" t="inlineStr">
        <is>
          <t>Model output</t>
        </is>
      </c>
      <c r="D18" s="116" t="n"/>
      <c r="E18" s="16" t="inlineStr">
        <is>
          <t>Marine diesel; 2022–23 model history unavailable. [N011]</t>
        </is>
      </c>
      <c r="F18" s="117">
        <f>IF(ISNUMBER('Other demand'!F34),'Other demand'!F34/1,"")</f>
        <v/>
      </c>
      <c r="G18" s="117">
        <f>IF(ISNUMBER('Other demand'!G34),'Other demand'!G34/1,"")</f>
        <v/>
      </c>
      <c r="H18" s="117">
        <f>IF(ISNUMBER('Other demand'!H34),'Other demand'!H34/1,"")</f>
        <v/>
      </c>
      <c r="I18" s="117">
        <f>IF(ISNUMBER('Other demand'!I34),'Other demand'!I34/1,"")</f>
        <v/>
      </c>
      <c r="J18" s="117">
        <f>IF(ISNUMBER('Other demand'!J34),'Other demand'!J34/1,"")</f>
        <v/>
      </c>
      <c r="K18" s="117">
        <f>IF(ISNUMBER('Other demand'!K34),'Other demand'!K34/1,"")</f>
        <v/>
      </c>
      <c r="L18" s="117">
        <f>IF(ISNUMBER('Other demand'!L34),'Other demand'!L34/1,"")</f>
        <v/>
      </c>
      <c r="M18" s="117">
        <f>IF(ISNUMBER('Other demand'!M34),'Other demand'!M34/1,"")</f>
        <v/>
      </c>
      <c r="N18" s="117">
        <f>IF(ISNUMBER('Other demand'!N34),'Other demand'!N34/1,"")</f>
        <v/>
      </c>
      <c r="O18" s="117">
        <f>IF(ISNUMBER('Other demand'!O34),'Other demand'!O34/1,"")</f>
        <v/>
      </c>
      <c r="P18" s="117">
        <f>IF(ISNUMBER('Other demand'!P34),'Other demand'!P34/1,"")</f>
        <v/>
      </c>
      <c r="Q18" s="117">
        <f>IF(ISNUMBER('Other demand'!Q34),'Other demand'!Q34/1,"")</f>
        <v/>
      </c>
      <c r="R18" s="117">
        <f>IF(ISNUMBER('Other demand'!R34),'Other demand'!R34/1,"")</f>
        <v/>
      </c>
      <c r="S18" s="117">
        <f>IF(ISNUMBER('Other demand'!S34),'Other demand'!S34/1,"")</f>
        <v/>
      </c>
      <c r="T18" s="3" t="inlineStr">
        <is>
          <t>2026 vintage; current high_demand case; provisional.</t>
        </is>
      </c>
      <c r="U18" s="3" t="inlineStr">
        <is>
          <t>Other demand row 34 → Model run → Python engine</t>
        </is>
      </c>
      <c r="V18" s="3" t="inlineStr">
        <is>
          <t>Validate inputs and reconcile against observed data.</t>
        </is>
      </c>
    </row>
    <row r="19" ht="30" customHeight="1">
      <c r="A19" s="16" t="inlineStr">
        <is>
          <t>Total model diesel</t>
        </is>
      </c>
      <c r="B19" s="16" t="inlineStr">
        <is>
          <t>million L/year</t>
        </is>
      </c>
      <c r="C19" s="16" t="inlineStr">
        <is>
          <t>Reporting formula</t>
        </is>
      </c>
      <c r="D19" s="116" t="n"/>
      <c r="E19" s="16" t="inlineStr">
        <is>
          <t>Sum road, OCGT, agriculture, industry and marine. [N012]</t>
        </is>
      </c>
      <c r="F19" s="117">
        <f>IF(COUNT(F14:F18)&lt;5,"",SUM(F14:F18))</f>
        <v/>
      </c>
      <c r="G19" s="117">
        <f>IF(COUNT(G14:G18)&lt;5,"",SUM(G14:G18))</f>
        <v/>
      </c>
      <c r="H19" s="117">
        <f>IF(COUNT(H14:H18)&lt;5,"",SUM(H14:H18))</f>
        <v/>
      </c>
      <c r="I19" s="117">
        <f>IF(COUNT(I14:I18)&lt;5,"",SUM(I14:I18))</f>
        <v/>
      </c>
      <c r="J19" s="117">
        <f>IF(COUNT(J14:J18)&lt;5,"",SUM(J14:J18))</f>
        <v/>
      </c>
      <c r="K19" s="117">
        <f>IF(COUNT(K14:K18)&lt;5,"",SUM(K14:K18))</f>
        <v/>
      </c>
      <c r="L19" s="117">
        <f>IF(COUNT(L14:L18)&lt;5,"",SUM(L14:L18))</f>
        <v/>
      </c>
      <c r="M19" s="117">
        <f>IF(COUNT(M14:M18)&lt;5,"",SUM(M14:M18))</f>
        <v/>
      </c>
      <c r="N19" s="117">
        <f>IF(COUNT(N14:N18)&lt;5,"",SUM(N14:N18))</f>
        <v/>
      </c>
      <c r="O19" s="117">
        <f>IF(COUNT(O14:O18)&lt;5,"",SUM(O14:O18))</f>
        <v/>
      </c>
      <c r="P19" s="117">
        <f>IF(COUNT(P14:P18)&lt;5,"",SUM(P14:P18))</f>
        <v/>
      </c>
      <c r="Q19" s="117">
        <f>IF(COUNT(Q14:Q18)&lt;5,"",SUM(Q14:Q18))</f>
        <v/>
      </c>
      <c r="R19" s="117">
        <f>IF(COUNT(R14:R18)&lt;5,"",SUM(R14:R18))</f>
        <v/>
      </c>
      <c r="S19" s="117">
        <f>IF(COUNT(S14:S18)&lt;5,"",SUM(S14:S18))</f>
        <v/>
      </c>
      <c r="T19" s="3" t="inlineStr">
        <is>
          <t>Blank if any component is missing.</t>
        </is>
      </c>
      <c r="U19" s="3" t="str"/>
      <c r="V19" s="3" t="inlineStr">
        <is>
          <t>G01/G12: reconcile domestic sales and bunkers.</t>
        </is>
      </c>
    </row>
    <row r="20" ht="30" customHeight="1">
      <c r="A20" s="16" t="inlineStr">
        <is>
          <t>Model less selected historical sales</t>
        </is>
      </c>
      <c r="B20" s="16" t="inlineStr">
        <is>
          <t>million L/year</t>
        </is>
      </c>
      <c r="C20" s="16" t="inlineStr">
        <is>
          <t>Reporting formula</t>
        </is>
      </c>
      <c r="D20" s="116" t="n"/>
      <c r="E20" s="16" t="inlineStr">
        <is>
          <t>Model minus selected sales; scope requires reconciliation. [N013]</t>
        </is>
      </c>
      <c r="F20" s="117">
        <f>IF(COUNT(F12,F19)&lt;2,"",F19-F12)</f>
        <v/>
      </c>
      <c r="G20" s="117">
        <f>IF(COUNT(G12,G19)&lt;2,"",G19-G12)</f>
        <v/>
      </c>
      <c r="H20" s="117">
        <f>IF(COUNT(H12,H19)&lt;2,"",H19-H12)</f>
        <v/>
      </c>
      <c r="I20" s="117">
        <f>IF(COUNT(I12,I19)&lt;2,"",I19-I12)</f>
        <v/>
      </c>
      <c r="J20" s="117">
        <f>IF(COUNT(J12,J19)&lt;2,"",J19-J12)</f>
        <v/>
      </c>
      <c r="K20" s="117">
        <f>IF(COUNT(K12,K19)&lt;2,"",K19-K12)</f>
        <v/>
      </c>
      <c r="L20" s="117">
        <f>IF(COUNT(L12,L19)&lt;2,"",L19-L12)</f>
        <v/>
      </c>
      <c r="M20" s="117">
        <f>IF(COUNT(M12,M19)&lt;2,"",M19-M12)</f>
        <v/>
      </c>
      <c r="N20" s="117">
        <f>IF(COUNT(N12,N19)&lt;2,"",N19-N12)</f>
        <v/>
      </c>
      <c r="O20" s="117">
        <f>IF(COUNT(O12,O19)&lt;2,"",O19-O12)</f>
        <v/>
      </c>
      <c r="P20" s="117">
        <f>IF(COUNT(P12,P19)&lt;2,"",P19-P12)</f>
        <v/>
      </c>
      <c r="Q20" s="117">
        <f>IF(COUNT(Q12,Q19)&lt;2,"",Q19-Q12)</f>
        <v/>
      </c>
      <c r="R20" s="117">
        <f>IF(COUNT(R12,R19)&lt;2,"",R19-R12)</f>
        <v/>
      </c>
      <c r="S20" s="117">
        <f>IF(COUNT(S12,S19)&lt;2,"",S19-S12)</f>
        <v/>
      </c>
      <c r="T20" s="3" t="inlineStr">
        <is>
          <t>Only matched available years.</t>
        </is>
      </c>
      <c r="U20" s="3" t="str"/>
      <c r="V20" s="3" t="inlineStr">
        <is>
          <t>G01: reconcile units, coverage and sales basis.</t>
        </is>
      </c>
    </row>
    <row r="21" ht="30" customHeight="1">
      <c r="A21" s="10" t="inlineStr">
        <is>
          <t>Manufacturing-only baseline</t>
        </is>
      </c>
      <c r="B21" s="10" t="inlineStr">
        <is>
          <t>million L/year</t>
        </is>
      </c>
      <c r="C21" s="10" t="inlineStr">
        <is>
          <t>Missing input</t>
        </is>
      </c>
      <c r="D21" s="118" t="n"/>
      <c r="E21" s="10" t="inlineStr">
        <is>
          <t>Included within industrial total; separate baseline missing. [N014]</t>
        </is>
      </c>
      <c r="F21" s="119" t="n"/>
      <c r="G21" s="119" t="n"/>
      <c r="H21" s="119" t="n"/>
      <c r="I21" s="119" t="n"/>
      <c r="J21" s="119" t="n"/>
      <c r="K21" s="119" t="n"/>
      <c r="L21" s="119" t="n"/>
      <c r="M21" s="119" t="n"/>
      <c r="N21" s="119" t="n"/>
      <c r="O21" s="119" t="n"/>
      <c r="P21" s="119" t="n"/>
      <c r="Q21" s="119" t="n"/>
      <c r="R21" s="119" t="n"/>
      <c r="S21" s="119" t="n"/>
      <c r="T21" s="3" t="inlineStr">
        <is>
          <t>No matched observed 2022+ fuel series located.</t>
        </is>
      </c>
      <c r="U21" s="3" t="inlineStr">
        <is>
          <t>https://github.com/Africa-International-Advisors/liq… [N015]</t>
        </is>
      </c>
      <c r="V21" s="3" t="inlineStr">
        <is>
          <t>G06: reconcile manufacturing subsectors and scope.</t>
        </is>
      </c>
    </row>
    <row r="22" ht="30" customHeight="1">
      <c r="A22" s="10" t="inlineStr">
        <is>
          <t>Mining-only baseline</t>
        </is>
      </c>
      <c r="B22" s="10" t="inlineStr">
        <is>
          <t>million L/year</t>
        </is>
      </c>
      <c r="C22" s="10" t="inlineStr">
        <is>
          <t>Missing input</t>
        </is>
      </c>
      <c r="D22" s="118">
        <f>IF(ISNUMBER('Mining'!D31),'Mining'!D31,"")</f>
        <v/>
      </c>
      <c r="E22" s="10" t="inlineStr">
        <is>
          <t>2021 anchor only; included within industrial total. [N016]</t>
        </is>
      </c>
      <c r="F22" s="119" t="n"/>
      <c r="G22" s="119" t="n"/>
      <c r="H22" s="119" t="n"/>
      <c r="I22" s="119" t="n"/>
      <c r="J22" s="119" t="n"/>
      <c r="K22" s="119" t="n"/>
      <c r="L22" s="119" t="n"/>
      <c r="M22" s="119" t="n"/>
      <c r="N22" s="119" t="n"/>
      <c r="O22" s="119" t="n"/>
      <c r="P22" s="119" t="n"/>
      <c r="Q22" s="119" t="n"/>
      <c r="R22" s="119" t="n"/>
      <c r="S22" s="119" t="n"/>
      <c r="T22" s="3" t="inlineStr">
        <is>
          <t>2021 anchor available; 2022+ fuel series missing.</t>
        </is>
      </c>
      <c r="U22" s="3" t="inlineStr">
        <is>
          <t>https://github.com/Africa-International-Advisors/liq… [N017]</t>
        </is>
      </c>
      <c r="V22" s="3" t="inlineStr">
        <is>
          <t>G07: verify site/end-use coverage and newer fuel data.</t>
        </is>
      </c>
    </row>
    <row r="23" ht="30" customHeight="1">
      <c r="A23" s="10" t="inlineStr">
        <is>
          <t>Private backup / other diesel</t>
        </is>
      </c>
      <c r="B23" s="10" t="inlineStr">
        <is>
          <t>million L/year</t>
        </is>
      </c>
      <c r="C23" s="10" t="inlineStr">
        <is>
          <t>Missing input</t>
        </is>
      </c>
      <c r="D23" s="118" t="n"/>
      <c r="E23" s="10" t="inlineStr">
        <is>
          <t>Baseline and sector overlap unresolved. [N018]</t>
        </is>
      </c>
      <c r="F23" s="119" t="n"/>
      <c r="G23" s="119" t="n"/>
      <c r="H23" s="119" t="n"/>
      <c r="I23" s="119" t="n"/>
      <c r="J23" s="119" t="n"/>
      <c r="K23" s="119" t="n"/>
      <c r="L23" s="119" t="n"/>
      <c r="M23" s="119" t="n"/>
      <c r="N23" s="119" t="n"/>
      <c r="O23" s="119" t="n"/>
      <c r="P23" s="119" t="n"/>
      <c r="Q23" s="119" t="n"/>
      <c r="R23" s="119" t="n"/>
      <c r="S23" s="119" t="n"/>
      <c r="T23" s="3" t="inlineStr">
        <is>
          <t>Separate coverage and baseline unresolved.</t>
        </is>
      </c>
      <c r="U23" s="3" t="str"/>
      <c r="V23" s="3" t="inlineStr">
        <is>
          <t>G09: source fuel/generation evidence; count once.</t>
        </is>
      </c>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28" customHeight="1">
      <c r="A25" s="12" t="inlineStr">
        <is>
          <t>Jet: national product comparison</t>
        </is>
      </c>
      <c r="B25" s="11" t="n"/>
      <c r="C25" s="11" t="n"/>
      <c r="D25" s="11" t="n"/>
      <c r="E25" s="11" t="n"/>
      <c r="F25" s="25" t="n"/>
      <c r="G25" s="25" t="n"/>
      <c r="H25" s="25" t="n"/>
      <c r="I25" s="25" t="n"/>
      <c r="J25" s="25" t="n"/>
      <c r="K25" s="25" t="n"/>
      <c r="L25" s="25" t="n"/>
      <c r="M25" s="25" t="n"/>
      <c r="N25" s="25" t="n"/>
      <c r="O25" s="25" t="n"/>
      <c r="P25" s="25" t="n"/>
      <c r="Q25" s="25" t="n"/>
      <c r="R25" s="25" t="n"/>
      <c r="S25" s="25" t="n"/>
      <c r="T25" s="11" t="n"/>
      <c r="U25" s="11" t="n"/>
      <c r="V25" s="11" t="n"/>
    </row>
    <row r="26" ht="30" customHeight="1">
      <c r="A26" s="65" t="inlineStr">
        <is>
          <t>Selected historical jet sales</t>
        </is>
      </c>
      <c r="B26" s="65" t="inlineStr">
        <is>
          <t>million L/year</t>
        </is>
      </c>
      <c r="C26" s="65" t="inlineStr">
        <is>
          <t>Linked observation</t>
        </is>
      </c>
      <c r="D26" s="114" t="n"/>
      <c r="E26" s="65" t="inlineStr">
        <is>
          <t>Selected historical sales; see Source selection. [N019]</t>
        </is>
      </c>
      <c r="F26" s="115">
        <f>IF(ISNUMBER('Source selection'!F15),'Source selection'!F15,"")</f>
        <v/>
      </c>
      <c r="G26" s="115">
        <f>IF(ISNUMBER('Source selection'!F16),'Source selection'!F16,"")</f>
        <v/>
      </c>
      <c r="H26" s="115">
        <f>IF(ISNUMBER('Source selection'!F17),'Source selection'!F17,"")</f>
        <v/>
      </c>
      <c r="I26" s="115">
        <f>IF(ISNUMBER('Source selection'!F18),'Source selection'!F18,"")</f>
        <v/>
      </c>
      <c r="J26" s="115">
        <f>IF(ISNUMBER('Source selection'!F19),'Source selection'!F19,"")</f>
        <v/>
      </c>
      <c r="K26" s="115" t="n"/>
      <c r="L26" s="115" t="n"/>
      <c r="M26" s="115" t="n"/>
      <c r="N26" s="115" t="n"/>
      <c r="O26" s="115" t="n"/>
      <c r="P26" s="115" t="n"/>
      <c r="Q26" s="115" t="n"/>
      <c r="R26" s="115" t="n"/>
      <c r="S26" s="115" t="n"/>
      <c r="T26" s="3" t="inlineStr">
        <is>
          <t>Working comparator; not approved</t>
        </is>
      </c>
      <c r="U26" s="3" t="inlineStr">
        <is>
          <t>Source selection → Evidence</t>
        </is>
      </c>
      <c r="V26" s="3" t="inlineStr">
        <is>
          <t>Manish reconciles scope/revisions; Nigel accepts source.</t>
        </is>
      </c>
    </row>
    <row r="27" ht="30" customHeight="1">
      <c r="A27" s="65" t="inlineStr">
        <is>
          <t>Historical source / status</t>
        </is>
      </c>
      <c r="B27" s="65" t="inlineStr">
        <is>
          <t>text</t>
        </is>
      </c>
      <c r="C27" s="65" t="inlineStr">
        <is>
          <t>Selection status</t>
        </is>
      </c>
      <c r="D27" s="114" t="n"/>
      <c r="E27" s="65" t="inlineStr">
        <is>
          <t>Selected source, or unresolved when unavailable. [N020]</t>
        </is>
      </c>
      <c r="F27" s="115">
        <f>IF(ISNUMBER('Source selection'!F15),'Source selection'!E15,"Unresolved")</f>
        <v/>
      </c>
      <c r="G27" s="115">
        <f>IF(ISNUMBER('Source selection'!F16),'Source selection'!E16,"Unresolved")</f>
        <v/>
      </c>
      <c r="H27" s="115">
        <f>IF(ISNUMBER('Source selection'!F17),'Source selection'!E17,"Unresolved")</f>
        <v/>
      </c>
      <c r="I27" s="115">
        <f>IF(ISNUMBER('Source selection'!F18),'Source selection'!E18,"Unresolved")</f>
        <v/>
      </c>
      <c r="J27" s="115">
        <f>IF(ISNUMBER('Source selection'!F19),'Source selection'!E19,"Unresolved")</f>
        <v/>
      </c>
      <c r="K27" s="115" t="n"/>
      <c r="L27" s="115" t="n"/>
      <c r="M27" s="115" t="n"/>
      <c r="N27" s="115" t="n"/>
      <c r="O27" s="115" t="n"/>
      <c r="P27" s="115" t="n"/>
      <c r="Q27" s="115" t="n"/>
      <c r="R27" s="115" t="n"/>
      <c r="S27" s="115" t="n"/>
      <c r="T27" s="3" t="inlineStr">
        <is>
          <t>Not an additional demand series</t>
        </is>
      </c>
      <c r="U27" s="3" t="inlineStr">
        <is>
          <t>Source selection</t>
        </is>
      </c>
      <c r="V27" s="3" t="inlineStr">
        <is>
          <t>Review selected source before calibration.</t>
        </is>
      </c>
    </row>
    <row r="28" ht="30" customHeight="1">
      <c r="A28" s="16" t="inlineStr">
        <is>
          <t>Current model jet</t>
        </is>
      </c>
      <c r="B28" s="16" t="inlineStr">
        <is>
          <t>million L/year</t>
        </is>
      </c>
      <c r="C28" s="16" t="inlineStr">
        <is>
          <t>Model output</t>
        </is>
      </c>
      <c r="D28" s="116" t="n"/>
      <c r="E28" s="16" t="inlineStr">
        <is>
          <t>GDP/capita and passenger regression. [N021]</t>
        </is>
      </c>
      <c r="F28" s="117">
        <f>IF(ISNUMBER('Other demand'!F20),'Other demand'!F20/1,"")</f>
        <v/>
      </c>
      <c r="G28" s="117">
        <f>IF(ISNUMBER('Other demand'!G20),'Other demand'!G20/1,"")</f>
        <v/>
      </c>
      <c r="H28" s="117">
        <f>IF(ISNUMBER('Other demand'!H20),'Other demand'!H20/1,"")</f>
        <v/>
      </c>
      <c r="I28" s="117">
        <f>IF(ISNUMBER('Other demand'!I20),'Other demand'!I20/1,"")</f>
        <v/>
      </c>
      <c r="J28" s="117">
        <f>IF(ISNUMBER('Other demand'!J20),'Other demand'!J20/1,"")</f>
        <v/>
      </c>
      <c r="K28" s="117">
        <f>IF(ISNUMBER('Other demand'!K20),'Other demand'!K20/1,"")</f>
        <v/>
      </c>
      <c r="L28" s="117">
        <f>IF(ISNUMBER('Other demand'!L20),'Other demand'!L20/1,"")</f>
        <v/>
      </c>
      <c r="M28" s="117">
        <f>IF(ISNUMBER('Other demand'!M20),'Other demand'!M20/1,"")</f>
        <v/>
      </c>
      <c r="N28" s="117">
        <f>IF(ISNUMBER('Other demand'!N20),'Other demand'!N20/1,"")</f>
        <v/>
      </c>
      <c r="O28" s="117">
        <f>IF(ISNUMBER('Other demand'!O20),'Other demand'!O20/1,"")</f>
        <v/>
      </c>
      <c r="P28" s="117">
        <f>IF(ISNUMBER('Other demand'!P20),'Other demand'!P20/1,"")</f>
        <v/>
      </c>
      <c r="Q28" s="117">
        <f>IF(ISNUMBER('Other demand'!Q20),'Other demand'!Q20/1,"")</f>
        <v/>
      </c>
      <c r="R28" s="117">
        <f>IF(ISNUMBER('Other demand'!R20),'Other demand'!R20/1,"")</f>
        <v/>
      </c>
      <c r="S28" s="117">
        <f>IF(ISNUMBER('Other demand'!S20),'Other demand'!S20/1,"")</f>
        <v/>
      </c>
      <c r="T28" s="3" t="inlineStr">
        <is>
          <t>2026 vintage; current high_demand case; provisional.</t>
        </is>
      </c>
      <c r="U28" s="3" t="inlineStr">
        <is>
          <t>Other demand row 20 → Model run → Python engine</t>
        </is>
      </c>
      <c r="V28" s="3" t="inlineStr">
        <is>
          <t>Validate inputs and reconcile against observed data.</t>
        </is>
      </c>
    </row>
    <row r="29" ht="30" customHeight="1">
      <c r="A29" s="16" t="inlineStr">
        <is>
          <t>Model less selected historical sales</t>
        </is>
      </c>
      <c r="B29" s="16" t="inlineStr">
        <is>
          <t>million L/year</t>
        </is>
      </c>
      <c r="C29" s="16" t="inlineStr">
        <is>
          <t>Reporting formula</t>
        </is>
      </c>
      <c r="D29" s="116" t="n"/>
      <c r="E29" s="16" t="inlineStr">
        <is>
          <t>Model minus selected sales; reconcile coverage. [N022]</t>
        </is>
      </c>
      <c r="F29" s="117">
        <f>IF(COUNT(F26,F28)&lt;2,"",F28-F26)</f>
        <v/>
      </c>
      <c r="G29" s="117">
        <f>IF(COUNT(G26,G28)&lt;2,"",G28-G26)</f>
        <v/>
      </c>
      <c r="H29" s="117">
        <f>IF(COUNT(H26,H28)&lt;2,"",H28-H26)</f>
        <v/>
      </c>
      <c r="I29" s="117">
        <f>IF(COUNT(I26,I28)&lt;2,"",I28-I26)</f>
        <v/>
      </c>
      <c r="J29" s="117">
        <f>IF(COUNT(J26,J28)&lt;2,"",J28-J26)</f>
        <v/>
      </c>
      <c r="K29" s="117">
        <f>IF(COUNT(K26,K28)&lt;2,"",K28-K26)</f>
        <v/>
      </c>
      <c r="L29" s="117">
        <f>IF(COUNT(L26,L28)&lt;2,"",L28-L26)</f>
        <v/>
      </c>
      <c r="M29" s="117">
        <f>IF(COUNT(M26,M28)&lt;2,"",M28-M26)</f>
        <v/>
      </c>
      <c r="N29" s="117">
        <f>IF(COUNT(N26,N28)&lt;2,"",N28-N26)</f>
        <v/>
      </c>
      <c r="O29" s="117">
        <f>IF(COUNT(O26,O28)&lt;2,"",O28-O26)</f>
        <v/>
      </c>
      <c r="P29" s="117">
        <f>IF(COUNT(P26,P28)&lt;2,"",P28-P26)</f>
        <v/>
      </c>
      <c r="Q29" s="117">
        <f>IF(COUNT(Q26,Q28)&lt;2,"",Q28-Q26)</f>
        <v/>
      </c>
      <c r="R29" s="117">
        <f>IF(COUNT(R26,R28)&lt;2,"",R28-R26)</f>
        <v/>
      </c>
      <c r="S29" s="117">
        <f>IF(COUNT(S26,S28)&lt;2,"",S28-S26)</f>
        <v/>
      </c>
      <c r="T29" s="3" t="inlineStr">
        <is>
          <t>Only where both values exist.</t>
        </is>
      </c>
      <c r="U29" s="3" t="str"/>
      <c r="V29" s="3" t="inlineStr">
        <is>
          <t>G10: calibrate aircraft/airport coverage.</t>
        </is>
      </c>
    </row>
    <row r="30" ht="8" customHeight="1">
      <c r="A30" s="3" t="n"/>
      <c r="B30" s="3" t="n"/>
      <c r="C30" s="3" t="n"/>
      <c r="D30" s="3" t="n"/>
      <c r="E30" s="3" t="n"/>
      <c r="F30" s="6" t="n"/>
      <c r="G30" s="6" t="n"/>
      <c r="H30" s="6" t="n"/>
      <c r="I30" s="6" t="n"/>
      <c r="J30" s="6" t="n"/>
      <c r="K30" s="6" t="n"/>
      <c r="L30" s="6" t="n"/>
      <c r="M30" s="6" t="n"/>
      <c r="N30" s="6" t="n"/>
      <c r="O30" s="6" t="n"/>
      <c r="P30" s="6" t="n"/>
      <c r="Q30" s="6" t="n"/>
      <c r="R30" s="6" t="n"/>
      <c r="S30" s="6" t="n"/>
      <c r="T30" s="3" t="n"/>
      <c r="U30" s="3" t="n"/>
      <c r="V30" s="3" t="n"/>
    </row>
    <row r="31" ht="28" customHeight="1">
      <c r="A31" s="12" t="inlineStr">
        <is>
          <t>Marine fuel oil: scope is narrower than total national fuel oil</t>
        </is>
      </c>
      <c r="B31" s="11" t="n"/>
      <c r="C31" s="11" t="n"/>
      <c r="D31" s="11" t="n"/>
      <c r="E31" s="11" t="n"/>
      <c r="F31" s="25" t="n"/>
      <c r="G31" s="25" t="n"/>
      <c r="H31" s="25" t="n"/>
      <c r="I31" s="25" t="n"/>
      <c r="J31" s="25" t="n"/>
      <c r="K31" s="25" t="n"/>
      <c r="L31" s="25" t="n"/>
      <c r="M31" s="25" t="n"/>
      <c r="N31" s="25" t="n"/>
      <c r="O31" s="25" t="n"/>
      <c r="P31" s="25" t="n"/>
      <c r="Q31" s="25" t="n"/>
      <c r="R31" s="25" t="n"/>
      <c r="S31" s="25" t="n"/>
      <c r="T31" s="11" t="n"/>
      <c r="U31" s="11" t="n"/>
      <c r="V31" s="11" t="n"/>
    </row>
    <row r="32" ht="30" customHeight="1">
      <c r="A32" s="65" t="inlineStr">
        <is>
          <t>Selected historical fuel oil sales</t>
        </is>
      </c>
      <c r="B32" s="65" t="inlineStr">
        <is>
          <t>million L/year</t>
        </is>
      </c>
      <c r="C32" s="65" t="inlineStr">
        <is>
          <t>Linked observation</t>
        </is>
      </c>
      <c r="D32" s="114" t="n"/>
      <c r="E32" s="65" t="inlineStr">
        <is>
          <t>National fuel-oil sales; includes more than marine. [N023]</t>
        </is>
      </c>
      <c r="F32" s="115">
        <f>IF(ISNUMBER('Source selection'!F20),'Source selection'!F20,"")</f>
        <v/>
      </c>
      <c r="G32" s="115">
        <f>IF(ISNUMBER('Source selection'!F21),'Source selection'!F21,"")</f>
        <v/>
      </c>
      <c r="H32" s="115">
        <f>IF(ISNUMBER('Source selection'!F22),'Source selection'!F22,"")</f>
        <v/>
      </c>
      <c r="I32" s="115">
        <f>IF(ISNUMBER('Source selection'!F23),'Source selection'!F23,"")</f>
        <v/>
      </c>
      <c r="J32" s="115">
        <f>IF(ISNUMBER('Source selection'!F24),'Source selection'!F24,"")</f>
        <v/>
      </c>
      <c r="K32" s="115" t="n"/>
      <c r="L32" s="115" t="n"/>
      <c r="M32" s="115" t="n"/>
      <c r="N32" s="115" t="n"/>
      <c r="O32" s="115" t="n"/>
      <c r="P32" s="115" t="n"/>
      <c r="Q32" s="115" t="n"/>
      <c r="R32" s="115" t="n"/>
      <c r="S32" s="115" t="n"/>
      <c r="T32" s="3" t="inlineStr">
        <is>
          <t>Working comparator; not approved</t>
        </is>
      </c>
      <c r="U32" s="3" t="inlineStr">
        <is>
          <t>Source selection → Evidence</t>
        </is>
      </c>
      <c r="V32" s="3" t="inlineStr">
        <is>
          <t>Manish reconciles scope/revisions; Nigel accepts source.</t>
        </is>
      </c>
    </row>
    <row r="33" ht="30" customHeight="1">
      <c r="A33" s="16" t="inlineStr">
        <is>
          <t>Current model marine fuel oil</t>
        </is>
      </c>
      <c r="B33" s="16" t="inlineStr">
        <is>
          <t>million L/year</t>
        </is>
      </c>
      <c r="C33" s="16" t="inlineStr">
        <is>
          <t>Model output</t>
        </is>
      </c>
      <c r="D33" s="116" t="n"/>
      <c r="E33" s="16" t="inlineStr">
        <is>
          <t>Marine fuel oil only; narrower than national sales. [N024]</t>
        </is>
      </c>
      <c r="F33" s="117">
        <f>IF(ISNUMBER('Other demand'!F35),'Other demand'!F35/1,"")</f>
        <v/>
      </c>
      <c r="G33" s="117">
        <f>IF(ISNUMBER('Other demand'!G35),'Other demand'!G35/1,"")</f>
        <v/>
      </c>
      <c r="H33" s="117">
        <f>IF(ISNUMBER('Other demand'!H35),'Other demand'!H35/1,"")</f>
        <v/>
      </c>
      <c r="I33" s="117">
        <f>IF(ISNUMBER('Other demand'!I35),'Other demand'!I35/1,"")</f>
        <v/>
      </c>
      <c r="J33" s="117">
        <f>IF(ISNUMBER('Other demand'!J35),'Other demand'!J35/1,"")</f>
        <v/>
      </c>
      <c r="K33" s="117">
        <f>IF(ISNUMBER('Other demand'!K35),'Other demand'!K35/1,"")</f>
        <v/>
      </c>
      <c r="L33" s="117">
        <f>IF(ISNUMBER('Other demand'!L35),'Other demand'!L35/1,"")</f>
        <v/>
      </c>
      <c r="M33" s="117">
        <f>IF(ISNUMBER('Other demand'!M35),'Other demand'!M35/1,"")</f>
        <v/>
      </c>
      <c r="N33" s="117">
        <f>IF(ISNUMBER('Other demand'!N35),'Other demand'!N35/1,"")</f>
        <v/>
      </c>
      <c r="O33" s="117">
        <f>IF(ISNUMBER('Other demand'!O35),'Other demand'!O35/1,"")</f>
        <v/>
      </c>
      <c r="P33" s="117">
        <f>IF(ISNUMBER('Other demand'!P35),'Other demand'!P35/1,"")</f>
        <v/>
      </c>
      <c r="Q33" s="117">
        <f>IF(ISNUMBER('Other demand'!Q35),'Other demand'!Q35/1,"")</f>
        <v/>
      </c>
      <c r="R33" s="117">
        <f>IF(ISNUMBER('Other demand'!R35),'Other demand'!R35/1,"")</f>
        <v/>
      </c>
      <c r="S33" s="117">
        <f>IF(ISNUMBER('Other demand'!S35),'Other demand'!S35/1,"")</f>
        <v/>
      </c>
      <c r="T33" s="3" t="inlineStr">
        <is>
          <t>2026 vintage; current high_demand case; provisional.</t>
        </is>
      </c>
      <c r="U33" s="3" t="inlineStr">
        <is>
          <t>Other demand row 35 → Model run → Python engine</t>
        </is>
      </c>
      <c r="V33" s="3" t="inlineStr">
        <is>
          <t>Validate inputs and reconcile against observed data.</t>
        </is>
      </c>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30" customHeight="1">
      <c r="A35" s="10" t="inlineStr">
        <is>
          <t>Baseline selection</t>
        </is>
      </c>
      <c r="B35" s="10" t="inlineStr">
        <is>
          <t>decision</t>
        </is>
      </c>
      <c r="C35" s="10" t="inlineStr">
        <is>
          <t>Missing input</t>
        </is>
      </c>
      <c r="D35" s="118" t="n"/>
      <c r="E35" s="10" t="inlineStr">
        <is>
          <t>Historical comparator selection is explicit on Source selection.… [N025]</t>
        </is>
      </c>
      <c r="F35" s="119" t="n"/>
      <c r="G35" s="119" t="n"/>
      <c r="H35" s="119" t="n"/>
      <c r="I35" s="119" t="n"/>
      <c r="J35" s="119" t="n"/>
      <c r="K35" s="119" t="n"/>
      <c r="L35" s="119" t="n"/>
      <c r="M35" s="119" t="n"/>
      <c r="N35" s="119" t="n"/>
      <c r="O35" s="119" t="n"/>
      <c r="P35" s="119" t="n"/>
      <c r="Q35" s="119" t="n"/>
      <c r="R35" s="119" t="n"/>
      <c r="S35" s="119" t="n"/>
      <c r="T35" s="3" t="inlineStr">
        <is>
          <t>Review before calibration.</t>
        </is>
      </c>
      <c r="U35" s="3" t="str"/>
      <c r="V35" s="3" t="inlineStr">
        <is>
          <t>Nigel selects baseline after Manish reconciliation.</t>
        </is>
      </c>
    </row>
    <row r="36" ht="30" customHeight="1">
      <c r="A36" s="65" t="inlineStr">
        <is>
          <t>Latest partial periods</t>
        </is>
      </c>
      <c r="B36" s="65" t="inlineStr">
        <is>
          <t>reading note</t>
        </is>
      </c>
      <c r="C36" s="65" t="inlineStr">
        <is>
          <t>Evidence note</t>
        </is>
      </c>
      <c r="D36" s="114" t="n"/>
      <c r="E36" s="65" t="inlineStr">
        <is>
          <t>Full annual observations occupy year columns. A separate D value… [N026]</t>
        </is>
      </c>
      <c r="F36" s="115" t="n"/>
      <c r="G36" s="115" t="n"/>
      <c r="H36" s="115" t="n"/>
      <c r="I36" s="115" t="n"/>
      <c r="J36" s="115" t="n"/>
      <c r="K36" s="115" t="n"/>
      <c r="L36" s="115" t="n"/>
      <c r="M36" s="115" t="n"/>
      <c r="N36" s="115" t="n"/>
      <c r="O36" s="115" t="n"/>
      <c r="P36" s="115" t="n"/>
      <c r="Q36" s="115" t="n"/>
      <c r="R36" s="115" t="n"/>
      <c r="S36" s="115" t="n"/>
      <c r="T36" s="3" t="inlineStr">
        <is>
          <t>FY OCGT explicitly uses year ending March.</t>
        </is>
      </c>
      <c r="U36" s="3" t="str"/>
      <c r="V36" s="3" t="inlineStr">
        <is>
          <t>Do not annualise partial 2026 observations silently.</t>
        </is>
      </c>
    </row>
    <row r="37" ht="30" customHeight="1">
      <c r="A37" s="65" t="inlineStr">
        <is>
          <t>Run provenance</t>
        </is>
      </c>
      <c r="B37" s="65" t="inlineStr">
        <is>
          <t>record</t>
        </is>
      </c>
      <c r="C37" s="65" t="inlineStr">
        <is>
          <t>Evidence note</t>
        </is>
      </c>
      <c r="D37" s="114" t="n"/>
      <c r="E37" s="65" t="inlineStr">
        <is>
          <t>Commit 8c69f8333192483f19cd80911cb90fcd0943eb6b; vintage 2026;… [N027]</t>
        </is>
      </c>
      <c r="F37" s="115" t="n"/>
      <c r="G37" s="115" t="n"/>
      <c r="H37" s="115" t="n"/>
      <c r="I37" s="115" t="n"/>
      <c r="J37" s="115" t="n"/>
      <c r="K37" s="115" t="n"/>
      <c r="L37" s="115" t="n"/>
      <c r="M37" s="115" t="n"/>
      <c r="N37" s="115" t="n"/>
      <c r="O37" s="115" t="n"/>
      <c r="P37" s="115" t="n"/>
      <c r="Q37" s="115" t="n"/>
      <c r="R37" s="115" t="n"/>
      <c r="S37" s="115" t="n"/>
      <c r="T37" s="3" t="inlineStr">
        <is>
          <t>54 open governance exceptions at preparation.</t>
        </is>
      </c>
      <c r="U37" s="3" t="inlineStr">
        <is>
          <t>https://github.com/Africa-International-Advisors/liq… [N028]</t>
        </is>
      </c>
      <c r="V37" s="3" t="inlineStr">
        <is>
          <t>Outputs remain provisional.</t>
        </is>
      </c>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8" customHeight="1">
      <c r="A45" s="3" t="n"/>
      <c r="B45" s="3" t="n"/>
      <c r="C45" s="3" t="n"/>
      <c r="D45" s="3" t="n"/>
      <c r="E45" s="3" t="n"/>
      <c r="F45" s="6" t="n"/>
      <c r="G45" s="6" t="n"/>
      <c r="H45" s="6" t="n"/>
      <c r="I45" s="6" t="n"/>
      <c r="J45" s="6" t="n"/>
      <c r="K45" s="6" t="n"/>
      <c r="L45" s="6" t="n"/>
      <c r="M45" s="6" t="n"/>
      <c r="N45" s="6" t="n"/>
      <c r="O45" s="6" t="n"/>
      <c r="P45" s="6" t="n"/>
      <c r="Q45" s="6" t="n"/>
      <c r="R45" s="6" t="n"/>
      <c r="S45" s="6"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8" customHeight="1">
      <c r="A47" s="3" t="n"/>
      <c r="B47" s="3" t="n"/>
      <c r="C47" s="3" t="n"/>
      <c r="D47" s="3" t="n"/>
      <c r="E47" s="3" t="n"/>
      <c r="F47" s="6" t="n"/>
      <c r="G47" s="6" t="n"/>
      <c r="H47" s="6" t="n"/>
      <c r="I47" s="6" t="n"/>
      <c r="J47" s="6" t="n"/>
      <c r="K47" s="6" t="n"/>
      <c r="L47" s="6" t="n"/>
      <c r="M47" s="6" t="n"/>
      <c r="N47" s="6" t="n"/>
      <c r="O47" s="6" t="n"/>
      <c r="P47" s="6" t="n"/>
      <c r="Q47" s="6" t="n"/>
      <c r="R47" s="6" t="n"/>
      <c r="S47" s="6" t="n"/>
      <c r="T47" s="3" t="n"/>
      <c r="U47" s="3" t="n"/>
      <c r="V47" s="3"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35"/>
  <sheetViews>
    <sheetView showGridLines="0" workbookViewId="0">
      <pane ySplit="4" topLeftCell="A5" activePane="bottomLeft" state="frozen"/>
      <selection activeCell="A1" sqref="A1"/>
    </sheetView>
  </sheetViews>
  <sheetFormatPr baseColWidth="8" defaultRowHeight="15"/>
  <cols>
    <col width="17.5" customWidth="1" min="1" max="1"/>
    <col width="10" customWidth="1" min="2" max="2"/>
    <col width="18.75" customWidth="1" min="3" max="3"/>
    <col width="21.25" customWidth="1" min="4" max="4"/>
    <col width="22.5" customWidth="1" min="5" max="5"/>
    <col width="20" customWidth="1" min="6" max="6"/>
    <col width="36.25" customWidth="1" min="7" max="7"/>
    <col width="15" customWidth="1" min="8" max="8"/>
    <col width="46.25" customWidth="1" min="9" max="9"/>
    <col width="31.25" customWidth="1" min="10" max="10"/>
    <col width="16.25" customWidth="1" min="11" max="11"/>
    <col width="16.25" customWidth="1" min="12" max="12"/>
    <col width="16.25" customWidth="1" min="13" max="13"/>
    <col width="16.25" customWidth="1" min="14" max="14"/>
    <col width="16.25" customWidth="1" min="15" max="15"/>
    <col width="16.25" customWidth="1" min="16" max="16"/>
    <col width="16.25" customWidth="1" min="17" max="17"/>
    <col width="16.25" customWidth="1" min="18" max="18"/>
    <col width="16.25" customWidth="1" min="19" max="19"/>
    <col width="37.5" customWidth="1" min="20" max="20"/>
    <col width="48.75" customWidth="1" min="21" max="21"/>
    <col width="40" customWidth="1" min="22" max="22"/>
  </cols>
  <sheetData>
    <row r="1" ht="30" customHeight="1">
      <c r="A1" s="81" t="inlineStr">
        <is>
          <t>Source selection</t>
        </is>
      </c>
      <c r="B1" s="3" t="n"/>
      <c r="C1" s="3" t="n"/>
      <c r="D1" s="3" t="n"/>
      <c r="E1" s="3" t="n"/>
      <c r="F1" s="3" t="n"/>
      <c r="G1" s="3" t="n"/>
      <c r="H1" s="3" t="n"/>
      <c r="I1" s="3" t="n"/>
      <c r="J1" s="3" t="n"/>
      <c r="K1" s="3" t="n"/>
      <c r="L1" s="3" t="n"/>
      <c r="M1" s="3" t="n"/>
      <c r="N1" s="3" t="n"/>
      <c r="O1" s="3" t="n"/>
      <c r="P1" s="3" t="n"/>
      <c r="Q1" s="3" t="n"/>
      <c r="R1" s="3" t="n"/>
      <c r="S1" s="3" t="n"/>
      <c r="T1" s="3" t="n"/>
      <c r="U1" s="3" t="n"/>
      <c r="V1" s="3" t="n"/>
    </row>
    <row r="2" ht="28" customHeight="1">
      <c r="A2" s="6" t="inlineStr">
        <is>
          <t>Working comparator choice per fuel/year • FIASA retains the previous comparison; no business approval inferred.</t>
        </is>
      </c>
      <c r="B2" s="3" t="n"/>
      <c r="C2" s="3" t="n"/>
      <c r="D2" s="3" t="n"/>
      <c r="E2" s="3" t="n"/>
      <c r="F2" s="3" t="n"/>
      <c r="G2" s="3" t="n"/>
      <c r="H2" s="3" t="n"/>
      <c r="I2" s="3" t="n"/>
      <c r="J2" s="3" t="n"/>
      <c r="K2" s="3" t="n"/>
      <c r="L2" s="3" t="n"/>
      <c r="M2" s="3" t="n"/>
      <c r="N2" s="3" t="n"/>
      <c r="O2" s="3" t="n"/>
      <c r="P2" s="3" t="n"/>
      <c r="Q2" s="3" t="n"/>
      <c r="R2" s="3" t="n"/>
      <c r="S2" s="3" t="n"/>
      <c r="T2" s="3" t="n"/>
      <c r="U2" s="3" t="n"/>
      <c r="V2" s="3" t="n"/>
    </row>
    <row r="3" ht="70"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40" customHeight="1">
      <c r="A4" s="83" t="inlineStr">
        <is>
          <t>Product</t>
        </is>
      </c>
      <c r="B4" s="83" t="inlineStr">
        <is>
          <t>Year</t>
        </is>
      </c>
      <c r="C4" s="83" t="inlineStr">
        <is>
          <t>FIASA candidate</t>
        </is>
      </c>
      <c r="D4" s="83" t="inlineStr">
        <is>
          <t>Department candidate</t>
        </is>
      </c>
      <c r="E4" s="83" t="inlineStr">
        <is>
          <t>Working selection</t>
        </is>
      </c>
      <c r="F4" s="83" t="inlineStr">
        <is>
          <t>Selected million L</t>
        </is>
      </c>
      <c r="G4" s="83" t="inlineStr">
        <is>
          <t>Availability / review</t>
        </is>
      </c>
      <c r="H4" s="83" t="inlineStr">
        <is>
          <t>Owner</t>
        </is>
      </c>
      <c r="I4" s="83" t="inlineStr">
        <is>
          <t>Decision basis</t>
        </is>
      </c>
      <c r="J4" s="83" t="inlineStr">
        <is>
          <t>Review trigger</t>
        </is>
      </c>
      <c r="K4" s="83" t="n"/>
      <c r="L4" s="83" t="n"/>
      <c r="M4" s="83" t="n"/>
      <c r="N4" s="83" t="n"/>
      <c r="O4" s="83" t="n"/>
      <c r="P4" s="83" t="n"/>
      <c r="Q4" s="83" t="n"/>
      <c r="R4" s="83" t="n"/>
      <c r="S4" s="83" t="n"/>
      <c r="T4" s="83" t="n"/>
      <c r="U4" s="83" t="n"/>
      <c r="V4" s="83" t="n"/>
    </row>
    <row r="5" ht="70" customHeight="1">
      <c r="A5" s="3" t="inlineStr">
        <is>
          <t>petrol</t>
        </is>
      </c>
      <c r="B5" s="120" t="n">
        <v>2022</v>
      </c>
      <c r="C5" s="121">
        <f>IF(ISNUMBER('Evidence'!F5),'Evidence'!F5,"")</f>
        <v/>
      </c>
      <c r="D5" s="121">
        <f>IF(ISNUMBER('Evidence'!F6),'Evidence'!F6,"")</f>
        <v/>
      </c>
      <c r="E5" s="121" t="inlineStr">
        <is>
          <t>Department</t>
        </is>
      </c>
      <c r="F5" s="121">
        <f>IF(E5="FIASA",IF(ISNUMBER(C5),C5,""),IF(E5="Department",IF(ISNUMBER(D5),D5,""),""))</f>
        <v/>
      </c>
      <c r="G5" s="121">
        <f>IF(E5="Unresolved","No source selected",IF(ISNUMBER(F5),"Working choice - awaiting review","Selected source missing"))</f>
        <v/>
      </c>
      <c r="H5" s="121" t="inlineStr">
        <is>
          <t>Nigel / Manish</t>
        </is>
      </c>
      <c r="I5" s="121" t="inlineStr">
        <is>
          <t>Working comparator only; retain prior FIASA comparison pending reconciliation.</t>
        </is>
      </c>
      <c r="J5" s="121" t="inlineStr">
        <is>
          <t>Before baseline acceptance</t>
        </is>
      </c>
      <c r="K5" s="122" t="n"/>
      <c r="L5" s="122" t="n"/>
      <c r="M5" s="122" t="n"/>
      <c r="N5" s="122" t="n"/>
      <c r="O5" s="122" t="n"/>
      <c r="P5" s="122" t="n"/>
      <c r="Q5" s="122" t="n"/>
      <c r="R5" s="122" t="n"/>
      <c r="S5" s="122" t="n"/>
      <c r="T5" s="3" t="n"/>
      <c r="U5" s="3" t="n"/>
      <c r="V5" s="3" t="n"/>
    </row>
    <row r="6" ht="70" customHeight="1">
      <c r="A6" s="3" t="inlineStr">
        <is>
          <t>petrol</t>
        </is>
      </c>
      <c r="B6" s="120" t="n">
        <v>2023</v>
      </c>
      <c r="C6" s="121">
        <f>IF(ISNUMBER('Evidence'!G5),'Evidence'!G5,"")</f>
        <v/>
      </c>
      <c r="D6" s="121">
        <f>IF(ISNUMBER('Evidence'!G6),'Evidence'!G6,"")</f>
        <v/>
      </c>
      <c r="E6" s="121" t="inlineStr">
        <is>
          <t>Department</t>
        </is>
      </c>
      <c r="F6" s="121">
        <f>IF(E6="FIASA",IF(ISNUMBER(C6),C6,""),IF(E6="Department",IF(ISNUMBER(D6),D6,""),""))</f>
        <v/>
      </c>
      <c r="G6" s="121">
        <f>IF(E6="Unresolved","No source selected",IF(ISNUMBER(F6),"Working choice - awaiting review","Selected source missing"))</f>
        <v/>
      </c>
      <c r="H6" s="121" t="inlineStr">
        <is>
          <t>Nigel / Manish</t>
        </is>
      </c>
      <c r="I6" s="121" t="inlineStr">
        <is>
          <t>Working comparator only; retain prior FIASA comparison pending reconciliation.</t>
        </is>
      </c>
      <c r="J6" s="121" t="inlineStr">
        <is>
          <t>Before baseline acceptance</t>
        </is>
      </c>
      <c r="K6" s="122" t="n"/>
      <c r="L6" s="122" t="n"/>
      <c r="M6" s="122" t="n"/>
      <c r="N6" s="122" t="n"/>
      <c r="O6" s="122" t="n"/>
      <c r="P6" s="122" t="n"/>
      <c r="Q6" s="122" t="n"/>
      <c r="R6" s="122" t="n"/>
      <c r="S6" s="122" t="n"/>
      <c r="T6" s="3" t="n"/>
      <c r="U6" s="3" t="n"/>
      <c r="V6" s="3" t="n"/>
    </row>
    <row r="7" ht="70" customHeight="1">
      <c r="A7" s="3" t="inlineStr">
        <is>
          <t>petrol</t>
        </is>
      </c>
      <c r="B7" s="120" t="n">
        <v>2024</v>
      </c>
      <c r="C7" s="121">
        <f>IF(ISNUMBER('Evidence'!H5),'Evidence'!H5,"")</f>
        <v/>
      </c>
      <c r="D7" s="121">
        <f>IF(ISNUMBER('Evidence'!H6),'Evidence'!H6,"")</f>
        <v/>
      </c>
      <c r="E7" s="121" t="inlineStr">
        <is>
          <t>FIASA</t>
        </is>
      </c>
      <c r="F7" s="121">
        <f>IF(E7="FIASA",IF(ISNUMBER(C7),C7,""),IF(E7="Department",IF(ISNUMBER(D7),D7,""),""))</f>
        <v/>
      </c>
      <c r="G7" s="121">
        <f>IF(E7="Unresolved","No source selected",IF(ISNUMBER(F7),"Working choice - awaiting review","Selected source missing"))</f>
        <v/>
      </c>
      <c r="H7" s="121" t="inlineStr">
        <is>
          <t>Nigel / Manish</t>
        </is>
      </c>
      <c r="I7" s="121" t="inlineStr">
        <is>
          <t>Working comparator only; retain prior FIASA comparison pending reconciliation.</t>
        </is>
      </c>
      <c r="J7" s="121" t="inlineStr">
        <is>
          <t>Before baseline acceptance</t>
        </is>
      </c>
      <c r="K7" s="122" t="n"/>
      <c r="L7" s="122" t="n"/>
      <c r="M7" s="122" t="n"/>
      <c r="N7" s="122" t="n"/>
      <c r="O7" s="122" t="n"/>
      <c r="P7" s="122" t="n"/>
      <c r="Q7" s="122" t="n"/>
      <c r="R7" s="122" t="n"/>
      <c r="S7" s="122" t="n"/>
      <c r="T7" s="3" t="n"/>
      <c r="U7" s="3" t="n"/>
      <c r="V7" s="3" t="n"/>
    </row>
    <row r="8" ht="70" customHeight="1">
      <c r="A8" s="3" t="inlineStr">
        <is>
          <t>petrol</t>
        </is>
      </c>
      <c r="B8" s="120" t="n">
        <v>2025</v>
      </c>
      <c r="C8" s="121">
        <f>IF(ISNUMBER('Evidence'!I5),'Evidence'!I5,"")</f>
        <v/>
      </c>
      <c r="D8" s="121">
        <f>IF(ISNUMBER('Evidence'!I6),'Evidence'!I6,"")</f>
        <v/>
      </c>
      <c r="E8" s="121" t="inlineStr">
        <is>
          <t>Unresolved</t>
        </is>
      </c>
      <c r="F8" s="121">
        <f>IF(E8="FIASA",IF(ISNUMBER(C8),C8,""),IF(E8="Department",IF(ISNUMBER(D8),D8,""),""))</f>
        <v/>
      </c>
      <c r="G8" s="121">
        <f>IF(E8="Unresolved","No source selected",IF(ISNUMBER(F8),"Working choice - awaiting review","Selected source missing"))</f>
        <v/>
      </c>
      <c r="H8" s="121" t="inlineStr">
        <is>
          <t>Nigel / Manish</t>
        </is>
      </c>
      <c r="I8" s="121" t="inlineStr">
        <is>
          <t>Working comparator only; retain prior FIASA comparison pending reconciliation.</t>
        </is>
      </c>
      <c r="J8" s="121" t="inlineStr">
        <is>
          <t>Before baseline acceptance</t>
        </is>
      </c>
      <c r="K8" s="122" t="n"/>
      <c r="L8" s="122" t="n"/>
      <c r="M8" s="122" t="n"/>
      <c r="N8" s="122" t="n"/>
      <c r="O8" s="122" t="n"/>
      <c r="P8" s="122" t="n"/>
      <c r="Q8" s="122" t="n"/>
      <c r="R8" s="122" t="n"/>
      <c r="S8" s="122" t="n"/>
      <c r="T8" s="3" t="n"/>
      <c r="U8" s="3" t="n"/>
      <c r="V8" s="3" t="n"/>
    </row>
    <row r="9" ht="70" customHeight="1">
      <c r="A9" s="3" t="inlineStr">
        <is>
          <t>petrol</t>
        </is>
      </c>
      <c r="B9" s="120" t="n">
        <v>2026</v>
      </c>
      <c r="C9" s="121">
        <f>IF(ISNUMBER('Evidence'!J5),'Evidence'!J5,"")</f>
        <v/>
      </c>
      <c r="D9" s="121">
        <f>IF(ISNUMBER('Evidence'!J6),'Evidence'!J6,"")</f>
        <v/>
      </c>
      <c r="E9" s="121" t="inlineStr">
        <is>
          <t>Unresolved</t>
        </is>
      </c>
      <c r="F9" s="121">
        <f>IF(E9="FIASA",IF(ISNUMBER(C9),C9,""),IF(E9="Department",IF(ISNUMBER(D9),D9,""),""))</f>
        <v/>
      </c>
      <c r="G9" s="121">
        <f>IF(E9="Unresolved","No source selected",IF(ISNUMBER(F9),"Working choice - awaiting review","Selected source missing"))</f>
        <v/>
      </c>
      <c r="H9" s="121" t="inlineStr">
        <is>
          <t>Nigel / Manish</t>
        </is>
      </c>
      <c r="I9" s="121" t="inlineStr">
        <is>
          <t>Working comparator only; retain prior FIASA comparison pending reconciliation.</t>
        </is>
      </c>
      <c r="J9" s="121" t="inlineStr">
        <is>
          <t>Before baseline acceptance</t>
        </is>
      </c>
      <c r="K9" s="122" t="n"/>
      <c r="L9" s="122" t="n"/>
      <c r="M9" s="122" t="n"/>
      <c r="N9" s="122" t="n"/>
      <c r="O9" s="122" t="n"/>
      <c r="P9" s="122" t="n"/>
      <c r="Q9" s="122" t="n"/>
      <c r="R9" s="122" t="n"/>
      <c r="S9" s="122" t="n"/>
      <c r="T9" s="3" t="n"/>
      <c r="U9" s="3" t="n"/>
      <c r="V9" s="3" t="n"/>
    </row>
    <row r="10" ht="70" customHeight="1">
      <c r="A10" s="3" t="inlineStr">
        <is>
          <t>diesel</t>
        </is>
      </c>
      <c r="B10" s="120" t="n">
        <v>2022</v>
      </c>
      <c r="C10" s="121">
        <f>IF(ISNUMBER('Evidence'!F7),'Evidence'!F7,"")</f>
        <v/>
      </c>
      <c r="D10" s="121">
        <f>IF(ISNUMBER('Evidence'!F8),'Evidence'!F8,"")</f>
        <v/>
      </c>
      <c r="E10" s="121" t="inlineStr">
        <is>
          <t>Department</t>
        </is>
      </c>
      <c r="F10" s="121">
        <f>IF(E10="FIASA",IF(ISNUMBER(C10),C10,""),IF(E10="Department",IF(ISNUMBER(D10),D10,""),""))</f>
        <v/>
      </c>
      <c r="G10" s="121">
        <f>IF(E10="Unresolved","No source selected",IF(ISNUMBER(F10),"Working choice - awaiting review","Selected source missing"))</f>
        <v/>
      </c>
      <c r="H10" s="121" t="inlineStr">
        <is>
          <t>Nigel / Manish</t>
        </is>
      </c>
      <c r="I10" s="121" t="inlineStr">
        <is>
          <t>Working comparator only; retain prior FIASA comparison pending reconciliation.</t>
        </is>
      </c>
      <c r="J10" s="121" t="inlineStr">
        <is>
          <t>Before baseline acceptance</t>
        </is>
      </c>
      <c r="K10" s="122" t="n"/>
      <c r="L10" s="122" t="n"/>
      <c r="M10" s="122" t="n"/>
      <c r="N10" s="122" t="n"/>
      <c r="O10" s="122" t="n"/>
      <c r="P10" s="122" t="n"/>
      <c r="Q10" s="122" t="n"/>
      <c r="R10" s="122" t="n"/>
      <c r="S10" s="122" t="n"/>
      <c r="T10" s="3" t="n"/>
      <c r="U10" s="3" t="n"/>
      <c r="V10" s="3" t="n"/>
    </row>
    <row r="11" ht="70" customHeight="1">
      <c r="A11" s="3" t="inlineStr">
        <is>
          <t>diesel</t>
        </is>
      </c>
      <c r="B11" s="120" t="n">
        <v>2023</v>
      </c>
      <c r="C11" s="121">
        <f>IF(ISNUMBER('Evidence'!G7),'Evidence'!G7,"")</f>
        <v/>
      </c>
      <c r="D11" s="121">
        <f>IF(ISNUMBER('Evidence'!G8),'Evidence'!G8,"")</f>
        <v/>
      </c>
      <c r="E11" s="121" t="inlineStr">
        <is>
          <t>Department</t>
        </is>
      </c>
      <c r="F11" s="121">
        <f>IF(E11="FIASA",IF(ISNUMBER(C11),C11,""),IF(E11="Department",IF(ISNUMBER(D11),D11,""),""))</f>
        <v/>
      </c>
      <c r="G11" s="121">
        <f>IF(E11="Unresolved","No source selected",IF(ISNUMBER(F11),"Working choice - awaiting review","Selected source missing"))</f>
        <v/>
      </c>
      <c r="H11" s="121" t="inlineStr">
        <is>
          <t>Nigel / Manish</t>
        </is>
      </c>
      <c r="I11" s="121" t="inlineStr">
        <is>
          <t>Working comparator only; retain prior FIASA comparison pending reconciliation.</t>
        </is>
      </c>
      <c r="J11" s="121" t="inlineStr">
        <is>
          <t>Before baseline acceptance</t>
        </is>
      </c>
      <c r="K11" s="122" t="n"/>
      <c r="L11" s="122" t="n"/>
      <c r="M11" s="122" t="n"/>
      <c r="N11" s="122" t="n"/>
      <c r="O11" s="122" t="n"/>
      <c r="P11" s="122" t="n"/>
      <c r="Q11" s="122" t="n"/>
      <c r="R11" s="122" t="n"/>
      <c r="S11" s="122" t="n"/>
      <c r="T11" s="3" t="n"/>
      <c r="U11" s="3" t="n"/>
      <c r="V11" s="3" t="n"/>
    </row>
    <row r="12" ht="70" customHeight="1">
      <c r="A12" s="3" t="inlineStr">
        <is>
          <t>diesel</t>
        </is>
      </c>
      <c r="B12" s="120" t="n">
        <v>2024</v>
      </c>
      <c r="C12" s="121">
        <f>IF(ISNUMBER('Evidence'!H7),'Evidence'!H7,"")</f>
        <v/>
      </c>
      <c r="D12" s="121">
        <f>IF(ISNUMBER('Evidence'!H8),'Evidence'!H8,"")</f>
        <v/>
      </c>
      <c r="E12" s="121" t="inlineStr">
        <is>
          <t>FIASA</t>
        </is>
      </c>
      <c r="F12" s="121">
        <f>IF(E12="FIASA",IF(ISNUMBER(C12),C12,""),IF(E12="Department",IF(ISNUMBER(D12),D12,""),""))</f>
        <v/>
      </c>
      <c r="G12" s="121">
        <f>IF(E12="Unresolved","No source selected",IF(ISNUMBER(F12),"Working choice - awaiting review","Selected source missing"))</f>
        <v/>
      </c>
      <c r="H12" s="121" t="inlineStr">
        <is>
          <t>Nigel / Manish</t>
        </is>
      </c>
      <c r="I12" s="121" t="inlineStr">
        <is>
          <t>Working comparator only; retain prior FIASA comparison pending reconciliation.</t>
        </is>
      </c>
      <c r="J12" s="121" t="inlineStr">
        <is>
          <t>Before baseline acceptance</t>
        </is>
      </c>
      <c r="K12" s="122" t="n"/>
      <c r="L12" s="122" t="n"/>
      <c r="M12" s="122" t="n"/>
      <c r="N12" s="122" t="n"/>
      <c r="O12" s="122" t="n"/>
      <c r="P12" s="122" t="n"/>
      <c r="Q12" s="122" t="n"/>
      <c r="R12" s="122" t="n"/>
      <c r="S12" s="122" t="n"/>
      <c r="T12" s="3" t="n"/>
      <c r="U12" s="3" t="n"/>
      <c r="V12" s="3" t="n"/>
    </row>
    <row r="13" ht="70" customHeight="1">
      <c r="A13" s="3" t="inlineStr">
        <is>
          <t>diesel</t>
        </is>
      </c>
      <c r="B13" s="120" t="n">
        <v>2025</v>
      </c>
      <c r="C13" s="121">
        <f>IF(ISNUMBER('Evidence'!I7),'Evidence'!I7,"")</f>
        <v/>
      </c>
      <c r="D13" s="121">
        <f>IF(ISNUMBER('Evidence'!I8),'Evidence'!I8,"")</f>
        <v/>
      </c>
      <c r="E13" s="121" t="inlineStr">
        <is>
          <t>Unresolved</t>
        </is>
      </c>
      <c r="F13" s="121">
        <f>IF(E13="FIASA",IF(ISNUMBER(C13),C13,""),IF(E13="Department",IF(ISNUMBER(D13),D13,""),""))</f>
        <v/>
      </c>
      <c r="G13" s="121">
        <f>IF(E13="Unresolved","No source selected",IF(ISNUMBER(F13),"Working choice - awaiting review","Selected source missing"))</f>
        <v/>
      </c>
      <c r="H13" s="121" t="inlineStr">
        <is>
          <t>Nigel / Manish</t>
        </is>
      </c>
      <c r="I13" s="121" t="inlineStr">
        <is>
          <t>Working comparator only; retain prior FIASA comparison pending reconciliation.</t>
        </is>
      </c>
      <c r="J13" s="121" t="inlineStr">
        <is>
          <t>Before baseline acceptance</t>
        </is>
      </c>
      <c r="K13" s="122" t="n"/>
      <c r="L13" s="122" t="n"/>
      <c r="M13" s="122" t="n"/>
      <c r="N13" s="122" t="n"/>
      <c r="O13" s="122" t="n"/>
      <c r="P13" s="122" t="n"/>
      <c r="Q13" s="122" t="n"/>
      <c r="R13" s="122" t="n"/>
      <c r="S13" s="122" t="n"/>
      <c r="T13" s="3" t="n"/>
      <c r="U13" s="3" t="n"/>
      <c r="V13" s="3" t="n"/>
    </row>
    <row r="14" ht="70" customHeight="1">
      <c r="A14" s="3" t="inlineStr">
        <is>
          <t>diesel</t>
        </is>
      </c>
      <c r="B14" s="120" t="n">
        <v>2026</v>
      </c>
      <c r="C14" s="121">
        <f>IF(ISNUMBER('Evidence'!J7),'Evidence'!J7,"")</f>
        <v/>
      </c>
      <c r="D14" s="121">
        <f>IF(ISNUMBER('Evidence'!J8),'Evidence'!J8,"")</f>
        <v/>
      </c>
      <c r="E14" s="121" t="inlineStr">
        <is>
          <t>Unresolved</t>
        </is>
      </c>
      <c r="F14" s="121">
        <f>IF(E14="FIASA",IF(ISNUMBER(C14),C14,""),IF(E14="Department",IF(ISNUMBER(D14),D14,""),""))</f>
        <v/>
      </c>
      <c r="G14" s="121">
        <f>IF(E14="Unresolved","No source selected",IF(ISNUMBER(F14),"Working choice - awaiting review","Selected source missing"))</f>
        <v/>
      </c>
      <c r="H14" s="121" t="inlineStr">
        <is>
          <t>Nigel / Manish</t>
        </is>
      </c>
      <c r="I14" s="121" t="inlineStr">
        <is>
          <t>Working comparator only; retain prior FIASA comparison pending reconciliation.</t>
        </is>
      </c>
      <c r="J14" s="121" t="inlineStr">
        <is>
          <t>Before baseline acceptance</t>
        </is>
      </c>
      <c r="K14" s="122" t="n"/>
      <c r="L14" s="122" t="n"/>
      <c r="M14" s="122" t="n"/>
      <c r="N14" s="122" t="n"/>
      <c r="O14" s="122" t="n"/>
      <c r="P14" s="122" t="n"/>
      <c r="Q14" s="122" t="n"/>
      <c r="R14" s="122" t="n"/>
      <c r="S14" s="122" t="n"/>
      <c r="T14" s="3" t="n"/>
      <c r="U14" s="3" t="n"/>
      <c r="V14" s="3" t="n"/>
    </row>
    <row r="15" ht="70" customHeight="1">
      <c r="A15" s="3" t="inlineStr">
        <is>
          <t>jet</t>
        </is>
      </c>
      <c r="B15" s="120" t="n">
        <v>2022</v>
      </c>
      <c r="C15" s="121">
        <f>IF(ISNUMBER('Evidence'!F9),'Evidence'!F9,"")</f>
        <v/>
      </c>
      <c r="D15" s="121">
        <f>IF(ISNUMBER('Evidence'!F10),'Evidence'!F10,"")</f>
        <v/>
      </c>
      <c r="E15" s="121" t="inlineStr">
        <is>
          <t>Department</t>
        </is>
      </c>
      <c r="F15" s="121">
        <f>IF(E15="FIASA",IF(ISNUMBER(C15),C15,""),IF(E15="Department",IF(ISNUMBER(D15),D15,""),""))</f>
        <v/>
      </c>
      <c r="G15" s="121">
        <f>IF(E15="Unresolved","No source selected",IF(ISNUMBER(F15),"Working choice - awaiting review","Selected source missing"))</f>
        <v/>
      </c>
      <c r="H15" s="121" t="inlineStr">
        <is>
          <t>Nigel / Manish</t>
        </is>
      </c>
      <c r="I15" s="121" t="inlineStr">
        <is>
          <t>Working comparator only; retain prior FIASA comparison pending reconciliation.</t>
        </is>
      </c>
      <c r="J15" s="121" t="inlineStr">
        <is>
          <t>Before baseline acceptance</t>
        </is>
      </c>
      <c r="K15" s="122" t="n"/>
      <c r="L15" s="122" t="n"/>
      <c r="M15" s="122" t="n"/>
      <c r="N15" s="122" t="n"/>
      <c r="O15" s="122" t="n"/>
      <c r="P15" s="122" t="n"/>
      <c r="Q15" s="122" t="n"/>
      <c r="R15" s="122" t="n"/>
      <c r="S15" s="122" t="n"/>
      <c r="T15" s="3" t="n"/>
      <c r="U15" s="3" t="n"/>
      <c r="V15" s="3" t="n"/>
    </row>
    <row r="16" ht="70" customHeight="1">
      <c r="A16" s="3" t="inlineStr">
        <is>
          <t>jet</t>
        </is>
      </c>
      <c r="B16" s="120" t="n">
        <v>2023</v>
      </c>
      <c r="C16" s="121">
        <f>IF(ISNUMBER('Evidence'!G9),'Evidence'!G9,"")</f>
        <v/>
      </c>
      <c r="D16" s="121">
        <f>IF(ISNUMBER('Evidence'!G10),'Evidence'!G10,"")</f>
        <v/>
      </c>
      <c r="E16" s="121" t="inlineStr">
        <is>
          <t>Department</t>
        </is>
      </c>
      <c r="F16" s="121">
        <f>IF(E16="FIASA",IF(ISNUMBER(C16),C16,""),IF(E16="Department",IF(ISNUMBER(D16),D16,""),""))</f>
        <v/>
      </c>
      <c r="G16" s="121">
        <f>IF(E16="Unresolved","No source selected",IF(ISNUMBER(F16),"Working choice - awaiting review","Selected source missing"))</f>
        <v/>
      </c>
      <c r="H16" s="121" t="inlineStr">
        <is>
          <t>Nigel / Manish</t>
        </is>
      </c>
      <c r="I16" s="121" t="inlineStr">
        <is>
          <t>Working comparator only; retain prior FIASA comparison pending reconciliation.</t>
        </is>
      </c>
      <c r="J16" s="121" t="inlineStr">
        <is>
          <t>Before baseline acceptance</t>
        </is>
      </c>
      <c r="K16" s="122" t="n"/>
      <c r="L16" s="122" t="n"/>
      <c r="M16" s="122" t="n"/>
      <c r="N16" s="122" t="n"/>
      <c r="O16" s="122" t="n"/>
      <c r="P16" s="122" t="n"/>
      <c r="Q16" s="122" t="n"/>
      <c r="R16" s="122" t="n"/>
      <c r="S16" s="122" t="n"/>
      <c r="T16" s="3" t="n"/>
      <c r="U16" s="3" t="n"/>
      <c r="V16" s="3" t="n"/>
    </row>
    <row r="17" ht="70" customHeight="1">
      <c r="A17" s="3" t="inlineStr">
        <is>
          <t>jet</t>
        </is>
      </c>
      <c r="B17" s="120" t="n">
        <v>2024</v>
      </c>
      <c r="C17" s="121">
        <f>IF(ISNUMBER('Evidence'!H9),'Evidence'!H9,"")</f>
        <v/>
      </c>
      <c r="D17" s="121">
        <f>IF(ISNUMBER('Evidence'!H10),'Evidence'!H10,"")</f>
        <v/>
      </c>
      <c r="E17" s="121" t="inlineStr">
        <is>
          <t>FIASA</t>
        </is>
      </c>
      <c r="F17" s="121">
        <f>IF(E17="FIASA",IF(ISNUMBER(C17),C17,""),IF(E17="Department",IF(ISNUMBER(D17),D17,""),""))</f>
        <v/>
      </c>
      <c r="G17" s="121">
        <f>IF(E17="Unresolved","No source selected",IF(ISNUMBER(F17),"Working choice - awaiting review","Selected source missing"))</f>
        <v/>
      </c>
      <c r="H17" s="121" t="inlineStr">
        <is>
          <t>Nigel / Manish</t>
        </is>
      </c>
      <c r="I17" s="121" t="inlineStr">
        <is>
          <t>Working comparator only; retain prior FIASA comparison pending reconciliation.</t>
        </is>
      </c>
      <c r="J17" s="121" t="inlineStr">
        <is>
          <t>Before baseline acceptance</t>
        </is>
      </c>
      <c r="K17" s="122" t="n"/>
      <c r="L17" s="122" t="n"/>
      <c r="M17" s="122" t="n"/>
      <c r="N17" s="122" t="n"/>
      <c r="O17" s="122" t="n"/>
      <c r="P17" s="122" t="n"/>
      <c r="Q17" s="122" t="n"/>
      <c r="R17" s="122" t="n"/>
      <c r="S17" s="122" t="n"/>
      <c r="T17" s="3" t="n"/>
      <c r="U17" s="3" t="n"/>
      <c r="V17" s="3" t="n"/>
    </row>
    <row r="18" ht="70" customHeight="1">
      <c r="A18" s="3" t="inlineStr">
        <is>
          <t>jet</t>
        </is>
      </c>
      <c r="B18" s="120" t="n">
        <v>2025</v>
      </c>
      <c r="C18" s="121">
        <f>IF(ISNUMBER('Evidence'!I9),'Evidence'!I9,"")</f>
        <v/>
      </c>
      <c r="D18" s="121">
        <f>IF(ISNUMBER('Evidence'!I10),'Evidence'!I10,"")</f>
        <v/>
      </c>
      <c r="E18" s="121" t="inlineStr">
        <is>
          <t>Unresolved</t>
        </is>
      </c>
      <c r="F18" s="121">
        <f>IF(E18="FIASA",IF(ISNUMBER(C18),C18,""),IF(E18="Department",IF(ISNUMBER(D18),D18,""),""))</f>
        <v/>
      </c>
      <c r="G18" s="121">
        <f>IF(E18="Unresolved","No source selected",IF(ISNUMBER(F18),"Working choice - awaiting review","Selected source missing"))</f>
        <v/>
      </c>
      <c r="H18" s="121" t="inlineStr">
        <is>
          <t>Nigel / Manish</t>
        </is>
      </c>
      <c r="I18" s="121" t="inlineStr">
        <is>
          <t>Working comparator only; retain prior FIASA comparison pending reconciliation.</t>
        </is>
      </c>
      <c r="J18" s="121" t="inlineStr">
        <is>
          <t>Before baseline acceptance</t>
        </is>
      </c>
      <c r="K18" s="122" t="n"/>
      <c r="L18" s="122" t="n"/>
      <c r="M18" s="122" t="n"/>
      <c r="N18" s="122" t="n"/>
      <c r="O18" s="122" t="n"/>
      <c r="P18" s="122" t="n"/>
      <c r="Q18" s="122" t="n"/>
      <c r="R18" s="122" t="n"/>
      <c r="S18" s="122" t="n"/>
      <c r="T18" s="3" t="n"/>
      <c r="U18" s="3" t="n"/>
      <c r="V18" s="3" t="n"/>
    </row>
    <row r="19" ht="70" customHeight="1">
      <c r="A19" s="3" t="inlineStr">
        <is>
          <t>jet</t>
        </is>
      </c>
      <c r="B19" s="120" t="n">
        <v>2026</v>
      </c>
      <c r="C19" s="121">
        <f>IF(ISNUMBER('Evidence'!J9),'Evidence'!J9,"")</f>
        <v/>
      </c>
      <c r="D19" s="121">
        <f>IF(ISNUMBER('Evidence'!J10),'Evidence'!J10,"")</f>
        <v/>
      </c>
      <c r="E19" s="121" t="inlineStr">
        <is>
          <t>Unresolved</t>
        </is>
      </c>
      <c r="F19" s="121">
        <f>IF(E19="FIASA",IF(ISNUMBER(C19),C19,""),IF(E19="Department",IF(ISNUMBER(D19),D19,""),""))</f>
        <v/>
      </c>
      <c r="G19" s="121">
        <f>IF(E19="Unresolved","No source selected",IF(ISNUMBER(F19),"Working choice - awaiting review","Selected source missing"))</f>
        <v/>
      </c>
      <c r="H19" s="121" t="inlineStr">
        <is>
          <t>Nigel / Manish</t>
        </is>
      </c>
      <c r="I19" s="121" t="inlineStr">
        <is>
          <t>Working comparator only; retain prior FIASA comparison pending reconciliation.</t>
        </is>
      </c>
      <c r="J19" s="121" t="inlineStr">
        <is>
          <t>Before baseline acceptance</t>
        </is>
      </c>
      <c r="K19" s="122" t="n"/>
      <c r="L19" s="122" t="n"/>
      <c r="M19" s="122" t="n"/>
      <c r="N19" s="122" t="n"/>
      <c r="O19" s="122" t="n"/>
      <c r="P19" s="122" t="n"/>
      <c r="Q19" s="122" t="n"/>
      <c r="R19" s="122" t="n"/>
      <c r="S19" s="122" t="n"/>
      <c r="T19" s="3" t="n"/>
      <c r="U19" s="3" t="n"/>
      <c r="V19" s="3" t="n"/>
    </row>
    <row r="20" ht="70" customHeight="1">
      <c r="A20" s="3" t="inlineStr">
        <is>
          <t>fuel_oil</t>
        </is>
      </c>
      <c r="B20" s="120" t="n">
        <v>2022</v>
      </c>
      <c r="C20" s="121">
        <f>IF(ISNUMBER('Evidence'!F11),'Evidence'!F11,"")</f>
        <v/>
      </c>
      <c r="D20" s="121">
        <f>IF(ISNUMBER('Evidence'!F12),'Evidence'!F12,"")</f>
        <v/>
      </c>
      <c r="E20" s="121" t="inlineStr">
        <is>
          <t>Department</t>
        </is>
      </c>
      <c r="F20" s="121">
        <f>IF(E20="FIASA",IF(ISNUMBER(C20),C20,""),IF(E20="Department",IF(ISNUMBER(D20),D20,""),""))</f>
        <v/>
      </c>
      <c r="G20" s="121">
        <f>IF(E20="Unresolved","No source selected",IF(ISNUMBER(F20),"Working choice - awaiting review","Selected source missing"))</f>
        <v/>
      </c>
      <c r="H20" s="121" t="inlineStr">
        <is>
          <t>Nigel / Manish</t>
        </is>
      </c>
      <c r="I20" s="121" t="inlineStr">
        <is>
          <t>Working comparator only; retain prior FIASA comparison pending reconciliation.</t>
        </is>
      </c>
      <c r="J20" s="121" t="inlineStr">
        <is>
          <t>Before baseline acceptance</t>
        </is>
      </c>
      <c r="K20" s="122" t="n"/>
      <c r="L20" s="122" t="n"/>
      <c r="M20" s="122" t="n"/>
      <c r="N20" s="122" t="n"/>
      <c r="O20" s="122" t="n"/>
      <c r="P20" s="122" t="n"/>
      <c r="Q20" s="122" t="n"/>
      <c r="R20" s="122" t="n"/>
      <c r="S20" s="122" t="n"/>
      <c r="T20" s="3" t="n"/>
      <c r="U20" s="3" t="n"/>
      <c r="V20" s="3" t="n"/>
    </row>
    <row r="21" ht="70" customHeight="1">
      <c r="A21" s="3" t="inlineStr">
        <is>
          <t>fuel_oil</t>
        </is>
      </c>
      <c r="B21" s="120" t="n">
        <v>2023</v>
      </c>
      <c r="C21" s="121">
        <f>IF(ISNUMBER('Evidence'!G11),'Evidence'!G11,"")</f>
        <v/>
      </c>
      <c r="D21" s="121">
        <f>IF(ISNUMBER('Evidence'!G12),'Evidence'!G12,"")</f>
        <v/>
      </c>
      <c r="E21" s="121" t="inlineStr">
        <is>
          <t>Department</t>
        </is>
      </c>
      <c r="F21" s="121">
        <f>IF(E21="FIASA",IF(ISNUMBER(C21),C21,""),IF(E21="Department",IF(ISNUMBER(D21),D21,""),""))</f>
        <v/>
      </c>
      <c r="G21" s="121">
        <f>IF(E21="Unresolved","No source selected",IF(ISNUMBER(F21),"Working choice - awaiting review","Selected source missing"))</f>
        <v/>
      </c>
      <c r="H21" s="121" t="inlineStr">
        <is>
          <t>Nigel / Manish</t>
        </is>
      </c>
      <c r="I21" s="121" t="inlineStr">
        <is>
          <t>Working comparator only; retain prior FIASA comparison pending reconciliation.</t>
        </is>
      </c>
      <c r="J21" s="121" t="inlineStr">
        <is>
          <t>Before baseline acceptance</t>
        </is>
      </c>
      <c r="K21" s="122" t="n"/>
      <c r="L21" s="122" t="n"/>
      <c r="M21" s="122" t="n"/>
      <c r="N21" s="122" t="n"/>
      <c r="O21" s="122" t="n"/>
      <c r="P21" s="122" t="n"/>
      <c r="Q21" s="122" t="n"/>
      <c r="R21" s="122" t="n"/>
      <c r="S21" s="122" t="n"/>
      <c r="T21" s="3" t="n"/>
      <c r="U21" s="3" t="n"/>
      <c r="V21" s="3" t="n"/>
    </row>
    <row r="22" ht="70" customHeight="1">
      <c r="A22" s="3" t="inlineStr">
        <is>
          <t>fuel_oil</t>
        </is>
      </c>
      <c r="B22" s="120" t="n">
        <v>2024</v>
      </c>
      <c r="C22" s="121">
        <f>IF(ISNUMBER('Evidence'!H11),'Evidence'!H11,"")</f>
        <v/>
      </c>
      <c r="D22" s="121">
        <f>IF(ISNUMBER('Evidence'!H12),'Evidence'!H12,"")</f>
        <v/>
      </c>
      <c r="E22" s="121" t="inlineStr">
        <is>
          <t>FIASA</t>
        </is>
      </c>
      <c r="F22" s="121">
        <f>IF(E22="FIASA",IF(ISNUMBER(C22),C22,""),IF(E22="Department",IF(ISNUMBER(D22),D22,""),""))</f>
        <v/>
      </c>
      <c r="G22" s="121">
        <f>IF(E22="Unresolved","No source selected",IF(ISNUMBER(F22),"Working choice - awaiting review","Selected source missing"))</f>
        <v/>
      </c>
      <c r="H22" s="121" t="inlineStr">
        <is>
          <t>Nigel / Manish</t>
        </is>
      </c>
      <c r="I22" s="121" t="inlineStr">
        <is>
          <t>Working comparator only; retain prior FIASA comparison pending reconciliation.</t>
        </is>
      </c>
      <c r="J22" s="121" t="inlineStr">
        <is>
          <t>Before baseline acceptance</t>
        </is>
      </c>
      <c r="K22" s="122" t="n"/>
      <c r="L22" s="122" t="n"/>
      <c r="M22" s="122" t="n"/>
      <c r="N22" s="122" t="n"/>
      <c r="O22" s="122" t="n"/>
      <c r="P22" s="122" t="n"/>
      <c r="Q22" s="122" t="n"/>
      <c r="R22" s="122" t="n"/>
      <c r="S22" s="122" t="n"/>
      <c r="T22" s="3" t="n"/>
      <c r="U22" s="3" t="n"/>
      <c r="V22" s="3" t="n"/>
    </row>
    <row r="23" ht="70" customHeight="1">
      <c r="A23" s="3" t="inlineStr">
        <is>
          <t>fuel_oil</t>
        </is>
      </c>
      <c r="B23" s="120" t="n">
        <v>2025</v>
      </c>
      <c r="C23" s="121">
        <f>IF(ISNUMBER('Evidence'!I11),'Evidence'!I11,"")</f>
        <v/>
      </c>
      <c r="D23" s="121">
        <f>IF(ISNUMBER('Evidence'!I12),'Evidence'!I12,"")</f>
        <v/>
      </c>
      <c r="E23" s="121" t="inlineStr">
        <is>
          <t>Unresolved</t>
        </is>
      </c>
      <c r="F23" s="121">
        <f>IF(E23="FIASA",IF(ISNUMBER(C23),C23,""),IF(E23="Department",IF(ISNUMBER(D23),D23,""),""))</f>
        <v/>
      </c>
      <c r="G23" s="121">
        <f>IF(E23="Unresolved","No source selected",IF(ISNUMBER(F23),"Working choice - awaiting review","Selected source missing"))</f>
        <v/>
      </c>
      <c r="H23" s="121" t="inlineStr">
        <is>
          <t>Nigel / Manish</t>
        </is>
      </c>
      <c r="I23" s="121" t="inlineStr">
        <is>
          <t>Working comparator only; retain prior FIASA comparison pending reconciliation.</t>
        </is>
      </c>
      <c r="J23" s="121" t="inlineStr">
        <is>
          <t>Before baseline acceptance</t>
        </is>
      </c>
      <c r="K23" s="122" t="n"/>
      <c r="L23" s="122" t="n"/>
      <c r="M23" s="122" t="n"/>
      <c r="N23" s="122" t="n"/>
      <c r="O23" s="122" t="n"/>
      <c r="P23" s="122" t="n"/>
      <c r="Q23" s="122" t="n"/>
      <c r="R23" s="122" t="n"/>
      <c r="S23" s="122" t="n"/>
      <c r="T23" s="3" t="n"/>
      <c r="U23" s="3" t="n"/>
      <c r="V23" s="3" t="n"/>
    </row>
    <row r="24" ht="70" customHeight="1">
      <c r="A24" s="3" t="inlineStr">
        <is>
          <t>fuel_oil</t>
        </is>
      </c>
      <c r="B24" s="120" t="n">
        <v>2026</v>
      </c>
      <c r="C24" s="121">
        <f>IF(ISNUMBER('Evidence'!J11),'Evidence'!J11,"")</f>
        <v/>
      </c>
      <c r="D24" s="121">
        <f>IF(ISNUMBER('Evidence'!J12),'Evidence'!J12,"")</f>
        <v/>
      </c>
      <c r="E24" s="121" t="inlineStr">
        <is>
          <t>Unresolved</t>
        </is>
      </c>
      <c r="F24" s="121">
        <f>IF(E24="FIASA",IF(ISNUMBER(C24),C24,""),IF(E24="Department",IF(ISNUMBER(D24),D24,""),""))</f>
        <v/>
      </c>
      <c r="G24" s="121">
        <f>IF(E24="Unresolved","No source selected",IF(ISNUMBER(F24),"Working choice - awaiting review","Selected source missing"))</f>
        <v/>
      </c>
      <c r="H24" s="121" t="inlineStr">
        <is>
          <t>Nigel / Manish</t>
        </is>
      </c>
      <c r="I24" s="121" t="inlineStr">
        <is>
          <t>Working comparator only; retain prior FIASA comparison pending reconciliation.</t>
        </is>
      </c>
      <c r="J24" s="121" t="inlineStr">
        <is>
          <t>Before baseline acceptance</t>
        </is>
      </c>
      <c r="K24" s="122" t="n"/>
      <c r="L24" s="122" t="n"/>
      <c r="M24" s="122" t="n"/>
      <c r="N24" s="122" t="n"/>
      <c r="O24" s="122" t="n"/>
      <c r="P24" s="122" t="n"/>
      <c r="Q24" s="122" t="n"/>
      <c r="R24" s="122" t="n"/>
      <c r="S24" s="122" t="n"/>
      <c r="T24" s="3" t="n"/>
      <c r="U24" s="3" t="n"/>
      <c r="V24" s="3" t="n"/>
    </row>
    <row r="25" ht="70" customHeight="1">
      <c r="A25" s="3" t="n"/>
      <c r="B25" s="3" t="n"/>
      <c r="C25" s="3" t="n"/>
      <c r="D25" s="121" t="n"/>
      <c r="E25" s="121" t="n"/>
      <c r="F25" s="121" t="n"/>
      <c r="G25" s="121" t="n"/>
      <c r="H25" s="121" t="n"/>
      <c r="I25" s="121" t="n"/>
      <c r="J25" s="121" t="n"/>
      <c r="K25" s="122" t="n"/>
      <c r="L25" s="122" t="n"/>
      <c r="M25" s="122" t="n"/>
      <c r="N25" s="122" t="n"/>
      <c r="O25" s="122" t="n"/>
      <c r="P25" s="122" t="n"/>
      <c r="Q25" s="122" t="n"/>
      <c r="R25" s="122" t="n"/>
      <c r="S25" s="122" t="n"/>
      <c r="T25" s="3" t="n"/>
      <c r="U25" s="3" t="n"/>
      <c r="V25" s="3" t="n"/>
    </row>
    <row r="26" ht="70" customHeight="1">
      <c r="A26" s="3" t="n"/>
      <c r="B26" s="3" t="n"/>
      <c r="C26" s="3" t="n"/>
      <c r="D26" s="121" t="n"/>
      <c r="E26" s="121" t="n"/>
      <c r="F26" s="121" t="n"/>
      <c r="G26" s="121" t="n"/>
      <c r="H26" s="121" t="n"/>
      <c r="I26" s="121" t="n"/>
      <c r="J26" s="121" t="n"/>
      <c r="K26" s="122" t="n"/>
      <c r="L26" s="122" t="n"/>
      <c r="M26" s="122" t="n"/>
      <c r="N26" s="122" t="n"/>
      <c r="O26" s="122" t="n"/>
      <c r="P26" s="122" t="n"/>
      <c r="Q26" s="122" t="n"/>
      <c r="R26" s="122" t="n"/>
      <c r="S26" s="122" t="n"/>
      <c r="T26" s="3" t="n"/>
      <c r="U26" s="3" t="n"/>
      <c r="V26" s="3" t="n"/>
    </row>
    <row r="27" ht="70" customHeight="1">
      <c r="A27" s="3" t="n"/>
      <c r="B27" s="3" t="n"/>
      <c r="C27" s="3" t="n"/>
      <c r="D27" s="121" t="n"/>
      <c r="E27" s="121" t="n"/>
      <c r="F27" s="121" t="n"/>
      <c r="G27" s="121" t="n"/>
      <c r="H27" s="121" t="n"/>
      <c r="I27" s="121" t="n"/>
      <c r="J27" s="121" t="n"/>
      <c r="K27" s="122" t="n"/>
      <c r="L27" s="122" t="n"/>
      <c r="M27" s="122" t="n"/>
      <c r="N27" s="122" t="n"/>
      <c r="O27" s="122" t="n"/>
      <c r="P27" s="122" t="n"/>
      <c r="Q27" s="122" t="n"/>
      <c r="R27" s="122" t="n"/>
      <c r="S27" s="122" t="n"/>
      <c r="T27" s="3" t="n"/>
      <c r="U27" s="3" t="n"/>
      <c r="V27" s="3" t="n"/>
    </row>
    <row r="28" ht="70" customHeight="1">
      <c r="A28" s="3" t="n"/>
      <c r="B28" s="3" t="n"/>
      <c r="C28" s="3" t="n"/>
      <c r="D28" s="121" t="n"/>
      <c r="E28" s="121" t="n"/>
      <c r="F28" s="121" t="n"/>
      <c r="G28" s="121" t="n"/>
      <c r="H28" s="121" t="n"/>
      <c r="I28" s="121" t="n"/>
      <c r="J28" s="121" t="n"/>
      <c r="K28" s="122" t="n"/>
      <c r="L28" s="122" t="n"/>
      <c r="M28" s="122" t="n"/>
      <c r="N28" s="122" t="n"/>
      <c r="O28" s="122" t="n"/>
      <c r="P28" s="122" t="n"/>
      <c r="Q28" s="122" t="n"/>
      <c r="R28" s="122" t="n"/>
      <c r="S28" s="122" t="n"/>
      <c r="T28" s="3" t="n"/>
      <c r="U28" s="3" t="n"/>
      <c r="V28" s="3" t="n"/>
    </row>
    <row r="29" ht="70" customHeight="1">
      <c r="A29" s="3" t="n"/>
      <c r="B29" s="3" t="n"/>
      <c r="C29" s="3" t="n"/>
      <c r="D29" s="121" t="n"/>
      <c r="E29" s="121" t="n"/>
      <c r="F29" s="121" t="n"/>
      <c r="G29" s="121" t="n"/>
      <c r="H29" s="121" t="n"/>
      <c r="I29" s="121" t="n"/>
      <c r="J29" s="121" t="n"/>
      <c r="K29" s="122" t="n"/>
      <c r="L29" s="122" t="n"/>
      <c r="M29" s="122" t="n"/>
      <c r="N29" s="122" t="n"/>
      <c r="O29" s="122" t="n"/>
      <c r="P29" s="122" t="n"/>
      <c r="Q29" s="122" t="n"/>
      <c r="R29" s="122" t="n"/>
      <c r="S29" s="122" t="n"/>
      <c r="T29" s="3" t="n"/>
      <c r="U29" s="3" t="n"/>
      <c r="V29" s="3" t="n"/>
    </row>
    <row r="30" ht="70" customHeight="1">
      <c r="A30" s="3" t="n"/>
      <c r="B30" s="3" t="n"/>
      <c r="C30" s="3" t="n"/>
      <c r="D30" s="121" t="n"/>
      <c r="E30" s="121" t="n"/>
      <c r="F30" s="121" t="n"/>
      <c r="G30" s="121" t="n"/>
      <c r="H30" s="121" t="n"/>
      <c r="I30" s="121" t="n"/>
      <c r="J30" s="121" t="n"/>
      <c r="K30" s="122" t="n"/>
      <c r="L30" s="122" t="n"/>
      <c r="M30" s="122" t="n"/>
      <c r="N30" s="122" t="n"/>
      <c r="O30" s="122" t="n"/>
      <c r="P30" s="122" t="n"/>
      <c r="Q30" s="122" t="n"/>
      <c r="R30" s="122" t="n"/>
      <c r="S30" s="122" t="n"/>
      <c r="T30" s="3" t="n"/>
      <c r="U30" s="3" t="n"/>
      <c r="V30" s="3" t="n"/>
    </row>
    <row r="31" ht="70" customHeight="1">
      <c r="A31" s="3" t="n"/>
      <c r="B31" s="3" t="n"/>
      <c r="C31" s="3" t="n"/>
      <c r="D31" s="121" t="n"/>
      <c r="E31" s="121" t="n"/>
      <c r="F31" s="121" t="n"/>
      <c r="G31" s="121" t="n"/>
      <c r="H31" s="121" t="n"/>
      <c r="I31" s="121" t="n"/>
      <c r="J31" s="121" t="n"/>
      <c r="K31" s="122" t="n"/>
      <c r="L31" s="122" t="n"/>
      <c r="M31" s="122" t="n"/>
      <c r="N31" s="122" t="n"/>
      <c r="O31" s="122" t="n"/>
      <c r="P31" s="122" t="n"/>
      <c r="Q31" s="122" t="n"/>
      <c r="R31" s="122" t="n"/>
      <c r="S31" s="122" t="n"/>
      <c r="T31" s="3" t="n"/>
      <c r="U31" s="3" t="n"/>
      <c r="V31" s="3" t="n"/>
    </row>
    <row r="32" ht="70" customHeight="1">
      <c r="A32" s="3" t="n"/>
      <c r="B32" s="3" t="n"/>
      <c r="C32" s="3" t="n"/>
      <c r="D32" s="121" t="n"/>
      <c r="E32" s="121" t="n"/>
      <c r="F32" s="121" t="n"/>
      <c r="G32" s="121" t="n"/>
      <c r="H32" s="121" t="n"/>
      <c r="I32" s="121" t="n"/>
      <c r="J32" s="121" t="n"/>
      <c r="K32" s="122" t="n"/>
      <c r="L32" s="122" t="n"/>
      <c r="M32" s="122" t="n"/>
      <c r="N32" s="122" t="n"/>
      <c r="O32" s="122" t="n"/>
      <c r="P32" s="122" t="n"/>
      <c r="Q32" s="122" t="n"/>
      <c r="R32" s="122" t="n"/>
      <c r="S32" s="122" t="n"/>
      <c r="T32" s="3" t="n"/>
      <c r="U32" s="3" t="n"/>
      <c r="V32" s="3" t="n"/>
    </row>
    <row r="33" ht="70" customHeight="1">
      <c r="A33" s="3" t="n"/>
      <c r="B33" s="3" t="n"/>
      <c r="C33" s="3" t="n"/>
      <c r="D33" s="121" t="n"/>
      <c r="E33" s="121" t="n"/>
      <c r="F33" s="121" t="n"/>
      <c r="G33" s="121" t="n"/>
      <c r="H33" s="121" t="n"/>
      <c r="I33" s="121" t="n"/>
      <c r="J33" s="121" t="n"/>
      <c r="K33" s="122" t="n"/>
      <c r="L33" s="122" t="n"/>
      <c r="M33" s="122" t="n"/>
      <c r="N33" s="122" t="n"/>
      <c r="O33" s="122" t="n"/>
      <c r="P33" s="122" t="n"/>
      <c r="Q33" s="122" t="n"/>
      <c r="R33" s="122" t="n"/>
      <c r="S33" s="122" t="n"/>
      <c r="T33" s="3" t="n"/>
      <c r="U33" s="3" t="n"/>
      <c r="V33" s="3" t="n"/>
    </row>
    <row r="34" ht="70" customHeight="1">
      <c r="A34" s="3" t="n"/>
      <c r="B34" s="3" t="n"/>
      <c r="C34" s="3" t="n"/>
      <c r="D34" s="121" t="n"/>
      <c r="E34" s="121" t="n"/>
      <c r="F34" s="121" t="n"/>
      <c r="G34" s="121" t="n"/>
      <c r="H34" s="121" t="n"/>
      <c r="I34" s="121" t="n"/>
      <c r="J34" s="121" t="n"/>
      <c r="K34" s="122" t="n"/>
      <c r="L34" s="122" t="n"/>
      <c r="M34" s="122" t="n"/>
      <c r="N34" s="122" t="n"/>
      <c r="O34" s="122" t="n"/>
      <c r="P34" s="122" t="n"/>
      <c r="Q34" s="122" t="n"/>
      <c r="R34" s="122" t="n"/>
      <c r="S34" s="122" t="n"/>
      <c r="T34" s="3" t="n"/>
      <c r="U34" s="3" t="n"/>
      <c r="V34" s="3" t="n"/>
    </row>
    <row r="35" ht="70" customHeight="1">
      <c r="A35" s="3" t="n"/>
      <c r="B35" s="3" t="n"/>
      <c r="C35" s="3" t="n"/>
      <c r="D35" s="121" t="n"/>
      <c r="E35" s="121" t="n"/>
      <c r="F35" s="121" t="n"/>
      <c r="G35" s="121" t="n"/>
      <c r="H35" s="121" t="n"/>
      <c r="I35" s="121" t="n"/>
      <c r="J35" s="121" t="n"/>
      <c r="K35" s="122" t="n"/>
      <c r="L35" s="122" t="n"/>
      <c r="M35" s="122" t="n"/>
      <c r="N35" s="122" t="n"/>
      <c r="O35" s="122" t="n"/>
      <c r="P35" s="122" t="n"/>
      <c r="Q35" s="122" t="n"/>
      <c r="R35" s="122" t="n"/>
      <c r="S35" s="122" t="n"/>
      <c r="T35" s="3" t="n"/>
      <c r="U35" s="3" t="n"/>
      <c r="V35" s="3" t="n"/>
    </row>
  </sheetData>
  <dataValidations count="20">
    <dataValidation sqref="E5" showDropDown="0" showInputMessage="0" showErrorMessage="0" allowBlank="0" type="list">
      <formula1>"FIASA,Department,Unresolved"</formula1>
    </dataValidation>
    <dataValidation sqref="E6" showDropDown="0" showInputMessage="0" showErrorMessage="0" allowBlank="0" type="list">
      <formula1>"FIASA,Department,Unresolved"</formula1>
    </dataValidation>
    <dataValidation sqref="E7" showDropDown="0" showInputMessage="0" showErrorMessage="0" allowBlank="0" type="list">
      <formula1>"FIASA,Department,Unresolved"</formula1>
    </dataValidation>
    <dataValidation sqref="E8" showDropDown="0" showInputMessage="0" showErrorMessage="0" allowBlank="0" type="list">
      <formula1>"FIASA,Department,Unresolved"</formula1>
    </dataValidation>
    <dataValidation sqref="E9" showDropDown="0" showInputMessage="0" showErrorMessage="0" allowBlank="0" type="list">
      <formula1>"FIASA,Department,Unresolved"</formula1>
    </dataValidation>
    <dataValidation sqref="E10" showDropDown="0" showInputMessage="0" showErrorMessage="0" allowBlank="0" type="list">
      <formula1>"FIASA,Department,Unresolved"</formula1>
    </dataValidation>
    <dataValidation sqref="E11" showDropDown="0" showInputMessage="0" showErrorMessage="0" allowBlank="0" type="list">
      <formula1>"FIASA,Department,Unresolved"</formula1>
    </dataValidation>
    <dataValidation sqref="E12" showDropDown="0" showInputMessage="0" showErrorMessage="0" allowBlank="0" type="list">
      <formula1>"FIASA,Department,Unresolved"</formula1>
    </dataValidation>
    <dataValidation sqref="E13" showDropDown="0" showInputMessage="0" showErrorMessage="0" allowBlank="0" type="list">
      <formula1>"FIASA,Department,Unresolved"</formula1>
    </dataValidation>
    <dataValidation sqref="E14" showDropDown="0" showInputMessage="0" showErrorMessage="0" allowBlank="0" type="list">
      <formula1>"FIASA,Department,Unresolved"</formula1>
    </dataValidation>
    <dataValidation sqref="E15" showDropDown="0" showInputMessage="0" showErrorMessage="0" allowBlank="0" type="list">
      <formula1>"FIASA,Department,Unresolved"</formula1>
    </dataValidation>
    <dataValidation sqref="E16" showDropDown="0" showInputMessage="0" showErrorMessage="0" allowBlank="0" type="list">
      <formula1>"FIASA,Department,Unresolved"</formula1>
    </dataValidation>
    <dataValidation sqref="E17" showDropDown="0" showInputMessage="0" showErrorMessage="0" allowBlank="0" type="list">
      <formula1>"FIASA,Department,Unresolved"</formula1>
    </dataValidation>
    <dataValidation sqref="E18" showDropDown="0" showInputMessage="0" showErrorMessage="0" allowBlank="0" type="list">
      <formula1>"FIASA,Department,Unresolved"</formula1>
    </dataValidation>
    <dataValidation sqref="E19" showDropDown="0" showInputMessage="0" showErrorMessage="0" allowBlank="0" type="list">
      <formula1>"FIASA,Department,Unresolved"</formula1>
    </dataValidation>
    <dataValidation sqref="E20" showDropDown="0" showInputMessage="0" showErrorMessage="0" allowBlank="0" type="list">
      <formula1>"FIASA,Department,Unresolved"</formula1>
    </dataValidation>
    <dataValidation sqref="E21" showDropDown="0" showInputMessage="0" showErrorMessage="0" allowBlank="0" type="list">
      <formula1>"FIASA,Department,Unresolved"</formula1>
    </dataValidation>
    <dataValidation sqref="E22" showDropDown="0" showInputMessage="0" showErrorMessage="0" allowBlank="0" type="list">
      <formula1>"FIASA,Department,Unresolved"</formula1>
    </dataValidation>
    <dataValidation sqref="E23" showDropDown="0" showInputMessage="0" showErrorMessage="0" allowBlank="0" type="list">
      <formula1>"FIASA,Department,Unresolved"</formula1>
    </dataValidation>
    <dataValidation sqref="E24" showDropDown="0" showInputMessage="0" showErrorMessage="0" allowBlank="0" type="list">
      <formula1>"FIASA,Department,Unresolved"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activeCell="A1" sqref="A1"/>
    </sheetView>
  </sheetViews>
  <sheetFormatPr baseColWidth="8" defaultRowHeight="15"/>
  <cols>
    <col width="21.25" customWidth="1" min="1" max="1"/>
    <col width="36.25" customWidth="1" min="2" max="2"/>
    <col width="40" customWidth="1" min="3" max="3"/>
    <col width="38.75" customWidth="1" min="4" max="4"/>
    <col width="35" customWidth="1" min="5" max="5"/>
    <col width="38.75" customWidth="1" min="6" max="6"/>
  </cols>
  <sheetData>
    <row r="1" ht="28" customHeight="1">
      <c r="A1" s="5" t="inlineStr">
        <is>
          <t>Demand methods by segment</t>
        </is>
      </c>
      <c r="B1" s="3" t="n"/>
      <c r="C1" s="3" t="n"/>
      <c r="D1" s="3" t="n"/>
      <c r="E1" s="3" t="n"/>
      <c r="F1" s="3" t="n"/>
    </row>
    <row r="2" ht="24" customHeight="1">
      <c r="A2" s="7" t="inlineStr">
        <is>
          <t>Agree the method and geographic definition before choosing numerical ranges.</t>
        </is>
      </c>
      <c r="B2" s="3" t="n"/>
      <c r="C2" s="3" t="n"/>
      <c r="D2" s="3" t="n"/>
      <c r="E2" s="3" t="n"/>
      <c r="F2" s="3" t="n"/>
    </row>
    <row r="3">
      <c r="A3" s="3" t="n"/>
      <c r="B3" s="3" t="n"/>
      <c r="C3" s="3" t="n"/>
      <c r="D3" s="3" t="n"/>
      <c r="E3" s="3" t="n"/>
      <c r="F3" s="3" t="n"/>
    </row>
    <row r="4" ht="38" customHeight="1">
      <c r="A4" s="9" t="inlineStr">
        <is>
          <t>Product / segment</t>
        </is>
      </c>
      <c r="B4" s="9" t="inlineStr">
        <is>
          <t>Current model</t>
        </is>
      </c>
      <c r="C4" s="9" t="inlineStr">
        <is>
          <t>Proposed direction</t>
        </is>
      </c>
      <c r="D4" s="9" t="inlineStr">
        <is>
          <t>National / provincial treatment</t>
        </is>
      </c>
      <c r="E4" s="9" t="inlineStr">
        <is>
          <t>Boundary and overlap check</t>
        </is>
      </c>
      <c r="F4" s="9" t="inlineStr">
        <is>
          <t>Evidence / workshop decision</t>
        </is>
      </c>
    </row>
    <row r="5" ht="100" customHeight="1">
      <c r="A5" s="3" t="inlineStr">
        <is>
          <t>Petrol passenger</t>
        </is>
      </c>
      <c r="B5" s="3" t="inlineStr">
        <is>
          <t>National passenger/LCV/HCV cohort model; GDP/capita predicts sales. EV uptake, scrappage, km and fixed cohort efficiency determine litres.</t>
        </is>
      </c>
      <c r="C5" s="3" t="inlineStr">
        <is>
          <t>Retain cohort logic; calibrate opening stock and sales. Separate BEV, PHEV and conventional hybrid.</t>
        </is>
      </c>
      <c r="D5" s="3" t="inlineStr">
        <is>
          <t>Allocate national totals initially; local stock/activity calculations when evidence supports them.</t>
        </is>
      </c>
      <c r="E5" s="3" t="inlineStr">
        <is>
          <t>New-sales shares are not fleet shares. Apply efficiency improvements to new cohorts only.</t>
        </is>
      </c>
      <c r="F5" s="3" t="inlineStr">
        <is>
          <t>Confirm opening stock, drivetrain basis, survival and mileage. Sources: vehicles.yaml; vehicles.py.</t>
        </is>
      </c>
    </row>
    <row r="6" ht="100" customHeight="1">
      <c r="A6" s="3" t="inlineStr">
        <is>
          <t>Diesel road freight</t>
        </is>
      </c>
      <c r="B6" s="3" t="inlineStr">
        <is>
          <t>Heavy-commercial diesel cohort calculation; LCV activity also includes freight and other uses.</t>
        </is>
      </c>
      <c r="C6" s="3" t="inlineStr">
        <is>
          <t>Choose fleet or tonne-km method. Separate diesel, BEV and hybrid trucks by duty cycle; sales feed cohorts, and work shares reflect mileage/payload.</t>
        </is>
      </c>
      <c r="D6" s="3" t="inlineStr">
        <is>
          <t>Define province of fuel purchase versus consumption/corridor. Registrations alone do not locate fuel use.</t>
        </is>
      </c>
      <c r="E6" s="3" t="inlineStr">
        <is>
          <t>Do not add the two methods. Deduct rail diversion once. Separate mining off-road from road trucks.</t>
        </is>
      </c>
      <c r="F6" s="3" t="inlineStr">
        <is>
          <t>Agree freight/LCV scope, truck BEV/hybrid paths, payload, empty running and charging feasibility. See Freight rows 30–45.</t>
        </is>
      </c>
    </row>
    <row r="7" ht="100" customHeight="1">
      <c r="A7" s="3" t="inlineStr">
        <is>
          <t>Other road demand</t>
        </is>
      </c>
      <c r="B7" s="3" t="inlineStr">
        <is>
          <t>Passenger and LCV diesel, and LCV petrol, sit in the vehicle model.</t>
        </is>
      </c>
      <c r="C7" s="3" t="inlineStr">
        <is>
          <t>Retain class-specific calculations and identify buses/taxis explicitly where evidence allows.</t>
        </is>
      </c>
      <c r="D7" s="3" t="inlineStr">
        <is>
          <t>National control totals; documented local allocation or fleet method.</t>
        </is>
      </c>
      <c r="E7" s="3" t="inlineStr">
        <is>
          <t>Do not omit non-freight diesel when reporting national diesel demand.</t>
        </is>
      </c>
      <c r="F7" s="3" t="inlineStr">
        <is>
          <t>Clarify which vehicle classes include taxis/buses and commercial passenger services.</t>
        </is>
      </c>
    </row>
    <row r="8" ht="100" customHeight="1">
      <c r="A8" s="3" t="inlineStr">
        <is>
          <t>Diesel agriculture</t>
        </is>
      </c>
      <c r="B8" s="3" t="inlineStr">
        <is>
          <t>Held baseline × (GDP/capita ratio)^elasticity. 2024 baseline 700 million L; elasticity 0.2. Both provisional.</t>
        </is>
      </c>
      <c r="C8" s="3" t="inlineStr">
        <is>
          <t>Reconciled baseline × agricultural activity ratio × relative fuel intensity. Select crops/hectares/output or subsegments.</t>
        </is>
      </c>
      <c r="D8" s="3" t="inlineStr">
        <is>
          <t>Provincial agricultural activity allocates baseline and drives changes; national total sums local results.</t>
        </is>
      </c>
      <c r="E8" s="3" t="inlineStr">
        <is>
          <t>Separate machinery, irrigation, road vehicles and backup generation.</t>
        </is>
      </c>
      <c r="F8" s="3" t="inlineStr">
        <is>
          <t>Choose source/baseline year and activity proxy; agree whether intensity already includes mechanisation.</t>
        </is>
      </c>
    </row>
    <row r="9" ht="100" customHeight="1">
      <c r="A9" s="3" t="inlineStr">
        <is>
          <t>Diesel manufacturing</t>
        </is>
      </c>
      <c r="B9" s="3" t="inlineStr">
        <is>
          <t>Current combined industrial bucket includes manufacturing, mining and construction; no separate manufacturing output.</t>
        </is>
      </c>
      <c r="C9" s="3" t="inlineStr">
        <is>
          <t>Separate manufacturing baseline × production/activity × relative intensity × remaining diesel fraction.</t>
        </is>
      </c>
      <c r="D9" s="3" t="inlineStr">
        <is>
          <t>Local manufacturing/site activity where evidenced; retain unknown coverage.</t>
        </is>
      </c>
      <c r="E9" s="3" t="inlineStr">
        <is>
          <t>Separate process/equipment diesel from road freight and backup generation. Electrification is counted once.</t>
        </is>
      </c>
      <c r="F9" s="3" t="inlineStr">
        <is>
          <t>See Manufacturing. Split/revise the combined baseline explicitly and retain construction/other.</t>
        </is>
      </c>
    </row>
    <row r="10" ht="100" customHeight="1">
      <c r="A10" s="3" t="inlineStr">
        <is>
          <t>Diesel generation</t>
        </is>
      </c>
      <c r="B10" s="3" t="inlineStr">
        <is>
          <t>National OCGT capacity/load factor/efficiency pathway.</t>
        </is>
      </c>
      <c r="C10" s="3" t="inlineStr">
        <is>
          <t>Plant generation × fuel per kWh; grid plants and private backup separately.</t>
        </is>
      </c>
      <c r="D10" s="3" t="inlineStr">
        <is>
          <t>Grid plants assigned by location; private backup needs an evidenced allocation.</t>
        </is>
      </c>
      <c r="E10" s="3" t="inlineStr">
        <is>
          <t>No second load-shedding increment if already in generation. Fiscal/calendar and plant coverage must match.</t>
        </is>
      </c>
      <c r="F10" s="3" t="inlineStr">
        <is>
          <t>Fit generation-to-litres; agree dispatch and private-backup evidence.</t>
        </is>
      </c>
    </row>
    <row r="11" ht="100" customHeight="1">
      <c r="A11" s="3" t="inlineStr">
        <is>
          <t>Jet aviation</t>
        </is>
      </c>
      <c r="B11" s="3" t="inlineStr">
        <is>
          <t>Legacy passenger regression; movement-driver proposal awaits refit.</t>
        </is>
      </c>
      <c r="C11" s="3" t="inlineStr">
        <is>
          <t>Aircraft activity × calibrated fuel relationship including aircraft/route mix.</t>
        </is>
      </c>
      <c r="D11" s="3" t="inlineStr">
        <is>
          <t>Airport-level evidence preferred; sum airports and retain unallocated coverage.</t>
        </is>
      </c>
      <c r="E11" s="3" t="inlineStr">
        <is>
          <t>Distinguish fuel uplift from overflight/use. Cargo, non-ACSA and international scope explicit.</t>
        </is>
      </c>
      <c r="F11" s="3" t="inlineStr">
        <is>
          <t>Match movements with jet deliveries. SAF changes fossil share, not total jet litres by itself.</t>
        </is>
      </c>
    </row>
    <row r="12" ht="100" customHeight="1">
      <c r="A12" s="3" t="inlineStr">
        <is>
          <t>Marine / other</t>
        </is>
      </c>
      <c r="B12" s="3" t="inlineStr">
        <is>
          <t>Held marine baseline, GDP response and product split; other uses need a coverage review.</t>
        </is>
      </c>
      <c r="C12" s="3" t="inlineStr">
        <is>
          <t>Port/vessel activity × fuel intensity or reconciled indexed baseline.</t>
        </is>
      </c>
      <c r="D12" s="3" t="inlineStr">
        <is>
          <t>Port evidence where available; unknown location remains unallocated.</t>
        </is>
      </c>
      <c r="E12" s="3" t="inlineStr">
        <is>
          <t>Define domestic versus international bunkers; diesel grade and fuel oil stay explicit.</t>
        </is>
      </c>
      <c r="F12" s="3" t="inlineStr">
        <is>
          <t>Agree coverage and identify residual demand without treating the residual as a new measured segment.</t>
        </is>
      </c>
    </row>
    <row r="13" ht="100" customHeight="1">
      <c r="A13" s="3" t="inlineStr">
        <is>
          <t>Cross-cutting rule</t>
        </is>
      </c>
      <c r="B13" s="3" t="inlineStr">
        <is>
          <t>One fuel total must reconcile across all included segments.</t>
        </is>
      </c>
      <c r="C13" s="3" t="inlineStr">
        <is>
          <t>National total = provinces + explicitly unallocated demand.</t>
        </is>
      </c>
      <c r="D13" s="3" t="inlineStr">
        <is>
          <t>Use one approach per segment: allocated or locally calculated.</t>
        </is>
      </c>
      <c r="E13" s="3" t="inlineStr">
        <is>
          <t>Do not reallocate a component already calculated provincially. GDP must not multiply several overlapping effects.</t>
        </is>
      </c>
      <c r="F13" s="3" t="inlineStr">
        <is>
          <t>Source: https://github.com/Africa-International-Advisors/liquid_fuels_model/blob/8c69f8333192483f19cd80911cb90fcd0943eb6b/workstreams/WS0_governance/workplan/fuel_lever_review_2026-10-07.md</t>
        </is>
      </c>
    </row>
    <row r="14" ht="100" customHeight="1">
      <c r="A14" s="3" t="inlineStr">
        <is>
          <t>Diesel mining</t>
        </is>
      </c>
      <c r="B14" s="3" t="inlineStr">
        <is>
          <t>Current combined industrial bucket; no separate mining output.</t>
        </is>
      </c>
      <c r="C14" s="3" t="inlineStr">
        <is>
          <t>Mining baseline × activity × operating intensity × remaining diesel fraction; fit sites/subsectors where possible.</t>
        </is>
      </c>
      <c r="D14" s="3" t="inlineStr">
        <is>
          <t>Mine-site geography and activity; explicit unallocated remainder.</t>
        </is>
      </c>
      <c r="E14" s="3" t="inlineStr">
        <is>
          <t>Separate mine-site/off-road work from public-road freight; backup fuel belongs to one segment.</t>
        </is>
      </c>
      <c r="F14" s="3" t="inlineStr">
        <is>
          <t>See Mining. Review commodity output versus material moved and mine-equipment electrification.</t>
        </is>
      </c>
    </row>
    <row r="15" ht="52" customHeight="1">
      <c r="A15" s="3" t="n"/>
      <c r="B15" s="3" t="n"/>
      <c r="C15" s="3" t="n"/>
      <c r="D15" s="3" t="n"/>
      <c r="E15" s="3" t="n"/>
      <c r="F15" s="3" t="n"/>
    </row>
    <row r="16" ht="52" customHeight="1">
      <c r="A16" s="3" t="n"/>
      <c r="B16" s="3" t="n"/>
      <c r="C16" s="3" t="n"/>
      <c r="D16" s="3" t="n"/>
      <c r="E16" s="3" t="n"/>
      <c r="F16" s="3"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V60"/>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Petrol passenger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high_demand case • Values are provisional model inputs/outputs, not observed demand.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engine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GDP per capita</t>
        </is>
      </c>
      <c r="B6" s="3" t="inlineStr">
        <is>
          <t>2015 ZAR/person</t>
        </is>
      </c>
      <c r="C6" s="3" t="inlineStr">
        <is>
          <t>Input series</t>
        </is>
      </c>
      <c r="D6" s="121" t="n"/>
      <c r="E6" s="3" t="inlineStr">
        <is>
          <t>Shared macro driver. Model forecasts beyond the source observation window.</t>
        </is>
      </c>
      <c r="F6" s="122">
        <f>IF(ISNUMBER('Model run'!F5),'Model run'!F5,"")</f>
        <v/>
      </c>
      <c r="G6" s="122">
        <f>IF(ISNUMBER('Model run'!G5),'Model run'!G5,"")</f>
        <v/>
      </c>
      <c r="H6" s="122">
        <f>IF(ISNUMBER('Model run'!H5),'Model run'!H5,"")</f>
        <v/>
      </c>
      <c r="I6" s="122">
        <f>IF(ISNUMBER('Model run'!I5),'Model run'!I5,"")</f>
        <v/>
      </c>
      <c r="J6" s="122">
        <f>IF(ISNUMBER('Model run'!J5),'Model run'!J5,"")</f>
        <v/>
      </c>
      <c r="K6" s="122">
        <f>IF(ISNUMBER('Model run'!K5),'Model run'!K5,"")</f>
        <v/>
      </c>
      <c r="L6" s="122">
        <f>IF(ISNUMBER('Model run'!L5),'Model run'!L5,"")</f>
        <v/>
      </c>
      <c r="M6" s="122">
        <f>IF(ISNUMBER('Model run'!M5),'Model run'!M5,"")</f>
        <v/>
      </c>
      <c r="N6" s="122">
        <f>IF(ISNUMBER('Model run'!N5),'Model run'!N5,"")</f>
        <v/>
      </c>
      <c r="O6" s="122">
        <f>IF(ISNUMBER('Model run'!O5),'Model run'!O5,"")</f>
        <v/>
      </c>
      <c r="P6" s="122">
        <f>IF(ISNUMBER('Model run'!P5),'Model run'!P5,"")</f>
        <v/>
      </c>
      <c r="Q6" s="122">
        <f>IF(ISNUMBER('Model run'!Q5),'Model run'!Q5,"")</f>
        <v/>
      </c>
      <c r="R6" s="122">
        <f>IF(ISNUMBER('Model run'!R5),'Model run'!R5,"")</f>
        <v/>
      </c>
      <c r="S6" s="122">
        <f>IF(ISNUMBER('Model run'!S5),'Model run'!S5,"")</f>
        <v/>
      </c>
      <c r="T6" s="3" t="n"/>
      <c r="U6" s="3" t="n"/>
      <c r="V6" s="3" t="n"/>
    </row>
    <row r="7" ht="30" customHeight="1">
      <c r="A7" s="3" t="inlineStr">
        <is>
          <t>New-sales regression slope</t>
        </is>
      </c>
      <c r="B7" s="3" t="inlineStr">
        <is>
          <t>vehicles / ZAR pc</t>
        </is>
      </c>
      <c r="C7" s="3" t="inlineStr">
        <is>
          <t>Scalar</t>
        </is>
      </c>
      <c r="D7" s="123">
        <f>IF(ISNUMBER('Model run'!D6),'Model run'!D6,"")</f>
        <v/>
      </c>
      <c r="E7" s="3" t="inlineStr">
        <is>
          <t>Sales = max(0, slope × GDP/capita + intercept). Applies to all new vehicles.</t>
        </is>
      </c>
      <c r="F7" s="122" t="n"/>
      <c r="G7" s="122" t="n"/>
      <c r="H7" s="122" t="n"/>
      <c r="I7" s="122" t="n"/>
      <c r="J7" s="122" t="n"/>
      <c r="K7" s="122" t="n"/>
      <c r="L7" s="122" t="n"/>
      <c r="M7" s="122" t="n"/>
      <c r="N7" s="122" t="n"/>
      <c r="O7" s="122" t="n"/>
      <c r="P7" s="122" t="n"/>
      <c r="Q7" s="122" t="n"/>
      <c r="R7" s="122" t="n"/>
      <c r="S7" s="122" t="n"/>
      <c r="T7" s="3" t="n"/>
      <c r="U7" s="3" t="n"/>
      <c r="V7" s="3" t="n"/>
    </row>
    <row r="8" ht="30" customHeight="1">
      <c r="A8" s="3" t="inlineStr">
        <is>
          <t>New-sales regression intercept</t>
        </is>
      </c>
      <c r="B8" s="3" t="inlineStr">
        <is>
          <t>vehicles/year</t>
        </is>
      </c>
      <c r="C8" s="3" t="inlineStr">
        <is>
          <t>Scalar</t>
        </is>
      </c>
      <c r="D8" s="121">
        <f>IF(ISNUMBER('Model run'!D7),'Model run'!D7,"")</f>
        <v/>
      </c>
      <c r="E8" s="3" t="inlineStr">
        <is>
          <t>Legacy fitted parameter; historical validity needs review.</t>
        </is>
      </c>
      <c r="F8" s="122" t="n"/>
      <c r="G8" s="122" t="n"/>
      <c r="H8" s="122" t="n"/>
      <c r="I8" s="122" t="n"/>
      <c r="J8" s="122" t="n"/>
      <c r="K8" s="122" t="n"/>
      <c r="L8" s="122" t="n"/>
      <c r="M8" s="122" t="n"/>
      <c r="N8" s="122" t="n"/>
      <c r="O8" s="122" t="n"/>
      <c r="P8" s="122" t="n"/>
      <c r="Q8" s="122" t="n"/>
      <c r="R8" s="122" t="n"/>
      <c r="S8" s="122" t="n"/>
      <c r="T8" s="3" t="n"/>
      <c r="U8" s="3" t="n"/>
      <c r="V8" s="3" t="n"/>
    </row>
    <row r="9" ht="30" customHeight="1">
      <c r="A9" s="3" t="inlineStr">
        <is>
          <t>Passenger share of new sales</t>
        </is>
      </c>
      <c r="B9" s="3" t="inlineStr">
        <is>
          <t>share</t>
        </is>
      </c>
      <c r="C9" s="3" t="inlineStr">
        <is>
          <t>Scalar</t>
        </is>
      </c>
      <c r="D9" s="124">
        <f>IF(ISNUMBER('Model run'!D8),'Model run'!D8,"")</f>
        <v/>
      </c>
      <c r="E9" s="3" t="inlineStr">
        <is>
          <t>Current provisional split of total modelled new sales.</t>
        </is>
      </c>
      <c r="F9" s="125" t="n"/>
      <c r="G9" s="125" t="n"/>
      <c r="H9" s="125" t="n"/>
      <c r="I9" s="125" t="n"/>
      <c r="J9" s="125" t="n"/>
      <c r="K9" s="125" t="n"/>
      <c r="L9" s="125" t="n"/>
      <c r="M9" s="125" t="n"/>
      <c r="N9" s="125" t="n"/>
      <c r="O9" s="125" t="n"/>
      <c r="P9" s="125" t="n"/>
      <c r="Q9" s="125" t="n"/>
      <c r="R9" s="125" t="n"/>
      <c r="S9" s="125" t="n"/>
      <c r="T9" s="3" t="n"/>
      <c r="U9" s="3" t="n"/>
      <c r="V9" s="3" t="n"/>
    </row>
    <row r="10" ht="30" customHeight="1">
      <c r="A10" s="3" t="inlineStr">
        <is>
          <t>Petrol share of passenger ICE sales</t>
        </is>
      </c>
      <c r="B10" s="3" t="inlineStr">
        <is>
          <t>share</t>
        </is>
      </c>
      <c r="C10" s="3" t="inlineStr">
        <is>
          <t>Scalar</t>
        </is>
      </c>
      <c r="D10" s="124">
        <f>IF(ISNUMBER('Model run'!D9),'Model run'!D9,"")</f>
        <v/>
      </c>
      <c r="E10" s="3" t="inlineStr">
        <is>
          <t>Applies after current EV adjustment. Hybrids are not separately modelled.</t>
        </is>
      </c>
      <c r="F10" s="125" t="n"/>
      <c r="G10" s="125" t="n"/>
      <c r="H10" s="125" t="n"/>
      <c r="I10" s="125" t="n"/>
      <c r="J10" s="125" t="n"/>
      <c r="K10" s="125" t="n"/>
      <c r="L10" s="125" t="n"/>
      <c r="M10" s="125" t="n"/>
      <c r="N10" s="125" t="n"/>
      <c r="O10" s="125" t="n"/>
      <c r="P10" s="125" t="n"/>
      <c r="Q10" s="125" t="n"/>
      <c r="R10" s="125" t="n"/>
      <c r="S10" s="125" t="n"/>
      <c r="T10" s="3" t="n"/>
      <c r="U10" s="3" t="n"/>
      <c r="V10" s="3" t="n"/>
    </row>
    <row r="11" ht="30" customHeight="1">
      <c r="A11" s="3" t="inlineStr">
        <is>
          <t>Passenger annual mileage</t>
        </is>
      </c>
      <c r="B11" s="3" t="inlineStr">
        <is>
          <t>km/vehicle/year</t>
        </is>
      </c>
      <c r="C11" s="3" t="inlineStr">
        <is>
          <t>Scalar</t>
        </is>
      </c>
      <c r="D11" s="121">
        <f>IF(ISNUMBER('Model run'!D10),'Model run'!D10,"")</f>
        <v/>
      </c>
      <c r="E11" s="3" t="inlineStr">
        <is>
          <t>Current placeholder. Proposed HML brackets appear on HML sheet.</t>
        </is>
      </c>
      <c r="F11" s="122" t="n"/>
      <c r="G11" s="122" t="n"/>
      <c r="H11" s="122" t="n"/>
      <c r="I11" s="122" t="n"/>
      <c r="J11" s="122" t="n"/>
      <c r="K11" s="122" t="n"/>
      <c r="L11" s="122" t="n"/>
      <c r="M11" s="122" t="n"/>
      <c r="N11" s="122" t="n"/>
      <c r="O11" s="122" t="n"/>
      <c r="P11" s="122" t="n"/>
      <c r="Q11" s="122" t="n"/>
      <c r="R11" s="122" t="n"/>
      <c r="S11" s="122" t="n"/>
      <c r="T11" s="3" t="n"/>
      <c r="U11" s="3" t="n"/>
      <c r="V11" s="3" t="n"/>
    </row>
    <row r="12" ht="30" customHeight="1">
      <c r="A12" s="3" t="inlineStr">
        <is>
          <t>Passenger retirement rate</t>
        </is>
      </c>
      <c r="B12" s="3" t="inlineStr">
        <is>
          <t>share/year</t>
        </is>
      </c>
      <c r="C12" s="3" t="inlineStr">
        <is>
          <t>Scalar</t>
        </is>
      </c>
      <c r="D12" s="124">
        <f>IF(ISNUMBER('Model run'!D11),'Model run'!D11,"")</f>
        <v/>
      </c>
      <c r="E12" s="3" t="inlineStr">
        <is>
          <t>Current engine scraps all cohorts, including additions, within the year.</t>
        </is>
      </c>
      <c r="F12" s="125" t="n"/>
      <c r="G12" s="125" t="n"/>
      <c r="H12" s="125" t="n"/>
      <c r="I12" s="125" t="n"/>
      <c r="J12" s="125" t="n"/>
      <c r="K12" s="125" t="n"/>
      <c r="L12" s="125" t="n"/>
      <c r="M12" s="125" t="n"/>
      <c r="N12" s="125" t="n"/>
      <c r="O12" s="125" t="n"/>
      <c r="P12" s="125" t="n"/>
      <c r="Q12" s="125" t="n"/>
      <c r="R12" s="125" t="n"/>
      <c r="S12" s="125" t="n"/>
      <c r="T12" s="3" t="n"/>
      <c r="U12" s="3" t="n"/>
      <c r="V12" s="3" t="n"/>
    </row>
    <row r="13" ht="30" customHeight="1">
      <c r="A13" s="3" t="inlineStr">
        <is>
          <t>Base new petrol vehicle consumption</t>
        </is>
      </c>
      <c r="B13" s="3" t="inlineStr">
        <is>
          <t>L/100 km</t>
        </is>
      </c>
      <c r="C13" s="3" t="inlineStr">
        <is>
          <t>Scalar</t>
        </is>
      </c>
      <c r="D13" s="121">
        <f>IF(ISNUMBER('Model run'!D12),'Model run'!D12,"")</f>
        <v/>
      </c>
      <c r="E13" s="3" t="inlineStr">
        <is>
          <t>Entry-cohort baseline before cumulative efficiency gains.</t>
        </is>
      </c>
      <c r="F13" s="122" t="n"/>
      <c r="G13" s="122" t="n"/>
      <c r="H13" s="122" t="n"/>
      <c r="I13" s="122" t="n"/>
      <c r="J13" s="122" t="n"/>
      <c r="K13" s="122" t="n"/>
      <c r="L13" s="122" t="n"/>
      <c r="M13" s="122" t="n"/>
      <c r="N13" s="122" t="n"/>
      <c r="O13" s="122" t="n"/>
      <c r="P13" s="122" t="n"/>
      <c r="Q13" s="122" t="n"/>
      <c r="R13" s="122" t="n"/>
      <c r="S13" s="122" t="n"/>
      <c r="T13" s="3" t="n"/>
      <c r="U13" s="3" t="n"/>
      <c r="V13" s="3" t="n"/>
    </row>
    <row r="14" ht="30" customHeight="1">
      <c r="A14" s="3" t="inlineStr">
        <is>
          <t>New-cohort efficiency gain</t>
        </is>
      </c>
      <c r="B14" s="3" t="inlineStr">
        <is>
          <t>fraction/year</t>
        </is>
      </c>
      <c r="C14" s="3" t="inlineStr">
        <is>
          <t>Input series</t>
        </is>
      </c>
      <c r="D14" s="124" t="n"/>
      <c r="E14" s="3" t="inlineStr">
        <is>
          <t>Applied cumulatively to new cohorts; older cohorts retain their… [N029]</t>
        </is>
      </c>
      <c r="F14" s="125">
        <f>IF(ISNUMBER('Model run'!F13),'Model run'!F13,"")</f>
        <v/>
      </c>
      <c r="G14" s="125">
        <f>IF(ISNUMBER('Model run'!G13),'Model run'!G13,"")</f>
        <v/>
      </c>
      <c r="H14" s="125">
        <f>IF(ISNUMBER('Model run'!H13),'Model run'!H13,"")</f>
        <v/>
      </c>
      <c r="I14" s="125">
        <f>IF(ISNUMBER('Model run'!I13),'Model run'!I13,"")</f>
        <v/>
      </c>
      <c r="J14" s="125">
        <f>IF(ISNUMBER('Model run'!J13),'Model run'!J13,"")</f>
        <v/>
      </c>
      <c r="K14" s="125">
        <f>IF(ISNUMBER('Model run'!K13),'Model run'!K13,"")</f>
        <v/>
      </c>
      <c r="L14" s="125">
        <f>IF(ISNUMBER('Model run'!L13),'Model run'!L13,"")</f>
        <v/>
      </c>
      <c r="M14" s="125">
        <f>IF(ISNUMBER('Model run'!M13),'Model run'!M13,"")</f>
        <v/>
      </c>
      <c r="N14" s="125">
        <f>IF(ISNUMBER('Model run'!N13),'Model run'!N13,"")</f>
        <v/>
      </c>
      <c r="O14" s="125">
        <f>IF(ISNUMBER('Model run'!O13),'Model run'!O13,"")</f>
        <v/>
      </c>
      <c r="P14" s="125">
        <f>IF(ISNUMBER('Model run'!P13),'Model run'!P13,"")</f>
        <v/>
      </c>
      <c r="Q14" s="125">
        <f>IF(ISNUMBER('Model run'!Q13),'Model run'!Q13,"")</f>
        <v/>
      </c>
      <c r="R14" s="125">
        <f>IF(ISNUMBER('Model run'!R13),'Model run'!R13,"")</f>
        <v/>
      </c>
      <c r="S14" s="125">
        <f>IF(ISNUMBER('Model run'!S13),'Model run'!S13,"")</f>
        <v/>
      </c>
      <c r="T14" s="3" t="n"/>
      <c r="U14" s="3" t="n"/>
      <c r="V14" s="3" t="n"/>
    </row>
    <row r="15" ht="30" customHeight="1">
      <c r="A15" s="3" t="inlineStr">
        <is>
          <t>EV curve ceiling</t>
        </is>
      </c>
      <c r="B15" s="3" t="inlineStr">
        <is>
          <t>share</t>
        </is>
      </c>
      <c r="C15" s="3" t="inlineStr">
        <is>
          <t>Parameter</t>
        </is>
      </c>
      <c r="D15" s="124">
        <f>IF(ISNUMBER('Model run'!D14),'Model run'!D14,"")</f>
        <v/>
      </c>
      <c r="E15" s="3" t="inlineStr">
        <is>
          <t>Current logistic curve parameter. Proposed BEV sales ranges are separate.</t>
        </is>
      </c>
      <c r="F15" s="125" t="n"/>
      <c r="G15" s="125" t="n"/>
      <c r="H15" s="125" t="n"/>
      <c r="I15" s="125" t="n"/>
      <c r="J15" s="125" t="n"/>
      <c r="K15" s="125" t="n"/>
      <c r="L15" s="125" t="n"/>
      <c r="M15" s="125" t="n"/>
      <c r="N15" s="125" t="n"/>
      <c r="O15" s="125" t="n"/>
      <c r="P15" s="125" t="n"/>
      <c r="Q15" s="125" t="n"/>
      <c r="R15" s="125" t="n"/>
      <c r="S15" s="125" t="n"/>
      <c r="T15" s="3" t="n"/>
      <c r="U15" s="3" t="n"/>
      <c r="V15" s="3" t="n"/>
    </row>
    <row r="16" ht="30" customHeight="1">
      <c r="A16" s="3" t="inlineStr">
        <is>
          <t>EV curve midpoint / slope</t>
        </is>
      </c>
      <c r="B16" s="3" t="inlineStr">
        <is>
          <t>year / years</t>
        </is>
      </c>
      <c r="C16" s="3" t="inlineStr">
        <is>
          <t>Parameters</t>
        </is>
      </c>
      <c r="D16" s="121" t="n"/>
      <c r="E16" s="3" t="inlineStr">
        <is>
          <t>2040 / 3. Confirm sales basis and replace with reviewed drivetrain paths.</t>
        </is>
      </c>
      <c r="F16" s="122" t="n"/>
      <c r="G16" s="122" t="n"/>
      <c r="H16" s="122" t="n"/>
      <c r="I16" s="122" t="n"/>
      <c r="J16" s="122" t="n"/>
      <c r="K16" s="122" t="n"/>
      <c r="L16" s="122" t="n"/>
      <c r="M16" s="122" t="n"/>
      <c r="N16" s="122" t="n"/>
      <c r="O16" s="122" t="n"/>
      <c r="P16" s="122" t="n"/>
      <c r="Q16" s="122" t="n"/>
      <c r="R16" s="122" t="n"/>
      <c r="S16" s="122" t="n"/>
      <c r="T16" s="3" t="n"/>
      <c r="U16" s="3" t="n"/>
      <c r="V16" s="3" t="n"/>
    </row>
    <row r="17" ht="28" customHeight="1">
      <c r="A17" s="12" t="inlineStr">
        <is>
          <t>Current engine outputs and reporting calculations</t>
        </is>
      </c>
      <c r="B17" s="11" t="n"/>
      <c r="C17" s="11" t="n"/>
      <c r="D17" s="11" t="n"/>
      <c r="E17" s="11" t="n"/>
      <c r="F17" s="25" t="n"/>
      <c r="G17" s="25" t="n"/>
      <c r="H17" s="25" t="n"/>
      <c r="I17" s="25" t="n"/>
      <c r="J17" s="25" t="n"/>
      <c r="K17" s="25" t="n"/>
      <c r="L17" s="25" t="n"/>
      <c r="M17" s="25" t="n"/>
      <c r="N17" s="25" t="n"/>
      <c r="O17" s="25" t="n"/>
      <c r="P17" s="25" t="n"/>
      <c r="Q17" s="25" t="n"/>
      <c r="R17" s="25" t="n"/>
      <c r="S17" s="25" t="n"/>
      <c r="T17" s="3" t="n"/>
      <c r="U17" s="3" t="n"/>
      <c r="V17" s="3" t="n"/>
    </row>
    <row r="18" ht="30" customHeight="1">
      <c r="A18" s="16" t="inlineStr">
        <is>
          <t>Passenger petrol fleet</t>
        </is>
      </c>
      <c r="B18" s="16" t="inlineStr">
        <is>
          <t>vehicles</t>
        </is>
      </c>
      <c r="C18" s="16" t="inlineStr">
        <is>
          <t>Engine output</t>
        </is>
      </c>
      <c r="D18" s="126" t="n"/>
      <c r="E18" s="16" t="inlineStr">
        <is>
          <t>Cohort stock from engine diagnostics. Opening stock is… [N030]</t>
        </is>
      </c>
      <c r="F18" s="127">
        <f>IF(ISNUMBER('Model run'!F15),'Model run'!F15,"")</f>
        <v/>
      </c>
      <c r="G18" s="127">
        <f>IF(ISNUMBER('Model run'!G15),'Model run'!G15,"")</f>
        <v/>
      </c>
      <c r="H18" s="127">
        <f>IF(ISNUMBER('Model run'!H15),'Model run'!H15,"")</f>
        <v/>
      </c>
      <c r="I18" s="127">
        <f>IF(ISNUMBER('Model run'!I15),'Model run'!I15,"")</f>
        <v/>
      </c>
      <c r="J18" s="127">
        <f>IF(ISNUMBER('Model run'!J15),'Model run'!J15,"")</f>
        <v/>
      </c>
      <c r="K18" s="127">
        <f>IF(ISNUMBER('Model run'!K15),'Model run'!K15,"")</f>
        <v/>
      </c>
      <c r="L18" s="127">
        <f>IF(ISNUMBER('Model run'!L15),'Model run'!L15,"")</f>
        <v/>
      </c>
      <c r="M18" s="127">
        <f>IF(ISNUMBER('Model run'!M15),'Model run'!M15,"")</f>
        <v/>
      </c>
      <c r="N18" s="127">
        <f>IF(ISNUMBER('Model run'!N15),'Model run'!N15,"")</f>
        <v/>
      </c>
      <c r="O18" s="127">
        <f>IF(ISNUMBER('Model run'!O15),'Model run'!O15,"")</f>
        <v/>
      </c>
      <c r="P18" s="127">
        <f>IF(ISNUMBER('Model run'!P15),'Model run'!P15,"")</f>
        <v/>
      </c>
      <c r="Q18" s="127">
        <f>IF(ISNUMBER('Model run'!Q15),'Model run'!Q15,"")</f>
        <v/>
      </c>
      <c r="R18" s="127">
        <f>IF(ISNUMBER('Model run'!R15),'Model run'!R15,"")</f>
        <v/>
      </c>
      <c r="S18" s="127">
        <f>IF(ISNUMBER('Model run'!S15),'Model run'!S15,"")</f>
        <v/>
      </c>
      <c r="T18" s="3" t="n"/>
      <c r="U18" s="3" t="n"/>
      <c r="V18" s="3" t="n"/>
    </row>
    <row r="19" ht="30" customHeight="1">
      <c r="A19" s="16" t="inlineStr">
        <is>
          <t>Passenger petrol vehicle-km</t>
        </is>
      </c>
      <c r="B19" s="16" t="inlineStr">
        <is>
          <t>km/year</t>
        </is>
      </c>
      <c r="C19" s="16" t="inlineStr">
        <is>
          <t>Engine output</t>
        </is>
      </c>
      <c r="D19" s="126" t="n"/>
      <c r="E19" s="16" t="inlineStr">
        <is>
          <t>Engine diagnostic activity for petrol passenger cohorts.</t>
        </is>
      </c>
      <c r="F19" s="127">
        <f>IF(ISNUMBER('Model run'!F16),'Model run'!F16,"")</f>
        <v/>
      </c>
      <c r="G19" s="127">
        <f>IF(ISNUMBER('Model run'!G16),'Model run'!G16,"")</f>
        <v/>
      </c>
      <c r="H19" s="127">
        <f>IF(ISNUMBER('Model run'!H16),'Model run'!H16,"")</f>
        <v/>
      </c>
      <c r="I19" s="127">
        <f>IF(ISNUMBER('Model run'!I16),'Model run'!I16,"")</f>
        <v/>
      </c>
      <c r="J19" s="127">
        <f>IF(ISNUMBER('Model run'!J16),'Model run'!J16,"")</f>
        <v/>
      </c>
      <c r="K19" s="127">
        <f>IF(ISNUMBER('Model run'!K16),'Model run'!K16,"")</f>
        <v/>
      </c>
      <c r="L19" s="127">
        <f>IF(ISNUMBER('Model run'!L16),'Model run'!L16,"")</f>
        <v/>
      </c>
      <c r="M19" s="127">
        <f>IF(ISNUMBER('Model run'!M16),'Model run'!M16,"")</f>
        <v/>
      </c>
      <c r="N19" s="127">
        <f>IF(ISNUMBER('Model run'!N16),'Model run'!N16,"")</f>
        <v/>
      </c>
      <c r="O19" s="127">
        <f>IF(ISNUMBER('Model run'!O16),'Model run'!O16,"")</f>
        <v/>
      </c>
      <c r="P19" s="127">
        <f>IF(ISNUMBER('Model run'!P16),'Model run'!P16,"")</f>
        <v/>
      </c>
      <c r="Q19" s="127">
        <f>IF(ISNUMBER('Model run'!Q16),'Model run'!Q16,"")</f>
        <v/>
      </c>
      <c r="R19" s="127">
        <f>IF(ISNUMBER('Model run'!R16),'Model run'!R16,"")</f>
        <v/>
      </c>
      <c r="S19" s="127">
        <f>IF(ISNUMBER('Model run'!S16),'Model run'!S16,"")</f>
        <v/>
      </c>
      <c r="T19" s="3" t="n"/>
      <c r="U19" s="3" t="n"/>
      <c r="V19" s="3" t="n"/>
    </row>
    <row r="20" ht="30" customHeight="1">
      <c r="A20" s="16" t="inlineStr">
        <is>
          <t>Passenger petrol demand</t>
        </is>
      </c>
      <c r="B20" s="16" t="inlineStr">
        <is>
          <t>L/year</t>
        </is>
      </c>
      <c r="C20" s="16" t="inlineStr">
        <is>
          <t>Engine output</t>
        </is>
      </c>
      <c r="D20" s="126" t="n"/>
      <c r="E20" s="16" t="inlineStr">
        <is>
          <t>Calculated by the Python cohort engine.</t>
        </is>
      </c>
      <c r="F20" s="127">
        <f>IF(ISNUMBER('Model run'!F17),'Model run'!F17,"")</f>
        <v/>
      </c>
      <c r="G20" s="127">
        <f>IF(ISNUMBER('Model run'!G17),'Model run'!G17,"")</f>
        <v/>
      </c>
      <c r="H20" s="127">
        <f>IF(ISNUMBER('Model run'!H17),'Model run'!H17,"")</f>
        <v/>
      </c>
      <c r="I20" s="127">
        <f>IF(ISNUMBER('Model run'!I17),'Model run'!I17,"")</f>
        <v/>
      </c>
      <c r="J20" s="127">
        <f>IF(ISNUMBER('Model run'!J17),'Model run'!J17,"")</f>
        <v/>
      </c>
      <c r="K20" s="127">
        <f>IF(ISNUMBER('Model run'!K17),'Model run'!K17,"")</f>
        <v/>
      </c>
      <c r="L20" s="127">
        <f>IF(ISNUMBER('Model run'!L17),'Model run'!L17,"")</f>
        <v/>
      </c>
      <c r="M20" s="127">
        <f>IF(ISNUMBER('Model run'!M17),'Model run'!M17,"")</f>
        <v/>
      </c>
      <c r="N20" s="127">
        <f>IF(ISNUMBER('Model run'!N17),'Model run'!N17,"")</f>
        <v/>
      </c>
      <c r="O20" s="127">
        <f>IF(ISNUMBER('Model run'!O17),'Model run'!O17,"")</f>
        <v/>
      </c>
      <c r="P20" s="127">
        <f>IF(ISNUMBER('Model run'!P17),'Model run'!P17,"")</f>
        <v/>
      </c>
      <c r="Q20" s="127">
        <f>IF(ISNUMBER('Model run'!Q17),'Model run'!Q17,"")</f>
        <v/>
      </c>
      <c r="R20" s="127">
        <f>IF(ISNUMBER('Model run'!R17),'Model run'!R17,"")</f>
        <v/>
      </c>
      <c r="S20" s="127">
        <f>IF(ISNUMBER('Model run'!S17),'Model run'!S17,"")</f>
        <v/>
      </c>
      <c r="T20" s="3" t="n"/>
      <c r="U20" s="3" t="n"/>
      <c r="V20" s="3" t="n"/>
    </row>
    <row r="21" ht="30" customHeight="1">
      <c r="A21" s="16" t="inlineStr">
        <is>
          <t>Passenger petrol demand</t>
        </is>
      </c>
      <c r="B21" s="16" t="inlineStr">
        <is>
          <t>million L/year</t>
        </is>
      </c>
      <c r="C21" s="16" t="inlineStr">
        <is>
          <t>Reporting formula</t>
        </is>
      </c>
      <c r="D21" s="116" t="n"/>
      <c r="E21" s="16" t="inlineStr">
        <is>
          <t>Unit conversion of the engine output.</t>
        </is>
      </c>
      <c r="F21" s="117">
        <f>F20/1000000</f>
        <v/>
      </c>
      <c r="G21" s="117">
        <f>G20/1000000</f>
        <v/>
      </c>
      <c r="H21" s="117">
        <f>H20/1000000</f>
        <v/>
      </c>
      <c r="I21" s="117">
        <f>I20/1000000</f>
        <v/>
      </c>
      <c r="J21" s="117">
        <f>J20/1000000</f>
        <v/>
      </c>
      <c r="K21" s="117">
        <f>K20/1000000</f>
        <v/>
      </c>
      <c r="L21" s="117">
        <f>L20/1000000</f>
        <v/>
      </c>
      <c r="M21" s="117">
        <f>M20/1000000</f>
        <v/>
      </c>
      <c r="N21" s="117">
        <f>N20/1000000</f>
        <v/>
      </c>
      <c r="O21" s="117">
        <f>O20/1000000</f>
        <v/>
      </c>
      <c r="P21" s="117">
        <f>P20/1000000</f>
        <v/>
      </c>
      <c r="Q21" s="117">
        <f>Q20/1000000</f>
        <v/>
      </c>
      <c r="R21" s="117">
        <f>R20/1000000</f>
        <v/>
      </c>
      <c r="S21" s="117">
        <f>S20/1000000</f>
        <v/>
      </c>
      <c r="T21" s="3" t="n"/>
      <c r="U21" s="3" t="n"/>
      <c r="V21" s="3" t="n"/>
    </row>
    <row r="22" ht="30" customHeight="1">
      <c r="A22" s="16" t="inlineStr">
        <is>
          <t>Implied fleet-average consumption</t>
        </is>
      </c>
      <c r="B22" s="16" t="inlineStr">
        <is>
          <t>L/100 km</t>
        </is>
      </c>
      <c r="C22" s="16" t="inlineStr">
        <is>
          <t>Reporting formula</t>
        </is>
      </c>
      <c r="D22" s="116" t="n"/>
      <c r="E22" s="16" t="inlineStr">
        <is>
          <t>Fuel / vehicle-km × 100. Reporting diagnostic, not new-cohort consumption.</t>
        </is>
      </c>
      <c r="F22" s="117">
        <f>IF(F19=0,"",F20/F19*100)</f>
        <v/>
      </c>
      <c r="G22" s="117">
        <f>IF(G19=0,"",G20/G19*100)</f>
        <v/>
      </c>
      <c r="H22" s="117">
        <f>IF(H19=0,"",H20/H19*100)</f>
        <v/>
      </c>
      <c r="I22" s="117">
        <f>IF(I19=0,"",I20/I19*100)</f>
        <v/>
      </c>
      <c r="J22" s="117">
        <f>IF(J19=0,"",J20/J19*100)</f>
        <v/>
      </c>
      <c r="K22" s="117">
        <f>IF(K19=0,"",K20/K19*100)</f>
        <v/>
      </c>
      <c r="L22" s="117">
        <f>IF(L19=0,"",L20/L19*100)</f>
        <v/>
      </c>
      <c r="M22" s="117">
        <f>IF(M19=0,"",M20/M19*100)</f>
        <v/>
      </c>
      <c r="N22" s="117">
        <f>IF(N19=0,"",N20/N19*100)</f>
        <v/>
      </c>
      <c r="O22" s="117">
        <f>IF(O19=0,"",O20/O19*100)</f>
        <v/>
      </c>
      <c r="P22" s="117">
        <f>IF(P19=0,"",P20/P19*100)</f>
        <v/>
      </c>
      <c r="Q22" s="117">
        <f>IF(Q19=0,"",Q20/Q19*100)</f>
        <v/>
      </c>
      <c r="R22" s="117">
        <f>IF(R19=0,"",R20/R19*100)</f>
        <v/>
      </c>
      <c r="S22" s="117">
        <f>IF(S19=0,"",S20/S19*100)</f>
        <v/>
      </c>
      <c r="T22" s="3" t="n"/>
      <c r="U22" s="3" t="n"/>
      <c r="V22" s="3" t="n"/>
    </row>
    <row r="23" ht="30" customHeight="1">
      <c r="A23" s="16" t="inlineStr">
        <is>
          <t>All road petrol demand</t>
        </is>
      </c>
      <c r="B23" s="16" t="inlineStr">
        <is>
          <t>L/year</t>
        </is>
      </c>
      <c r="C23" s="16" t="inlineStr">
        <is>
          <t>Engine output</t>
        </is>
      </c>
      <c r="D23" s="126" t="n"/>
      <c r="E23" s="16" t="inlineStr">
        <is>
          <t>Includes passenger and LCV petrol. Does not claim all-product/sector coverage.</t>
        </is>
      </c>
      <c r="F23" s="127">
        <f>IF(COUNT(F20,F46)&lt;2,"",F20+F46)</f>
        <v/>
      </c>
      <c r="G23" s="127">
        <f>IF(COUNT(G20,G46)&lt;2,"",G20+G46)</f>
        <v/>
      </c>
      <c r="H23" s="127">
        <f>IF(COUNT(H20,H46)&lt;2,"",H20+H46)</f>
        <v/>
      </c>
      <c r="I23" s="127">
        <f>IF(COUNT(I20,I46)&lt;2,"",I20+I46)</f>
        <v/>
      </c>
      <c r="J23" s="127">
        <f>IF(COUNT(J20,J46)&lt;2,"",J20+J46)</f>
        <v/>
      </c>
      <c r="K23" s="127">
        <f>IF(COUNT(K20,K46)&lt;2,"",K20+K46)</f>
        <v/>
      </c>
      <c r="L23" s="127">
        <f>IF(COUNT(L20,L46)&lt;2,"",L20+L46)</f>
        <v/>
      </c>
      <c r="M23" s="127">
        <f>IF(COUNT(M20,M46)&lt;2,"",M20+M46)</f>
        <v/>
      </c>
      <c r="N23" s="127">
        <f>IF(COUNT(N20,N46)&lt;2,"",N20+N46)</f>
        <v/>
      </c>
      <c r="O23" s="127">
        <f>IF(COUNT(O20,O46)&lt;2,"",O20+O46)</f>
        <v/>
      </c>
      <c r="P23" s="127">
        <f>IF(COUNT(P20,P46)&lt;2,"",P20+P46)</f>
        <v/>
      </c>
      <c r="Q23" s="127">
        <f>IF(COUNT(Q20,Q46)&lt;2,"",Q20+Q46)</f>
        <v/>
      </c>
      <c r="R23" s="127">
        <f>IF(COUNT(R20,R46)&lt;2,"",R20+R46)</f>
        <v/>
      </c>
      <c r="S23" s="127">
        <f>IF(COUNT(S20,S46)&lt;2,"",S20+S46)</f>
        <v/>
      </c>
      <c r="T23" s="3" t="n"/>
      <c r="U23" s="3" t="n"/>
      <c r="V23" s="3" t="n"/>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28" customHeight="1">
      <c r="A25" s="12" t="inlineStr">
        <is>
          <t>Proposed input/output rows to agree and populate</t>
        </is>
      </c>
      <c r="B25" s="11" t="n"/>
      <c r="C25" s="11" t="n"/>
      <c r="D25" s="11" t="n"/>
      <c r="E25" s="11" t="n"/>
      <c r="F25" s="25" t="n"/>
      <c r="G25" s="25" t="n"/>
      <c r="H25" s="25" t="n"/>
      <c r="I25" s="25" t="n"/>
      <c r="J25" s="25" t="n"/>
      <c r="K25" s="25" t="n"/>
      <c r="L25" s="25" t="n"/>
      <c r="M25" s="25" t="n"/>
      <c r="N25" s="25" t="n"/>
      <c r="O25" s="25" t="n"/>
      <c r="P25" s="25" t="n"/>
      <c r="Q25" s="25" t="n"/>
      <c r="R25" s="25" t="n"/>
      <c r="S25" s="25" t="n"/>
      <c r="T25" s="3" t="n"/>
      <c r="U25" s="3" t="n"/>
      <c r="V25" s="3" t="n"/>
    </row>
    <row r="26" ht="30" customHeight="1">
      <c r="A26" s="3" t="inlineStr">
        <is>
          <t>New passenger sales / BEV share</t>
        </is>
      </c>
      <c r="B26" s="3" t="inlineStr">
        <is>
          <t>vehicles / share</t>
        </is>
      </c>
      <c r="C26" s="3" t="inlineStr">
        <is>
          <t>Workshop input</t>
        </is>
      </c>
      <c r="D26" s="118" t="n"/>
      <c r="E26" s="10" t="inlineStr">
        <is>
          <t>New sales evidence is now in rows 35–41. Class-specific adoption… [N031]</t>
        </is>
      </c>
      <c r="F26" s="119" t="n"/>
      <c r="G26" s="119" t="n"/>
      <c r="H26" s="119" t="n"/>
      <c r="I26" s="119" t="n"/>
      <c r="J26" s="119" t="n"/>
      <c r="K26" s="119" t="n"/>
      <c r="L26" s="119" t="n"/>
      <c r="M26" s="119" t="n"/>
      <c r="N26" s="119" t="n"/>
      <c r="O26" s="119" t="n"/>
      <c r="P26" s="119" t="n"/>
      <c r="Q26" s="119" t="n"/>
      <c r="R26" s="119" t="n"/>
      <c r="S26" s="119" t="n"/>
      <c r="T26" s="3" t="n"/>
      <c r="U26" s="3" t="n"/>
      <c r="V26" s="3" t="n"/>
    </row>
    <row r="27" ht="30" customHeight="1">
      <c r="A27" s="3" t="inlineStr">
        <is>
          <t>Verified opening fleet</t>
        </is>
      </c>
      <c r="B27" s="3" t="inlineStr">
        <is>
          <t>vehicles at date</t>
        </is>
      </c>
      <c r="C27" s="3" t="inlineStr">
        <is>
          <t>Workshop input</t>
        </is>
      </c>
      <c r="D27" s="118" t="n"/>
      <c r="E27" s="10" t="inlineStr">
        <is>
          <t>All-drivetrain stock is in row 36. Petrol-only opening fleet and… [N032]</t>
        </is>
      </c>
      <c r="F27" s="119" t="n"/>
      <c r="G27" s="119" t="n"/>
      <c r="H27" s="119" t="n"/>
      <c r="I27" s="119" t="n"/>
      <c r="J27" s="119" t="n"/>
      <c r="K27" s="119" t="n"/>
      <c r="L27" s="119" t="n"/>
      <c r="M27" s="119" t="n"/>
      <c r="N27" s="119" t="n"/>
      <c r="O27" s="119" t="n"/>
      <c r="P27" s="119" t="n"/>
      <c r="Q27" s="119" t="n"/>
      <c r="R27" s="119" t="n"/>
      <c r="S27" s="119" t="n"/>
      <c r="T27" s="3" t="n"/>
      <c r="U27" s="3" t="n"/>
      <c r="V27" s="3" t="n"/>
    </row>
    <row r="28" ht="30" customHeight="1">
      <c r="A28" s="65" t="inlineStr">
        <is>
          <t>Reported total petrol sales</t>
        </is>
      </c>
      <c r="B28" s="65" t="inlineStr">
        <is>
          <t>million L/year</t>
        </is>
      </c>
      <c r="C28" s="65" t="inlineStr">
        <is>
          <t>Staged observation</t>
        </is>
      </c>
      <c r="D28" s="114">
        <f>IF(ISNUMBER('Evidence'!D5),'Evidence'!D5,"")</f>
        <v/>
      </c>
      <c r="E28" s="65" t="inlineStr">
        <is>
          <t>FIASA staged reported sales; latest edition selected by existing… [N033]</t>
        </is>
      </c>
      <c r="F28" s="115">
        <f>IF(ISNUMBER('Evidence'!F5),'Evidence'!F5,"")</f>
        <v/>
      </c>
      <c r="G28" s="115">
        <f>IF(ISNUMBER('Evidence'!G5),'Evidence'!G5,"")</f>
        <v/>
      </c>
      <c r="H28" s="115">
        <f>IF(ISNUMBER('Evidence'!H5),'Evidence'!H5,"")</f>
        <v/>
      </c>
      <c r="I28" s="115">
        <f>IF(ISNUMBER('Evidence'!I5),'Evidence'!I5,"")</f>
        <v/>
      </c>
      <c r="J28" s="115">
        <f>IF(ISNUMBER('Evidence'!J5),'Evidence'!J5,"")</f>
        <v/>
      </c>
      <c r="K28" s="115">
        <f>IF(ISNUMBER('Evidence'!K5),'Evidence'!K5,"")</f>
        <v/>
      </c>
      <c r="L28" s="115">
        <f>IF(ISNUMBER('Evidence'!L5),'Evidence'!L5,"")</f>
        <v/>
      </c>
      <c r="M28" s="115">
        <f>IF(ISNUMBER('Evidence'!M5),'Evidence'!M5,"")</f>
        <v/>
      </c>
      <c r="N28" s="115">
        <f>IF(ISNUMBER('Evidence'!N5),'Evidence'!N5,"")</f>
        <v/>
      </c>
      <c r="O28" s="115">
        <f>IF(ISNUMBER('Evidence'!O5),'Evidence'!O5,"")</f>
        <v/>
      </c>
      <c r="P28" s="115">
        <f>IF(ISNUMBER('Evidence'!P5),'Evidence'!P5,"")</f>
        <v/>
      </c>
      <c r="Q28" s="115">
        <f>IF(ISNUMBER('Evidence'!Q5),'Evidence'!Q5,"")</f>
        <v/>
      </c>
      <c r="R28" s="115">
        <f>IF(ISNUMBER('Evidence'!R5),'Evidence'!R5,"")</f>
        <v/>
      </c>
      <c r="S28" s="115">
        <f>IF(ISNUMBER('Evidence'!S5),'Evidence'!S5,"")</f>
        <v/>
      </c>
      <c r="T28" s="3" t="inlineStr">
        <is>
          <t>Unreviewed source extract; annual cells contain… [N034]</t>
        </is>
      </c>
      <c r="U28" s="3" t="inlineStr">
        <is>
          <t>Evidence row 5; assumptions/2026/timeseries/fuel_sales_fiasa.csv</t>
        </is>
      </c>
      <c r="V28" s="3" t="inlineStr">
        <is>
          <t>All-product comparator; compare with road total,… [N035]</t>
        </is>
      </c>
    </row>
    <row r="29" ht="8" customHeight="1">
      <c r="A29" s="3" t="n"/>
      <c r="B29" s="3" t="n"/>
      <c r="C29" s="3" t="n"/>
      <c r="D29" s="3" t="n"/>
      <c r="E29" s="3" t="n"/>
      <c r="F29" s="6" t="n"/>
      <c r="G29" s="6" t="n"/>
      <c r="H29" s="6" t="n"/>
      <c r="I29" s="6" t="n"/>
      <c r="J29" s="6" t="n"/>
      <c r="K29" s="6" t="n"/>
      <c r="L29" s="6" t="n"/>
      <c r="M29" s="6" t="n"/>
      <c r="N29" s="6" t="n"/>
      <c r="O29" s="6" t="n"/>
      <c r="P29" s="6" t="n"/>
      <c r="Q29" s="6" t="n"/>
      <c r="R29" s="6" t="n"/>
      <c r="S29" s="6" t="n"/>
      <c r="T29" s="3" t="n"/>
      <c r="U29" s="3" t="n"/>
      <c r="V29" s="3" t="n"/>
    </row>
    <row r="30" ht="30" customHeight="1">
      <c r="A30" s="3" t="inlineStr">
        <is>
          <t>Source</t>
        </is>
      </c>
      <c r="B30" s="3" t="inlineStr">
        <is>
          <t>URL</t>
        </is>
      </c>
      <c r="C30" s="3" t="inlineStr">
        <is>
          <t>Source</t>
        </is>
      </c>
      <c r="D30" s="121" t="n"/>
      <c r="E30" s="3" t="inlineStr">
        <is>
          <t>https://github.com/Africa-International-Advisors/liquid_fuels_mode… [N036]</t>
        </is>
      </c>
      <c r="F30" s="122" t="n"/>
      <c r="G30" s="122" t="n"/>
      <c r="H30" s="122" t="n"/>
      <c r="I30" s="122" t="n"/>
      <c r="J30" s="122" t="n"/>
      <c r="K30" s="122" t="n"/>
      <c r="L30" s="122" t="n"/>
      <c r="M30" s="122" t="n"/>
      <c r="N30" s="122" t="n"/>
      <c r="O30" s="122" t="n"/>
      <c r="P30" s="122" t="n"/>
      <c r="Q30" s="122" t="n"/>
      <c r="R30" s="122" t="n"/>
      <c r="S30" s="122" t="n"/>
      <c r="T30" s="3" t="n"/>
      <c r="U30" s="3" t="n"/>
      <c r="V30" s="3" t="n"/>
    </row>
    <row r="31" ht="30" customHeight="1">
      <c r="A31" s="3" t="inlineStr">
        <is>
          <t>Calculation source</t>
        </is>
      </c>
      <c r="B31" s="3" t="inlineStr">
        <is>
          <t>URL</t>
        </is>
      </c>
      <c r="C31" s="3" t="inlineStr">
        <is>
          <t>Source</t>
        </is>
      </c>
      <c r="D31" s="121" t="n"/>
      <c r="E31" s="3" t="inlineStr">
        <is>
          <t>https://github.com/Africa-International-Advisors/liquid_fuels_mode… [N037]</t>
        </is>
      </c>
      <c r="F31" s="122" t="n"/>
      <c r="G31" s="122" t="n"/>
      <c r="H31" s="122" t="n"/>
      <c r="I31" s="122" t="n"/>
      <c r="J31" s="122" t="n"/>
      <c r="K31" s="122" t="n"/>
      <c r="L31" s="122" t="n"/>
      <c r="M31" s="122" t="n"/>
      <c r="N31" s="122" t="n"/>
      <c r="O31" s="122" t="n"/>
      <c r="P31" s="122" t="n"/>
      <c r="Q31" s="122" t="n"/>
      <c r="R31" s="122" t="n"/>
      <c r="S31" s="122" t="n"/>
      <c r="T31" s="3" t="n"/>
      <c r="U31" s="3" t="n"/>
      <c r="V31" s="3" t="n"/>
    </row>
    <row r="32" ht="30" customHeight="1">
      <c r="A32" s="3" t="inlineStr">
        <is>
          <t>Macro / efficiency sources</t>
        </is>
      </c>
      <c r="B32" s="3" t="inlineStr">
        <is>
          <t>URL</t>
        </is>
      </c>
      <c r="C32" s="3" t="inlineStr">
        <is>
          <t>Source</t>
        </is>
      </c>
      <c r="D32" s="121" t="n"/>
      <c r="E32" s="3" t="inlineStr">
        <is>
          <t>https://github.com/Africa-International-Advisors/liquid_fuels_mode… [N038]</t>
        </is>
      </c>
      <c r="F32" s="122" t="n"/>
      <c r="G32" s="122" t="n"/>
      <c r="H32" s="122" t="n"/>
      <c r="I32" s="122" t="n"/>
      <c r="J32" s="122" t="n"/>
      <c r="K32" s="122" t="n"/>
      <c r="L32" s="122" t="n"/>
      <c r="M32" s="122" t="n"/>
      <c r="N32" s="122" t="n"/>
      <c r="O32" s="122" t="n"/>
      <c r="P32" s="122" t="n"/>
      <c r="Q32" s="122" t="n"/>
      <c r="R32" s="122" t="n"/>
      <c r="S32" s="122"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28" customHeight="1">
      <c r="A34" s="12" t="inlineStr">
        <is>
          <t>Available historical evidence: separate from current engine inputs</t>
        </is>
      </c>
      <c r="B34" s="11" t="n"/>
      <c r="C34" s="11" t="n"/>
      <c r="D34" s="11" t="n"/>
      <c r="E34" s="11" t="n"/>
      <c r="F34" s="25" t="n"/>
      <c r="G34" s="25" t="n"/>
      <c r="H34" s="25" t="n"/>
      <c r="I34" s="25" t="n"/>
      <c r="J34" s="25" t="n"/>
      <c r="K34" s="25" t="n"/>
      <c r="L34" s="25" t="n"/>
      <c r="M34" s="25" t="n"/>
      <c r="N34" s="25" t="n"/>
      <c r="O34" s="25" t="n"/>
      <c r="P34" s="25" t="n"/>
      <c r="Q34" s="25" t="n"/>
      <c r="R34" s="25" t="n"/>
      <c r="S34" s="25" t="n"/>
      <c r="T34" s="11" t="n"/>
      <c r="U34" s="11" t="n"/>
      <c r="V34" s="11" t="n"/>
    </row>
    <row r="35" ht="30" customHeight="1">
      <c r="A35" s="65" t="inlineStr">
        <is>
          <t>New passenger-car sales</t>
        </is>
      </c>
      <c r="B35" s="65" t="inlineStr">
        <is>
          <t>vehicles/year</t>
        </is>
      </c>
      <c r="C35" s="65" t="inlineStr">
        <is>
          <t>Staged observation</t>
        </is>
      </c>
      <c r="D35" s="114">
        <f>IF(ISNUMBER('Evidence'!D13),'Evidence'!D13,"")</f>
        <v/>
      </c>
      <c r="E35" s="65" t="inlineStr">
        <is>
          <t>NAAMSA actual new sales. Published 2026/27 projections excluded… [N039]</t>
        </is>
      </c>
      <c r="F35" s="115">
        <f>IF(ISNUMBER('Evidence'!F13),'Evidence'!F13,"")</f>
        <v/>
      </c>
      <c r="G35" s="115">
        <f>IF(ISNUMBER('Evidence'!G13),'Evidence'!G13,"")</f>
        <v/>
      </c>
      <c r="H35" s="115">
        <f>IF(ISNUMBER('Evidence'!H13),'Evidence'!H13,"")</f>
        <v/>
      </c>
      <c r="I35" s="115">
        <f>IF(ISNUMBER('Evidence'!I13),'Evidence'!I13,"")</f>
        <v/>
      </c>
      <c r="J35" s="115">
        <f>IF(ISNUMBER('Evidence'!J13),'Evidence'!J13,"")</f>
        <v/>
      </c>
      <c r="K35" s="115">
        <f>IF(ISNUMBER('Evidence'!K13),'Evidence'!K13,"")</f>
        <v/>
      </c>
      <c r="L35" s="115">
        <f>IF(ISNUMBER('Evidence'!L13),'Evidence'!L13,"")</f>
        <v/>
      </c>
      <c r="M35" s="115">
        <f>IF(ISNUMBER('Evidence'!M13),'Evidence'!M13,"")</f>
        <v/>
      </c>
      <c r="N35" s="115">
        <f>IF(ISNUMBER('Evidence'!N13),'Evidence'!N13,"")</f>
        <v/>
      </c>
      <c r="O35" s="115">
        <f>IF(ISNUMBER('Evidence'!O13),'Evidence'!O13,"")</f>
        <v/>
      </c>
      <c r="P35" s="115">
        <f>IF(ISNUMBER('Evidence'!P13),'Evidence'!P13,"")</f>
        <v/>
      </c>
      <c r="Q35" s="115">
        <f>IF(ISNUMBER('Evidence'!Q13),'Evidence'!Q13,"")</f>
        <v/>
      </c>
      <c r="R35" s="115">
        <f>IF(ISNUMBER('Evidence'!R13),'Evidence'!R13,"")</f>
        <v/>
      </c>
      <c r="S35" s="115">
        <f>IF(ISNUMBER('Evidence'!S13),'Evidence'!S13,"")</f>
        <v/>
      </c>
      <c r="T35" s="3" t="inlineStr">
        <is>
          <t>Unreviewed source extract; annual cells contain… [N040]</t>
        </is>
      </c>
      <c r="U35" s="3" t="inlineStr">
        <is>
          <t>Evidence row 13;… [N041]</t>
        </is>
      </c>
      <c r="V35" s="3" t="inlineStr">
        <is>
          <t>G02: fit class-specific sales and compare with… [N042]</t>
        </is>
      </c>
    </row>
    <row r="36" ht="30" customHeight="1">
      <c r="A36" s="65" t="inlineStr">
        <is>
          <t>Registered cars, all drivetrains</t>
        </is>
      </c>
      <c r="B36" s="65" t="inlineStr">
        <is>
          <t>vehicles</t>
        </is>
      </c>
      <c r="C36" s="65" t="inlineStr">
        <is>
          <t>Staged observation</t>
        </is>
      </c>
      <c r="D36" s="114">
        <f>IF(ISNUMBER('Evidence'!D20),'Evidence'!D20,"")</f>
        <v/>
      </c>
      <c r="E36" s="65" t="inlineStr">
        <is>
          <t>eNaTIS December snapshots; latest June 2026 kept separately. No… [N043]</t>
        </is>
      </c>
      <c r="F36" s="115">
        <f>IF(ISNUMBER('Evidence'!F20),'Evidence'!F20,"")</f>
        <v/>
      </c>
      <c r="G36" s="115">
        <f>IF(ISNUMBER('Evidence'!G20),'Evidence'!G20,"")</f>
        <v/>
      </c>
      <c r="H36" s="115">
        <f>IF(ISNUMBER('Evidence'!H20),'Evidence'!H20,"")</f>
        <v/>
      </c>
      <c r="I36" s="115">
        <f>IF(ISNUMBER('Evidence'!I20),'Evidence'!I20,"")</f>
        <v/>
      </c>
      <c r="J36" s="115">
        <f>IF(ISNUMBER('Evidence'!J20),'Evidence'!J20,"")</f>
        <v/>
      </c>
      <c r="K36" s="115">
        <f>IF(ISNUMBER('Evidence'!K20),'Evidence'!K20,"")</f>
        <v/>
      </c>
      <c r="L36" s="115">
        <f>IF(ISNUMBER('Evidence'!L20),'Evidence'!L20,"")</f>
        <v/>
      </c>
      <c r="M36" s="115">
        <f>IF(ISNUMBER('Evidence'!M20),'Evidence'!M20,"")</f>
        <v/>
      </c>
      <c r="N36" s="115">
        <f>IF(ISNUMBER('Evidence'!N20),'Evidence'!N20,"")</f>
        <v/>
      </c>
      <c r="O36" s="115">
        <f>IF(ISNUMBER('Evidence'!O20),'Evidence'!O20,"")</f>
        <v/>
      </c>
      <c r="P36" s="115">
        <f>IF(ISNUMBER('Evidence'!P20),'Evidence'!P20,"")</f>
        <v/>
      </c>
      <c r="Q36" s="115">
        <f>IF(ISNUMBER('Evidence'!Q20),'Evidence'!Q20,"")</f>
        <v/>
      </c>
      <c r="R36" s="115">
        <f>IF(ISNUMBER('Evidence'!R20),'Evidence'!R20,"")</f>
        <v/>
      </c>
      <c r="S36" s="115">
        <f>IF(ISNUMBER('Evidence'!S20),'Evidence'!S20,"")</f>
        <v/>
      </c>
      <c r="T36" s="3" t="inlineStr">
        <is>
          <t>Unreviewed source extract; annual cells contain… [N044]</t>
        </is>
      </c>
      <c r="U36" s="3" t="inlineStr">
        <is>
          <t>Evidence row 20;… [N045]</t>
        </is>
      </c>
      <c r="V36" s="3" t="inlineStr">
        <is>
          <t>G02: obtain petrol/diesel/BEV/hybrid and age split.</t>
        </is>
      </c>
    </row>
    <row r="37" ht="30" customHeight="1">
      <c r="A37" s="65" t="inlineStr">
        <is>
          <t>BEV new sales — all market</t>
        </is>
      </c>
      <c r="B37" s="65" t="inlineStr">
        <is>
          <t>vehicles/year</t>
        </is>
      </c>
      <c r="C37" s="65" t="inlineStr">
        <is>
          <t>Staged observation</t>
        </is>
      </c>
      <c r="D37" s="114">
        <f>IF(ISNUMBER('Evidence'!D17),'Evidence'!D17,"")</f>
        <v/>
      </c>
      <c r="E37" s="65" t="inlineStr">
        <is>
          <t>All-market drivetrain sales; passenger/truck split is not… [N046]</t>
        </is>
      </c>
      <c r="F37" s="115">
        <f>IF(ISNUMBER('Evidence'!F17),'Evidence'!F17,"")</f>
        <v/>
      </c>
      <c r="G37" s="115">
        <f>IF(ISNUMBER('Evidence'!G17),'Evidence'!G17,"")</f>
        <v/>
      </c>
      <c r="H37" s="115">
        <f>IF(ISNUMBER('Evidence'!H17),'Evidence'!H17,"")</f>
        <v/>
      </c>
      <c r="I37" s="115">
        <f>IF(ISNUMBER('Evidence'!I17),'Evidence'!I17,"")</f>
        <v/>
      </c>
      <c r="J37" s="115">
        <f>IF(ISNUMBER('Evidence'!J17),'Evidence'!J17,"")</f>
        <v/>
      </c>
      <c r="K37" s="115">
        <f>IF(ISNUMBER('Evidence'!K17),'Evidence'!K17,"")</f>
        <v/>
      </c>
      <c r="L37" s="115">
        <f>IF(ISNUMBER('Evidence'!L17),'Evidence'!L17,"")</f>
        <v/>
      </c>
      <c r="M37" s="115">
        <f>IF(ISNUMBER('Evidence'!M17),'Evidence'!M17,"")</f>
        <v/>
      </c>
      <c r="N37" s="115">
        <f>IF(ISNUMBER('Evidence'!N17),'Evidence'!N17,"")</f>
        <v/>
      </c>
      <c r="O37" s="115">
        <f>IF(ISNUMBER('Evidence'!O17),'Evidence'!O17,"")</f>
        <v/>
      </c>
      <c r="P37" s="115">
        <f>IF(ISNUMBER('Evidence'!P17),'Evidence'!P17,"")</f>
        <v/>
      </c>
      <c r="Q37" s="115">
        <f>IF(ISNUMBER('Evidence'!Q17),'Evidence'!Q17,"")</f>
        <v/>
      </c>
      <c r="R37" s="115">
        <f>IF(ISNUMBER('Evidence'!R17),'Evidence'!R17,"")</f>
        <v/>
      </c>
      <c r="S37" s="115">
        <f>IF(ISNUMBER('Evidence'!S17),'Evidence'!S17,"")</f>
        <v/>
      </c>
      <c r="T37" s="3" t="inlineStr">
        <is>
          <t>Unreviewed source extract; annual cells contain… [N047]</t>
        </is>
      </c>
      <c r="U37" s="3" t="inlineStr">
        <is>
          <t>Evidence row 17;… [N048]</t>
        </is>
      </c>
      <c r="V37" s="3" t="inlineStr">
        <is>
          <t>G03: class split missing; do not treat as… [N049]</t>
        </is>
      </c>
    </row>
    <row r="38" ht="30" customHeight="1">
      <c r="A38" s="65" t="inlineStr">
        <is>
          <t>PHEV new sales — all market</t>
        </is>
      </c>
      <c r="B38" s="65" t="inlineStr">
        <is>
          <t>vehicles/year</t>
        </is>
      </c>
      <c r="C38" s="65" t="inlineStr">
        <is>
          <t>Staged observation</t>
        </is>
      </c>
      <c r="D38" s="114">
        <f>IF(ISNUMBER('Evidence'!D18),'Evidence'!D18,"")</f>
        <v/>
      </c>
      <c r="E38" s="65" t="inlineStr">
        <is>
          <t>All-market drivetrain sales; passenger/truck split is not… [N050]</t>
        </is>
      </c>
      <c r="F38" s="115">
        <f>IF(ISNUMBER('Evidence'!F18),'Evidence'!F18,"")</f>
        <v/>
      </c>
      <c r="G38" s="115">
        <f>IF(ISNUMBER('Evidence'!G18),'Evidence'!G18,"")</f>
        <v/>
      </c>
      <c r="H38" s="115">
        <f>IF(ISNUMBER('Evidence'!H18),'Evidence'!H18,"")</f>
        <v/>
      </c>
      <c r="I38" s="115">
        <f>IF(ISNUMBER('Evidence'!I18),'Evidence'!I18,"")</f>
        <v/>
      </c>
      <c r="J38" s="115">
        <f>IF(ISNUMBER('Evidence'!J18),'Evidence'!J18,"")</f>
        <v/>
      </c>
      <c r="K38" s="115">
        <f>IF(ISNUMBER('Evidence'!K18),'Evidence'!K18,"")</f>
        <v/>
      </c>
      <c r="L38" s="115">
        <f>IF(ISNUMBER('Evidence'!L18),'Evidence'!L18,"")</f>
        <v/>
      </c>
      <c r="M38" s="115">
        <f>IF(ISNUMBER('Evidence'!M18),'Evidence'!M18,"")</f>
        <v/>
      </c>
      <c r="N38" s="115">
        <f>IF(ISNUMBER('Evidence'!N18),'Evidence'!N18,"")</f>
        <v/>
      </c>
      <c r="O38" s="115">
        <f>IF(ISNUMBER('Evidence'!O18),'Evidence'!O18,"")</f>
        <v/>
      </c>
      <c r="P38" s="115">
        <f>IF(ISNUMBER('Evidence'!P18),'Evidence'!P18,"")</f>
        <v/>
      </c>
      <c r="Q38" s="115">
        <f>IF(ISNUMBER('Evidence'!Q18),'Evidence'!Q18,"")</f>
        <v/>
      </c>
      <c r="R38" s="115">
        <f>IF(ISNUMBER('Evidence'!R18),'Evidence'!R18,"")</f>
        <v/>
      </c>
      <c r="S38" s="115">
        <f>IF(ISNUMBER('Evidence'!S18),'Evidence'!S18,"")</f>
        <v/>
      </c>
      <c r="T38" s="3" t="inlineStr">
        <is>
          <t>Unreviewed source extract; annual cells contain… [N051]</t>
        </is>
      </c>
      <c r="U38" s="3" t="inlineStr">
        <is>
          <t>Evidence row 18;… [N052]</t>
        </is>
      </c>
      <c r="V38" s="3" t="inlineStr">
        <is>
          <t>G03: class split and electric-km fraction missing.</t>
        </is>
      </c>
    </row>
    <row r="39" ht="30" customHeight="1">
      <c r="A39" s="65" t="inlineStr">
        <is>
          <t>Conventional hybrid new sales</t>
        </is>
      </c>
      <c r="B39" s="65" t="inlineStr">
        <is>
          <t>vehicles/year</t>
        </is>
      </c>
      <c r="C39" s="65" t="inlineStr">
        <is>
          <t>Staged observation</t>
        </is>
      </c>
      <c r="D39" s="114">
        <f>IF(ISNUMBER('Evidence'!D19),'Evidence'!D19,"")</f>
        <v/>
      </c>
      <c r="E39" s="65" t="inlineStr">
        <is>
          <t>All-market drivetrain sales; passenger/truck split is not… [N053]</t>
        </is>
      </c>
      <c r="F39" s="115">
        <f>IF(ISNUMBER('Evidence'!F19),'Evidence'!F19,"")</f>
        <v/>
      </c>
      <c r="G39" s="115">
        <f>IF(ISNUMBER('Evidence'!G19),'Evidence'!G19,"")</f>
        <v/>
      </c>
      <c r="H39" s="115">
        <f>IF(ISNUMBER('Evidence'!H19),'Evidence'!H19,"")</f>
        <v/>
      </c>
      <c r="I39" s="115">
        <f>IF(ISNUMBER('Evidence'!I19),'Evidence'!I19,"")</f>
        <v/>
      </c>
      <c r="J39" s="115">
        <f>IF(ISNUMBER('Evidence'!J19),'Evidence'!J19,"")</f>
        <v/>
      </c>
      <c r="K39" s="115">
        <f>IF(ISNUMBER('Evidence'!K19),'Evidence'!K19,"")</f>
        <v/>
      </c>
      <c r="L39" s="115">
        <f>IF(ISNUMBER('Evidence'!L19),'Evidence'!L19,"")</f>
        <v/>
      </c>
      <c r="M39" s="115">
        <f>IF(ISNUMBER('Evidence'!M19),'Evidence'!M19,"")</f>
        <v/>
      </c>
      <c r="N39" s="115">
        <f>IF(ISNUMBER('Evidence'!N19),'Evidence'!N19,"")</f>
        <v/>
      </c>
      <c r="O39" s="115">
        <f>IF(ISNUMBER('Evidence'!O19),'Evidence'!O19,"")</f>
        <v/>
      </c>
      <c r="P39" s="115">
        <f>IF(ISNUMBER('Evidence'!P19),'Evidence'!P19,"")</f>
        <v/>
      </c>
      <c r="Q39" s="115">
        <f>IF(ISNUMBER('Evidence'!Q19),'Evidence'!Q19,"")</f>
        <v/>
      </c>
      <c r="R39" s="115">
        <f>IF(ISNUMBER('Evidence'!R19),'Evidence'!R19,"")</f>
        <v/>
      </c>
      <c r="S39" s="115">
        <f>IF(ISNUMBER('Evidence'!S19),'Evidence'!S19,"")</f>
        <v/>
      </c>
      <c r="T39" s="3" t="inlineStr">
        <is>
          <t>Unreviewed source extract; annual cells contain… [N054]</t>
        </is>
      </c>
      <c r="U39" s="3" t="inlineStr">
        <is>
          <t>Evidence row 19;… [N055]</t>
        </is>
      </c>
      <c r="V39" s="3" t="inlineStr">
        <is>
          <t>G03: source class-specific efficiency and mix.</t>
        </is>
      </c>
    </row>
    <row r="40" ht="30" customHeight="1">
      <c r="A40" s="65" t="inlineStr">
        <is>
          <t>Total new-vehicle sales</t>
        </is>
      </c>
      <c r="B40" s="65" t="inlineStr">
        <is>
          <t>vehicles/year</t>
        </is>
      </c>
      <c r="C40" s="65" t="inlineStr">
        <is>
          <t>Staged observation</t>
        </is>
      </c>
      <c r="D40" s="114">
        <f>IF(ISNUMBER('Evidence'!D16),'Evidence'!D16,"")</f>
        <v/>
      </c>
      <c r="E40" s="65" t="inlineStr">
        <is>
          <t>NAAMSA actual new sales. Published 2026/27 projections excluded… [N056]</t>
        </is>
      </c>
      <c r="F40" s="115">
        <f>IF(ISNUMBER('Evidence'!F16),'Evidence'!F16,"")</f>
        <v/>
      </c>
      <c r="G40" s="115">
        <f>IF(ISNUMBER('Evidence'!G16),'Evidence'!G16,"")</f>
        <v/>
      </c>
      <c r="H40" s="115">
        <f>IF(ISNUMBER('Evidence'!H16),'Evidence'!H16,"")</f>
        <v/>
      </c>
      <c r="I40" s="115">
        <f>IF(ISNUMBER('Evidence'!I16),'Evidence'!I16,"")</f>
        <v/>
      </c>
      <c r="J40" s="115">
        <f>IF(ISNUMBER('Evidence'!J16),'Evidence'!J16,"")</f>
        <v/>
      </c>
      <c r="K40" s="115">
        <f>IF(ISNUMBER('Evidence'!K16),'Evidence'!K16,"")</f>
        <v/>
      </c>
      <c r="L40" s="115">
        <f>IF(ISNUMBER('Evidence'!L16),'Evidence'!L16,"")</f>
        <v/>
      </c>
      <c r="M40" s="115">
        <f>IF(ISNUMBER('Evidence'!M16),'Evidence'!M16,"")</f>
        <v/>
      </c>
      <c r="N40" s="115">
        <f>IF(ISNUMBER('Evidence'!N16),'Evidence'!N16,"")</f>
        <v/>
      </c>
      <c r="O40" s="115">
        <f>IF(ISNUMBER('Evidence'!O16),'Evidence'!O16,"")</f>
        <v/>
      </c>
      <c r="P40" s="115">
        <f>IF(ISNUMBER('Evidence'!P16),'Evidence'!P16,"")</f>
        <v/>
      </c>
      <c r="Q40" s="115">
        <f>IF(ISNUMBER('Evidence'!Q16),'Evidence'!Q16,"")</f>
        <v/>
      </c>
      <c r="R40" s="115">
        <f>IF(ISNUMBER('Evidence'!R16),'Evidence'!R16,"")</f>
        <v/>
      </c>
      <c r="S40" s="115">
        <f>IF(ISNUMBER('Evidence'!S16),'Evidence'!S16,"")</f>
        <v/>
      </c>
      <c r="T40" s="3" t="inlineStr">
        <is>
          <t>Unreviewed source extract; annual cells contain… [N057]</t>
        </is>
      </c>
      <c r="U40" s="3" t="inlineStr">
        <is>
          <t>Evidence row 16;… [N058]</t>
        </is>
      </c>
      <c r="V40" s="3" t="inlineStr">
        <is>
          <t>G02/G03: same-market denominator only; reconcile… [N059]</t>
        </is>
      </c>
    </row>
    <row r="41" ht="30" customHeight="1">
      <c r="A41" s="16" t="inlineStr">
        <is>
          <t>BEV share of total market sales</t>
        </is>
      </c>
      <c r="B41" s="16" t="inlineStr">
        <is>
          <t>share</t>
        </is>
      </c>
      <c r="C41" s="16" t="inlineStr">
        <is>
          <t>Reporting formula</t>
        </is>
      </c>
      <c r="D41" s="116" t="n"/>
      <c r="E41" s="16" t="inlineStr">
        <is>
          <t>All-market share = BEV sales / total market sales. Not passenger-specific.</t>
        </is>
      </c>
      <c r="F41" s="128">
        <f>IF(COUNT(F37,F40)&lt;2,"",IF(F40=0,"",F37/F40))</f>
        <v/>
      </c>
      <c r="G41" s="128">
        <f>IF(COUNT(G37,G40)&lt;2,"",IF(G40=0,"",G37/G40))</f>
        <v/>
      </c>
      <c r="H41" s="128">
        <f>IF(COUNT(H37,H40)&lt;2,"",IF(H40=0,"",H37/H40))</f>
        <v/>
      </c>
      <c r="I41" s="128">
        <f>IF(COUNT(I37,I40)&lt;2,"",IF(I40=0,"",I37/I40))</f>
        <v/>
      </c>
      <c r="J41" s="128">
        <f>IF(COUNT(J37,J40)&lt;2,"",IF(J40=0,"",J37/J40))</f>
        <v/>
      </c>
      <c r="K41" s="128">
        <f>IF(COUNT(K37,K40)&lt;2,"",IF(K40=0,"",K37/K40))</f>
        <v/>
      </c>
      <c r="L41" s="128">
        <f>IF(COUNT(L37,L40)&lt;2,"",IF(L40=0,"",L37/L40))</f>
        <v/>
      </c>
      <c r="M41" s="128">
        <f>IF(COUNT(M37,M40)&lt;2,"",IF(M40=0,"",M37/M40))</f>
        <v/>
      </c>
      <c r="N41" s="128">
        <f>IF(COUNT(N37,N40)&lt;2,"",IF(N40=0,"",N37/N40))</f>
        <v/>
      </c>
      <c r="O41" s="128">
        <f>IF(COUNT(O37,O40)&lt;2,"",IF(O40=0,"",O37/O40))</f>
        <v/>
      </c>
      <c r="P41" s="128">
        <f>IF(COUNT(P37,P40)&lt;2,"",IF(P40=0,"",P37/P40))</f>
        <v/>
      </c>
      <c r="Q41" s="128">
        <f>IF(COUNT(Q37,Q40)&lt;2,"",IF(Q40=0,"",Q37/Q40))</f>
        <v/>
      </c>
      <c r="R41" s="128">
        <f>IF(COUNT(R37,R40)&lt;2,"",IF(R40=0,"",R37/R40))</f>
        <v/>
      </c>
      <c r="S41" s="128">
        <f>IF(COUNT(S37,S40)&lt;2,"",IF(S40=0,"",S37/S40))</f>
        <v/>
      </c>
      <c r="T41" s="3" t="inlineStr">
        <is>
          <t>Years with both observations only.</t>
        </is>
      </c>
      <c r="U41" s="3" t="inlineStr">
        <is>
          <t>https://github.com/Africa-International-Advisors/liq… [N060]</t>
        </is>
      </c>
      <c r="V41" s="3" t="inlineStr">
        <is>
          <t>G03: obtain class-level denominator before adoption.</t>
        </is>
      </c>
    </row>
    <row r="42" ht="30" customHeight="1">
      <c r="A42" s="65" t="inlineStr">
        <is>
          <t>Updated observed GDP per capita</t>
        </is>
      </c>
      <c r="B42" s="65" t="inlineStr">
        <is>
          <t>2015 ZAR/person</t>
        </is>
      </c>
      <c r="C42" s="65" t="inlineStr">
        <is>
          <t>Staged observation</t>
        </is>
      </c>
      <c r="D42" s="114">
        <f>IF(ISNUMBER('Evidence'!D25),'Evidence'!D25,"")</f>
        <v/>
      </c>
      <c r="E42" s="65" t="inlineStr">
        <is>
          <t>Stats SA annual actual in staged reporting copy. Sector value… [N061]</t>
        </is>
      </c>
      <c r="F42" s="115">
        <f>IF(ISNUMBER('Evidence'!F25),'Evidence'!F25,"")</f>
        <v/>
      </c>
      <c r="G42" s="115">
        <f>IF(ISNUMBER('Evidence'!G25),'Evidence'!G25,"")</f>
        <v/>
      </c>
      <c r="H42" s="115">
        <f>IF(ISNUMBER('Evidence'!H25),'Evidence'!H25,"")</f>
        <v/>
      </c>
      <c r="I42" s="115">
        <f>IF(ISNUMBER('Evidence'!I25),'Evidence'!I25,"")</f>
        <v/>
      </c>
      <c r="J42" s="115">
        <f>IF(ISNUMBER('Evidence'!J25),'Evidence'!J25,"")</f>
        <v/>
      </c>
      <c r="K42" s="115">
        <f>IF(ISNUMBER('Evidence'!K25),'Evidence'!K25,"")</f>
        <v/>
      </c>
      <c r="L42" s="115">
        <f>IF(ISNUMBER('Evidence'!L25),'Evidence'!L25,"")</f>
        <v/>
      </c>
      <c r="M42" s="115">
        <f>IF(ISNUMBER('Evidence'!M25),'Evidence'!M25,"")</f>
        <v/>
      </c>
      <c r="N42" s="115">
        <f>IF(ISNUMBER('Evidence'!N25),'Evidence'!N25,"")</f>
        <v/>
      </c>
      <c r="O42" s="115">
        <f>IF(ISNUMBER('Evidence'!O25),'Evidence'!O25,"")</f>
        <v/>
      </c>
      <c r="P42" s="115">
        <f>IF(ISNUMBER('Evidence'!P25),'Evidence'!P25,"")</f>
        <v/>
      </c>
      <c r="Q42" s="115">
        <f>IF(ISNUMBER('Evidence'!Q25),'Evidence'!Q25,"")</f>
        <v/>
      </c>
      <c r="R42" s="115">
        <f>IF(ISNUMBER('Evidence'!R25),'Evidence'!R25,"")</f>
        <v/>
      </c>
      <c r="S42" s="115">
        <f>IF(ISNUMBER('Evidence'!S25),'Evidence'!S25,"")</f>
        <v/>
      </c>
      <c r="T42" s="3" t="inlineStr">
        <is>
          <t>Unreviewed source extract; annual cells contain… [N062]</t>
        </is>
      </c>
      <c r="U42" s="3" t="inlineStr">
        <is>
          <t>Evidence row 25;… [N063]</t>
        </is>
      </c>
      <c r="V42" s="3" t="inlineStr">
        <is>
          <t>G02: reconcile updated series against engine macro assumptions.</t>
        </is>
      </c>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30" customHeight="1">
      <c r="A44" s="16" t="inlineStr">
        <is>
          <t>LCV petrol stock</t>
        </is>
      </c>
      <c r="B44" s="16" t="inlineStr">
        <is>
          <t>vehicles</t>
        </is>
      </c>
      <c r="C44" s="16" t="inlineStr">
        <is>
          <t>Linked model output</t>
        </is>
      </c>
      <c r="D44" s="16" t="n"/>
      <c r="E44" s="16" t="inlineStr">
        <is>
          <t>Model run row 54; Python vehicle cohort result.</t>
        </is>
      </c>
      <c r="F44" s="117">
        <f>IF(ISNUMBER('Model run'!F54),'Model run'!F54,"")</f>
        <v/>
      </c>
      <c r="G44" s="117">
        <f>IF(ISNUMBER('Model run'!G54),'Model run'!G54,"")</f>
        <v/>
      </c>
      <c r="H44" s="117">
        <f>IF(ISNUMBER('Model run'!H54),'Model run'!H54,"")</f>
        <v/>
      </c>
      <c r="I44" s="117">
        <f>IF(ISNUMBER('Model run'!I54),'Model run'!I54,"")</f>
        <v/>
      </c>
      <c r="J44" s="117">
        <f>IF(ISNUMBER('Model run'!J54),'Model run'!J54,"")</f>
        <v/>
      </c>
      <c r="K44" s="117">
        <f>IF(ISNUMBER('Model run'!K54),'Model run'!K54,"")</f>
        <v/>
      </c>
      <c r="L44" s="117">
        <f>IF(ISNUMBER('Model run'!L54),'Model run'!L54,"")</f>
        <v/>
      </c>
      <c r="M44" s="117">
        <f>IF(ISNUMBER('Model run'!M54),'Model run'!M54,"")</f>
        <v/>
      </c>
      <c r="N44" s="117">
        <f>IF(ISNUMBER('Model run'!N54),'Model run'!N54,"")</f>
        <v/>
      </c>
      <c r="O44" s="117">
        <f>IF(ISNUMBER('Model run'!O54),'Model run'!O54,"")</f>
        <v/>
      </c>
      <c r="P44" s="117">
        <f>IF(ISNUMBER('Model run'!P54),'Model run'!P54,"")</f>
        <v/>
      </c>
      <c r="Q44" s="117">
        <f>IF(ISNUMBER('Model run'!Q54),'Model run'!Q54,"")</f>
        <v/>
      </c>
      <c r="R44" s="117">
        <f>IF(ISNUMBER('Model run'!R54),'Model run'!R54,"")</f>
        <v/>
      </c>
      <c r="S44" s="117">
        <f>IF(ISNUMBER('Model run'!S54),'Model run'!S54,"")</f>
        <v/>
      </c>
      <c r="T44" s="16" t="n"/>
      <c r="U44" s="16" t="n"/>
      <c r="V44" s="16" t="n"/>
    </row>
    <row r="45" ht="30" customHeight="1">
      <c r="A45" s="16" t="inlineStr">
        <is>
          <t>LCV petrol vehicle kilometres</t>
        </is>
      </c>
      <c r="B45" s="16" t="inlineStr">
        <is>
          <t>vehicle km/year</t>
        </is>
      </c>
      <c r="C45" s="16" t="inlineStr">
        <is>
          <t>Linked model output</t>
        </is>
      </c>
      <c r="D45" s="16" t="n"/>
      <c r="E45" s="16" t="inlineStr">
        <is>
          <t>Model run row 55; Python vehicle cohort result.</t>
        </is>
      </c>
      <c r="F45" s="117">
        <f>IF(ISNUMBER('Model run'!F55),'Model run'!F55,"")</f>
        <v/>
      </c>
      <c r="G45" s="117">
        <f>IF(ISNUMBER('Model run'!G55),'Model run'!G55,"")</f>
        <v/>
      </c>
      <c r="H45" s="117">
        <f>IF(ISNUMBER('Model run'!H55),'Model run'!H55,"")</f>
        <v/>
      </c>
      <c r="I45" s="117">
        <f>IF(ISNUMBER('Model run'!I55),'Model run'!I55,"")</f>
        <v/>
      </c>
      <c r="J45" s="117">
        <f>IF(ISNUMBER('Model run'!J55),'Model run'!J55,"")</f>
        <v/>
      </c>
      <c r="K45" s="117">
        <f>IF(ISNUMBER('Model run'!K55),'Model run'!K55,"")</f>
        <v/>
      </c>
      <c r="L45" s="117">
        <f>IF(ISNUMBER('Model run'!L55),'Model run'!L55,"")</f>
        <v/>
      </c>
      <c r="M45" s="117">
        <f>IF(ISNUMBER('Model run'!M55),'Model run'!M55,"")</f>
        <v/>
      </c>
      <c r="N45" s="117">
        <f>IF(ISNUMBER('Model run'!N55),'Model run'!N55,"")</f>
        <v/>
      </c>
      <c r="O45" s="117">
        <f>IF(ISNUMBER('Model run'!O55),'Model run'!O55,"")</f>
        <v/>
      </c>
      <c r="P45" s="117">
        <f>IF(ISNUMBER('Model run'!P55),'Model run'!P55,"")</f>
        <v/>
      </c>
      <c r="Q45" s="117">
        <f>IF(ISNUMBER('Model run'!Q55),'Model run'!Q55,"")</f>
        <v/>
      </c>
      <c r="R45" s="117">
        <f>IF(ISNUMBER('Model run'!R55),'Model run'!R55,"")</f>
        <v/>
      </c>
      <c r="S45" s="117">
        <f>IF(ISNUMBER('Model run'!S55),'Model run'!S55,"")</f>
        <v/>
      </c>
      <c r="T45" s="16" t="n"/>
      <c r="U45" s="16" t="n"/>
      <c r="V45" s="16" t="n"/>
    </row>
    <row r="46" ht="30" customHeight="1">
      <c r="A46" s="16" t="inlineStr">
        <is>
          <t>LCV petrol demand</t>
        </is>
      </c>
      <c r="B46" s="16" t="inlineStr">
        <is>
          <t>L/year</t>
        </is>
      </c>
      <c r="C46" s="16" t="inlineStr">
        <is>
          <t>Linked model output</t>
        </is>
      </c>
      <c r="D46" s="16" t="n"/>
      <c r="E46" s="16" t="inlineStr">
        <is>
          <t>Model run row 56; Python vehicle cohort result.</t>
        </is>
      </c>
      <c r="F46" s="117">
        <f>IF(ISNUMBER('Model run'!F56),'Model run'!F56,"")</f>
        <v/>
      </c>
      <c r="G46" s="117">
        <f>IF(ISNUMBER('Model run'!G56),'Model run'!G56,"")</f>
        <v/>
      </c>
      <c r="H46" s="117">
        <f>IF(ISNUMBER('Model run'!H56),'Model run'!H56,"")</f>
        <v/>
      </c>
      <c r="I46" s="117">
        <f>IF(ISNUMBER('Model run'!I56),'Model run'!I56,"")</f>
        <v/>
      </c>
      <c r="J46" s="117">
        <f>IF(ISNUMBER('Model run'!J56),'Model run'!J56,"")</f>
        <v/>
      </c>
      <c r="K46" s="117">
        <f>IF(ISNUMBER('Model run'!K56),'Model run'!K56,"")</f>
        <v/>
      </c>
      <c r="L46" s="117">
        <f>IF(ISNUMBER('Model run'!L56),'Model run'!L56,"")</f>
        <v/>
      </c>
      <c r="M46" s="117">
        <f>IF(ISNUMBER('Model run'!M56),'Model run'!M56,"")</f>
        <v/>
      </c>
      <c r="N46" s="117">
        <f>IF(ISNUMBER('Model run'!N56),'Model run'!N56,"")</f>
        <v/>
      </c>
      <c r="O46" s="117">
        <f>IF(ISNUMBER('Model run'!O56),'Model run'!O56,"")</f>
        <v/>
      </c>
      <c r="P46" s="117">
        <f>IF(ISNUMBER('Model run'!P56),'Model run'!P56,"")</f>
        <v/>
      </c>
      <c r="Q46" s="117">
        <f>IF(ISNUMBER('Model run'!Q56),'Model run'!Q56,"")</f>
        <v/>
      </c>
      <c r="R46" s="117">
        <f>IF(ISNUMBER('Model run'!R56),'Model run'!R56,"")</f>
        <v/>
      </c>
      <c r="S46" s="117">
        <f>IF(ISNUMBER('Model run'!S56),'Model run'!S56,"")</f>
        <v/>
      </c>
      <c r="T46" s="16" t="n"/>
      <c r="U46" s="16" t="n"/>
      <c r="V46" s="16" t="n"/>
    </row>
    <row r="47" ht="8" customHeight="1">
      <c r="A47" s="102" t="n"/>
      <c r="B47" s="102" t="n"/>
      <c r="C47" s="102" t="n"/>
      <c r="D47" s="102" t="n"/>
      <c r="E47" s="102" t="n"/>
      <c r="F47" s="104" t="n"/>
      <c r="G47" s="104" t="n"/>
      <c r="H47" s="104" t="n"/>
      <c r="I47" s="104" t="n"/>
      <c r="J47" s="104" t="n"/>
      <c r="K47" s="104" t="n"/>
      <c r="L47" s="104" t="n"/>
      <c r="M47" s="104" t="n"/>
      <c r="N47" s="104" t="n"/>
      <c r="O47" s="104" t="n"/>
      <c r="P47" s="104" t="n"/>
      <c r="Q47" s="104" t="n"/>
      <c r="R47" s="104" t="n"/>
      <c r="S47" s="104" t="n"/>
      <c r="T47" s="3" t="n"/>
      <c r="U47" s="3" t="n"/>
      <c r="V47" s="3" t="n"/>
    </row>
    <row r="48" ht="8" customHeight="1">
      <c r="A48" s="102" t="n"/>
      <c r="B48" s="102" t="n"/>
      <c r="C48" s="102" t="n"/>
      <c r="D48" s="102" t="n"/>
      <c r="E48" s="102" t="n"/>
      <c r="F48" s="104" t="n"/>
      <c r="G48" s="104" t="n"/>
      <c r="H48" s="104" t="n"/>
      <c r="I48" s="104" t="n"/>
      <c r="J48" s="104" t="n"/>
      <c r="K48" s="104" t="n"/>
      <c r="L48" s="104" t="n"/>
      <c r="M48" s="104" t="n"/>
      <c r="N48" s="104" t="n"/>
      <c r="O48" s="104" t="n"/>
      <c r="P48" s="104" t="n"/>
      <c r="Q48" s="104" t="n"/>
      <c r="R48" s="104" t="n"/>
      <c r="S48" s="104" t="n"/>
      <c r="T48" s="3" t="n"/>
      <c r="U48" s="3" t="n"/>
      <c r="V48" s="3" t="n"/>
    </row>
    <row r="49" ht="8" customHeight="1">
      <c r="A49" s="102" t="n"/>
      <c r="B49" s="102" t="n"/>
      <c r="C49" s="102" t="n"/>
      <c r="D49" s="102" t="n"/>
      <c r="E49" s="102" t="n"/>
      <c r="F49" s="104" t="n"/>
      <c r="G49" s="104" t="n"/>
      <c r="H49" s="104" t="n"/>
      <c r="I49" s="104" t="n"/>
      <c r="J49" s="104" t="n"/>
      <c r="K49" s="104" t="n"/>
      <c r="L49" s="104" t="n"/>
      <c r="M49" s="104" t="n"/>
      <c r="N49" s="104" t="n"/>
      <c r="O49" s="104" t="n"/>
      <c r="P49" s="104" t="n"/>
      <c r="Q49" s="104" t="n"/>
      <c r="R49" s="104" t="n"/>
      <c r="S49" s="104" t="n"/>
      <c r="T49" s="3" t="n"/>
      <c r="U49" s="3" t="n"/>
      <c r="V49" s="3" t="n"/>
    </row>
    <row r="50" ht="8" customHeight="1">
      <c r="A50" s="102" t="n"/>
      <c r="B50" s="102" t="n"/>
      <c r="C50" s="102" t="n"/>
      <c r="D50" s="102" t="n"/>
      <c r="E50" s="102" t="n"/>
      <c r="F50" s="104" t="n"/>
      <c r="G50" s="104" t="n"/>
      <c r="H50" s="104" t="n"/>
      <c r="I50" s="104" t="n"/>
      <c r="J50" s="104" t="n"/>
      <c r="K50" s="104" t="n"/>
      <c r="L50" s="104" t="n"/>
      <c r="M50" s="104" t="n"/>
      <c r="N50" s="104" t="n"/>
      <c r="O50" s="104" t="n"/>
      <c r="P50" s="104" t="n"/>
      <c r="Q50" s="104" t="n"/>
      <c r="R50" s="104" t="n"/>
      <c r="S50" s="104" t="n"/>
      <c r="T50" s="3" t="n"/>
      <c r="U50" s="3" t="n"/>
      <c r="V50" s="3" t="n"/>
    </row>
    <row r="51" ht="8" customHeight="1">
      <c r="A51" s="102" t="n"/>
      <c r="B51" s="102" t="n"/>
      <c r="C51" s="102" t="n"/>
      <c r="D51" s="102" t="n"/>
      <c r="E51" s="102" t="n"/>
      <c r="F51" s="104" t="n"/>
      <c r="G51" s="104" t="n"/>
      <c r="H51" s="104" t="n"/>
      <c r="I51" s="104" t="n"/>
      <c r="J51" s="104" t="n"/>
      <c r="K51" s="104" t="n"/>
      <c r="L51" s="104" t="n"/>
      <c r="M51" s="104" t="n"/>
      <c r="N51" s="104" t="n"/>
      <c r="O51" s="104" t="n"/>
      <c r="P51" s="104" t="n"/>
      <c r="Q51" s="104" t="n"/>
      <c r="R51" s="104" t="n"/>
      <c r="S51" s="104" t="n"/>
      <c r="T51" s="3" t="n"/>
      <c r="U51" s="3" t="n"/>
      <c r="V51" s="3" t="n"/>
    </row>
    <row r="52" ht="8" customHeight="1">
      <c r="A52" s="102" t="n"/>
      <c r="B52" s="102" t="n"/>
      <c r="C52" s="102" t="n"/>
      <c r="D52" s="102" t="n"/>
      <c r="E52" s="102" t="n"/>
      <c r="F52" s="104" t="n"/>
      <c r="G52" s="104" t="n"/>
      <c r="H52" s="104" t="n"/>
      <c r="I52" s="104" t="n"/>
      <c r="J52" s="104" t="n"/>
      <c r="K52" s="104" t="n"/>
      <c r="L52" s="104" t="n"/>
      <c r="M52" s="104" t="n"/>
      <c r="N52" s="104" t="n"/>
      <c r="O52" s="104" t="n"/>
      <c r="P52" s="104" t="n"/>
      <c r="Q52" s="104" t="n"/>
      <c r="R52" s="104" t="n"/>
      <c r="S52" s="104" t="n"/>
      <c r="T52" s="3" t="n"/>
      <c r="U52" s="3" t="n"/>
      <c r="V52" s="3" t="n"/>
    </row>
    <row r="53" ht="8" customHeight="1">
      <c r="A53" s="102" t="n"/>
      <c r="B53" s="102" t="n"/>
      <c r="C53" s="102" t="n"/>
      <c r="D53" s="102" t="n"/>
      <c r="E53" s="102" t="n"/>
      <c r="F53" s="104" t="n"/>
      <c r="G53" s="104" t="n"/>
      <c r="H53" s="104" t="n"/>
      <c r="I53" s="104" t="n"/>
      <c r="J53" s="104" t="n"/>
      <c r="K53" s="104" t="n"/>
      <c r="L53" s="104" t="n"/>
      <c r="M53" s="104" t="n"/>
      <c r="N53" s="104" t="n"/>
      <c r="O53" s="104" t="n"/>
      <c r="P53" s="104" t="n"/>
      <c r="Q53" s="104" t="n"/>
      <c r="R53" s="104" t="n"/>
      <c r="S53" s="104" t="n"/>
      <c r="T53" s="3" t="n"/>
      <c r="U53" s="3" t="n"/>
      <c r="V53" s="3" t="n"/>
    </row>
    <row r="54" ht="8" customHeight="1">
      <c r="A54" s="102" t="n"/>
      <c r="B54" s="102" t="n"/>
      <c r="C54" s="102" t="n"/>
      <c r="D54" s="102" t="n"/>
      <c r="E54" s="102" t="n"/>
      <c r="F54" s="104" t="n"/>
      <c r="G54" s="104" t="n"/>
      <c r="H54" s="104" t="n"/>
      <c r="I54" s="104" t="n"/>
      <c r="J54" s="104" t="n"/>
      <c r="K54" s="104" t="n"/>
      <c r="L54" s="104" t="n"/>
      <c r="M54" s="104" t="n"/>
      <c r="N54" s="104" t="n"/>
      <c r="O54" s="104" t="n"/>
      <c r="P54" s="104" t="n"/>
      <c r="Q54" s="104" t="n"/>
      <c r="R54" s="104" t="n"/>
      <c r="S54" s="104" t="n"/>
      <c r="T54" s="3" t="n"/>
      <c r="U54" s="3" t="n"/>
      <c r="V54" s="3" t="n"/>
    </row>
    <row r="55" ht="8" customHeight="1">
      <c r="A55" s="102" t="n"/>
      <c r="B55" s="102" t="n"/>
      <c r="C55" s="102" t="n"/>
      <c r="D55" s="102" t="n"/>
      <c r="E55" s="102" t="n"/>
      <c r="F55" s="104" t="n"/>
      <c r="G55" s="104" t="n"/>
      <c r="H55" s="104" t="n"/>
      <c r="I55" s="104" t="n"/>
      <c r="J55" s="104" t="n"/>
      <c r="K55" s="104" t="n"/>
      <c r="L55" s="104" t="n"/>
      <c r="M55" s="104" t="n"/>
      <c r="N55" s="104" t="n"/>
      <c r="O55" s="104" t="n"/>
      <c r="P55" s="104" t="n"/>
      <c r="Q55" s="104" t="n"/>
      <c r="R55" s="104" t="n"/>
      <c r="S55" s="104" t="n"/>
      <c r="T55" s="3" t="n"/>
      <c r="U55" s="3" t="n"/>
      <c r="V55" s="3" t="n"/>
    </row>
    <row r="56" ht="8" customHeight="1">
      <c r="A56" s="102" t="n"/>
      <c r="B56" s="102" t="n"/>
      <c r="C56" s="102" t="n"/>
      <c r="D56" s="102" t="n"/>
      <c r="E56" s="102" t="n"/>
      <c r="F56" s="104" t="n"/>
      <c r="G56" s="104" t="n"/>
      <c r="H56" s="104" t="n"/>
      <c r="I56" s="104" t="n"/>
      <c r="J56" s="104" t="n"/>
      <c r="K56" s="104" t="n"/>
      <c r="L56" s="104" t="n"/>
      <c r="M56" s="104" t="n"/>
      <c r="N56" s="104" t="n"/>
      <c r="O56" s="104" t="n"/>
      <c r="P56" s="104" t="n"/>
      <c r="Q56" s="104" t="n"/>
      <c r="R56" s="104" t="n"/>
      <c r="S56" s="104" t="n"/>
      <c r="T56" s="3" t="n"/>
      <c r="U56" s="3" t="n"/>
      <c r="V56" s="3" t="n"/>
    </row>
    <row r="57" ht="8" customHeight="1">
      <c r="A57" s="102" t="n"/>
      <c r="B57" s="102" t="n"/>
      <c r="C57" s="102" t="n"/>
      <c r="D57" s="102" t="n"/>
      <c r="E57" s="102" t="n"/>
      <c r="F57" s="104" t="n"/>
      <c r="G57" s="104" t="n"/>
      <c r="H57" s="104" t="n"/>
      <c r="I57" s="104" t="n"/>
      <c r="J57" s="104" t="n"/>
      <c r="K57" s="104" t="n"/>
      <c r="L57" s="104" t="n"/>
      <c r="M57" s="104" t="n"/>
      <c r="N57" s="104" t="n"/>
      <c r="O57" s="104" t="n"/>
      <c r="P57" s="104" t="n"/>
      <c r="Q57" s="104" t="n"/>
      <c r="R57" s="104" t="n"/>
      <c r="S57" s="104" t="n"/>
      <c r="T57" s="3" t="n"/>
      <c r="U57" s="3" t="n"/>
      <c r="V57" s="3" t="n"/>
    </row>
    <row r="58" ht="8" customHeight="1">
      <c r="A58" s="102" t="n"/>
      <c r="B58" s="102" t="n"/>
      <c r="C58" s="102" t="n"/>
      <c r="D58" s="102" t="n"/>
      <c r="E58" s="102" t="n"/>
      <c r="F58" s="104" t="n"/>
      <c r="G58" s="104" t="n"/>
      <c r="H58" s="104" t="n"/>
      <c r="I58" s="104" t="n"/>
      <c r="J58" s="104" t="n"/>
      <c r="K58" s="104" t="n"/>
      <c r="L58" s="104" t="n"/>
      <c r="M58" s="104" t="n"/>
      <c r="N58" s="104" t="n"/>
      <c r="O58" s="104" t="n"/>
      <c r="P58" s="104" t="n"/>
      <c r="Q58" s="104" t="n"/>
      <c r="R58" s="104" t="n"/>
      <c r="S58" s="104" t="n"/>
      <c r="T58" s="3" t="n"/>
      <c r="U58" s="3" t="n"/>
      <c r="V58" s="3" t="n"/>
    </row>
    <row r="59" ht="8" customHeight="1">
      <c r="A59" s="102" t="n"/>
      <c r="B59" s="102" t="n"/>
      <c r="C59" s="102" t="n"/>
      <c r="D59" s="102" t="n"/>
      <c r="E59" s="102" t="n"/>
      <c r="F59" s="104" t="n"/>
      <c r="G59" s="104" t="n"/>
      <c r="H59" s="104" t="n"/>
      <c r="I59" s="104" t="n"/>
      <c r="J59" s="104" t="n"/>
      <c r="K59" s="104" t="n"/>
      <c r="L59" s="104" t="n"/>
      <c r="M59" s="104" t="n"/>
      <c r="N59" s="104" t="n"/>
      <c r="O59" s="104" t="n"/>
      <c r="P59" s="104" t="n"/>
      <c r="Q59" s="104" t="n"/>
      <c r="R59" s="104" t="n"/>
      <c r="S59" s="104" t="n"/>
      <c r="T59" s="3" t="n"/>
      <c r="U59" s="3" t="n"/>
      <c r="V59" s="3" t="n"/>
    </row>
    <row r="60" ht="8" customHeight="1">
      <c r="A60" s="102" t="n"/>
      <c r="B60" s="102" t="n"/>
      <c r="C60" s="102" t="n"/>
      <c r="D60" s="102" t="n"/>
      <c r="E60" s="102" t="n"/>
      <c r="F60" s="104" t="n"/>
      <c r="G60" s="104" t="n"/>
      <c r="H60" s="104" t="n"/>
      <c r="I60" s="104" t="n"/>
      <c r="J60" s="104" t="n"/>
      <c r="K60" s="104" t="n"/>
      <c r="L60" s="104" t="n"/>
      <c r="M60" s="104" t="n"/>
      <c r="N60" s="104" t="n"/>
      <c r="O60" s="104" t="n"/>
      <c r="P60" s="104" t="n"/>
      <c r="Q60" s="104" t="n"/>
      <c r="R60" s="104" t="n"/>
      <c r="S60" s="104" t="n"/>
      <c r="T60" s="3" t="n"/>
      <c r="U60" s="3" t="n"/>
      <c r="V60" s="3"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V65"/>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Diesel road freight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heavy-commercial example • Heavy trucks are only part of road-freight demand.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fleet-method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GDP per capita</t>
        </is>
      </c>
      <c r="B6" s="3" t="inlineStr">
        <is>
          <t>2015 ZAR/person</t>
        </is>
      </c>
      <c r="C6" s="3" t="inlineStr">
        <is>
          <t>Input series</t>
        </is>
      </c>
      <c r="D6" s="121" t="n"/>
      <c r="E6" s="3" t="inlineStr">
        <is>
          <t>Same national vehicle-sales regression as Petrol sheet.</t>
        </is>
      </c>
      <c r="F6" s="122">
        <f>IF(ISNUMBER('Model run'!F19),'Model run'!F19,"")</f>
        <v/>
      </c>
      <c r="G6" s="122">
        <f>IF(ISNUMBER('Model run'!G19),'Model run'!G19,"")</f>
        <v/>
      </c>
      <c r="H6" s="122">
        <f>IF(ISNUMBER('Model run'!H19),'Model run'!H19,"")</f>
        <v/>
      </c>
      <c r="I6" s="122">
        <f>IF(ISNUMBER('Model run'!I19),'Model run'!I19,"")</f>
        <v/>
      </c>
      <c r="J6" s="122">
        <f>IF(ISNUMBER('Model run'!J19),'Model run'!J19,"")</f>
        <v/>
      </c>
      <c r="K6" s="122">
        <f>IF(ISNUMBER('Model run'!K19),'Model run'!K19,"")</f>
        <v/>
      </c>
      <c r="L6" s="122">
        <f>IF(ISNUMBER('Model run'!L19),'Model run'!L19,"")</f>
        <v/>
      </c>
      <c r="M6" s="122">
        <f>IF(ISNUMBER('Model run'!M19),'Model run'!M19,"")</f>
        <v/>
      </c>
      <c r="N6" s="122">
        <f>IF(ISNUMBER('Model run'!N19),'Model run'!N19,"")</f>
        <v/>
      </c>
      <c r="O6" s="122">
        <f>IF(ISNUMBER('Model run'!O19),'Model run'!O19,"")</f>
        <v/>
      </c>
      <c r="P6" s="122">
        <f>IF(ISNUMBER('Model run'!P19),'Model run'!P19,"")</f>
        <v/>
      </c>
      <c r="Q6" s="122">
        <f>IF(ISNUMBER('Model run'!Q19),'Model run'!Q19,"")</f>
        <v/>
      </c>
      <c r="R6" s="122">
        <f>IF(ISNUMBER('Model run'!R19),'Model run'!R19,"")</f>
        <v/>
      </c>
      <c r="S6" s="122">
        <f>IF(ISNUMBER('Model run'!S19),'Model run'!S19,"")</f>
        <v/>
      </c>
      <c r="T6" s="3" t="n"/>
      <c r="U6" s="3" t="n"/>
      <c r="V6" s="3" t="n"/>
    </row>
    <row r="7" ht="30" customHeight="1">
      <c r="A7" s="3" t="inlineStr">
        <is>
          <t>HCV share of new vehicle sales</t>
        </is>
      </c>
      <c r="B7" s="3" t="inlineStr">
        <is>
          <t>share</t>
        </is>
      </c>
      <c r="C7" s="3" t="inlineStr">
        <is>
          <t>Scalar</t>
        </is>
      </c>
      <c r="D7" s="124">
        <f>IF(ISNUMBER('Model run'!D20),'Model run'!D20,"")</f>
        <v/>
      </c>
      <c r="E7" s="3" t="inlineStr">
        <is>
          <t>Current provisional class split.</t>
        </is>
      </c>
      <c r="F7" s="125" t="n"/>
      <c r="G7" s="125" t="n"/>
      <c r="H7" s="125" t="n"/>
      <c r="I7" s="125" t="n"/>
      <c r="J7" s="125" t="n"/>
      <c r="K7" s="125" t="n"/>
      <c r="L7" s="125" t="n"/>
      <c r="M7" s="125" t="n"/>
      <c r="N7" s="125" t="n"/>
      <c r="O7" s="125" t="n"/>
      <c r="P7" s="125" t="n"/>
      <c r="Q7" s="125" t="n"/>
      <c r="R7" s="125" t="n"/>
      <c r="S7" s="125" t="n"/>
      <c r="T7" s="3" t="n"/>
      <c r="U7" s="3" t="n"/>
      <c r="V7" s="3" t="n"/>
    </row>
    <row r="8" ht="30" customHeight="1">
      <c r="A8" s="3" t="inlineStr">
        <is>
          <t>Diesel share of HCV ICE sales</t>
        </is>
      </c>
      <c r="B8" s="3" t="inlineStr">
        <is>
          <t>share</t>
        </is>
      </c>
      <c r="C8" s="3" t="inlineStr">
        <is>
          <t>Scalar</t>
        </is>
      </c>
      <c r="D8" s="124">
        <f>IF(ISNUMBER('Model run'!D21),'Model run'!D21,"")</f>
        <v/>
      </c>
      <c r="E8" s="3" t="inlineStr">
        <is>
          <t>Current model applies its common EV adjustment before the diesel split.</t>
        </is>
      </c>
      <c r="F8" s="125" t="n"/>
      <c r="G8" s="125" t="n"/>
      <c r="H8" s="125" t="n"/>
      <c r="I8" s="125" t="n"/>
      <c r="J8" s="125" t="n"/>
      <c r="K8" s="125" t="n"/>
      <c r="L8" s="125" t="n"/>
      <c r="M8" s="125" t="n"/>
      <c r="N8" s="125" t="n"/>
      <c r="O8" s="125" t="n"/>
      <c r="P8" s="125" t="n"/>
      <c r="Q8" s="125" t="n"/>
      <c r="R8" s="125" t="n"/>
      <c r="S8" s="125" t="n"/>
      <c r="T8" s="3" t="n"/>
      <c r="U8" s="3" t="n"/>
      <c r="V8" s="3" t="n"/>
    </row>
    <row r="9" ht="30" customHeight="1">
      <c r="A9" s="3" t="inlineStr">
        <is>
          <t>Heavy-truck annual mileage</t>
        </is>
      </c>
      <c r="B9" s="3" t="inlineStr">
        <is>
          <t>km/vehicle/year</t>
        </is>
      </c>
      <c r="C9" s="3" t="inlineStr">
        <is>
          <t>Scalar</t>
        </is>
      </c>
      <c r="D9" s="121">
        <f>IF(ISNUMBER('Model run'!D22),'Model run'!D22,"")</f>
        <v/>
      </c>
      <c r="E9" s="3" t="inlineStr">
        <is>
          <t>Current provisional assumption.</t>
        </is>
      </c>
      <c r="F9" s="122" t="n"/>
      <c r="G9" s="122" t="n"/>
      <c r="H9" s="122" t="n"/>
      <c r="I9" s="122" t="n"/>
      <c r="J9" s="122" t="n"/>
      <c r="K9" s="122" t="n"/>
      <c r="L9" s="122" t="n"/>
      <c r="M9" s="122" t="n"/>
      <c r="N9" s="122" t="n"/>
      <c r="O9" s="122" t="n"/>
      <c r="P9" s="122" t="n"/>
      <c r="Q9" s="122" t="n"/>
      <c r="R9" s="122" t="n"/>
      <c r="S9" s="122" t="n"/>
      <c r="T9" s="3" t="n"/>
      <c r="U9" s="3" t="n"/>
      <c r="V9" s="3" t="n"/>
    </row>
    <row r="10" ht="30" customHeight="1">
      <c r="A10" s="3" t="inlineStr">
        <is>
          <t>Heavy-truck retirement rate</t>
        </is>
      </c>
      <c r="B10" s="3" t="inlineStr">
        <is>
          <t>share/year</t>
        </is>
      </c>
      <c r="C10" s="3" t="inlineStr">
        <is>
          <t>Scalar</t>
        </is>
      </c>
      <c r="D10" s="124">
        <f>IF(ISNUMBER('Model run'!D23),'Model run'!D23,"")</f>
        <v/>
      </c>
      <c r="E10" s="3" t="inlineStr">
        <is>
          <t>Flat retirement assumption across cohorts.</t>
        </is>
      </c>
      <c r="F10" s="125" t="n"/>
      <c r="G10" s="125" t="n"/>
      <c r="H10" s="125" t="n"/>
      <c r="I10" s="125" t="n"/>
      <c r="J10" s="125" t="n"/>
      <c r="K10" s="125" t="n"/>
      <c r="L10" s="125" t="n"/>
      <c r="M10" s="125" t="n"/>
      <c r="N10" s="125" t="n"/>
      <c r="O10" s="125" t="n"/>
      <c r="P10" s="125" t="n"/>
      <c r="Q10" s="125" t="n"/>
      <c r="R10" s="125" t="n"/>
      <c r="S10" s="125" t="n"/>
      <c r="T10" s="3" t="n"/>
      <c r="U10" s="3" t="n"/>
      <c r="V10" s="3" t="n"/>
    </row>
    <row r="11" ht="30" customHeight="1">
      <c r="A11" s="3" t="inlineStr">
        <is>
          <t>Base new-truck consumption</t>
        </is>
      </c>
      <c r="B11" s="3" t="inlineStr">
        <is>
          <t>L/100 km</t>
        </is>
      </c>
      <c r="C11" s="3" t="inlineStr">
        <is>
          <t>Scalar</t>
        </is>
      </c>
      <c r="D11" s="121">
        <f>IF(ISNUMBER('Model run'!D24),'Model run'!D24,"")</f>
        <v/>
      </c>
      <c r="E11" s="3" t="inlineStr">
        <is>
          <t>Entry-cohort baseline before efficiency improvement.</t>
        </is>
      </c>
      <c r="F11" s="122" t="n"/>
      <c r="G11" s="122" t="n"/>
      <c r="H11" s="122" t="n"/>
      <c r="I11" s="122" t="n"/>
      <c r="J11" s="122" t="n"/>
      <c r="K11" s="122" t="n"/>
      <c r="L11" s="122" t="n"/>
      <c r="M11" s="122" t="n"/>
      <c r="N11" s="122" t="n"/>
      <c r="O11" s="122" t="n"/>
      <c r="P11" s="122" t="n"/>
      <c r="Q11" s="122" t="n"/>
      <c r="R11" s="122" t="n"/>
      <c r="S11" s="122" t="n"/>
      <c r="T11" s="3" t="n"/>
      <c r="U11" s="3" t="n"/>
      <c r="V11" s="3" t="n"/>
    </row>
    <row r="12" ht="30" customHeight="1">
      <c r="A12" s="3" t="inlineStr">
        <is>
          <t>New-cohort efficiency gain</t>
        </is>
      </c>
      <c r="B12" s="3" t="inlineStr">
        <is>
          <t>fraction/year</t>
        </is>
      </c>
      <c r="C12" s="3" t="inlineStr">
        <is>
          <t>Input series</t>
        </is>
      </c>
      <c r="D12" s="124" t="n"/>
      <c r="E12" s="3" t="inlineStr">
        <is>
          <t>Applies to new cohorts only.</t>
        </is>
      </c>
      <c r="F12" s="125">
        <f>IF(ISNUMBER('Model run'!F25),'Model run'!F25,"")</f>
        <v/>
      </c>
      <c r="G12" s="125">
        <f>IF(ISNUMBER('Model run'!G25),'Model run'!G25,"")</f>
        <v/>
      </c>
      <c r="H12" s="125">
        <f>IF(ISNUMBER('Model run'!H25),'Model run'!H25,"")</f>
        <v/>
      </c>
      <c r="I12" s="125">
        <f>IF(ISNUMBER('Model run'!I25),'Model run'!I25,"")</f>
        <v/>
      </c>
      <c r="J12" s="125">
        <f>IF(ISNUMBER('Model run'!J25),'Model run'!J25,"")</f>
        <v/>
      </c>
      <c r="K12" s="125">
        <f>IF(ISNUMBER('Model run'!K25),'Model run'!K25,"")</f>
        <v/>
      </c>
      <c r="L12" s="125">
        <f>IF(ISNUMBER('Model run'!L25),'Model run'!L25,"")</f>
        <v/>
      </c>
      <c r="M12" s="125">
        <f>IF(ISNUMBER('Model run'!M25),'Model run'!M25,"")</f>
        <v/>
      </c>
      <c r="N12" s="125">
        <f>IF(ISNUMBER('Model run'!N25),'Model run'!N25,"")</f>
        <v/>
      </c>
      <c r="O12" s="125">
        <f>IF(ISNUMBER('Model run'!O25),'Model run'!O25,"")</f>
        <v/>
      </c>
      <c r="P12" s="125">
        <f>IF(ISNUMBER('Model run'!P25),'Model run'!P25,"")</f>
        <v/>
      </c>
      <c r="Q12" s="125">
        <f>IF(ISNUMBER('Model run'!Q25),'Model run'!Q25,"")</f>
        <v/>
      </c>
      <c r="R12" s="125">
        <f>IF(ISNUMBER('Model run'!R25),'Model run'!R25,"")</f>
        <v/>
      </c>
      <c r="S12" s="125">
        <f>IF(ISNUMBER('Model run'!S25),'Model run'!S25,"")</f>
        <v/>
      </c>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Current engine outputs and reporting calculations</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16" t="inlineStr">
        <is>
          <t>Heavy-truck diesel fleet</t>
        </is>
      </c>
      <c r="B15" s="16" t="inlineStr">
        <is>
          <t>vehicles</t>
        </is>
      </c>
      <c r="C15" s="16" t="inlineStr">
        <is>
          <t>Engine output</t>
        </is>
      </c>
      <c r="D15" s="126" t="n"/>
      <c r="E15" s="16" t="inlineStr">
        <is>
          <t>National HCV diesel cohort stock.</t>
        </is>
      </c>
      <c r="F15" s="127">
        <f>IF(ISNUMBER('Model run'!F26),'Model run'!F26,"")</f>
        <v/>
      </c>
      <c r="G15" s="127">
        <f>IF(ISNUMBER('Model run'!G26),'Model run'!G26,"")</f>
        <v/>
      </c>
      <c r="H15" s="127">
        <f>IF(ISNUMBER('Model run'!H26),'Model run'!H26,"")</f>
        <v/>
      </c>
      <c r="I15" s="127">
        <f>IF(ISNUMBER('Model run'!I26),'Model run'!I26,"")</f>
        <v/>
      </c>
      <c r="J15" s="127">
        <f>IF(ISNUMBER('Model run'!J26),'Model run'!J26,"")</f>
        <v/>
      </c>
      <c r="K15" s="127">
        <f>IF(ISNUMBER('Model run'!K26),'Model run'!K26,"")</f>
        <v/>
      </c>
      <c r="L15" s="127">
        <f>IF(ISNUMBER('Model run'!L26),'Model run'!L26,"")</f>
        <v/>
      </c>
      <c r="M15" s="127">
        <f>IF(ISNUMBER('Model run'!M26),'Model run'!M26,"")</f>
        <v/>
      </c>
      <c r="N15" s="127">
        <f>IF(ISNUMBER('Model run'!N26),'Model run'!N26,"")</f>
        <v/>
      </c>
      <c r="O15" s="127">
        <f>IF(ISNUMBER('Model run'!O26),'Model run'!O26,"")</f>
        <v/>
      </c>
      <c r="P15" s="127">
        <f>IF(ISNUMBER('Model run'!P26),'Model run'!P26,"")</f>
        <v/>
      </c>
      <c r="Q15" s="127">
        <f>IF(ISNUMBER('Model run'!Q26),'Model run'!Q26,"")</f>
        <v/>
      </c>
      <c r="R15" s="127">
        <f>IF(ISNUMBER('Model run'!R26),'Model run'!R26,"")</f>
        <v/>
      </c>
      <c r="S15" s="127">
        <f>IF(ISNUMBER('Model run'!S26),'Model run'!S26,"")</f>
        <v/>
      </c>
      <c r="T15" s="3" t="n"/>
      <c r="U15" s="3" t="n"/>
      <c r="V15" s="3" t="n"/>
    </row>
    <row r="16" ht="30" customHeight="1">
      <c r="A16" s="16" t="inlineStr">
        <is>
          <t>Heavy-truck vehicle-km</t>
        </is>
      </c>
      <c r="B16" s="16" t="inlineStr">
        <is>
          <t>km/year</t>
        </is>
      </c>
      <c r="C16" s="16" t="inlineStr">
        <is>
          <t>Engine output</t>
        </is>
      </c>
      <c r="D16" s="126" t="n"/>
      <c r="E16" s="16" t="inlineStr">
        <is>
          <t>National HCV diesel activity.</t>
        </is>
      </c>
      <c r="F16" s="127">
        <f>IF(ISNUMBER('Model run'!F27),'Model run'!F27,"")</f>
        <v/>
      </c>
      <c r="G16" s="127">
        <f>IF(ISNUMBER('Model run'!G27),'Model run'!G27,"")</f>
        <v/>
      </c>
      <c r="H16" s="127">
        <f>IF(ISNUMBER('Model run'!H27),'Model run'!H27,"")</f>
        <v/>
      </c>
      <c r="I16" s="127">
        <f>IF(ISNUMBER('Model run'!I27),'Model run'!I27,"")</f>
        <v/>
      </c>
      <c r="J16" s="127">
        <f>IF(ISNUMBER('Model run'!J27),'Model run'!J27,"")</f>
        <v/>
      </c>
      <c r="K16" s="127">
        <f>IF(ISNUMBER('Model run'!K27),'Model run'!K27,"")</f>
        <v/>
      </c>
      <c r="L16" s="127">
        <f>IF(ISNUMBER('Model run'!L27),'Model run'!L27,"")</f>
        <v/>
      </c>
      <c r="M16" s="127">
        <f>IF(ISNUMBER('Model run'!M27),'Model run'!M27,"")</f>
        <v/>
      </c>
      <c r="N16" s="127">
        <f>IF(ISNUMBER('Model run'!N27),'Model run'!N27,"")</f>
        <v/>
      </c>
      <c r="O16" s="127">
        <f>IF(ISNUMBER('Model run'!O27),'Model run'!O27,"")</f>
        <v/>
      </c>
      <c r="P16" s="127">
        <f>IF(ISNUMBER('Model run'!P27),'Model run'!P27,"")</f>
        <v/>
      </c>
      <c r="Q16" s="127">
        <f>IF(ISNUMBER('Model run'!Q27),'Model run'!Q27,"")</f>
        <v/>
      </c>
      <c r="R16" s="127">
        <f>IF(ISNUMBER('Model run'!R27),'Model run'!R27,"")</f>
        <v/>
      </c>
      <c r="S16" s="127">
        <f>IF(ISNUMBER('Model run'!S27),'Model run'!S27,"")</f>
        <v/>
      </c>
      <c r="T16" s="3" t="n"/>
      <c r="U16" s="3" t="n"/>
      <c r="V16" s="3" t="n"/>
    </row>
    <row r="17" ht="30" customHeight="1">
      <c r="A17" s="16" t="inlineStr">
        <is>
          <t>Heavy-truck diesel demand</t>
        </is>
      </c>
      <c r="B17" s="16" t="inlineStr">
        <is>
          <t>L/year</t>
        </is>
      </c>
      <c r="C17" s="16" t="inlineStr">
        <is>
          <t>Engine output</t>
        </is>
      </c>
      <c r="D17" s="126" t="n"/>
      <c r="E17" s="16" t="inlineStr">
        <is>
          <t>Current Python engine output. Does not include LCV freight.</t>
        </is>
      </c>
      <c r="F17" s="127">
        <f>IF(ISNUMBER('Model run'!F28),'Model run'!F28,"")</f>
        <v/>
      </c>
      <c r="G17" s="127">
        <f>IF(ISNUMBER('Model run'!G28),'Model run'!G28,"")</f>
        <v/>
      </c>
      <c r="H17" s="127">
        <f>IF(ISNUMBER('Model run'!H28),'Model run'!H28,"")</f>
        <v/>
      </c>
      <c r="I17" s="127">
        <f>IF(ISNUMBER('Model run'!I28),'Model run'!I28,"")</f>
        <v/>
      </c>
      <c r="J17" s="127">
        <f>IF(ISNUMBER('Model run'!J28),'Model run'!J28,"")</f>
        <v/>
      </c>
      <c r="K17" s="127">
        <f>IF(ISNUMBER('Model run'!K28),'Model run'!K28,"")</f>
        <v/>
      </c>
      <c r="L17" s="127">
        <f>IF(ISNUMBER('Model run'!L28),'Model run'!L28,"")</f>
        <v/>
      </c>
      <c r="M17" s="127">
        <f>IF(ISNUMBER('Model run'!M28),'Model run'!M28,"")</f>
        <v/>
      </c>
      <c r="N17" s="127">
        <f>IF(ISNUMBER('Model run'!N28),'Model run'!N28,"")</f>
        <v/>
      </c>
      <c r="O17" s="127">
        <f>IF(ISNUMBER('Model run'!O28),'Model run'!O28,"")</f>
        <v/>
      </c>
      <c r="P17" s="127">
        <f>IF(ISNUMBER('Model run'!P28),'Model run'!P28,"")</f>
        <v/>
      </c>
      <c r="Q17" s="127">
        <f>IF(ISNUMBER('Model run'!Q28),'Model run'!Q28,"")</f>
        <v/>
      </c>
      <c r="R17" s="127">
        <f>IF(ISNUMBER('Model run'!R28),'Model run'!R28,"")</f>
        <v/>
      </c>
      <c r="S17" s="127">
        <f>IF(ISNUMBER('Model run'!S28),'Model run'!S28,"")</f>
        <v/>
      </c>
      <c r="T17" s="3" t="n"/>
      <c r="U17" s="3" t="n"/>
      <c r="V17" s="3" t="n"/>
    </row>
    <row r="18" ht="30" customHeight="1">
      <c r="A18" s="16" t="inlineStr">
        <is>
          <t>Heavy-truck diesel demand</t>
        </is>
      </c>
      <c r="B18" s="16" t="inlineStr">
        <is>
          <t>million L/year</t>
        </is>
      </c>
      <c r="C18" s="16" t="inlineStr">
        <is>
          <t>Reporting formula</t>
        </is>
      </c>
      <c r="D18" s="116" t="n"/>
      <c r="E18" s="16" t="inlineStr">
        <is>
          <t>Unit conversion of engine output.</t>
        </is>
      </c>
      <c r="F18" s="117">
        <f>F17/1000000</f>
        <v/>
      </c>
      <c r="G18" s="117">
        <f>G17/1000000</f>
        <v/>
      </c>
      <c r="H18" s="117">
        <f>H17/1000000</f>
        <v/>
      </c>
      <c r="I18" s="117">
        <f>I17/1000000</f>
        <v/>
      </c>
      <c r="J18" s="117">
        <f>J17/1000000</f>
        <v/>
      </c>
      <c r="K18" s="117">
        <f>K17/1000000</f>
        <v/>
      </c>
      <c r="L18" s="117">
        <f>L17/1000000</f>
        <v/>
      </c>
      <c r="M18" s="117">
        <f>M17/1000000</f>
        <v/>
      </c>
      <c r="N18" s="117">
        <f>N17/1000000</f>
        <v/>
      </c>
      <c r="O18" s="117">
        <f>O17/1000000</f>
        <v/>
      </c>
      <c r="P18" s="117">
        <f>P17/1000000</f>
        <v/>
      </c>
      <c r="Q18" s="117">
        <f>Q17/1000000</f>
        <v/>
      </c>
      <c r="R18" s="117">
        <f>R17/1000000</f>
        <v/>
      </c>
      <c r="S18" s="117">
        <f>S17/1000000</f>
        <v/>
      </c>
      <c r="T18" s="3" t="n"/>
      <c r="U18" s="3" t="n"/>
      <c r="V18" s="3" t="n"/>
    </row>
    <row r="19" ht="30" customHeight="1">
      <c r="A19" s="16" t="inlineStr">
        <is>
          <t>Implied fleet-average consumption</t>
        </is>
      </c>
      <c r="B19" s="16" t="inlineStr">
        <is>
          <t>L/100 km</t>
        </is>
      </c>
      <c r="C19" s="16" t="inlineStr">
        <is>
          <t>Reporting formula</t>
        </is>
      </c>
      <c r="D19" s="116" t="n"/>
      <c r="E19" s="16" t="inlineStr">
        <is>
          <t>Fuel / vehicle-km × 100.</t>
        </is>
      </c>
      <c r="F19" s="117">
        <f>IF(F16=0,"",F17/F16*100)</f>
        <v/>
      </c>
      <c r="G19" s="117">
        <f>IF(G16=0,"",G17/G16*100)</f>
        <v/>
      </c>
      <c r="H19" s="117">
        <f>IF(H16=0,"",H17/H16*100)</f>
        <v/>
      </c>
      <c r="I19" s="117">
        <f>IF(I16=0,"",I17/I16*100)</f>
        <v/>
      </c>
      <c r="J19" s="117">
        <f>IF(J16=0,"",J17/J16*100)</f>
        <v/>
      </c>
      <c r="K19" s="117">
        <f>IF(K16=0,"",K17/K16*100)</f>
        <v/>
      </c>
      <c r="L19" s="117">
        <f>IF(L16=0,"",L17/L16*100)</f>
        <v/>
      </c>
      <c r="M19" s="117">
        <f>IF(M16=0,"",M17/M16*100)</f>
        <v/>
      </c>
      <c r="N19" s="117">
        <f>IF(N16=0,"",N17/N16*100)</f>
        <v/>
      </c>
      <c r="O19" s="117">
        <f>IF(O16=0,"",O17/O16*100)</f>
        <v/>
      </c>
      <c r="P19" s="117">
        <f>IF(P16=0,"",P17/P16*100)</f>
        <v/>
      </c>
      <c r="Q19" s="117">
        <f>IF(Q16=0,"",Q17/Q16*100)</f>
        <v/>
      </c>
      <c r="R19" s="117">
        <f>IF(R16=0,"",R17/R16*100)</f>
        <v/>
      </c>
      <c r="S19" s="117">
        <f>IF(S16=0,"",S17/S16*100)</f>
        <v/>
      </c>
      <c r="T19" s="3" t="n"/>
      <c r="U19" s="3" t="n"/>
      <c r="V19" s="3" t="n"/>
    </row>
    <row r="20" ht="8" customHeight="1">
      <c r="A20" s="3" t="n"/>
      <c r="B20" s="3" t="n"/>
      <c r="C20" s="3" t="n"/>
      <c r="D20" s="3" t="n"/>
      <c r="E20" s="3" t="n"/>
      <c r="F20" s="6" t="n"/>
      <c r="G20" s="6" t="n"/>
      <c r="H20" s="6" t="n"/>
      <c r="I20" s="6" t="n"/>
      <c r="J20" s="6" t="n"/>
      <c r="K20" s="6" t="n"/>
      <c r="L20" s="6" t="n"/>
      <c r="M20" s="6" t="n"/>
      <c r="N20" s="6" t="n"/>
      <c r="O20" s="6" t="n"/>
      <c r="P20" s="6" t="n"/>
      <c r="Q20" s="6" t="n"/>
      <c r="R20" s="6" t="n"/>
      <c r="S20" s="6" t="n"/>
      <c r="T20" s="3" t="n"/>
      <c r="U20" s="3" t="n"/>
      <c r="V20" s="3" t="n"/>
    </row>
    <row r="21" ht="28" customHeight="1">
      <c r="A21" s="12" t="inlineStr">
        <is>
          <t>Alternative tonne-km method: agree before implementation</t>
        </is>
      </c>
      <c r="B21" s="11" t="n"/>
      <c r="C21" s="11" t="n"/>
      <c r="D21" s="11" t="n"/>
      <c r="E21" s="11" t="n"/>
      <c r="F21" s="25" t="n"/>
      <c r="G21" s="25" t="n"/>
      <c r="H21" s="25" t="n"/>
      <c r="I21" s="25" t="n"/>
      <c r="J21" s="25" t="n"/>
      <c r="K21" s="25" t="n"/>
      <c r="L21" s="25" t="n"/>
      <c r="M21" s="25" t="n"/>
      <c r="N21" s="25" t="n"/>
      <c r="O21" s="25" t="n"/>
      <c r="P21" s="25" t="n"/>
      <c r="Q21" s="25" t="n"/>
      <c r="R21" s="25" t="n"/>
      <c r="S21" s="25" t="n"/>
      <c r="T21" s="3" t="n"/>
      <c r="U21" s="3" t="n"/>
      <c r="V21" s="3" t="n"/>
    </row>
    <row r="22" ht="30" customHeight="1">
      <c r="A22" s="3" t="inlineStr">
        <is>
          <t>Reference road freight activity</t>
        </is>
      </c>
      <c r="B22" s="3" t="inlineStr">
        <is>
          <t>tonne-km/year</t>
        </is>
      </c>
      <c r="C22" s="3" t="inlineStr">
        <is>
          <t>Workshop input</t>
        </is>
      </c>
      <c r="D22" s="118" t="n"/>
      <c r="E22" s="10" t="inlineStr">
        <is>
          <t>Choose eligible road work before rail diversion; tonnes alone omit distance.</t>
        </is>
      </c>
      <c r="F22" s="119" t="n"/>
      <c r="G22" s="119" t="n"/>
      <c r="H22" s="119" t="n"/>
      <c r="I22" s="119" t="n"/>
      <c r="J22" s="119" t="n"/>
      <c r="K22" s="119" t="n"/>
      <c r="L22" s="119" t="n"/>
      <c r="M22" s="119" t="n"/>
      <c r="N22" s="119" t="n"/>
      <c r="O22" s="119" t="n"/>
      <c r="P22" s="119" t="n"/>
      <c r="Q22" s="119" t="n"/>
      <c r="R22" s="119" t="n"/>
      <c r="S22" s="119" t="n"/>
      <c r="T22" s="3" t="n"/>
      <c r="U22" s="3" t="n"/>
      <c r="V22" s="3" t="n"/>
    </row>
    <row r="23" ht="30" customHeight="1">
      <c r="A23" s="3" t="inlineStr">
        <is>
          <t>Road work diverted to rail</t>
        </is>
      </c>
      <c r="B23" s="3" t="inlineStr">
        <is>
          <t>share of reference</t>
        </is>
      </c>
      <c r="C23" s="3" t="inlineStr">
        <is>
          <t>Workshop input</t>
        </is>
      </c>
      <c r="D23" s="118" t="n"/>
      <c r="E23" s="10" t="inlineStr">
        <is>
          <t>Deduct once. If already reflected in the road activity path, do… [N064]</t>
        </is>
      </c>
      <c r="F23" s="119" t="n"/>
      <c r="G23" s="119" t="n"/>
      <c r="H23" s="119" t="n"/>
      <c r="I23" s="119" t="n"/>
      <c r="J23" s="119" t="n"/>
      <c r="K23" s="119" t="n"/>
      <c r="L23" s="119" t="n"/>
      <c r="M23" s="119" t="n"/>
      <c r="N23" s="119" t="n"/>
      <c r="O23" s="119" t="n"/>
      <c r="P23" s="119" t="n"/>
      <c r="Q23" s="119" t="n"/>
      <c r="R23" s="119" t="n"/>
      <c r="S23" s="119" t="n"/>
      <c r="T23" s="3" t="n"/>
      <c r="U23" s="3" t="n"/>
      <c r="V23" s="3" t="n"/>
    </row>
    <row r="24" ht="30" customHeight="1">
      <c r="A24" s="3" t="inlineStr">
        <is>
          <t>Freight fuel intensity</t>
        </is>
      </c>
      <c r="B24" s="3" t="inlineStr">
        <is>
          <t>L/tonne-km</t>
        </is>
      </c>
      <c r="C24" s="3" t="inlineStr">
        <is>
          <t>Workshop input</t>
        </is>
      </c>
      <c r="D24" s="118" t="n"/>
      <c r="E24" s="10" t="inlineStr">
        <is>
          <t>Calibrate to payload, empty running and vehicle mix.</t>
        </is>
      </c>
      <c r="F24" s="119" t="n"/>
      <c r="G24" s="119" t="n"/>
      <c r="H24" s="119" t="n"/>
      <c r="I24" s="119" t="n"/>
      <c r="J24" s="119" t="n"/>
      <c r="K24" s="119" t="n"/>
      <c r="L24" s="119" t="n"/>
      <c r="M24" s="119" t="n"/>
      <c r="N24" s="119" t="n"/>
      <c r="O24" s="119" t="n"/>
      <c r="P24" s="119" t="n"/>
      <c r="Q24" s="119" t="n"/>
      <c r="R24" s="119" t="n"/>
      <c r="S24" s="119" t="n"/>
      <c r="T24" s="3" t="n"/>
      <c r="U24" s="3" t="n"/>
      <c r="V24" s="3" t="n"/>
    </row>
    <row r="25" ht="30" customHeight="1">
      <c r="A25" s="3" t="inlineStr">
        <is>
          <t>Alternative freight demand</t>
        </is>
      </c>
      <c r="B25" s="3" t="inlineStr">
        <is>
          <t>million L/year</t>
        </is>
      </c>
      <c r="C25" s="3" t="inlineStr">
        <is>
          <t>Proposed output</t>
        </is>
      </c>
      <c r="D25" s="121" t="n"/>
      <c r="E25" s="3" t="inlineStr">
        <is>
          <t>Reference tonne-km × (1 − eligible diversion share) × L/tonne-km… [N065]</t>
        </is>
      </c>
      <c r="F25" s="122" t="n"/>
      <c r="G25" s="122" t="n"/>
      <c r="H25" s="122" t="n"/>
      <c r="I25" s="122" t="n"/>
      <c r="J25" s="122" t="n"/>
      <c r="K25" s="122" t="n"/>
      <c r="L25" s="122" t="n"/>
      <c r="M25" s="122" t="n"/>
      <c r="N25" s="122" t="n"/>
      <c r="O25" s="122" t="n"/>
      <c r="P25" s="122" t="n"/>
      <c r="Q25" s="122" t="n"/>
      <c r="R25" s="122" t="n"/>
      <c r="S25" s="122" t="n"/>
      <c r="T25" s="3" t="n"/>
      <c r="U25" s="3" t="n"/>
      <c r="V25" s="3" t="n"/>
    </row>
    <row r="26" ht="30" customHeight="1">
      <c r="A26" s="3" t="inlineStr">
        <is>
          <t>Geographic definition</t>
        </is>
      </c>
      <c r="B26" s="3" t="inlineStr">
        <is>
          <t>decision</t>
        </is>
      </c>
      <c r="C26" s="3" t="inlineStr">
        <is>
          <t>Workshop input</t>
        </is>
      </c>
      <c r="D26" s="118" t="n"/>
      <c r="E26" s="10" t="inlineStr">
        <is>
          <t>Agree fuel sales location versus consumption/corridor. Do not… [N066]</t>
        </is>
      </c>
      <c r="F26" s="119" t="n"/>
      <c r="G26" s="119" t="n"/>
      <c r="H26" s="119" t="n"/>
      <c r="I26" s="119" t="n"/>
      <c r="J26" s="119" t="n"/>
      <c r="K26" s="119" t="n"/>
      <c r="L26" s="119" t="n"/>
      <c r="M26" s="119" t="n"/>
      <c r="N26" s="119" t="n"/>
      <c r="O26" s="119" t="n"/>
      <c r="P26" s="119" t="n"/>
      <c r="Q26" s="119" t="n"/>
      <c r="R26" s="119" t="n"/>
      <c r="S26" s="119"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30" customHeight="1">
      <c r="A28" s="3" t="inlineStr">
        <is>
          <t>Source</t>
        </is>
      </c>
      <c r="B28" s="3" t="inlineStr">
        <is>
          <t>URL</t>
        </is>
      </c>
      <c r="C28" s="3" t="inlineStr">
        <is>
          <t>Source</t>
        </is>
      </c>
      <c r="D28" s="121" t="n"/>
      <c r="E28" s="3" t="inlineStr">
        <is>
          <t>https://github.com/Africa-International-Advisors/liquid_fuels_mode… [N067]</t>
        </is>
      </c>
      <c r="F28" s="122" t="n"/>
      <c r="G28" s="122" t="n"/>
      <c r="H28" s="122" t="n"/>
      <c r="I28" s="122" t="n"/>
      <c r="J28" s="122" t="n"/>
      <c r="K28" s="122" t="n"/>
      <c r="L28" s="122" t="n"/>
      <c r="M28" s="122" t="n"/>
      <c r="N28" s="122" t="n"/>
      <c r="O28" s="122" t="n"/>
      <c r="P28" s="122" t="n"/>
      <c r="Q28" s="122" t="n"/>
      <c r="R28" s="122" t="n"/>
      <c r="S28" s="122" t="n"/>
      <c r="T28" s="3" t="n"/>
      <c r="U28" s="3" t="n"/>
      <c r="V28" s="3" t="n"/>
    </row>
    <row r="29" ht="8" customHeight="1">
      <c r="A29" s="3" t="n"/>
      <c r="B29" s="3" t="n"/>
      <c r="C29" s="3" t="n"/>
      <c r="D29" s="3" t="n"/>
      <c r="E29" s="3" t="n"/>
      <c r="F29" s="6" t="n"/>
      <c r="G29" s="6" t="n"/>
      <c r="H29" s="6" t="n"/>
      <c r="I29" s="6" t="n"/>
      <c r="J29" s="6" t="n"/>
      <c r="K29" s="6" t="n"/>
      <c r="L29" s="6" t="n"/>
      <c r="M29" s="6" t="n"/>
      <c r="N29" s="6" t="n"/>
      <c r="O29" s="6" t="n"/>
      <c r="P29" s="6" t="n"/>
      <c r="Q29" s="6" t="n"/>
      <c r="R29" s="6" t="n"/>
      <c r="S29" s="6" t="n"/>
      <c r="T29" s="3" t="n"/>
      <c r="U29" s="3" t="n"/>
      <c r="V29" s="3" t="n"/>
    </row>
    <row r="30" ht="28" customHeight="1">
      <c r="A30" s="12" t="inlineStr">
        <is>
          <t>Freight electrification: current setting and proposed replacement</t>
        </is>
      </c>
      <c r="B30" s="11" t="n"/>
      <c r="C30" s="11" t="n"/>
      <c r="D30" s="11" t="n"/>
      <c r="E30" s="11" t="n"/>
      <c r="F30" s="25" t="n"/>
      <c r="G30" s="25" t="n"/>
      <c r="H30" s="25" t="n"/>
      <c r="I30" s="25" t="n"/>
      <c r="J30" s="25" t="n"/>
      <c r="K30" s="25" t="n"/>
      <c r="L30" s="25" t="n"/>
      <c r="M30" s="25" t="n"/>
      <c r="N30" s="25" t="n"/>
      <c r="O30" s="25" t="n"/>
      <c r="P30" s="25" t="n"/>
      <c r="Q30" s="25" t="n"/>
      <c r="R30" s="25" t="n"/>
      <c r="S30" s="25" t="n"/>
      <c r="T30" s="3" t="n"/>
      <c r="U30" s="3" t="n"/>
      <c r="V30" s="3" t="n"/>
    </row>
    <row r="31" ht="30" customHeight="1">
      <c r="A31" s="16" t="inlineStr">
        <is>
          <t>Current common EV share of new sales</t>
        </is>
      </c>
      <c r="B31" s="16" t="inlineStr">
        <is>
          <t>share</t>
        </is>
      </c>
      <c r="C31" s="16" t="inlineStr">
        <is>
          <t>Engine output</t>
        </is>
      </c>
      <c r="D31" s="129" t="n"/>
      <c r="E31" s="16" t="inlineStr">
        <is>
          <t>Existing engine curve applied to HCV as well as other classes.… [N068]</t>
        </is>
      </c>
      <c r="F31" s="128">
        <f>IF(ISNUMBER('Model run'!F29),'Model run'!F29,"")</f>
        <v/>
      </c>
      <c r="G31" s="128">
        <f>IF(ISNUMBER('Model run'!G29),'Model run'!G29,"")</f>
        <v/>
      </c>
      <c r="H31" s="128">
        <f>IF(ISNUMBER('Model run'!H29),'Model run'!H29,"")</f>
        <v/>
      </c>
      <c r="I31" s="128">
        <f>IF(ISNUMBER('Model run'!I29),'Model run'!I29,"")</f>
        <v/>
      </c>
      <c r="J31" s="128">
        <f>IF(ISNUMBER('Model run'!J29),'Model run'!J29,"")</f>
        <v/>
      </c>
      <c r="K31" s="128">
        <f>IF(ISNUMBER('Model run'!K29),'Model run'!K29,"")</f>
        <v/>
      </c>
      <c r="L31" s="128">
        <f>IF(ISNUMBER('Model run'!L29),'Model run'!L29,"")</f>
        <v/>
      </c>
      <c r="M31" s="128">
        <f>IF(ISNUMBER('Model run'!M29),'Model run'!M29,"")</f>
        <v/>
      </c>
      <c r="N31" s="128">
        <f>IF(ISNUMBER('Model run'!N29),'Model run'!N29,"")</f>
        <v/>
      </c>
      <c r="O31" s="128">
        <f>IF(ISNUMBER('Model run'!O29),'Model run'!O29,"")</f>
        <v/>
      </c>
      <c r="P31" s="128">
        <f>IF(ISNUMBER('Model run'!P29),'Model run'!P29,"")</f>
        <v/>
      </c>
      <c r="Q31" s="128">
        <f>IF(ISNUMBER('Model run'!Q29),'Model run'!Q29,"")</f>
        <v/>
      </c>
      <c r="R31" s="128">
        <f>IF(ISNUMBER('Model run'!R29),'Model run'!R29,"")</f>
        <v/>
      </c>
      <c r="S31" s="128">
        <f>IF(ISNUMBER('Model run'!S29),'Model run'!S29,"")</f>
        <v/>
      </c>
      <c r="T31" s="3" t="n"/>
      <c r="U31" s="3" t="n"/>
      <c r="V31" s="3" t="n"/>
    </row>
    <row r="32" ht="30" customHeight="1">
      <c r="A32" s="3" t="inlineStr">
        <is>
          <t>Truck BEV share of new sales</t>
        </is>
      </c>
      <c r="B32" s="3" t="inlineStr">
        <is>
          <t>share</t>
        </is>
      </c>
      <c r="C32" s="3" t="inlineStr">
        <is>
          <t>Workshop input</t>
        </is>
      </c>
      <c r="D32" s="130" t="n"/>
      <c r="E32" s="10" t="inlineStr">
        <is>
          <t>Separate light delivery, regional and long-haul cohorts. Use… [N069]</t>
        </is>
      </c>
      <c r="F32" s="131" t="n"/>
      <c r="G32" s="131" t="n"/>
      <c r="H32" s="131" t="n"/>
      <c r="I32" s="131" t="n"/>
      <c r="J32" s="131" t="n"/>
      <c r="K32" s="131" t="n"/>
      <c r="L32" s="131" t="n"/>
      <c r="M32" s="131" t="n"/>
      <c r="N32" s="131" t="n"/>
      <c r="O32" s="131" t="n"/>
      <c r="P32" s="131" t="n"/>
      <c r="Q32" s="131" t="n"/>
      <c r="R32" s="131" t="n"/>
      <c r="S32" s="131" t="n"/>
      <c r="T32" s="3" t="n"/>
      <c r="U32" s="3" t="n"/>
      <c r="V32" s="3" t="n"/>
    </row>
    <row r="33" ht="30" customHeight="1">
      <c r="A33" s="3" t="inlineStr">
        <is>
          <t>Truck hybrid / PHEV new-sales share</t>
        </is>
      </c>
      <c r="B33" s="3" t="inlineStr">
        <is>
          <t>share</t>
        </is>
      </c>
      <c r="C33" s="3" t="inlineStr">
        <is>
          <t>Workshop input</t>
        </is>
      </c>
      <c r="D33" s="130" t="n"/>
      <c r="E33" s="10" t="inlineStr">
        <is>
          <t>Separate from BEVs. Record residual diesel use; PHEV… [N070]</t>
        </is>
      </c>
      <c r="F33" s="131" t="n"/>
      <c r="G33" s="131" t="n"/>
      <c r="H33" s="131" t="n"/>
      <c r="I33" s="131" t="n"/>
      <c r="J33" s="131" t="n"/>
      <c r="K33" s="131" t="n"/>
      <c r="L33" s="131" t="n"/>
      <c r="M33" s="131" t="n"/>
      <c r="N33" s="131" t="n"/>
      <c r="O33" s="131" t="n"/>
      <c r="P33" s="131" t="n"/>
      <c r="Q33" s="131" t="n"/>
      <c r="R33" s="131" t="n"/>
      <c r="S33" s="131" t="n"/>
      <c r="T33" s="3" t="n"/>
      <c r="U33" s="3" t="n"/>
      <c r="V33" s="3" t="n"/>
    </row>
    <row r="34" ht="30" customHeight="1">
      <c r="A34" s="3" t="inlineStr">
        <is>
          <t>Opening fleet and survival by drivetrain</t>
        </is>
      </c>
      <c r="B34" s="3" t="inlineStr">
        <is>
          <t>vehicles / survival</t>
        </is>
      </c>
      <c r="C34" s="3" t="inlineStr">
        <is>
          <t>Workshop input</t>
        </is>
      </c>
      <c r="D34" s="118" t="n"/>
      <c r="E34" s="10" t="inlineStr">
        <is>
          <t>New-sales shares become stock through cohort additions and… [N071]</t>
        </is>
      </c>
      <c r="F34" s="119" t="n"/>
      <c r="G34" s="119" t="n"/>
      <c r="H34" s="119" t="n"/>
      <c r="I34" s="119" t="n"/>
      <c r="J34" s="119" t="n"/>
      <c r="K34" s="119" t="n"/>
      <c r="L34" s="119" t="n"/>
      <c r="M34" s="119" t="n"/>
      <c r="N34" s="119" t="n"/>
      <c r="O34" s="119" t="n"/>
      <c r="P34" s="119" t="n"/>
      <c r="Q34" s="119" t="n"/>
      <c r="R34" s="119" t="n"/>
      <c r="S34" s="119" t="n"/>
      <c r="T34" s="3" t="n"/>
      <c r="U34" s="3" t="n"/>
      <c r="V34" s="3" t="n"/>
    </row>
    <row r="35" ht="30" customHeight="1">
      <c r="A35" s="3" t="inlineStr">
        <is>
          <t>Mileage by drivetrain / duty cycle</t>
        </is>
      </c>
      <c r="B35" s="3" t="inlineStr">
        <is>
          <t>km/vehicle/year</t>
        </is>
      </c>
      <c r="C35" s="3" t="inlineStr">
        <is>
          <t>Workshop input</t>
        </is>
      </c>
      <c r="D35" s="118" t="n"/>
      <c r="E35" s="10" t="inlineStr">
        <is>
          <t>Electric and diesel trucks can perform different annual work. Use… [N072]</t>
        </is>
      </c>
      <c r="F35" s="119" t="n"/>
      <c r="G35" s="119" t="n"/>
      <c r="H35" s="119" t="n"/>
      <c r="I35" s="119" t="n"/>
      <c r="J35" s="119" t="n"/>
      <c r="K35" s="119" t="n"/>
      <c r="L35" s="119" t="n"/>
      <c r="M35" s="119" t="n"/>
      <c r="N35" s="119" t="n"/>
      <c r="O35" s="119" t="n"/>
      <c r="P35" s="119" t="n"/>
      <c r="Q35" s="119" t="n"/>
      <c r="R35" s="119" t="n"/>
      <c r="S35" s="119" t="n"/>
      <c r="T35" s="3" t="n"/>
      <c r="U35" s="3" t="n"/>
      <c r="V35" s="3" t="n"/>
    </row>
    <row r="36" ht="30" customHeight="1">
      <c r="A36" s="3" t="inlineStr">
        <is>
          <t>Truck electricity intensity</t>
        </is>
      </c>
      <c r="B36" s="3" t="inlineStr">
        <is>
          <t>kWh/km</t>
        </is>
      </c>
      <c r="C36" s="3" t="inlineStr">
        <is>
          <t>Workshop input</t>
        </is>
      </c>
      <c r="D36" s="118" t="n"/>
      <c r="E36" s="10" t="inlineStr">
        <is>
          <t>Optional electricity requirement and charging-feasibility check.… [N073]</t>
        </is>
      </c>
      <c r="F36" s="119" t="n"/>
      <c r="G36" s="119" t="n"/>
      <c r="H36" s="119" t="n"/>
      <c r="I36" s="119" t="n"/>
      <c r="J36" s="119" t="n"/>
      <c r="K36" s="119" t="n"/>
      <c r="L36" s="119" t="n"/>
      <c r="M36" s="119" t="n"/>
      <c r="N36" s="119" t="n"/>
      <c r="O36" s="119" t="n"/>
      <c r="P36" s="119" t="n"/>
      <c r="Q36" s="119" t="n"/>
      <c r="R36" s="119" t="n"/>
      <c r="S36" s="119" t="n"/>
      <c r="T36" s="3" t="n"/>
      <c r="U36" s="3" t="n"/>
      <c r="V36" s="3" t="n"/>
    </row>
    <row r="37" ht="30" customHeight="1">
      <c r="A37" s="3" t="inlineStr">
        <is>
          <t>Charging and operating constraints</t>
        </is>
      </c>
      <c r="B37" s="3" t="inlineStr">
        <is>
          <t>eligibility / timing</t>
        </is>
      </c>
      <c r="C37" s="3" t="inlineStr">
        <is>
          <t>Workshop input</t>
        </is>
      </c>
      <c r="D37" s="118" t="n"/>
      <c r="E37" s="10" t="inlineStr">
        <is>
          <t>Depot/corridor access, charging power, dwell time, grid… [N074]</t>
        </is>
      </c>
      <c r="F37" s="119" t="n"/>
      <c r="G37" s="119" t="n"/>
      <c r="H37" s="119" t="n"/>
      <c r="I37" s="119" t="n"/>
      <c r="J37" s="119" t="n"/>
      <c r="K37" s="119" t="n"/>
      <c r="L37" s="119" t="n"/>
      <c r="M37" s="119" t="n"/>
      <c r="N37" s="119" t="n"/>
      <c r="O37" s="119" t="n"/>
      <c r="P37" s="119" t="n"/>
      <c r="Q37" s="119" t="n"/>
      <c r="R37" s="119" t="n"/>
      <c r="S37" s="119" t="n"/>
      <c r="T37" s="3" t="n"/>
      <c r="U37" s="3" t="n"/>
      <c r="V37" s="3" t="n"/>
    </row>
    <row r="38" ht="30" customHeight="1">
      <c r="A38" s="3" t="inlineStr">
        <is>
          <t>Electric freight share of road work</t>
        </is>
      </c>
      <c r="B38" s="3" t="inlineStr">
        <is>
          <t>share of tonne-km</t>
        </is>
      </c>
      <c r="C38" s="3" t="inlineStr">
        <is>
          <t>Proposed output</t>
        </is>
      </c>
      <c r="D38" s="121" t="n"/>
      <c r="E38" s="3" t="inlineStr">
        <is>
          <t>For tonne-km method: derive consistent work share from drivetrain… [N075]</t>
        </is>
      </c>
      <c r="F38" s="122" t="n"/>
      <c r="G38" s="122" t="n"/>
      <c r="H38" s="122" t="n"/>
      <c r="I38" s="122" t="n"/>
      <c r="J38" s="122" t="n"/>
      <c r="K38" s="122" t="n"/>
      <c r="L38" s="122" t="n"/>
      <c r="M38" s="122" t="n"/>
      <c r="N38" s="122" t="n"/>
      <c r="O38" s="122" t="n"/>
      <c r="P38" s="122" t="n"/>
      <c r="Q38" s="122" t="n"/>
      <c r="R38" s="122" t="n"/>
      <c r="S38" s="122" t="n"/>
      <c r="T38" s="3" t="n"/>
      <c r="U38" s="3" t="n"/>
      <c r="V38" s="3" t="n"/>
    </row>
    <row r="39" ht="30" customHeight="1">
      <c r="A39" s="3" t="inlineStr">
        <is>
          <t>Truck diesel demand after transition</t>
        </is>
      </c>
      <c r="B39" s="3" t="inlineStr">
        <is>
          <t>million L/year</t>
        </is>
      </c>
      <c r="C39" s="3" t="inlineStr">
        <is>
          <t>Proposed output</t>
        </is>
      </c>
      <c r="D39" s="121" t="n"/>
      <c r="E39" s="3" t="inlineStr">
        <is>
          <t>Fleet method: sum diesel/hybrid cohort vehicles × km × L/100 km /… [N076]</t>
        </is>
      </c>
      <c r="F39" s="122" t="n"/>
      <c r="G39" s="122" t="n"/>
      <c r="H39" s="122" t="n"/>
      <c r="I39" s="122" t="n"/>
      <c r="J39" s="122" t="n"/>
      <c r="K39" s="122" t="n"/>
      <c r="L39" s="122" t="n"/>
      <c r="M39" s="122" t="n"/>
      <c r="N39" s="122" t="n"/>
      <c r="O39" s="122" t="n"/>
      <c r="P39" s="122" t="n"/>
      <c r="Q39" s="122" t="n"/>
      <c r="R39" s="122" t="n"/>
      <c r="S39" s="122" t="n"/>
      <c r="T39" s="3" t="n"/>
      <c r="U39" s="3" t="n"/>
      <c r="V39" s="3" t="n"/>
    </row>
    <row r="40" ht="30" customHeight="1">
      <c r="A40" s="3" t="inlineStr">
        <is>
          <t>Rail and electrification interaction</t>
        </is>
      </c>
      <c r="B40" s="3" t="inlineStr">
        <is>
          <t>decision</t>
        </is>
      </c>
      <c r="C40" s="3" t="inlineStr">
        <is>
          <t>Workshop input</t>
        </is>
      </c>
      <c r="D40" s="118" t="n"/>
      <c r="E40" s="10" t="inlineStr">
        <is>
          <t>Rail diversion first defines remaining road work. Drivetrain… [N077]</t>
        </is>
      </c>
      <c r="F40" s="119" t="n"/>
      <c r="G40" s="119" t="n"/>
      <c r="H40" s="119" t="n"/>
      <c r="I40" s="119" t="n"/>
      <c r="J40" s="119" t="n"/>
      <c r="K40" s="119" t="n"/>
      <c r="L40" s="119" t="n"/>
      <c r="M40" s="119" t="n"/>
      <c r="N40" s="119" t="n"/>
      <c r="O40" s="119" t="n"/>
      <c r="P40" s="119" t="n"/>
      <c r="Q40" s="119" t="n"/>
      <c r="R40" s="119" t="n"/>
      <c r="S40" s="119" t="n"/>
      <c r="T40" s="3" t="n"/>
      <c r="U40" s="3" t="n"/>
      <c r="V40" s="3" t="n"/>
    </row>
    <row r="41" ht="30" customHeight="1">
      <c r="A41" s="3" t="inlineStr">
        <is>
          <t>Province / corridor treatment</t>
        </is>
      </c>
      <c r="B41" s="3" t="inlineStr">
        <is>
          <t>decision</t>
        </is>
      </c>
      <c r="C41" s="3" t="inlineStr">
        <is>
          <t>Workshop input</t>
        </is>
      </c>
      <c r="D41" s="118" t="n"/>
      <c r="E41" s="10" t="inlineStr">
        <is>
          <t>Electrify feasible routes/depot fleets first; reconcile… [N078]</t>
        </is>
      </c>
      <c r="F41" s="119" t="n"/>
      <c r="G41" s="119" t="n"/>
      <c r="H41" s="119" t="n"/>
      <c r="I41" s="119" t="n"/>
      <c r="J41" s="119" t="n"/>
      <c r="K41" s="119" t="n"/>
      <c r="L41" s="119" t="n"/>
      <c r="M41" s="119" t="n"/>
      <c r="N41" s="119" t="n"/>
      <c r="O41" s="119" t="n"/>
      <c r="P41" s="119" t="n"/>
      <c r="Q41" s="119" t="n"/>
      <c r="R41" s="119" t="n"/>
      <c r="S41" s="119"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30" customHeight="1">
      <c r="A43" s="3" t="inlineStr">
        <is>
          <t>H/M/L brackets</t>
        </is>
      </c>
      <c r="B43" s="3" t="inlineStr">
        <is>
          <t>decision</t>
        </is>
      </c>
      <c r="C43" s="3" t="inlineStr">
        <is>
          <t>Workshop input</t>
        </is>
      </c>
      <c r="D43" s="118" t="n"/>
      <c r="E43" s="10" t="inlineStr">
        <is>
          <t>Set truck BEV shares, hybrid treatment and rollout dates by duty… [N079]</t>
        </is>
      </c>
      <c r="F43" s="119" t="n"/>
      <c r="G43" s="119" t="n"/>
      <c r="H43" s="119" t="n"/>
      <c r="I43" s="119" t="n"/>
      <c r="J43" s="119" t="n"/>
      <c r="K43" s="119" t="n"/>
      <c r="L43" s="119" t="n"/>
      <c r="M43" s="119" t="n"/>
      <c r="N43" s="119" t="n"/>
      <c r="O43" s="119" t="n"/>
      <c r="P43" s="119" t="n"/>
      <c r="Q43" s="119" t="n"/>
      <c r="R43" s="119" t="n"/>
      <c r="S43" s="119"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30" customHeight="1">
      <c r="A45" s="3" t="inlineStr">
        <is>
          <t>Current curve source</t>
        </is>
      </c>
      <c r="B45" s="3" t="inlineStr">
        <is>
          <t>URL</t>
        </is>
      </c>
      <c r="C45" s="3" t="inlineStr">
        <is>
          <t>Source</t>
        </is>
      </c>
      <c r="D45" s="121" t="n"/>
      <c r="E45" s="3" t="inlineStr">
        <is>
          <t>https://github.com/Africa-International-Advisors/liquid_fuels_mode… [N080]</t>
        </is>
      </c>
      <c r="F45" s="122" t="n"/>
      <c r="G45" s="122" t="n"/>
      <c r="H45" s="122" t="n"/>
      <c r="I45" s="122" t="n"/>
      <c r="J45" s="122" t="n"/>
      <c r="K45" s="122" t="n"/>
      <c r="L45" s="122" t="n"/>
      <c r="M45" s="122" t="n"/>
      <c r="N45" s="122" t="n"/>
      <c r="O45" s="122" t="n"/>
      <c r="P45" s="122" t="n"/>
      <c r="Q45" s="122" t="n"/>
      <c r="R45" s="122" t="n"/>
      <c r="S45" s="122"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28" customHeight="1">
      <c r="A47" s="12" t="inlineStr">
        <is>
          <t>Available freight evidence: activity is not yet calibrated to litres</t>
        </is>
      </c>
      <c r="B47" s="11" t="n"/>
      <c r="C47" s="11" t="n"/>
      <c r="D47" s="11" t="n"/>
      <c r="E47" s="11" t="n"/>
      <c r="F47" s="25" t="n"/>
      <c r="G47" s="25" t="n"/>
      <c r="H47" s="25" t="n"/>
      <c r="I47" s="25" t="n"/>
      <c r="J47" s="25" t="n"/>
      <c r="K47" s="25" t="n"/>
      <c r="L47" s="25" t="n"/>
      <c r="M47" s="25" t="n"/>
      <c r="N47" s="25" t="n"/>
      <c r="O47" s="25" t="n"/>
      <c r="P47" s="25" t="n"/>
      <c r="Q47" s="25" t="n"/>
      <c r="R47" s="25" t="n"/>
      <c r="S47" s="25" t="n"/>
      <c r="T47" s="11" t="n"/>
      <c r="U47" s="11" t="n"/>
      <c r="V47" s="11" t="n"/>
    </row>
    <row r="48" ht="30" customHeight="1">
      <c r="A48" s="65" t="inlineStr">
        <is>
          <t>Medium/heavy commercial new sales</t>
        </is>
      </c>
      <c r="B48" s="65" t="inlineStr">
        <is>
          <t>vehicles/year</t>
        </is>
      </c>
      <c r="C48" s="65" t="inlineStr">
        <is>
          <t>Staged observation</t>
        </is>
      </c>
      <c r="D48" s="114">
        <f>IF(ISNUMBER('Evidence'!D15),'Evidence'!D15,"")</f>
        <v/>
      </c>
      <c r="E48" s="65" t="inlineStr">
        <is>
          <t>NAAMSA actual new sales. Published 2026/27 projections excluded… [N081]</t>
        </is>
      </c>
      <c r="F48" s="115">
        <f>IF(ISNUMBER('Evidence'!F15),'Evidence'!F15,"")</f>
        <v/>
      </c>
      <c r="G48" s="115">
        <f>IF(ISNUMBER('Evidence'!G15),'Evidence'!G15,"")</f>
        <v/>
      </c>
      <c r="H48" s="115">
        <f>IF(ISNUMBER('Evidence'!H15),'Evidence'!H15,"")</f>
        <v/>
      </c>
      <c r="I48" s="115">
        <f>IF(ISNUMBER('Evidence'!I15),'Evidence'!I15,"")</f>
        <v/>
      </c>
      <c r="J48" s="115">
        <f>IF(ISNUMBER('Evidence'!J15),'Evidence'!J15,"")</f>
        <v/>
      </c>
      <c r="K48" s="115">
        <f>IF(ISNUMBER('Evidence'!K15),'Evidence'!K15,"")</f>
        <v/>
      </c>
      <c r="L48" s="115">
        <f>IF(ISNUMBER('Evidence'!L15),'Evidence'!L15,"")</f>
        <v/>
      </c>
      <c r="M48" s="115">
        <f>IF(ISNUMBER('Evidence'!M15),'Evidence'!M15,"")</f>
        <v/>
      </c>
      <c r="N48" s="115">
        <f>IF(ISNUMBER('Evidence'!N15),'Evidence'!N15,"")</f>
        <v/>
      </c>
      <c r="O48" s="115">
        <f>IF(ISNUMBER('Evidence'!O15),'Evidence'!O15,"")</f>
        <v/>
      </c>
      <c r="P48" s="115">
        <f>IF(ISNUMBER('Evidence'!P15),'Evidence'!P15,"")</f>
        <v/>
      </c>
      <c r="Q48" s="115">
        <f>IF(ISNUMBER('Evidence'!Q15),'Evidence'!Q15,"")</f>
        <v/>
      </c>
      <c r="R48" s="115">
        <f>IF(ISNUMBER('Evidence'!R15),'Evidence'!R15,"")</f>
        <v/>
      </c>
      <c r="S48" s="115">
        <f>IF(ISNUMBER('Evidence'!S15),'Evidence'!S15,"")</f>
        <v/>
      </c>
      <c r="T48" s="3" t="inlineStr">
        <is>
          <t>Unreviewed source extract; annual cells contain… [N082]</t>
        </is>
      </c>
      <c r="U48" s="3" t="inlineStr">
        <is>
          <t>Evidence row 15;… [N083]</t>
        </is>
      </c>
      <c r="V48" s="3" t="inlineStr">
        <is>
          <t>G04: align medium/heavy sales with HCV engine and… [N084]</t>
        </is>
      </c>
    </row>
    <row r="49" ht="30" customHeight="1">
      <c r="A49" s="65" t="inlineStr">
        <is>
          <t>Registered trucks, all drivetrains</t>
        </is>
      </c>
      <c r="B49" s="65" t="inlineStr">
        <is>
          <t>vehicles</t>
        </is>
      </c>
      <c r="C49" s="65" t="inlineStr">
        <is>
          <t>Staged observation</t>
        </is>
      </c>
      <c r="D49" s="114">
        <f>IF(ISNUMBER('Evidence'!D22),'Evidence'!D22,"")</f>
        <v/>
      </c>
      <c r="E49" s="65" t="inlineStr">
        <is>
          <t>eNaTIS December snapshots; latest June 2026 kept separately. No… [N085]</t>
        </is>
      </c>
      <c r="F49" s="115">
        <f>IF(ISNUMBER('Evidence'!F22),'Evidence'!F22,"")</f>
        <v/>
      </c>
      <c r="G49" s="115">
        <f>IF(ISNUMBER('Evidence'!G22),'Evidence'!G22,"")</f>
        <v/>
      </c>
      <c r="H49" s="115">
        <f>IF(ISNUMBER('Evidence'!H22),'Evidence'!H22,"")</f>
        <v/>
      </c>
      <c r="I49" s="115">
        <f>IF(ISNUMBER('Evidence'!I22),'Evidence'!I22,"")</f>
        <v/>
      </c>
      <c r="J49" s="115">
        <f>IF(ISNUMBER('Evidence'!J22),'Evidence'!J22,"")</f>
        <v/>
      </c>
      <c r="K49" s="115">
        <f>IF(ISNUMBER('Evidence'!K22),'Evidence'!K22,"")</f>
        <v/>
      </c>
      <c r="L49" s="115">
        <f>IF(ISNUMBER('Evidence'!L22),'Evidence'!L22,"")</f>
        <v/>
      </c>
      <c r="M49" s="115">
        <f>IF(ISNUMBER('Evidence'!M22),'Evidence'!M22,"")</f>
        <v/>
      </c>
      <c r="N49" s="115">
        <f>IF(ISNUMBER('Evidence'!N22),'Evidence'!N22,"")</f>
        <v/>
      </c>
      <c r="O49" s="115">
        <f>IF(ISNUMBER('Evidence'!O22),'Evidence'!O22,"")</f>
        <v/>
      </c>
      <c r="P49" s="115">
        <f>IF(ISNUMBER('Evidence'!P22),'Evidence'!P22,"")</f>
        <v/>
      </c>
      <c r="Q49" s="115">
        <f>IF(ISNUMBER('Evidence'!Q22),'Evidence'!Q22,"")</f>
        <v/>
      </c>
      <c r="R49" s="115">
        <f>IF(ISNUMBER('Evidence'!R22),'Evidence'!R22,"")</f>
        <v/>
      </c>
      <c r="S49" s="115">
        <f>IF(ISNUMBER('Evidence'!S22),'Evidence'!S22,"")</f>
        <v/>
      </c>
      <c r="T49" s="3" t="inlineStr">
        <is>
          <t>Unreviewed source extract; annual cells contain… [N086]</t>
        </is>
      </c>
      <c r="U49" s="3" t="inlineStr">
        <is>
          <t>Evidence row 22;… [N087]</t>
        </is>
      </c>
      <c r="V49" s="3" t="inlineStr">
        <is>
          <t>G04: reconcile vehicle definition, drivetrain and… [N088]</t>
        </is>
      </c>
    </row>
    <row r="50" ht="30" customHeight="1">
      <c r="A50" s="65" t="inlineStr">
        <is>
          <t>Road freight payload</t>
        </is>
      </c>
      <c r="B50" s="65" t="inlineStr">
        <is>
          <t>thousand tonnes</t>
        </is>
      </c>
      <c r="C50" s="65" t="inlineStr">
        <is>
          <t>Staged observation</t>
        </is>
      </c>
      <c r="D50" s="114">
        <f>IF(ISNUMBER('Evidence'!D32),'Evidence'!D32,"")</f>
        <v/>
      </c>
      <c r="E50" s="65" t="inlineStr">
        <is>
          <t>Complete calendar years only; 2026 Jan–Jul shown separately.… [N089]</t>
        </is>
      </c>
      <c r="F50" s="115">
        <f>IF(ISNUMBER('Evidence'!F32),'Evidence'!F32,"")</f>
        <v/>
      </c>
      <c r="G50" s="115">
        <f>IF(ISNUMBER('Evidence'!G32),'Evidence'!G32,"")</f>
        <v/>
      </c>
      <c r="H50" s="115">
        <f>IF(ISNUMBER('Evidence'!H32),'Evidence'!H32,"")</f>
        <v/>
      </c>
      <c r="I50" s="115">
        <f>IF(ISNUMBER('Evidence'!I32),'Evidence'!I32,"")</f>
        <v/>
      </c>
      <c r="J50" s="115">
        <f>IF(ISNUMBER('Evidence'!J32),'Evidence'!J32,"")</f>
        <v/>
      </c>
      <c r="K50" s="115">
        <f>IF(ISNUMBER('Evidence'!K32),'Evidence'!K32,"")</f>
        <v/>
      </c>
      <c r="L50" s="115">
        <f>IF(ISNUMBER('Evidence'!L32),'Evidence'!L32,"")</f>
        <v/>
      </c>
      <c r="M50" s="115">
        <f>IF(ISNUMBER('Evidence'!M32),'Evidence'!M32,"")</f>
        <v/>
      </c>
      <c r="N50" s="115">
        <f>IF(ISNUMBER('Evidence'!N32),'Evidence'!N32,"")</f>
        <v/>
      </c>
      <c r="O50" s="115">
        <f>IF(ISNUMBER('Evidence'!O32),'Evidence'!O32,"")</f>
        <v/>
      </c>
      <c r="P50" s="115">
        <f>IF(ISNUMBER('Evidence'!P32),'Evidence'!P32,"")</f>
        <v/>
      </c>
      <c r="Q50" s="115">
        <f>IF(ISNUMBER('Evidence'!Q32),'Evidence'!Q32,"")</f>
        <v/>
      </c>
      <c r="R50" s="115">
        <f>IF(ISNUMBER('Evidence'!R32),'Evidence'!R32,"")</f>
        <v/>
      </c>
      <c r="S50" s="115">
        <f>IF(ISNUMBER('Evidence'!S32),'Evidence'!S32,"")</f>
        <v/>
      </c>
      <c r="T50" s="3" t="inlineStr">
        <is>
          <t>Unreviewed source extract; annual cells contain… [N090]</t>
        </is>
      </c>
      <c r="U50" s="3" t="inlineStr">
        <is>
          <t>Evidence row 32;… [N091]</t>
        </is>
      </c>
      <c r="V50" s="3" t="inlineStr">
        <is>
          <t>G04: tonnes need distance/payload/empty-running… [N092]</t>
        </is>
      </c>
    </row>
    <row r="51" ht="30" customHeight="1">
      <c r="A51" s="65" t="inlineStr">
        <is>
          <t>Rail freight payload</t>
        </is>
      </c>
      <c r="B51" s="65" t="inlineStr">
        <is>
          <t>thousand tonnes</t>
        </is>
      </c>
      <c r="C51" s="65" t="inlineStr">
        <is>
          <t>Staged observation</t>
        </is>
      </c>
      <c r="D51" s="114">
        <f>IF(ISNUMBER('Evidence'!D33),'Evidence'!D33,"")</f>
        <v/>
      </c>
      <c r="E51" s="65" t="inlineStr">
        <is>
          <t>Complete calendar years only; 2026 Jan–Jul shown separately.… [N093]</t>
        </is>
      </c>
      <c r="F51" s="115">
        <f>IF(ISNUMBER('Evidence'!F33),'Evidence'!F33,"")</f>
        <v/>
      </c>
      <c r="G51" s="115">
        <f>IF(ISNUMBER('Evidence'!G33),'Evidence'!G33,"")</f>
        <v/>
      </c>
      <c r="H51" s="115">
        <f>IF(ISNUMBER('Evidence'!H33),'Evidence'!H33,"")</f>
        <v/>
      </c>
      <c r="I51" s="115">
        <f>IF(ISNUMBER('Evidence'!I33),'Evidence'!I33,"")</f>
        <v/>
      </c>
      <c r="J51" s="115">
        <f>IF(ISNUMBER('Evidence'!J33),'Evidence'!J33,"")</f>
        <v/>
      </c>
      <c r="K51" s="115">
        <f>IF(ISNUMBER('Evidence'!K33),'Evidence'!K33,"")</f>
        <v/>
      </c>
      <c r="L51" s="115">
        <f>IF(ISNUMBER('Evidence'!L33),'Evidence'!L33,"")</f>
        <v/>
      </c>
      <c r="M51" s="115">
        <f>IF(ISNUMBER('Evidence'!M33),'Evidence'!M33,"")</f>
        <v/>
      </c>
      <c r="N51" s="115">
        <f>IF(ISNUMBER('Evidence'!N33),'Evidence'!N33,"")</f>
        <v/>
      </c>
      <c r="O51" s="115">
        <f>IF(ISNUMBER('Evidence'!O33),'Evidence'!O33,"")</f>
        <v/>
      </c>
      <c r="P51" s="115">
        <f>IF(ISNUMBER('Evidence'!P33),'Evidence'!P33,"")</f>
        <v/>
      </c>
      <c r="Q51" s="115">
        <f>IF(ISNUMBER('Evidence'!Q33),'Evidence'!Q33,"")</f>
        <v/>
      </c>
      <c r="R51" s="115">
        <f>IF(ISNUMBER('Evidence'!R33),'Evidence'!R33,"")</f>
        <v/>
      </c>
      <c r="S51" s="115">
        <f>IF(ISNUMBER('Evidence'!S33),'Evidence'!S33,"")</f>
        <v/>
      </c>
      <c r="T51" s="3" t="inlineStr">
        <is>
          <t>Unreviewed source extract; annual cells contain… [N094]</t>
        </is>
      </c>
      <c r="U51" s="3" t="inlineStr">
        <is>
          <t>Evidence row 33;… [N095]</t>
        </is>
      </c>
      <c r="V51" s="3" t="inlineStr">
        <is>
          <t>G04: source feasible diversion by… [N096]</t>
        </is>
      </c>
    </row>
    <row r="52" ht="30" customHeight="1">
      <c r="A52" s="65" t="inlineStr">
        <is>
          <t>LCV new sales</t>
        </is>
      </c>
      <c r="B52" s="65" t="inlineStr">
        <is>
          <t>vehicles/year</t>
        </is>
      </c>
      <c r="C52" s="65" t="inlineStr">
        <is>
          <t>Staged observation</t>
        </is>
      </c>
      <c r="D52" s="114">
        <f>IF(ISNUMBER('Evidence'!D14),'Evidence'!D14,"")</f>
        <v/>
      </c>
      <c r="E52" s="65" t="inlineStr">
        <is>
          <t>NAAMSA actual new sales. Published 2026/27 projections excluded… [N097]</t>
        </is>
      </c>
      <c r="F52" s="115">
        <f>IF(ISNUMBER('Evidence'!F14),'Evidence'!F14,"")</f>
        <v/>
      </c>
      <c r="G52" s="115">
        <f>IF(ISNUMBER('Evidence'!G14),'Evidence'!G14,"")</f>
        <v/>
      </c>
      <c r="H52" s="115">
        <f>IF(ISNUMBER('Evidence'!H14),'Evidence'!H14,"")</f>
        <v/>
      </c>
      <c r="I52" s="115">
        <f>IF(ISNUMBER('Evidence'!I14),'Evidence'!I14,"")</f>
        <v/>
      </c>
      <c r="J52" s="115">
        <f>IF(ISNUMBER('Evidence'!J14),'Evidence'!J14,"")</f>
        <v/>
      </c>
      <c r="K52" s="115">
        <f>IF(ISNUMBER('Evidence'!K14),'Evidence'!K14,"")</f>
        <v/>
      </c>
      <c r="L52" s="115">
        <f>IF(ISNUMBER('Evidence'!L14),'Evidence'!L14,"")</f>
        <v/>
      </c>
      <c r="M52" s="115">
        <f>IF(ISNUMBER('Evidence'!M14),'Evidence'!M14,"")</f>
        <v/>
      </c>
      <c r="N52" s="115">
        <f>IF(ISNUMBER('Evidence'!N14),'Evidence'!N14,"")</f>
        <v/>
      </c>
      <c r="O52" s="115">
        <f>IF(ISNUMBER('Evidence'!O14),'Evidence'!O14,"")</f>
        <v/>
      </c>
      <c r="P52" s="115">
        <f>IF(ISNUMBER('Evidence'!P14),'Evidence'!P14,"")</f>
        <v/>
      </c>
      <c r="Q52" s="115">
        <f>IF(ISNUMBER('Evidence'!Q14),'Evidence'!Q14,"")</f>
        <v/>
      </c>
      <c r="R52" s="115">
        <f>IF(ISNUMBER('Evidence'!R14),'Evidence'!R14,"")</f>
        <v/>
      </c>
      <c r="S52" s="115">
        <f>IF(ISNUMBER('Evidence'!S14),'Evidence'!S14,"")</f>
        <v/>
      </c>
      <c r="T52" s="3" t="inlineStr">
        <is>
          <t>Unreviewed source extract; annual cells contain… [N098]</t>
        </is>
      </c>
      <c r="U52" s="3" t="inlineStr">
        <is>
          <t>Evidence row 14;… [N099]</t>
        </is>
      </c>
      <c r="V52" s="3" t="inlineStr">
        <is>
          <t>G04: determine freight versus passenger/other LCV work.</t>
        </is>
      </c>
    </row>
    <row r="53" ht="30" customHeight="1">
      <c r="A53" s="10" t="inlineStr">
        <is>
          <t>Truck-specific BEV sales / fleet</t>
        </is>
      </c>
      <c r="B53" s="10" t="inlineStr">
        <is>
          <t>vehicles or share</t>
        </is>
      </c>
      <c r="C53" s="10" t="inlineStr">
        <is>
          <t>Missing input</t>
        </is>
      </c>
      <c r="D53" s="118" t="n"/>
      <c r="E53" s="10" t="inlineStr">
        <is>
          <t>All-market NEV data exists on Petrol sheet; no truck-specific… [N100]</t>
        </is>
      </c>
      <c r="F53" s="119" t="n"/>
      <c r="G53" s="119" t="n"/>
      <c r="H53" s="119" t="n"/>
      <c r="I53" s="119" t="n"/>
      <c r="J53" s="119" t="n"/>
      <c r="K53" s="119" t="n"/>
      <c r="L53" s="119" t="n"/>
      <c r="M53" s="119" t="n"/>
      <c r="N53" s="119" t="n"/>
      <c r="O53" s="119" t="n"/>
      <c r="P53" s="119" t="n"/>
      <c r="Q53" s="119" t="n"/>
      <c r="R53" s="119" t="n"/>
      <c r="S53" s="119" t="n"/>
      <c r="T53" s="3" t="inlineStr">
        <is>
          <t>Current generic EV curve is shown in row 31.</t>
        </is>
      </c>
      <c r="U53" s="3" t="str"/>
      <c r="V53" s="3" t="inlineStr">
        <is>
          <t>G05: source truck registrations/sales, fleet… [N101]</t>
        </is>
      </c>
    </row>
    <row r="54" ht="8" customHeight="1">
      <c r="A54" s="102" t="n"/>
      <c r="B54" s="102" t="n"/>
      <c r="C54" s="102" t="n"/>
      <c r="D54" s="102" t="n"/>
      <c r="E54" s="102" t="n"/>
      <c r="F54" s="104" t="n"/>
      <c r="G54" s="104" t="n"/>
      <c r="H54" s="104" t="n"/>
      <c r="I54" s="104" t="n"/>
      <c r="J54" s="104" t="n"/>
      <c r="K54" s="104" t="n"/>
      <c r="L54" s="104" t="n"/>
      <c r="M54" s="104" t="n"/>
      <c r="N54" s="104" t="n"/>
      <c r="O54" s="104" t="n"/>
      <c r="P54" s="104" t="n"/>
      <c r="Q54" s="104" t="n"/>
      <c r="R54" s="104" t="n"/>
      <c r="S54" s="104" t="n"/>
      <c r="T54" s="3" t="n"/>
      <c r="U54" s="3" t="n"/>
      <c r="V54" s="3" t="n"/>
    </row>
    <row r="55" ht="30" customHeight="1">
      <c r="A55" s="16" t="inlineStr">
        <is>
          <t>Passenger diesel demand</t>
        </is>
      </c>
      <c r="B55" s="16" t="inlineStr">
        <is>
          <t>L/year</t>
        </is>
      </c>
      <c r="C55" s="16" t="inlineStr">
        <is>
          <t>Linked model output</t>
        </is>
      </c>
      <c r="D55" s="16" t="n"/>
      <c r="E55" s="16" t="inlineStr">
        <is>
          <t>Model run row 57; Python vehicle cohort result.</t>
        </is>
      </c>
      <c r="F55" s="117">
        <f>IF(ISNUMBER('Model run'!F57),'Model run'!F57,"")</f>
        <v/>
      </c>
      <c r="G55" s="117">
        <f>IF(ISNUMBER('Model run'!G57),'Model run'!G57,"")</f>
        <v/>
      </c>
      <c r="H55" s="117">
        <f>IF(ISNUMBER('Model run'!H57),'Model run'!H57,"")</f>
        <v/>
      </c>
      <c r="I55" s="117">
        <f>IF(ISNUMBER('Model run'!I57),'Model run'!I57,"")</f>
        <v/>
      </c>
      <c r="J55" s="117">
        <f>IF(ISNUMBER('Model run'!J57),'Model run'!J57,"")</f>
        <v/>
      </c>
      <c r="K55" s="117">
        <f>IF(ISNUMBER('Model run'!K57),'Model run'!K57,"")</f>
        <v/>
      </c>
      <c r="L55" s="117">
        <f>IF(ISNUMBER('Model run'!L57),'Model run'!L57,"")</f>
        <v/>
      </c>
      <c r="M55" s="117">
        <f>IF(ISNUMBER('Model run'!M57),'Model run'!M57,"")</f>
        <v/>
      </c>
      <c r="N55" s="117">
        <f>IF(ISNUMBER('Model run'!N57),'Model run'!N57,"")</f>
        <v/>
      </c>
      <c r="O55" s="117">
        <f>IF(ISNUMBER('Model run'!O57),'Model run'!O57,"")</f>
        <v/>
      </c>
      <c r="P55" s="117">
        <f>IF(ISNUMBER('Model run'!P57),'Model run'!P57,"")</f>
        <v/>
      </c>
      <c r="Q55" s="117">
        <f>IF(ISNUMBER('Model run'!Q57),'Model run'!Q57,"")</f>
        <v/>
      </c>
      <c r="R55" s="117">
        <f>IF(ISNUMBER('Model run'!R57),'Model run'!R57,"")</f>
        <v/>
      </c>
      <c r="S55" s="117">
        <f>IF(ISNUMBER('Model run'!S57),'Model run'!S57,"")</f>
        <v/>
      </c>
      <c r="T55" s="16" t="n"/>
      <c r="U55" s="16" t="n"/>
      <c r="V55" s="16" t="n"/>
    </row>
    <row r="56" ht="30" customHeight="1">
      <c r="A56" s="16" t="inlineStr">
        <is>
          <t>LCV diesel demand</t>
        </is>
      </c>
      <c r="B56" s="16" t="inlineStr">
        <is>
          <t>L/year</t>
        </is>
      </c>
      <c r="C56" s="16" t="inlineStr">
        <is>
          <t>Linked model output</t>
        </is>
      </c>
      <c r="D56" s="16" t="n"/>
      <c r="E56" s="16" t="inlineStr">
        <is>
          <t>Model run row 58; Python vehicle cohort result.</t>
        </is>
      </c>
      <c r="F56" s="117">
        <f>IF(ISNUMBER('Model run'!F58),'Model run'!F58,"")</f>
        <v/>
      </c>
      <c r="G56" s="117">
        <f>IF(ISNUMBER('Model run'!G58),'Model run'!G58,"")</f>
        <v/>
      </c>
      <c r="H56" s="117">
        <f>IF(ISNUMBER('Model run'!H58),'Model run'!H58,"")</f>
        <v/>
      </c>
      <c r="I56" s="117">
        <f>IF(ISNUMBER('Model run'!I58),'Model run'!I58,"")</f>
        <v/>
      </c>
      <c r="J56" s="117">
        <f>IF(ISNUMBER('Model run'!J58),'Model run'!J58,"")</f>
        <v/>
      </c>
      <c r="K56" s="117">
        <f>IF(ISNUMBER('Model run'!K58),'Model run'!K58,"")</f>
        <v/>
      </c>
      <c r="L56" s="117">
        <f>IF(ISNUMBER('Model run'!L58),'Model run'!L58,"")</f>
        <v/>
      </c>
      <c r="M56" s="117">
        <f>IF(ISNUMBER('Model run'!M58),'Model run'!M58,"")</f>
        <v/>
      </c>
      <c r="N56" s="117">
        <f>IF(ISNUMBER('Model run'!N58),'Model run'!N58,"")</f>
        <v/>
      </c>
      <c r="O56" s="117">
        <f>IF(ISNUMBER('Model run'!O58),'Model run'!O58,"")</f>
        <v/>
      </c>
      <c r="P56" s="117">
        <f>IF(ISNUMBER('Model run'!P58),'Model run'!P58,"")</f>
        <v/>
      </c>
      <c r="Q56" s="117">
        <f>IF(ISNUMBER('Model run'!Q58),'Model run'!Q58,"")</f>
        <v/>
      </c>
      <c r="R56" s="117">
        <f>IF(ISNUMBER('Model run'!R58),'Model run'!R58,"")</f>
        <v/>
      </c>
      <c r="S56" s="117">
        <f>IF(ISNUMBER('Model run'!S58),'Model run'!S58,"")</f>
        <v/>
      </c>
      <c r="T56" s="16" t="n"/>
      <c r="U56" s="16" t="n"/>
      <c r="V56" s="16" t="n"/>
    </row>
    <row r="57" ht="30" customHeight="1">
      <c r="A57" s="105" t="inlineStr">
        <is>
          <t>All road diesel</t>
        </is>
      </c>
      <c r="B57" s="105" t="inlineStr">
        <is>
          <t>million L/year</t>
        </is>
      </c>
      <c r="C57" s="105" t="inlineStr">
        <is>
          <t>Reporting formula</t>
        </is>
      </c>
      <c r="D57" s="105" t="n"/>
      <c r="E57" s="105" t="inlineStr">
        <is>
          <t>HCV + passenger + LCV; freight share within LCV remains unresolved.</t>
        </is>
      </c>
      <c r="F57" s="132">
        <f>IF(COUNT(F17,F55,F56)&lt;3,"",SUM(F17,F55,F56)/1000000)</f>
        <v/>
      </c>
      <c r="G57" s="132">
        <f>IF(COUNT(G17,G55,G56)&lt;3,"",SUM(G17,G55,G56)/1000000)</f>
        <v/>
      </c>
      <c r="H57" s="132">
        <f>IF(COUNT(H17,H55,H56)&lt;3,"",SUM(H17,H55,H56)/1000000)</f>
        <v/>
      </c>
      <c r="I57" s="132">
        <f>IF(COUNT(I17,I55,I56)&lt;3,"",SUM(I17,I55,I56)/1000000)</f>
        <v/>
      </c>
      <c r="J57" s="132">
        <f>IF(COUNT(J17,J55,J56)&lt;3,"",SUM(J17,J55,J56)/1000000)</f>
        <v/>
      </c>
      <c r="K57" s="132">
        <f>IF(COUNT(K17,K55,K56)&lt;3,"",SUM(K17,K55,K56)/1000000)</f>
        <v/>
      </c>
      <c r="L57" s="132">
        <f>IF(COUNT(L17,L55,L56)&lt;3,"",SUM(L17,L55,L56)/1000000)</f>
        <v/>
      </c>
      <c r="M57" s="132">
        <f>IF(COUNT(M17,M55,M56)&lt;3,"",SUM(M17,M55,M56)/1000000)</f>
        <v/>
      </c>
      <c r="N57" s="132">
        <f>IF(COUNT(N17,N55,N56)&lt;3,"",SUM(N17,N55,N56)/1000000)</f>
        <v/>
      </c>
      <c r="O57" s="132">
        <f>IF(COUNT(O17,O55,O56)&lt;3,"",SUM(O17,O55,O56)/1000000)</f>
        <v/>
      </c>
      <c r="P57" s="132">
        <f>IF(COUNT(P17,P55,P56)&lt;3,"",SUM(P17,P55,P56)/1000000)</f>
        <v/>
      </c>
      <c r="Q57" s="132">
        <f>IF(COUNT(Q17,Q55,Q56)&lt;3,"",SUM(Q17,Q55,Q56)/1000000)</f>
        <v/>
      </c>
      <c r="R57" s="132">
        <f>IF(COUNT(R17,R55,R56)&lt;3,"",SUM(R17,R55,R56)/1000000)</f>
        <v/>
      </c>
      <c r="S57" s="132">
        <f>IF(COUNT(S17,S55,S56)&lt;3,"",SUM(S17,S55,S56)/1000000)</f>
        <v/>
      </c>
      <c r="T57" s="16" t="n"/>
      <c r="U57" s="16" t="n"/>
      <c r="V57" s="16" t="n"/>
    </row>
    <row r="58" ht="8" customHeight="1">
      <c r="A58" s="102" t="n"/>
      <c r="B58" s="102" t="n"/>
      <c r="C58" s="102" t="n"/>
      <c r="D58" s="102" t="n"/>
      <c r="E58" s="102" t="n"/>
      <c r="F58" s="104" t="n"/>
      <c r="G58" s="104" t="n"/>
      <c r="H58" s="104" t="n"/>
      <c r="I58" s="104" t="n"/>
      <c r="J58" s="104" t="n"/>
      <c r="K58" s="104" t="n"/>
      <c r="L58" s="104" t="n"/>
      <c r="M58" s="104" t="n"/>
      <c r="N58" s="104" t="n"/>
      <c r="O58" s="104" t="n"/>
      <c r="P58" s="104" t="n"/>
      <c r="Q58" s="104" t="n"/>
      <c r="R58" s="104" t="n"/>
      <c r="S58" s="104" t="n"/>
      <c r="T58" s="3" t="n"/>
      <c r="U58" s="3" t="n"/>
      <c r="V58" s="3" t="n"/>
    </row>
    <row r="59" ht="8" customHeight="1">
      <c r="A59" s="102" t="n"/>
      <c r="B59" s="102" t="n"/>
      <c r="C59" s="102" t="n"/>
      <c r="D59" s="102" t="n"/>
      <c r="E59" s="102" t="n"/>
      <c r="F59" s="104" t="n"/>
      <c r="G59" s="104" t="n"/>
      <c r="H59" s="104" t="n"/>
      <c r="I59" s="104" t="n"/>
      <c r="J59" s="104" t="n"/>
      <c r="K59" s="104" t="n"/>
      <c r="L59" s="104" t="n"/>
      <c r="M59" s="104" t="n"/>
      <c r="N59" s="104" t="n"/>
      <c r="O59" s="104" t="n"/>
      <c r="P59" s="104" t="n"/>
      <c r="Q59" s="104" t="n"/>
      <c r="R59" s="104" t="n"/>
      <c r="S59" s="104" t="n"/>
      <c r="T59" s="3" t="n"/>
      <c r="U59" s="3" t="n"/>
      <c r="V59" s="3" t="n"/>
    </row>
    <row r="60" ht="8" customHeight="1">
      <c r="A60" s="102" t="n"/>
      <c r="B60" s="102" t="n"/>
      <c r="C60" s="102" t="n"/>
      <c r="D60" s="102" t="n"/>
      <c r="E60" s="102" t="n"/>
      <c r="F60" s="104" t="n"/>
      <c r="G60" s="104" t="n"/>
      <c r="H60" s="104" t="n"/>
      <c r="I60" s="104" t="n"/>
      <c r="J60" s="104" t="n"/>
      <c r="K60" s="104" t="n"/>
      <c r="L60" s="104" t="n"/>
      <c r="M60" s="104" t="n"/>
      <c r="N60" s="104" t="n"/>
      <c r="O60" s="104" t="n"/>
      <c r="P60" s="104" t="n"/>
      <c r="Q60" s="104" t="n"/>
      <c r="R60" s="104" t="n"/>
      <c r="S60" s="104" t="n"/>
      <c r="T60" s="3" t="n"/>
      <c r="U60" s="3" t="n"/>
      <c r="V60" s="3" t="n"/>
    </row>
    <row r="61" ht="8" customHeight="1">
      <c r="A61" s="102" t="n"/>
      <c r="B61" s="102" t="n"/>
      <c r="C61" s="102" t="n"/>
      <c r="D61" s="102" t="n"/>
      <c r="E61" s="102" t="n"/>
      <c r="F61" s="104" t="n"/>
      <c r="G61" s="104" t="n"/>
      <c r="H61" s="104" t="n"/>
      <c r="I61" s="104" t="n"/>
      <c r="J61" s="104" t="n"/>
      <c r="K61" s="104" t="n"/>
      <c r="L61" s="104" t="n"/>
      <c r="M61" s="104" t="n"/>
      <c r="N61" s="104" t="n"/>
      <c r="O61" s="104" t="n"/>
      <c r="P61" s="104" t="n"/>
      <c r="Q61" s="104" t="n"/>
      <c r="R61" s="104" t="n"/>
      <c r="S61" s="104" t="n"/>
      <c r="T61" s="3" t="n"/>
      <c r="U61" s="3" t="n"/>
      <c r="V61" s="3" t="n"/>
    </row>
    <row r="62" ht="8" customHeight="1">
      <c r="A62" s="102" t="n"/>
      <c r="B62" s="102" t="n"/>
      <c r="C62" s="102" t="n"/>
      <c r="D62" s="102" t="n"/>
      <c r="E62" s="102" t="n"/>
      <c r="F62" s="104" t="n"/>
      <c r="G62" s="104" t="n"/>
      <c r="H62" s="104" t="n"/>
      <c r="I62" s="104" t="n"/>
      <c r="J62" s="104" t="n"/>
      <c r="K62" s="104" t="n"/>
      <c r="L62" s="104" t="n"/>
      <c r="M62" s="104" t="n"/>
      <c r="N62" s="104" t="n"/>
      <c r="O62" s="104" t="n"/>
      <c r="P62" s="104" t="n"/>
      <c r="Q62" s="104" t="n"/>
      <c r="R62" s="104" t="n"/>
      <c r="S62" s="104" t="n"/>
      <c r="T62" s="3" t="n"/>
      <c r="U62" s="3" t="n"/>
      <c r="V62" s="3" t="n"/>
    </row>
    <row r="63" ht="8" customHeight="1">
      <c r="A63" s="102" t="n"/>
      <c r="B63" s="102" t="n"/>
      <c r="C63" s="102" t="n"/>
      <c r="D63" s="102" t="n"/>
      <c r="E63" s="102" t="n"/>
      <c r="F63" s="104" t="n"/>
      <c r="G63" s="104" t="n"/>
      <c r="H63" s="104" t="n"/>
      <c r="I63" s="104" t="n"/>
      <c r="J63" s="104" t="n"/>
      <c r="K63" s="104" t="n"/>
      <c r="L63" s="104" t="n"/>
      <c r="M63" s="104" t="n"/>
      <c r="N63" s="104" t="n"/>
      <c r="O63" s="104" t="n"/>
      <c r="P63" s="104" t="n"/>
      <c r="Q63" s="104" t="n"/>
      <c r="R63" s="104" t="n"/>
      <c r="S63" s="104" t="n"/>
      <c r="T63" s="3" t="n"/>
      <c r="U63" s="3" t="n"/>
      <c r="V63" s="3" t="n"/>
    </row>
    <row r="64" ht="8" customHeight="1">
      <c r="A64" s="102" t="n"/>
      <c r="B64" s="102" t="n"/>
      <c r="C64" s="102" t="n"/>
      <c r="D64" s="102" t="n"/>
      <c r="E64" s="102" t="n"/>
      <c r="F64" s="104" t="n"/>
      <c r="G64" s="104" t="n"/>
      <c r="H64" s="104" t="n"/>
      <c r="I64" s="104" t="n"/>
      <c r="J64" s="104" t="n"/>
      <c r="K64" s="104" t="n"/>
      <c r="L64" s="104" t="n"/>
      <c r="M64" s="104" t="n"/>
      <c r="N64" s="104" t="n"/>
      <c r="O64" s="104" t="n"/>
      <c r="P64" s="104" t="n"/>
      <c r="Q64" s="104" t="n"/>
      <c r="R64" s="104" t="n"/>
      <c r="S64" s="104" t="n"/>
      <c r="T64" s="3" t="n"/>
      <c r="U64" s="3" t="n"/>
      <c r="V64" s="3" t="n"/>
    </row>
    <row r="65" ht="8" customHeight="1">
      <c r="A65" s="102" t="n"/>
      <c r="B65" s="102" t="n"/>
      <c r="C65" s="102" t="n"/>
      <c r="D65" s="102" t="n"/>
      <c r="E65" s="102" t="n"/>
      <c r="F65" s="104" t="n"/>
      <c r="G65" s="104" t="n"/>
      <c r="H65" s="104" t="n"/>
      <c r="I65" s="104" t="n"/>
      <c r="J65" s="104" t="n"/>
      <c r="K65" s="104" t="n"/>
      <c r="L65" s="104" t="n"/>
      <c r="M65" s="104" t="n"/>
      <c r="N65" s="104" t="n"/>
      <c r="O65" s="104" t="n"/>
      <c r="P65" s="104" t="n"/>
      <c r="Q65" s="104" t="n"/>
      <c r="R65" s="104" t="n"/>
      <c r="S65" s="104" t="n"/>
      <c r="T65" s="3" t="n"/>
      <c r="U65" s="3" t="n"/>
      <c r="V65" s="3" t="n"/>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V45"/>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Agricultural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held method alongside proposed sector-activity method • No new inputs adopted.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held-method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Base-year demand</t>
        </is>
      </c>
      <c r="B6" s="3" t="inlineStr">
        <is>
          <t>L/year</t>
        </is>
      </c>
      <c r="C6" s="3" t="inlineStr">
        <is>
          <t>Scalar</t>
        </is>
      </c>
      <c r="D6" s="133" t="inlineStr">
        <is>
          <t>0.7e9</t>
        </is>
      </c>
      <c r="E6" s="3" t="inlineStr">
        <is>
          <t>Current registered placeholder, not a verified agricultural fuel baseline.</t>
        </is>
      </c>
      <c r="F6" s="134" t="n"/>
      <c r="G6" s="134" t="n"/>
      <c r="H6" s="134" t="n"/>
      <c r="I6" s="134" t="n"/>
      <c r="J6" s="134" t="n"/>
      <c r="K6" s="134" t="n"/>
      <c r="L6" s="134" t="n"/>
      <c r="M6" s="134" t="n"/>
      <c r="N6" s="134" t="n"/>
      <c r="O6" s="134" t="n"/>
      <c r="P6" s="134" t="n"/>
      <c r="Q6" s="134" t="n"/>
      <c r="R6" s="134" t="n"/>
      <c r="S6" s="134" t="n"/>
      <c r="T6" s="3" t="n"/>
      <c r="U6" s="3" t="n"/>
      <c r="V6" s="3" t="n"/>
    </row>
    <row r="7" ht="30" customHeight="1">
      <c r="A7" s="3" t="inlineStr">
        <is>
          <t>Base year</t>
        </is>
      </c>
      <c r="B7" s="3" t="inlineStr">
        <is>
          <t>year</t>
        </is>
      </c>
      <c r="C7" s="3" t="inlineStr">
        <is>
          <t>Scalar</t>
        </is>
      </c>
      <c r="D7" s="120">
        <f>IF(ISNUMBER('Model run'!D30),'Model run'!D30,"")</f>
        <v/>
      </c>
      <c r="E7" s="3" t="inlineStr">
        <is>
          <t>A dated baseline, not a recurring annual observation.</t>
        </is>
      </c>
      <c r="F7" s="135" t="n"/>
      <c r="G7" s="135" t="n"/>
      <c r="H7" s="135" t="n"/>
      <c r="I7" s="135" t="n"/>
      <c r="J7" s="135" t="n"/>
      <c r="K7" s="135" t="n"/>
      <c r="L7" s="135" t="n"/>
      <c r="M7" s="135" t="n"/>
      <c r="N7" s="135" t="n"/>
      <c r="O7" s="135" t="n"/>
      <c r="P7" s="135" t="n"/>
      <c r="Q7" s="135" t="n"/>
      <c r="R7" s="135" t="n"/>
      <c r="S7" s="135" t="n"/>
      <c r="T7" s="3" t="n"/>
      <c r="U7" s="3" t="n"/>
      <c r="V7" s="3" t="n"/>
    </row>
    <row r="8" ht="30" customHeight="1">
      <c r="A8" s="3" t="inlineStr">
        <is>
          <t>GDP/capita elasticity</t>
        </is>
      </c>
      <c r="B8" s="3" t="inlineStr">
        <is>
          <t>dimensionless</t>
        </is>
      </c>
      <c r="C8" s="3" t="inlineStr">
        <is>
          <t>Scalar</t>
        </is>
      </c>
      <c r="D8" s="121">
        <f>IF(ISNUMBER('Model run'!D31),'Model run'!D31,"")</f>
        <v/>
      </c>
      <c r="E8" s="3" t="inlineStr">
        <is>
          <t>Provisional GDP proxy, pending an agricultural driver.</t>
        </is>
      </c>
      <c r="F8" s="122" t="n"/>
      <c r="G8" s="122" t="n"/>
      <c r="H8" s="122" t="n"/>
      <c r="I8" s="122" t="n"/>
      <c r="J8" s="122" t="n"/>
      <c r="K8" s="122" t="n"/>
      <c r="L8" s="122" t="n"/>
      <c r="M8" s="122" t="n"/>
      <c r="N8" s="122" t="n"/>
      <c r="O8" s="122" t="n"/>
      <c r="P8" s="122" t="n"/>
      <c r="Q8" s="122" t="n"/>
      <c r="R8" s="122" t="n"/>
      <c r="S8" s="122" t="n"/>
      <c r="T8" s="3" t="n"/>
      <c r="U8" s="3" t="n"/>
      <c r="V8" s="3" t="n"/>
    </row>
    <row r="9" ht="30" customHeight="1">
      <c r="A9" s="3" t="inlineStr">
        <is>
          <t>GDP per capita</t>
        </is>
      </c>
      <c r="B9" s="3" t="inlineStr">
        <is>
          <t>2015 ZAR/person</t>
        </is>
      </c>
      <c r="C9" s="3" t="inlineStr">
        <is>
          <t>Input series</t>
        </is>
      </c>
      <c r="D9" s="121" t="n"/>
      <c r="E9" s="3" t="inlineStr">
        <is>
          <t>Current driver used by the held engine.</t>
        </is>
      </c>
      <c r="F9" s="122">
        <f>IF(ISNUMBER('Model run'!F32),'Model run'!F32,"")</f>
        <v/>
      </c>
      <c r="G9" s="122">
        <f>IF(ISNUMBER('Model run'!G32),'Model run'!G32,"")</f>
        <v/>
      </c>
      <c r="H9" s="122">
        <f>IF(ISNUMBER('Model run'!H32),'Model run'!H32,"")</f>
        <v/>
      </c>
      <c r="I9" s="122">
        <f>IF(ISNUMBER('Model run'!I32),'Model run'!I32,"")</f>
        <v/>
      </c>
      <c r="J9" s="122">
        <f>IF(ISNUMBER('Model run'!J32),'Model run'!J32,"")</f>
        <v/>
      </c>
      <c r="K9" s="122">
        <f>IF(ISNUMBER('Model run'!K32),'Model run'!K32,"")</f>
        <v/>
      </c>
      <c r="L9" s="122">
        <f>IF(ISNUMBER('Model run'!L32),'Model run'!L32,"")</f>
        <v/>
      </c>
      <c r="M9" s="122">
        <f>IF(ISNUMBER('Model run'!M32),'Model run'!M32,"")</f>
        <v/>
      </c>
      <c r="N9" s="122">
        <f>IF(ISNUMBER('Model run'!N32),'Model run'!N32,"")</f>
        <v/>
      </c>
      <c r="O9" s="122">
        <f>IF(ISNUMBER('Model run'!O32),'Model run'!O32,"")</f>
        <v/>
      </c>
      <c r="P9" s="122">
        <f>IF(ISNUMBER('Model run'!P32),'Model run'!P32,"")</f>
        <v/>
      </c>
      <c r="Q9" s="122">
        <f>IF(ISNUMBER('Model run'!Q32),'Model run'!Q32,"")</f>
        <v/>
      </c>
      <c r="R9" s="122">
        <f>IF(ISNUMBER('Model run'!R32),'Model run'!R32,"")</f>
        <v/>
      </c>
      <c r="S9" s="122">
        <f>IF(ISNUMBER('Model run'!S32),'Model run'!S32,"")</f>
        <v/>
      </c>
      <c r="T9" s="3" t="n"/>
      <c r="U9" s="3" t="n"/>
      <c r="V9" s="3" t="n"/>
    </row>
    <row r="10" ht="8" customHeight="1">
      <c r="A10" s="3" t="n"/>
      <c r="B10" s="3" t="n"/>
      <c r="C10" s="3" t="n"/>
      <c r="D10" s="3" t="n"/>
      <c r="E10" s="3" t="n"/>
      <c r="F10" s="6" t="n"/>
      <c r="G10" s="6" t="n"/>
      <c r="H10" s="6" t="n"/>
      <c r="I10" s="6" t="n"/>
      <c r="J10" s="6" t="n"/>
      <c r="K10" s="6" t="n"/>
      <c r="L10" s="6" t="n"/>
      <c r="M10" s="6" t="n"/>
      <c r="N10" s="6" t="n"/>
      <c r="O10" s="6" t="n"/>
      <c r="P10" s="6" t="n"/>
      <c r="Q10" s="6" t="n"/>
      <c r="R10" s="6" t="n"/>
      <c r="S10" s="6" t="n"/>
      <c r="T10" s="3" t="n"/>
      <c r="U10" s="3" t="n"/>
      <c r="V10" s="3" t="n"/>
    </row>
    <row r="11" ht="28" customHeight="1">
      <c r="A11" s="12" t="inlineStr">
        <is>
          <t>Current engine outputs</t>
        </is>
      </c>
      <c r="B11" s="11" t="n"/>
      <c r="C11" s="11" t="n"/>
      <c r="D11" s="11" t="n"/>
      <c r="E11" s="11" t="n"/>
      <c r="F11" s="25" t="n"/>
      <c r="G11" s="25" t="n"/>
      <c r="H11" s="25" t="n"/>
      <c r="I11" s="25" t="n"/>
      <c r="J11" s="25" t="n"/>
      <c r="K11" s="25" t="n"/>
      <c r="L11" s="25" t="n"/>
      <c r="M11" s="25" t="n"/>
      <c r="N11" s="25" t="n"/>
      <c r="O11" s="25" t="n"/>
      <c r="P11" s="25" t="n"/>
      <c r="Q11" s="25" t="n"/>
      <c r="R11" s="25" t="n"/>
      <c r="S11" s="25" t="n"/>
      <c r="T11" s="3" t="n"/>
      <c r="U11" s="3" t="n"/>
      <c r="V11" s="3" t="n"/>
    </row>
    <row r="12" ht="30" customHeight="1">
      <c r="A12" s="16" t="inlineStr">
        <is>
          <t>Agricultural diesel demand</t>
        </is>
      </c>
      <c r="B12" s="16" t="inlineStr">
        <is>
          <t>L/year</t>
        </is>
      </c>
      <c r="C12" s="16" t="inlineStr">
        <is>
          <t>Engine output</t>
        </is>
      </c>
      <c r="D12" s="126" t="n"/>
      <c r="E12" s="16" t="inlineStr">
        <is>
          <t>Engine: baseline × (GDP/capita / base-year GDP/capita)^elasticity.</t>
        </is>
      </c>
      <c r="F12" s="127">
        <f>IF(ISNUMBER('Model run'!F33),'Model run'!F33,"")</f>
        <v/>
      </c>
      <c r="G12" s="127">
        <f>IF(ISNUMBER('Model run'!G33),'Model run'!G33,"")</f>
        <v/>
      </c>
      <c r="H12" s="127">
        <f>IF(ISNUMBER('Model run'!H33),'Model run'!H33,"")</f>
        <v/>
      </c>
      <c r="I12" s="127">
        <f>IF(ISNUMBER('Model run'!I33),'Model run'!I33,"")</f>
        <v/>
      </c>
      <c r="J12" s="127">
        <f>IF(ISNUMBER('Model run'!J33),'Model run'!J33,"")</f>
        <v/>
      </c>
      <c r="K12" s="127">
        <f>IF(ISNUMBER('Model run'!K33),'Model run'!K33,"")</f>
        <v/>
      </c>
      <c r="L12" s="127">
        <f>IF(ISNUMBER('Model run'!L33),'Model run'!L33,"")</f>
        <v/>
      </c>
      <c r="M12" s="127">
        <f>IF(ISNUMBER('Model run'!M33),'Model run'!M33,"")</f>
        <v/>
      </c>
      <c r="N12" s="127">
        <f>IF(ISNUMBER('Model run'!N33),'Model run'!N33,"")</f>
        <v/>
      </c>
      <c r="O12" s="127">
        <f>IF(ISNUMBER('Model run'!O33),'Model run'!O33,"")</f>
        <v/>
      </c>
      <c r="P12" s="127">
        <f>IF(ISNUMBER('Model run'!P33),'Model run'!P33,"")</f>
        <v/>
      </c>
      <c r="Q12" s="127">
        <f>IF(ISNUMBER('Model run'!Q33),'Model run'!Q33,"")</f>
        <v/>
      </c>
      <c r="R12" s="127">
        <f>IF(ISNUMBER('Model run'!R33),'Model run'!R33,"")</f>
        <v/>
      </c>
      <c r="S12" s="127">
        <f>IF(ISNUMBER('Model run'!S33),'Model run'!S33,"")</f>
        <v/>
      </c>
      <c r="T12" s="3" t="n"/>
      <c r="U12" s="3" t="n"/>
      <c r="V12" s="3" t="n"/>
    </row>
    <row r="13" ht="30" customHeight="1">
      <c r="A13" s="16" t="inlineStr">
        <is>
          <t>Agricultural diesel demand</t>
        </is>
      </c>
      <c r="B13" s="16" t="inlineStr">
        <is>
          <t>million L/year</t>
        </is>
      </c>
      <c r="C13" s="16" t="inlineStr">
        <is>
          <t>Reporting formula</t>
        </is>
      </c>
      <c r="D13" s="116" t="n"/>
      <c r="E13" s="16" t="inlineStr">
        <is>
          <t>Unit conversion. Current provisional series, not the proposed activity method.</t>
        </is>
      </c>
      <c r="F13" s="117">
        <f>F12/1000000</f>
        <v/>
      </c>
      <c r="G13" s="117">
        <f>G12/1000000</f>
        <v/>
      </c>
      <c r="H13" s="117">
        <f>H12/1000000</f>
        <v/>
      </c>
      <c r="I13" s="117">
        <f>I12/1000000</f>
        <v/>
      </c>
      <c r="J13" s="117">
        <f>J12/1000000</f>
        <v/>
      </c>
      <c r="K13" s="117">
        <f>K12/1000000</f>
        <v/>
      </c>
      <c r="L13" s="117">
        <f>L12/1000000</f>
        <v/>
      </c>
      <c r="M13" s="117">
        <f>M12/1000000</f>
        <v/>
      </c>
      <c r="N13" s="117">
        <f>N12/1000000</f>
        <v/>
      </c>
      <c r="O13" s="117">
        <f>O12/1000000</f>
        <v/>
      </c>
      <c r="P13" s="117">
        <f>P12/1000000</f>
        <v/>
      </c>
      <c r="Q13" s="117">
        <f>Q12/1000000</f>
        <v/>
      </c>
      <c r="R13" s="117">
        <f>R12/1000000</f>
        <v/>
      </c>
      <c r="S13" s="117">
        <f>S12/1000000</f>
        <v/>
      </c>
      <c r="T13" s="3" t="n"/>
      <c r="U13" s="3" t="n"/>
      <c r="V13" s="3" t="n"/>
    </row>
    <row r="14" ht="8" customHeight="1">
      <c r="A14" s="3" t="n"/>
      <c r="B14" s="3" t="n"/>
      <c r="C14" s="3" t="n"/>
      <c r="D14" s="3" t="n"/>
      <c r="E14" s="3" t="n"/>
      <c r="F14" s="6" t="n"/>
      <c r="G14" s="6" t="n"/>
      <c r="H14" s="6" t="n"/>
      <c r="I14" s="6" t="n"/>
      <c r="J14" s="6" t="n"/>
      <c r="K14" s="6" t="n"/>
      <c r="L14" s="6" t="n"/>
      <c r="M14" s="6" t="n"/>
      <c r="N14" s="6" t="n"/>
      <c r="O14" s="6" t="n"/>
      <c r="P14" s="6" t="n"/>
      <c r="Q14" s="6" t="n"/>
      <c r="R14" s="6" t="n"/>
      <c r="S14" s="6" t="n"/>
      <c r="T14" s="3" t="n"/>
      <c r="U14" s="3" t="n"/>
      <c r="V14" s="3" t="n"/>
    </row>
    <row r="15" ht="28" customHeight="1">
      <c r="A15" s="12" t="inlineStr">
        <is>
          <t>Proposed sector-activity method</t>
        </is>
      </c>
      <c r="B15" s="11" t="n"/>
      <c r="C15" s="11" t="n"/>
      <c r="D15" s="11" t="n"/>
      <c r="E15" s="11" t="n"/>
      <c r="F15" s="25" t="n"/>
      <c r="G15" s="25" t="n"/>
      <c r="H15" s="25" t="n"/>
      <c r="I15" s="25" t="n"/>
      <c r="J15" s="25" t="n"/>
      <c r="K15" s="25" t="n"/>
      <c r="L15" s="25" t="n"/>
      <c r="M15" s="25" t="n"/>
      <c r="N15" s="25" t="n"/>
      <c r="O15" s="25" t="n"/>
      <c r="P15" s="25" t="n"/>
      <c r="Q15" s="25" t="n"/>
      <c r="R15" s="25" t="n"/>
      <c r="S15" s="25" t="n"/>
      <c r="T15" s="3" t="n"/>
      <c r="U15" s="3" t="n"/>
      <c r="V15" s="3" t="n"/>
    </row>
    <row r="16" ht="30" customHeight="1">
      <c r="A16" s="3" t="inlineStr">
        <is>
          <t>Reviewed baseline demand</t>
        </is>
      </c>
      <c r="B16" s="3" t="inlineStr">
        <is>
          <t>million L at base year</t>
        </is>
      </c>
      <c r="C16" s="3" t="inlineStr">
        <is>
          <t>Workshop input</t>
        </is>
      </c>
      <c r="D16" s="118" t="n"/>
      <c r="E16" s="10" t="inlineStr">
        <is>
          <t>A 2021 source anchor is available in row 30, but has not been… [N102]</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Agricultural activity index</t>
        </is>
      </c>
      <c r="B17" s="3" t="inlineStr">
        <is>
          <t>base year = 100</t>
        </is>
      </c>
      <c r="C17" s="3" t="inlineStr">
        <is>
          <t>Workshop input</t>
        </is>
      </c>
      <c r="D17" s="118" t="n"/>
      <c r="E17" s="10" t="inlineStr">
        <is>
          <t>Real agricultural GVA is available in row 29. Select/rebase an… [N103]</t>
        </is>
      </c>
      <c r="F17" s="119" t="n"/>
      <c r="G17" s="119" t="n"/>
      <c r="H17" s="119" t="n"/>
      <c r="I17" s="119" t="n"/>
      <c r="J17" s="119" t="n"/>
      <c r="K17" s="119" t="n"/>
      <c r="L17" s="119" t="n"/>
      <c r="M17" s="119" t="n"/>
      <c r="N17" s="119" t="n"/>
      <c r="O17" s="119" t="n"/>
      <c r="P17" s="119" t="n"/>
      <c r="Q17" s="119" t="n"/>
      <c r="R17" s="119" t="n"/>
      <c r="S17" s="119" t="n"/>
      <c r="T17" s="3" t="n"/>
      <c r="U17" s="3" t="n"/>
      <c r="V17" s="3" t="n"/>
    </row>
    <row r="18" ht="30" customHeight="1">
      <c r="A18" s="3" t="inlineStr">
        <is>
          <t>Relative fuel intensity</t>
        </is>
      </c>
      <c r="B18" s="3" t="inlineStr">
        <is>
          <t>base year = 1</t>
        </is>
      </c>
      <c r="C18" s="3" t="inlineStr">
        <is>
          <t>Workshop input</t>
        </is>
      </c>
      <c r="D18" s="118" t="n"/>
      <c r="E18" s="10" t="inlineStr">
        <is>
          <t>Lower values mean less fuel per activity unit; mechanisation can… [N104]</t>
        </is>
      </c>
      <c r="F18" s="119" t="n"/>
      <c r="G18" s="119" t="n"/>
      <c r="H18" s="119" t="n"/>
      <c r="I18" s="119" t="n"/>
      <c r="J18" s="119" t="n"/>
      <c r="K18" s="119" t="n"/>
      <c r="L18" s="119" t="n"/>
      <c r="M18" s="119" t="n"/>
      <c r="N18" s="119" t="n"/>
      <c r="O18" s="119" t="n"/>
      <c r="P18" s="119" t="n"/>
      <c r="Q18" s="119" t="n"/>
      <c r="R18" s="119" t="n"/>
      <c r="S18" s="119" t="n"/>
      <c r="T18" s="3" t="n"/>
      <c r="U18" s="3" t="n"/>
      <c r="V18" s="3" t="n"/>
    </row>
    <row r="19" ht="30" customHeight="1">
      <c r="A19" s="3" t="inlineStr">
        <is>
          <t>Proposed agricultural demand</t>
        </is>
      </c>
      <c r="B19" s="3" t="inlineStr">
        <is>
          <t>million L/year</t>
        </is>
      </c>
      <c r="C19" s="3" t="inlineStr">
        <is>
          <t>Proposed output</t>
        </is>
      </c>
      <c r="D19" s="121" t="n"/>
      <c r="E19" s="3" t="inlineStr">
        <is>
          <t>Reviewed base demand × activity index / 100 × relative intensity.… [N105]</t>
        </is>
      </c>
      <c r="F19" s="122" t="n"/>
      <c r="G19" s="122" t="n"/>
      <c r="H19" s="122" t="n"/>
      <c r="I19" s="122" t="n"/>
      <c r="J19" s="122" t="n"/>
      <c r="K19" s="122" t="n"/>
      <c r="L19" s="122" t="n"/>
      <c r="M19" s="122" t="n"/>
      <c r="N19" s="122" t="n"/>
      <c r="O19" s="122" t="n"/>
      <c r="P19" s="122" t="n"/>
      <c r="Q19" s="122" t="n"/>
      <c r="R19" s="122" t="n"/>
      <c r="S19" s="122" t="n"/>
      <c r="T19" s="3" t="n"/>
      <c r="U19" s="3" t="n"/>
      <c r="V19" s="3" t="n"/>
    </row>
    <row r="20" ht="30" customHeight="1">
      <c r="A20" s="3" t="inlineStr">
        <is>
          <t>Provincial activity / baseline shares</t>
        </is>
      </c>
      <c r="B20" s="3" t="inlineStr">
        <is>
          <t>share or local index</t>
        </is>
      </c>
      <c r="C20" s="3" t="inlineStr">
        <is>
          <t>Workshop input</t>
        </is>
      </c>
      <c r="D20" s="118" t="n"/>
      <c r="E20" s="10" t="inlineStr">
        <is>
          <t>Use local agricultural evidence; confirm that national… [N106]</t>
        </is>
      </c>
      <c r="F20" s="119" t="n"/>
      <c r="G20" s="119" t="n"/>
      <c r="H20" s="119" t="n"/>
      <c r="I20" s="119" t="n"/>
      <c r="J20" s="119" t="n"/>
      <c r="K20" s="119" t="n"/>
      <c r="L20" s="119" t="n"/>
      <c r="M20" s="119" t="n"/>
      <c r="N20" s="119" t="n"/>
      <c r="O20" s="119" t="n"/>
      <c r="P20" s="119" t="n"/>
      <c r="Q20" s="119" t="n"/>
      <c r="R20" s="119" t="n"/>
      <c r="S20" s="119" t="n"/>
      <c r="T20" s="3" t="n"/>
      <c r="U20" s="3" t="n"/>
      <c r="V20" s="3" t="n"/>
    </row>
    <row r="21" ht="30" customHeight="1">
      <c r="A21" s="3" t="inlineStr">
        <is>
          <t>Sector boundaries</t>
        </is>
      </c>
      <c r="B21" s="3" t="inlineStr">
        <is>
          <t>decision</t>
        </is>
      </c>
      <c r="C21" s="3" t="inlineStr">
        <is>
          <t>Workshop input</t>
        </is>
      </c>
      <c r="D21" s="118" t="n"/>
      <c r="E21" s="10" t="inlineStr">
        <is>
          <t>Resolve irrigation, off-road machinery, road vehicles and backup… [N107]</t>
        </is>
      </c>
      <c r="F21" s="119" t="n"/>
      <c r="G21" s="119" t="n"/>
      <c r="H21" s="119" t="n"/>
      <c r="I21" s="119" t="n"/>
      <c r="J21" s="119" t="n"/>
      <c r="K21" s="119" t="n"/>
      <c r="L21" s="119" t="n"/>
      <c r="M21" s="119" t="n"/>
      <c r="N21" s="119" t="n"/>
      <c r="O21" s="119" t="n"/>
      <c r="P21" s="119" t="n"/>
      <c r="Q21" s="119" t="n"/>
      <c r="R21" s="119" t="n"/>
      <c r="S21" s="119" t="n"/>
      <c r="T21" s="3" t="n"/>
      <c r="U21" s="3" t="n"/>
      <c r="V21" s="3" t="n"/>
    </row>
    <row r="22" ht="8" customHeight="1">
      <c r="A22" s="3" t="n"/>
      <c r="B22" s="3" t="n"/>
      <c r="C22" s="3" t="n"/>
      <c r="D22" s="3" t="n"/>
      <c r="E22" s="3" t="n"/>
      <c r="F22" s="6" t="n"/>
      <c r="G22" s="6" t="n"/>
      <c r="H22" s="6" t="n"/>
      <c r="I22" s="6" t="n"/>
      <c r="J22" s="6" t="n"/>
      <c r="K22" s="6" t="n"/>
      <c r="L22" s="6" t="n"/>
      <c r="M22" s="6" t="n"/>
      <c r="N22" s="6" t="n"/>
      <c r="O22" s="6" t="n"/>
      <c r="P22" s="6" t="n"/>
      <c r="Q22" s="6" t="n"/>
      <c r="R22" s="6" t="n"/>
      <c r="S22" s="6" t="n"/>
      <c r="T22" s="3" t="n"/>
      <c r="U22" s="3" t="n"/>
      <c r="V22" s="3" t="n"/>
    </row>
    <row r="23" ht="30" customHeight="1">
      <c r="A23" s="3" t="inlineStr">
        <is>
          <t>Industry / mining extension</t>
        </is>
      </c>
      <c r="B23" s="3" t="inlineStr">
        <is>
          <t>method</t>
        </is>
      </c>
      <c r="C23" s="3" t="inlineStr">
        <is>
          <t>Proposal</t>
        </is>
      </c>
      <c r="D23" s="121" t="n"/>
      <c r="E23" s="3" t="inlineStr">
        <is>
          <t>Apply the same structure separately to mining, manufacturing and… [N108]</t>
        </is>
      </c>
      <c r="F23" s="122" t="n"/>
      <c r="G23" s="122" t="n"/>
      <c r="H23" s="122" t="n"/>
      <c r="I23" s="122" t="n"/>
      <c r="J23" s="122" t="n"/>
      <c r="K23" s="122" t="n"/>
      <c r="L23" s="122" t="n"/>
      <c r="M23" s="122" t="n"/>
      <c r="N23" s="122" t="n"/>
      <c r="O23" s="122" t="n"/>
      <c r="P23" s="122" t="n"/>
      <c r="Q23" s="122" t="n"/>
      <c r="R23" s="122" t="n"/>
      <c r="S23" s="122" t="n"/>
      <c r="T23" s="3" t="n"/>
      <c r="U23" s="3" t="n"/>
      <c r="V23" s="3" t="n"/>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30" customHeight="1">
      <c r="A25" s="3" t="inlineStr">
        <is>
          <t>Source</t>
        </is>
      </c>
      <c r="B25" s="3" t="inlineStr">
        <is>
          <t>URL</t>
        </is>
      </c>
      <c r="C25" s="3" t="inlineStr">
        <is>
          <t>Source</t>
        </is>
      </c>
      <c r="D25" s="121" t="n"/>
      <c r="E25" s="3" t="inlineStr">
        <is>
          <t>https://github.com/Africa-International-Advisors/liquid_fuels_mode… [N109]</t>
        </is>
      </c>
      <c r="F25" s="122" t="n"/>
      <c r="G25" s="122" t="n"/>
      <c r="H25" s="122" t="n"/>
      <c r="I25" s="122" t="n"/>
      <c r="J25" s="122" t="n"/>
      <c r="K25" s="122" t="n"/>
      <c r="L25" s="122" t="n"/>
      <c r="M25" s="122" t="n"/>
      <c r="N25" s="122" t="n"/>
      <c r="O25" s="122" t="n"/>
      <c r="P25" s="122" t="n"/>
      <c r="Q25" s="122" t="n"/>
      <c r="R25" s="122" t="n"/>
      <c r="S25" s="122" t="n"/>
      <c r="T25" s="3" t="n"/>
      <c r="U25" s="3" t="n"/>
      <c r="V25" s="3" t="n"/>
    </row>
    <row r="26" ht="30" customHeight="1">
      <c r="A26" s="3" t="inlineStr">
        <is>
          <t>Calculation source</t>
        </is>
      </c>
      <c r="B26" s="3" t="inlineStr">
        <is>
          <t>URL</t>
        </is>
      </c>
      <c r="C26" s="3" t="inlineStr">
        <is>
          <t>Source</t>
        </is>
      </c>
      <c r="D26" s="121" t="n"/>
      <c r="E26" s="3" t="inlineStr">
        <is>
          <t>https://github.com/Africa-International-Advisors/liquid_fuels_mode… [N110]</t>
        </is>
      </c>
      <c r="F26" s="122" t="n"/>
      <c r="G26" s="122" t="n"/>
      <c r="H26" s="122" t="n"/>
      <c r="I26" s="122" t="n"/>
      <c r="J26" s="122" t="n"/>
      <c r="K26" s="122" t="n"/>
      <c r="L26" s="122" t="n"/>
      <c r="M26" s="122" t="n"/>
      <c r="N26" s="122" t="n"/>
      <c r="O26" s="122" t="n"/>
      <c r="P26" s="122" t="n"/>
      <c r="Q26" s="122" t="n"/>
      <c r="R26" s="122" t="n"/>
      <c r="S26" s="122"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28" customHeight="1">
      <c r="A28" s="12" t="inlineStr">
        <is>
          <t>Available agricultural evidence</t>
        </is>
      </c>
      <c r="B28" s="11" t="n"/>
      <c r="C28" s="11" t="n"/>
      <c r="D28" s="11" t="n"/>
      <c r="E28" s="11" t="n"/>
      <c r="F28" s="25" t="n"/>
      <c r="G28" s="25" t="n"/>
      <c r="H28" s="25" t="n"/>
      <c r="I28" s="25" t="n"/>
      <c r="J28" s="25" t="n"/>
      <c r="K28" s="25" t="n"/>
      <c r="L28" s="25" t="n"/>
      <c r="M28" s="25" t="n"/>
      <c r="N28" s="25" t="n"/>
      <c r="O28" s="25" t="n"/>
      <c r="P28" s="25" t="n"/>
      <c r="Q28" s="25" t="n"/>
      <c r="R28" s="25" t="n"/>
      <c r="S28" s="25" t="n"/>
      <c r="T28" s="11" t="n"/>
      <c r="U28" s="11" t="n"/>
      <c r="V28" s="11" t="n"/>
    </row>
    <row r="29" ht="30" customHeight="1">
      <c r="A29" s="65" t="inlineStr">
        <is>
          <t>Agriculture/forestry/fishing real GVA</t>
        </is>
      </c>
      <c r="B29" s="65" t="inlineStr">
        <is>
          <t>bn 2015 ZAR</t>
        </is>
      </c>
      <c r="C29" s="65" t="inlineStr">
        <is>
          <t>Staged observation</t>
        </is>
      </c>
      <c r="D29" s="114">
        <f>IF(ISNUMBER('Evidence'!D26),'Evidence'!D26,"")</f>
        <v/>
      </c>
      <c r="E29" s="65" t="inlineStr">
        <is>
          <t>Stats SA annual actual in staged reporting copy. Sector value… [N111]</t>
        </is>
      </c>
      <c r="F29" s="115">
        <f>IF(ISNUMBER('Evidence'!F26),'Evidence'!F26,"")</f>
        <v/>
      </c>
      <c r="G29" s="115">
        <f>IF(ISNUMBER('Evidence'!G26),'Evidence'!G26,"")</f>
        <v/>
      </c>
      <c r="H29" s="115">
        <f>IF(ISNUMBER('Evidence'!H26),'Evidence'!H26,"")</f>
        <v/>
      </c>
      <c r="I29" s="115">
        <f>IF(ISNUMBER('Evidence'!I26),'Evidence'!I26,"")</f>
        <v/>
      </c>
      <c r="J29" s="115">
        <f>IF(ISNUMBER('Evidence'!J26),'Evidence'!J26,"")</f>
        <v/>
      </c>
      <c r="K29" s="115">
        <f>IF(ISNUMBER('Evidence'!K26),'Evidence'!K26,"")</f>
        <v/>
      </c>
      <c r="L29" s="115">
        <f>IF(ISNUMBER('Evidence'!L26),'Evidence'!L26,"")</f>
        <v/>
      </c>
      <c r="M29" s="115">
        <f>IF(ISNUMBER('Evidence'!M26),'Evidence'!M26,"")</f>
        <v/>
      </c>
      <c r="N29" s="115">
        <f>IF(ISNUMBER('Evidence'!N26),'Evidence'!N26,"")</f>
        <v/>
      </c>
      <c r="O29" s="115">
        <f>IF(ISNUMBER('Evidence'!O26),'Evidence'!O26,"")</f>
        <v/>
      </c>
      <c r="P29" s="115">
        <f>IF(ISNUMBER('Evidence'!P26),'Evidence'!P26,"")</f>
        <v/>
      </c>
      <c r="Q29" s="115">
        <f>IF(ISNUMBER('Evidence'!Q26),'Evidence'!Q26,"")</f>
        <v/>
      </c>
      <c r="R29" s="115">
        <f>IF(ISNUMBER('Evidence'!R26),'Evidence'!R26,"")</f>
        <v/>
      </c>
      <c r="S29" s="115">
        <f>IF(ISNUMBER('Evidence'!S26),'Evidence'!S26,"")</f>
        <v/>
      </c>
      <c r="T29" s="3" t="inlineStr">
        <is>
          <t>Unreviewed source extract; annual cells contain… [N112]</t>
        </is>
      </c>
      <c r="U29" s="3" t="inlineStr">
        <is>
          <t>Evidence row 26;… [N113]</t>
        </is>
      </c>
      <c r="V29" s="3" t="inlineStr">
        <is>
          <t>G08: choose crop/area/output proxy and rebase to… [N114]</t>
        </is>
      </c>
    </row>
    <row r="30" ht="30" customHeight="1">
      <c r="A30" s="65" t="inlineStr">
        <is>
          <t>2021 agriculture/forestry diesel</t>
        </is>
      </c>
      <c r="B30" s="65" t="inlineStr">
        <is>
          <t>million L/year</t>
        </is>
      </c>
      <c r="C30" s="65" t="inlineStr">
        <is>
          <t>Staged observation</t>
        </is>
      </c>
      <c r="D30" s="114">
        <f>IF(ISNUMBER('Evidence'!D39),'Evidence'!D39,"")</f>
        <v/>
      </c>
      <c r="E30" s="65" t="inlineStr">
        <is>
          <t>D is reported 2021 fuel use. No 2022–26 fuel observations inferred.</t>
        </is>
      </c>
      <c r="F30" s="115" t="n"/>
      <c r="G30" s="115" t="n"/>
      <c r="H30" s="115" t="n"/>
      <c r="I30" s="115" t="n"/>
      <c r="J30" s="115" t="n"/>
      <c r="K30" s="115" t="n"/>
      <c r="L30" s="115" t="n"/>
      <c r="M30" s="115" t="n"/>
      <c r="N30" s="115" t="n"/>
      <c r="O30" s="115" t="n"/>
      <c r="P30" s="115" t="n"/>
      <c r="Q30" s="115" t="n"/>
      <c r="R30" s="115" t="n"/>
      <c r="S30" s="115" t="n"/>
      <c r="T30" s="3" t="inlineStr">
        <is>
          <t>Older anchor; source extraction and scope need review.</t>
        </is>
      </c>
      <c r="U30" s="3" t="inlineStr">
        <is>
          <t>https://github.com/Africa-International-Advisors/liq… [N115]</t>
        </is>
      </c>
      <c r="V30" s="3" t="inlineStr">
        <is>
          <t>G08: reconcile forestry/fishing and… [N116]</t>
        </is>
      </c>
    </row>
    <row r="31" ht="8" customHeight="1">
      <c r="A31" s="3" t="n"/>
      <c r="B31" s="3" t="n"/>
      <c r="C31" s="3" t="n"/>
      <c r="D31" s="3" t="n"/>
      <c r="E31" s="3" t="n"/>
      <c r="F31" s="6" t="n"/>
      <c r="G31" s="6" t="n"/>
      <c r="H31" s="6" t="n"/>
      <c r="I31" s="6" t="n"/>
      <c r="J31" s="6" t="n"/>
      <c r="K31" s="6" t="n"/>
      <c r="L31" s="6" t="n"/>
      <c r="M31" s="6" t="n"/>
      <c r="N31" s="6" t="n"/>
      <c r="O31" s="6" t="n"/>
      <c r="P31" s="6" t="n"/>
      <c r="Q31" s="6" t="n"/>
      <c r="R31" s="6" t="n"/>
      <c r="S31" s="6" t="n"/>
      <c r="T31" s="3" t="n"/>
      <c r="U31" s="3" t="n"/>
      <c r="V31" s="3" t="n"/>
    </row>
    <row r="32" ht="8" customHeight="1">
      <c r="A32" s="3" t="n"/>
      <c r="B32" s="3" t="n"/>
      <c r="C32" s="3" t="n"/>
      <c r="D32" s="3" t="n"/>
      <c r="E32" s="3" t="n"/>
      <c r="F32" s="6" t="n"/>
      <c r="G32" s="6" t="n"/>
      <c r="H32" s="6" t="n"/>
      <c r="I32" s="6" t="n"/>
      <c r="J32" s="6" t="n"/>
      <c r="K32" s="6" t="n"/>
      <c r="L32" s="6" t="n"/>
      <c r="M32" s="6" t="n"/>
      <c r="N32" s="6" t="n"/>
      <c r="O32" s="6" t="n"/>
      <c r="P32" s="6" t="n"/>
      <c r="Q32" s="6" t="n"/>
      <c r="R32" s="6" t="n"/>
      <c r="S32" s="6"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8" customHeight="1">
      <c r="A35" s="3" t="n"/>
      <c r="B35" s="3" t="n"/>
      <c r="C35" s="3" t="n"/>
      <c r="D35" s="3" t="n"/>
      <c r="E35" s="3" t="n"/>
      <c r="F35" s="6" t="n"/>
      <c r="G35" s="6" t="n"/>
      <c r="H35" s="6" t="n"/>
      <c r="I35" s="6" t="n"/>
      <c r="J35" s="6" t="n"/>
      <c r="K35" s="6" t="n"/>
      <c r="L35" s="6" t="n"/>
      <c r="M35" s="6" t="n"/>
      <c r="N35" s="6" t="n"/>
      <c r="O35" s="6" t="n"/>
      <c r="P35" s="6" t="n"/>
      <c r="Q35" s="6" t="n"/>
      <c r="R35" s="6" t="n"/>
      <c r="S35" s="6" t="n"/>
      <c r="T35" s="3" t="n"/>
      <c r="U35" s="3" t="n"/>
      <c r="V35" s="3" t="n"/>
    </row>
    <row r="36" ht="8" customHeight="1">
      <c r="A36" s="3" t="n"/>
      <c r="B36" s="3" t="n"/>
      <c r="C36" s="3" t="n"/>
      <c r="D36" s="3" t="n"/>
      <c r="E36" s="3" t="n"/>
      <c r="F36" s="6" t="n"/>
      <c r="G36" s="6" t="n"/>
      <c r="H36" s="6" t="n"/>
      <c r="I36" s="6" t="n"/>
      <c r="J36" s="6" t="n"/>
      <c r="K36" s="6" t="n"/>
      <c r="L36" s="6" t="n"/>
      <c r="M36" s="6" t="n"/>
      <c r="N36" s="6" t="n"/>
      <c r="O36" s="6" t="n"/>
      <c r="P36" s="6" t="n"/>
      <c r="Q36" s="6" t="n"/>
      <c r="R36" s="6" t="n"/>
      <c r="S36" s="6" t="n"/>
      <c r="T36" s="3" t="n"/>
      <c r="U36" s="3" t="n"/>
      <c r="V36" s="3" t="n"/>
    </row>
    <row r="37" ht="8" customHeight="1">
      <c r="A37" s="3" t="n"/>
      <c r="B37" s="3" t="n"/>
      <c r="C37" s="3" t="n"/>
      <c r="D37" s="3" t="n"/>
      <c r="E37" s="3" t="n"/>
      <c r="F37" s="6" t="n"/>
      <c r="G37" s="6" t="n"/>
      <c r="H37" s="6" t="n"/>
      <c r="I37" s="6" t="n"/>
      <c r="J37" s="6" t="n"/>
      <c r="K37" s="6" t="n"/>
      <c r="L37" s="6" t="n"/>
      <c r="M37" s="6" t="n"/>
      <c r="N37" s="6" t="n"/>
      <c r="O37" s="6" t="n"/>
      <c r="P37" s="6" t="n"/>
      <c r="Q37" s="6" t="n"/>
      <c r="R37" s="6" t="n"/>
      <c r="S37" s="6" t="n"/>
      <c r="T37" s="3" t="n"/>
      <c r="U37" s="3" t="n"/>
      <c r="V37" s="3" t="n"/>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102" t="n"/>
      <c r="B44" s="102" t="n"/>
      <c r="C44" s="102" t="n"/>
      <c r="D44" s="102" t="n"/>
      <c r="E44" s="102" t="n"/>
      <c r="F44" s="104" t="n"/>
      <c r="G44" s="104" t="n"/>
      <c r="H44" s="104" t="n"/>
      <c r="I44" s="104" t="n"/>
      <c r="J44" s="104" t="n"/>
      <c r="K44" s="104" t="n"/>
      <c r="L44" s="104" t="n"/>
      <c r="M44" s="104" t="n"/>
      <c r="N44" s="104" t="n"/>
      <c r="O44" s="104" t="n"/>
      <c r="P44" s="104" t="n"/>
      <c r="Q44" s="104" t="n"/>
      <c r="R44" s="104" t="n"/>
      <c r="S44" s="104" t="n"/>
      <c r="T44" s="3" t="n"/>
      <c r="U44" s="3" t="n"/>
      <c r="V44" s="3" t="n"/>
    </row>
    <row r="45" ht="8" customHeight="1">
      <c r="A45" s="102" t="n"/>
      <c r="B45" s="102" t="n"/>
      <c r="C45" s="102" t="n"/>
      <c r="D45" s="102" t="n"/>
      <c r="E45" s="102" t="n"/>
      <c r="F45" s="104" t="n"/>
      <c r="G45" s="104" t="n"/>
      <c r="H45" s="104" t="n"/>
      <c r="I45" s="104" t="n"/>
      <c r="J45" s="104" t="n"/>
      <c r="K45" s="104" t="n"/>
      <c r="L45" s="104" t="n"/>
      <c r="M45" s="104" t="n"/>
      <c r="N45" s="104" t="n"/>
      <c r="O45" s="104" t="n"/>
      <c r="P45" s="104" t="n"/>
      <c r="Q45" s="104" t="n"/>
      <c r="R45" s="104" t="n"/>
      <c r="S45" s="104" t="n"/>
      <c r="T45" s="3" t="n"/>
      <c r="U45" s="3" t="n"/>
      <c r="V45" s="3"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V48"/>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Manufacturing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Proposed separate sector block • Current engine still combines manufacturing, mining and construction.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Separate manufacturing assumptions to agree</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Reviewed manufacturing baseline</t>
        </is>
      </c>
      <c r="B6" s="3" t="inlineStr">
        <is>
          <t>million L/year</t>
        </is>
      </c>
      <c r="C6" s="3" t="inlineStr">
        <is>
          <t>Workshop input</t>
        </is>
      </c>
      <c r="D6" s="118" t="n"/>
      <c r="E6" s="10" t="inlineStr">
        <is>
          <t>2021 industry parent exists (row 34), but is not… [N117]</t>
        </is>
      </c>
      <c r="F6" s="119" t="n"/>
      <c r="G6" s="119" t="n"/>
      <c r="H6" s="119" t="n"/>
      <c r="I6" s="119" t="n"/>
      <c r="J6" s="119" t="n"/>
      <c r="K6" s="119" t="n"/>
      <c r="L6" s="119" t="n"/>
      <c r="M6" s="119" t="n"/>
      <c r="N6" s="119" t="n"/>
      <c r="O6" s="119" t="n"/>
      <c r="P6" s="119" t="n"/>
      <c r="Q6" s="119" t="n"/>
      <c r="R6" s="119" t="n"/>
      <c r="S6" s="119" t="n"/>
      <c r="T6" s="3" t="n"/>
      <c r="U6" s="3" t="n"/>
      <c r="V6" s="3" t="n"/>
    </row>
    <row r="7" ht="30" customHeight="1">
      <c r="A7" s="3" t="inlineStr">
        <is>
          <t>Baseline year</t>
        </is>
      </c>
      <c r="B7" s="3" t="inlineStr">
        <is>
          <t>year</t>
        </is>
      </c>
      <c r="C7" s="3" t="inlineStr">
        <is>
          <t>Workshop input</t>
        </is>
      </c>
      <c r="D7" s="136" t="n"/>
      <c r="E7" s="10" t="inlineStr">
        <is>
          <t>Dated observation; agree before indexing the activity series.</t>
        </is>
      </c>
      <c r="F7" s="137" t="n"/>
      <c r="G7" s="137" t="n"/>
      <c r="H7" s="137" t="n"/>
      <c r="I7" s="137" t="n"/>
      <c r="J7" s="137" t="n"/>
      <c r="K7" s="137" t="n"/>
      <c r="L7" s="137" t="n"/>
      <c r="M7" s="137" t="n"/>
      <c r="N7" s="137" t="n"/>
      <c r="O7" s="137" t="n"/>
      <c r="P7" s="137" t="n"/>
      <c r="Q7" s="137" t="n"/>
      <c r="R7" s="137" t="n"/>
      <c r="S7" s="137" t="n"/>
      <c r="T7" s="3" t="n"/>
      <c r="U7" s="3" t="n"/>
      <c r="V7" s="3" t="n"/>
    </row>
    <row r="8" ht="30" customHeight="1">
      <c r="A8" s="3" t="inlineStr">
        <is>
          <t>Manufacturing production index</t>
        </is>
      </c>
      <c r="B8" s="3" t="inlineStr">
        <is>
          <t>base year = 100</t>
        </is>
      </c>
      <c r="C8" s="3" t="inlineStr">
        <is>
          <t>Workshop input</t>
        </is>
      </c>
      <c r="D8" s="118" t="n"/>
      <c r="E8" s="10" t="inlineStr">
        <is>
          <t>Observed production indices now appear in row 32. Rebase to the… [N118]</t>
        </is>
      </c>
      <c r="F8" s="119" t="n"/>
      <c r="G8" s="119" t="n"/>
      <c r="H8" s="119" t="n"/>
      <c r="I8" s="119" t="n"/>
      <c r="J8" s="119" t="n"/>
      <c r="K8" s="119" t="n"/>
      <c r="L8" s="119" t="n"/>
      <c r="M8" s="119" t="n"/>
      <c r="N8" s="119" t="n"/>
      <c r="O8" s="119" t="n"/>
      <c r="P8" s="119" t="n"/>
      <c r="Q8" s="119" t="n"/>
      <c r="R8" s="119" t="n"/>
      <c r="S8" s="119" t="n"/>
      <c r="T8" s="3" t="n"/>
      <c r="U8" s="3" t="n"/>
      <c r="V8" s="3" t="n"/>
    </row>
    <row r="9" ht="30" customHeight="1">
      <c r="A9" s="3" t="inlineStr">
        <is>
          <t>Relative fuel intensity</t>
        </is>
      </c>
      <c r="B9" s="3" t="inlineStr">
        <is>
          <t>base year = 1</t>
        </is>
      </c>
      <c r="C9" s="3" t="inlineStr">
        <is>
          <t>Workshop input</t>
        </is>
      </c>
      <c r="D9" s="118" t="n"/>
      <c r="E9" s="10" t="inlineStr">
        <is>
          <t>Efficiency and process mix for continuing diesel uses. Exclude… [N119]</t>
        </is>
      </c>
      <c r="F9" s="119" t="n"/>
      <c r="G9" s="119" t="n"/>
      <c r="H9" s="119" t="n"/>
      <c r="I9" s="119" t="n"/>
      <c r="J9" s="119" t="n"/>
      <c r="K9" s="119" t="n"/>
      <c r="L9" s="119" t="n"/>
      <c r="M9" s="119" t="n"/>
      <c r="N9" s="119" t="n"/>
      <c r="O9" s="119" t="n"/>
      <c r="P9" s="119" t="n"/>
      <c r="Q9" s="119" t="n"/>
      <c r="R9" s="119" t="n"/>
      <c r="S9" s="119" t="n"/>
      <c r="T9" s="3" t="n"/>
      <c r="U9" s="3" t="n"/>
      <c r="V9" s="3" t="n"/>
    </row>
    <row r="10" ht="30" customHeight="1">
      <c r="A10" s="3" t="inlineStr">
        <is>
          <t>Electrification: remaining diesel fraction</t>
        </is>
      </c>
      <c r="B10" s="3" t="inlineStr">
        <is>
          <t>base year = 1</t>
        </is>
      </c>
      <c r="C10" s="3" t="inlineStr">
        <is>
          <t>Workshop input</t>
        </is>
      </c>
      <c r="D10" s="118" t="n"/>
      <c r="E10" s="10" t="inlineStr">
        <is>
          <t>After baseline, fraction of counterfactual diesel retained as… [N120]</t>
        </is>
      </c>
      <c r="F10" s="119" t="n"/>
      <c r="G10" s="119" t="n"/>
      <c r="H10" s="119" t="n"/>
      <c r="I10" s="119" t="n"/>
      <c r="J10" s="119" t="n"/>
      <c r="K10" s="119" t="n"/>
      <c r="L10" s="119" t="n"/>
      <c r="M10" s="119" t="n"/>
      <c r="N10" s="119" t="n"/>
      <c r="O10" s="119" t="n"/>
      <c r="P10" s="119" t="n"/>
      <c r="Q10" s="119" t="n"/>
      <c r="R10" s="119" t="n"/>
      <c r="S10" s="119" t="n"/>
      <c r="T10" s="3" t="n"/>
      <c r="U10" s="3" t="n"/>
      <c r="V10" s="3" t="n"/>
    </row>
    <row r="11" ht="30" customHeight="1">
      <c r="A11" s="3" t="inlineStr">
        <is>
          <t>Private backup generation</t>
        </is>
      </c>
      <c r="B11" s="3" t="inlineStr">
        <is>
          <t>scope decision</t>
        </is>
      </c>
      <c r="C11" s="3" t="inlineStr">
        <is>
          <t>Workshop input</t>
        </is>
      </c>
      <c r="D11" s="118" t="n"/>
      <c r="E11" s="10" t="inlineStr">
        <is>
          <t>Include here OR in generation. Record whether the baseline… [N121]</t>
        </is>
      </c>
      <c r="F11" s="119" t="n"/>
      <c r="G11" s="119" t="n"/>
      <c r="H11" s="119" t="n"/>
      <c r="I11" s="119" t="n"/>
      <c r="J11" s="119" t="n"/>
      <c r="K11" s="119" t="n"/>
      <c r="L11" s="119" t="n"/>
      <c r="M11" s="119" t="n"/>
      <c r="N11" s="119" t="n"/>
      <c r="O11" s="119" t="n"/>
      <c r="P11" s="119" t="n"/>
      <c r="Q11" s="119" t="n"/>
      <c r="R11" s="119" t="n"/>
      <c r="S11" s="119" t="n"/>
      <c r="T11" s="3" t="n"/>
      <c r="U11" s="3" t="n"/>
      <c r="V11" s="3" t="n"/>
    </row>
    <row r="12" ht="30" customHeight="1">
      <c r="A12" s="3" t="inlineStr">
        <is>
          <t>Provincial baseline / activity</t>
        </is>
      </c>
      <c r="B12" s="3" t="inlineStr">
        <is>
          <t>share or local index</t>
        </is>
      </c>
      <c r="C12" s="3" t="inlineStr">
        <is>
          <t>Workshop input</t>
        </is>
      </c>
      <c r="D12" s="118" t="n"/>
      <c r="E12" s="10" t="inlineStr">
        <is>
          <t>Use manufacturing establishments/production, not population by… [N122]</t>
        </is>
      </c>
      <c r="F12" s="119" t="n"/>
      <c r="G12" s="119" t="n"/>
      <c r="H12" s="119" t="n"/>
      <c r="I12" s="119" t="n"/>
      <c r="J12" s="119" t="n"/>
      <c r="K12" s="119" t="n"/>
      <c r="L12" s="119" t="n"/>
      <c r="M12" s="119" t="n"/>
      <c r="N12" s="119" t="n"/>
      <c r="O12" s="119" t="n"/>
      <c r="P12" s="119" t="n"/>
      <c r="Q12" s="119" t="n"/>
      <c r="R12" s="119" t="n"/>
      <c r="S12" s="119" t="n"/>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Proposed calculated demand</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3" t="inlineStr">
        <is>
          <t>Manufacturing diesel demand</t>
        </is>
      </c>
      <c r="B15" s="3" t="inlineStr">
        <is>
          <t>million L/year</t>
        </is>
      </c>
      <c r="C15" s="3" t="inlineStr">
        <is>
          <t>Proposed output</t>
        </is>
      </c>
      <c r="D15" s="121" t="n"/>
      <c r="E15" s="3" t="inlineStr">
        <is>
          <t>Baseline × activity/100 × relative intensity × remaining diesel… [N123]</t>
        </is>
      </c>
      <c r="F15" s="122" t="n"/>
      <c r="G15" s="122" t="n"/>
      <c r="H15" s="122" t="n"/>
      <c r="I15" s="122" t="n"/>
      <c r="J15" s="122" t="n"/>
      <c r="K15" s="122" t="n"/>
      <c r="L15" s="122" t="n"/>
      <c r="M15" s="122" t="n"/>
      <c r="N15" s="122" t="n"/>
      <c r="O15" s="122" t="n"/>
      <c r="P15" s="122" t="n"/>
      <c r="Q15" s="122" t="n"/>
      <c r="R15" s="122" t="n"/>
      <c r="S15" s="122" t="n"/>
      <c r="T15" s="3" t="n"/>
      <c r="U15" s="3" t="n"/>
      <c r="V15" s="3" t="n"/>
    </row>
    <row r="16" ht="30" customHeight="1">
      <c r="A16" s="3" t="inlineStr">
        <is>
          <t>Observed manufacturing diesel</t>
        </is>
      </c>
      <c r="B16" s="3" t="inlineStr">
        <is>
          <t>million L/year</t>
        </is>
      </c>
      <c r="C16" s="3" t="inlineStr">
        <is>
          <t>Workshop input</t>
        </is>
      </c>
      <c r="D16" s="118" t="n"/>
      <c r="E16" s="10" t="inlineStr">
        <is>
          <t>Matched-period comparator; total national diesel sales cannot… [N124]</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Calculated less observed demand</t>
        </is>
      </c>
      <c r="B17" s="3" t="inlineStr">
        <is>
          <t>million L/year</t>
        </is>
      </c>
      <c r="C17" s="3" t="inlineStr">
        <is>
          <t>Proposed output</t>
        </is>
      </c>
      <c r="D17" s="121" t="n"/>
      <c r="E17" s="3" t="inlineStr">
        <is>
          <t>Reconcile only against matched manufacturing scope. No… [N125]</t>
        </is>
      </c>
      <c r="F17" s="122" t="n"/>
      <c r="G17" s="122" t="n"/>
      <c r="H17" s="122" t="n"/>
      <c r="I17" s="122" t="n"/>
      <c r="J17" s="122" t="n"/>
      <c r="K17" s="122" t="n"/>
      <c r="L17" s="122" t="n"/>
      <c r="M17" s="122" t="n"/>
      <c r="N17" s="122" t="n"/>
      <c r="O17" s="122" t="n"/>
      <c r="P17" s="122" t="n"/>
      <c r="Q17" s="122" t="n"/>
      <c r="R17" s="122" t="n"/>
      <c r="S17" s="122" t="n"/>
      <c r="T17" s="3" t="n"/>
      <c r="U17" s="3" t="n"/>
      <c r="V17" s="3" t="n"/>
    </row>
    <row r="18" ht="8" customHeight="1">
      <c r="A18" s="3" t="n"/>
      <c r="B18" s="3" t="n"/>
      <c r="C18" s="3" t="n"/>
      <c r="D18" s="3" t="n"/>
      <c r="E18" s="3" t="n"/>
      <c r="F18" s="6" t="n"/>
      <c r="G18" s="6" t="n"/>
      <c r="H18" s="6" t="n"/>
      <c r="I18" s="6" t="n"/>
      <c r="J18" s="6" t="n"/>
      <c r="K18" s="6" t="n"/>
      <c r="L18" s="6" t="n"/>
      <c r="M18" s="6" t="n"/>
      <c r="N18" s="6" t="n"/>
      <c r="O18" s="6" t="n"/>
      <c r="P18" s="6" t="n"/>
      <c r="Q18" s="6" t="n"/>
      <c r="R18" s="6" t="n"/>
      <c r="S18" s="6" t="n"/>
      <c r="T18" s="3" t="n"/>
      <c r="U18" s="3" t="n"/>
      <c r="V18" s="3" t="n"/>
    </row>
    <row r="19" ht="28" customHeight="1">
      <c r="A19" s="12" t="inlineStr">
        <is>
          <t>Combined industrial reference: not manufacturing demand</t>
        </is>
      </c>
      <c r="B19" s="11" t="n"/>
      <c r="C19" s="11" t="n"/>
      <c r="D19" s="11" t="n"/>
      <c r="E19" s="11" t="n"/>
      <c r="F19" s="25" t="n"/>
      <c r="G19" s="25" t="n"/>
      <c r="H19" s="25" t="n"/>
      <c r="I19" s="25" t="n"/>
      <c r="J19" s="25" t="n"/>
      <c r="K19" s="25" t="n"/>
      <c r="L19" s="25" t="n"/>
      <c r="M19" s="25" t="n"/>
      <c r="N19" s="25" t="n"/>
      <c r="O19" s="25" t="n"/>
      <c r="P19" s="25" t="n"/>
      <c r="Q19" s="25" t="n"/>
      <c r="R19" s="25" t="n"/>
      <c r="S19" s="25" t="n"/>
      <c r="T19" s="3" t="n"/>
      <c r="U19" s="3" t="n"/>
      <c r="V19" s="3" t="n"/>
    </row>
    <row r="20" ht="30" customHeight="1">
      <c r="A20" s="3" t="inlineStr">
        <is>
          <t>Current combined industrial baseline</t>
        </is>
      </c>
      <c r="B20" s="3" t="inlineStr">
        <is>
          <t>L/year</t>
        </is>
      </c>
      <c r="C20" s="3" t="inlineStr">
        <is>
          <t>Scalar</t>
        </is>
      </c>
      <c r="D20" s="133" t="inlineStr">
        <is>
          <t>2.5e9</t>
        </is>
      </c>
      <c r="E20" s="3" t="inlineStr">
        <is>
          <t>ONE provisional total for manufacturing + mining + construction.… [N126]</t>
        </is>
      </c>
      <c r="F20" s="134" t="n"/>
      <c r="G20" s="134" t="n"/>
      <c r="H20" s="134" t="n"/>
      <c r="I20" s="134" t="n"/>
      <c r="J20" s="134" t="n"/>
      <c r="K20" s="134" t="n"/>
      <c r="L20" s="134" t="n"/>
      <c r="M20" s="134" t="n"/>
      <c r="N20" s="134" t="n"/>
      <c r="O20" s="134" t="n"/>
      <c r="P20" s="134" t="n"/>
      <c r="Q20" s="134" t="n"/>
      <c r="R20" s="134" t="n"/>
      <c r="S20" s="134" t="n"/>
      <c r="T20" s="3" t="n"/>
      <c r="U20" s="3" t="n"/>
      <c r="V20" s="3" t="n"/>
    </row>
    <row r="21" ht="30" customHeight="1">
      <c r="A21" s="3" t="inlineStr">
        <is>
          <t>Combined baseline year</t>
        </is>
      </c>
      <c r="B21" s="3" t="inlineStr">
        <is>
          <t>year</t>
        </is>
      </c>
      <c r="C21" s="3" t="inlineStr">
        <is>
          <t>Scalar</t>
        </is>
      </c>
      <c r="D21" s="120">
        <f>IF(ISNUMBER('Model run'!D34),'Model run'!D34,"")</f>
        <v/>
      </c>
      <c r="E21" s="3" t="inlineStr">
        <is>
          <t>Current main vintage; branch replacement proposals are not adopted here.</t>
        </is>
      </c>
      <c r="F21" s="135" t="n"/>
      <c r="G21" s="135" t="n"/>
      <c r="H21" s="135" t="n"/>
      <c r="I21" s="135" t="n"/>
      <c r="J21" s="135" t="n"/>
      <c r="K21" s="135" t="n"/>
      <c r="L21" s="135" t="n"/>
      <c r="M21" s="135" t="n"/>
      <c r="N21" s="135" t="n"/>
      <c r="O21" s="135" t="n"/>
      <c r="P21" s="135" t="n"/>
      <c r="Q21" s="135" t="n"/>
      <c r="R21" s="135" t="n"/>
      <c r="S21" s="135" t="n"/>
      <c r="T21" s="3" t="n"/>
      <c r="U21" s="3" t="n"/>
      <c r="V21" s="3" t="n"/>
    </row>
    <row r="22" ht="30" customHeight="1">
      <c r="A22" s="3" t="inlineStr">
        <is>
          <t>Combined GDP/capita elasticity</t>
        </is>
      </c>
      <c r="B22" s="3" t="inlineStr">
        <is>
          <t>dimensionless</t>
        </is>
      </c>
      <c r="C22" s="3" t="inlineStr">
        <is>
          <t>Scalar</t>
        </is>
      </c>
      <c r="D22" s="121">
        <f>IF(ISNUMBER('Model run'!D35),'Model run'!D35,"")</f>
        <v/>
      </c>
      <c r="E22" s="3" t="inlineStr">
        <is>
          <t>Current combined held-method parameter. Not a manufacturing-specific estimate.</t>
        </is>
      </c>
      <c r="F22" s="122" t="n"/>
      <c r="G22" s="122" t="n"/>
      <c r="H22" s="122" t="n"/>
      <c r="I22" s="122" t="n"/>
      <c r="J22" s="122" t="n"/>
      <c r="K22" s="122" t="n"/>
      <c r="L22" s="122" t="n"/>
      <c r="M22" s="122" t="n"/>
      <c r="N22" s="122" t="n"/>
      <c r="O22" s="122" t="n"/>
      <c r="P22" s="122" t="n"/>
      <c r="Q22" s="122" t="n"/>
      <c r="R22" s="122" t="n"/>
      <c r="S22" s="122" t="n"/>
      <c r="T22" s="3" t="n"/>
      <c r="U22" s="3" t="n"/>
      <c r="V22" s="3" t="n"/>
    </row>
    <row r="23" ht="30" customHeight="1">
      <c r="A23" s="16" t="inlineStr">
        <is>
          <t>Combined industrial diesel</t>
        </is>
      </c>
      <c r="B23" s="16" t="inlineStr">
        <is>
          <t>L/year</t>
        </is>
      </c>
      <c r="C23" s="16" t="inlineStr">
        <is>
          <t>Engine output</t>
        </is>
      </c>
      <c r="D23" s="126" t="n"/>
      <c r="E23" s="16" t="inlineStr">
        <is>
          <t>Existing engine output shown ONCE as a reference for the future… [N127]</t>
        </is>
      </c>
      <c r="F23" s="127">
        <f>IF(ISNUMBER('Model run'!F36),'Model run'!F36,"")</f>
        <v/>
      </c>
      <c r="G23" s="127">
        <f>IF(ISNUMBER('Model run'!G36),'Model run'!G36,"")</f>
        <v/>
      </c>
      <c r="H23" s="127">
        <f>IF(ISNUMBER('Model run'!H36),'Model run'!H36,"")</f>
        <v/>
      </c>
      <c r="I23" s="127">
        <f>IF(ISNUMBER('Model run'!I36),'Model run'!I36,"")</f>
        <v/>
      </c>
      <c r="J23" s="127">
        <f>IF(ISNUMBER('Model run'!J36),'Model run'!J36,"")</f>
        <v/>
      </c>
      <c r="K23" s="127">
        <f>IF(ISNUMBER('Model run'!K36),'Model run'!K36,"")</f>
        <v/>
      </c>
      <c r="L23" s="127">
        <f>IF(ISNUMBER('Model run'!L36),'Model run'!L36,"")</f>
        <v/>
      </c>
      <c r="M23" s="127">
        <f>IF(ISNUMBER('Model run'!M36),'Model run'!M36,"")</f>
        <v/>
      </c>
      <c r="N23" s="127">
        <f>IF(ISNUMBER('Model run'!N36),'Model run'!N36,"")</f>
        <v/>
      </c>
      <c r="O23" s="127">
        <f>IF(ISNUMBER('Model run'!O36),'Model run'!O36,"")</f>
        <v/>
      </c>
      <c r="P23" s="127">
        <f>IF(ISNUMBER('Model run'!P36),'Model run'!P36,"")</f>
        <v/>
      </c>
      <c r="Q23" s="127">
        <f>IF(ISNUMBER('Model run'!Q36),'Model run'!Q36,"")</f>
        <v/>
      </c>
      <c r="R23" s="127">
        <f>IF(ISNUMBER('Model run'!R36),'Model run'!R36,"")</f>
        <v/>
      </c>
      <c r="S23" s="127">
        <f>IF(ISNUMBER('Model run'!S36),'Model run'!S36,"")</f>
        <v/>
      </c>
      <c r="T23" s="3" t="n"/>
      <c r="U23" s="3" t="n"/>
      <c r="V23" s="3" t="n"/>
    </row>
    <row r="24" ht="30" customHeight="1">
      <c r="A24" s="16" t="inlineStr">
        <is>
          <t>Combined industrial diesel</t>
        </is>
      </c>
      <c r="B24" s="16" t="inlineStr">
        <is>
          <t>million L/year</t>
        </is>
      </c>
      <c r="C24" s="16" t="inlineStr">
        <is>
          <t>Reporting formula</t>
        </is>
      </c>
      <c r="D24" s="116" t="n"/>
      <c r="E24" s="16" t="inlineStr">
        <is>
          <t>Unit conversion only. This is not a separate additive segment.</t>
        </is>
      </c>
      <c r="F24" s="117">
        <f>F23/1000000</f>
        <v/>
      </c>
      <c r="G24" s="117">
        <f>G23/1000000</f>
        <v/>
      </c>
      <c r="H24" s="117">
        <f>H23/1000000</f>
        <v/>
      </c>
      <c r="I24" s="117">
        <f>I23/1000000</f>
        <v/>
      </c>
      <c r="J24" s="117">
        <f>J23/1000000</f>
        <v/>
      </c>
      <c r="K24" s="117">
        <f>K23/1000000</f>
        <v/>
      </c>
      <c r="L24" s="117">
        <f>L23/1000000</f>
        <v/>
      </c>
      <c r="M24" s="117">
        <f>M23/1000000</f>
        <v/>
      </c>
      <c r="N24" s="117">
        <f>N23/1000000</f>
        <v/>
      </c>
      <c r="O24" s="117">
        <f>O23/1000000</f>
        <v/>
      </c>
      <c r="P24" s="117">
        <f>P23/1000000</f>
        <v/>
      </c>
      <c r="Q24" s="117">
        <f>Q23/1000000</f>
        <v/>
      </c>
      <c r="R24" s="117">
        <f>R23/1000000</f>
        <v/>
      </c>
      <c r="S24" s="117">
        <f>S23/1000000</f>
        <v/>
      </c>
      <c r="T24" s="3" t="n"/>
      <c r="U24" s="3" t="n"/>
      <c r="V24" s="3" t="n"/>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30" customHeight="1">
      <c r="A26" s="3" t="inlineStr">
        <is>
          <t>Split and reconcile the combined total</t>
        </is>
      </c>
      <c r="B26" s="3" t="inlineStr">
        <is>
          <t>decision</t>
        </is>
      </c>
      <c r="C26" s="3" t="inlineStr">
        <is>
          <t>Workshop input</t>
        </is>
      </c>
      <c r="D26" s="118" t="n"/>
      <c r="E26" s="10" t="inlineStr">
        <is>
          <t>Manufacturing + mining + construction/other + unallocated must… [N128]</t>
        </is>
      </c>
      <c r="F26" s="119" t="n"/>
      <c r="G26" s="119" t="n"/>
      <c r="H26" s="119" t="n"/>
      <c r="I26" s="119" t="n"/>
      <c r="J26" s="119" t="n"/>
      <c r="K26" s="119" t="n"/>
      <c r="L26" s="119" t="n"/>
      <c r="M26" s="119" t="n"/>
      <c r="N26" s="119" t="n"/>
      <c r="O26" s="119" t="n"/>
      <c r="P26" s="119" t="n"/>
      <c r="Q26" s="119" t="n"/>
      <c r="R26" s="119" t="n"/>
      <c r="S26" s="119"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30" customHeight="1">
      <c r="A28" s="3" t="inlineStr">
        <is>
          <t>Input source</t>
        </is>
      </c>
      <c r="B28" s="3" t="inlineStr">
        <is>
          <t>URL</t>
        </is>
      </c>
      <c r="C28" s="3" t="inlineStr">
        <is>
          <t>Source</t>
        </is>
      </c>
      <c r="D28" s="121" t="n"/>
      <c r="E28" s="3" t="inlineStr">
        <is>
          <t>https://github.com/Africa-International-Advisors/liquid_fuels_mode… [N129]</t>
        </is>
      </c>
      <c r="F28" s="122" t="n"/>
      <c r="G28" s="122" t="n"/>
      <c r="H28" s="122" t="n"/>
      <c r="I28" s="122" t="n"/>
      <c r="J28" s="122" t="n"/>
      <c r="K28" s="122" t="n"/>
      <c r="L28" s="122" t="n"/>
      <c r="M28" s="122" t="n"/>
      <c r="N28" s="122" t="n"/>
      <c r="O28" s="122" t="n"/>
      <c r="P28" s="122" t="n"/>
      <c r="Q28" s="122" t="n"/>
      <c r="R28" s="122" t="n"/>
      <c r="S28" s="122" t="n"/>
      <c r="T28" s="3" t="n"/>
      <c r="U28" s="3" t="n"/>
      <c r="V28" s="3" t="n"/>
    </row>
    <row r="29" ht="30" customHeight="1">
      <c r="A29" s="3" t="inlineStr">
        <is>
          <t>Calculation source</t>
        </is>
      </c>
      <c r="B29" s="3" t="inlineStr">
        <is>
          <t>URL</t>
        </is>
      </c>
      <c r="C29" s="3" t="inlineStr">
        <is>
          <t>Source</t>
        </is>
      </c>
      <c r="D29" s="121" t="n"/>
      <c r="E29" s="3" t="inlineStr">
        <is>
          <t>https://github.com/Africa-International-Advisors/liquid_fuels_mode… [N130]</t>
        </is>
      </c>
      <c r="F29" s="122" t="n"/>
      <c r="G29" s="122" t="n"/>
      <c r="H29" s="122" t="n"/>
      <c r="I29" s="122" t="n"/>
      <c r="J29" s="122" t="n"/>
      <c r="K29" s="122" t="n"/>
      <c r="L29" s="122" t="n"/>
      <c r="M29" s="122" t="n"/>
      <c r="N29" s="122" t="n"/>
      <c r="O29" s="122" t="n"/>
      <c r="P29" s="122" t="n"/>
      <c r="Q29" s="122" t="n"/>
      <c r="R29" s="122" t="n"/>
      <c r="S29" s="122" t="n"/>
      <c r="T29" s="3" t="n"/>
      <c r="U29" s="3" t="n"/>
      <c r="V29" s="3" t="n"/>
    </row>
    <row r="30" ht="8" customHeight="1">
      <c r="A30" s="3" t="n"/>
      <c r="B30" s="3" t="n"/>
      <c r="C30" s="3" t="n"/>
      <c r="D30" s="3" t="n"/>
      <c r="E30" s="3" t="n"/>
      <c r="F30" s="6" t="n"/>
      <c r="G30" s="6" t="n"/>
      <c r="H30" s="6" t="n"/>
      <c r="I30" s="6" t="n"/>
      <c r="J30" s="6" t="n"/>
      <c r="K30" s="6" t="n"/>
      <c r="L30" s="6" t="n"/>
      <c r="M30" s="6" t="n"/>
      <c r="N30" s="6" t="n"/>
      <c r="O30" s="6" t="n"/>
      <c r="P30" s="6" t="n"/>
      <c r="Q30" s="6" t="n"/>
      <c r="R30" s="6" t="n"/>
      <c r="S30" s="6" t="n"/>
      <c r="T30" s="3" t="n"/>
      <c r="U30" s="3" t="n"/>
      <c r="V30" s="3" t="n"/>
    </row>
    <row r="31" ht="28" customHeight="1">
      <c r="A31" s="12" t="inlineStr">
        <is>
          <t>Available manufacturing evidence</t>
        </is>
      </c>
      <c r="B31" s="11" t="n"/>
      <c r="C31" s="11" t="n"/>
      <c r="D31" s="11" t="n"/>
      <c r="E31" s="11" t="n"/>
      <c r="F31" s="25" t="n"/>
      <c r="G31" s="25" t="n"/>
      <c r="H31" s="25" t="n"/>
      <c r="I31" s="25" t="n"/>
      <c r="J31" s="25" t="n"/>
      <c r="K31" s="25" t="n"/>
      <c r="L31" s="25" t="n"/>
      <c r="M31" s="25" t="n"/>
      <c r="N31" s="25" t="n"/>
      <c r="O31" s="25" t="n"/>
      <c r="P31" s="25" t="n"/>
      <c r="Q31" s="25" t="n"/>
      <c r="R31" s="25" t="n"/>
      <c r="S31" s="25" t="n"/>
      <c r="T31" s="11" t="n"/>
      <c r="U31" s="11" t="n"/>
      <c r="V31" s="11" t="n"/>
    </row>
    <row r="32" ht="30" customHeight="1">
      <c r="A32" s="65" t="inlineStr">
        <is>
          <t>Manufacturing production volume</t>
        </is>
      </c>
      <c r="B32" s="65" t="inlineStr">
        <is>
          <t>index 2019=100</t>
        </is>
      </c>
      <c r="C32" s="65" t="inlineStr">
        <is>
          <t>Staged observation</t>
        </is>
      </c>
      <c r="D32" s="114">
        <f>IF(ISNUMBER('Evidence'!D30),'Evidence'!D30,"")</f>
        <v/>
      </c>
      <c r="E32" s="65" t="inlineStr">
        <is>
          <t>Arithmetic mean of all 12 monthly production indices; 2026… [N131]</t>
        </is>
      </c>
      <c r="F32" s="115">
        <f>IF(ISNUMBER('Evidence'!F30),'Evidence'!F30,"")</f>
        <v/>
      </c>
      <c r="G32" s="115">
        <f>IF(ISNUMBER('Evidence'!G30),'Evidence'!G30,"")</f>
        <v/>
      </c>
      <c r="H32" s="115">
        <f>IF(ISNUMBER('Evidence'!H30),'Evidence'!H30,"")</f>
        <v/>
      </c>
      <c r="I32" s="115">
        <f>IF(ISNUMBER('Evidence'!I30),'Evidence'!I30,"")</f>
        <v/>
      </c>
      <c r="J32" s="115">
        <f>IF(ISNUMBER('Evidence'!J30),'Evidence'!J30,"")</f>
        <v/>
      </c>
      <c r="K32" s="115">
        <f>IF(ISNUMBER('Evidence'!K30),'Evidence'!K30,"")</f>
        <v/>
      </c>
      <c r="L32" s="115">
        <f>IF(ISNUMBER('Evidence'!L30),'Evidence'!L30,"")</f>
        <v/>
      </c>
      <c r="M32" s="115">
        <f>IF(ISNUMBER('Evidence'!M30),'Evidence'!M30,"")</f>
        <v/>
      </c>
      <c r="N32" s="115">
        <f>IF(ISNUMBER('Evidence'!N30),'Evidence'!N30,"")</f>
        <v/>
      </c>
      <c r="O32" s="115">
        <f>IF(ISNUMBER('Evidence'!O30),'Evidence'!O30,"")</f>
        <v/>
      </c>
      <c r="P32" s="115">
        <f>IF(ISNUMBER('Evidence'!P30),'Evidence'!P30,"")</f>
        <v/>
      </c>
      <c r="Q32" s="115">
        <f>IF(ISNUMBER('Evidence'!Q30),'Evidence'!Q30,"")</f>
        <v/>
      </c>
      <c r="R32" s="115">
        <f>IF(ISNUMBER('Evidence'!R30),'Evidence'!R30,"")</f>
        <v/>
      </c>
      <c r="S32" s="115">
        <f>IF(ISNUMBER('Evidence'!S30),'Evidence'!S30,"")</f>
        <v/>
      </c>
      <c r="T32" s="3" t="inlineStr">
        <is>
          <t>Unreviewed source extract; annual cells contain… [N132]</t>
        </is>
      </c>
      <c r="U32" s="3" t="inlineStr">
        <is>
          <t>Evidence row 30;… [N133]</t>
        </is>
      </c>
      <c r="V32" s="3" t="inlineStr">
        <is>
          <t>G06: match subsectors to fuel scope; rebase to… [N134]</t>
        </is>
      </c>
    </row>
    <row r="33" ht="30" customHeight="1">
      <c r="A33" s="65" t="inlineStr">
        <is>
          <t>Manufacturing real GVA</t>
        </is>
      </c>
      <c r="B33" s="65" t="inlineStr">
        <is>
          <t>bn 2015 ZAR</t>
        </is>
      </c>
      <c r="C33" s="65" t="inlineStr">
        <is>
          <t>Staged observation</t>
        </is>
      </c>
      <c r="D33" s="114">
        <f>IF(ISNUMBER('Evidence'!D27),'Evidence'!D27,"")</f>
        <v/>
      </c>
      <c r="E33" s="65" t="inlineStr">
        <is>
          <t>Stats SA annual actual in staged reporting copy. Sector value… [N135]</t>
        </is>
      </c>
      <c r="F33" s="115">
        <f>IF(ISNUMBER('Evidence'!F27),'Evidence'!F27,"")</f>
        <v/>
      </c>
      <c r="G33" s="115">
        <f>IF(ISNUMBER('Evidence'!G27),'Evidence'!G27,"")</f>
        <v/>
      </c>
      <c r="H33" s="115">
        <f>IF(ISNUMBER('Evidence'!H27),'Evidence'!H27,"")</f>
        <v/>
      </c>
      <c r="I33" s="115">
        <f>IF(ISNUMBER('Evidence'!I27),'Evidence'!I27,"")</f>
        <v/>
      </c>
      <c r="J33" s="115">
        <f>IF(ISNUMBER('Evidence'!J27),'Evidence'!J27,"")</f>
        <v/>
      </c>
      <c r="K33" s="115">
        <f>IF(ISNUMBER('Evidence'!K27),'Evidence'!K27,"")</f>
        <v/>
      </c>
      <c r="L33" s="115">
        <f>IF(ISNUMBER('Evidence'!L27),'Evidence'!L27,"")</f>
        <v/>
      </c>
      <c r="M33" s="115">
        <f>IF(ISNUMBER('Evidence'!M27),'Evidence'!M27,"")</f>
        <v/>
      </c>
      <c r="N33" s="115">
        <f>IF(ISNUMBER('Evidence'!N27),'Evidence'!N27,"")</f>
        <v/>
      </c>
      <c r="O33" s="115">
        <f>IF(ISNUMBER('Evidence'!O27),'Evidence'!O27,"")</f>
        <v/>
      </c>
      <c r="P33" s="115">
        <f>IF(ISNUMBER('Evidence'!P27),'Evidence'!P27,"")</f>
        <v/>
      </c>
      <c r="Q33" s="115">
        <f>IF(ISNUMBER('Evidence'!Q27),'Evidence'!Q27,"")</f>
        <v/>
      </c>
      <c r="R33" s="115">
        <f>IF(ISNUMBER('Evidence'!R27),'Evidence'!R27,"")</f>
        <v/>
      </c>
      <c r="S33" s="115">
        <f>IF(ISNUMBER('Evidence'!S27),'Evidence'!S27,"")</f>
        <v/>
      </c>
      <c r="T33" s="3" t="inlineStr">
        <is>
          <t>Unreviewed source extract; annual cells contain… [N136]</t>
        </is>
      </c>
      <c r="U33" s="3" t="inlineStr">
        <is>
          <t>Evidence row 27;… [N137]</t>
        </is>
      </c>
      <c r="V33" s="3" t="inlineStr">
        <is>
          <t>G06: alternative activity proxy, not additive to… [N138]</t>
        </is>
      </c>
    </row>
    <row r="34" ht="30" customHeight="1">
      <c r="A34" s="65" t="inlineStr">
        <is>
          <t>2021 energy-balance industry total</t>
        </is>
      </c>
      <c r="B34" s="65" t="inlineStr">
        <is>
          <t>million L/year</t>
        </is>
      </c>
      <c r="C34" s="65" t="inlineStr">
        <is>
          <t>Staged observation</t>
        </is>
      </c>
      <c r="D34" s="114">
        <f>IF(ISNUMBER('Evidence'!D40),'Evidence'!D40,"")</f>
        <v/>
      </c>
      <c r="E34" s="65" t="inlineStr">
        <is>
          <t>Parent industry total includes mining and construction. It is not… [N139]</t>
        </is>
      </c>
      <c r="F34" s="115" t="n"/>
      <c r="G34" s="115" t="n"/>
      <c r="H34" s="115" t="n"/>
      <c r="I34" s="115" t="n"/>
      <c r="J34" s="115" t="n"/>
      <c r="K34" s="115" t="n"/>
      <c r="L34" s="115" t="n"/>
      <c r="M34" s="115" t="n"/>
      <c r="N34" s="115" t="n"/>
      <c r="O34" s="115" t="n"/>
      <c r="P34" s="115" t="n"/>
      <c r="Q34" s="115" t="n"/>
      <c r="R34" s="115" t="n"/>
      <c r="S34" s="115" t="n"/>
      <c r="T34" s="3" t="inlineStr">
        <is>
          <t>Dated 2021 reference; no numerical split adopted.</t>
        </is>
      </c>
      <c r="U34" s="3" t="inlineStr">
        <is>
          <t>https://github.com/Africa-International-Advisors/liq… [N140]</t>
        </is>
      </c>
      <c r="V34" s="3" t="inlineStr">
        <is>
          <t>G06: reconcile manufacturing subsector rows and… [N141]</t>
        </is>
      </c>
    </row>
    <row r="35" ht="30" customHeight="1">
      <c r="A35" s="65" t="inlineStr">
        <is>
          <t>2021 construction diesel</t>
        </is>
      </c>
      <c r="B35" s="65" t="inlineStr">
        <is>
          <t>million L/year</t>
        </is>
      </c>
      <c r="C35" s="65" t="inlineStr">
        <is>
          <t>Staged observation</t>
        </is>
      </c>
      <c r="D35" s="114">
        <f>IF(ISNUMBER('Evidence'!D41),'Evidence'!D41,"")</f>
        <v/>
      </c>
      <c r="E35" s="65" t="inlineStr">
        <is>
          <t>Construction child of source industry total, shown separately to… [N142]</t>
        </is>
      </c>
      <c r="F35" s="115" t="n"/>
      <c r="G35" s="115" t="n"/>
      <c r="H35" s="115" t="n"/>
      <c r="I35" s="115" t="n"/>
      <c r="J35" s="115" t="n"/>
      <c r="K35" s="115" t="n"/>
      <c r="L35" s="115" t="n"/>
      <c r="M35" s="115" t="n"/>
      <c r="N35" s="115" t="n"/>
      <c r="O35" s="115" t="n"/>
      <c r="P35" s="115" t="n"/>
      <c r="Q35" s="115" t="n"/>
      <c r="R35" s="115" t="n"/>
      <c r="S35" s="115" t="n"/>
      <c r="T35" s="3" t="inlineStr">
        <is>
          <t>Older source anchor only.</t>
        </is>
      </c>
      <c r="U35" s="3" t="inlineStr">
        <is>
          <t>https://github.com/Africa-International-Advisors/liq… [N143]</t>
        </is>
      </c>
      <c r="V35" s="3" t="inlineStr">
        <is>
          <t>G06/G07: retain construction/other when splitting… [N144]</t>
        </is>
      </c>
    </row>
    <row r="36" ht="8" customHeight="1">
      <c r="A36" s="102" t="n"/>
      <c r="B36" s="102" t="n"/>
      <c r="C36" s="102" t="n"/>
      <c r="D36" s="102" t="n"/>
      <c r="E36" s="102" t="n"/>
      <c r="F36" s="104" t="n"/>
      <c r="G36" s="104" t="n"/>
      <c r="H36" s="104" t="n"/>
      <c r="I36" s="104" t="n"/>
      <c r="J36" s="104" t="n"/>
      <c r="K36" s="104" t="n"/>
      <c r="L36" s="104" t="n"/>
      <c r="M36" s="104" t="n"/>
      <c r="N36" s="104" t="n"/>
      <c r="O36" s="104" t="n"/>
      <c r="P36" s="104" t="n"/>
      <c r="Q36" s="104" t="n"/>
      <c r="R36" s="104" t="n"/>
      <c r="S36" s="104" t="n"/>
      <c r="T36" s="3" t="n"/>
      <c r="U36" s="3" t="n"/>
      <c r="V36" s="3" t="n"/>
    </row>
    <row r="37" ht="8" customHeight="1">
      <c r="A37" s="102" t="n"/>
      <c r="B37" s="102" t="n"/>
      <c r="C37" s="102" t="n"/>
      <c r="D37" s="102" t="n"/>
      <c r="E37" s="102" t="n"/>
      <c r="F37" s="104" t="n"/>
      <c r="G37" s="104" t="n"/>
      <c r="H37" s="104" t="n"/>
      <c r="I37" s="104" t="n"/>
      <c r="J37" s="104" t="n"/>
      <c r="K37" s="104" t="n"/>
      <c r="L37" s="104" t="n"/>
      <c r="M37" s="104" t="n"/>
      <c r="N37" s="104" t="n"/>
      <c r="O37" s="104" t="n"/>
      <c r="P37" s="104" t="n"/>
      <c r="Q37" s="104" t="n"/>
      <c r="R37" s="104" t="n"/>
      <c r="S37" s="104" t="n"/>
      <c r="T37" s="3" t="n"/>
      <c r="U37" s="3" t="n"/>
      <c r="V37" s="3" t="n"/>
    </row>
    <row r="38" ht="8" customHeight="1">
      <c r="A38" s="102" t="n"/>
      <c r="B38" s="102" t="n"/>
      <c r="C38" s="102" t="n"/>
      <c r="D38" s="102" t="n"/>
      <c r="E38" s="102" t="n"/>
      <c r="F38" s="104" t="n"/>
      <c r="G38" s="104" t="n"/>
      <c r="H38" s="104" t="n"/>
      <c r="I38" s="104" t="n"/>
      <c r="J38" s="104" t="n"/>
      <c r="K38" s="104" t="n"/>
      <c r="L38" s="104" t="n"/>
      <c r="M38" s="104" t="n"/>
      <c r="N38" s="104" t="n"/>
      <c r="O38" s="104" t="n"/>
      <c r="P38" s="104" t="n"/>
      <c r="Q38" s="104" t="n"/>
      <c r="R38" s="104" t="n"/>
      <c r="S38" s="104" t="n"/>
      <c r="T38" s="3" t="n"/>
      <c r="U38" s="3" t="n"/>
      <c r="V38" s="3" t="n"/>
    </row>
    <row r="39" ht="8" customHeight="1">
      <c r="A39" s="102" t="n"/>
      <c r="B39" s="102" t="n"/>
      <c r="C39" s="102" t="n"/>
      <c r="D39" s="102" t="n"/>
      <c r="E39" s="102" t="n"/>
      <c r="F39" s="104" t="n"/>
      <c r="G39" s="104" t="n"/>
      <c r="H39" s="104" t="n"/>
      <c r="I39" s="104" t="n"/>
      <c r="J39" s="104" t="n"/>
      <c r="K39" s="104" t="n"/>
      <c r="L39" s="104" t="n"/>
      <c r="M39" s="104" t="n"/>
      <c r="N39" s="104" t="n"/>
      <c r="O39" s="104" t="n"/>
      <c r="P39" s="104" t="n"/>
      <c r="Q39" s="104" t="n"/>
      <c r="R39" s="104" t="n"/>
      <c r="S39" s="104" t="n"/>
      <c r="T39" s="3" t="n"/>
      <c r="U39" s="3" t="n"/>
      <c r="V39" s="3" t="n"/>
    </row>
    <row r="40" ht="8" customHeight="1">
      <c r="A40" s="102" t="n"/>
      <c r="B40" s="102" t="n"/>
      <c r="C40" s="102" t="n"/>
      <c r="D40" s="102" t="n"/>
      <c r="E40" s="102" t="n"/>
      <c r="F40" s="104" t="n"/>
      <c r="G40" s="104" t="n"/>
      <c r="H40" s="104" t="n"/>
      <c r="I40" s="104" t="n"/>
      <c r="J40" s="104" t="n"/>
      <c r="K40" s="104" t="n"/>
      <c r="L40" s="104" t="n"/>
      <c r="M40" s="104" t="n"/>
      <c r="N40" s="104" t="n"/>
      <c r="O40" s="104" t="n"/>
      <c r="P40" s="104" t="n"/>
      <c r="Q40" s="104" t="n"/>
      <c r="R40" s="104" t="n"/>
      <c r="S40" s="104" t="n"/>
      <c r="T40" s="3" t="n"/>
      <c r="U40" s="3" t="n"/>
      <c r="V40" s="3" t="n"/>
    </row>
    <row r="41" ht="8" customHeight="1">
      <c r="A41" s="102" t="n"/>
      <c r="B41" s="102" t="n"/>
      <c r="C41" s="102" t="n"/>
      <c r="D41" s="102" t="n"/>
      <c r="E41" s="102" t="n"/>
      <c r="F41" s="104" t="n"/>
      <c r="G41" s="104" t="n"/>
      <c r="H41" s="104" t="n"/>
      <c r="I41" s="104" t="n"/>
      <c r="J41" s="104" t="n"/>
      <c r="K41" s="104" t="n"/>
      <c r="L41" s="104" t="n"/>
      <c r="M41" s="104" t="n"/>
      <c r="N41" s="104" t="n"/>
      <c r="O41" s="104" t="n"/>
      <c r="P41" s="104" t="n"/>
      <c r="Q41" s="104" t="n"/>
      <c r="R41" s="104" t="n"/>
      <c r="S41" s="104" t="n"/>
      <c r="T41" s="3" t="n"/>
      <c r="U41" s="3" t="n"/>
      <c r="V41" s="3" t="n"/>
    </row>
    <row r="42" ht="8" customHeight="1">
      <c r="A42" s="102" t="n"/>
      <c r="B42" s="102" t="n"/>
      <c r="C42" s="102" t="n"/>
      <c r="D42" s="102" t="n"/>
      <c r="E42" s="102" t="n"/>
      <c r="F42" s="104" t="n"/>
      <c r="G42" s="104" t="n"/>
      <c r="H42" s="104" t="n"/>
      <c r="I42" s="104" t="n"/>
      <c r="J42" s="104" t="n"/>
      <c r="K42" s="104" t="n"/>
      <c r="L42" s="104" t="n"/>
      <c r="M42" s="104" t="n"/>
      <c r="N42" s="104" t="n"/>
      <c r="O42" s="104" t="n"/>
      <c r="P42" s="104" t="n"/>
      <c r="Q42" s="104" t="n"/>
      <c r="R42" s="104" t="n"/>
      <c r="S42" s="104" t="n"/>
      <c r="T42" s="3" t="n"/>
      <c r="U42" s="3" t="n"/>
      <c r="V42" s="3" t="n"/>
    </row>
    <row r="43" ht="8" customHeight="1">
      <c r="A43" s="102" t="n"/>
      <c r="B43" s="102" t="n"/>
      <c r="C43" s="102" t="n"/>
      <c r="D43" s="102" t="n"/>
      <c r="E43" s="102" t="n"/>
      <c r="F43" s="104" t="n"/>
      <c r="G43" s="104" t="n"/>
      <c r="H43" s="104" t="n"/>
      <c r="I43" s="104" t="n"/>
      <c r="J43" s="104" t="n"/>
      <c r="K43" s="104" t="n"/>
      <c r="L43" s="104" t="n"/>
      <c r="M43" s="104" t="n"/>
      <c r="N43" s="104" t="n"/>
      <c r="O43" s="104" t="n"/>
      <c r="P43" s="104" t="n"/>
      <c r="Q43" s="104" t="n"/>
      <c r="R43" s="104" t="n"/>
      <c r="S43" s="104" t="n"/>
      <c r="T43" s="3" t="n"/>
      <c r="U43" s="3" t="n"/>
      <c r="V43" s="3" t="n"/>
    </row>
    <row r="44" ht="8" customHeight="1">
      <c r="A44" s="102" t="n"/>
      <c r="B44" s="102" t="n"/>
      <c r="C44" s="102" t="n"/>
      <c r="D44" s="102" t="n"/>
      <c r="E44" s="102" t="n"/>
      <c r="F44" s="104" t="n"/>
      <c r="G44" s="104" t="n"/>
      <c r="H44" s="104" t="n"/>
      <c r="I44" s="104" t="n"/>
      <c r="J44" s="104" t="n"/>
      <c r="K44" s="104" t="n"/>
      <c r="L44" s="104" t="n"/>
      <c r="M44" s="104" t="n"/>
      <c r="N44" s="104" t="n"/>
      <c r="O44" s="104" t="n"/>
      <c r="P44" s="104" t="n"/>
      <c r="Q44" s="104" t="n"/>
      <c r="R44" s="104" t="n"/>
      <c r="S44" s="104" t="n"/>
      <c r="T44" s="3" t="n"/>
      <c r="U44" s="3" t="n"/>
      <c r="V44" s="3" t="n"/>
    </row>
    <row r="45" ht="8" customHeight="1">
      <c r="A45" s="102" t="n"/>
      <c r="B45" s="102" t="n"/>
      <c r="C45" s="102" t="n"/>
      <c r="D45" s="102" t="n"/>
      <c r="E45" s="102" t="n"/>
      <c r="F45" s="104" t="n"/>
      <c r="G45" s="104" t="n"/>
      <c r="H45" s="104" t="n"/>
      <c r="I45" s="104" t="n"/>
      <c r="J45" s="104" t="n"/>
      <c r="K45" s="104" t="n"/>
      <c r="L45" s="104" t="n"/>
      <c r="M45" s="104" t="n"/>
      <c r="N45" s="104" t="n"/>
      <c r="O45" s="104" t="n"/>
      <c r="P45" s="104" t="n"/>
      <c r="Q45" s="104" t="n"/>
      <c r="R45" s="104" t="n"/>
      <c r="S45" s="104" t="n"/>
      <c r="T45" s="3" t="n"/>
      <c r="U45" s="3" t="n"/>
      <c r="V45" s="3" t="n"/>
    </row>
    <row r="46" ht="8" customHeight="1">
      <c r="A46" s="102" t="n"/>
      <c r="B46" s="102" t="n"/>
      <c r="C46" s="102" t="n"/>
      <c r="D46" s="102" t="n"/>
      <c r="E46" s="102" t="n"/>
      <c r="F46" s="104" t="n"/>
      <c r="G46" s="104" t="n"/>
      <c r="H46" s="104" t="n"/>
      <c r="I46" s="104" t="n"/>
      <c r="J46" s="104" t="n"/>
      <c r="K46" s="104" t="n"/>
      <c r="L46" s="104" t="n"/>
      <c r="M46" s="104" t="n"/>
      <c r="N46" s="104" t="n"/>
      <c r="O46" s="104" t="n"/>
      <c r="P46" s="104" t="n"/>
      <c r="Q46" s="104" t="n"/>
      <c r="R46" s="104" t="n"/>
      <c r="S46" s="104" t="n"/>
      <c r="T46" s="3" t="n"/>
      <c r="U46" s="3" t="n"/>
      <c r="V46" s="3" t="n"/>
    </row>
    <row r="47" ht="8" customHeight="1">
      <c r="A47" s="102" t="n"/>
      <c r="B47" s="102" t="n"/>
      <c r="C47" s="102" t="n"/>
      <c r="D47" s="102" t="n"/>
      <c r="E47" s="102" t="n"/>
      <c r="F47" s="104" t="n"/>
      <c r="G47" s="104" t="n"/>
      <c r="H47" s="104" t="n"/>
      <c r="I47" s="104" t="n"/>
      <c r="J47" s="104" t="n"/>
      <c r="K47" s="104" t="n"/>
      <c r="L47" s="104" t="n"/>
      <c r="M47" s="104" t="n"/>
      <c r="N47" s="104" t="n"/>
      <c r="O47" s="104" t="n"/>
      <c r="P47" s="104" t="n"/>
      <c r="Q47" s="104" t="n"/>
      <c r="R47" s="104" t="n"/>
      <c r="S47" s="104" t="n"/>
      <c r="T47" s="3" t="n"/>
      <c r="U47" s="3" t="n"/>
      <c r="V47" s="3" t="n"/>
    </row>
    <row r="48" ht="8" customHeight="1">
      <c r="A48" s="102" t="n"/>
      <c r="B48" s="102" t="n"/>
      <c r="C48" s="102" t="n"/>
      <c r="D48" s="102" t="n"/>
      <c r="E48" s="102" t="n"/>
      <c r="F48" s="104" t="n"/>
      <c r="G48" s="104" t="n"/>
      <c r="H48" s="104" t="n"/>
      <c r="I48" s="104" t="n"/>
      <c r="J48" s="104" t="n"/>
      <c r="K48" s="104" t="n"/>
      <c r="L48" s="104" t="n"/>
      <c r="M48" s="104" t="n"/>
      <c r="N48" s="104" t="n"/>
      <c r="O48" s="104" t="n"/>
      <c r="P48" s="104" t="n"/>
      <c r="Q48" s="104" t="n"/>
      <c r="R48" s="104" t="n"/>
      <c r="S48" s="104" t="n"/>
      <c r="T48" s="3" t="n"/>
      <c r="U48" s="3" t="n"/>
      <c r="V48" s="3" t="n"/>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V42"/>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Mining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Proposed separate sector block • Separate off-road mine equipment from public-road freight and private generation.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Separate mining assumptions to agree</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Reviewed mining baseline</t>
        </is>
      </c>
      <c r="B6" s="3" t="inlineStr">
        <is>
          <t>million L/year</t>
        </is>
      </c>
      <c r="C6" s="3" t="inlineStr">
        <is>
          <t>Workshop input</t>
        </is>
      </c>
      <c r="D6" s="118" t="n"/>
      <c r="E6" s="10" t="inlineStr">
        <is>
          <t>2021 mining fuel is shown in row 31. Source newer years and… [N145]</t>
        </is>
      </c>
      <c r="F6" s="119" t="n"/>
      <c r="G6" s="119" t="n"/>
      <c r="H6" s="119" t="n"/>
      <c r="I6" s="119" t="n"/>
      <c r="J6" s="119" t="n"/>
      <c r="K6" s="119" t="n"/>
      <c r="L6" s="119" t="n"/>
      <c r="M6" s="119" t="n"/>
      <c r="N6" s="119" t="n"/>
      <c r="O6" s="119" t="n"/>
      <c r="P6" s="119" t="n"/>
      <c r="Q6" s="119" t="n"/>
      <c r="R6" s="119" t="n"/>
      <c r="S6" s="119" t="n"/>
      <c r="T6" s="3" t="n"/>
      <c r="U6" s="3" t="n"/>
      <c r="V6" s="3" t="n"/>
    </row>
    <row r="7" ht="30" customHeight="1">
      <c r="A7" s="3" t="inlineStr">
        <is>
          <t>Baseline year</t>
        </is>
      </c>
      <c r="B7" s="3" t="inlineStr">
        <is>
          <t>year</t>
        </is>
      </c>
      <c r="C7" s="3" t="inlineStr">
        <is>
          <t>Workshop input</t>
        </is>
      </c>
      <c r="D7" s="136" t="n"/>
      <c r="E7" s="10" t="inlineStr">
        <is>
          <t>Match the activity and fuel observation periods.</t>
        </is>
      </c>
      <c r="F7" s="137" t="n"/>
      <c r="G7" s="137" t="n"/>
      <c r="H7" s="137" t="n"/>
      <c r="I7" s="137" t="n"/>
      <c r="J7" s="137" t="n"/>
      <c r="K7" s="137" t="n"/>
      <c r="L7" s="137" t="n"/>
      <c r="M7" s="137" t="n"/>
      <c r="N7" s="137" t="n"/>
      <c r="O7" s="137" t="n"/>
      <c r="P7" s="137" t="n"/>
      <c r="Q7" s="137" t="n"/>
      <c r="R7" s="137" t="n"/>
      <c r="S7" s="137" t="n"/>
      <c r="T7" s="3" t="n"/>
      <c r="U7" s="3" t="n"/>
      <c r="V7" s="3" t="n"/>
    </row>
    <row r="8" ht="30" customHeight="1">
      <c r="A8" s="3" t="inlineStr">
        <is>
          <t>Mining activity index</t>
        </is>
      </c>
      <c r="B8" s="3" t="inlineStr">
        <is>
          <t>base year = 100</t>
        </is>
      </c>
      <c r="C8" s="3" t="inlineStr">
        <is>
          <t>Workshop input</t>
        </is>
      </c>
      <c r="D8" s="118" t="n"/>
      <c r="E8" s="10" t="inlineStr">
        <is>
          <t>Production index and GVA now appear in rows 29–30. Select one… [N146]</t>
        </is>
      </c>
      <c r="F8" s="119" t="n"/>
      <c r="G8" s="119" t="n"/>
      <c r="H8" s="119" t="n"/>
      <c r="I8" s="119" t="n"/>
      <c r="J8" s="119" t="n"/>
      <c r="K8" s="119" t="n"/>
      <c r="L8" s="119" t="n"/>
      <c r="M8" s="119" t="n"/>
      <c r="N8" s="119" t="n"/>
      <c r="O8" s="119" t="n"/>
      <c r="P8" s="119" t="n"/>
      <c r="Q8" s="119" t="n"/>
      <c r="R8" s="119" t="n"/>
      <c r="S8" s="119" t="n"/>
      <c r="T8" s="3" t="n"/>
      <c r="U8" s="3" t="n"/>
      <c r="V8" s="3" t="n"/>
    </row>
    <row r="9" ht="30" customHeight="1">
      <c r="A9" s="3" t="inlineStr">
        <is>
          <t>Relative operating intensity</t>
        </is>
      </c>
      <c r="B9" s="3" t="inlineStr">
        <is>
          <t>base year = 1</t>
        </is>
      </c>
      <c r="C9" s="3" t="inlineStr">
        <is>
          <t>Workshop input</t>
        </is>
      </c>
      <c r="D9" s="118" t="n"/>
      <c r="E9" s="10" t="inlineStr">
        <is>
          <t>Reflect depth, haul work, equipment mix and efficiency. Avoid… [N147]</t>
        </is>
      </c>
      <c r="F9" s="119" t="n"/>
      <c r="G9" s="119" t="n"/>
      <c r="H9" s="119" t="n"/>
      <c r="I9" s="119" t="n"/>
      <c r="J9" s="119" t="n"/>
      <c r="K9" s="119" t="n"/>
      <c r="L9" s="119" t="n"/>
      <c r="M9" s="119" t="n"/>
      <c r="N9" s="119" t="n"/>
      <c r="O9" s="119" t="n"/>
      <c r="P9" s="119" t="n"/>
      <c r="Q9" s="119" t="n"/>
      <c r="R9" s="119" t="n"/>
      <c r="S9" s="119" t="n"/>
      <c r="T9" s="3" t="n"/>
      <c r="U9" s="3" t="n"/>
      <c r="V9" s="3" t="n"/>
    </row>
    <row r="10" ht="30" customHeight="1">
      <c r="A10" s="3" t="inlineStr">
        <is>
          <t>Electrification: remaining diesel fraction</t>
        </is>
      </c>
      <c r="B10" s="3" t="inlineStr">
        <is>
          <t>base year = 1</t>
        </is>
      </c>
      <c r="C10" s="3" t="inlineStr">
        <is>
          <t>Workshop input</t>
        </is>
      </c>
      <c r="D10" s="118" t="n"/>
      <c r="E10" s="10" t="inlineStr">
        <is>
          <t>Eligible off-road diesel work retained after switching equipment… [N148]</t>
        </is>
      </c>
      <c r="F10" s="119" t="n"/>
      <c r="G10" s="119" t="n"/>
      <c r="H10" s="119" t="n"/>
      <c r="I10" s="119" t="n"/>
      <c r="J10" s="119" t="n"/>
      <c r="K10" s="119" t="n"/>
      <c r="L10" s="119" t="n"/>
      <c r="M10" s="119" t="n"/>
      <c r="N10" s="119" t="n"/>
      <c r="O10" s="119" t="n"/>
      <c r="P10" s="119" t="n"/>
      <c r="Q10" s="119" t="n"/>
      <c r="R10" s="119" t="n"/>
      <c r="S10" s="119" t="n"/>
      <c r="T10" s="3" t="n"/>
      <c r="U10" s="3" t="n"/>
      <c r="V10" s="3" t="n"/>
    </row>
    <row r="11" ht="30" customHeight="1">
      <c r="A11" s="3" t="inlineStr">
        <is>
          <t>Mine backup generation</t>
        </is>
      </c>
      <c r="B11" s="3" t="inlineStr">
        <is>
          <t>scope decision</t>
        </is>
      </c>
      <c r="C11" s="3" t="inlineStr">
        <is>
          <t>Workshop input</t>
        </is>
      </c>
      <c r="D11" s="118" t="n"/>
      <c r="E11" s="10" t="inlineStr">
        <is>
          <t>Separate from machinery; count in mining OR private generation once.</t>
        </is>
      </c>
      <c r="F11" s="119" t="n"/>
      <c r="G11" s="119" t="n"/>
      <c r="H11" s="119" t="n"/>
      <c r="I11" s="119" t="n"/>
      <c r="J11" s="119" t="n"/>
      <c r="K11" s="119" t="n"/>
      <c r="L11" s="119" t="n"/>
      <c r="M11" s="119" t="n"/>
      <c r="N11" s="119" t="n"/>
      <c r="O11" s="119" t="n"/>
      <c r="P11" s="119" t="n"/>
      <c r="Q11" s="119" t="n"/>
      <c r="R11" s="119" t="n"/>
      <c r="S11" s="119" t="n"/>
      <c r="T11" s="3" t="n"/>
      <c r="U11" s="3" t="n"/>
      <c r="V11" s="3" t="n"/>
    </row>
    <row r="12" ht="30" customHeight="1">
      <c r="A12" s="3" t="inlineStr">
        <is>
          <t>Provincial site / activity allocation</t>
        </is>
      </c>
      <c r="B12" s="3" t="inlineStr">
        <is>
          <t>share or local index</t>
        </is>
      </c>
      <c r="C12" s="3" t="inlineStr">
        <is>
          <t>Workshop input</t>
        </is>
      </c>
      <c r="D12" s="118" t="n"/>
      <c r="E12" s="10" t="inlineStr">
        <is>
          <t>Locate mine demand by site/activity; use explicit unallocated… [N149]</t>
        </is>
      </c>
      <c r="F12" s="119" t="n"/>
      <c r="G12" s="119" t="n"/>
      <c r="H12" s="119" t="n"/>
      <c r="I12" s="119" t="n"/>
      <c r="J12" s="119" t="n"/>
      <c r="K12" s="119" t="n"/>
      <c r="L12" s="119" t="n"/>
      <c r="M12" s="119" t="n"/>
      <c r="N12" s="119" t="n"/>
      <c r="O12" s="119" t="n"/>
      <c r="P12" s="119" t="n"/>
      <c r="Q12" s="119" t="n"/>
      <c r="R12" s="119" t="n"/>
      <c r="S12" s="119" t="n"/>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Proposed calculated demand</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3" t="inlineStr">
        <is>
          <t>Mining diesel demand</t>
        </is>
      </c>
      <c r="B15" s="3" t="inlineStr">
        <is>
          <t>million L/year</t>
        </is>
      </c>
      <c r="C15" s="3" t="inlineStr">
        <is>
          <t>Proposed output</t>
        </is>
      </c>
      <c r="D15" s="121" t="n"/>
      <c r="E15" s="3" t="inlineStr">
        <is>
          <t>Baseline × activity/100 × relative intensity × remaining diesel… [N150]</t>
        </is>
      </c>
      <c r="F15" s="122" t="n"/>
      <c r="G15" s="122" t="n"/>
      <c r="H15" s="122" t="n"/>
      <c r="I15" s="122" t="n"/>
      <c r="J15" s="122" t="n"/>
      <c r="K15" s="122" t="n"/>
      <c r="L15" s="122" t="n"/>
      <c r="M15" s="122" t="n"/>
      <c r="N15" s="122" t="n"/>
      <c r="O15" s="122" t="n"/>
      <c r="P15" s="122" t="n"/>
      <c r="Q15" s="122" t="n"/>
      <c r="R15" s="122" t="n"/>
      <c r="S15" s="122" t="n"/>
      <c r="T15" s="3" t="n"/>
      <c r="U15" s="3" t="n"/>
      <c r="V15" s="3" t="n"/>
    </row>
    <row r="16" ht="30" customHeight="1">
      <c r="A16" s="3" t="inlineStr">
        <is>
          <t>Observed mining diesel</t>
        </is>
      </c>
      <c r="B16" s="3" t="inlineStr">
        <is>
          <t>million L/year</t>
        </is>
      </c>
      <c r="C16" s="3" t="inlineStr">
        <is>
          <t>Workshop input</t>
        </is>
      </c>
      <c r="D16" s="118" t="n"/>
      <c r="E16" s="10" t="inlineStr">
        <is>
          <t>Matched mining scope; separate public-road haul and process/backup uses.</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Calculated less observed demand</t>
        </is>
      </c>
      <c r="B17" s="3" t="inlineStr">
        <is>
          <t>million L/year</t>
        </is>
      </c>
      <c r="C17" s="3" t="inlineStr">
        <is>
          <t>Proposed output</t>
        </is>
      </c>
      <c r="D17" s="121" t="n"/>
      <c r="E17" s="3" t="inlineStr">
        <is>
          <t>No numerical forecast or observed comparison until the sector… [N151]</t>
        </is>
      </c>
      <c r="F17" s="122" t="n"/>
      <c r="G17" s="122" t="n"/>
      <c r="H17" s="122" t="n"/>
      <c r="I17" s="122" t="n"/>
      <c r="J17" s="122" t="n"/>
      <c r="K17" s="122" t="n"/>
      <c r="L17" s="122" t="n"/>
      <c r="M17" s="122" t="n"/>
      <c r="N17" s="122" t="n"/>
      <c r="O17" s="122" t="n"/>
      <c r="P17" s="122" t="n"/>
      <c r="Q17" s="122" t="n"/>
      <c r="R17" s="122" t="n"/>
      <c r="S17" s="122" t="n"/>
      <c r="T17" s="3" t="n"/>
      <c r="U17" s="3" t="n"/>
      <c r="V17" s="3" t="n"/>
    </row>
    <row r="18" ht="8" customHeight="1">
      <c r="A18" s="3" t="n"/>
      <c r="B18" s="3" t="n"/>
      <c r="C18" s="3" t="n"/>
      <c r="D18" s="3" t="n"/>
      <c r="E18" s="3" t="n"/>
      <c r="F18" s="6" t="n"/>
      <c r="G18" s="6" t="n"/>
      <c r="H18" s="6" t="n"/>
      <c r="I18" s="6" t="n"/>
      <c r="J18" s="6" t="n"/>
      <c r="K18" s="6" t="n"/>
      <c r="L18" s="6" t="n"/>
      <c r="M18" s="6" t="n"/>
      <c r="N18" s="6" t="n"/>
      <c r="O18" s="6" t="n"/>
      <c r="P18" s="6" t="n"/>
      <c r="Q18" s="6" t="n"/>
      <c r="R18" s="6" t="n"/>
      <c r="S18" s="6" t="n"/>
      <c r="T18" s="3" t="n"/>
      <c r="U18" s="3" t="n"/>
      <c r="V18" s="3" t="n"/>
    </row>
    <row r="19" ht="28" customHeight="1">
      <c r="A19" s="12" t="inlineStr">
        <is>
          <t>Reconciliation and workshop decisions</t>
        </is>
      </c>
      <c r="B19" s="11" t="n"/>
      <c r="C19" s="11" t="n"/>
      <c r="D19" s="11" t="n"/>
      <c r="E19" s="11" t="n"/>
      <c r="F19" s="25" t="n"/>
      <c r="G19" s="25" t="n"/>
      <c r="H19" s="25" t="n"/>
      <c r="I19" s="25" t="n"/>
      <c r="J19" s="25" t="n"/>
      <c r="K19" s="25" t="n"/>
      <c r="L19" s="25" t="n"/>
      <c r="M19" s="25" t="n"/>
      <c r="N19" s="25" t="n"/>
      <c r="O19" s="25" t="n"/>
      <c r="P19" s="25" t="n"/>
      <c r="Q19" s="25" t="n"/>
      <c r="R19" s="25" t="n"/>
      <c r="S19" s="25" t="n"/>
      <c r="T19" s="3" t="n"/>
      <c r="U19" s="3" t="n"/>
      <c r="V19" s="3" t="n"/>
    </row>
    <row r="20" ht="30" customHeight="1">
      <c r="A20" s="3" t="inlineStr">
        <is>
          <t>Current combined model reference</t>
        </is>
      </c>
      <c r="B20" s="3" t="inlineStr">
        <is>
          <t>cross-reference</t>
        </is>
      </c>
      <c r="C20" s="3" t="inlineStr">
        <is>
          <t>Source</t>
        </is>
      </c>
      <c r="D20" s="121" t="n"/>
      <c r="E20" s="3" t="inlineStr">
        <is>
          <t>Manufacturing rows 20–24 hold the combined industrial… [N152]</t>
        </is>
      </c>
      <c r="F20" s="122" t="n"/>
      <c r="G20" s="122" t="n"/>
      <c r="H20" s="122" t="n"/>
      <c r="I20" s="122" t="n"/>
      <c r="J20" s="122" t="n"/>
      <c r="K20" s="122" t="n"/>
      <c r="L20" s="122" t="n"/>
      <c r="M20" s="122" t="n"/>
      <c r="N20" s="122" t="n"/>
      <c r="O20" s="122" t="n"/>
      <c r="P20" s="122" t="n"/>
      <c r="Q20" s="122" t="n"/>
      <c r="R20" s="122" t="n"/>
      <c r="S20" s="122" t="n"/>
      <c r="T20" s="3" t="n"/>
      <c r="U20" s="3" t="n"/>
      <c r="V20" s="3" t="n"/>
    </row>
    <row r="21" ht="30" customHeight="1">
      <c r="A21" s="3" t="inlineStr">
        <is>
          <t>Public-road freight boundary</t>
        </is>
      </c>
      <c r="B21" s="3" t="inlineStr">
        <is>
          <t>decision</t>
        </is>
      </c>
      <c r="C21" s="3" t="inlineStr">
        <is>
          <t>Workshop input</t>
        </is>
      </c>
      <c r="D21" s="118" t="n"/>
      <c r="E21" s="10" t="inlineStr">
        <is>
          <t>Mine-to-port road trucks belong to freight if already in that… [N153]</t>
        </is>
      </c>
      <c r="F21" s="119" t="n"/>
      <c r="G21" s="119" t="n"/>
      <c r="H21" s="119" t="n"/>
      <c r="I21" s="119" t="n"/>
      <c r="J21" s="119" t="n"/>
      <c r="K21" s="119" t="n"/>
      <c r="L21" s="119" t="n"/>
      <c r="M21" s="119" t="n"/>
      <c r="N21" s="119" t="n"/>
      <c r="O21" s="119" t="n"/>
      <c r="P21" s="119" t="n"/>
      <c r="Q21" s="119" t="n"/>
      <c r="R21" s="119" t="n"/>
      <c r="S21" s="119" t="n"/>
      <c r="T21" s="3" t="n"/>
      <c r="U21" s="3" t="n"/>
      <c r="V21" s="3" t="n"/>
    </row>
    <row r="22" ht="30" customHeight="1">
      <c r="A22" s="3" t="inlineStr">
        <is>
          <t>Construction and other remainder</t>
        </is>
      </c>
      <c r="B22" s="3" t="inlineStr">
        <is>
          <t>decision</t>
        </is>
      </c>
      <c r="C22" s="3" t="inlineStr">
        <is>
          <t>Workshop input</t>
        </is>
      </c>
      <c r="D22" s="118" t="n"/>
      <c r="E22" s="10" t="inlineStr">
        <is>
          <t>Reconcile the combined baseline with manufacturing, mining and… [N154]</t>
        </is>
      </c>
      <c r="F22" s="119" t="n"/>
      <c r="G22" s="119" t="n"/>
      <c r="H22" s="119" t="n"/>
      <c r="I22" s="119" t="n"/>
      <c r="J22" s="119" t="n"/>
      <c r="K22" s="119" t="n"/>
      <c r="L22" s="119" t="n"/>
      <c r="M22" s="119" t="n"/>
      <c r="N22" s="119" t="n"/>
      <c r="O22" s="119" t="n"/>
      <c r="P22" s="119" t="n"/>
      <c r="Q22" s="119" t="n"/>
      <c r="R22" s="119" t="n"/>
      <c r="S22" s="119" t="n"/>
      <c r="T22" s="3" t="n"/>
      <c r="U22" s="3" t="n"/>
      <c r="V22" s="3" t="n"/>
    </row>
    <row r="23" ht="8" customHeight="1">
      <c r="A23" s="3" t="n"/>
      <c r="B23" s="3" t="n"/>
      <c r="C23" s="3" t="n"/>
      <c r="D23" s="3" t="n"/>
      <c r="E23" s="3" t="n"/>
      <c r="F23" s="6" t="n"/>
      <c r="G23" s="6" t="n"/>
      <c r="H23" s="6" t="n"/>
      <c r="I23" s="6" t="n"/>
      <c r="J23" s="6" t="n"/>
      <c r="K23" s="6" t="n"/>
      <c r="L23" s="6" t="n"/>
      <c r="M23" s="6" t="n"/>
      <c r="N23" s="6" t="n"/>
      <c r="O23" s="6" t="n"/>
      <c r="P23" s="6" t="n"/>
      <c r="Q23" s="6" t="n"/>
      <c r="R23" s="6" t="n"/>
      <c r="S23" s="6" t="n"/>
      <c r="T23" s="3" t="n"/>
      <c r="U23" s="3" t="n"/>
      <c r="V23" s="3" t="n"/>
    </row>
    <row r="24" ht="30" customHeight="1">
      <c r="A24" s="3" t="inlineStr">
        <is>
          <t>H/M/L brackets and reference case</t>
        </is>
      </c>
      <c r="B24" s="3" t="inlineStr">
        <is>
          <t>decision</t>
        </is>
      </c>
      <c r="C24" s="3" t="inlineStr">
        <is>
          <t>Workshop input</t>
        </is>
      </c>
      <c r="D24" s="118" t="n"/>
      <c r="E24" s="10" t="inlineStr">
        <is>
          <t>Agree mining activity, intensity and electrification separately.… [N155]</t>
        </is>
      </c>
      <c r="F24" s="119" t="n"/>
      <c r="G24" s="119" t="n"/>
      <c r="H24" s="119" t="n"/>
      <c r="I24" s="119" t="n"/>
      <c r="J24" s="119" t="n"/>
      <c r="K24" s="119" t="n"/>
      <c r="L24" s="119" t="n"/>
      <c r="M24" s="119" t="n"/>
      <c r="N24" s="119" t="n"/>
      <c r="O24" s="119" t="n"/>
      <c r="P24" s="119" t="n"/>
      <c r="Q24" s="119" t="n"/>
      <c r="R24" s="119" t="n"/>
      <c r="S24" s="119" t="n"/>
      <c r="T24" s="3" t="n"/>
      <c r="U24" s="3" t="n"/>
      <c r="V24" s="3" t="n"/>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30" customHeight="1">
      <c r="A26" s="3" t="inlineStr">
        <is>
          <t>Input source</t>
        </is>
      </c>
      <c r="B26" s="3" t="inlineStr">
        <is>
          <t>URL</t>
        </is>
      </c>
      <c r="C26" s="3" t="inlineStr">
        <is>
          <t>Source</t>
        </is>
      </c>
      <c r="D26" s="121" t="n"/>
      <c r="E26" s="3" t="inlineStr">
        <is>
          <t>https://github.com/Africa-International-Advisors/liquid_fuels_mode… [N156]</t>
        </is>
      </c>
      <c r="F26" s="122" t="n"/>
      <c r="G26" s="122" t="n"/>
      <c r="H26" s="122" t="n"/>
      <c r="I26" s="122" t="n"/>
      <c r="J26" s="122" t="n"/>
      <c r="K26" s="122" t="n"/>
      <c r="L26" s="122" t="n"/>
      <c r="M26" s="122" t="n"/>
      <c r="N26" s="122" t="n"/>
      <c r="O26" s="122" t="n"/>
      <c r="P26" s="122" t="n"/>
      <c r="Q26" s="122" t="n"/>
      <c r="R26" s="122" t="n"/>
      <c r="S26" s="122"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28" customHeight="1">
      <c r="A28" s="12" t="inlineStr">
        <is>
          <t>Available mining evidence</t>
        </is>
      </c>
      <c r="B28" s="11" t="n"/>
      <c r="C28" s="11" t="n"/>
      <c r="D28" s="11" t="n"/>
      <c r="E28" s="11" t="n"/>
      <c r="F28" s="25" t="n"/>
      <c r="G28" s="25" t="n"/>
      <c r="H28" s="25" t="n"/>
      <c r="I28" s="25" t="n"/>
      <c r="J28" s="25" t="n"/>
      <c r="K28" s="25" t="n"/>
      <c r="L28" s="25" t="n"/>
      <c r="M28" s="25" t="n"/>
      <c r="N28" s="25" t="n"/>
      <c r="O28" s="25" t="n"/>
      <c r="P28" s="25" t="n"/>
      <c r="Q28" s="25" t="n"/>
      <c r="R28" s="25" t="n"/>
      <c r="S28" s="25" t="n"/>
      <c r="T28" s="11" t="n"/>
      <c r="U28" s="11" t="n"/>
      <c r="V28" s="11" t="n"/>
    </row>
    <row r="29" ht="30" customHeight="1">
      <c r="A29" s="65" t="inlineStr">
        <is>
          <t>Mining production volume</t>
        </is>
      </c>
      <c r="B29" s="65" t="inlineStr">
        <is>
          <t>index 2019=100</t>
        </is>
      </c>
      <c r="C29" s="65" t="inlineStr">
        <is>
          <t>Staged observation</t>
        </is>
      </c>
      <c r="D29" s="114">
        <f>IF(ISNUMBER('Evidence'!D31),'Evidence'!D31,"")</f>
        <v/>
      </c>
      <c r="E29" s="65" t="inlineStr">
        <is>
          <t>Arithmetic mean of all 12 monthly production indices; 2026… [N157]</t>
        </is>
      </c>
      <c r="F29" s="115">
        <f>IF(ISNUMBER('Evidence'!F31),'Evidence'!F31,"")</f>
        <v/>
      </c>
      <c r="G29" s="115">
        <f>IF(ISNUMBER('Evidence'!G31),'Evidence'!G31,"")</f>
        <v/>
      </c>
      <c r="H29" s="115">
        <f>IF(ISNUMBER('Evidence'!H31),'Evidence'!H31,"")</f>
        <v/>
      </c>
      <c r="I29" s="115">
        <f>IF(ISNUMBER('Evidence'!I31),'Evidence'!I31,"")</f>
        <v/>
      </c>
      <c r="J29" s="115">
        <f>IF(ISNUMBER('Evidence'!J31),'Evidence'!J31,"")</f>
        <v/>
      </c>
      <c r="K29" s="115">
        <f>IF(ISNUMBER('Evidence'!K31),'Evidence'!K31,"")</f>
        <v/>
      </c>
      <c r="L29" s="115">
        <f>IF(ISNUMBER('Evidence'!L31),'Evidence'!L31,"")</f>
        <v/>
      </c>
      <c r="M29" s="115">
        <f>IF(ISNUMBER('Evidence'!M31),'Evidence'!M31,"")</f>
        <v/>
      </c>
      <c r="N29" s="115">
        <f>IF(ISNUMBER('Evidence'!N31),'Evidence'!N31,"")</f>
        <v/>
      </c>
      <c r="O29" s="115">
        <f>IF(ISNUMBER('Evidence'!O31),'Evidence'!O31,"")</f>
        <v/>
      </c>
      <c r="P29" s="115">
        <f>IF(ISNUMBER('Evidence'!P31),'Evidence'!P31,"")</f>
        <v/>
      </c>
      <c r="Q29" s="115">
        <f>IF(ISNUMBER('Evidence'!Q31),'Evidence'!Q31,"")</f>
        <v/>
      </c>
      <c r="R29" s="115">
        <f>IF(ISNUMBER('Evidence'!R31),'Evidence'!R31,"")</f>
        <v/>
      </c>
      <c r="S29" s="115">
        <f>IF(ISNUMBER('Evidence'!S31),'Evidence'!S31,"")</f>
        <v/>
      </c>
      <c r="T29" s="3" t="inlineStr">
        <is>
          <t>Unreviewed source extract; annual cells contain… [N158]</t>
        </is>
      </c>
      <c r="U29" s="3" t="inlineStr">
        <is>
          <t>Evidence row 31;… [N159]</t>
        </is>
      </c>
      <c r="V29" s="3" t="inlineStr">
        <is>
          <t>G07: test commodity output versus material… [N160]</t>
        </is>
      </c>
    </row>
    <row r="30" ht="30" customHeight="1">
      <c r="A30" s="65" t="inlineStr">
        <is>
          <t>Mining/quarrying real GVA</t>
        </is>
      </c>
      <c r="B30" s="65" t="inlineStr">
        <is>
          <t>bn 2015 ZAR</t>
        </is>
      </c>
      <c r="C30" s="65" t="inlineStr">
        <is>
          <t>Staged observation</t>
        </is>
      </c>
      <c r="D30" s="114">
        <f>IF(ISNUMBER('Evidence'!D28),'Evidence'!D28,"")</f>
        <v/>
      </c>
      <c r="E30" s="65" t="inlineStr">
        <is>
          <t>Stats SA annual actual in staged reporting copy. Sector value… [N161]</t>
        </is>
      </c>
      <c r="F30" s="115">
        <f>IF(ISNUMBER('Evidence'!F28),'Evidence'!F28,"")</f>
        <v/>
      </c>
      <c r="G30" s="115">
        <f>IF(ISNUMBER('Evidence'!G28),'Evidence'!G28,"")</f>
        <v/>
      </c>
      <c r="H30" s="115">
        <f>IF(ISNUMBER('Evidence'!H28),'Evidence'!H28,"")</f>
        <v/>
      </c>
      <c r="I30" s="115">
        <f>IF(ISNUMBER('Evidence'!I28),'Evidence'!I28,"")</f>
        <v/>
      </c>
      <c r="J30" s="115">
        <f>IF(ISNUMBER('Evidence'!J28),'Evidence'!J28,"")</f>
        <v/>
      </c>
      <c r="K30" s="115">
        <f>IF(ISNUMBER('Evidence'!K28),'Evidence'!K28,"")</f>
        <v/>
      </c>
      <c r="L30" s="115">
        <f>IF(ISNUMBER('Evidence'!L28),'Evidence'!L28,"")</f>
        <v/>
      </c>
      <c r="M30" s="115">
        <f>IF(ISNUMBER('Evidence'!M28),'Evidence'!M28,"")</f>
        <v/>
      </c>
      <c r="N30" s="115">
        <f>IF(ISNUMBER('Evidence'!N28),'Evidence'!N28,"")</f>
        <v/>
      </c>
      <c r="O30" s="115">
        <f>IF(ISNUMBER('Evidence'!O28),'Evidence'!O28,"")</f>
        <v/>
      </c>
      <c r="P30" s="115">
        <f>IF(ISNUMBER('Evidence'!P28),'Evidence'!P28,"")</f>
        <v/>
      </c>
      <c r="Q30" s="115">
        <f>IF(ISNUMBER('Evidence'!Q28),'Evidence'!Q28,"")</f>
        <v/>
      </c>
      <c r="R30" s="115">
        <f>IF(ISNUMBER('Evidence'!R28),'Evidence'!R28,"")</f>
        <v/>
      </c>
      <c r="S30" s="115">
        <f>IF(ISNUMBER('Evidence'!S28),'Evidence'!S28,"")</f>
        <v/>
      </c>
      <c r="T30" s="3" t="inlineStr">
        <is>
          <t>Unreviewed source extract; annual cells contain… [N162]</t>
        </is>
      </c>
      <c r="U30" s="3" t="inlineStr">
        <is>
          <t>Evidence row 28;… [N163]</t>
        </is>
      </c>
      <c r="V30" s="3" t="inlineStr">
        <is>
          <t>G07: alternative activity proxy; do not multiply… [N164]</t>
        </is>
      </c>
    </row>
    <row r="31" ht="30" customHeight="1">
      <c r="A31" s="65" t="inlineStr">
        <is>
          <t>2021 mining/quarrying diesel</t>
        </is>
      </c>
      <c r="B31" s="65" t="inlineStr">
        <is>
          <t>million L/year</t>
        </is>
      </c>
      <c r="C31" s="65" t="inlineStr">
        <is>
          <t>Staged observation</t>
        </is>
      </c>
      <c r="D31" s="114">
        <f>IF(ISNUMBER('Evidence'!D42),'Evidence'!D42,"")</f>
        <v/>
      </c>
      <c r="E31" s="65" t="inlineStr">
        <is>
          <t>D is a 2021 anchor. Not a 2022 observation or approved starting assumption.</t>
        </is>
      </c>
      <c r="F31" s="115" t="n"/>
      <c r="G31" s="115" t="n"/>
      <c r="H31" s="115" t="n"/>
      <c r="I31" s="115" t="n"/>
      <c r="J31" s="115" t="n"/>
      <c r="K31" s="115" t="n"/>
      <c r="L31" s="115" t="n"/>
      <c r="M31" s="115" t="n"/>
      <c r="N31" s="115" t="n"/>
      <c r="O31" s="115" t="n"/>
      <c r="P31" s="115" t="n"/>
      <c r="Q31" s="115" t="n"/>
      <c r="R31" s="115" t="n"/>
      <c r="S31" s="115" t="n"/>
      <c r="T31" s="3" t="inlineStr">
        <is>
          <t>Source fuel use available only through 2021.</t>
        </is>
      </c>
      <c r="U31" s="3" t="inlineStr">
        <is>
          <t>https://github.com/Africa-International-Advisors/liq… [N165]</t>
        </is>
      </c>
      <c r="V31" s="3" t="inlineStr">
        <is>
          <t>G07: verify machinery/haulage/backup boundaries and… [N166]</t>
        </is>
      </c>
    </row>
    <row r="32" ht="8" customHeight="1">
      <c r="A32" s="3" t="n"/>
      <c r="B32" s="3" t="n"/>
      <c r="C32" s="3" t="n"/>
      <c r="D32" s="3" t="n"/>
      <c r="E32" s="3" t="n"/>
      <c r="F32" s="6" t="n"/>
      <c r="G32" s="6" t="n"/>
      <c r="H32" s="6" t="n"/>
      <c r="I32" s="6" t="n"/>
      <c r="J32" s="6" t="n"/>
      <c r="K32" s="6" t="n"/>
      <c r="L32" s="6" t="n"/>
      <c r="M32" s="6" t="n"/>
      <c r="N32" s="6" t="n"/>
      <c r="O32" s="6" t="n"/>
      <c r="P32" s="6" t="n"/>
      <c r="Q32" s="6" t="n"/>
      <c r="R32" s="6" t="n"/>
      <c r="S32" s="6"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8" customHeight="1">
      <c r="A35" s="3" t="n"/>
      <c r="B35" s="3" t="n"/>
      <c r="C35" s="3" t="n"/>
      <c r="D35" s="3" t="n"/>
      <c r="E35" s="3" t="n"/>
      <c r="F35" s="6" t="n"/>
      <c r="G35" s="6" t="n"/>
      <c r="H35" s="6" t="n"/>
      <c r="I35" s="6" t="n"/>
      <c r="J35" s="6" t="n"/>
      <c r="K35" s="6" t="n"/>
      <c r="L35" s="6" t="n"/>
      <c r="M35" s="6" t="n"/>
      <c r="N35" s="6" t="n"/>
      <c r="O35" s="6" t="n"/>
      <c r="P35" s="6" t="n"/>
      <c r="Q35" s="6" t="n"/>
      <c r="R35" s="6" t="n"/>
      <c r="S35" s="6" t="n"/>
      <c r="T35" s="3" t="n"/>
      <c r="U35" s="3" t="n"/>
      <c r="V35" s="3" t="n"/>
    </row>
    <row r="36" ht="8" customHeight="1">
      <c r="A36" s="102" t="n"/>
      <c r="B36" s="102" t="n"/>
      <c r="C36" s="102" t="n"/>
      <c r="D36" s="102" t="n"/>
      <c r="E36" s="102" t="n"/>
      <c r="F36" s="104" t="n"/>
      <c r="G36" s="104" t="n"/>
      <c r="H36" s="104" t="n"/>
      <c r="I36" s="104" t="n"/>
      <c r="J36" s="104" t="n"/>
      <c r="K36" s="104" t="n"/>
      <c r="L36" s="104" t="n"/>
      <c r="M36" s="104" t="n"/>
      <c r="N36" s="104" t="n"/>
      <c r="O36" s="104" t="n"/>
      <c r="P36" s="104" t="n"/>
      <c r="Q36" s="104" t="n"/>
      <c r="R36" s="104" t="n"/>
      <c r="S36" s="104" t="n"/>
      <c r="T36" s="3" t="n"/>
      <c r="U36" s="3" t="n"/>
      <c r="V36" s="3" t="n"/>
    </row>
    <row r="37" ht="8" customHeight="1">
      <c r="A37" s="102" t="n"/>
      <c r="B37" s="102" t="n"/>
      <c r="C37" s="102" t="n"/>
      <c r="D37" s="102" t="n"/>
      <c r="E37" s="102" t="n"/>
      <c r="F37" s="104" t="n"/>
      <c r="G37" s="104" t="n"/>
      <c r="H37" s="104" t="n"/>
      <c r="I37" s="104" t="n"/>
      <c r="J37" s="104" t="n"/>
      <c r="K37" s="104" t="n"/>
      <c r="L37" s="104" t="n"/>
      <c r="M37" s="104" t="n"/>
      <c r="N37" s="104" t="n"/>
      <c r="O37" s="104" t="n"/>
      <c r="P37" s="104" t="n"/>
      <c r="Q37" s="104" t="n"/>
      <c r="R37" s="104" t="n"/>
      <c r="S37" s="104" t="n"/>
      <c r="T37" s="3" t="n"/>
      <c r="U37" s="3" t="n"/>
      <c r="V37" s="3" t="n"/>
    </row>
    <row r="38" ht="8" customHeight="1">
      <c r="A38" s="102" t="n"/>
      <c r="B38" s="102" t="n"/>
      <c r="C38" s="102" t="n"/>
      <c r="D38" s="102" t="n"/>
      <c r="E38" s="102" t="n"/>
      <c r="F38" s="104" t="n"/>
      <c r="G38" s="104" t="n"/>
      <c r="H38" s="104" t="n"/>
      <c r="I38" s="104" t="n"/>
      <c r="J38" s="104" t="n"/>
      <c r="K38" s="104" t="n"/>
      <c r="L38" s="104" t="n"/>
      <c r="M38" s="104" t="n"/>
      <c r="N38" s="104" t="n"/>
      <c r="O38" s="104" t="n"/>
      <c r="P38" s="104" t="n"/>
      <c r="Q38" s="104" t="n"/>
      <c r="R38" s="104" t="n"/>
      <c r="S38" s="104" t="n"/>
      <c r="T38" s="3" t="n"/>
      <c r="U38" s="3" t="n"/>
      <c r="V38" s="3" t="n"/>
    </row>
    <row r="39" ht="8" customHeight="1">
      <c r="A39" s="102" t="n"/>
      <c r="B39" s="102" t="n"/>
      <c r="C39" s="102" t="n"/>
      <c r="D39" s="102" t="n"/>
      <c r="E39" s="102" t="n"/>
      <c r="F39" s="104" t="n"/>
      <c r="G39" s="104" t="n"/>
      <c r="H39" s="104" t="n"/>
      <c r="I39" s="104" t="n"/>
      <c r="J39" s="104" t="n"/>
      <c r="K39" s="104" t="n"/>
      <c r="L39" s="104" t="n"/>
      <c r="M39" s="104" t="n"/>
      <c r="N39" s="104" t="n"/>
      <c r="O39" s="104" t="n"/>
      <c r="P39" s="104" t="n"/>
      <c r="Q39" s="104" t="n"/>
      <c r="R39" s="104" t="n"/>
      <c r="S39" s="104" t="n"/>
      <c r="T39" s="3" t="n"/>
      <c r="U39" s="3" t="n"/>
      <c r="V39" s="3" t="n"/>
    </row>
    <row r="40" ht="8" customHeight="1">
      <c r="A40" s="102" t="n"/>
      <c r="B40" s="102" t="n"/>
      <c r="C40" s="102" t="n"/>
      <c r="D40" s="102" t="n"/>
      <c r="E40" s="102" t="n"/>
      <c r="F40" s="104" t="n"/>
      <c r="G40" s="104" t="n"/>
      <c r="H40" s="104" t="n"/>
      <c r="I40" s="104" t="n"/>
      <c r="J40" s="104" t="n"/>
      <c r="K40" s="104" t="n"/>
      <c r="L40" s="104" t="n"/>
      <c r="M40" s="104" t="n"/>
      <c r="N40" s="104" t="n"/>
      <c r="O40" s="104" t="n"/>
      <c r="P40" s="104" t="n"/>
      <c r="Q40" s="104" t="n"/>
      <c r="R40" s="104" t="n"/>
      <c r="S40" s="104" t="n"/>
      <c r="T40" s="3" t="n"/>
      <c r="U40" s="3" t="n"/>
      <c r="V40" s="3" t="n"/>
    </row>
    <row r="41" ht="8" customHeight="1">
      <c r="A41" s="102" t="n"/>
      <c r="B41" s="102" t="n"/>
      <c r="C41" s="102" t="n"/>
      <c r="D41" s="102" t="n"/>
      <c r="E41" s="102" t="n"/>
      <c r="F41" s="104" t="n"/>
      <c r="G41" s="104" t="n"/>
      <c r="H41" s="104" t="n"/>
      <c r="I41" s="104" t="n"/>
      <c r="J41" s="104" t="n"/>
      <c r="K41" s="104" t="n"/>
      <c r="L41" s="104" t="n"/>
      <c r="M41" s="104" t="n"/>
      <c r="N41" s="104" t="n"/>
      <c r="O41" s="104" t="n"/>
      <c r="P41" s="104" t="n"/>
      <c r="Q41" s="104" t="n"/>
      <c r="R41" s="104" t="n"/>
      <c r="S41" s="104" t="n"/>
      <c r="T41" s="3" t="n"/>
      <c r="U41" s="3" t="n"/>
      <c r="V41" s="3" t="n"/>
    </row>
    <row r="42" ht="8" customHeight="1">
      <c r="A42" s="102" t="n"/>
      <c r="B42" s="102" t="n"/>
      <c r="C42" s="102" t="n"/>
      <c r="D42" s="102" t="n"/>
      <c r="E42" s="102" t="n"/>
      <c r="F42" s="104" t="n"/>
      <c r="G42" s="104" t="n"/>
      <c r="H42" s="104" t="n"/>
      <c r="I42" s="104" t="n"/>
      <c r="J42" s="104" t="n"/>
      <c r="K42" s="104" t="n"/>
      <c r="L42" s="104" t="n"/>
      <c r="M42" s="104" t="n"/>
      <c r="N42" s="104" t="n"/>
      <c r="O42" s="104" t="n"/>
      <c r="P42" s="104" t="n"/>
      <c r="Q42" s="104" t="n"/>
      <c r="R42" s="104" t="n"/>
      <c r="S42" s="104" t="n"/>
      <c r="T42" s="3" t="n"/>
      <c r="U42" s="3" t="n"/>
      <c r="V42" s="3"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V60"/>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Power, aviation and marine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Current engine inputs and available observations • Partial periods and fiscal years remain explicit.</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Power-generation diesel</t>
        </is>
      </c>
      <c r="B5" s="11" t="n"/>
      <c r="C5" s="11" t="n"/>
      <c r="D5" s="11" t="n"/>
      <c r="E5" s="11" t="n"/>
      <c r="F5" s="25" t="n"/>
      <c r="G5" s="25" t="n"/>
      <c r="H5" s="25" t="n"/>
      <c r="I5" s="25" t="n"/>
      <c r="J5" s="25" t="n"/>
      <c r="K5" s="25" t="n"/>
      <c r="L5" s="25" t="n"/>
      <c r="M5" s="25" t="n"/>
      <c r="N5" s="25" t="n"/>
      <c r="O5" s="25" t="n"/>
      <c r="P5" s="25" t="n"/>
      <c r="Q5" s="25" t="n"/>
      <c r="R5" s="25" t="n"/>
      <c r="S5" s="25" t="n"/>
      <c r="T5" s="11" t="n"/>
      <c r="U5" s="11" t="n"/>
      <c r="V5" s="11" t="n"/>
    </row>
    <row r="6" ht="30" customHeight="1">
      <c r="A6" s="65" t="inlineStr">
        <is>
          <t>Eskom OCGT generation</t>
        </is>
      </c>
      <c r="B6" s="65" t="inlineStr">
        <is>
          <t>GWh / financial year</t>
        </is>
      </c>
      <c r="C6" s="65" t="inlineStr">
        <is>
          <t>Staged observation</t>
        </is>
      </c>
      <c r="D6" s="114">
        <f>IF(ISNUMBER('Evidence'!D34),'Evidence'!D34,"")</f>
        <v/>
      </c>
      <c r="E6" s="65" t="inlineStr">
        <is>
          <t>Full financial year ending 31 March in the column year. Not… [N167]</t>
        </is>
      </c>
      <c r="F6" s="115">
        <f>IF(ISNUMBER('Evidence'!F34),'Evidence'!F34,"")</f>
        <v/>
      </c>
      <c r="G6" s="115">
        <f>IF(ISNUMBER('Evidence'!G34),'Evidence'!G34,"")</f>
        <v/>
      </c>
      <c r="H6" s="115">
        <f>IF(ISNUMBER('Evidence'!H34),'Evidence'!H34,"")</f>
        <v/>
      </c>
      <c r="I6" s="115">
        <f>IF(ISNUMBER('Evidence'!I34),'Evidence'!I34,"")</f>
        <v/>
      </c>
      <c r="J6" s="115">
        <f>IF(ISNUMBER('Evidence'!J34),'Evidence'!J34,"")</f>
        <v/>
      </c>
      <c r="K6" s="115">
        <f>IF(ISNUMBER('Evidence'!K34),'Evidence'!K34,"")</f>
        <v/>
      </c>
      <c r="L6" s="115">
        <f>IF(ISNUMBER('Evidence'!L34),'Evidence'!L34,"")</f>
        <v/>
      </c>
      <c r="M6" s="115">
        <f>IF(ISNUMBER('Evidence'!M34),'Evidence'!M34,"")</f>
        <v/>
      </c>
      <c r="N6" s="115">
        <f>IF(ISNUMBER('Evidence'!N34),'Evidence'!N34,"")</f>
        <v/>
      </c>
      <c r="O6" s="115">
        <f>IF(ISNUMBER('Evidence'!O34),'Evidence'!O34,"")</f>
        <v/>
      </c>
      <c r="P6" s="115">
        <f>IF(ISNUMBER('Evidence'!P34),'Evidence'!P34,"")</f>
        <v/>
      </c>
      <c r="Q6" s="115">
        <f>IF(ISNUMBER('Evidence'!Q34),'Evidence'!Q34,"")</f>
        <v/>
      </c>
      <c r="R6" s="115">
        <f>IF(ISNUMBER('Evidence'!R34),'Evidence'!R34,"")</f>
        <v/>
      </c>
      <c r="S6" s="115">
        <f>IF(ISNUMBER('Evidence'!S34),'Evidence'!S34,"")</f>
        <v/>
      </c>
      <c r="T6" s="3" t="inlineStr">
        <is>
          <t>Unreviewed source extract; annual cells contain… [N168]</t>
        </is>
      </c>
      <c r="U6" s="3" t="inlineStr">
        <is>
          <t>Evidence row 34;… [N169]</t>
        </is>
      </c>
      <c r="V6" s="3" t="inlineStr">
        <is>
          <t>G09: source matched litres and convert FY evidence… [N170]</t>
        </is>
      </c>
    </row>
    <row r="7" ht="30" customHeight="1">
      <c r="A7" s="65" t="inlineStr">
        <is>
          <t>IPP OCGT generation</t>
        </is>
      </c>
      <c r="B7" s="65" t="inlineStr">
        <is>
          <t>GWh / financial year</t>
        </is>
      </c>
      <c r="C7" s="65" t="inlineStr">
        <is>
          <t>Staged observation</t>
        </is>
      </c>
      <c r="D7" s="114">
        <f>IF(ISNUMBER('Evidence'!D35),'Evidence'!D35,"")</f>
        <v/>
      </c>
      <c r="E7" s="65" t="inlineStr">
        <is>
          <t>Full financial year ending 31 March in the column year. Not… [N171]</t>
        </is>
      </c>
      <c r="F7" s="115">
        <f>IF(ISNUMBER('Evidence'!F35),'Evidence'!F35,"")</f>
        <v/>
      </c>
      <c r="G7" s="115">
        <f>IF(ISNUMBER('Evidence'!G35),'Evidence'!G35,"")</f>
        <v/>
      </c>
      <c r="H7" s="115">
        <f>IF(ISNUMBER('Evidence'!H35),'Evidence'!H35,"")</f>
        <v/>
      </c>
      <c r="I7" s="115">
        <f>IF(ISNUMBER('Evidence'!I35),'Evidence'!I35,"")</f>
        <v/>
      </c>
      <c r="J7" s="115">
        <f>IF(ISNUMBER('Evidence'!J35),'Evidence'!J35,"")</f>
        <v/>
      </c>
      <c r="K7" s="115">
        <f>IF(ISNUMBER('Evidence'!K35),'Evidence'!K35,"")</f>
        <v/>
      </c>
      <c r="L7" s="115">
        <f>IF(ISNUMBER('Evidence'!L35),'Evidence'!L35,"")</f>
        <v/>
      </c>
      <c r="M7" s="115">
        <f>IF(ISNUMBER('Evidence'!M35),'Evidence'!M35,"")</f>
        <v/>
      </c>
      <c r="N7" s="115">
        <f>IF(ISNUMBER('Evidence'!N35),'Evidence'!N35,"")</f>
        <v/>
      </c>
      <c r="O7" s="115">
        <f>IF(ISNUMBER('Evidence'!O35),'Evidence'!O35,"")</f>
        <v/>
      </c>
      <c r="P7" s="115">
        <f>IF(ISNUMBER('Evidence'!P35),'Evidence'!P35,"")</f>
        <v/>
      </c>
      <c r="Q7" s="115">
        <f>IF(ISNUMBER('Evidence'!Q35),'Evidence'!Q35,"")</f>
        <v/>
      </c>
      <c r="R7" s="115">
        <f>IF(ISNUMBER('Evidence'!R35),'Evidence'!R35,"")</f>
        <v/>
      </c>
      <c r="S7" s="115">
        <f>IF(ISNUMBER('Evidence'!S35),'Evidence'!S35,"")</f>
        <v/>
      </c>
      <c r="T7" s="3" t="inlineStr">
        <is>
          <t>Unreviewed source extract; annual cells contain… [N172]</t>
        </is>
      </c>
      <c r="U7" s="3" t="inlineStr">
        <is>
          <t>Evidence row 35;… [N173]</t>
        </is>
      </c>
      <c r="V7" s="3" t="inlineStr">
        <is>
          <t>G09: match plant set and fuel-burn evidence.</t>
        </is>
      </c>
    </row>
    <row r="8" ht="30" customHeight="1">
      <c r="A8" s="65" t="inlineStr">
        <is>
          <t>Combined OCGT generation</t>
        </is>
      </c>
      <c r="B8" s="65" t="inlineStr">
        <is>
          <t>GWh / financial year</t>
        </is>
      </c>
      <c r="C8" s="65" t="inlineStr">
        <is>
          <t>Staged observation</t>
        </is>
      </c>
      <c r="D8" s="114">
        <f>IF(ISNUMBER('Evidence'!D36),'Evidence'!D36,"")</f>
        <v/>
      </c>
      <c r="E8" s="65" t="inlineStr">
        <is>
          <t>Full financial year ending 31 March in the column year. Not… [N174]</t>
        </is>
      </c>
      <c r="F8" s="115">
        <f>IF(ISNUMBER('Evidence'!F36),'Evidence'!F36,"")</f>
        <v/>
      </c>
      <c r="G8" s="115">
        <f>IF(ISNUMBER('Evidence'!G36),'Evidence'!G36,"")</f>
        <v/>
      </c>
      <c r="H8" s="115">
        <f>IF(ISNUMBER('Evidence'!H36),'Evidence'!H36,"")</f>
        <v/>
      </c>
      <c r="I8" s="115">
        <f>IF(ISNUMBER('Evidence'!I36),'Evidence'!I36,"")</f>
        <v/>
      </c>
      <c r="J8" s="115">
        <f>IF(ISNUMBER('Evidence'!J36),'Evidence'!J36,"")</f>
        <v/>
      </c>
      <c r="K8" s="115">
        <f>IF(ISNUMBER('Evidence'!K36),'Evidence'!K36,"")</f>
        <v/>
      </c>
      <c r="L8" s="115">
        <f>IF(ISNUMBER('Evidence'!L36),'Evidence'!L36,"")</f>
        <v/>
      </c>
      <c r="M8" s="115">
        <f>IF(ISNUMBER('Evidence'!M36),'Evidence'!M36,"")</f>
        <v/>
      </c>
      <c r="N8" s="115">
        <f>IF(ISNUMBER('Evidence'!N36),'Evidence'!N36,"")</f>
        <v/>
      </c>
      <c r="O8" s="115">
        <f>IF(ISNUMBER('Evidence'!O36),'Evidence'!O36,"")</f>
        <v/>
      </c>
      <c r="P8" s="115">
        <f>IF(ISNUMBER('Evidence'!P36),'Evidence'!P36,"")</f>
        <v/>
      </c>
      <c r="Q8" s="115">
        <f>IF(ISNUMBER('Evidence'!Q36),'Evidence'!Q36,"")</f>
        <v/>
      </c>
      <c r="R8" s="115">
        <f>IF(ISNUMBER('Evidence'!R36),'Evidence'!R36,"")</f>
        <v/>
      </c>
      <c r="S8" s="115">
        <f>IF(ISNUMBER('Evidence'!S36),'Evidence'!S36,"")</f>
        <v/>
      </c>
      <c r="T8" s="3" t="inlineStr">
        <is>
          <t>Unreviewed source extract; annual cells contain… [N175]</t>
        </is>
      </c>
      <c r="U8" s="3" t="inlineStr">
        <is>
          <t>Evidence row 36;… [N176]</t>
        </is>
      </c>
      <c r="V8" s="3" t="inlineStr">
        <is>
          <t>Comparison total only; do not add to Eskom + IPP again.</t>
        </is>
      </c>
    </row>
    <row r="9" ht="30" customHeight="1">
      <c r="A9" s="65" t="inlineStr">
        <is>
          <t>Current engine load factor</t>
        </is>
      </c>
      <c r="B9" s="65" t="inlineStr">
        <is>
          <t>share</t>
        </is>
      </c>
      <c r="C9" s="65" t="inlineStr">
        <is>
          <t>Current input</t>
        </is>
      </c>
      <c r="D9" s="114" t="n"/>
      <c r="E9" s="65" t="inlineStr">
        <is>
          <t>Legacy scenario path. Not measured dispatch.</t>
        </is>
      </c>
      <c r="F9" s="138">
        <f>IF(ISNUMBER('Model run'!F37),'Model run'!F37,"")</f>
        <v/>
      </c>
      <c r="G9" s="138">
        <f>IF(ISNUMBER('Model run'!G37),'Model run'!G37,"")</f>
        <v/>
      </c>
      <c r="H9" s="138">
        <f>IF(ISNUMBER('Model run'!H37),'Model run'!H37,"")</f>
        <v/>
      </c>
      <c r="I9" s="138">
        <f>IF(ISNUMBER('Model run'!I37),'Model run'!I37,"")</f>
        <v/>
      </c>
      <c r="J9" s="138">
        <f>IF(ISNUMBER('Model run'!J37),'Model run'!J37,"")</f>
        <v/>
      </c>
      <c r="K9" s="138">
        <f>IF(ISNUMBER('Model run'!K37),'Model run'!K37,"")</f>
        <v/>
      </c>
      <c r="L9" s="138">
        <f>IF(ISNUMBER('Model run'!L37),'Model run'!L37,"")</f>
        <v/>
      </c>
      <c r="M9" s="138">
        <f>IF(ISNUMBER('Model run'!M37),'Model run'!M37,"")</f>
        <v/>
      </c>
      <c r="N9" s="138">
        <f>IF(ISNUMBER('Model run'!N37),'Model run'!N37,"")</f>
        <v/>
      </c>
      <c r="O9" s="138">
        <f>IF(ISNUMBER('Model run'!O37),'Model run'!O37,"")</f>
        <v/>
      </c>
      <c r="P9" s="138">
        <f>IF(ISNUMBER('Model run'!P37),'Model run'!P37,"")</f>
        <v/>
      </c>
      <c r="Q9" s="138">
        <f>IF(ISNUMBER('Model run'!Q37),'Model run'!Q37,"")</f>
        <v/>
      </c>
      <c r="R9" s="138">
        <f>IF(ISNUMBER('Model run'!R37),'Model run'!R37,"")</f>
        <v/>
      </c>
      <c r="S9" s="138">
        <f>IF(ISNUMBER('Model run'!S37),'Model run'!S37,"")</f>
        <v/>
      </c>
      <c r="T9" s="3" t="inlineStr">
        <is>
          <t>Current high_demand input.</t>
        </is>
      </c>
      <c r="U9" s="3" t="inlineStr">
        <is>
          <t>https://github.com/Africa-International-Advisors/liq… [N177]</t>
        </is>
      </c>
      <c r="V9" s="3" t="inlineStr">
        <is>
          <t>G09: calibrate against operating generation and plant scope.</t>
        </is>
      </c>
    </row>
    <row r="10" ht="30" customHeight="1">
      <c r="A10" s="65" t="inlineStr">
        <is>
          <t>Current thermal efficiency</t>
        </is>
      </c>
      <c r="B10" s="65" t="inlineStr">
        <is>
          <t>share</t>
        </is>
      </c>
      <c r="C10" s="65" t="inlineStr">
        <is>
          <t>Current scalar</t>
        </is>
      </c>
      <c r="D10" s="139">
        <f>IF(ISNUMBER('Model run'!D38),'Model run'!D38,"")</f>
        <v/>
      </c>
      <c r="E10" s="65" t="inlineStr">
        <is>
          <t>Fraction of fuel energy converted to electricity.</t>
        </is>
      </c>
      <c r="F10" s="115" t="n"/>
      <c r="G10" s="115" t="n"/>
      <c r="H10" s="115" t="n"/>
      <c r="I10" s="115" t="n"/>
      <c r="J10" s="115" t="n"/>
      <c r="K10" s="115" t="n"/>
      <c r="L10" s="115" t="n"/>
      <c r="M10" s="115" t="n"/>
      <c r="N10" s="115" t="n"/>
      <c r="O10" s="115" t="n"/>
      <c r="P10" s="115" t="n"/>
      <c r="Q10" s="115" t="n"/>
      <c r="R10" s="115" t="n"/>
      <c r="S10" s="115" t="n"/>
      <c r="T10" s="3" t="inlineStr">
        <is>
          <t>Legacy input.</t>
        </is>
      </c>
      <c r="U10" s="3" t="inlineStr">
        <is>
          <t>https://github.com/Africa-International-Advisors/liq… [N178]</t>
        </is>
      </c>
      <c r="V10" s="3" t="inlineStr">
        <is>
          <t>Review conversion with matched plant data.</t>
        </is>
      </c>
    </row>
    <row r="11" ht="30" customHeight="1">
      <c r="A11" s="65" t="inlineStr">
        <is>
          <t>Diesel energy content</t>
        </is>
      </c>
      <c r="B11" s="65" t="inlineStr">
        <is>
          <t>MJ/L</t>
        </is>
      </c>
      <c r="C11" s="65" t="inlineStr">
        <is>
          <t>Current scalar</t>
        </is>
      </c>
      <c r="D11" s="114">
        <f>IF(ISNUMBER('Model run'!D39),'Model run'!D39,"")</f>
        <v/>
      </c>
      <c r="E11" s="65" t="inlineStr">
        <is>
          <t>Current engine conversion input.</t>
        </is>
      </c>
      <c r="F11" s="115" t="n"/>
      <c r="G11" s="115" t="n"/>
      <c r="H11" s="115" t="n"/>
      <c r="I11" s="115" t="n"/>
      <c r="J11" s="115" t="n"/>
      <c r="K11" s="115" t="n"/>
      <c r="L11" s="115" t="n"/>
      <c r="M11" s="115" t="n"/>
      <c r="N11" s="115" t="n"/>
      <c r="O11" s="115" t="n"/>
      <c r="P11" s="115" t="n"/>
      <c r="Q11" s="115" t="n"/>
      <c r="R11" s="115" t="n"/>
      <c r="S11" s="115" t="n"/>
      <c r="T11" s="3" t="inlineStr">
        <is>
          <t>Legacy input.</t>
        </is>
      </c>
      <c r="U11" s="3" t="inlineStr">
        <is>
          <t>https://github.com/Africa-International-Advisors/liq… [N179]</t>
        </is>
      </c>
      <c r="V11" s="3" t="inlineStr">
        <is>
          <t>Verify product and unit basis.</t>
        </is>
      </c>
    </row>
    <row r="12" ht="30" customHeight="1">
      <c r="A12" s="16" t="inlineStr">
        <is>
          <t>Current OCGT diesel demand</t>
        </is>
      </c>
      <c r="B12" s="16" t="inlineStr">
        <is>
          <t>million L/year</t>
        </is>
      </c>
      <c r="C12" s="16" t="inlineStr">
        <is>
          <t>Model output</t>
        </is>
      </c>
      <c r="D12" s="116" t="n"/>
      <c r="E12" s="16" t="inlineStr">
        <is>
          <t>Calendar-year model output; do not directly tie to FY generation… [N180]</t>
        </is>
      </c>
      <c r="F12" s="117">
        <f>IF(ISNUMBER('Model run'!F40),'Model run'!F40,"")</f>
        <v/>
      </c>
      <c r="G12" s="117">
        <f>IF(ISNUMBER('Model run'!G40),'Model run'!G40,"")</f>
        <v/>
      </c>
      <c r="H12" s="117">
        <f>IF(ISNUMBER('Model run'!H40),'Model run'!H40,"")</f>
        <v/>
      </c>
      <c r="I12" s="117">
        <f>IF(ISNUMBER('Model run'!I40),'Model run'!I40,"")</f>
        <v/>
      </c>
      <c r="J12" s="117">
        <f>IF(ISNUMBER('Model run'!J40),'Model run'!J40,"")</f>
        <v/>
      </c>
      <c r="K12" s="117">
        <f>IF(ISNUMBER('Model run'!K40),'Model run'!K40,"")</f>
        <v/>
      </c>
      <c r="L12" s="117">
        <f>IF(ISNUMBER('Model run'!L40),'Model run'!L40,"")</f>
        <v/>
      </c>
      <c r="M12" s="117">
        <f>IF(ISNUMBER('Model run'!M40),'Model run'!M40,"")</f>
        <v/>
      </c>
      <c r="N12" s="117">
        <f>IF(ISNUMBER('Model run'!N40),'Model run'!N40,"")</f>
        <v/>
      </c>
      <c r="O12" s="117">
        <f>IF(ISNUMBER('Model run'!O40),'Model run'!O40,"")</f>
        <v/>
      </c>
      <c r="P12" s="117">
        <f>IF(ISNUMBER('Model run'!P40),'Model run'!P40,"")</f>
        <v/>
      </c>
      <c r="Q12" s="117">
        <f>IF(ISNUMBER('Model run'!Q40),'Model run'!Q40,"")</f>
        <v/>
      </c>
      <c r="R12" s="117">
        <f>IF(ISNUMBER('Model run'!R40),'Model run'!R40,"")</f>
        <v/>
      </c>
      <c r="S12" s="117">
        <f>IF(ISNUMBER('Model run'!S40),'Model run'!S40,"")</f>
        <v/>
      </c>
      <c r="T12" s="3" t="inlineStr">
        <is>
          <t>2026 vintage; current high_demand case; provisional.</t>
        </is>
      </c>
      <c r="U12" s="3" t="inlineStr">
        <is>
          <t>https://github.com/Africa-International-Advisors/liq… [N181]</t>
        </is>
      </c>
      <c r="V12" s="3" t="inlineStr">
        <is>
          <t>Validate inputs and reconcile against observed data.</t>
        </is>
      </c>
    </row>
    <row r="13" ht="30" customHeight="1">
      <c r="A13" s="10" t="inlineStr">
        <is>
          <t>Private backup diesel baseline</t>
        </is>
      </c>
      <c r="B13" s="10" t="inlineStr">
        <is>
          <t>million L/year</t>
        </is>
      </c>
      <c r="C13" s="10" t="inlineStr">
        <is>
          <t>Missing input</t>
        </is>
      </c>
      <c r="D13" s="118" t="n"/>
      <c r="E13" s="10" t="inlineStr">
        <is>
          <t>No separate observed litres established. Some may already be in… [N182]</t>
        </is>
      </c>
      <c r="F13" s="119" t="n"/>
      <c r="G13" s="119" t="n"/>
      <c r="H13" s="119" t="n"/>
      <c r="I13" s="119" t="n"/>
      <c r="J13" s="119" t="n"/>
      <c r="K13" s="119" t="n"/>
      <c r="L13" s="119" t="n"/>
      <c r="M13" s="119" t="n"/>
      <c r="N13" s="119" t="n"/>
      <c r="O13" s="119" t="n"/>
      <c r="P13" s="119" t="n"/>
      <c r="Q13" s="119" t="n"/>
      <c r="R13" s="119" t="n"/>
      <c r="S13" s="119" t="n"/>
      <c r="T13" s="3" t="inlineStr">
        <is>
          <t>Missing coverage and calibration.</t>
        </is>
      </c>
      <c r="U13" s="3" t="str"/>
      <c r="V13" s="3" t="inlineStr">
        <is>
          <t>G09: source dispatch/fuel observations and sector overlap.</t>
        </is>
      </c>
    </row>
    <row r="14" ht="8" customHeight="1">
      <c r="A14" s="3" t="n"/>
      <c r="B14" s="3" t="n"/>
      <c r="C14" s="3" t="n"/>
      <c r="D14" s="3" t="n"/>
      <c r="E14" s="3" t="n"/>
      <c r="F14" s="6" t="n"/>
      <c r="G14" s="6" t="n"/>
      <c r="H14" s="6" t="n"/>
      <c r="I14" s="6" t="n"/>
      <c r="J14" s="6" t="n"/>
      <c r="K14" s="6" t="n"/>
      <c r="L14" s="6" t="n"/>
      <c r="M14" s="6" t="n"/>
      <c r="N14" s="6" t="n"/>
      <c r="O14" s="6" t="n"/>
      <c r="P14" s="6" t="n"/>
      <c r="Q14" s="6" t="n"/>
      <c r="R14" s="6" t="n"/>
      <c r="S14" s="6" t="n"/>
      <c r="T14" s="3" t="n"/>
      <c r="U14" s="3" t="n"/>
      <c r="V14" s="3" t="n"/>
    </row>
    <row r="15" ht="8" customHeight="1">
      <c r="A15" s="3" t="n"/>
      <c r="B15" s="3" t="n"/>
      <c r="C15" s="3" t="n"/>
      <c r="D15" s="3" t="n"/>
      <c r="E15" s="3" t="n"/>
      <c r="F15" s="6" t="n"/>
      <c r="G15" s="6" t="n"/>
      <c r="H15" s="6" t="n"/>
      <c r="I15" s="6" t="n"/>
      <c r="J15" s="6" t="n"/>
      <c r="K15" s="6" t="n"/>
      <c r="L15" s="6" t="n"/>
      <c r="M15" s="6" t="n"/>
      <c r="N15" s="6" t="n"/>
      <c r="O15" s="6" t="n"/>
      <c r="P15" s="6" t="n"/>
      <c r="Q15" s="6" t="n"/>
      <c r="R15" s="6" t="n"/>
      <c r="S15" s="6" t="n"/>
      <c r="T15" s="3" t="n"/>
      <c r="U15" s="3" t="n"/>
      <c r="V15" s="3" t="n"/>
    </row>
    <row r="16" ht="28" customHeight="1">
      <c r="A16" s="12" t="inlineStr">
        <is>
          <t>Jet aviation</t>
        </is>
      </c>
      <c r="B16" s="11" t="n"/>
      <c r="C16" s="11" t="n"/>
      <c r="D16" s="11" t="n"/>
      <c r="E16" s="11" t="n"/>
      <c r="F16" s="25" t="n"/>
      <c r="G16" s="25" t="n"/>
      <c r="H16" s="25" t="n"/>
      <c r="I16" s="25" t="n"/>
      <c r="J16" s="25" t="n"/>
      <c r="K16" s="25" t="n"/>
      <c r="L16" s="25" t="n"/>
      <c r="M16" s="25" t="n"/>
      <c r="N16" s="25" t="n"/>
      <c r="O16" s="25" t="n"/>
      <c r="P16" s="25" t="n"/>
      <c r="Q16" s="25" t="n"/>
      <c r="R16" s="25" t="n"/>
      <c r="S16" s="25" t="n"/>
      <c r="T16" s="11" t="n"/>
      <c r="U16" s="11" t="n"/>
      <c r="V16" s="11" t="n"/>
    </row>
    <row r="17" ht="30" customHeight="1">
      <c r="A17" s="65" t="inlineStr">
        <is>
          <t>ACSA aircraft departures</t>
        </is>
      </c>
      <c r="B17" s="65" t="inlineStr">
        <is>
          <t>departures</t>
        </is>
      </c>
      <c r="C17" s="65" t="inlineStr">
        <is>
          <t>Staged observation</t>
        </is>
      </c>
      <c r="D17" s="114">
        <f>IF(ISNUMBER('Evidence'!D38),'Evidence'!D38,"")</f>
        <v/>
      </c>
      <c r="E17" s="65" t="inlineStr">
        <is>
          <t>ACSA departures only; sums monthly total-flight rows without… [N183]</t>
        </is>
      </c>
      <c r="F17" s="115">
        <f>IF(ISNUMBER('Evidence'!F38),'Evidence'!F38,"")</f>
        <v/>
      </c>
      <c r="G17" s="115">
        <f>IF(ISNUMBER('Evidence'!G38),'Evidence'!G38,"")</f>
        <v/>
      </c>
      <c r="H17" s="115">
        <f>IF(ISNUMBER('Evidence'!H38),'Evidence'!H38,"")</f>
        <v/>
      </c>
      <c r="I17" s="115">
        <f>IF(ISNUMBER('Evidence'!I38),'Evidence'!I38,"")</f>
        <v/>
      </c>
      <c r="J17" s="115">
        <f>IF(ISNUMBER('Evidence'!J38),'Evidence'!J38,"")</f>
        <v/>
      </c>
      <c r="K17" s="115">
        <f>IF(ISNUMBER('Evidence'!K38),'Evidence'!K38,"")</f>
        <v/>
      </c>
      <c r="L17" s="115">
        <f>IF(ISNUMBER('Evidence'!L38),'Evidence'!L38,"")</f>
        <v/>
      </c>
      <c r="M17" s="115">
        <f>IF(ISNUMBER('Evidence'!M38),'Evidence'!M38,"")</f>
        <v/>
      </c>
      <c r="N17" s="115">
        <f>IF(ISNUMBER('Evidence'!N38),'Evidence'!N38,"")</f>
        <v/>
      </c>
      <c r="O17" s="115">
        <f>IF(ISNUMBER('Evidence'!O38),'Evidence'!O38,"")</f>
        <v/>
      </c>
      <c r="P17" s="115">
        <f>IF(ISNUMBER('Evidence'!P38),'Evidence'!P38,"")</f>
        <v/>
      </c>
      <c r="Q17" s="115">
        <f>IF(ISNUMBER('Evidence'!Q38),'Evidence'!Q38,"")</f>
        <v/>
      </c>
      <c r="R17" s="115">
        <f>IF(ISNUMBER('Evidence'!R38),'Evidence'!R38,"")</f>
        <v/>
      </c>
      <c r="S17" s="115">
        <f>IF(ISNUMBER('Evidence'!S38),'Evidence'!S38,"")</f>
        <v/>
      </c>
      <c r="T17" s="3" t="inlineStr">
        <is>
          <t>Unreviewed source extract; annual cells contain… [N184]</t>
        </is>
      </c>
      <c r="U17" s="3" t="inlineStr">
        <is>
          <t>Evidence row 38;… [N185]</t>
        </is>
      </c>
      <c r="V17" s="3" t="inlineStr">
        <is>
          <t>G10: fit movements to jet uplift, aircraft/route… [N186]</t>
        </is>
      </c>
    </row>
    <row r="18" ht="30" customHeight="1">
      <c r="A18" s="65" t="inlineStr">
        <is>
          <t>ACSA passenger departures</t>
        </is>
      </c>
      <c r="B18" s="65" t="inlineStr">
        <is>
          <t>departures</t>
        </is>
      </c>
      <c r="C18" s="65" t="inlineStr">
        <is>
          <t>Staged observation</t>
        </is>
      </c>
      <c r="D18" s="114">
        <f>IF(ISNUMBER('Evidence'!D37),'Evidence'!D37,"")</f>
        <v/>
      </c>
      <c r="E18" s="65" t="inlineStr">
        <is>
          <t>ACSA departures only; sums monthly total-flight rows without… [N187]</t>
        </is>
      </c>
      <c r="F18" s="115">
        <f>IF(ISNUMBER('Evidence'!F37),'Evidence'!F37,"")</f>
        <v/>
      </c>
      <c r="G18" s="115">
        <f>IF(ISNUMBER('Evidence'!G37),'Evidence'!G37,"")</f>
        <v/>
      </c>
      <c r="H18" s="115">
        <f>IF(ISNUMBER('Evidence'!H37),'Evidence'!H37,"")</f>
        <v/>
      </c>
      <c r="I18" s="115">
        <f>IF(ISNUMBER('Evidence'!I37),'Evidence'!I37,"")</f>
        <v/>
      </c>
      <c r="J18" s="115">
        <f>IF(ISNUMBER('Evidence'!J37),'Evidence'!J37,"")</f>
        <v/>
      </c>
      <c r="K18" s="115">
        <f>IF(ISNUMBER('Evidence'!K37),'Evidence'!K37,"")</f>
        <v/>
      </c>
      <c r="L18" s="115">
        <f>IF(ISNUMBER('Evidence'!L37),'Evidence'!L37,"")</f>
        <v/>
      </c>
      <c r="M18" s="115">
        <f>IF(ISNUMBER('Evidence'!M37),'Evidence'!M37,"")</f>
        <v/>
      </c>
      <c r="N18" s="115">
        <f>IF(ISNUMBER('Evidence'!N37),'Evidence'!N37,"")</f>
        <v/>
      </c>
      <c r="O18" s="115">
        <f>IF(ISNUMBER('Evidence'!O37),'Evidence'!O37,"")</f>
        <v/>
      </c>
      <c r="P18" s="115">
        <f>IF(ISNUMBER('Evidence'!P37),'Evidence'!P37,"")</f>
        <v/>
      </c>
      <c r="Q18" s="115">
        <f>IF(ISNUMBER('Evidence'!Q37),'Evidence'!Q37,"")</f>
        <v/>
      </c>
      <c r="R18" s="115">
        <f>IF(ISNUMBER('Evidence'!R37),'Evidence'!R37,"")</f>
        <v/>
      </c>
      <c r="S18" s="115">
        <f>IF(ISNUMBER('Evidence'!S37),'Evidence'!S37,"")</f>
        <v/>
      </c>
      <c r="T18" s="3" t="inlineStr">
        <is>
          <t>Unreviewed source extract; annual cells contain… [N188]</t>
        </is>
      </c>
      <c r="U18" s="3" t="inlineStr">
        <is>
          <t>Evidence row 37;… [N189]</t>
        </is>
      </c>
      <c r="V18" s="3" t="inlineStr">
        <is>
          <t>G10: match legacy passenger input coverage and periods.</t>
        </is>
      </c>
    </row>
    <row r="19" ht="30" customHeight="1">
      <c r="A19" s="65" t="inlineStr">
        <is>
          <t>Current engine passenger departures</t>
        </is>
      </c>
      <c r="B19" s="65" t="inlineStr">
        <is>
          <t>passengers/year</t>
        </is>
      </c>
      <c r="C19" s="65" t="inlineStr">
        <is>
          <t>Current input</t>
        </is>
      </c>
      <c r="D19" s="114" t="n"/>
      <c r="E19" s="65" t="inlineStr">
        <is>
          <t>Legacy regression driver; separate from new ACSA observations.</t>
        </is>
      </c>
      <c r="F19" s="115">
        <f>IF(ISNUMBER('Model run'!F41),'Model run'!F41,"")</f>
        <v/>
      </c>
      <c r="G19" s="115">
        <f>IF(ISNUMBER('Model run'!G41),'Model run'!G41,"")</f>
        <v/>
      </c>
      <c r="H19" s="115">
        <f>IF(ISNUMBER('Model run'!H41),'Model run'!H41,"")</f>
        <v/>
      </c>
      <c r="I19" s="115">
        <f>IF(ISNUMBER('Model run'!I41),'Model run'!I41,"")</f>
        <v/>
      </c>
      <c r="J19" s="115">
        <f>IF(ISNUMBER('Model run'!J41),'Model run'!J41,"")</f>
        <v/>
      </c>
      <c r="K19" s="115">
        <f>IF(ISNUMBER('Model run'!K41),'Model run'!K41,"")</f>
        <v/>
      </c>
      <c r="L19" s="115">
        <f>IF(ISNUMBER('Model run'!L41),'Model run'!L41,"")</f>
        <v/>
      </c>
      <c r="M19" s="115">
        <f>IF(ISNUMBER('Model run'!M41),'Model run'!M41,"")</f>
        <v/>
      </c>
      <c r="N19" s="115">
        <f>IF(ISNUMBER('Model run'!N41),'Model run'!N41,"")</f>
        <v/>
      </c>
      <c r="O19" s="115">
        <f>IF(ISNUMBER('Model run'!O41),'Model run'!O41,"")</f>
        <v/>
      </c>
      <c r="P19" s="115">
        <f>IF(ISNUMBER('Model run'!P41),'Model run'!P41,"")</f>
        <v/>
      </c>
      <c r="Q19" s="115">
        <f>IF(ISNUMBER('Model run'!Q41),'Model run'!Q41,"")</f>
        <v/>
      </c>
      <c r="R19" s="115">
        <f>IF(ISNUMBER('Model run'!R41),'Model run'!R41,"")</f>
        <v/>
      </c>
      <c r="S19" s="115">
        <f>IF(ISNUMBER('Model run'!S41),'Model run'!S41,"")</f>
        <v/>
      </c>
      <c r="T19" s="3" t="inlineStr">
        <is>
          <t>Historical/forecast legacy path.</t>
        </is>
      </c>
      <c r="U19" s="3" t="inlineStr">
        <is>
          <t>https://github.com/Africa-International-Advisors/liq… [N190]</t>
        </is>
      </c>
      <c r="V19" s="3" t="inlineStr">
        <is>
          <t>Fit proposed movement-based model before replacing… [N191]</t>
        </is>
      </c>
    </row>
    <row r="20" ht="30" customHeight="1">
      <c r="A20" s="16" t="inlineStr">
        <is>
          <t>Current jet demand</t>
        </is>
      </c>
      <c r="B20" s="16" t="inlineStr">
        <is>
          <t>million L/year</t>
        </is>
      </c>
      <c r="C20" s="16" t="inlineStr">
        <is>
          <t>Model output</t>
        </is>
      </c>
      <c r="D20" s="116" t="n"/>
      <c r="E20" s="16" t="inlineStr">
        <is>
          <t>Legacy two-driver regression.</t>
        </is>
      </c>
      <c r="F20" s="117">
        <f>IF(ISNUMBER('Model run'!F42),'Model run'!F42,"")</f>
        <v/>
      </c>
      <c r="G20" s="117">
        <f>IF(ISNUMBER('Model run'!G42),'Model run'!G42,"")</f>
        <v/>
      </c>
      <c r="H20" s="117">
        <f>IF(ISNUMBER('Model run'!H42),'Model run'!H42,"")</f>
        <v/>
      </c>
      <c r="I20" s="117">
        <f>IF(ISNUMBER('Model run'!I42),'Model run'!I42,"")</f>
        <v/>
      </c>
      <c r="J20" s="117">
        <f>IF(ISNUMBER('Model run'!J42),'Model run'!J42,"")</f>
        <v/>
      </c>
      <c r="K20" s="117">
        <f>IF(ISNUMBER('Model run'!K42),'Model run'!K42,"")</f>
        <v/>
      </c>
      <c r="L20" s="117">
        <f>IF(ISNUMBER('Model run'!L42),'Model run'!L42,"")</f>
        <v/>
      </c>
      <c r="M20" s="117">
        <f>IF(ISNUMBER('Model run'!M42),'Model run'!M42,"")</f>
        <v/>
      </c>
      <c r="N20" s="117">
        <f>IF(ISNUMBER('Model run'!N42),'Model run'!N42,"")</f>
        <v/>
      </c>
      <c r="O20" s="117">
        <f>IF(ISNUMBER('Model run'!O42),'Model run'!O42,"")</f>
        <v/>
      </c>
      <c r="P20" s="117">
        <f>IF(ISNUMBER('Model run'!P42),'Model run'!P42,"")</f>
        <v/>
      </c>
      <c r="Q20" s="117">
        <f>IF(ISNUMBER('Model run'!Q42),'Model run'!Q42,"")</f>
        <v/>
      </c>
      <c r="R20" s="117">
        <f>IF(ISNUMBER('Model run'!R42),'Model run'!R42,"")</f>
        <v/>
      </c>
      <c r="S20" s="117">
        <f>IF(ISNUMBER('Model run'!S42),'Model run'!S42,"")</f>
        <v/>
      </c>
      <c r="T20" s="3" t="inlineStr">
        <is>
          <t>2026 vintage; current high_demand case; provisional.</t>
        </is>
      </c>
      <c r="U20" s="3" t="inlineStr">
        <is>
          <t>https://github.com/Africa-International-Advisors/liq… [N192]</t>
        </is>
      </c>
      <c r="V20" s="3" t="inlineStr">
        <is>
          <t>Validate inputs and reconcile against observed data.</t>
        </is>
      </c>
    </row>
    <row r="21" ht="30" customHeight="1">
      <c r="A21" s="65" t="inlineStr">
        <is>
          <t>Reported jet sales — FIASA</t>
        </is>
      </c>
      <c r="B21" s="65" t="inlineStr">
        <is>
          <t>million L/year</t>
        </is>
      </c>
      <c r="C21" s="65" t="inlineStr">
        <is>
          <t>Staged observation</t>
        </is>
      </c>
      <c r="D21" s="114">
        <f>IF(ISNUMBER('Evidence'!D9),'Evidence'!D9,"")</f>
        <v/>
      </c>
      <c r="E21" s="65" t="inlineStr">
        <is>
          <t>FIASA staged reported sales; latest edition selected by existing… [N193]</t>
        </is>
      </c>
      <c r="F21" s="115">
        <f>IF(ISNUMBER('Evidence'!F9),'Evidence'!F9,"")</f>
        <v/>
      </c>
      <c r="G21" s="115">
        <f>IF(ISNUMBER('Evidence'!G9),'Evidence'!G9,"")</f>
        <v/>
      </c>
      <c r="H21" s="115">
        <f>IF(ISNUMBER('Evidence'!H9),'Evidence'!H9,"")</f>
        <v/>
      </c>
      <c r="I21" s="115">
        <f>IF(ISNUMBER('Evidence'!I9),'Evidence'!I9,"")</f>
        <v/>
      </c>
      <c r="J21" s="115">
        <f>IF(ISNUMBER('Evidence'!J9),'Evidence'!J9,"")</f>
        <v/>
      </c>
      <c r="K21" s="115">
        <f>IF(ISNUMBER('Evidence'!K9),'Evidence'!K9,"")</f>
        <v/>
      </c>
      <c r="L21" s="115">
        <f>IF(ISNUMBER('Evidence'!L9),'Evidence'!L9,"")</f>
        <v/>
      </c>
      <c r="M21" s="115">
        <f>IF(ISNUMBER('Evidence'!M9),'Evidence'!M9,"")</f>
        <v/>
      </c>
      <c r="N21" s="115">
        <f>IF(ISNUMBER('Evidence'!N9),'Evidence'!N9,"")</f>
        <v/>
      </c>
      <c r="O21" s="115">
        <f>IF(ISNUMBER('Evidence'!O9),'Evidence'!O9,"")</f>
        <v/>
      </c>
      <c r="P21" s="115">
        <f>IF(ISNUMBER('Evidence'!P9),'Evidence'!P9,"")</f>
        <v/>
      </c>
      <c r="Q21" s="115">
        <f>IF(ISNUMBER('Evidence'!Q9),'Evidence'!Q9,"")</f>
        <v/>
      </c>
      <c r="R21" s="115">
        <f>IF(ISNUMBER('Evidence'!R9),'Evidence'!R9,"")</f>
        <v/>
      </c>
      <c r="S21" s="115">
        <f>IF(ISNUMBER('Evidence'!S9),'Evidence'!S9,"")</f>
        <v/>
      </c>
      <c r="T21" s="3" t="inlineStr">
        <is>
          <t>Unreviewed source extract; annual cells contain… [N194]</t>
        </is>
      </c>
      <c r="U21" s="3" t="inlineStr">
        <is>
          <t>Evidence row 9; assumptions/2026/timeseries/fuel_sales_fiasa.csv</t>
        </is>
      </c>
      <c r="V21" s="3" t="inlineStr">
        <is>
          <t>G10: match fuel product, airport/airline and… [N195]</t>
        </is>
      </c>
    </row>
    <row r="22" ht="30" customHeight="1">
      <c r="A22" s="65" t="inlineStr">
        <is>
          <t>Legacy jet regression intercept</t>
        </is>
      </c>
      <c r="B22" s="65" t="inlineStr">
        <is>
          <t>L/year</t>
        </is>
      </c>
      <c r="C22" s="65" t="inlineStr">
        <is>
          <t>Current scalar</t>
        </is>
      </c>
      <c r="D22" s="114">
        <f>IF(ISNUMBER('Model run'!D43),'Model run'!D43,"")</f>
        <v/>
      </c>
      <c r="E22" s="65" t="inlineStr">
        <is>
          <t>Jet = intercept + GDP/capita coefficient × GDP/capita + passenger… [N196]</t>
        </is>
      </c>
      <c r="F22" s="115" t="n"/>
      <c r="G22" s="115" t="n"/>
      <c r="H22" s="115" t="n"/>
      <c r="I22" s="115" t="n"/>
      <c r="J22" s="115" t="n"/>
      <c r="K22" s="115" t="n"/>
      <c r="L22" s="115" t="n"/>
      <c r="M22" s="115" t="n"/>
      <c r="N22" s="115" t="n"/>
      <c r="O22" s="115" t="n"/>
      <c r="P22" s="115" t="n"/>
      <c r="Q22" s="115" t="n"/>
      <c r="R22" s="115" t="n"/>
      <c r="S22" s="115" t="n"/>
      <c r="T22" s="3" t="inlineStr">
        <is>
          <t>Legacy fit; not refitted.</t>
        </is>
      </c>
      <c r="U22" s="3" t="inlineStr">
        <is>
          <t>https://github.com/Africa-International-Advisors/liq… [N197]</t>
        </is>
      </c>
      <c r="V22" s="3" t="inlineStr">
        <is>
          <t>Review model and unit basis.</t>
        </is>
      </c>
    </row>
    <row r="23" ht="30" customHeight="1">
      <c r="A23" s="65" t="inlineStr">
        <is>
          <t>GDP/capita coefficient</t>
        </is>
      </c>
      <c r="B23" s="65" t="inlineStr">
        <is>
          <t>L per ZAR/person</t>
        </is>
      </c>
      <c r="C23" s="65" t="inlineStr">
        <is>
          <t>Current scalar</t>
        </is>
      </c>
      <c r="D23" s="114">
        <f>IF(ISNUMBER('Model run'!D44),'Model run'!D44,"")</f>
        <v/>
      </c>
      <c r="E23" s="65" t="inlineStr">
        <is>
          <t>Used with current macro path.</t>
        </is>
      </c>
      <c r="F23" s="115" t="n"/>
      <c r="G23" s="115" t="n"/>
      <c r="H23" s="115" t="n"/>
      <c r="I23" s="115" t="n"/>
      <c r="J23" s="115" t="n"/>
      <c r="K23" s="115" t="n"/>
      <c r="L23" s="115" t="n"/>
      <c r="M23" s="115" t="n"/>
      <c r="N23" s="115" t="n"/>
      <c r="O23" s="115" t="n"/>
      <c r="P23" s="115" t="n"/>
      <c r="Q23" s="115" t="n"/>
      <c r="R23" s="115" t="n"/>
      <c r="S23" s="115" t="n"/>
      <c r="T23" s="3" t="inlineStr">
        <is>
          <t>Legacy fit.</t>
        </is>
      </c>
      <c r="U23" s="3" t="inlineStr">
        <is>
          <t>https://github.com/Africa-International-Advisors/liq… [N198]</t>
        </is>
      </c>
      <c r="V23" s="3" t="inlineStr">
        <is>
          <t>Validate driver overlap and fit.</t>
        </is>
      </c>
    </row>
    <row r="24" ht="30" customHeight="1">
      <c r="A24" s="65" t="inlineStr">
        <is>
          <t>Passenger coefficient</t>
        </is>
      </c>
      <c r="B24" s="65" t="inlineStr">
        <is>
          <t>L per departure</t>
        </is>
      </c>
      <c r="C24" s="65" t="inlineStr">
        <is>
          <t>Current scalar</t>
        </is>
      </c>
      <c r="D24" s="114">
        <f>IF(ISNUMBER('Model run'!D45),'Model run'!D45,"")</f>
        <v/>
      </c>
      <c r="E24" s="65" t="inlineStr">
        <is>
          <t>Passenger departure basis.</t>
        </is>
      </c>
      <c r="F24" s="115" t="n"/>
      <c r="G24" s="115" t="n"/>
      <c r="H24" s="115" t="n"/>
      <c r="I24" s="115" t="n"/>
      <c r="J24" s="115" t="n"/>
      <c r="K24" s="115" t="n"/>
      <c r="L24" s="115" t="n"/>
      <c r="M24" s="115" t="n"/>
      <c r="N24" s="115" t="n"/>
      <c r="O24" s="115" t="n"/>
      <c r="P24" s="115" t="n"/>
      <c r="Q24" s="115" t="n"/>
      <c r="R24" s="115" t="n"/>
      <c r="S24" s="115" t="n"/>
      <c r="T24" s="3" t="inlineStr">
        <is>
          <t>Legacy fit.</t>
        </is>
      </c>
      <c r="U24" s="3" t="inlineStr">
        <is>
          <t>https://github.com/Africa-International-Advisors/liq… [N199]</t>
        </is>
      </c>
      <c r="V24" s="3" t="inlineStr">
        <is>
          <t>Refit using matched aircraft and fuel data.</t>
        </is>
      </c>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8" customHeight="1">
      <c r="A26" s="3" t="n"/>
      <c r="B26" s="3" t="n"/>
      <c r="C26" s="3" t="n"/>
      <c r="D26" s="3" t="n"/>
      <c r="E26" s="3" t="n"/>
      <c r="F26" s="6" t="n"/>
      <c r="G26" s="6" t="n"/>
      <c r="H26" s="6" t="n"/>
      <c r="I26" s="6" t="n"/>
      <c r="J26" s="6" t="n"/>
      <c r="K26" s="6" t="n"/>
      <c r="L26" s="6" t="n"/>
      <c r="M26" s="6" t="n"/>
      <c r="N26" s="6" t="n"/>
      <c r="O26" s="6" t="n"/>
      <c r="P26" s="6" t="n"/>
      <c r="Q26" s="6" t="n"/>
      <c r="R26" s="6" t="n"/>
      <c r="S26" s="6" t="n"/>
      <c r="T26" s="3" t="n"/>
      <c r="U26" s="3" t="n"/>
      <c r="V26" s="3" t="n"/>
    </row>
    <row r="27" ht="28" customHeight="1">
      <c r="A27" s="12" t="inlineStr">
        <is>
          <t>Marine demand</t>
        </is>
      </c>
      <c r="B27" s="11" t="n"/>
      <c r="C27" s="11" t="n"/>
      <c r="D27" s="11" t="n"/>
      <c r="E27" s="11" t="n"/>
      <c r="F27" s="25" t="n"/>
      <c r="G27" s="25" t="n"/>
      <c r="H27" s="25" t="n"/>
      <c r="I27" s="25" t="n"/>
      <c r="J27" s="25" t="n"/>
      <c r="K27" s="25" t="n"/>
      <c r="L27" s="25" t="n"/>
      <c r="M27" s="25" t="n"/>
      <c r="N27" s="25" t="n"/>
      <c r="O27" s="25" t="n"/>
      <c r="P27" s="25" t="n"/>
      <c r="Q27" s="25" t="n"/>
      <c r="R27" s="25" t="n"/>
      <c r="S27" s="25" t="n"/>
      <c r="T27" s="11" t="n"/>
      <c r="U27" s="11" t="n"/>
      <c r="V27" s="11" t="n"/>
    </row>
    <row r="28" ht="30" customHeight="1">
      <c r="A28" s="65" t="inlineStr">
        <is>
          <t>durban provisional port baseline</t>
        </is>
      </c>
      <c r="B28" s="65" t="inlineStr">
        <is>
          <t>million L/year</t>
        </is>
      </c>
      <c r="C28" s="65" t="inlineStr">
        <is>
          <t>Current scalar</t>
        </is>
      </c>
      <c r="D28" s="114">
        <f>IF(ISNUMBER('Model run'!D46),'Model run'!D46,"")</f>
        <v/>
      </c>
      <c r="E28" s="65" t="inlineStr">
        <is>
          <t>Current 2024 placeholder; not measured port bunkering.</t>
        </is>
      </c>
      <c r="F28" s="115" t="n"/>
      <c r="G28" s="115" t="n"/>
      <c r="H28" s="115" t="n"/>
      <c r="I28" s="115" t="n"/>
      <c r="J28" s="115" t="n"/>
      <c r="K28" s="115" t="n"/>
      <c r="L28" s="115" t="n"/>
      <c r="M28" s="115" t="n"/>
      <c r="N28" s="115" t="n"/>
      <c r="O28" s="115" t="n"/>
      <c r="P28" s="115" t="n"/>
      <c r="Q28" s="115" t="n"/>
      <c r="R28" s="115" t="n"/>
      <c r="S28" s="115" t="n"/>
      <c r="T28" s="3" t="inlineStr">
        <is>
          <t>Provisional held baseline.</t>
        </is>
      </c>
      <c r="U28" s="3" t="inlineStr">
        <is>
          <t>https://github.com/Africa-International-Advisors/liq… [N200]</t>
        </is>
      </c>
      <c r="V28" s="3" t="inlineStr">
        <is>
          <t>G12: source annual port/product bunker deliveries.</t>
        </is>
      </c>
    </row>
    <row r="29" ht="30" customHeight="1">
      <c r="A29" s="65" t="inlineStr">
        <is>
          <t>cape_town provisional port baseline</t>
        </is>
      </c>
      <c r="B29" s="65" t="inlineStr">
        <is>
          <t>million L/year</t>
        </is>
      </c>
      <c r="C29" s="65" t="inlineStr">
        <is>
          <t>Current scalar</t>
        </is>
      </c>
      <c r="D29" s="114">
        <f>IF(ISNUMBER('Model run'!D47),'Model run'!D47,"")</f>
        <v/>
      </c>
      <c r="E29" s="65" t="inlineStr">
        <is>
          <t>Current 2024 placeholder; not measured port bunkering.</t>
        </is>
      </c>
      <c r="F29" s="115" t="n"/>
      <c r="G29" s="115" t="n"/>
      <c r="H29" s="115" t="n"/>
      <c r="I29" s="115" t="n"/>
      <c r="J29" s="115" t="n"/>
      <c r="K29" s="115" t="n"/>
      <c r="L29" s="115" t="n"/>
      <c r="M29" s="115" t="n"/>
      <c r="N29" s="115" t="n"/>
      <c r="O29" s="115" t="n"/>
      <c r="P29" s="115" t="n"/>
      <c r="Q29" s="115" t="n"/>
      <c r="R29" s="115" t="n"/>
      <c r="S29" s="115" t="n"/>
      <c r="T29" s="3" t="inlineStr">
        <is>
          <t>Provisional held baseline.</t>
        </is>
      </c>
      <c r="U29" s="3" t="inlineStr">
        <is>
          <t>https://github.com/Africa-International-Advisors/liq… [N201]</t>
        </is>
      </c>
      <c r="V29" s="3" t="inlineStr">
        <is>
          <t>G12: source annual port/product bunker deliveries.</t>
        </is>
      </c>
    </row>
    <row r="30" ht="30" customHeight="1">
      <c r="A30" s="65" t="inlineStr">
        <is>
          <t>saldanha provisional port baseline</t>
        </is>
      </c>
      <c r="B30" s="65" t="inlineStr">
        <is>
          <t>million L/year</t>
        </is>
      </c>
      <c r="C30" s="65" t="inlineStr">
        <is>
          <t>Current scalar</t>
        </is>
      </c>
      <c r="D30" s="114">
        <f>IF(ISNUMBER('Model run'!D48),'Model run'!D48,"")</f>
        <v/>
      </c>
      <c r="E30" s="65" t="inlineStr">
        <is>
          <t>Current 2024 placeholder; not measured port bunkering.</t>
        </is>
      </c>
      <c r="F30" s="115" t="n"/>
      <c r="G30" s="115" t="n"/>
      <c r="H30" s="115" t="n"/>
      <c r="I30" s="115" t="n"/>
      <c r="J30" s="115" t="n"/>
      <c r="K30" s="115" t="n"/>
      <c r="L30" s="115" t="n"/>
      <c r="M30" s="115" t="n"/>
      <c r="N30" s="115" t="n"/>
      <c r="O30" s="115" t="n"/>
      <c r="P30" s="115" t="n"/>
      <c r="Q30" s="115" t="n"/>
      <c r="R30" s="115" t="n"/>
      <c r="S30" s="115" t="n"/>
      <c r="T30" s="3" t="inlineStr">
        <is>
          <t>Provisional held baseline.</t>
        </is>
      </c>
      <c r="U30" s="3" t="inlineStr">
        <is>
          <t>https://github.com/Africa-International-Advisors/liq… [N202]</t>
        </is>
      </c>
      <c r="V30" s="3" t="inlineStr">
        <is>
          <t>G12: source annual port/product bunker deliveries.</t>
        </is>
      </c>
    </row>
    <row r="31" ht="30" customHeight="1">
      <c r="A31" s="65" t="inlineStr">
        <is>
          <t>Marine GDP/capita elasticity</t>
        </is>
      </c>
      <c r="B31" s="65" t="inlineStr">
        <is>
          <t>dimensionless</t>
        </is>
      </c>
      <c r="C31" s="65" t="inlineStr">
        <is>
          <t>Current scalar</t>
        </is>
      </c>
      <c r="D31" s="114">
        <f>IF(ISNUMBER('Model run'!D49),'Model run'!D49,"")</f>
        <v/>
      </c>
      <c r="E31" s="65" t="inlineStr">
        <is>
          <t>Current proxy response.</t>
        </is>
      </c>
      <c r="F31" s="115" t="n"/>
      <c r="G31" s="115" t="n"/>
      <c r="H31" s="115" t="n"/>
      <c r="I31" s="115" t="n"/>
      <c r="J31" s="115" t="n"/>
      <c r="K31" s="115" t="n"/>
      <c r="L31" s="115" t="n"/>
      <c r="M31" s="115" t="n"/>
      <c r="N31" s="115" t="n"/>
      <c r="O31" s="115" t="n"/>
      <c r="P31" s="115" t="n"/>
      <c r="Q31" s="115" t="n"/>
      <c r="R31" s="115" t="n"/>
      <c r="S31" s="115" t="n"/>
      <c r="T31" s="3" t="inlineStr">
        <is>
          <t>Provisional.</t>
        </is>
      </c>
      <c r="U31" s="3" t="inlineStr">
        <is>
          <t>https://github.com/Africa-International-Advisors/liq… [N203]</t>
        </is>
      </c>
      <c r="V31" s="3" t="inlineStr">
        <is>
          <t>Replace/test against vessel/port activity.</t>
        </is>
      </c>
    </row>
    <row r="32" ht="30" customHeight="1">
      <c r="A32" s="65" t="inlineStr">
        <is>
          <t>Marine fuel-oil share</t>
        </is>
      </c>
      <c r="B32" s="65" t="inlineStr">
        <is>
          <t>share</t>
        </is>
      </c>
      <c r="C32" s="65" t="inlineStr">
        <is>
          <t>Current scalar</t>
        </is>
      </c>
      <c r="D32" s="139">
        <f>IF(ISNUMBER('Model run'!D50),'Model run'!D50,"")</f>
        <v/>
      </c>
      <c r="E32" s="65" t="inlineStr">
        <is>
          <t>One provisional split across ports.</t>
        </is>
      </c>
      <c r="F32" s="115" t="n"/>
      <c r="G32" s="115" t="n"/>
      <c r="H32" s="115" t="n"/>
      <c r="I32" s="115" t="n"/>
      <c r="J32" s="115" t="n"/>
      <c r="K32" s="115" t="n"/>
      <c r="L32" s="115" t="n"/>
      <c r="M32" s="115" t="n"/>
      <c r="N32" s="115" t="n"/>
      <c r="O32" s="115" t="n"/>
      <c r="P32" s="115" t="n"/>
      <c r="Q32" s="115" t="n"/>
      <c r="R32" s="115" t="n"/>
      <c r="S32" s="115" t="n"/>
      <c r="T32" s="3" t="inlineStr">
        <is>
          <t>Not port-specific.</t>
        </is>
      </c>
      <c r="U32" s="3" t="inlineStr">
        <is>
          <t>https://github.com/Africa-International-Advisors/liq… [N204]</t>
        </is>
      </c>
      <c r="V32" s="3" t="inlineStr">
        <is>
          <t>G12: source product shares.</t>
        </is>
      </c>
    </row>
    <row r="33" ht="30" customHeight="1">
      <c r="A33" s="65" t="inlineStr">
        <is>
          <t>Marine diesel share</t>
        </is>
      </c>
      <c r="B33" s="65" t="inlineStr">
        <is>
          <t>share</t>
        </is>
      </c>
      <c r="C33" s="65" t="inlineStr">
        <is>
          <t>Current scalar</t>
        </is>
      </c>
      <c r="D33" s="139">
        <f>IF(ISNUMBER('Model run'!D51),'Model run'!D51,"")</f>
        <v/>
      </c>
      <c r="E33" s="65" t="inlineStr">
        <is>
          <t>Diesel_500ppm; part of total diesel comparison.</t>
        </is>
      </c>
      <c r="F33" s="115" t="n"/>
      <c r="G33" s="115" t="n"/>
      <c r="H33" s="115" t="n"/>
      <c r="I33" s="115" t="n"/>
      <c r="J33" s="115" t="n"/>
      <c r="K33" s="115" t="n"/>
      <c r="L33" s="115" t="n"/>
      <c r="M33" s="115" t="n"/>
      <c r="N33" s="115" t="n"/>
      <c r="O33" s="115" t="n"/>
      <c r="P33" s="115" t="n"/>
      <c r="Q33" s="115" t="n"/>
      <c r="R33" s="115" t="n"/>
      <c r="S33" s="115" t="n"/>
      <c r="T33" s="3" t="inlineStr">
        <is>
          <t>Not port-specific.</t>
        </is>
      </c>
      <c r="U33" s="3" t="inlineStr">
        <is>
          <t>https://github.com/Africa-International-Advisors/liq… [N205]</t>
        </is>
      </c>
      <c r="V33" s="3" t="inlineStr">
        <is>
          <t>G12: reconcile domestic and international bunkers.</t>
        </is>
      </c>
    </row>
    <row r="34" ht="30" customHeight="1">
      <c r="A34" s="16" t="inlineStr">
        <is>
          <t>Marine diesel demand</t>
        </is>
      </c>
      <c r="B34" s="16" t="inlineStr">
        <is>
          <t>million L/year</t>
        </is>
      </c>
      <c r="C34" s="16" t="inlineStr">
        <is>
          <t>Model output</t>
        </is>
      </c>
      <c r="D34" s="116" t="n"/>
      <c r="E34" s="16" t="inlineStr">
        <is>
          <t>No 2022–23 output from current marine engine.</t>
        </is>
      </c>
      <c r="F34" s="117" t="n"/>
      <c r="G34" s="117" t="n"/>
      <c r="H34" s="117">
        <f>IF(ISNUMBER('Model run'!H52),'Model run'!H52,"")</f>
        <v/>
      </c>
      <c r="I34" s="117">
        <f>IF(ISNUMBER('Model run'!I52),'Model run'!I52,"")</f>
        <v/>
      </c>
      <c r="J34" s="117">
        <f>IF(ISNUMBER('Model run'!J52),'Model run'!J52,"")</f>
        <v/>
      </c>
      <c r="K34" s="117">
        <f>IF(ISNUMBER('Model run'!K52),'Model run'!K52,"")</f>
        <v/>
      </c>
      <c r="L34" s="117">
        <f>IF(ISNUMBER('Model run'!L52),'Model run'!L52,"")</f>
        <v/>
      </c>
      <c r="M34" s="117">
        <f>IF(ISNUMBER('Model run'!M52),'Model run'!M52,"")</f>
        <v/>
      </c>
      <c r="N34" s="117">
        <f>IF(ISNUMBER('Model run'!N52),'Model run'!N52,"")</f>
        <v/>
      </c>
      <c r="O34" s="117">
        <f>IF(ISNUMBER('Model run'!O52),'Model run'!O52,"")</f>
        <v/>
      </c>
      <c r="P34" s="117">
        <f>IF(ISNUMBER('Model run'!P52),'Model run'!P52,"")</f>
        <v/>
      </c>
      <c r="Q34" s="117">
        <f>IF(ISNUMBER('Model run'!Q52),'Model run'!Q52,"")</f>
        <v/>
      </c>
      <c r="R34" s="117">
        <f>IF(ISNUMBER('Model run'!R52),'Model run'!R52,"")</f>
        <v/>
      </c>
      <c r="S34" s="117">
        <f>IF(ISNUMBER('Model run'!S52),'Model run'!S52,"")</f>
        <v/>
      </c>
      <c r="T34" s="3" t="inlineStr">
        <is>
          <t>2026 vintage; current high_demand case; provisional.</t>
        </is>
      </c>
      <c r="U34" s="3" t="inlineStr">
        <is>
          <t>https://github.com/Africa-International-Advisors/liq… [N206]</t>
        </is>
      </c>
      <c r="V34" s="3" t="inlineStr">
        <is>
          <t>Validate inputs and reconcile against observed data.</t>
        </is>
      </c>
    </row>
    <row r="35" ht="30" customHeight="1">
      <c r="A35" s="16" t="inlineStr">
        <is>
          <t>Marine fuel-oil demand</t>
        </is>
      </c>
      <c r="B35" s="16" t="inlineStr">
        <is>
          <t>million L/year</t>
        </is>
      </c>
      <c r="C35" s="16" t="inlineStr">
        <is>
          <t>Model output</t>
        </is>
      </c>
      <c r="D35" s="116" t="n"/>
      <c r="E35" s="16" t="inlineStr">
        <is>
          <t>Marine only; does not represent all national fuel-oil consumption.</t>
        </is>
      </c>
      <c r="F35" s="117" t="n"/>
      <c r="G35" s="117" t="n"/>
      <c r="H35" s="117">
        <f>IF(ISNUMBER('Model run'!H53),'Model run'!H53,"")</f>
        <v/>
      </c>
      <c r="I35" s="117">
        <f>IF(ISNUMBER('Model run'!I53),'Model run'!I53,"")</f>
        <v/>
      </c>
      <c r="J35" s="117">
        <f>IF(ISNUMBER('Model run'!J53),'Model run'!J53,"")</f>
        <v/>
      </c>
      <c r="K35" s="117">
        <f>IF(ISNUMBER('Model run'!K53),'Model run'!K53,"")</f>
        <v/>
      </c>
      <c r="L35" s="117">
        <f>IF(ISNUMBER('Model run'!L53),'Model run'!L53,"")</f>
        <v/>
      </c>
      <c r="M35" s="117">
        <f>IF(ISNUMBER('Model run'!M53),'Model run'!M53,"")</f>
        <v/>
      </c>
      <c r="N35" s="117">
        <f>IF(ISNUMBER('Model run'!N53),'Model run'!N53,"")</f>
        <v/>
      </c>
      <c r="O35" s="117">
        <f>IF(ISNUMBER('Model run'!O53),'Model run'!O53,"")</f>
        <v/>
      </c>
      <c r="P35" s="117">
        <f>IF(ISNUMBER('Model run'!P53),'Model run'!P53,"")</f>
        <v/>
      </c>
      <c r="Q35" s="117">
        <f>IF(ISNUMBER('Model run'!Q53),'Model run'!Q53,"")</f>
        <v/>
      </c>
      <c r="R35" s="117">
        <f>IF(ISNUMBER('Model run'!R53),'Model run'!R53,"")</f>
        <v/>
      </c>
      <c r="S35" s="117">
        <f>IF(ISNUMBER('Model run'!S53),'Model run'!S53,"")</f>
        <v/>
      </c>
      <c r="T35" s="3" t="inlineStr">
        <is>
          <t>2026 vintage; current high_demand case; provisional.</t>
        </is>
      </c>
      <c r="U35" s="3" t="inlineStr">
        <is>
          <t>https://github.com/Africa-International-Advisors/liq… [N207]</t>
        </is>
      </c>
      <c r="V35" s="3" t="inlineStr">
        <is>
          <t>Validate inputs and reconcile against observed data.</t>
        </is>
      </c>
    </row>
    <row r="36" ht="8" customHeight="1">
      <c r="A36" s="3" t="n"/>
      <c r="B36" s="3" t="n"/>
      <c r="C36" s="3" t="n"/>
      <c r="D36" s="3" t="n"/>
      <c r="E36" s="3" t="n"/>
      <c r="F36" s="6" t="n"/>
      <c r="G36" s="6" t="n"/>
      <c r="H36" s="6" t="n"/>
      <c r="I36" s="6" t="n"/>
      <c r="J36" s="6" t="n"/>
      <c r="K36" s="6" t="n"/>
      <c r="L36" s="6" t="n"/>
      <c r="M36" s="6" t="n"/>
      <c r="N36" s="6" t="n"/>
      <c r="O36" s="6" t="n"/>
      <c r="P36" s="6" t="n"/>
      <c r="Q36" s="6" t="n"/>
      <c r="R36" s="6" t="n"/>
      <c r="S36" s="6" t="n"/>
      <c r="T36" s="3" t="n"/>
      <c r="U36" s="3" t="n"/>
      <c r="V36" s="3" t="n"/>
    </row>
    <row r="37" ht="8" customHeight="1">
      <c r="A37" s="3" t="n"/>
      <c r="B37" s="3" t="n"/>
      <c r="C37" s="3" t="n"/>
      <c r="D37" s="3" t="n"/>
      <c r="E37" s="3" t="n"/>
      <c r="F37" s="6" t="n"/>
      <c r="G37" s="6" t="n"/>
      <c r="H37" s="6" t="n"/>
      <c r="I37" s="6" t="n"/>
      <c r="J37" s="6" t="n"/>
      <c r="K37" s="6" t="n"/>
      <c r="L37" s="6" t="n"/>
      <c r="M37" s="6" t="n"/>
      <c r="N37" s="6" t="n"/>
      <c r="O37" s="6" t="n"/>
      <c r="P37" s="6" t="n"/>
      <c r="Q37" s="6" t="n"/>
      <c r="R37" s="6" t="n"/>
      <c r="S37" s="6" t="n"/>
      <c r="T37" s="3" t="n"/>
      <c r="U37" s="3" t="n"/>
      <c r="V37" s="3" t="n"/>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8" customHeight="1">
      <c r="A45" s="3" t="n"/>
      <c r="B45" s="3" t="n"/>
      <c r="C45" s="3" t="n"/>
      <c r="D45" s="3" t="n"/>
      <c r="E45" s="3" t="n"/>
      <c r="F45" s="6" t="n"/>
      <c r="G45" s="6" t="n"/>
      <c r="H45" s="6" t="n"/>
      <c r="I45" s="6" t="n"/>
      <c r="J45" s="6" t="n"/>
      <c r="K45" s="6" t="n"/>
      <c r="L45" s="6" t="n"/>
      <c r="M45" s="6" t="n"/>
      <c r="N45" s="6" t="n"/>
      <c r="O45" s="6" t="n"/>
      <c r="P45" s="6" t="n"/>
      <c r="Q45" s="6" t="n"/>
      <c r="R45" s="6" t="n"/>
      <c r="S45" s="6"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8" customHeight="1">
      <c r="A47" s="3" t="n"/>
      <c r="B47" s="3" t="n"/>
      <c r="C47" s="3" t="n"/>
      <c r="D47" s="3" t="n"/>
      <c r="E47" s="3" t="n"/>
      <c r="F47" s="6" t="n"/>
      <c r="G47" s="6" t="n"/>
      <c r="H47" s="6" t="n"/>
      <c r="I47" s="6" t="n"/>
      <c r="J47" s="6" t="n"/>
      <c r="K47" s="6" t="n"/>
      <c r="L47" s="6" t="n"/>
      <c r="M47" s="6" t="n"/>
      <c r="N47" s="6" t="n"/>
      <c r="O47" s="6" t="n"/>
      <c r="P47" s="6" t="n"/>
      <c r="Q47" s="6" t="n"/>
      <c r="R47" s="6" t="n"/>
      <c r="S47" s="6" t="n"/>
      <c r="T47" s="3" t="n"/>
      <c r="U47" s="3" t="n"/>
      <c r="V47" s="3" t="n"/>
    </row>
    <row r="48" ht="8" customHeight="1">
      <c r="A48" s="3" t="n"/>
      <c r="B48" s="3" t="n"/>
      <c r="C48" s="3" t="n"/>
      <c r="D48" s="3" t="n"/>
      <c r="E48" s="3" t="n"/>
      <c r="F48" s="6" t="n"/>
      <c r="G48" s="6" t="n"/>
      <c r="H48" s="6" t="n"/>
      <c r="I48" s="6" t="n"/>
      <c r="J48" s="6" t="n"/>
      <c r="K48" s="6" t="n"/>
      <c r="L48" s="6" t="n"/>
      <c r="M48" s="6" t="n"/>
      <c r="N48" s="6" t="n"/>
      <c r="O48" s="6" t="n"/>
      <c r="P48" s="6" t="n"/>
      <c r="Q48" s="6" t="n"/>
      <c r="R48" s="6" t="n"/>
      <c r="S48" s="6" t="n"/>
      <c r="T48" s="3" t="n"/>
      <c r="U48" s="3" t="n"/>
      <c r="V48" s="3" t="n"/>
    </row>
    <row r="49" ht="8" customHeight="1">
      <c r="A49" s="3" t="n"/>
      <c r="B49" s="3" t="n"/>
      <c r="C49" s="3" t="n"/>
      <c r="D49" s="3" t="n"/>
      <c r="E49" s="3" t="n"/>
      <c r="F49" s="6" t="n"/>
      <c r="G49" s="6" t="n"/>
      <c r="H49" s="6" t="n"/>
      <c r="I49" s="6" t="n"/>
      <c r="J49" s="6" t="n"/>
      <c r="K49" s="6" t="n"/>
      <c r="L49" s="6" t="n"/>
      <c r="M49" s="6" t="n"/>
      <c r="N49" s="6" t="n"/>
      <c r="O49" s="6" t="n"/>
      <c r="P49" s="6" t="n"/>
      <c r="Q49" s="6" t="n"/>
      <c r="R49" s="6" t="n"/>
      <c r="S49" s="6" t="n"/>
      <c r="T49" s="3" t="n"/>
      <c r="U49" s="3" t="n"/>
      <c r="V49" s="3" t="n"/>
    </row>
    <row r="50" ht="8" customHeight="1">
      <c r="A50" s="3" t="n"/>
      <c r="B50" s="3" t="n"/>
      <c r="C50" s="3" t="n"/>
      <c r="D50" s="3" t="n"/>
      <c r="E50" s="3" t="n"/>
      <c r="F50" s="6" t="n"/>
      <c r="G50" s="6" t="n"/>
      <c r="H50" s="6" t="n"/>
      <c r="I50" s="6" t="n"/>
      <c r="J50" s="6" t="n"/>
      <c r="K50" s="6" t="n"/>
      <c r="L50" s="6" t="n"/>
      <c r="M50" s="6" t="n"/>
      <c r="N50" s="6" t="n"/>
      <c r="O50" s="6" t="n"/>
      <c r="P50" s="6" t="n"/>
      <c r="Q50" s="6" t="n"/>
      <c r="R50" s="6" t="n"/>
      <c r="S50" s="6" t="n"/>
      <c r="T50" s="3" t="n"/>
      <c r="U50" s="3" t="n"/>
      <c r="V50" s="3" t="n"/>
    </row>
    <row r="51" ht="8" customHeight="1">
      <c r="A51" s="3" t="n"/>
      <c r="B51" s="3" t="n"/>
      <c r="C51" s="3" t="n"/>
      <c r="D51" s="3" t="n"/>
      <c r="E51" s="3" t="n"/>
      <c r="F51" s="6" t="n"/>
      <c r="G51" s="6" t="n"/>
      <c r="H51" s="6" t="n"/>
      <c r="I51" s="6" t="n"/>
      <c r="J51" s="6" t="n"/>
      <c r="K51" s="6" t="n"/>
      <c r="L51" s="6" t="n"/>
      <c r="M51" s="6" t="n"/>
      <c r="N51" s="6" t="n"/>
      <c r="O51" s="6" t="n"/>
      <c r="P51" s="6" t="n"/>
      <c r="Q51" s="6" t="n"/>
      <c r="R51" s="6" t="n"/>
      <c r="S51" s="6" t="n"/>
      <c r="T51" s="3" t="n"/>
      <c r="U51" s="3" t="n"/>
      <c r="V51" s="3" t="n"/>
    </row>
    <row r="52" ht="8" customHeight="1">
      <c r="A52" s="3" t="n"/>
      <c r="B52" s="3" t="n"/>
      <c r="C52" s="3" t="n"/>
      <c r="D52" s="3" t="n"/>
      <c r="E52" s="3" t="n"/>
      <c r="F52" s="6" t="n"/>
      <c r="G52" s="6" t="n"/>
      <c r="H52" s="6" t="n"/>
      <c r="I52" s="6" t="n"/>
      <c r="J52" s="6" t="n"/>
      <c r="K52" s="6" t="n"/>
      <c r="L52" s="6" t="n"/>
      <c r="M52" s="6" t="n"/>
      <c r="N52" s="6" t="n"/>
      <c r="O52" s="6" t="n"/>
      <c r="P52" s="6" t="n"/>
      <c r="Q52" s="6" t="n"/>
      <c r="R52" s="6" t="n"/>
      <c r="S52" s="6" t="n"/>
      <c r="T52" s="3" t="n"/>
      <c r="U52" s="3" t="n"/>
      <c r="V52" s="3" t="n"/>
    </row>
    <row r="53" ht="8" customHeight="1">
      <c r="A53" s="3" t="n"/>
      <c r="B53" s="3" t="n"/>
      <c r="C53" s="3" t="n"/>
      <c r="D53" s="3" t="n"/>
      <c r="E53" s="3" t="n"/>
      <c r="F53" s="6" t="n"/>
      <c r="G53" s="6" t="n"/>
      <c r="H53" s="6" t="n"/>
      <c r="I53" s="6" t="n"/>
      <c r="J53" s="6" t="n"/>
      <c r="K53" s="6" t="n"/>
      <c r="L53" s="6" t="n"/>
      <c r="M53" s="6" t="n"/>
      <c r="N53" s="6" t="n"/>
      <c r="O53" s="6" t="n"/>
      <c r="P53" s="6" t="n"/>
      <c r="Q53" s="6" t="n"/>
      <c r="R53" s="6" t="n"/>
      <c r="S53" s="6" t="n"/>
      <c r="T53" s="3" t="n"/>
      <c r="U53" s="3" t="n"/>
      <c r="V53" s="3" t="n"/>
    </row>
    <row r="54" ht="8" customHeight="1">
      <c r="A54" s="3" t="n"/>
      <c r="B54" s="3" t="n"/>
      <c r="C54" s="3" t="n"/>
      <c r="D54" s="3" t="n"/>
      <c r="E54" s="3" t="n"/>
      <c r="F54" s="6" t="n"/>
      <c r="G54" s="6" t="n"/>
      <c r="H54" s="6" t="n"/>
      <c r="I54" s="6" t="n"/>
      <c r="J54" s="6" t="n"/>
      <c r="K54" s="6" t="n"/>
      <c r="L54" s="6" t="n"/>
      <c r="M54" s="6" t="n"/>
      <c r="N54" s="6" t="n"/>
      <c r="O54" s="6" t="n"/>
      <c r="P54" s="6" t="n"/>
      <c r="Q54" s="6" t="n"/>
      <c r="R54" s="6" t="n"/>
      <c r="S54" s="6" t="n"/>
      <c r="T54" s="3" t="n"/>
      <c r="U54" s="3" t="n"/>
      <c r="V54" s="3" t="n"/>
    </row>
    <row r="55" ht="8" customHeight="1">
      <c r="A55" s="3" t="n"/>
      <c r="B55" s="3" t="n"/>
      <c r="C55" s="3" t="n"/>
      <c r="D55" s="3" t="n"/>
      <c r="E55" s="3" t="n"/>
      <c r="F55" s="6" t="n"/>
      <c r="G55" s="6" t="n"/>
      <c r="H55" s="6" t="n"/>
      <c r="I55" s="6" t="n"/>
      <c r="J55" s="6" t="n"/>
      <c r="K55" s="6" t="n"/>
      <c r="L55" s="6" t="n"/>
      <c r="M55" s="6" t="n"/>
      <c r="N55" s="6" t="n"/>
      <c r="O55" s="6" t="n"/>
      <c r="P55" s="6" t="n"/>
      <c r="Q55" s="6" t="n"/>
      <c r="R55" s="6" t="n"/>
      <c r="S55" s="6" t="n"/>
      <c r="T55" s="3" t="n"/>
      <c r="U55" s="3" t="n"/>
      <c r="V55" s="3" t="n"/>
    </row>
    <row r="56" ht="8" customHeight="1">
      <c r="A56" s="3" t="n"/>
      <c r="B56" s="3" t="n"/>
      <c r="C56" s="3" t="n"/>
      <c r="D56" s="3" t="n"/>
      <c r="E56" s="3" t="n"/>
      <c r="F56" s="6" t="n"/>
      <c r="G56" s="6" t="n"/>
      <c r="H56" s="6" t="n"/>
      <c r="I56" s="6" t="n"/>
      <c r="J56" s="6" t="n"/>
      <c r="K56" s="6" t="n"/>
      <c r="L56" s="6" t="n"/>
      <c r="M56" s="6" t="n"/>
      <c r="N56" s="6" t="n"/>
      <c r="O56" s="6" t="n"/>
      <c r="P56" s="6" t="n"/>
      <c r="Q56" s="6" t="n"/>
      <c r="R56" s="6" t="n"/>
      <c r="S56" s="6" t="n"/>
      <c r="T56" s="3" t="n"/>
      <c r="U56" s="3" t="n"/>
      <c r="V56" s="3" t="n"/>
    </row>
    <row r="57" ht="8" customHeight="1">
      <c r="A57" s="3" t="n"/>
      <c r="B57" s="3" t="n"/>
      <c r="C57" s="3" t="n"/>
      <c r="D57" s="3" t="n"/>
      <c r="E57" s="3" t="n"/>
      <c r="F57" s="6" t="n"/>
      <c r="G57" s="6" t="n"/>
      <c r="H57" s="6" t="n"/>
      <c r="I57" s="6" t="n"/>
      <c r="J57" s="6" t="n"/>
      <c r="K57" s="6" t="n"/>
      <c r="L57" s="6" t="n"/>
      <c r="M57" s="6" t="n"/>
      <c r="N57" s="6" t="n"/>
      <c r="O57" s="6" t="n"/>
      <c r="P57" s="6" t="n"/>
      <c r="Q57" s="6" t="n"/>
      <c r="R57" s="6" t="n"/>
      <c r="S57" s="6" t="n"/>
      <c r="T57" s="3" t="n"/>
      <c r="U57" s="3" t="n"/>
      <c r="V57" s="3" t="n"/>
    </row>
    <row r="58" ht="8" customHeight="1">
      <c r="A58" s="3" t="n"/>
      <c r="B58" s="3" t="n"/>
      <c r="C58" s="3" t="n"/>
      <c r="D58" s="3" t="n"/>
      <c r="E58" s="3" t="n"/>
      <c r="F58" s="6" t="n"/>
      <c r="G58" s="6" t="n"/>
      <c r="H58" s="6" t="n"/>
      <c r="I58" s="6" t="n"/>
      <c r="J58" s="6" t="n"/>
      <c r="K58" s="6" t="n"/>
      <c r="L58" s="6" t="n"/>
      <c r="M58" s="6" t="n"/>
      <c r="N58" s="6" t="n"/>
      <c r="O58" s="6" t="n"/>
      <c r="P58" s="6" t="n"/>
      <c r="Q58" s="6" t="n"/>
      <c r="R58" s="6" t="n"/>
      <c r="S58" s="6" t="n"/>
      <c r="T58" s="3" t="n"/>
      <c r="U58" s="3" t="n"/>
      <c r="V58" s="3" t="n"/>
    </row>
    <row r="59" ht="8" customHeight="1">
      <c r="A59" s="3" t="n"/>
      <c r="B59" s="3" t="n"/>
      <c r="C59" s="3" t="n"/>
      <c r="D59" s="3" t="n"/>
      <c r="E59" s="3" t="n"/>
      <c r="F59" s="6" t="n"/>
      <c r="G59" s="6" t="n"/>
      <c r="H59" s="6" t="n"/>
      <c r="I59" s="6" t="n"/>
      <c r="J59" s="6" t="n"/>
      <c r="K59" s="6" t="n"/>
      <c r="L59" s="6" t="n"/>
      <c r="M59" s="6" t="n"/>
      <c r="N59" s="6" t="n"/>
      <c r="O59" s="6" t="n"/>
      <c r="P59" s="6" t="n"/>
      <c r="Q59" s="6" t="n"/>
      <c r="R59" s="6" t="n"/>
      <c r="S59" s="6" t="n"/>
      <c r="T59" s="3" t="n"/>
      <c r="U59" s="3" t="n"/>
      <c r="V59" s="3" t="n"/>
    </row>
    <row r="60" ht="8" customHeight="1">
      <c r="A60" s="3" t="n"/>
      <c r="B60" s="3" t="n"/>
      <c r="C60" s="3" t="n"/>
      <c r="D60" s="3" t="n"/>
      <c r="E60" s="3" t="n"/>
      <c r="F60" s="6" t="n"/>
      <c r="G60" s="6" t="n"/>
      <c r="H60" s="6" t="n"/>
      <c r="I60" s="6" t="n"/>
      <c r="J60" s="6" t="n"/>
      <c r="K60" s="6" t="n"/>
      <c r="L60" s="6" t="n"/>
      <c r="M60" s="6" t="n"/>
      <c r="N60" s="6" t="n"/>
      <c r="O60" s="6" t="n"/>
      <c r="P60" s="6" t="n"/>
      <c r="Q60" s="6" t="n"/>
      <c r="R60" s="6" t="n"/>
      <c r="S60" s="6" t="n"/>
      <c r="T60" s="3" t="n"/>
      <c r="U60" s="3" t="n"/>
      <c r="V60" s="3" t="n"/>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V65"/>
  <sheetViews>
    <sheetView showGridLines="0" workbookViewId="0">
      <pane xSplit="1" ySplit="4" topLeftCell="B5" activePane="bottomRight" state="frozen"/>
      <selection activeCell="A1" sqref="A1"/>
    </sheetView>
  </sheetViews>
  <sheetFormatPr baseColWidth="8" defaultRowHeight="15"/>
  <cols>
    <col width="29.3799991607666" customWidth="1" min="1" max="1"/>
    <col width="18.75" customWidth="1" min="2" max="2"/>
    <col width="38.75" customWidth="1" min="3" max="3"/>
    <col width="10.88000011444092" customWidth="1" min="4" max="4"/>
    <col width="10.88000011444092" customWidth="1" min="5" max="5"/>
    <col width="10.88000011444092" customWidth="1" min="6" max="6"/>
    <col width="10.88000011444092" customWidth="1" min="7" max="7"/>
    <col width="10.88000011444092" customWidth="1" min="8" max="8"/>
    <col width="10.88000011444092" customWidth="1" min="9" max="9"/>
    <col width="10.88000011444092" customWidth="1" min="10" max="10"/>
    <col width="10.88000011444092" customWidth="1" min="11" max="11"/>
    <col width="10.88000011444092" customWidth="1" min="12" max="12"/>
    <col width="10.88000011444092" customWidth="1" min="13" max="13"/>
    <col width="10.88000011444092" customWidth="1" min="14" max="14"/>
    <col width="10.88000011444092" customWidth="1" min="15" max="15"/>
    <col width="10.88000011444092" customWidth="1" min="16" max="16"/>
    <col width="10.88000011444092" customWidth="1" min="17" max="17"/>
    <col width="17.5" customWidth="1" min="18" max="18"/>
    <col width="16.25" customWidth="1" min="19" max="19"/>
    <col width="33.75" customWidth="1" min="20" max="20"/>
    <col width="43.75" customWidth="1" min="21" max="21"/>
    <col width="41.25" customWidth="1" min="22" max="22"/>
  </cols>
  <sheetData>
    <row r="1" ht="28" customHeight="1">
      <c r="A1" s="5" t="inlineStr">
        <is>
          <t>Provincial allocation example</t>
        </is>
      </c>
      <c r="B1" s="3" t="n"/>
      <c r="C1" s="3" t="n"/>
      <c r="D1" s="3" t="n"/>
      <c r="E1" s="3" t="n"/>
      <c r="F1" s="3" t="n"/>
      <c r="G1" s="3" t="n"/>
      <c r="H1" s="3" t="n"/>
      <c r="I1" s="3" t="n"/>
      <c r="J1" s="3" t="n"/>
      <c r="K1" s="3" t="n"/>
      <c r="L1" s="3" t="n"/>
      <c r="M1" s="3" t="n"/>
      <c r="N1" s="3" t="n"/>
      <c r="O1" s="3" t="n"/>
      <c r="P1" s="3" t="n"/>
      <c r="Q1" s="3" t="n"/>
    </row>
    <row r="2" ht="24" customHeight="1">
      <c r="A2" s="7" t="inlineStr">
        <is>
          <t>Petrol passenger demand • Shares are blank pending evidence. This is allocation, not a local-driver forecast.</t>
        </is>
      </c>
      <c r="B2" s="3" t="n"/>
      <c r="C2" s="3" t="n"/>
      <c r="D2" s="3" t="n"/>
      <c r="E2" s="3" t="n"/>
      <c r="F2" s="3" t="n"/>
      <c r="G2" s="3" t="n"/>
      <c r="H2" s="3" t="n"/>
      <c r="I2" s="3" t="n"/>
      <c r="J2" s="3" t="n"/>
      <c r="K2" s="3" t="n"/>
      <c r="L2" s="3" t="n"/>
      <c r="M2" s="3" t="n"/>
      <c r="N2" s="3" t="n"/>
      <c r="O2" s="3" t="n"/>
      <c r="P2" s="3" t="n"/>
      <c r="Q2" s="3" t="n"/>
    </row>
    <row r="3">
      <c r="A3" s="3" t="n"/>
      <c r="B3" s="3" t="n"/>
      <c r="C3" s="3" t="n"/>
      <c r="D3" s="3" t="n"/>
      <c r="E3" s="3" t="n"/>
      <c r="F3" s="3" t="n"/>
      <c r="G3" s="3" t="n"/>
      <c r="H3" s="3" t="n"/>
      <c r="I3" s="3" t="n"/>
      <c r="J3" s="3" t="n"/>
      <c r="K3" s="3" t="n"/>
      <c r="L3" s="3" t="n"/>
      <c r="M3" s="3" t="n"/>
      <c r="N3" s="3" t="n"/>
      <c r="O3" s="3" t="n"/>
      <c r="P3" s="3" t="n"/>
      <c r="Q3" s="3" t="n"/>
    </row>
    <row r="4" ht="40" customHeight="1">
      <c r="A4" s="9" t="inlineStr">
        <is>
          <t>Province / control</t>
        </is>
      </c>
      <c r="B4" s="9" t="inlineStr">
        <is>
          <t>Row type</t>
        </is>
      </c>
      <c r="C4" s="9" t="inlineStr">
        <is>
          <t>Evidence / method</t>
        </is>
      </c>
      <c r="D4" s="9" t="n">
        <v>2022</v>
      </c>
      <c r="E4" s="9" t="n">
        <v>2023</v>
      </c>
      <c r="F4" s="9" t="n">
        <v>2024</v>
      </c>
      <c r="G4" s="9" t="n">
        <v>2025</v>
      </c>
      <c r="H4" s="9" t="n">
        <v>2026</v>
      </c>
      <c r="I4" s="9" t="n">
        <v>2027</v>
      </c>
      <c r="J4" s="9" t="n">
        <v>2028</v>
      </c>
      <c r="K4" s="9" t="n">
        <v>2029</v>
      </c>
      <c r="L4" s="9" t="n">
        <v>2030</v>
      </c>
      <c r="M4" s="9" t="n">
        <v>2031</v>
      </c>
      <c r="N4" s="9" t="n">
        <v>2032</v>
      </c>
      <c r="O4" s="9" t="n">
        <v>2033</v>
      </c>
      <c r="P4" s="9" t="n">
        <v>2034</v>
      </c>
      <c r="Q4" s="9" t="n">
        <v>2035</v>
      </c>
      <c r="R4" s="79" t="inlineStr">
        <is>
          <t>Latest partial value</t>
        </is>
      </c>
      <c r="S4" s="79" t="inlineStr">
        <is>
          <t>Latest period</t>
        </is>
      </c>
      <c r="T4" s="79" t="inlineStr">
        <is>
          <t>Coverage / status</t>
        </is>
      </c>
      <c r="U4" s="79" t="inlineStr">
        <is>
          <t>Source</t>
        </is>
      </c>
      <c r="V4" s="79" t="inlineStr">
        <is>
          <t>Missing evidence / next action</t>
        </is>
      </c>
    </row>
    <row r="5" ht="52" customHeight="1">
      <c r="A5" s="3" t="inlineStr">
        <is>
          <t>National passenger petrol</t>
        </is>
      </c>
      <c r="B5" s="3" t="inlineStr">
        <is>
          <t>million L/year</t>
        </is>
      </c>
      <c r="C5" s="3" t="inlineStr">
        <is>
          <t>Linked to Petrol current-engine output</t>
        </is>
      </c>
      <c r="D5" s="121">
        <f>'Petrol'!F21</f>
        <v/>
      </c>
      <c r="E5" s="121">
        <f>'Petrol'!G21</f>
        <v/>
      </c>
      <c r="F5" s="121">
        <f>'Petrol'!H21</f>
        <v/>
      </c>
      <c r="G5" s="121">
        <f>'Petrol'!I21</f>
        <v/>
      </c>
      <c r="H5" s="121">
        <f>'Petrol'!J21</f>
        <v/>
      </c>
      <c r="I5" s="121">
        <f>'Petrol'!K21</f>
        <v/>
      </c>
      <c r="J5" s="121">
        <f>'Petrol'!L21</f>
        <v/>
      </c>
      <c r="K5" s="121">
        <f>'Petrol'!M21</f>
        <v/>
      </c>
      <c r="L5" s="121">
        <f>'Petrol'!N21</f>
        <v/>
      </c>
      <c r="M5" s="121">
        <f>'Petrol'!O21</f>
        <v/>
      </c>
      <c r="N5" s="121">
        <f>'Petrol'!P21</f>
        <v/>
      </c>
      <c r="O5" s="121">
        <f>'Petrol'!Q21</f>
        <v/>
      </c>
      <c r="P5" s="121">
        <f>'Petrol'!R21</f>
        <v/>
      </c>
      <c r="Q5" s="121">
        <f>'Petrol'!S21</f>
        <v/>
      </c>
    </row>
    <row r="6" ht="52" customHeight="1">
      <c r="A6" s="3" t="n"/>
      <c r="B6" s="3" t="n"/>
      <c r="C6" s="3" t="n"/>
      <c r="D6" s="3" t="n"/>
      <c r="E6" s="3" t="n"/>
      <c r="F6" s="3" t="n"/>
      <c r="G6" s="3" t="n"/>
      <c r="H6" s="3" t="n"/>
      <c r="I6" s="3" t="n"/>
      <c r="J6" s="3" t="n"/>
      <c r="K6" s="3" t="n"/>
      <c r="L6" s="3" t="n"/>
      <c r="M6" s="3" t="n"/>
      <c r="N6" s="3" t="n"/>
      <c r="O6" s="3" t="n"/>
      <c r="P6" s="3" t="n"/>
      <c r="Q6" s="3" t="n"/>
    </row>
    <row r="7" ht="52" customHeight="1">
      <c r="A7" s="3" t="inlineStr">
        <is>
          <t>Eastern Cape</t>
        </is>
      </c>
      <c r="B7" s="3" t="inlineStr">
        <is>
          <t>Allocation share</t>
        </is>
      </c>
      <c r="C7" s="3" t="inlineStr">
        <is>
          <t>Enter annual share and source; 0 only if confirmed</t>
        </is>
      </c>
      <c r="D7" s="130" t="n"/>
      <c r="E7" s="130" t="n"/>
      <c r="F7" s="130" t="n"/>
      <c r="G7" s="130" t="n"/>
      <c r="H7" s="130" t="n"/>
      <c r="I7" s="130" t="n"/>
      <c r="J7" s="130" t="n"/>
      <c r="K7" s="130" t="n"/>
      <c r="L7" s="130" t="n"/>
      <c r="M7" s="130" t="n"/>
      <c r="N7" s="130" t="n"/>
      <c r="O7" s="130" t="n"/>
      <c r="P7" s="130" t="n"/>
      <c r="Q7" s="130" t="n"/>
    </row>
    <row r="8" ht="52" customHeight="1">
      <c r="A8" s="3" t="inlineStr">
        <is>
          <t>Free State</t>
        </is>
      </c>
      <c r="B8" s="3" t="inlineStr">
        <is>
          <t>Allocation share</t>
        </is>
      </c>
      <c r="C8" s="3" t="inlineStr">
        <is>
          <t>Enter annual share and source; 0 only if confirmed</t>
        </is>
      </c>
      <c r="D8" s="130" t="n"/>
      <c r="E8" s="130" t="n"/>
      <c r="F8" s="130" t="n"/>
      <c r="G8" s="130" t="n"/>
      <c r="H8" s="130" t="n"/>
      <c r="I8" s="130" t="n"/>
      <c r="J8" s="130" t="n"/>
      <c r="K8" s="130" t="n"/>
      <c r="L8" s="130" t="n"/>
      <c r="M8" s="130" t="n"/>
      <c r="N8" s="130" t="n"/>
      <c r="O8" s="130" t="n"/>
      <c r="P8" s="130" t="n"/>
      <c r="Q8" s="130" t="n"/>
    </row>
    <row r="9" ht="52" customHeight="1">
      <c r="A9" s="3" t="inlineStr">
        <is>
          <t>Gauteng</t>
        </is>
      </c>
      <c r="B9" s="3" t="inlineStr">
        <is>
          <t>Allocation share</t>
        </is>
      </c>
      <c r="C9" s="3" t="inlineStr">
        <is>
          <t>Enter annual share and source; 0 only if confirmed</t>
        </is>
      </c>
      <c r="D9" s="130" t="n"/>
      <c r="E9" s="130" t="n"/>
      <c r="F9" s="130" t="n"/>
      <c r="G9" s="130" t="n"/>
      <c r="H9" s="130" t="n"/>
      <c r="I9" s="130" t="n"/>
      <c r="J9" s="130" t="n"/>
      <c r="K9" s="130" t="n"/>
      <c r="L9" s="130" t="n"/>
      <c r="M9" s="130" t="n"/>
      <c r="N9" s="130" t="n"/>
      <c r="O9" s="130" t="n"/>
      <c r="P9" s="130" t="n"/>
      <c r="Q9" s="130" t="n"/>
    </row>
    <row r="10" ht="52" customHeight="1">
      <c r="A10" s="3" t="inlineStr">
        <is>
          <t>KwaZulu-Natal</t>
        </is>
      </c>
      <c r="B10" s="3" t="inlineStr">
        <is>
          <t>Allocation share</t>
        </is>
      </c>
      <c r="C10" s="3" t="inlineStr">
        <is>
          <t>Enter annual share and source; 0 only if confirmed</t>
        </is>
      </c>
      <c r="D10" s="130" t="n"/>
      <c r="E10" s="130" t="n"/>
      <c r="F10" s="130" t="n"/>
      <c r="G10" s="130" t="n"/>
      <c r="H10" s="130" t="n"/>
      <c r="I10" s="130" t="n"/>
      <c r="J10" s="130" t="n"/>
      <c r="K10" s="130" t="n"/>
      <c r="L10" s="130" t="n"/>
      <c r="M10" s="130" t="n"/>
      <c r="N10" s="130" t="n"/>
      <c r="O10" s="130" t="n"/>
      <c r="P10" s="130" t="n"/>
      <c r="Q10" s="130" t="n"/>
    </row>
    <row r="11" ht="52" customHeight="1">
      <c r="A11" s="3" t="inlineStr">
        <is>
          <t>Limpopo</t>
        </is>
      </c>
      <c r="B11" s="3" t="inlineStr">
        <is>
          <t>Allocation share</t>
        </is>
      </c>
      <c r="C11" s="3" t="inlineStr">
        <is>
          <t>Enter annual share and source; 0 only if confirmed</t>
        </is>
      </c>
      <c r="D11" s="130" t="n"/>
      <c r="E11" s="130" t="n"/>
      <c r="F11" s="130" t="n"/>
      <c r="G11" s="130" t="n"/>
      <c r="H11" s="130" t="n"/>
      <c r="I11" s="130" t="n"/>
      <c r="J11" s="130" t="n"/>
      <c r="K11" s="130" t="n"/>
      <c r="L11" s="130" t="n"/>
      <c r="M11" s="130" t="n"/>
      <c r="N11" s="130" t="n"/>
      <c r="O11" s="130" t="n"/>
      <c r="P11" s="130" t="n"/>
      <c r="Q11" s="130" t="n"/>
    </row>
    <row r="12" ht="52" customHeight="1">
      <c r="A12" s="3" t="inlineStr">
        <is>
          <t>Mpumalanga</t>
        </is>
      </c>
      <c r="B12" s="3" t="inlineStr">
        <is>
          <t>Allocation share</t>
        </is>
      </c>
      <c r="C12" s="3" t="inlineStr">
        <is>
          <t>Enter annual share and source; 0 only if confirmed</t>
        </is>
      </c>
      <c r="D12" s="130" t="n"/>
      <c r="E12" s="130" t="n"/>
      <c r="F12" s="130" t="n"/>
      <c r="G12" s="130" t="n"/>
      <c r="H12" s="130" t="n"/>
      <c r="I12" s="130" t="n"/>
      <c r="J12" s="130" t="n"/>
      <c r="K12" s="130" t="n"/>
      <c r="L12" s="130" t="n"/>
      <c r="M12" s="130" t="n"/>
      <c r="N12" s="130" t="n"/>
      <c r="O12" s="130" t="n"/>
      <c r="P12" s="130" t="n"/>
      <c r="Q12" s="130" t="n"/>
    </row>
    <row r="13" ht="52" customHeight="1">
      <c r="A13" s="3" t="inlineStr">
        <is>
          <t>Northern Cape</t>
        </is>
      </c>
      <c r="B13" s="3" t="inlineStr">
        <is>
          <t>Allocation share</t>
        </is>
      </c>
      <c r="C13" s="3" t="inlineStr">
        <is>
          <t>Enter annual share and source; 0 only if confirmed</t>
        </is>
      </c>
      <c r="D13" s="130" t="n"/>
      <c r="E13" s="130" t="n"/>
      <c r="F13" s="130" t="n"/>
      <c r="G13" s="130" t="n"/>
      <c r="H13" s="130" t="n"/>
      <c r="I13" s="130" t="n"/>
      <c r="J13" s="130" t="n"/>
      <c r="K13" s="130" t="n"/>
      <c r="L13" s="130" t="n"/>
      <c r="M13" s="130" t="n"/>
      <c r="N13" s="130" t="n"/>
      <c r="O13" s="130" t="n"/>
      <c r="P13" s="130" t="n"/>
      <c r="Q13" s="130" t="n"/>
    </row>
    <row r="14" ht="52" customHeight="1">
      <c r="A14" s="3" t="inlineStr">
        <is>
          <t>North West</t>
        </is>
      </c>
      <c r="B14" s="3" t="inlineStr">
        <is>
          <t>Allocation share</t>
        </is>
      </c>
      <c r="C14" s="3" t="inlineStr">
        <is>
          <t>Enter annual share and source; 0 only if confirmed</t>
        </is>
      </c>
      <c r="D14" s="130" t="n"/>
      <c r="E14" s="130" t="n"/>
      <c r="F14" s="130" t="n"/>
      <c r="G14" s="130" t="n"/>
      <c r="H14" s="130" t="n"/>
      <c r="I14" s="130" t="n"/>
      <c r="J14" s="130" t="n"/>
      <c r="K14" s="130" t="n"/>
      <c r="L14" s="130" t="n"/>
      <c r="M14" s="130" t="n"/>
      <c r="N14" s="130" t="n"/>
      <c r="O14" s="130" t="n"/>
      <c r="P14" s="130" t="n"/>
      <c r="Q14" s="130" t="n"/>
    </row>
    <row r="15" ht="52" customHeight="1">
      <c r="A15" s="3" t="inlineStr">
        <is>
          <t>Western Cape</t>
        </is>
      </c>
      <c r="B15" s="3" t="inlineStr">
        <is>
          <t>Allocation share</t>
        </is>
      </c>
      <c r="C15" s="3" t="inlineStr">
        <is>
          <t>Enter annual share and source; 0 only if confirmed</t>
        </is>
      </c>
      <c r="D15" s="130" t="n"/>
      <c r="E15" s="130" t="n"/>
      <c r="F15" s="130" t="n"/>
      <c r="G15" s="130" t="n"/>
      <c r="H15" s="130" t="n"/>
      <c r="I15" s="130" t="n"/>
      <c r="J15" s="130" t="n"/>
      <c r="K15" s="130" t="n"/>
      <c r="L15" s="130" t="n"/>
      <c r="M15" s="130" t="n"/>
      <c r="N15" s="130" t="n"/>
      <c r="O15" s="130" t="n"/>
      <c r="P15" s="130" t="n"/>
      <c r="Q15" s="130" t="n"/>
    </row>
    <row r="16" ht="52" customHeight="1">
      <c r="A16" s="11" t="inlineStr">
        <is>
          <t>Share total</t>
        </is>
      </c>
      <c r="B16" s="11" t="inlineStr">
        <is>
          <t>share</t>
        </is>
      </c>
      <c r="C16" s="11" t="inlineStr">
        <is>
          <t>Reporting calculation</t>
        </is>
      </c>
      <c r="D16" s="140">
        <f>IF(COUNT(D7:D15)=0,"",SUM(D7:D15))</f>
        <v/>
      </c>
      <c r="E16" s="140">
        <f>IF(COUNT(E7:E15)=0,"",SUM(E7:E15))</f>
        <v/>
      </c>
      <c r="F16" s="140">
        <f>IF(COUNT(F7:F15)=0,"",SUM(F7:F15))</f>
        <v/>
      </c>
      <c r="G16" s="140">
        <f>IF(COUNT(G7:G15)=0,"",SUM(G7:G15))</f>
        <v/>
      </c>
      <c r="H16" s="140">
        <f>IF(COUNT(H7:H15)=0,"",SUM(H7:H15))</f>
        <v/>
      </c>
      <c r="I16" s="140">
        <f>IF(COUNT(I7:I15)=0,"",SUM(I7:I15))</f>
        <v/>
      </c>
      <c r="J16" s="140">
        <f>IF(COUNT(J7:J15)=0,"",SUM(J7:J15))</f>
        <v/>
      </c>
      <c r="K16" s="140">
        <f>IF(COUNT(K7:K15)=0,"",SUM(K7:K15))</f>
        <v/>
      </c>
      <c r="L16" s="140">
        <f>IF(COUNT(L7:L15)=0,"",SUM(L7:L15))</f>
        <v/>
      </c>
      <c r="M16" s="140">
        <f>IF(COUNT(M7:M15)=0,"",SUM(M7:M15))</f>
        <v/>
      </c>
      <c r="N16" s="140">
        <f>IF(COUNT(N7:N15)=0,"",SUM(N7:N15))</f>
        <v/>
      </c>
      <c r="O16" s="140">
        <f>IF(COUNT(O7:O15)=0,"",SUM(O7:O15))</f>
        <v/>
      </c>
      <c r="P16" s="140">
        <f>IF(COUNT(P7:P15)=0,"",SUM(P7:P15))</f>
        <v/>
      </c>
      <c r="Q16" s="140">
        <f>IF(COUNT(Q7:Q15)=0,"",SUM(Q7:Q15))</f>
        <v/>
      </c>
    </row>
    <row r="17" ht="52" customHeight="1">
      <c r="A17" s="3" t="n"/>
      <c r="B17" s="3" t="n"/>
      <c r="C17" s="3" t="n"/>
      <c r="D17" s="3" t="n"/>
      <c r="E17" s="3" t="n"/>
      <c r="F17" s="3" t="n"/>
      <c r="G17" s="3" t="n"/>
      <c r="H17" s="3" t="n"/>
      <c r="I17" s="3" t="n"/>
      <c r="J17" s="3" t="n"/>
      <c r="K17" s="3" t="n"/>
      <c r="L17" s="3" t="n"/>
      <c r="M17" s="3" t="n"/>
      <c r="N17" s="3" t="n"/>
      <c r="O17" s="3" t="n"/>
      <c r="P17" s="3" t="n"/>
      <c r="Q17" s="3" t="n"/>
    </row>
    <row r="18" ht="52" customHeight="1">
      <c r="A18" s="3" t="inlineStr">
        <is>
          <t>Eastern Cape</t>
        </is>
      </c>
      <c r="B18" s="3" t="inlineStr">
        <is>
          <t>million L/year</t>
        </is>
      </c>
      <c r="C18" s="3" t="inlineStr">
        <is>
          <t>National demand × entered share</t>
        </is>
      </c>
      <c r="D18" s="121">
        <f>IF(ISNUMBER(D7),D$5*D7,"")</f>
        <v/>
      </c>
      <c r="E18" s="121">
        <f>IF(ISNUMBER(E7),E$5*E7,"")</f>
        <v/>
      </c>
      <c r="F18" s="121">
        <f>IF(ISNUMBER(F7),F$5*F7,"")</f>
        <v/>
      </c>
      <c r="G18" s="121">
        <f>IF(ISNUMBER(G7),G$5*G7,"")</f>
        <v/>
      </c>
      <c r="H18" s="121">
        <f>IF(ISNUMBER(H7),H$5*H7,"")</f>
        <v/>
      </c>
      <c r="I18" s="121">
        <f>IF(ISNUMBER(I7),I$5*I7,"")</f>
        <v/>
      </c>
      <c r="J18" s="121">
        <f>IF(ISNUMBER(J7),J$5*J7,"")</f>
        <v/>
      </c>
      <c r="K18" s="121">
        <f>IF(ISNUMBER(K7),K$5*K7,"")</f>
        <v/>
      </c>
      <c r="L18" s="121">
        <f>IF(ISNUMBER(L7),L$5*L7,"")</f>
        <v/>
      </c>
      <c r="M18" s="121">
        <f>IF(ISNUMBER(M7),M$5*M7,"")</f>
        <v/>
      </c>
      <c r="N18" s="121">
        <f>IF(ISNUMBER(N7),N$5*N7,"")</f>
        <v/>
      </c>
      <c r="O18" s="121">
        <f>IF(ISNUMBER(O7),O$5*O7,"")</f>
        <v/>
      </c>
      <c r="P18" s="121">
        <f>IF(ISNUMBER(P7),P$5*P7,"")</f>
        <v/>
      </c>
      <c r="Q18" s="121">
        <f>IF(ISNUMBER(Q7),Q$5*Q7,"")</f>
        <v/>
      </c>
    </row>
    <row r="19" ht="52" customHeight="1">
      <c r="A19" s="3" t="inlineStr">
        <is>
          <t>Free State</t>
        </is>
      </c>
      <c r="B19" s="3" t="inlineStr">
        <is>
          <t>million L/year</t>
        </is>
      </c>
      <c r="C19" s="3" t="inlineStr">
        <is>
          <t>National demand × entered share</t>
        </is>
      </c>
      <c r="D19" s="121">
        <f>IF(ISNUMBER(D8),D$5*D8,"")</f>
        <v/>
      </c>
      <c r="E19" s="121">
        <f>IF(ISNUMBER(E8),E$5*E8,"")</f>
        <v/>
      </c>
      <c r="F19" s="121">
        <f>IF(ISNUMBER(F8),F$5*F8,"")</f>
        <v/>
      </c>
      <c r="G19" s="121">
        <f>IF(ISNUMBER(G8),G$5*G8,"")</f>
        <v/>
      </c>
      <c r="H19" s="121">
        <f>IF(ISNUMBER(H8),H$5*H8,"")</f>
        <v/>
      </c>
      <c r="I19" s="121">
        <f>IF(ISNUMBER(I8),I$5*I8,"")</f>
        <v/>
      </c>
      <c r="J19" s="121">
        <f>IF(ISNUMBER(J8),J$5*J8,"")</f>
        <v/>
      </c>
      <c r="K19" s="121">
        <f>IF(ISNUMBER(K8),K$5*K8,"")</f>
        <v/>
      </c>
      <c r="L19" s="121">
        <f>IF(ISNUMBER(L8),L$5*L8,"")</f>
        <v/>
      </c>
      <c r="M19" s="121">
        <f>IF(ISNUMBER(M8),M$5*M8,"")</f>
        <v/>
      </c>
      <c r="N19" s="121">
        <f>IF(ISNUMBER(N8),N$5*N8,"")</f>
        <v/>
      </c>
      <c r="O19" s="121">
        <f>IF(ISNUMBER(O8),O$5*O8,"")</f>
        <v/>
      </c>
      <c r="P19" s="121">
        <f>IF(ISNUMBER(P8),P$5*P8,"")</f>
        <v/>
      </c>
      <c r="Q19" s="121">
        <f>IF(ISNUMBER(Q8),Q$5*Q8,"")</f>
        <v/>
      </c>
    </row>
    <row r="20" ht="52" customHeight="1">
      <c r="A20" s="3" t="inlineStr">
        <is>
          <t>Gauteng</t>
        </is>
      </c>
      <c r="B20" s="3" t="inlineStr">
        <is>
          <t>million L/year</t>
        </is>
      </c>
      <c r="C20" s="3" t="inlineStr">
        <is>
          <t>National demand × entered share</t>
        </is>
      </c>
      <c r="D20" s="121">
        <f>IF(ISNUMBER(D9),D$5*D9,"")</f>
        <v/>
      </c>
      <c r="E20" s="121">
        <f>IF(ISNUMBER(E9),E$5*E9,"")</f>
        <v/>
      </c>
      <c r="F20" s="121">
        <f>IF(ISNUMBER(F9),F$5*F9,"")</f>
        <v/>
      </c>
      <c r="G20" s="121">
        <f>IF(ISNUMBER(G9),G$5*G9,"")</f>
        <v/>
      </c>
      <c r="H20" s="121">
        <f>IF(ISNUMBER(H9),H$5*H9,"")</f>
        <v/>
      </c>
      <c r="I20" s="121">
        <f>IF(ISNUMBER(I9),I$5*I9,"")</f>
        <v/>
      </c>
      <c r="J20" s="121">
        <f>IF(ISNUMBER(J9),J$5*J9,"")</f>
        <v/>
      </c>
      <c r="K20" s="121">
        <f>IF(ISNUMBER(K9),K$5*K9,"")</f>
        <v/>
      </c>
      <c r="L20" s="121">
        <f>IF(ISNUMBER(L9),L$5*L9,"")</f>
        <v/>
      </c>
      <c r="M20" s="121">
        <f>IF(ISNUMBER(M9),M$5*M9,"")</f>
        <v/>
      </c>
      <c r="N20" s="121">
        <f>IF(ISNUMBER(N9),N$5*N9,"")</f>
        <v/>
      </c>
      <c r="O20" s="121">
        <f>IF(ISNUMBER(O9),O$5*O9,"")</f>
        <v/>
      </c>
      <c r="P20" s="121">
        <f>IF(ISNUMBER(P9),P$5*P9,"")</f>
        <v/>
      </c>
      <c r="Q20" s="121">
        <f>IF(ISNUMBER(Q9),Q$5*Q9,"")</f>
        <v/>
      </c>
    </row>
    <row r="21" ht="52" customHeight="1">
      <c r="A21" s="3" t="inlineStr">
        <is>
          <t>KwaZulu-Natal</t>
        </is>
      </c>
      <c r="B21" s="3" t="inlineStr">
        <is>
          <t>million L/year</t>
        </is>
      </c>
      <c r="C21" s="3" t="inlineStr">
        <is>
          <t>National demand × entered share</t>
        </is>
      </c>
      <c r="D21" s="121">
        <f>IF(ISNUMBER(D10),D$5*D10,"")</f>
        <v/>
      </c>
      <c r="E21" s="121">
        <f>IF(ISNUMBER(E10),E$5*E10,"")</f>
        <v/>
      </c>
      <c r="F21" s="121">
        <f>IF(ISNUMBER(F10),F$5*F10,"")</f>
        <v/>
      </c>
      <c r="G21" s="121">
        <f>IF(ISNUMBER(G10),G$5*G10,"")</f>
        <v/>
      </c>
      <c r="H21" s="121">
        <f>IF(ISNUMBER(H10),H$5*H10,"")</f>
        <v/>
      </c>
      <c r="I21" s="121">
        <f>IF(ISNUMBER(I10),I$5*I10,"")</f>
        <v/>
      </c>
      <c r="J21" s="121">
        <f>IF(ISNUMBER(J10),J$5*J10,"")</f>
        <v/>
      </c>
      <c r="K21" s="121">
        <f>IF(ISNUMBER(K10),K$5*K10,"")</f>
        <v/>
      </c>
      <c r="L21" s="121">
        <f>IF(ISNUMBER(L10),L$5*L10,"")</f>
        <v/>
      </c>
      <c r="M21" s="121">
        <f>IF(ISNUMBER(M10),M$5*M10,"")</f>
        <v/>
      </c>
      <c r="N21" s="121">
        <f>IF(ISNUMBER(N10),N$5*N10,"")</f>
        <v/>
      </c>
      <c r="O21" s="121">
        <f>IF(ISNUMBER(O10),O$5*O10,"")</f>
        <v/>
      </c>
      <c r="P21" s="121">
        <f>IF(ISNUMBER(P10),P$5*P10,"")</f>
        <v/>
      </c>
      <c r="Q21" s="121">
        <f>IF(ISNUMBER(Q10),Q$5*Q10,"")</f>
        <v/>
      </c>
    </row>
    <row r="22" ht="52" customHeight="1">
      <c r="A22" s="3" t="inlineStr">
        <is>
          <t>Limpopo</t>
        </is>
      </c>
      <c r="B22" s="3" t="inlineStr">
        <is>
          <t>million L/year</t>
        </is>
      </c>
      <c r="C22" s="3" t="inlineStr">
        <is>
          <t>National demand × entered share</t>
        </is>
      </c>
      <c r="D22" s="121">
        <f>IF(ISNUMBER(D11),D$5*D11,"")</f>
        <v/>
      </c>
      <c r="E22" s="121">
        <f>IF(ISNUMBER(E11),E$5*E11,"")</f>
        <v/>
      </c>
      <c r="F22" s="121">
        <f>IF(ISNUMBER(F11),F$5*F11,"")</f>
        <v/>
      </c>
      <c r="G22" s="121">
        <f>IF(ISNUMBER(G11),G$5*G11,"")</f>
        <v/>
      </c>
      <c r="H22" s="121">
        <f>IF(ISNUMBER(H11),H$5*H11,"")</f>
        <v/>
      </c>
      <c r="I22" s="121">
        <f>IF(ISNUMBER(I11),I$5*I11,"")</f>
        <v/>
      </c>
      <c r="J22" s="121">
        <f>IF(ISNUMBER(J11),J$5*J11,"")</f>
        <v/>
      </c>
      <c r="K22" s="121">
        <f>IF(ISNUMBER(K11),K$5*K11,"")</f>
        <v/>
      </c>
      <c r="L22" s="121">
        <f>IF(ISNUMBER(L11),L$5*L11,"")</f>
        <v/>
      </c>
      <c r="M22" s="121">
        <f>IF(ISNUMBER(M11),M$5*M11,"")</f>
        <v/>
      </c>
      <c r="N22" s="121">
        <f>IF(ISNUMBER(N11),N$5*N11,"")</f>
        <v/>
      </c>
      <c r="O22" s="121">
        <f>IF(ISNUMBER(O11),O$5*O11,"")</f>
        <v/>
      </c>
      <c r="P22" s="121">
        <f>IF(ISNUMBER(P11),P$5*P11,"")</f>
        <v/>
      </c>
      <c r="Q22" s="121">
        <f>IF(ISNUMBER(Q11),Q$5*Q11,"")</f>
        <v/>
      </c>
    </row>
    <row r="23" ht="52" customHeight="1">
      <c r="A23" s="3" t="inlineStr">
        <is>
          <t>Mpumalanga</t>
        </is>
      </c>
      <c r="B23" s="3" t="inlineStr">
        <is>
          <t>million L/year</t>
        </is>
      </c>
      <c r="C23" s="3" t="inlineStr">
        <is>
          <t>National demand × entered share</t>
        </is>
      </c>
      <c r="D23" s="121">
        <f>IF(ISNUMBER(D12),D$5*D12,"")</f>
        <v/>
      </c>
      <c r="E23" s="121">
        <f>IF(ISNUMBER(E12),E$5*E12,"")</f>
        <v/>
      </c>
      <c r="F23" s="121">
        <f>IF(ISNUMBER(F12),F$5*F12,"")</f>
        <v/>
      </c>
      <c r="G23" s="121">
        <f>IF(ISNUMBER(G12),G$5*G12,"")</f>
        <v/>
      </c>
      <c r="H23" s="121">
        <f>IF(ISNUMBER(H12),H$5*H12,"")</f>
        <v/>
      </c>
      <c r="I23" s="121">
        <f>IF(ISNUMBER(I12),I$5*I12,"")</f>
        <v/>
      </c>
      <c r="J23" s="121">
        <f>IF(ISNUMBER(J12),J$5*J12,"")</f>
        <v/>
      </c>
      <c r="K23" s="121">
        <f>IF(ISNUMBER(K12),K$5*K12,"")</f>
        <v/>
      </c>
      <c r="L23" s="121">
        <f>IF(ISNUMBER(L12),L$5*L12,"")</f>
        <v/>
      </c>
      <c r="M23" s="121">
        <f>IF(ISNUMBER(M12),M$5*M12,"")</f>
        <v/>
      </c>
      <c r="N23" s="121">
        <f>IF(ISNUMBER(N12),N$5*N12,"")</f>
        <v/>
      </c>
      <c r="O23" s="121">
        <f>IF(ISNUMBER(O12),O$5*O12,"")</f>
        <v/>
      </c>
      <c r="P23" s="121">
        <f>IF(ISNUMBER(P12),P$5*P12,"")</f>
        <v/>
      </c>
      <c r="Q23" s="121">
        <f>IF(ISNUMBER(Q12),Q$5*Q12,"")</f>
        <v/>
      </c>
    </row>
    <row r="24" ht="52" customHeight="1">
      <c r="A24" s="3" t="inlineStr">
        <is>
          <t>Northern Cape</t>
        </is>
      </c>
      <c r="B24" s="3" t="inlineStr">
        <is>
          <t>million L/year</t>
        </is>
      </c>
      <c r="C24" s="3" t="inlineStr">
        <is>
          <t>National demand × entered share</t>
        </is>
      </c>
      <c r="D24" s="121">
        <f>IF(ISNUMBER(D13),D$5*D13,"")</f>
        <v/>
      </c>
      <c r="E24" s="121">
        <f>IF(ISNUMBER(E13),E$5*E13,"")</f>
        <v/>
      </c>
      <c r="F24" s="121">
        <f>IF(ISNUMBER(F13),F$5*F13,"")</f>
        <v/>
      </c>
      <c r="G24" s="121">
        <f>IF(ISNUMBER(G13),G$5*G13,"")</f>
        <v/>
      </c>
      <c r="H24" s="121">
        <f>IF(ISNUMBER(H13),H$5*H13,"")</f>
        <v/>
      </c>
      <c r="I24" s="121">
        <f>IF(ISNUMBER(I13),I$5*I13,"")</f>
        <v/>
      </c>
      <c r="J24" s="121">
        <f>IF(ISNUMBER(J13),J$5*J13,"")</f>
        <v/>
      </c>
      <c r="K24" s="121">
        <f>IF(ISNUMBER(K13),K$5*K13,"")</f>
        <v/>
      </c>
      <c r="L24" s="121">
        <f>IF(ISNUMBER(L13),L$5*L13,"")</f>
        <v/>
      </c>
      <c r="M24" s="121">
        <f>IF(ISNUMBER(M13),M$5*M13,"")</f>
        <v/>
      </c>
      <c r="N24" s="121">
        <f>IF(ISNUMBER(N13),N$5*N13,"")</f>
        <v/>
      </c>
      <c r="O24" s="121">
        <f>IF(ISNUMBER(O13),O$5*O13,"")</f>
        <v/>
      </c>
      <c r="P24" s="121">
        <f>IF(ISNUMBER(P13),P$5*P13,"")</f>
        <v/>
      </c>
      <c r="Q24" s="121">
        <f>IF(ISNUMBER(Q13),Q$5*Q13,"")</f>
        <v/>
      </c>
    </row>
    <row r="25" ht="52" customHeight="1">
      <c r="A25" s="3" t="inlineStr">
        <is>
          <t>North West</t>
        </is>
      </c>
      <c r="B25" s="3" t="inlineStr">
        <is>
          <t>million L/year</t>
        </is>
      </c>
      <c r="C25" s="3" t="inlineStr">
        <is>
          <t>National demand × entered share</t>
        </is>
      </c>
      <c r="D25" s="121">
        <f>IF(ISNUMBER(D14),D$5*D14,"")</f>
        <v/>
      </c>
      <c r="E25" s="121">
        <f>IF(ISNUMBER(E14),E$5*E14,"")</f>
        <v/>
      </c>
      <c r="F25" s="121">
        <f>IF(ISNUMBER(F14),F$5*F14,"")</f>
        <v/>
      </c>
      <c r="G25" s="121">
        <f>IF(ISNUMBER(G14),G$5*G14,"")</f>
        <v/>
      </c>
      <c r="H25" s="121">
        <f>IF(ISNUMBER(H14),H$5*H14,"")</f>
        <v/>
      </c>
      <c r="I25" s="121">
        <f>IF(ISNUMBER(I14),I$5*I14,"")</f>
        <v/>
      </c>
      <c r="J25" s="121">
        <f>IF(ISNUMBER(J14),J$5*J14,"")</f>
        <v/>
      </c>
      <c r="K25" s="121">
        <f>IF(ISNUMBER(K14),K$5*K14,"")</f>
        <v/>
      </c>
      <c r="L25" s="121">
        <f>IF(ISNUMBER(L14),L$5*L14,"")</f>
        <v/>
      </c>
      <c r="M25" s="121">
        <f>IF(ISNUMBER(M14),M$5*M14,"")</f>
        <v/>
      </c>
      <c r="N25" s="121">
        <f>IF(ISNUMBER(N14),N$5*N14,"")</f>
        <v/>
      </c>
      <c r="O25" s="121">
        <f>IF(ISNUMBER(O14),O$5*O14,"")</f>
        <v/>
      </c>
      <c r="P25" s="121">
        <f>IF(ISNUMBER(P14),P$5*P14,"")</f>
        <v/>
      </c>
      <c r="Q25" s="121">
        <f>IF(ISNUMBER(Q14),Q$5*Q14,"")</f>
        <v/>
      </c>
    </row>
    <row r="26" ht="52" customHeight="1">
      <c r="A26" s="3" t="inlineStr">
        <is>
          <t>Western Cape</t>
        </is>
      </c>
      <c r="B26" s="3" t="inlineStr">
        <is>
          <t>million L/year</t>
        </is>
      </c>
      <c r="C26" s="3" t="inlineStr">
        <is>
          <t>National demand × entered share</t>
        </is>
      </c>
      <c r="D26" s="121">
        <f>IF(ISNUMBER(D15),D$5*D15,"")</f>
        <v/>
      </c>
      <c r="E26" s="121">
        <f>IF(ISNUMBER(E15),E$5*E15,"")</f>
        <v/>
      </c>
      <c r="F26" s="121">
        <f>IF(ISNUMBER(F15),F$5*F15,"")</f>
        <v/>
      </c>
      <c r="G26" s="121">
        <f>IF(ISNUMBER(G15),G$5*G15,"")</f>
        <v/>
      </c>
      <c r="H26" s="121">
        <f>IF(ISNUMBER(H15),H$5*H15,"")</f>
        <v/>
      </c>
      <c r="I26" s="121">
        <f>IF(ISNUMBER(I15),I$5*I15,"")</f>
        <v/>
      </c>
      <c r="J26" s="121">
        <f>IF(ISNUMBER(J15),J$5*J15,"")</f>
        <v/>
      </c>
      <c r="K26" s="121">
        <f>IF(ISNUMBER(K15),K$5*K15,"")</f>
        <v/>
      </c>
      <c r="L26" s="121">
        <f>IF(ISNUMBER(L15),L$5*L15,"")</f>
        <v/>
      </c>
      <c r="M26" s="121">
        <f>IF(ISNUMBER(M15),M$5*M15,"")</f>
        <v/>
      </c>
      <c r="N26" s="121">
        <f>IF(ISNUMBER(N15),N$5*N15,"")</f>
        <v/>
      </c>
      <c r="O26" s="121">
        <f>IF(ISNUMBER(O15),O$5*O15,"")</f>
        <v/>
      </c>
      <c r="P26" s="121">
        <f>IF(ISNUMBER(P15),P$5*P15,"")</f>
        <v/>
      </c>
      <c r="Q26" s="121">
        <f>IF(ISNUMBER(Q15),Q$5*Q15,"")</f>
        <v/>
      </c>
    </row>
    <row r="27" ht="52" customHeight="1">
      <c r="A27" s="11" t="inlineStr">
        <is>
          <t>Allocated demand</t>
        </is>
      </c>
      <c r="B27" s="11" t="inlineStr">
        <is>
          <t>million L/year</t>
        </is>
      </c>
      <c r="C27" s="11" t="inlineStr">
        <is>
          <t>Reporting calculation</t>
        </is>
      </c>
      <c r="D27" s="141">
        <f>IF(COUNT(D18:D26)=0,"",SUM(D18:D26))</f>
        <v/>
      </c>
      <c r="E27" s="141">
        <f>IF(COUNT(E18:E26)=0,"",SUM(E18:E26))</f>
        <v/>
      </c>
      <c r="F27" s="141">
        <f>IF(COUNT(F18:F26)=0,"",SUM(F18:F26))</f>
        <v/>
      </c>
      <c r="G27" s="141">
        <f>IF(COUNT(G18:G26)=0,"",SUM(G18:G26))</f>
        <v/>
      </c>
      <c r="H27" s="141">
        <f>IF(COUNT(H18:H26)=0,"",SUM(H18:H26))</f>
        <v/>
      </c>
      <c r="I27" s="141">
        <f>IF(COUNT(I18:I26)=0,"",SUM(I18:I26))</f>
        <v/>
      </c>
      <c r="J27" s="141">
        <f>IF(COUNT(J18:J26)=0,"",SUM(J18:J26))</f>
        <v/>
      </c>
      <c r="K27" s="141">
        <f>IF(COUNT(K18:K26)=0,"",SUM(K18:K26))</f>
        <v/>
      </c>
      <c r="L27" s="141">
        <f>IF(COUNT(L18:L26)=0,"",SUM(L18:L26))</f>
        <v/>
      </c>
      <c r="M27" s="141">
        <f>IF(COUNT(M18:M26)=0,"",SUM(M18:M26))</f>
        <v/>
      </c>
      <c r="N27" s="141">
        <f>IF(COUNT(N18:N26)=0,"",SUM(N18:N26))</f>
        <v/>
      </c>
      <c r="O27" s="141">
        <f>IF(COUNT(O18:O26)=0,"",SUM(O18:O26))</f>
        <v/>
      </c>
      <c r="P27" s="141">
        <f>IF(COUNT(P18:P26)=0,"",SUM(P18:P26))</f>
        <v/>
      </c>
      <c r="Q27" s="141">
        <f>IF(COUNT(Q18:Q26)=0,"",SUM(Q18:Q26))</f>
        <v/>
      </c>
    </row>
    <row r="28" ht="52" customHeight="1">
      <c r="A28" s="11" t="inlineStr">
        <is>
          <t>Unallocated demand</t>
        </is>
      </c>
      <c r="B28" s="11" t="inlineStr">
        <is>
          <t>million L/year</t>
        </is>
      </c>
      <c r="C28" s="11" t="inlineStr">
        <is>
          <t>Residual includes all missing allocations</t>
        </is>
      </c>
      <c r="D28" s="141">
        <f>D5-SUM(D18:D26)</f>
        <v/>
      </c>
      <c r="E28" s="141">
        <f>E5-SUM(E18:E26)</f>
        <v/>
      </c>
      <c r="F28" s="141">
        <f>F5-SUM(F18:F26)</f>
        <v/>
      </c>
      <c r="G28" s="141">
        <f>G5-SUM(G18:G26)</f>
        <v/>
      </c>
      <c r="H28" s="141">
        <f>H5-SUM(H18:H26)</f>
        <v/>
      </c>
      <c r="I28" s="141">
        <f>I5-SUM(I18:I26)</f>
        <v/>
      </c>
      <c r="J28" s="141">
        <f>J5-SUM(J18:J26)</f>
        <v/>
      </c>
      <c r="K28" s="141">
        <f>K5-SUM(K18:K26)</f>
        <v/>
      </c>
      <c r="L28" s="141">
        <f>L5-SUM(L18:L26)</f>
        <v/>
      </c>
      <c r="M28" s="141">
        <f>M5-SUM(M18:M26)</f>
        <v/>
      </c>
      <c r="N28" s="141">
        <f>N5-SUM(N18:N26)</f>
        <v/>
      </c>
      <c r="O28" s="141">
        <f>O5-SUM(O18:O26)</f>
        <v/>
      </c>
      <c r="P28" s="141">
        <f>P5-SUM(P18:P26)</f>
        <v/>
      </c>
      <c r="Q28" s="141">
        <f>Q5-SUM(Q18:Q26)</f>
        <v/>
      </c>
    </row>
    <row r="29" ht="52" customHeight="1">
      <c r="A29" s="11" t="inlineStr">
        <is>
          <t>Allocation check</t>
        </is>
      </c>
      <c r="B29" s="11" t="inlineStr">
        <is>
          <t>check</t>
        </is>
      </c>
      <c r="C29" s="11" t="inlineStr">
        <is>
          <t>Complete when nine numeric shares sum to 100%</t>
        </is>
      </c>
      <c r="D29" s="11">
        <f>IF(COUNT(D7:D15)&lt;9,"Missing shares",IF(ABS(SUM(D7:D15)-1)&lt;0.000001,"Reconciled","Shares do not sum to 100%"))</f>
        <v/>
      </c>
      <c r="E29" s="11">
        <f>IF(COUNT(E7:E15)&lt;9,"Missing shares",IF(ABS(SUM(E7:E15)-1)&lt;0.000001,"Reconciled","Shares do not sum to 100%"))</f>
        <v/>
      </c>
      <c r="F29" s="11">
        <f>IF(COUNT(F7:F15)&lt;9,"Missing shares",IF(ABS(SUM(F7:F15)-1)&lt;0.000001,"Reconciled","Shares do not sum to 100%"))</f>
        <v/>
      </c>
      <c r="G29" s="11">
        <f>IF(COUNT(G7:G15)&lt;9,"Missing shares",IF(ABS(SUM(G7:G15)-1)&lt;0.000001,"Reconciled","Shares do not sum to 100%"))</f>
        <v/>
      </c>
      <c r="H29" s="11">
        <f>IF(COUNT(H7:H15)&lt;9,"Missing shares",IF(ABS(SUM(H7:H15)-1)&lt;0.000001,"Reconciled","Shares do not sum to 100%"))</f>
        <v/>
      </c>
      <c r="I29" s="11">
        <f>IF(COUNT(I7:I15)&lt;9,"Missing shares",IF(ABS(SUM(I7:I15)-1)&lt;0.000001,"Reconciled","Shares do not sum to 100%"))</f>
        <v/>
      </c>
      <c r="J29" s="11">
        <f>IF(COUNT(J7:J15)&lt;9,"Missing shares",IF(ABS(SUM(J7:J15)-1)&lt;0.000001,"Reconciled","Shares do not sum to 100%"))</f>
        <v/>
      </c>
      <c r="K29" s="11">
        <f>IF(COUNT(K7:K15)&lt;9,"Missing shares",IF(ABS(SUM(K7:K15)-1)&lt;0.000001,"Reconciled","Shares do not sum to 100%"))</f>
        <v/>
      </c>
      <c r="L29" s="11">
        <f>IF(COUNT(L7:L15)&lt;9,"Missing shares",IF(ABS(SUM(L7:L15)-1)&lt;0.000001,"Reconciled","Shares do not sum to 100%"))</f>
        <v/>
      </c>
      <c r="M29" s="11">
        <f>IF(COUNT(M7:M15)&lt;9,"Missing shares",IF(ABS(SUM(M7:M15)-1)&lt;0.000001,"Reconciled","Shares do not sum to 100%"))</f>
        <v/>
      </c>
      <c r="N29" s="11">
        <f>IF(COUNT(N7:N15)&lt;9,"Missing shares",IF(ABS(SUM(N7:N15)-1)&lt;0.000001,"Reconciled","Shares do not sum to 100%"))</f>
        <v/>
      </c>
      <c r="O29" s="11">
        <f>IF(COUNT(O7:O15)&lt;9,"Missing shares",IF(ABS(SUM(O7:O15)-1)&lt;0.000001,"Reconciled","Shares do not sum to 100%"))</f>
        <v/>
      </c>
      <c r="P29" s="11">
        <f>IF(COUNT(P7:P15)&lt;9,"Missing shares",IF(ABS(SUM(P7:P15)-1)&lt;0.000001,"Reconciled","Shares do not sum to 100%"))</f>
        <v/>
      </c>
      <c r="Q29" s="11">
        <f>IF(COUNT(Q7:Q15)&lt;9,"Missing shares",IF(ABS(SUM(Q7:Q15)-1)&lt;0.000001,"Reconciled","Shares do not sum to 100%"))</f>
        <v/>
      </c>
    </row>
    <row r="30" ht="52" customHeight="1">
      <c r="A30" s="3" t="n"/>
      <c r="B30" s="3" t="n"/>
      <c r="C30" s="3" t="n"/>
      <c r="D30" s="3" t="n"/>
      <c r="E30" s="3" t="n"/>
      <c r="F30" s="3" t="n"/>
      <c r="G30" s="3" t="n"/>
      <c r="H30" s="3" t="n"/>
      <c r="I30" s="3" t="n"/>
      <c r="J30" s="3" t="n"/>
      <c r="K30" s="3" t="n"/>
      <c r="L30" s="3" t="n"/>
      <c r="M30" s="3" t="n"/>
      <c r="N30" s="3" t="n"/>
      <c r="O30" s="3" t="n"/>
      <c r="P30" s="3" t="n"/>
      <c r="Q30" s="3" t="n"/>
    </row>
    <row r="31" ht="52" customHeight="1">
      <c r="A31" s="3" t="inlineStr">
        <is>
          <t>Other segments</t>
        </is>
      </c>
      <c r="B31" s="3" t="inlineStr">
        <is>
          <t>Workshop decision</t>
        </is>
      </c>
      <c r="C31" s="3" t="inlineStr">
        <is>
          <t>Repeat by segment with its own allocation evidence. For local calculations, replace allocated rows with engine outputs; retain national reconciliation.</t>
        </is>
      </c>
      <c r="D31" s="3" t="n"/>
      <c r="E31" s="3" t="n"/>
      <c r="F31" s="3" t="n"/>
      <c r="G31" s="3" t="n"/>
      <c r="H31" s="3" t="n"/>
      <c r="I31" s="3" t="n"/>
      <c r="J31" s="3" t="n"/>
      <c r="K31" s="3" t="n"/>
      <c r="L31" s="3" t="n"/>
      <c r="M31" s="3" t="n"/>
      <c r="N31" s="3" t="n"/>
      <c r="O31" s="3" t="n"/>
      <c r="P31" s="3" t="n"/>
      <c r="Q31" s="3" t="n"/>
    </row>
    <row r="32" ht="52" customHeight="1">
      <c r="A32" s="3" t="n"/>
      <c r="B32" s="3" t="n"/>
      <c r="C32" s="3" t="n"/>
      <c r="D32" s="3" t="n"/>
      <c r="E32" s="3" t="n"/>
      <c r="F32" s="3" t="n"/>
      <c r="G32" s="3" t="n"/>
      <c r="H32" s="3" t="n"/>
      <c r="I32" s="3" t="n"/>
      <c r="J32" s="3" t="n"/>
      <c r="K32" s="3" t="n"/>
      <c r="L32" s="3" t="n"/>
      <c r="M32" s="3" t="n"/>
      <c r="N32" s="3" t="n"/>
      <c r="O32" s="3" t="n"/>
      <c r="P32" s="3" t="n"/>
      <c r="Q32" s="3" t="n"/>
    </row>
    <row r="33" ht="65" customHeight="1">
      <c r="A33" s="62" t="inlineStr">
        <is>
          <t>Observed provincial fuel sales</t>
        </is>
      </c>
      <c r="B33" s="62" t="n"/>
      <c r="C33" s="62" t="n"/>
      <c r="D33" s="62" t="n"/>
      <c r="E33" s="62" t="n"/>
      <c r="F33" s="62" t="n"/>
      <c r="G33" s="62" t="n"/>
      <c r="H33" s="62" t="n"/>
      <c r="I33" s="62" t="n"/>
      <c r="J33" s="62" t="n"/>
      <c r="K33" s="62" t="n"/>
      <c r="L33" s="62" t="n"/>
      <c r="M33" s="62" t="n"/>
      <c r="N33" s="62" t="n"/>
      <c r="O33" s="62" t="n"/>
      <c r="P33" s="62" t="n"/>
      <c r="Q33" s="62" t="n"/>
      <c r="R33" s="62" t="n"/>
      <c r="S33" s="62" t="n"/>
      <c r="T33" s="62" t="n"/>
      <c r="U33" s="62" t="n"/>
      <c r="V33" s="62" t="n"/>
    </row>
    <row r="34" ht="65" customHeight="1">
      <c r="A34" s="3" t="inlineStr">
        <is>
          <t>EC petrol</t>
        </is>
      </c>
      <c r="B34" s="3" t="inlineStr">
        <is>
          <t>million L/year</t>
        </is>
      </c>
      <c r="C34" s="3" t="inlineStr">
        <is>
          <t>Observed product sales, not passenger/freight-only demand.</t>
        </is>
      </c>
      <c r="D34" s="122">
        <f>IF(ISNUMBER('Evidence'!F43),'Evidence'!F43,"")</f>
        <v/>
      </c>
      <c r="E34" s="122" t="n"/>
      <c r="F34" s="122" t="n"/>
      <c r="G34" s="122" t="n"/>
      <c r="H34" s="122" t="n"/>
      <c r="I34" s="122" t="n"/>
      <c r="J34" s="122" t="n"/>
      <c r="K34" s="122" t="n"/>
      <c r="L34" s="122" t="n"/>
      <c r="M34" s="122" t="n"/>
      <c r="N34" s="122" t="n"/>
      <c r="O34" s="122" t="n"/>
      <c r="P34" s="122" t="n"/>
      <c r="Q34" s="122" t="n"/>
      <c r="R34" s="122">
        <f>IF(ISNUMBER('Evidence'!D43),'Evidence'!D43,"")</f>
        <v/>
      </c>
      <c r="S34" s="3" t="inlineStr">
        <is>
          <t>2023 Q1 only</t>
        </is>
      </c>
      <c r="T34" s="3" t="inlineStr">
        <is>
          <t>2022 full year; latest Q1 2023 in R, not annualised.</t>
        </is>
      </c>
      <c r="U34" s="3" t="inlineStr">
        <is>
          <t>https://github.com/Africa-International-Advisors/liquid_fuels_model/blob/8c69f8333192483f19cd80911cb90fcd0943eb6b/assumptions/2026/timeseries/fuel_sales_department_by_province_quarterly.csv</t>
        </is>
      </c>
      <c r="V34" s="3" t="inlineStr">
        <is>
          <t>G11: obtain later complete years and sector allocation. Do not use total petrol shares automatically for passenger demand.</t>
        </is>
      </c>
    </row>
    <row r="35" ht="65" customHeight="1">
      <c r="A35" s="3" t="inlineStr">
        <is>
          <t>FS petrol</t>
        </is>
      </c>
      <c r="B35" s="3" t="inlineStr">
        <is>
          <t>million L/year</t>
        </is>
      </c>
      <c r="C35" s="3" t="inlineStr">
        <is>
          <t>Observed product sales, not passenger/freight-only demand.</t>
        </is>
      </c>
      <c r="D35" s="122">
        <f>IF(ISNUMBER('Evidence'!F44),'Evidence'!F44,"")</f>
        <v/>
      </c>
      <c r="E35" s="122" t="n"/>
      <c r="F35" s="122" t="n"/>
      <c r="G35" s="122" t="n"/>
      <c r="H35" s="122" t="n"/>
      <c r="I35" s="122" t="n"/>
      <c r="J35" s="122" t="n"/>
      <c r="K35" s="122" t="n"/>
      <c r="L35" s="122" t="n"/>
      <c r="M35" s="122" t="n"/>
      <c r="N35" s="122" t="n"/>
      <c r="O35" s="122" t="n"/>
      <c r="P35" s="122" t="n"/>
      <c r="Q35" s="122" t="n"/>
      <c r="R35" s="122">
        <f>IF(ISNUMBER('Evidence'!D44),'Evidence'!D44,"")</f>
        <v/>
      </c>
      <c r="S35" s="3" t="inlineStr">
        <is>
          <t>2023 Q1 only</t>
        </is>
      </c>
      <c r="T35" s="3" t="inlineStr">
        <is>
          <t>2022 full year; latest Q1 2023 in R, not annualised.</t>
        </is>
      </c>
      <c r="U35" s="3" t="inlineStr">
        <is>
          <t>https://github.com/Africa-International-Advisors/liquid_fuels_model/blob/8c69f8333192483f19cd80911cb90fcd0943eb6b/assumptions/2026/timeseries/fuel_sales_department_by_province_quarterly.csv</t>
        </is>
      </c>
      <c r="V35" s="3" t="inlineStr">
        <is>
          <t>G11: obtain later complete years and sector allocation. Do not use total petrol shares automatically for passenger demand.</t>
        </is>
      </c>
    </row>
    <row r="36" ht="65" customHeight="1">
      <c r="A36" s="3" t="inlineStr">
        <is>
          <t>GP petrol</t>
        </is>
      </c>
      <c r="B36" s="3" t="inlineStr">
        <is>
          <t>million L/year</t>
        </is>
      </c>
      <c r="C36" s="3" t="inlineStr">
        <is>
          <t>Observed product sales, not passenger/freight-only demand.</t>
        </is>
      </c>
      <c r="D36" s="122">
        <f>IF(ISNUMBER('Evidence'!F45),'Evidence'!F45,"")</f>
        <v/>
      </c>
      <c r="E36" s="122" t="n"/>
      <c r="F36" s="122" t="n"/>
      <c r="G36" s="122" t="n"/>
      <c r="H36" s="122" t="n"/>
      <c r="I36" s="122" t="n"/>
      <c r="J36" s="122" t="n"/>
      <c r="K36" s="122" t="n"/>
      <c r="L36" s="122" t="n"/>
      <c r="M36" s="122" t="n"/>
      <c r="N36" s="122" t="n"/>
      <c r="O36" s="122" t="n"/>
      <c r="P36" s="122" t="n"/>
      <c r="Q36" s="122" t="n"/>
      <c r="R36" s="122">
        <f>IF(ISNUMBER('Evidence'!D45),'Evidence'!D45,"")</f>
        <v/>
      </c>
      <c r="S36" s="3" t="inlineStr">
        <is>
          <t>2023 Q1 only</t>
        </is>
      </c>
      <c r="T36" s="3" t="inlineStr">
        <is>
          <t>2022 full year; latest Q1 2023 in R, not annualised.</t>
        </is>
      </c>
      <c r="U36" s="3" t="inlineStr">
        <is>
          <t>https://github.com/Africa-International-Advisors/liquid_fuels_model/blob/8c69f8333192483f19cd80911cb90fcd0943eb6b/assumptions/2026/timeseries/fuel_sales_department_by_province_quarterly.csv</t>
        </is>
      </c>
      <c r="V36" s="3" t="inlineStr">
        <is>
          <t>G11: obtain later complete years and sector allocation. Do not use total petrol shares automatically for passenger demand.</t>
        </is>
      </c>
    </row>
    <row r="37" ht="65" customHeight="1">
      <c r="A37" s="3" t="inlineStr">
        <is>
          <t>KZN petrol</t>
        </is>
      </c>
      <c r="B37" s="3" t="inlineStr">
        <is>
          <t>million L/year</t>
        </is>
      </c>
      <c r="C37" s="3" t="inlineStr">
        <is>
          <t>Observed product sales, not passenger/freight-only demand.</t>
        </is>
      </c>
      <c r="D37" s="122">
        <f>IF(ISNUMBER('Evidence'!F46),'Evidence'!F46,"")</f>
        <v/>
      </c>
      <c r="E37" s="122" t="n"/>
      <c r="F37" s="122" t="n"/>
      <c r="G37" s="122" t="n"/>
      <c r="H37" s="122" t="n"/>
      <c r="I37" s="122" t="n"/>
      <c r="J37" s="122" t="n"/>
      <c r="K37" s="122" t="n"/>
      <c r="L37" s="122" t="n"/>
      <c r="M37" s="122" t="n"/>
      <c r="N37" s="122" t="n"/>
      <c r="O37" s="122" t="n"/>
      <c r="P37" s="122" t="n"/>
      <c r="Q37" s="122" t="n"/>
      <c r="R37" s="122">
        <f>IF(ISNUMBER('Evidence'!D46),'Evidence'!D46,"")</f>
        <v/>
      </c>
      <c r="S37" s="3" t="inlineStr">
        <is>
          <t>2023 Q1 only</t>
        </is>
      </c>
      <c r="T37" s="3" t="inlineStr">
        <is>
          <t>2022 full year; latest Q1 2023 in R, not annualised.</t>
        </is>
      </c>
      <c r="U37" s="3" t="inlineStr">
        <is>
          <t>https://github.com/Africa-International-Advisors/liquid_fuels_model/blob/8c69f8333192483f19cd80911cb90fcd0943eb6b/assumptions/2026/timeseries/fuel_sales_department_by_province_quarterly.csv</t>
        </is>
      </c>
      <c r="V37" s="3" t="inlineStr">
        <is>
          <t>G11: obtain later complete years and sector allocation. Do not use total petrol shares automatically for passenger demand.</t>
        </is>
      </c>
    </row>
    <row r="38" ht="65" customHeight="1">
      <c r="A38" s="3" t="inlineStr">
        <is>
          <t>LP petrol</t>
        </is>
      </c>
      <c r="B38" s="3" t="inlineStr">
        <is>
          <t>million L/year</t>
        </is>
      </c>
      <c r="C38" s="3" t="inlineStr">
        <is>
          <t>Observed product sales, not passenger/freight-only demand.</t>
        </is>
      </c>
      <c r="D38" s="122">
        <f>IF(ISNUMBER('Evidence'!F47),'Evidence'!F47,"")</f>
        <v/>
      </c>
      <c r="E38" s="122" t="n"/>
      <c r="F38" s="122" t="n"/>
      <c r="G38" s="122" t="n"/>
      <c r="H38" s="122" t="n"/>
      <c r="I38" s="122" t="n"/>
      <c r="J38" s="122" t="n"/>
      <c r="K38" s="122" t="n"/>
      <c r="L38" s="122" t="n"/>
      <c r="M38" s="122" t="n"/>
      <c r="N38" s="122" t="n"/>
      <c r="O38" s="122" t="n"/>
      <c r="P38" s="122" t="n"/>
      <c r="Q38" s="122" t="n"/>
      <c r="R38" s="122">
        <f>IF(ISNUMBER('Evidence'!D47),'Evidence'!D47,"")</f>
        <v/>
      </c>
      <c r="S38" s="3" t="inlineStr">
        <is>
          <t>2023 Q1 only</t>
        </is>
      </c>
      <c r="T38" s="3" t="inlineStr">
        <is>
          <t>2022 full year; latest Q1 2023 in R, not annualised.</t>
        </is>
      </c>
      <c r="U38" s="3" t="inlineStr">
        <is>
          <t>https://github.com/Africa-International-Advisors/liquid_fuels_model/blob/8c69f8333192483f19cd80911cb90fcd0943eb6b/assumptions/2026/timeseries/fuel_sales_department_by_province_quarterly.csv</t>
        </is>
      </c>
      <c r="V38" s="3" t="inlineStr">
        <is>
          <t>G11: obtain later complete years and sector allocation. Do not use total petrol shares automatically for passenger demand.</t>
        </is>
      </c>
    </row>
    <row r="39" ht="65" customHeight="1">
      <c r="A39" s="3" t="inlineStr">
        <is>
          <t>MP petrol</t>
        </is>
      </c>
      <c r="B39" s="3" t="inlineStr">
        <is>
          <t>million L/year</t>
        </is>
      </c>
      <c r="C39" s="3" t="inlineStr">
        <is>
          <t>Observed product sales, not passenger/freight-only demand.</t>
        </is>
      </c>
      <c r="D39" s="122">
        <f>IF(ISNUMBER('Evidence'!F48),'Evidence'!F48,"")</f>
        <v/>
      </c>
      <c r="E39" s="122" t="n"/>
      <c r="F39" s="122" t="n"/>
      <c r="G39" s="122" t="n"/>
      <c r="H39" s="122" t="n"/>
      <c r="I39" s="122" t="n"/>
      <c r="J39" s="122" t="n"/>
      <c r="K39" s="122" t="n"/>
      <c r="L39" s="122" t="n"/>
      <c r="M39" s="122" t="n"/>
      <c r="N39" s="122" t="n"/>
      <c r="O39" s="122" t="n"/>
      <c r="P39" s="122" t="n"/>
      <c r="Q39" s="122" t="n"/>
      <c r="R39" s="122">
        <f>IF(ISNUMBER('Evidence'!D48),'Evidence'!D48,"")</f>
        <v/>
      </c>
      <c r="S39" s="3" t="inlineStr">
        <is>
          <t>2023 Q1 only</t>
        </is>
      </c>
      <c r="T39" s="3" t="inlineStr">
        <is>
          <t>2022 full year; latest Q1 2023 in R, not annualised.</t>
        </is>
      </c>
      <c r="U39" s="3" t="inlineStr">
        <is>
          <t>https://github.com/Africa-International-Advisors/liquid_fuels_model/blob/8c69f8333192483f19cd80911cb90fcd0943eb6b/assumptions/2026/timeseries/fuel_sales_department_by_province_quarterly.csv</t>
        </is>
      </c>
      <c r="V39" s="3" t="inlineStr">
        <is>
          <t>G11: obtain later complete years and sector allocation. Do not use total petrol shares automatically for passenger demand.</t>
        </is>
      </c>
    </row>
    <row r="40" ht="65" customHeight="1">
      <c r="A40" s="3" t="inlineStr">
        <is>
          <t>NC petrol</t>
        </is>
      </c>
      <c r="B40" s="3" t="inlineStr">
        <is>
          <t>million L/year</t>
        </is>
      </c>
      <c r="C40" s="3" t="inlineStr">
        <is>
          <t>Observed product sales, not passenger/freight-only demand.</t>
        </is>
      </c>
      <c r="D40" s="122">
        <f>IF(ISNUMBER('Evidence'!F49),'Evidence'!F49,"")</f>
        <v/>
      </c>
      <c r="E40" s="122" t="n"/>
      <c r="F40" s="122" t="n"/>
      <c r="G40" s="122" t="n"/>
      <c r="H40" s="122" t="n"/>
      <c r="I40" s="122" t="n"/>
      <c r="J40" s="122" t="n"/>
      <c r="K40" s="122" t="n"/>
      <c r="L40" s="122" t="n"/>
      <c r="M40" s="122" t="n"/>
      <c r="N40" s="122" t="n"/>
      <c r="O40" s="122" t="n"/>
      <c r="P40" s="122" t="n"/>
      <c r="Q40" s="122" t="n"/>
      <c r="R40" s="122">
        <f>IF(ISNUMBER('Evidence'!D49),'Evidence'!D49,"")</f>
        <v/>
      </c>
      <c r="S40" s="3" t="inlineStr">
        <is>
          <t>2023 Q1 only</t>
        </is>
      </c>
      <c r="T40" s="3" t="inlineStr">
        <is>
          <t>2022 full year; latest Q1 2023 in R, not annualised.</t>
        </is>
      </c>
      <c r="U40" s="3" t="inlineStr">
        <is>
          <t>https://github.com/Africa-International-Advisors/liquid_fuels_model/blob/8c69f8333192483f19cd80911cb90fcd0943eb6b/assumptions/2026/timeseries/fuel_sales_department_by_province_quarterly.csv</t>
        </is>
      </c>
      <c r="V40" s="3" t="inlineStr">
        <is>
          <t>G11: obtain later complete years and sector allocation. Do not use total petrol shares automatically for passenger demand.</t>
        </is>
      </c>
    </row>
    <row r="41" ht="65" customHeight="1">
      <c r="A41" s="3" t="inlineStr">
        <is>
          <t>NW petrol</t>
        </is>
      </c>
      <c r="B41" s="3" t="inlineStr">
        <is>
          <t>million L/year</t>
        </is>
      </c>
      <c r="C41" s="3" t="inlineStr">
        <is>
          <t>Observed product sales, not passenger/freight-only demand.</t>
        </is>
      </c>
      <c r="D41" s="122">
        <f>IF(ISNUMBER('Evidence'!F50),'Evidence'!F50,"")</f>
        <v/>
      </c>
      <c r="E41" s="122" t="n"/>
      <c r="F41" s="122" t="n"/>
      <c r="G41" s="122" t="n"/>
      <c r="H41" s="122" t="n"/>
      <c r="I41" s="122" t="n"/>
      <c r="J41" s="122" t="n"/>
      <c r="K41" s="122" t="n"/>
      <c r="L41" s="122" t="n"/>
      <c r="M41" s="122" t="n"/>
      <c r="N41" s="122" t="n"/>
      <c r="O41" s="122" t="n"/>
      <c r="P41" s="122" t="n"/>
      <c r="Q41" s="122" t="n"/>
      <c r="R41" s="122">
        <f>IF(ISNUMBER('Evidence'!D50),'Evidence'!D50,"")</f>
        <v/>
      </c>
      <c r="S41" s="3" t="inlineStr">
        <is>
          <t>2023 Q1 only</t>
        </is>
      </c>
      <c r="T41" s="3" t="inlineStr">
        <is>
          <t>2022 full year; latest Q1 2023 in R, not annualised.</t>
        </is>
      </c>
      <c r="U41" s="3" t="inlineStr">
        <is>
          <t>https://github.com/Africa-International-Advisors/liquid_fuels_model/blob/8c69f8333192483f19cd80911cb90fcd0943eb6b/assumptions/2026/timeseries/fuel_sales_department_by_province_quarterly.csv</t>
        </is>
      </c>
      <c r="V41" s="3" t="inlineStr">
        <is>
          <t>G11: obtain later complete years and sector allocation. Do not use total petrol shares automatically for passenger demand.</t>
        </is>
      </c>
    </row>
    <row r="42" ht="65" customHeight="1">
      <c r="A42" s="3" t="inlineStr">
        <is>
          <t>WC petrol</t>
        </is>
      </c>
      <c r="B42" s="3" t="inlineStr">
        <is>
          <t>million L/year</t>
        </is>
      </c>
      <c r="C42" s="3" t="inlineStr">
        <is>
          <t>Observed product sales, not passenger/freight-only demand.</t>
        </is>
      </c>
      <c r="D42" s="122">
        <f>IF(ISNUMBER('Evidence'!F51),'Evidence'!F51,"")</f>
        <v/>
      </c>
      <c r="E42" s="122" t="n"/>
      <c r="F42" s="122" t="n"/>
      <c r="G42" s="122" t="n"/>
      <c r="H42" s="122" t="n"/>
      <c r="I42" s="122" t="n"/>
      <c r="J42" s="122" t="n"/>
      <c r="K42" s="122" t="n"/>
      <c r="L42" s="122" t="n"/>
      <c r="M42" s="122" t="n"/>
      <c r="N42" s="122" t="n"/>
      <c r="O42" s="122" t="n"/>
      <c r="P42" s="122" t="n"/>
      <c r="Q42" s="122" t="n"/>
      <c r="R42" s="122">
        <f>IF(ISNUMBER('Evidence'!D51),'Evidence'!D51,"")</f>
        <v/>
      </c>
      <c r="S42" s="3" t="inlineStr">
        <is>
          <t>2023 Q1 only</t>
        </is>
      </c>
      <c r="T42" s="3" t="inlineStr">
        <is>
          <t>2022 full year; latest Q1 2023 in R, not annualised.</t>
        </is>
      </c>
      <c r="U42" s="3" t="inlineStr">
        <is>
          <t>https://github.com/Africa-International-Advisors/liquid_fuels_model/blob/8c69f8333192483f19cd80911cb90fcd0943eb6b/assumptions/2026/timeseries/fuel_sales_department_by_province_quarterly.csv</t>
        </is>
      </c>
      <c r="V42" s="3" t="inlineStr">
        <is>
          <t>G11: obtain later complete years and sector allocation. Do not use total petrol shares automatically for passenger demand.</t>
        </is>
      </c>
    </row>
    <row r="43" ht="65" customHeight="1">
      <c r="A43" s="3" t="inlineStr">
        <is>
          <t>EC diesel</t>
        </is>
      </c>
      <c r="B43" s="3" t="inlineStr">
        <is>
          <t>million L/year</t>
        </is>
      </c>
      <c r="C43" s="3" t="inlineStr">
        <is>
          <t>Observed product sales, not passenger/freight-only demand.</t>
        </is>
      </c>
      <c r="D43" s="122">
        <f>IF(ISNUMBER('Evidence'!F52),'Evidence'!F52,"")</f>
        <v/>
      </c>
      <c r="E43" s="122" t="n"/>
      <c r="F43" s="122" t="n"/>
      <c r="G43" s="122" t="n"/>
      <c r="H43" s="122" t="n"/>
      <c r="I43" s="122" t="n"/>
      <c r="J43" s="122" t="n"/>
      <c r="K43" s="122" t="n"/>
      <c r="L43" s="122" t="n"/>
      <c r="M43" s="122" t="n"/>
      <c r="N43" s="122" t="n"/>
      <c r="O43" s="122" t="n"/>
      <c r="P43" s="122" t="n"/>
      <c r="Q43" s="122" t="n"/>
      <c r="R43" s="122">
        <f>IF(ISNUMBER('Evidence'!D52),'Evidence'!D52,"")</f>
        <v/>
      </c>
      <c r="S43" s="3" t="inlineStr">
        <is>
          <t>2023 Q1 only</t>
        </is>
      </c>
      <c r="T43" s="3" t="inlineStr">
        <is>
          <t>2022 full year; latest Q1 2023 in R, not annualised.</t>
        </is>
      </c>
      <c r="U43" s="3" t="inlineStr">
        <is>
          <t>https://github.com/Africa-International-Advisors/liquid_fuels_model/blob/8c69f8333192483f19cd80911cb90fcd0943eb6b/assumptions/2026/timeseries/fuel_sales_department_by_province_quarterly.csv</t>
        </is>
      </c>
      <c r="V43" s="3" t="inlineStr">
        <is>
          <t>G11: obtain later complete years and sector allocation. Do not use total petrol shares automatically for passenger demand.</t>
        </is>
      </c>
    </row>
    <row r="44" ht="65" customHeight="1">
      <c r="A44" s="3" t="inlineStr">
        <is>
          <t>FS diesel</t>
        </is>
      </c>
      <c r="B44" s="3" t="inlineStr">
        <is>
          <t>million L/year</t>
        </is>
      </c>
      <c r="C44" s="3" t="inlineStr">
        <is>
          <t>Observed product sales, not passenger/freight-only demand.</t>
        </is>
      </c>
      <c r="D44" s="122">
        <f>IF(ISNUMBER('Evidence'!F53),'Evidence'!F53,"")</f>
        <v/>
      </c>
      <c r="E44" s="122" t="n"/>
      <c r="F44" s="122" t="n"/>
      <c r="G44" s="122" t="n"/>
      <c r="H44" s="122" t="n"/>
      <c r="I44" s="122" t="n"/>
      <c r="J44" s="122" t="n"/>
      <c r="K44" s="122" t="n"/>
      <c r="L44" s="122" t="n"/>
      <c r="M44" s="122" t="n"/>
      <c r="N44" s="122" t="n"/>
      <c r="O44" s="122" t="n"/>
      <c r="P44" s="122" t="n"/>
      <c r="Q44" s="122" t="n"/>
      <c r="R44" s="122">
        <f>IF(ISNUMBER('Evidence'!D53),'Evidence'!D53,"")</f>
        <v/>
      </c>
      <c r="S44" s="3" t="inlineStr">
        <is>
          <t>2023 Q1 only</t>
        </is>
      </c>
      <c r="T44" s="3" t="inlineStr">
        <is>
          <t>2022 full year; latest Q1 2023 in R, not annualised.</t>
        </is>
      </c>
      <c r="U44" s="3" t="inlineStr">
        <is>
          <t>https://github.com/Africa-International-Advisors/liquid_fuels_model/blob/8c69f8333192483f19cd80911cb90fcd0943eb6b/assumptions/2026/timeseries/fuel_sales_department_by_province_quarterly.csv</t>
        </is>
      </c>
      <c r="V44" s="3" t="inlineStr">
        <is>
          <t>G11: obtain later complete years and sector allocation. Do not use total petrol shares automatically for passenger demand.</t>
        </is>
      </c>
    </row>
    <row r="45" ht="65" customHeight="1">
      <c r="A45" s="3" t="inlineStr">
        <is>
          <t>GP diesel</t>
        </is>
      </c>
      <c r="B45" s="3" t="inlineStr">
        <is>
          <t>million L/year</t>
        </is>
      </c>
      <c r="C45" s="3" t="inlineStr">
        <is>
          <t>Observed product sales, not passenger/freight-only demand.</t>
        </is>
      </c>
      <c r="D45" s="122">
        <f>IF(ISNUMBER('Evidence'!F54),'Evidence'!F54,"")</f>
        <v/>
      </c>
      <c r="E45" s="122" t="n"/>
      <c r="F45" s="122" t="n"/>
      <c r="G45" s="122" t="n"/>
      <c r="H45" s="122" t="n"/>
      <c r="I45" s="122" t="n"/>
      <c r="J45" s="122" t="n"/>
      <c r="K45" s="122" t="n"/>
      <c r="L45" s="122" t="n"/>
      <c r="M45" s="122" t="n"/>
      <c r="N45" s="122" t="n"/>
      <c r="O45" s="122" t="n"/>
      <c r="P45" s="122" t="n"/>
      <c r="Q45" s="122" t="n"/>
      <c r="R45" s="122">
        <f>IF(ISNUMBER('Evidence'!D54),'Evidence'!D54,"")</f>
        <v/>
      </c>
      <c r="S45" s="3" t="inlineStr">
        <is>
          <t>2023 Q1 only</t>
        </is>
      </c>
      <c r="T45" s="3" t="inlineStr">
        <is>
          <t>2022 full year; latest Q1 2023 in R, not annualised.</t>
        </is>
      </c>
      <c r="U45" s="3" t="inlineStr">
        <is>
          <t>https://github.com/Africa-International-Advisors/liquid_fuels_model/blob/8c69f8333192483f19cd80911cb90fcd0943eb6b/assumptions/2026/timeseries/fuel_sales_department_by_province_quarterly.csv</t>
        </is>
      </c>
      <c r="V45" s="3" t="inlineStr">
        <is>
          <t>G11: obtain later complete years and sector allocation. Do not use total petrol shares automatically for passenger demand.</t>
        </is>
      </c>
    </row>
    <row r="46" ht="65" customHeight="1">
      <c r="A46" s="3" t="inlineStr">
        <is>
          <t>KZN diesel</t>
        </is>
      </c>
      <c r="B46" s="3" t="inlineStr">
        <is>
          <t>million L/year</t>
        </is>
      </c>
      <c r="C46" s="3" t="inlineStr">
        <is>
          <t>Observed product sales, not passenger/freight-only demand.</t>
        </is>
      </c>
      <c r="D46" s="122">
        <f>IF(ISNUMBER('Evidence'!F55),'Evidence'!F55,"")</f>
        <v/>
      </c>
      <c r="E46" s="122" t="n"/>
      <c r="F46" s="122" t="n"/>
      <c r="G46" s="122" t="n"/>
      <c r="H46" s="122" t="n"/>
      <c r="I46" s="122" t="n"/>
      <c r="J46" s="122" t="n"/>
      <c r="K46" s="122" t="n"/>
      <c r="L46" s="122" t="n"/>
      <c r="M46" s="122" t="n"/>
      <c r="N46" s="122" t="n"/>
      <c r="O46" s="122" t="n"/>
      <c r="P46" s="122" t="n"/>
      <c r="Q46" s="122" t="n"/>
      <c r="R46" s="122">
        <f>IF(ISNUMBER('Evidence'!D55),'Evidence'!D55,"")</f>
        <v/>
      </c>
      <c r="S46" s="3" t="inlineStr">
        <is>
          <t>2023 Q1 only</t>
        </is>
      </c>
      <c r="T46" s="3" t="inlineStr">
        <is>
          <t>2022 full year; latest Q1 2023 in R, not annualised.</t>
        </is>
      </c>
      <c r="U46" s="3" t="inlineStr">
        <is>
          <t>https://github.com/Africa-International-Advisors/liquid_fuels_model/blob/8c69f8333192483f19cd80911cb90fcd0943eb6b/assumptions/2026/timeseries/fuel_sales_department_by_province_quarterly.csv</t>
        </is>
      </c>
      <c r="V46" s="3" t="inlineStr">
        <is>
          <t>G11: obtain later complete years and sector allocation. Do not use total petrol shares automatically for passenger demand.</t>
        </is>
      </c>
    </row>
    <row r="47" ht="65" customHeight="1">
      <c r="A47" s="3" t="inlineStr">
        <is>
          <t>LP diesel</t>
        </is>
      </c>
      <c r="B47" s="3" t="inlineStr">
        <is>
          <t>million L/year</t>
        </is>
      </c>
      <c r="C47" s="3" t="inlineStr">
        <is>
          <t>Observed product sales, not passenger/freight-only demand.</t>
        </is>
      </c>
      <c r="D47" s="122">
        <f>IF(ISNUMBER('Evidence'!F56),'Evidence'!F56,"")</f>
        <v/>
      </c>
      <c r="E47" s="122" t="n"/>
      <c r="F47" s="122" t="n"/>
      <c r="G47" s="122" t="n"/>
      <c r="H47" s="122" t="n"/>
      <c r="I47" s="122" t="n"/>
      <c r="J47" s="122" t="n"/>
      <c r="K47" s="122" t="n"/>
      <c r="L47" s="122" t="n"/>
      <c r="M47" s="122" t="n"/>
      <c r="N47" s="122" t="n"/>
      <c r="O47" s="122" t="n"/>
      <c r="P47" s="122" t="n"/>
      <c r="Q47" s="122" t="n"/>
      <c r="R47" s="122">
        <f>IF(ISNUMBER('Evidence'!D56),'Evidence'!D56,"")</f>
        <v/>
      </c>
      <c r="S47" s="3" t="inlineStr">
        <is>
          <t>2023 Q1 only</t>
        </is>
      </c>
      <c r="T47" s="3" t="inlineStr">
        <is>
          <t>2022 full year; latest Q1 2023 in R, not annualised.</t>
        </is>
      </c>
      <c r="U47" s="3" t="inlineStr">
        <is>
          <t>https://github.com/Africa-International-Advisors/liquid_fuels_model/blob/8c69f8333192483f19cd80911cb90fcd0943eb6b/assumptions/2026/timeseries/fuel_sales_department_by_province_quarterly.csv</t>
        </is>
      </c>
      <c r="V47" s="3" t="inlineStr">
        <is>
          <t>G11: obtain later complete years and sector allocation. Do not use total petrol shares automatically for passenger demand.</t>
        </is>
      </c>
    </row>
    <row r="48" ht="65" customHeight="1">
      <c r="A48" s="3" t="inlineStr">
        <is>
          <t>MP diesel</t>
        </is>
      </c>
      <c r="B48" s="3" t="inlineStr">
        <is>
          <t>million L/year</t>
        </is>
      </c>
      <c r="C48" s="3" t="inlineStr">
        <is>
          <t>Observed product sales, not passenger/freight-only demand.</t>
        </is>
      </c>
      <c r="D48" s="122">
        <f>IF(ISNUMBER('Evidence'!F57),'Evidence'!F57,"")</f>
        <v/>
      </c>
      <c r="E48" s="122" t="n"/>
      <c r="F48" s="122" t="n"/>
      <c r="G48" s="122" t="n"/>
      <c r="H48" s="122" t="n"/>
      <c r="I48" s="122" t="n"/>
      <c r="J48" s="122" t="n"/>
      <c r="K48" s="122" t="n"/>
      <c r="L48" s="122" t="n"/>
      <c r="M48" s="122" t="n"/>
      <c r="N48" s="122" t="n"/>
      <c r="O48" s="122" t="n"/>
      <c r="P48" s="122" t="n"/>
      <c r="Q48" s="122" t="n"/>
      <c r="R48" s="122">
        <f>IF(ISNUMBER('Evidence'!D57),'Evidence'!D57,"")</f>
        <v/>
      </c>
      <c r="S48" s="3" t="inlineStr">
        <is>
          <t>2023 Q1 only</t>
        </is>
      </c>
      <c r="T48" s="3" t="inlineStr">
        <is>
          <t>2022 full year; latest Q1 2023 in R, not annualised.</t>
        </is>
      </c>
      <c r="U48" s="3" t="inlineStr">
        <is>
          <t>https://github.com/Africa-International-Advisors/liquid_fuels_model/blob/8c69f8333192483f19cd80911cb90fcd0943eb6b/assumptions/2026/timeseries/fuel_sales_department_by_province_quarterly.csv</t>
        </is>
      </c>
      <c r="V48" s="3" t="inlineStr">
        <is>
          <t>G11: obtain later complete years and sector allocation. Do not use total petrol shares automatically for passenger demand.</t>
        </is>
      </c>
    </row>
    <row r="49" ht="65" customHeight="1">
      <c r="A49" s="3" t="inlineStr">
        <is>
          <t>NC diesel</t>
        </is>
      </c>
      <c r="B49" s="3" t="inlineStr">
        <is>
          <t>million L/year</t>
        </is>
      </c>
      <c r="C49" s="3" t="inlineStr">
        <is>
          <t>Observed product sales, not passenger/freight-only demand.</t>
        </is>
      </c>
      <c r="D49" s="122">
        <f>IF(ISNUMBER('Evidence'!F58),'Evidence'!F58,"")</f>
        <v/>
      </c>
      <c r="E49" s="122" t="n"/>
      <c r="F49" s="122" t="n"/>
      <c r="G49" s="122" t="n"/>
      <c r="H49" s="122" t="n"/>
      <c r="I49" s="122" t="n"/>
      <c r="J49" s="122" t="n"/>
      <c r="K49" s="122" t="n"/>
      <c r="L49" s="122" t="n"/>
      <c r="M49" s="122" t="n"/>
      <c r="N49" s="122" t="n"/>
      <c r="O49" s="122" t="n"/>
      <c r="P49" s="122" t="n"/>
      <c r="Q49" s="122" t="n"/>
      <c r="R49" s="122">
        <f>IF(ISNUMBER('Evidence'!D58),'Evidence'!D58,"")</f>
        <v/>
      </c>
      <c r="S49" s="3" t="inlineStr">
        <is>
          <t>2023 Q1 only</t>
        </is>
      </c>
      <c r="T49" s="3" t="inlineStr">
        <is>
          <t>2022 full year; latest Q1 2023 in R, not annualised.</t>
        </is>
      </c>
      <c r="U49" s="3" t="inlineStr">
        <is>
          <t>https://github.com/Africa-International-Advisors/liquid_fuels_model/blob/8c69f8333192483f19cd80911cb90fcd0943eb6b/assumptions/2026/timeseries/fuel_sales_department_by_province_quarterly.csv</t>
        </is>
      </c>
      <c r="V49" s="3" t="inlineStr">
        <is>
          <t>G11: obtain later complete years and sector allocation. Do not use total petrol shares automatically for passenger demand.</t>
        </is>
      </c>
    </row>
    <row r="50" ht="65" customHeight="1">
      <c r="A50" s="3" t="inlineStr">
        <is>
          <t>NW diesel</t>
        </is>
      </c>
      <c r="B50" s="3" t="inlineStr">
        <is>
          <t>million L/year</t>
        </is>
      </c>
      <c r="C50" s="3" t="inlineStr">
        <is>
          <t>Observed product sales, not passenger/freight-only demand.</t>
        </is>
      </c>
      <c r="D50" s="122">
        <f>IF(ISNUMBER('Evidence'!F59),'Evidence'!F59,"")</f>
        <v/>
      </c>
      <c r="E50" s="122" t="n"/>
      <c r="F50" s="122" t="n"/>
      <c r="G50" s="122" t="n"/>
      <c r="H50" s="122" t="n"/>
      <c r="I50" s="122" t="n"/>
      <c r="J50" s="122" t="n"/>
      <c r="K50" s="122" t="n"/>
      <c r="L50" s="122" t="n"/>
      <c r="M50" s="122" t="n"/>
      <c r="N50" s="122" t="n"/>
      <c r="O50" s="122" t="n"/>
      <c r="P50" s="122" t="n"/>
      <c r="Q50" s="122" t="n"/>
      <c r="R50" s="122">
        <f>IF(ISNUMBER('Evidence'!D59),'Evidence'!D59,"")</f>
        <v/>
      </c>
      <c r="S50" s="3" t="inlineStr">
        <is>
          <t>2023 Q1 only</t>
        </is>
      </c>
      <c r="T50" s="3" t="inlineStr">
        <is>
          <t>2022 full year; latest Q1 2023 in R, not annualised.</t>
        </is>
      </c>
      <c r="U50" s="3" t="inlineStr">
        <is>
          <t>https://github.com/Africa-International-Advisors/liquid_fuels_model/blob/8c69f8333192483f19cd80911cb90fcd0943eb6b/assumptions/2026/timeseries/fuel_sales_department_by_province_quarterly.csv</t>
        </is>
      </c>
      <c r="V50" s="3" t="inlineStr">
        <is>
          <t>G11: obtain later complete years and sector allocation. Do not use total petrol shares automatically for passenger demand.</t>
        </is>
      </c>
    </row>
    <row r="51" ht="65" customHeight="1">
      <c r="A51" s="3" t="inlineStr">
        <is>
          <t>WC diesel</t>
        </is>
      </c>
      <c r="B51" s="3" t="inlineStr">
        <is>
          <t>million L/year</t>
        </is>
      </c>
      <c r="C51" s="3" t="inlineStr">
        <is>
          <t>Observed product sales, not passenger/freight-only demand.</t>
        </is>
      </c>
      <c r="D51" s="122">
        <f>IF(ISNUMBER('Evidence'!F60),'Evidence'!F60,"")</f>
        <v/>
      </c>
      <c r="E51" s="122" t="n"/>
      <c r="F51" s="122" t="n"/>
      <c r="G51" s="122" t="n"/>
      <c r="H51" s="122" t="n"/>
      <c r="I51" s="122" t="n"/>
      <c r="J51" s="122" t="n"/>
      <c r="K51" s="122" t="n"/>
      <c r="L51" s="122" t="n"/>
      <c r="M51" s="122" t="n"/>
      <c r="N51" s="122" t="n"/>
      <c r="O51" s="122" t="n"/>
      <c r="P51" s="122" t="n"/>
      <c r="Q51" s="122" t="n"/>
      <c r="R51" s="122">
        <f>IF(ISNUMBER('Evidence'!D60),'Evidence'!D60,"")</f>
        <v/>
      </c>
      <c r="S51" s="3" t="inlineStr">
        <is>
          <t>2023 Q1 only</t>
        </is>
      </c>
      <c r="T51" s="3" t="inlineStr">
        <is>
          <t>2022 full year; latest Q1 2023 in R, not annualised.</t>
        </is>
      </c>
      <c r="U51" s="3" t="inlineStr">
        <is>
          <t>https://github.com/Africa-International-Advisors/liquid_fuels_model/blob/8c69f8333192483f19cd80911cb90fcd0943eb6b/assumptions/2026/timeseries/fuel_sales_department_by_province_quarterly.csv</t>
        </is>
      </c>
      <c r="V51" s="3" t="inlineStr">
        <is>
          <t>G11: obtain later complete years and sector allocation. Do not use total petrol shares automatically for passenger demand.</t>
        </is>
      </c>
    </row>
    <row r="52" ht="65" customHeight="1">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row>
    <row r="53" ht="65" customHeight="1">
      <c r="A53" s="68" t="inlineStr">
        <is>
          <t>Nine provinces: petrol</t>
        </is>
      </c>
      <c r="B53" s="68" t="inlineStr">
        <is>
          <t>million L/year</t>
        </is>
      </c>
      <c r="C53" s="68" t="inlineStr">
        <is>
          <t>Sum only when all nine annual observations exist.</t>
        </is>
      </c>
      <c r="D53" s="142">
        <f>IF(COUNT(D34:D42)&lt;9,"",SUM(D34:D42))</f>
        <v/>
      </c>
      <c r="E53" s="142">
        <f>IF(COUNT(E34:E42)&lt;9,"",SUM(E34:E42))</f>
        <v/>
      </c>
      <c r="F53" s="142">
        <f>IF(COUNT(F34:F42)&lt;9,"",SUM(F34:F42))</f>
        <v/>
      </c>
      <c r="G53" s="142">
        <f>IF(COUNT(G34:G42)&lt;9,"",SUM(G34:G42))</f>
        <v/>
      </c>
      <c r="H53" s="142">
        <f>IF(COUNT(H34:H42)&lt;9,"",SUM(H34:H42))</f>
        <v/>
      </c>
      <c r="I53" s="142">
        <f>IF(COUNT(I34:I42)&lt;9,"",SUM(I34:I42))</f>
        <v/>
      </c>
      <c r="J53" s="142">
        <f>IF(COUNT(J34:J42)&lt;9,"",SUM(J34:J42))</f>
        <v/>
      </c>
      <c r="K53" s="142">
        <f>IF(COUNT(K34:K42)&lt;9,"",SUM(K34:K42))</f>
        <v/>
      </c>
      <c r="L53" s="142">
        <f>IF(COUNT(L34:L42)&lt;9,"",SUM(L34:L42))</f>
        <v/>
      </c>
      <c r="M53" s="142">
        <f>IF(COUNT(M34:M42)&lt;9,"",SUM(M34:M42))</f>
        <v/>
      </c>
      <c r="N53" s="142">
        <f>IF(COUNT(N34:N42)&lt;9,"",SUM(N34:N42))</f>
        <v/>
      </c>
      <c r="O53" s="142">
        <f>IF(COUNT(O34:O42)&lt;9,"",SUM(O34:O42))</f>
        <v/>
      </c>
      <c r="P53" s="142">
        <f>IF(COUNT(P34:P42)&lt;9,"",SUM(P34:P42))</f>
        <v/>
      </c>
      <c r="Q53" s="142">
        <f>IF(COUNT(Q34:Q42)&lt;9,"",SUM(Q34:Q42))</f>
        <v/>
      </c>
      <c r="R53" s="3" t="n"/>
      <c r="S53" s="3" t="n"/>
      <c r="T53" s="3" t="n"/>
      <c r="U53" s="3" t="n"/>
      <c r="V53" s="3" t="n"/>
    </row>
    <row r="54" ht="65" customHeight="1">
      <c r="A54" s="68" t="inlineStr">
        <is>
          <t>Department national petrol</t>
        </is>
      </c>
      <c r="B54" s="68" t="inlineStr">
        <is>
          <t>million L/year</t>
        </is>
      </c>
      <c r="C54" s="68" t="inlineStr">
        <is>
          <t>Same publisher comparator; coverage still requires reconciliation.</t>
        </is>
      </c>
      <c r="D54" s="142">
        <f>IF(ISNUMBER('Evidence'!F6),'Evidence'!F6,"")</f>
        <v/>
      </c>
      <c r="E54" s="142">
        <f>IF(ISNUMBER('Evidence'!G6),'Evidence'!G6,"")</f>
        <v/>
      </c>
      <c r="F54" s="142">
        <f>IF(ISNUMBER('Evidence'!H6),'Evidence'!H6,"")</f>
        <v/>
      </c>
      <c r="G54" s="142">
        <f>IF(ISNUMBER('Evidence'!I6),'Evidence'!I6,"")</f>
        <v/>
      </c>
      <c r="H54" s="142">
        <f>IF(ISNUMBER('Evidence'!J6),'Evidence'!J6,"")</f>
        <v/>
      </c>
      <c r="I54" s="142">
        <f>IF(ISNUMBER('Evidence'!K6),'Evidence'!K6,"")</f>
        <v/>
      </c>
      <c r="J54" s="142">
        <f>IF(ISNUMBER('Evidence'!L6),'Evidence'!L6,"")</f>
        <v/>
      </c>
      <c r="K54" s="142">
        <f>IF(ISNUMBER('Evidence'!M6),'Evidence'!M6,"")</f>
        <v/>
      </c>
      <c r="L54" s="142">
        <f>IF(ISNUMBER('Evidence'!N6),'Evidence'!N6,"")</f>
        <v/>
      </c>
      <c r="M54" s="142">
        <f>IF(ISNUMBER('Evidence'!O6),'Evidence'!O6,"")</f>
        <v/>
      </c>
      <c r="N54" s="142">
        <f>IF(ISNUMBER('Evidence'!P6),'Evidence'!P6,"")</f>
        <v/>
      </c>
      <c r="O54" s="142">
        <f>IF(ISNUMBER('Evidence'!Q6),'Evidence'!Q6,"")</f>
        <v/>
      </c>
      <c r="P54" s="142">
        <f>IF(ISNUMBER('Evidence'!R6),'Evidence'!R6,"")</f>
        <v/>
      </c>
      <c r="Q54" s="142">
        <f>IF(ISNUMBER('Evidence'!S6),'Evidence'!S6,"")</f>
        <v/>
      </c>
      <c r="R54" s="3" t="n"/>
      <c r="S54" s="3" t="n"/>
      <c r="T54" s="3" t="n"/>
      <c r="U54" s="3" t="n"/>
      <c r="V54" s="3" t="n"/>
    </row>
    <row r="55" ht="65" customHeight="1">
      <c r="A55" s="68" t="inlineStr">
        <is>
          <t>Provincial minus national</t>
        </is>
      </c>
      <c r="B55" s="68" t="inlineStr">
        <is>
          <t>million L/year</t>
        </is>
      </c>
      <c r="C55" s="68" t="inlineStr">
        <is>
          <t>Difference retained explicitly; do not force a tie.</t>
        </is>
      </c>
      <c r="D55" s="142">
        <f>IF(COUNT(D53,D54)&lt;2,"",D53-D54)</f>
        <v/>
      </c>
      <c r="E55" s="142">
        <f>IF(COUNT(E53,E54)&lt;2,"",E53-E54)</f>
        <v/>
      </c>
      <c r="F55" s="142">
        <f>IF(COUNT(F53,F54)&lt;2,"",F53-F54)</f>
        <v/>
      </c>
      <c r="G55" s="142">
        <f>IF(COUNT(G53,G54)&lt;2,"",G53-G54)</f>
        <v/>
      </c>
      <c r="H55" s="142">
        <f>IF(COUNT(H53,H54)&lt;2,"",H53-H54)</f>
        <v/>
      </c>
      <c r="I55" s="142">
        <f>IF(COUNT(I53,I54)&lt;2,"",I53-I54)</f>
        <v/>
      </c>
      <c r="J55" s="142">
        <f>IF(COUNT(J53,J54)&lt;2,"",J53-J54)</f>
        <v/>
      </c>
      <c r="K55" s="142">
        <f>IF(COUNT(K53,K54)&lt;2,"",K53-K54)</f>
        <v/>
      </c>
      <c r="L55" s="142">
        <f>IF(COUNT(L53,L54)&lt;2,"",L53-L54)</f>
        <v/>
      </c>
      <c r="M55" s="142">
        <f>IF(COUNT(M53,M54)&lt;2,"",M53-M54)</f>
        <v/>
      </c>
      <c r="N55" s="142">
        <f>IF(COUNT(N53,N54)&lt;2,"",N53-N54)</f>
        <v/>
      </c>
      <c r="O55" s="142">
        <f>IF(COUNT(O53,O54)&lt;2,"",O53-O54)</f>
        <v/>
      </c>
      <c r="P55" s="142">
        <f>IF(COUNT(P53,P54)&lt;2,"",P53-P54)</f>
        <v/>
      </c>
      <c r="Q55" s="142">
        <f>IF(COUNT(Q53,Q54)&lt;2,"",Q53-Q54)</f>
        <v/>
      </c>
      <c r="R55" s="3" t="n"/>
      <c r="S55" s="3" t="n"/>
      <c r="T55" s="3" t="n"/>
      <c r="U55" s="3" t="n"/>
      <c r="V55" s="3" t="n"/>
    </row>
    <row r="56" ht="65" customHeight="1">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row>
    <row r="57" ht="65" customHeight="1">
      <c r="A57" s="68" t="inlineStr">
        <is>
          <t>Nine provinces: diesel</t>
        </is>
      </c>
      <c r="B57" s="68" t="inlineStr">
        <is>
          <t>million L/year</t>
        </is>
      </c>
      <c r="C57" s="68" t="inlineStr">
        <is>
          <t>Sum only when all nine annual observations exist.</t>
        </is>
      </c>
      <c r="D57" s="142">
        <f>IF(COUNT(D43:D51)&lt;9,"",SUM(D43:D51))</f>
        <v/>
      </c>
      <c r="E57" s="142">
        <f>IF(COUNT(E43:E51)&lt;9,"",SUM(E43:E51))</f>
        <v/>
      </c>
      <c r="F57" s="142">
        <f>IF(COUNT(F43:F51)&lt;9,"",SUM(F43:F51))</f>
        <v/>
      </c>
      <c r="G57" s="142">
        <f>IF(COUNT(G43:G51)&lt;9,"",SUM(G43:G51))</f>
        <v/>
      </c>
      <c r="H57" s="142">
        <f>IF(COUNT(H43:H51)&lt;9,"",SUM(H43:H51))</f>
        <v/>
      </c>
      <c r="I57" s="142">
        <f>IF(COUNT(I43:I51)&lt;9,"",SUM(I43:I51))</f>
        <v/>
      </c>
      <c r="J57" s="142">
        <f>IF(COUNT(J43:J51)&lt;9,"",SUM(J43:J51))</f>
        <v/>
      </c>
      <c r="K57" s="142">
        <f>IF(COUNT(K43:K51)&lt;9,"",SUM(K43:K51))</f>
        <v/>
      </c>
      <c r="L57" s="142">
        <f>IF(COUNT(L43:L51)&lt;9,"",SUM(L43:L51))</f>
        <v/>
      </c>
      <c r="M57" s="142">
        <f>IF(COUNT(M43:M51)&lt;9,"",SUM(M43:M51))</f>
        <v/>
      </c>
      <c r="N57" s="142">
        <f>IF(COUNT(N43:N51)&lt;9,"",SUM(N43:N51))</f>
        <v/>
      </c>
      <c r="O57" s="142">
        <f>IF(COUNT(O43:O51)&lt;9,"",SUM(O43:O51))</f>
        <v/>
      </c>
      <c r="P57" s="142">
        <f>IF(COUNT(P43:P51)&lt;9,"",SUM(P43:P51))</f>
        <v/>
      </c>
      <c r="Q57" s="142">
        <f>IF(COUNT(Q43:Q51)&lt;9,"",SUM(Q43:Q51))</f>
        <v/>
      </c>
      <c r="R57" s="3" t="n"/>
      <c r="S57" s="3" t="n"/>
      <c r="T57" s="3" t="n"/>
      <c r="U57" s="3" t="n"/>
      <c r="V57" s="3" t="n"/>
    </row>
    <row r="58" ht="65" customHeight="1">
      <c r="A58" s="68" t="inlineStr">
        <is>
          <t>Department national diesel</t>
        </is>
      </c>
      <c r="B58" s="68" t="inlineStr">
        <is>
          <t>million L/year</t>
        </is>
      </c>
      <c r="C58" s="68" t="inlineStr">
        <is>
          <t>Same publisher comparator; coverage still requires reconciliation.</t>
        </is>
      </c>
      <c r="D58" s="142">
        <f>IF(ISNUMBER('Evidence'!F8),'Evidence'!F8,"")</f>
        <v/>
      </c>
      <c r="E58" s="142">
        <f>IF(ISNUMBER('Evidence'!G8),'Evidence'!G8,"")</f>
        <v/>
      </c>
      <c r="F58" s="142">
        <f>IF(ISNUMBER('Evidence'!H8),'Evidence'!H8,"")</f>
        <v/>
      </c>
      <c r="G58" s="142">
        <f>IF(ISNUMBER('Evidence'!I8),'Evidence'!I8,"")</f>
        <v/>
      </c>
      <c r="H58" s="142">
        <f>IF(ISNUMBER('Evidence'!J8),'Evidence'!J8,"")</f>
        <v/>
      </c>
      <c r="I58" s="142">
        <f>IF(ISNUMBER('Evidence'!K8),'Evidence'!K8,"")</f>
        <v/>
      </c>
      <c r="J58" s="142">
        <f>IF(ISNUMBER('Evidence'!L8),'Evidence'!L8,"")</f>
        <v/>
      </c>
      <c r="K58" s="142">
        <f>IF(ISNUMBER('Evidence'!M8),'Evidence'!M8,"")</f>
        <v/>
      </c>
      <c r="L58" s="142">
        <f>IF(ISNUMBER('Evidence'!N8),'Evidence'!N8,"")</f>
        <v/>
      </c>
      <c r="M58" s="142">
        <f>IF(ISNUMBER('Evidence'!O8),'Evidence'!O8,"")</f>
        <v/>
      </c>
      <c r="N58" s="142">
        <f>IF(ISNUMBER('Evidence'!P8),'Evidence'!P8,"")</f>
        <v/>
      </c>
      <c r="O58" s="142">
        <f>IF(ISNUMBER('Evidence'!Q8),'Evidence'!Q8,"")</f>
        <v/>
      </c>
      <c r="P58" s="142">
        <f>IF(ISNUMBER('Evidence'!R8),'Evidence'!R8,"")</f>
        <v/>
      </c>
      <c r="Q58" s="142">
        <f>IF(ISNUMBER('Evidence'!S8),'Evidence'!S8,"")</f>
        <v/>
      </c>
      <c r="R58" s="3" t="n"/>
      <c r="S58" s="3" t="n"/>
      <c r="T58" s="3" t="n"/>
      <c r="U58" s="3" t="n"/>
      <c r="V58" s="3" t="n"/>
    </row>
    <row r="59" ht="65" customHeight="1">
      <c r="A59" s="68" t="inlineStr">
        <is>
          <t>Provincial minus national</t>
        </is>
      </c>
      <c r="B59" s="68" t="inlineStr">
        <is>
          <t>million L/year</t>
        </is>
      </c>
      <c r="C59" s="68" t="inlineStr">
        <is>
          <t>Difference retained explicitly; do not force a tie.</t>
        </is>
      </c>
      <c r="D59" s="142">
        <f>IF(COUNT(D57,D58)&lt;2,"",D57-D58)</f>
        <v/>
      </c>
      <c r="E59" s="142">
        <f>IF(COUNT(E57,E58)&lt;2,"",E57-E58)</f>
        <v/>
      </c>
      <c r="F59" s="142">
        <f>IF(COUNT(F57,F58)&lt;2,"",F57-F58)</f>
        <v/>
      </c>
      <c r="G59" s="142">
        <f>IF(COUNT(G57,G58)&lt;2,"",G57-G58)</f>
        <v/>
      </c>
      <c r="H59" s="142">
        <f>IF(COUNT(H57,H58)&lt;2,"",H57-H58)</f>
        <v/>
      </c>
      <c r="I59" s="142">
        <f>IF(COUNT(I57,I58)&lt;2,"",I57-I58)</f>
        <v/>
      </c>
      <c r="J59" s="142">
        <f>IF(COUNT(J57,J58)&lt;2,"",J57-J58)</f>
        <v/>
      </c>
      <c r="K59" s="142">
        <f>IF(COUNT(K57,K58)&lt;2,"",K57-K58)</f>
        <v/>
      </c>
      <c r="L59" s="142">
        <f>IF(COUNT(L57,L58)&lt;2,"",L57-L58)</f>
        <v/>
      </c>
      <c r="M59" s="142">
        <f>IF(COUNT(M57,M58)&lt;2,"",M57-M58)</f>
        <v/>
      </c>
      <c r="N59" s="142">
        <f>IF(COUNT(N57,N58)&lt;2,"",N57-N58)</f>
        <v/>
      </c>
      <c r="O59" s="142">
        <f>IF(COUNT(O57,O58)&lt;2,"",O57-O58)</f>
        <v/>
      </c>
      <c r="P59" s="142">
        <f>IF(COUNT(P57,P58)&lt;2,"",P57-P58)</f>
        <v/>
      </c>
      <c r="Q59" s="142">
        <f>IF(COUNT(Q57,Q58)&lt;2,"",Q57-Q58)</f>
        <v/>
      </c>
      <c r="R59" s="3" t="n"/>
      <c r="S59" s="3" t="n"/>
      <c r="T59" s="3" t="n"/>
      <c r="U59" s="3" t="n"/>
      <c r="V59" s="3" t="n"/>
    </row>
    <row r="60" ht="65" customHeight="1">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row>
    <row r="61" ht="65" customHeight="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row>
    <row r="62" ht="65" customHeight="1">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row>
    <row r="63" ht="65" customHeight="1">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row>
    <row r="64" ht="65" customHeight="1">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row>
    <row r="65" ht="65" customHeight="1">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row>
  </sheetData>
  <dataValidations count="9">
    <dataValidation sqref="D7:Q7" showDropDown="0" showInputMessage="0" showErrorMessage="0" allowBlank="0" type="decimal" operator="between">
      <formula1>0</formula1>
      <formula2>1</formula2>
    </dataValidation>
    <dataValidation sqref="D8:Q8" showDropDown="0" showInputMessage="0" showErrorMessage="0" allowBlank="0" type="decimal" operator="between">
      <formula1>0</formula1>
      <formula2>1</formula2>
    </dataValidation>
    <dataValidation sqref="D9:Q9" showDropDown="0" showInputMessage="0" showErrorMessage="0" allowBlank="0" type="decimal" operator="between">
      <formula1>0</formula1>
      <formula2>1</formula2>
    </dataValidation>
    <dataValidation sqref="D10:Q10" showDropDown="0" showInputMessage="0" showErrorMessage="0" allowBlank="0" type="decimal" operator="between">
      <formula1>0</formula1>
      <formula2>1</formula2>
    </dataValidation>
    <dataValidation sqref="D11:Q11" showDropDown="0" showInputMessage="0" showErrorMessage="0" allowBlank="0" type="decimal" operator="between">
      <formula1>0</formula1>
      <formula2>1</formula2>
    </dataValidation>
    <dataValidation sqref="D12:Q12" showDropDown="0" showInputMessage="0" showErrorMessage="0" allowBlank="0" type="decimal" operator="between">
      <formula1>0</formula1>
      <formula2>1</formula2>
    </dataValidation>
    <dataValidation sqref="D13:Q13" showDropDown="0" showInputMessage="0" showErrorMessage="0" allowBlank="0" type="decimal" operator="between">
      <formula1>0</formula1>
      <formula2>1</formula2>
    </dataValidation>
    <dataValidation sqref="D14:Q14" showDropDown="0" showInputMessage="0" showErrorMessage="0" allowBlank="0" type="decimal" operator="between">
      <formula1>0</formula1>
      <formula2>1</formula2>
    </dataValidation>
    <dataValidation sqref="D15:Q15" showDropDown="0" showInputMessage="0" showErrorMessage="0" allowBlank="0" type="decimal" operator="between">
      <formula1>0</formula1>
      <formula2>1</formula2>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V200"/>
  <sheetViews>
    <sheetView showGridLines="0" workbookViewId="0">
      <pane ySplit="4" topLeftCell="A5" activePane="bottomLef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81" t="inlineStr">
        <is>
          <t>Evidence</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Raw source extracts • complete annual periods only; partial periods and older anchors stay in 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Series / driver</t>
        </is>
      </c>
      <c r="B4" s="9" t="inlineStr">
        <is>
          <t>Unit</t>
        </is>
      </c>
      <c r="C4" s="9" t="inlineStr">
        <is>
          <t>Role</t>
        </is>
      </c>
      <c r="D4" s="9" t="inlineStr">
        <is>
          <t>Scalar / latest</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Status</t>
        </is>
      </c>
      <c r="U4" s="9" t="inlineStr">
        <is>
          <t>Source / dependency</t>
        </is>
      </c>
      <c r="V4" s="9" t="inlineStr">
        <is>
          <t>Review action</t>
        </is>
      </c>
    </row>
    <row r="5" ht="30" customHeight="1">
      <c r="A5" s="65" t="inlineStr">
        <is>
          <t>sales_petrol</t>
        </is>
      </c>
      <c r="B5" s="65" t="inlineStr">
        <is>
          <t>million L/year</t>
        </is>
      </c>
      <c r="C5" s="65" t="inlineStr">
        <is>
          <t>Source observation</t>
        </is>
      </c>
      <c r="D5" s="114" t="n"/>
      <c r="E5" s="114" t="inlineStr">
        <is>
          <t>FIASA staged reported sales; latest edition selected by existing… [N208]</t>
        </is>
      </c>
      <c r="F5" s="115" t="n">
        <v>9185</v>
      </c>
      <c r="G5" s="115" t="n">
        <v>9037</v>
      </c>
      <c r="H5" s="115" t="n">
        <v>9029</v>
      </c>
      <c r="I5" s="115" t="n"/>
      <c r="J5" s="115" t="n"/>
      <c r="K5" s="115" t="n"/>
      <c r="L5" s="115" t="n"/>
      <c r="M5" s="115" t="n"/>
      <c r="N5" s="115" t="n"/>
      <c r="O5" s="115" t="n"/>
      <c r="P5" s="115" t="n"/>
      <c r="Q5" s="115" t="n"/>
      <c r="R5" s="115" t="n"/>
      <c r="S5" s="115" t="n"/>
      <c r="T5" s="65" t="inlineStr">
        <is>
          <t>Unreviewed source extract</t>
        </is>
      </c>
      <c r="U5" s="65" t="inlineStr">
        <is>
          <t>assumptions/2026/timeseries/fuel_sales_fiasa.csv</t>
        </is>
      </c>
      <c r="V5" s="65" t="inlineStr">
        <is>
          <t>Manish: reconcile scope and revisions before adoption.</t>
        </is>
      </c>
    </row>
    <row r="6" ht="30" customHeight="1">
      <c r="A6" s="65" t="inlineStr">
        <is>
          <t>dept_petrol</t>
        </is>
      </c>
      <c r="B6" s="65" t="inlineStr">
        <is>
          <t>million L/year</t>
        </is>
      </c>
      <c r="C6" s="65" t="inlineStr">
        <is>
          <t>Source observation</t>
        </is>
      </c>
      <c r="D6" s="114" t="n"/>
      <c r="E6" s="114" t="inlineStr">
        <is>
          <t>Department sales with four reported quarters. Preserve… [N209]</t>
        </is>
      </c>
      <c r="F6" s="115" t="n">
        <v>9184.869915572999</v>
      </c>
      <c r="G6" s="115" t="n">
        <v>9036.950113492001</v>
      </c>
      <c r="H6" s="115" t="n"/>
      <c r="I6" s="115" t="n"/>
      <c r="J6" s="115" t="n"/>
      <c r="K6" s="115" t="n"/>
      <c r="L6" s="115" t="n"/>
      <c r="M6" s="115" t="n"/>
      <c r="N6" s="115" t="n"/>
      <c r="O6" s="115" t="n"/>
      <c r="P6" s="115" t="n"/>
      <c r="Q6" s="115" t="n"/>
      <c r="R6" s="115" t="n"/>
      <c r="S6" s="115" t="n"/>
      <c r="T6" s="65" t="inlineStr">
        <is>
          <t>Unreviewed source extract</t>
        </is>
      </c>
      <c r="U6" s="65" t="inlineStr">
        <is>
          <t>assumptions/2026/timeseries/fuel_sales_department.csv</t>
        </is>
      </c>
      <c r="V6" s="65" t="inlineStr">
        <is>
          <t>Manish: reconcile scope and revisions before adoption.</t>
        </is>
      </c>
    </row>
    <row r="7" ht="30" customHeight="1">
      <c r="A7" s="65" t="inlineStr">
        <is>
          <t>sales_diesel</t>
        </is>
      </c>
      <c r="B7" s="65" t="inlineStr">
        <is>
          <t>million L/year</t>
        </is>
      </c>
      <c r="C7" s="65" t="inlineStr">
        <is>
          <t>Source observation</t>
        </is>
      </c>
      <c r="D7" s="114" t="n"/>
      <c r="E7" s="114" t="inlineStr">
        <is>
          <t>FIASA staged reported sales; latest edition selected by existing… [N210]</t>
        </is>
      </c>
      <c r="F7" s="115" t="n">
        <v>12717</v>
      </c>
      <c r="G7" s="115" t="n">
        <v>12907</v>
      </c>
      <c r="H7" s="115" t="n">
        <v>11734</v>
      </c>
      <c r="I7" s="115" t="n"/>
      <c r="J7" s="115" t="n"/>
      <c r="K7" s="115" t="n"/>
      <c r="L7" s="115" t="n"/>
      <c r="M7" s="115" t="n"/>
      <c r="N7" s="115" t="n"/>
      <c r="O7" s="115" t="n"/>
      <c r="P7" s="115" t="n"/>
      <c r="Q7" s="115" t="n"/>
      <c r="R7" s="115" t="n"/>
      <c r="S7" s="115" t="n"/>
      <c r="T7" s="65" t="inlineStr">
        <is>
          <t>Unreviewed source extract</t>
        </is>
      </c>
      <c r="U7" s="65" t="inlineStr">
        <is>
          <t>assumptions/2026/timeseries/fuel_sales_fiasa.csv</t>
        </is>
      </c>
      <c r="V7" s="65" t="inlineStr">
        <is>
          <t>Manish: reconcile scope and revisions before adoption.</t>
        </is>
      </c>
    </row>
    <row r="8" ht="30" customHeight="1">
      <c r="A8" s="65" t="inlineStr">
        <is>
          <t>dept_diesel</t>
        </is>
      </c>
      <c r="B8" s="65" t="inlineStr">
        <is>
          <t>million L/year</t>
        </is>
      </c>
      <c r="C8" s="65" t="inlineStr">
        <is>
          <t>Source observation</t>
        </is>
      </c>
      <c r="D8" s="114" t="n"/>
      <c r="E8" s="114" t="inlineStr">
        <is>
          <t>Department sales with four reported quarters. Preserve… [N211]</t>
        </is>
      </c>
      <c r="F8" s="115" t="n">
        <v>12717.326319019</v>
      </c>
      <c r="G8" s="115" t="n">
        <v>12907.499965808</v>
      </c>
      <c r="H8" s="115" t="n"/>
      <c r="I8" s="115" t="n"/>
      <c r="J8" s="115" t="n"/>
      <c r="K8" s="115" t="n"/>
      <c r="L8" s="115" t="n"/>
      <c r="M8" s="115" t="n"/>
      <c r="N8" s="115" t="n"/>
      <c r="O8" s="115" t="n"/>
      <c r="P8" s="115" t="n"/>
      <c r="Q8" s="115" t="n"/>
      <c r="R8" s="115" t="n"/>
      <c r="S8" s="115" t="n"/>
      <c r="T8" s="65" t="inlineStr">
        <is>
          <t>Unreviewed source extract</t>
        </is>
      </c>
      <c r="U8" s="65" t="inlineStr">
        <is>
          <t>assumptions/2026/timeseries/fuel_sales_department.csv</t>
        </is>
      </c>
      <c r="V8" s="65" t="inlineStr">
        <is>
          <t>Manish: reconcile scope and revisions before adoption.</t>
        </is>
      </c>
    </row>
    <row r="9" ht="30" customHeight="1">
      <c r="A9" s="65" t="inlineStr">
        <is>
          <t>sales_jet</t>
        </is>
      </c>
      <c r="B9" s="65" t="inlineStr">
        <is>
          <t>million L/year</t>
        </is>
      </c>
      <c r="C9" s="65" t="inlineStr">
        <is>
          <t>Source observation</t>
        </is>
      </c>
      <c r="D9" s="114" t="n"/>
      <c r="E9" s="114" t="inlineStr">
        <is>
          <t>FIASA staged reported sales; latest edition selected by existing… [N212]</t>
        </is>
      </c>
      <c r="F9" s="115" t="n">
        <v>1478</v>
      </c>
      <c r="G9" s="115" t="n">
        <v>1844</v>
      </c>
      <c r="H9" s="115" t="n">
        <v>1955</v>
      </c>
      <c r="I9" s="115" t="n"/>
      <c r="J9" s="115" t="n"/>
      <c r="K9" s="115" t="n"/>
      <c r="L9" s="115" t="n"/>
      <c r="M9" s="115" t="n"/>
      <c r="N9" s="115" t="n"/>
      <c r="O9" s="115" t="n"/>
      <c r="P9" s="115" t="n"/>
      <c r="Q9" s="115" t="n"/>
      <c r="R9" s="115" t="n"/>
      <c r="S9" s="115" t="n"/>
      <c r="T9" s="65" t="inlineStr">
        <is>
          <t>Unreviewed source extract</t>
        </is>
      </c>
      <c r="U9" s="65" t="inlineStr">
        <is>
          <t>assumptions/2026/timeseries/fuel_sales_fiasa.csv</t>
        </is>
      </c>
      <c r="V9" s="65" t="inlineStr">
        <is>
          <t>Manish: reconcile scope and revisions before adoption.</t>
        </is>
      </c>
    </row>
    <row r="10" ht="30" customHeight="1">
      <c r="A10" s="65" t="inlineStr">
        <is>
          <t>dept_jet</t>
        </is>
      </c>
      <c r="B10" s="65" t="inlineStr">
        <is>
          <t>million L/year</t>
        </is>
      </c>
      <c r="C10" s="65" t="inlineStr">
        <is>
          <t>Source observation</t>
        </is>
      </c>
      <c r="D10" s="114" t="n"/>
      <c r="E10" s="114" t="inlineStr">
        <is>
          <t>Department sales with four reported quarters. Preserve… [N213]</t>
        </is>
      </c>
      <c r="F10" s="115" t="n">
        <v>1478.149852603</v>
      </c>
      <c r="G10" s="115" t="n">
        <v>1843.971762465</v>
      </c>
      <c r="H10" s="115" t="n"/>
      <c r="I10" s="115" t="n"/>
      <c r="J10" s="115" t="n"/>
      <c r="K10" s="115" t="n"/>
      <c r="L10" s="115" t="n"/>
      <c r="M10" s="115" t="n"/>
      <c r="N10" s="115" t="n"/>
      <c r="O10" s="115" t="n"/>
      <c r="P10" s="115" t="n"/>
      <c r="Q10" s="115" t="n"/>
      <c r="R10" s="115" t="n"/>
      <c r="S10" s="115" t="n"/>
      <c r="T10" s="65" t="inlineStr">
        <is>
          <t>Unreviewed source extract</t>
        </is>
      </c>
      <c r="U10" s="65" t="inlineStr">
        <is>
          <t>assumptions/2026/timeseries/fuel_sales_department.csv</t>
        </is>
      </c>
      <c r="V10" s="65" t="inlineStr">
        <is>
          <t>Manish: reconcile scope and revisions before adoption.</t>
        </is>
      </c>
    </row>
    <row r="11" ht="30" customHeight="1">
      <c r="A11" s="65" t="inlineStr">
        <is>
          <t>sales_fuel_oil</t>
        </is>
      </c>
      <c r="B11" s="65" t="inlineStr">
        <is>
          <t>million L/year</t>
        </is>
      </c>
      <c r="C11" s="65" t="inlineStr">
        <is>
          <t>Source observation</t>
        </is>
      </c>
      <c r="D11" s="114" t="n"/>
      <c r="E11" s="114" t="inlineStr">
        <is>
          <t>FIASA staged reported sales; latest edition selected by existing… [N214]</t>
        </is>
      </c>
      <c r="F11" s="115" t="n">
        <v>594</v>
      </c>
      <c r="G11" s="115" t="n">
        <v>658</v>
      </c>
      <c r="H11" s="115" t="n">
        <v>441</v>
      </c>
      <c r="I11" s="115" t="n"/>
      <c r="J11" s="115" t="n"/>
      <c r="K11" s="115" t="n"/>
      <c r="L11" s="115" t="n"/>
      <c r="M11" s="115" t="n"/>
      <c r="N11" s="115" t="n"/>
      <c r="O11" s="115" t="n"/>
      <c r="P11" s="115" t="n"/>
      <c r="Q11" s="115" t="n"/>
      <c r="R11" s="115" t="n"/>
      <c r="S11" s="115" t="n"/>
      <c r="T11" s="65" t="inlineStr">
        <is>
          <t>Unreviewed source extract</t>
        </is>
      </c>
      <c r="U11" s="65" t="inlineStr">
        <is>
          <t>assumptions/2026/timeseries/fuel_sales_fiasa.csv</t>
        </is>
      </c>
      <c r="V11" s="65" t="inlineStr">
        <is>
          <t>Manish: reconcile scope and revisions before adoption.</t>
        </is>
      </c>
    </row>
    <row r="12" ht="30" customHeight="1">
      <c r="A12" s="65" t="inlineStr">
        <is>
          <t>dept_fuel_oil</t>
        </is>
      </c>
      <c r="B12" s="65" t="inlineStr">
        <is>
          <t>million L/year</t>
        </is>
      </c>
      <c r="C12" s="65" t="inlineStr">
        <is>
          <t>Source observation</t>
        </is>
      </c>
      <c r="D12" s="114" t="n"/>
      <c r="E12" s="114" t="inlineStr">
        <is>
          <t>Department sales with four reported quarters. Preserve… [N215]</t>
        </is>
      </c>
      <c r="F12" s="115" t="n">
        <v>594.0401649620001</v>
      </c>
      <c r="G12" s="115" t="n">
        <v>658.0930416160001</v>
      </c>
      <c r="H12" s="115" t="n"/>
      <c r="I12" s="115" t="n"/>
      <c r="J12" s="115" t="n"/>
      <c r="K12" s="115" t="n"/>
      <c r="L12" s="115" t="n"/>
      <c r="M12" s="115" t="n"/>
      <c r="N12" s="115" t="n"/>
      <c r="O12" s="115" t="n"/>
      <c r="P12" s="115" t="n"/>
      <c r="Q12" s="115" t="n"/>
      <c r="R12" s="115" t="n"/>
      <c r="S12" s="115" t="n"/>
      <c r="T12" s="65" t="inlineStr">
        <is>
          <t>Unreviewed source extract</t>
        </is>
      </c>
      <c r="U12" s="65" t="inlineStr">
        <is>
          <t>assumptions/2026/timeseries/fuel_sales_department.csv</t>
        </is>
      </c>
      <c r="V12" s="65" t="inlineStr">
        <is>
          <t>Manish: reconcile scope and revisions before adoption.</t>
        </is>
      </c>
    </row>
    <row r="13" ht="30" customHeight="1">
      <c r="A13" s="65" t="inlineStr">
        <is>
          <t>sales_vehicles_cars</t>
        </is>
      </c>
      <c r="B13" s="65" t="inlineStr">
        <is>
          <t>vehicles/year</t>
        </is>
      </c>
      <c r="C13" s="65" t="inlineStr">
        <is>
          <t>Source observation</t>
        </is>
      </c>
      <c r="D13" s="114" t="n"/>
      <c r="E13" s="114" t="inlineStr">
        <is>
          <t>NAAMSA actual new sales. Published 2026/27 projections excluded… [N216]</t>
        </is>
      </c>
      <c r="F13" s="115" t="n">
        <v>363681</v>
      </c>
      <c r="G13" s="115" t="n">
        <v>347377</v>
      </c>
      <c r="H13" s="115" t="n">
        <v>351553</v>
      </c>
      <c r="I13" s="115" t="n">
        <v>422463</v>
      </c>
      <c r="J13" s="115" t="n"/>
      <c r="K13" s="115" t="n"/>
      <c r="L13" s="115" t="n"/>
      <c r="M13" s="115" t="n"/>
      <c r="N13" s="115" t="n"/>
      <c r="O13" s="115" t="n"/>
      <c r="P13" s="115" t="n"/>
      <c r="Q13" s="115" t="n"/>
      <c r="R13" s="115" t="n"/>
      <c r="S13" s="115" t="n"/>
      <c r="T13" s="65" t="inlineStr">
        <is>
          <t>Unreviewed source extract</t>
        </is>
      </c>
      <c r="U13" s="65" t="inlineStr">
        <is>
          <t>assumptions/2026/timeseries/new_vehicle_market_naamsa.csv</t>
        </is>
      </c>
      <c r="V13" s="65" t="inlineStr">
        <is>
          <t>Manish: reconcile scope and revisions before adoption.</t>
        </is>
      </c>
    </row>
    <row r="14" ht="30" customHeight="1">
      <c r="A14" s="65" t="inlineStr">
        <is>
          <t>sales_vehicles_light_commercial</t>
        </is>
      </c>
      <c r="B14" s="65" t="inlineStr">
        <is>
          <t>vehicles/year</t>
        </is>
      </c>
      <c r="C14" s="65" t="inlineStr">
        <is>
          <t>Source observation</t>
        </is>
      </c>
      <c r="D14" s="114" t="n"/>
      <c r="E14" s="114" t="inlineStr">
        <is>
          <t>NAAMSA actual new sales. Published 2026/27 projections excluded… [N217]</t>
        </is>
      </c>
      <c r="F14" s="115" t="n">
        <v>135711</v>
      </c>
      <c r="G14" s="115" t="n">
        <v>151490</v>
      </c>
      <c r="H14" s="115" t="n">
        <v>133375</v>
      </c>
      <c r="I14" s="115" t="n">
        <v>143964</v>
      </c>
      <c r="J14" s="115" t="n"/>
      <c r="K14" s="115" t="n"/>
      <c r="L14" s="115" t="n"/>
      <c r="M14" s="115" t="n"/>
      <c r="N14" s="115" t="n"/>
      <c r="O14" s="115" t="n"/>
      <c r="P14" s="115" t="n"/>
      <c r="Q14" s="115" t="n"/>
      <c r="R14" s="115" t="n"/>
      <c r="S14" s="115" t="n"/>
      <c r="T14" s="65" t="inlineStr">
        <is>
          <t>Unreviewed source extract</t>
        </is>
      </c>
      <c r="U14" s="65" t="inlineStr">
        <is>
          <t>assumptions/2026/timeseries/new_vehicle_market_naamsa.csv</t>
        </is>
      </c>
      <c r="V14" s="65" t="inlineStr">
        <is>
          <t>Manish: reconcile scope and revisions before adoption.</t>
        </is>
      </c>
    </row>
    <row r="15" ht="30" customHeight="1">
      <c r="A15" s="65" t="inlineStr">
        <is>
          <t>sales_vehicles_medium_heavy_commercial</t>
        </is>
      </c>
      <c r="B15" s="65" t="inlineStr">
        <is>
          <t>vehicles/year</t>
        </is>
      </c>
      <c r="C15" s="65" t="inlineStr">
        <is>
          <t>Source observation</t>
        </is>
      </c>
      <c r="D15" s="114" t="n"/>
      <c r="E15" s="114" t="inlineStr">
        <is>
          <t>NAAMSA actual new sales. Published 2026/27 projections excluded… [N218]</t>
        </is>
      </c>
      <c r="F15" s="115" t="n">
        <v>29942</v>
      </c>
      <c r="G15" s="115" t="n">
        <v>32690</v>
      </c>
      <c r="H15" s="115" t="n">
        <v>31175</v>
      </c>
      <c r="I15" s="115" t="n">
        <v>30911</v>
      </c>
      <c r="J15" s="115" t="n"/>
      <c r="K15" s="115" t="n"/>
      <c r="L15" s="115" t="n"/>
      <c r="M15" s="115" t="n"/>
      <c r="N15" s="115" t="n"/>
      <c r="O15" s="115" t="n"/>
      <c r="P15" s="115" t="n"/>
      <c r="Q15" s="115" t="n"/>
      <c r="R15" s="115" t="n"/>
      <c r="S15" s="115" t="n"/>
      <c r="T15" s="65" t="inlineStr">
        <is>
          <t>Unreviewed source extract</t>
        </is>
      </c>
      <c r="U15" s="65" t="inlineStr">
        <is>
          <t>assumptions/2026/timeseries/new_vehicle_market_naamsa.csv</t>
        </is>
      </c>
      <c r="V15" s="65" t="inlineStr">
        <is>
          <t>Manish: reconcile scope and revisions before adoption.</t>
        </is>
      </c>
    </row>
    <row r="16" ht="30" customHeight="1">
      <c r="A16" s="65" t="inlineStr">
        <is>
          <t>sales_vehicles_total</t>
        </is>
      </c>
      <c r="B16" s="65" t="inlineStr">
        <is>
          <t>vehicles/year</t>
        </is>
      </c>
      <c r="C16" s="65" t="inlineStr">
        <is>
          <t>Source observation</t>
        </is>
      </c>
      <c r="D16" s="114" t="n"/>
      <c r="E16" s="114" t="inlineStr">
        <is>
          <t>NAAMSA actual new sales. Published 2026/27 projections excluded… [N219]</t>
        </is>
      </c>
      <c r="F16" s="115" t="n">
        <v>529335</v>
      </c>
      <c r="G16" s="115" t="n">
        <v>531557</v>
      </c>
      <c r="H16" s="115" t="n">
        <v>516103</v>
      </c>
      <c r="I16" s="115" t="n">
        <v>597338</v>
      </c>
      <c r="J16" s="115" t="n"/>
      <c r="K16" s="115" t="n"/>
      <c r="L16" s="115" t="n"/>
      <c r="M16" s="115" t="n"/>
      <c r="N16" s="115" t="n"/>
      <c r="O16" s="115" t="n"/>
      <c r="P16" s="115" t="n"/>
      <c r="Q16" s="115" t="n"/>
      <c r="R16" s="115" t="n"/>
      <c r="S16" s="115" t="n"/>
      <c r="T16" s="65" t="inlineStr">
        <is>
          <t>Unreviewed source extract</t>
        </is>
      </c>
      <c r="U16" s="65" t="inlineStr">
        <is>
          <t>assumptions/2026/timeseries/new_vehicle_market_naamsa.csv</t>
        </is>
      </c>
      <c r="V16" s="65" t="inlineStr">
        <is>
          <t>Manish: reconcile scope and revisions before adoption.</t>
        </is>
      </c>
    </row>
    <row r="17" ht="30" customHeight="1">
      <c r="A17" s="65" t="inlineStr">
        <is>
          <t>nev_battery_electric</t>
        </is>
      </c>
      <c r="B17" s="65" t="inlineStr">
        <is>
          <t>vehicles/year</t>
        </is>
      </c>
      <c r="C17" s="65" t="inlineStr">
        <is>
          <t>Source observation</t>
        </is>
      </c>
      <c r="D17" s="114" t="n"/>
      <c r="E17" s="114" t="inlineStr">
        <is>
          <t>All-market drivetrain sales; passenger/truck split is not… [N220]</t>
        </is>
      </c>
      <c r="F17" s="115" t="n">
        <v>502</v>
      </c>
      <c r="G17" s="115" t="n">
        <v>929</v>
      </c>
      <c r="H17" s="115" t="n">
        <v>1257</v>
      </c>
      <c r="I17" s="115" t="n">
        <v>1088</v>
      </c>
      <c r="J17" s="115" t="n"/>
      <c r="K17" s="115" t="n"/>
      <c r="L17" s="115" t="n"/>
      <c r="M17" s="115" t="n"/>
      <c r="N17" s="115" t="n"/>
      <c r="O17" s="115" t="n"/>
      <c r="P17" s="115" t="n"/>
      <c r="Q17" s="115" t="n"/>
      <c r="R17" s="115" t="n"/>
      <c r="S17" s="115" t="n"/>
      <c r="T17" s="65" t="inlineStr">
        <is>
          <t>Unreviewed source extract</t>
        </is>
      </c>
      <c r="U17" s="65" t="inlineStr">
        <is>
          <t>assumptions/2026/timeseries/nev_sales_naamsa.csv</t>
        </is>
      </c>
      <c r="V17" s="65" t="inlineStr">
        <is>
          <t>Manish: reconcile scope and revisions before adoption.</t>
        </is>
      </c>
    </row>
    <row r="18" ht="30" customHeight="1">
      <c r="A18" s="65" t="inlineStr">
        <is>
          <t>nev_plug_in_hybrid</t>
        </is>
      </c>
      <c r="B18" s="65" t="inlineStr">
        <is>
          <t>vehicles/year</t>
        </is>
      </c>
      <c r="C18" s="65" t="inlineStr">
        <is>
          <t>Source observation</t>
        </is>
      </c>
      <c r="D18" s="114" t="n"/>
      <c r="E18" s="114" t="inlineStr">
        <is>
          <t>All-market drivetrain sales; passenger/truck split is not… [N221]</t>
        </is>
      </c>
      <c r="F18" s="115" t="n">
        <v>122</v>
      </c>
      <c r="G18" s="115" t="n">
        <v>368</v>
      </c>
      <c r="H18" s="115" t="n">
        <v>738</v>
      </c>
      <c r="I18" s="115" t="n">
        <v>2810</v>
      </c>
      <c r="J18" s="115" t="n"/>
      <c r="K18" s="115" t="n"/>
      <c r="L18" s="115" t="n"/>
      <c r="M18" s="115" t="n"/>
      <c r="N18" s="115" t="n"/>
      <c r="O18" s="115" t="n"/>
      <c r="P18" s="115" t="n"/>
      <c r="Q18" s="115" t="n"/>
      <c r="R18" s="115" t="n"/>
      <c r="S18" s="115" t="n"/>
      <c r="T18" s="65" t="inlineStr">
        <is>
          <t>Unreviewed source extract</t>
        </is>
      </c>
      <c r="U18" s="65" t="inlineStr">
        <is>
          <t>assumptions/2026/timeseries/nev_sales_naamsa.csv</t>
        </is>
      </c>
      <c r="V18" s="65" t="inlineStr">
        <is>
          <t>Manish: reconcile scope and revisions before adoption.</t>
        </is>
      </c>
    </row>
    <row r="19" ht="30" customHeight="1">
      <c r="A19" s="65" t="inlineStr">
        <is>
          <t>nev_traditional_hybrid</t>
        </is>
      </c>
      <c r="B19" s="65" t="inlineStr">
        <is>
          <t>vehicles/year</t>
        </is>
      </c>
      <c r="C19" s="65" t="inlineStr">
        <is>
          <t>Source observation</t>
        </is>
      </c>
      <c r="D19" s="114" t="n"/>
      <c r="E19" s="114" t="inlineStr">
        <is>
          <t>All-market drivetrain sales; passenger/truck split is not… [N222]</t>
        </is>
      </c>
      <c r="F19" s="115" t="n">
        <v>4070</v>
      </c>
      <c r="G19" s="115" t="n">
        <v>6485</v>
      </c>
      <c r="H19" s="115" t="n">
        <v>13616</v>
      </c>
      <c r="I19" s="115" t="n">
        <v>12818</v>
      </c>
      <c r="J19" s="115" t="n"/>
      <c r="K19" s="115" t="n"/>
      <c r="L19" s="115" t="n"/>
      <c r="M19" s="115" t="n"/>
      <c r="N19" s="115" t="n"/>
      <c r="O19" s="115" t="n"/>
      <c r="P19" s="115" t="n"/>
      <c r="Q19" s="115" t="n"/>
      <c r="R19" s="115" t="n"/>
      <c r="S19" s="115" t="n"/>
      <c r="T19" s="65" t="inlineStr">
        <is>
          <t>Unreviewed source extract</t>
        </is>
      </c>
      <c r="U19" s="65" t="inlineStr">
        <is>
          <t>assumptions/2026/timeseries/nev_sales_naamsa.csv</t>
        </is>
      </c>
      <c r="V19" s="65" t="inlineStr">
        <is>
          <t>Manish: reconcile scope and revisions before adoption.</t>
        </is>
      </c>
    </row>
    <row r="20" ht="30" customHeight="1">
      <c r="A20" s="65" t="inlineStr">
        <is>
          <t>stock_cars</t>
        </is>
      </c>
      <c r="B20" s="65" t="inlineStr">
        <is>
          <t>vehicles</t>
        </is>
      </c>
      <c r="C20" s="65" t="inlineStr">
        <is>
          <t>Source observation</t>
        </is>
      </c>
      <c r="D20" s="114" t="n">
        <v>8340592</v>
      </c>
      <c r="E20" s="114" t="inlineStr">
        <is>
          <t>eNaTIS December snapshots; latest June 2026 kept separately. No… [N223]</t>
        </is>
      </c>
      <c r="F20" s="115" t="n">
        <v>7685153</v>
      </c>
      <c r="G20" s="115" t="n">
        <v>7794164</v>
      </c>
      <c r="H20" s="115" t="n">
        <v>7949275</v>
      </c>
      <c r="I20" s="115" t="n">
        <v>8184111</v>
      </c>
      <c r="J20" s="115" t="n"/>
      <c r="K20" s="115" t="n"/>
      <c r="L20" s="115" t="n"/>
      <c r="M20" s="115" t="n"/>
      <c r="N20" s="115" t="n"/>
      <c r="O20" s="115" t="n"/>
      <c r="P20" s="115" t="n"/>
      <c r="Q20" s="115" t="n"/>
      <c r="R20" s="115" t="n"/>
      <c r="S20" s="115" t="n"/>
      <c r="T20" s="65" t="inlineStr">
        <is>
          <t>Unreviewed source extract</t>
        </is>
      </c>
      <c r="U20" s="65" t="inlineStr">
        <is>
          <t>assumptions/2026/timeseries/vehicle_population_natis.csv</t>
        </is>
      </c>
      <c r="V20" s="65" t="inlineStr">
        <is>
          <t>Manish: reconcile scope and revisions before adoption.</t>
        </is>
      </c>
    </row>
    <row r="21" ht="30" customHeight="1">
      <c r="A21" s="65" t="inlineStr">
        <is>
          <t>stock_light_commercial</t>
        </is>
      </c>
      <c r="B21" s="65" t="inlineStr">
        <is>
          <t>vehicles</t>
        </is>
      </c>
      <c r="C21" s="65" t="inlineStr">
        <is>
          <t>Source observation</t>
        </is>
      </c>
      <c r="D21" s="114" t="n">
        <v>2816547</v>
      </c>
      <c r="E21" s="114" t="inlineStr">
        <is>
          <t>eNaTIS December snapshots; latest June 2026 kept separately. No… [N224]</t>
        </is>
      </c>
      <c r="F21" s="115" t="n">
        <v>2658416</v>
      </c>
      <c r="G21" s="115" t="n">
        <v>2689310</v>
      </c>
      <c r="H21" s="115" t="n">
        <v>2725606</v>
      </c>
      <c r="I21" s="115" t="n">
        <v>2776258</v>
      </c>
      <c r="J21" s="115" t="n"/>
      <c r="K21" s="115" t="n"/>
      <c r="L21" s="115" t="n"/>
      <c r="M21" s="115" t="n"/>
      <c r="N21" s="115" t="n"/>
      <c r="O21" s="115" t="n"/>
      <c r="P21" s="115" t="n"/>
      <c r="Q21" s="115" t="n"/>
      <c r="R21" s="115" t="n"/>
      <c r="S21" s="115" t="n"/>
      <c r="T21" s="65" t="inlineStr">
        <is>
          <t>Unreviewed source extract</t>
        </is>
      </c>
      <c r="U21" s="65" t="inlineStr">
        <is>
          <t>assumptions/2026/timeseries/vehicle_population_natis.csv</t>
        </is>
      </c>
      <c r="V21" s="65" t="inlineStr">
        <is>
          <t>Manish: reconcile scope and revisions before adoption.</t>
        </is>
      </c>
    </row>
    <row r="22" ht="30" customHeight="1">
      <c r="A22" s="65" t="inlineStr">
        <is>
          <t>stock_trucks</t>
        </is>
      </c>
      <c r="B22" s="65" t="inlineStr">
        <is>
          <t>vehicles</t>
        </is>
      </c>
      <c r="C22" s="65" t="inlineStr">
        <is>
          <t>Source observation</t>
        </is>
      </c>
      <c r="D22" s="114" t="n">
        <v>409049</v>
      </c>
      <c r="E22" s="114" t="inlineStr">
        <is>
          <t>eNaTIS December snapshots; latest June 2026 kept separately. No… [N225]</t>
        </is>
      </c>
      <c r="F22" s="115" t="n">
        <v>385845</v>
      </c>
      <c r="G22" s="115" t="n">
        <v>392349</v>
      </c>
      <c r="H22" s="115" t="n">
        <v>398542</v>
      </c>
      <c r="I22" s="115" t="n">
        <v>404752</v>
      </c>
      <c r="J22" s="115" t="n"/>
      <c r="K22" s="115" t="n"/>
      <c r="L22" s="115" t="n"/>
      <c r="M22" s="115" t="n"/>
      <c r="N22" s="115" t="n"/>
      <c r="O22" s="115" t="n"/>
      <c r="P22" s="115" t="n"/>
      <c r="Q22" s="115" t="n"/>
      <c r="R22" s="115" t="n"/>
      <c r="S22" s="115" t="n"/>
      <c r="T22" s="65" t="inlineStr">
        <is>
          <t>Unreviewed source extract</t>
        </is>
      </c>
      <c r="U22" s="65" t="inlineStr">
        <is>
          <t>assumptions/2026/timeseries/vehicle_population_natis.csv</t>
        </is>
      </c>
      <c r="V22" s="65" t="inlineStr">
        <is>
          <t>Manish: reconcile scope and revisions before adoption.</t>
        </is>
      </c>
    </row>
    <row r="23" ht="30" customHeight="1">
      <c r="A23" s="65" t="inlineStr">
        <is>
          <t>stock_buses</t>
        </is>
      </c>
      <c r="B23" s="65" t="inlineStr">
        <is>
          <t>vehicles</t>
        </is>
      </c>
      <c r="C23" s="65" t="inlineStr">
        <is>
          <t>Source observation</t>
        </is>
      </c>
      <c r="D23" s="114" t="n">
        <v>66872</v>
      </c>
      <c r="E23" s="114" t="inlineStr">
        <is>
          <t>eNaTIS December snapshots; latest June 2026 kept separately. No… [N226]</t>
        </is>
      </c>
      <c r="F23" s="115" t="n">
        <v>64170</v>
      </c>
      <c r="G23" s="115" t="n">
        <v>64982</v>
      </c>
      <c r="H23" s="115" t="n">
        <v>65792</v>
      </c>
      <c r="I23" s="115" t="n">
        <v>66249</v>
      </c>
      <c r="J23" s="115" t="n"/>
      <c r="K23" s="115" t="n"/>
      <c r="L23" s="115" t="n"/>
      <c r="M23" s="115" t="n"/>
      <c r="N23" s="115" t="n"/>
      <c r="O23" s="115" t="n"/>
      <c r="P23" s="115" t="n"/>
      <c r="Q23" s="115" t="n"/>
      <c r="R23" s="115" t="n"/>
      <c r="S23" s="115" t="n"/>
      <c r="T23" s="65" t="inlineStr">
        <is>
          <t>Unreviewed source extract</t>
        </is>
      </c>
      <c r="U23" s="65" t="inlineStr">
        <is>
          <t>assumptions/2026/timeseries/vehicle_population_natis.csv</t>
        </is>
      </c>
      <c r="V23" s="65" t="inlineStr">
        <is>
          <t>Manish: reconcile scope and revisions before adoption.</t>
        </is>
      </c>
    </row>
    <row r="24" ht="30" customHeight="1">
      <c r="A24" s="65" t="inlineStr">
        <is>
          <t>stock_minibuses</t>
        </is>
      </c>
      <c r="B24" s="65" t="inlineStr">
        <is>
          <t>vehicles</t>
        </is>
      </c>
      <c r="C24" s="65" t="inlineStr">
        <is>
          <t>Source observation</t>
        </is>
      </c>
      <c r="D24" s="114" t="n">
        <v>356997</v>
      </c>
      <c r="E24" s="114" t="inlineStr">
        <is>
          <t>eNaTIS December snapshots; latest June 2026 kept separately. No… [N227]</t>
        </is>
      </c>
      <c r="F24" s="115" t="n">
        <v>349335</v>
      </c>
      <c r="G24" s="115" t="n">
        <v>355235</v>
      </c>
      <c r="H24" s="115" t="n">
        <v>355139</v>
      </c>
      <c r="I24" s="115" t="n">
        <v>355145</v>
      </c>
      <c r="J24" s="115" t="n"/>
      <c r="K24" s="115" t="n"/>
      <c r="L24" s="115" t="n"/>
      <c r="M24" s="115" t="n"/>
      <c r="N24" s="115" t="n"/>
      <c r="O24" s="115" t="n"/>
      <c r="P24" s="115" t="n"/>
      <c r="Q24" s="115" t="n"/>
      <c r="R24" s="115" t="n"/>
      <c r="S24" s="115" t="n"/>
      <c r="T24" s="65" t="inlineStr">
        <is>
          <t>Unreviewed source extract</t>
        </is>
      </c>
      <c r="U24" s="65" t="inlineStr">
        <is>
          <t>assumptions/2026/timeseries/vehicle_population_natis.csv</t>
        </is>
      </c>
      <c r="V24" s="65" t="inlineStr">
        <is>
          <t>Manish: reconcile scope and revisions before adoption.</t>
        </is>
      </c>
    </row>
    <row r="25" ht="30" customHeight="1">
      <c r="A25" s="65" t="inlineStr">
        <is>
          <t>macro_gdp_per_capita</t>
        </is>
      </c>
      <c r="B25" s="65" t="inlineStr">
        <is>
          <t>2015 ZAR/person</t>
        </is>
      </c>
      <c r="C25" s="65" t="inlineStr">
        <is>
          <t>Source observation</t>
        </is>
      </c>
      <c r="D25" s="114" t="n"/>
      <c r="E25" s="114" t="inlineStr">
        <is>
          <t>Stats SA annual actual in staged reporting copy. Sector value… [N228]</t>
        </is>
      </c>
      <c r="F25" s="115" t="n">
        <v>76055.06748983047</v>
      </c>
      <c r="G25" s="115" t="n">
        <v>75781.52071231291</v>
      </c>
      <c r="H25" s="115" t="n">
        <v>75255.62912098455</v>
      </c>
      <c r="I25" s="115" t="n">
        <v>75149.98563223911</v>
      </c>
      <c r="J25" s="115" t="n"/>
      <c r="K25" s="115" t="n"/>
      <c r="L25" s="115" t="n"/>
      <c r="M25" s="115" t="n"/>
      <c r="N25" s="115" t="n"/>
      <c r="O25" s="115" t="n"/>
      <c r="P25" s="115" t="n"/>
      <c r="Q25" s="115" t="n"/>
      <c r="R25" s="115" t="n"/>
      <c r="S25" s="115" t="n"/>
      <c r="T25" s="65" t="inlineStr">
        <is>
          <t>Unreviewed source extract</t>
        </is>
      </c>
      <c r="U25" s="65" t="inlineStr">
        <is>
          <t>pptx/story/evidence_2026_10_06/macro_statssa.csv</t>
        </is>
      </c>
      <c r="V25" s="65" t="inlineStr">
        <is>
          <t>Manish: reconcile scope and revisions before adoption.</t>
        </is>
      </c>
    </row>
    <row r="26" ht="30" customHeight="1">
      <c r="A26" s="65" t="inlineStr">
        <is>
          <t>macro_agriculture_forestry_and_fishing</t>
        </is>
      </c>
      <c r="B26" s="65" t="inlineStr">
        <is>
          <t>bn 2015 ZAR</t>
        </is>
      </c>
      <c r="C26" s="65" t="inlineStr">
        <is>
          <t>Source observation</t>
        </is>
      </c>
      <c r="D26" s="114" t="n"/>
      <c r="E26" s="114" t="inlineStr">
        <is>
          <t>Stats SA annual actual in staged reporting copy. Sector value… [N229]</t>
        </is>
      </c>
      <c r="F26" s="115" t="n">
        <v>131.7706421450265</v>
      </c>
      <c r="G26" s="115" t="n">
        <v>125.7466421450265</v>
      </c>
      <c r="H26" s="115" t="n">
        <v>114.7916421450265</v>
      </c>
      <c r="I26" s="115" t="n">
        <v>134.7967469817132</v>
      </c>
      <c r="J26" s="115" t="n"/>
      <c r="K26" s="115" t="n"/>
      <c r="L26" s="115" t="n"/>
      <c r="M26" s="115" t="n"/>
      <c r="N26" s="115" t="n"/>
      <c r="O26" s="115" t="n"/>
      <c r="P26" s="115" t="n"/>
      <c r="Q26" s="115" t="n"/>
      <c r="R26" s="115" t="n"/>
      <c r="S26" s="115" t="n"/>
      <c r="T26" s="65" t="inlineStr">
        <is>
          <t>Unreviewed source extract</t>
        </is>
      </c>
      <c r="U26" s="65" t="inlineStr">
        <is>
          <t>pptx/story/evidence_2026_10_06/macro_statssa.csv</t>
        </is>
      </c>
      <c r="V26" s="65" t="inlineStr">
        <is>
          <t>Manish: reconcile scope and revisions before adoption.</t>
        </is>
      </c>
    </row>
    <row r="27" ht="30" customHeight="1">
      <c r="A27" s="65" t="inlineStr">
        <is>
          <t>macro_manufacturing</t>
        </is>
      </c>
      <c r="B27" s="65" t="inlineStr">
        <is>
          <t>bn 2015 ZAR</t>
        </is>
      </c>
      <c r="C27" s="65" t="inlineStr">
        <is>
          <t>Source observation</t>
        </is>
      </c>
      <c r="D27" s="114" t="n"/>
      <c r="E27" s="114" t="inlineStr">
        <is>
          <t>Stats SA annual actual in staged reporting copy. Sector value… [N230]</t>
        </is>
      </c>
      <c r="F27" s="115" t="n">
        <v>523.0907540648606</v>
      </c>
      <c r="G27" s="115" t="n">
        <v>524.9937540648609</v>
      </c>
      <c r="H27" s="115" t="n">
        <v>523.150754064861</v>
      </c>
      <c r="I27" s="115" t="n">
        <v>516.9856529750193</v>
      </c>
      <c r="J27" s="115" t="n"/>
      <c r="K27" s="115" t="n"/>
      <c r="L27" s="115" t="n"/>
      <c r="M27" s="115" t="n"/>
      <c r="N27" s="115" t="n"/>
      <c r="O27" s="115" t="n"/>
      <c r="P27" s="115" t="n"/>
      <c r="Q27" s="115" t="n"/>
      <c r="R27" s="115" t="n"/>
      <c r="S27" s="115" t="n"/>
      <c r="T27" s="65" t="inlineStr">
        <is>
          <t>Unreviewed source extract</t>
        </is>
      </c>
      <c r="U27" s="65" t="inlineStr">
        <is>
          <t>pptx/story/evidence_2026_10_06/macro_statssa.csv</t>
        </is>
      </c>
      <c r="V27" s="65" t="inlineStr">
        <is>
          <t>Manish: reconcile scope and revisions before adoption.</t>
        </is>
      </c>
    </row>
    <row r="28" ht="30" customHeight="1">
      <c r="A28" s="65" t="inlineStr">
        <is>
          <t>macro_mining_and_quarrying</t>
        </is>
      </c>
      <c r="B28" s="65" t="inlineStr">
        <is>
          <t>bn 2015 ZAR</t>
        </is>
      </c>
      <c r="C28" s="65" t="inlineStr">
        <is>
          <t>Source observation</t>
        </is>
      </c>
      <c r="D28" s="114" t="n"/>
      <c r="E28" s="114" t="inlineStr">
        <is>
          <t>Stats SA annual actual in staged reporting copy. Sector value… [N231]</t>
        </is>
      </c>
      <c r="F28" s="115" t="n">
        <v>204.4529227196744</v>
      </c>
      <c r="G28" s="115" t="n">
        <v>204.2286999662737</v>
      </c>
      <c r="H28" s="115" t="n">
        <v>205.1258295918731</v>
      </c>
      <c r="I28" s="115" t="n">
        <v>205.4648860142573</v>
      </c>
      <c r="J28" s="115" t="n"/>
      <c r="K28" s="115" t="n"/>
      <c r="L28" s="115" t="n"/>
      <c r="M28" s="115" t="n"/>
      <c r="N28" s="115" t="n"/>
      <c r="O28" s="115" t="n"/>
      <c r="P28" s="115" t="n"/>
      <c r="Q28" s="115" t="n"/>
      <c r="R28" s="115" t="n"/>
      <c r="S28" s="115" t="n"/>
      <c r="T28" s="65" t="inlineStr">
        <is>
          <t>Unreviewed source extract</t>
        </is>
      </c>
      <c r="U28" s="65" t="inlineStr">
        <is>
          <t>pptx/story/evidence_2026_10_06/macro_statssa.csv</t>
        </is>
      </c>
      <c r="V28" s="65" t="inlineStr">
        <is>
          <t>Manish: reconcile scope and revisions before adoption.</t>
        </is>
      </c>
    </row>
    <row r="29" ht="30" customHeight="1">
      <c r="A29" s="65" t="inlineStr">
        <is>
          <t>macro_construction</t>
        </is>
      </c>
      <c r="B29" s="65" t="inlineStr">
        <is>
          <t>bn 2015 ZAR</t>
        </is>
      </c>
      <c r="C29" s="65" t="inlineStr">
        <is>
          <t>Source observation</t>
        </is>
      </c>
      <c r="D29" s="114" t="n"/>
      <c r="E29" s="114" t="inlineStr">
        <is>
          <t>Stats SA annual actual in staged reporting copy. Sector value… [N232]</t>
        </is>
      </c>
      <c r="F29" s="115" t="n">
        <v>110.0650907489087</v>
      </c>
      <c r="G29" s="115" t="n">
        <v>109.5650907489087</v>
      </c>
      <c r="H29" s="115" t="n">
        <v>103.6250907489087</v>
      </c>
      <c r="I29" s="115" t="n">
        <v>99.09852067977131</v>
      </c>
      <c r="J29" s="115" t="n"/>
      <c r="K29" s="115" t="n"/>
      <c r="L29" s="115" t="n"/>
      <c r="M29" s="115" t="n"/>
      <c r="N29" s="115" t="n"/>
      <c r="O29" s="115" t="n"/>
      <c r="P29" s="115" t="n"/>
      <c r="Q29" s="115" t="n"/>
      <c r="R29" s="115" t="n"/>
      <c r="S29" s="115" t="n"/>
      <c r="T29" s="65" t="inlineStr">
        <is>
          <t>Unreviewed source extract</t>
        </is>
      </c>
      <c r="U29" s="65" t="inlineStr">
        <is>
          <t>pptx/story/evidence_2026_10_06/macro_statssa.csv</t>
        </is>
      </c>
      <c r="V29" s="65" t="inlineStr">
        <is>
          <t>Manish: reconcile scope and revisions before adoption.</t>
        </is>
      </c>
    </row>
    <row r="30" ht="30" customHeight="1">
      <c r="A30" s="65" t="inlineStr">
        <is>
          <t>manufacturing_volume_total</t>
        </is>
      </c>
      <c r="B30" s="65" t="inlineStr">
        <is>
          <t>index 2019=100</t>
        </is>
      </c>
      <c r="C30" s="65" t="inlineStr">
        <is>
          <t>Source observation</t>
        </is>
      </c>
      <c r="D30" s="114" t="n">
        <v>87.71428571428571</v>
      </c>
      <c r="E30" s="114" t="inlineStr">
        <is>
          <t>Arithmetic mean of all 12 monthly production indices; 2026… [N233]</t>
        </is>
      </c>
      <c r="F30" s="115" t="n">
        <v>93.14166666666667</v>
      </c>
      <c r="G30" s="115" t="n">
        <v>93.71666666666665</v>
      </c>
      <c r="H30" s="115" t="n">
        <v>93.33333333333333</v>
      </c>
      <c r="I30" s="115" t="n">
        <v>92.14166666666665</v>
      </c>
      <c r="J30" s="115" t="n"/>
      <c r="K30" s="115" t="n"/>
      <c r="L30" s="115" t="n"/>
      <c r="M30" s="115" t="n"/>
      <c r="N30" s="115" t="n"/>
      <c r="O30" s="115" t="n"/>
      <c r="P30" s="115" t="n"/>
      <c r="Q30" s="115" t="n"/>
      <c r="R30" s="115" t="n"/>
      <c r="S30" s="115" t="n"/>
      <c r="T30" s="65" t="inlineStr">
        <is>
          <t>Unreviewed source extract</t>
        </is>
      </c>
      <c r="U30" s="65" t="inlineStr">
        <is>
          <t>pptx/story/evidence_2026_10_06/activity_statssa_monthly.csv</t>
        </is>
      </c>
      <c r="V30" s="65" t="inlineStr">
        <is>
          <t>Manish: reconcile scope and revisions before adoption.</t>
        </is>
      </c>
    </row>
    <row r="31" ht="30" customHeight="1">
      <c r="A31" s="65" t="inlineStr">
        <is>
          <t>mining_volume_total</t>
        </is>
      </c>
      <c r="B31" s="65" t="inlineStr">
        <is>
          <t>index 2019=100</t>
        </is>
      </c>
      <c r="C31" s="65" t="inlineStr">
        <is>
          <t>Source observation</t>
        </is>
      </c>
      <c r="D31" s="114" t="n">
        <v>90.6857142857143</v>
      </c>
      <c r="E31" s="114" t="inlineStr">
        <is>
          <t>Arithmetic mean of all 12 monthly production indices; 2026… [N234]</t>
        </is>
      </c>
      <c r="F31" s="115" t="n">
        <v>93.00833333333334</v>
      </c>
      <c r="G31" s="115" t="n">
        <v>93.01666666666667</v>
      </c>
      <c r="H31" s="115" t="n">
        <v>93.53333333333332</v>
      </c>
      <c r="I31" s="115" t="n">
        <v>93.70833333333333</v>
      </c>
      <c r="J31" s="115" t="n"/>
      <c r="K31" s="115" t="n"/>
      <c r="L31" s="115" t="n"/>
      <c r="M31" s="115" t="n"/>
      <c r="N31" s="115" t="n"/>
      <c r="O31" s="115" t="n"/>
      <c r="P31" s="115" t="n"/>
      <c r="Q31" s="115" t="n"/>
      <c r="R31" s="115" t="n"/>
      <c r="S31" s="115" t="n"/>
      <c r="T31" s="65" t="inlineStr">
        <is>
          <t>Unreviewed source extract</t>
        </is>
      </c>
      <c r="U31" s="65" t="inlineStr">
        <is>
          <t>pptx/story/evidence_2026_10_06/activity_statssa_monthly.csv</t>
        </is>
      </c>
      <c r="V31" s="65" t="inlineStr">
        <is>
          <t>Manish: reconcile scope and revisions before adoption.</t>
        </is>
      </c>
    </row>
    <row r="32" ht="30" customHeight="1">
      <c r="A32" s="65" t="inlineStr">
        <is>
          <t>freight_payload_road</t>
        </is>
      </c>
      <c r="B32" s="65" t="inlineStr">
        <is>
          <t>thousand tonnes</t>
        </is>
      </c>
      <c r="C32" s="65" t="inlineStr">
        <is>
          <t>Source observation</t>
        </is>
      </c>
      <c r="D32" s="114" t="n">
        <v>568029</v>
      </c>
      <c r="E32" s="114" t="inlineStr">
        <is>
          <t>Complete calendar years only; 2026 Jan–Jul shown separately.… [N235]</t>
        </is>
      </c>
      <c r="F32" s="115" t="n">
        <v>1048547</v>
      </c>
      <c r="G32" s="115" t="n">
        <v>1060419</v>
      </c>
      <c r="H32" s="115" t="n">
        <v>979798</v>
      </c>
      <c r="I32" s="115" t="n">
        <v>975176</v>
      </c>
      <c r="J32" s="115" t="n"/>
      <c r="K32" s="115" t="n"/>
      <c r="L32" s="115" t="n"/>
      <c r="M32" s="115" t="n"/>
      <c r="N32" s="115" t="n"/>
      <c r="O32" s="115" t="n"/>
      <c r="P32" s="115" t="n"/>
      <c r="Q32" s="115" t="n"/>
      <c r="R32" s="115" t="n"/>
      <c r="S32" s="115" t="n"/>
      <c r="T32" s="65" t="inlineStr">
        <is>
          <t>Unreviewed source extract</t>
        </is>
      </c>
      <c r="U32" s="65" t="inlineStr">
        <is>
          <t>pptx/story/evidence_2026_10_06/activity_statssa_monthly.csv</t>
        </is>
      </c>
      <c r="V32" s="65" t="inlineStr">
        <is>
          <t>Manish: reconcile scope and revisions before adoption.</t>
        </is>
      </c>
    </row>
    <row r="33" ht="30" customHeight="1">
      <c r="A33" s="65" t="inlineStr">
        <is>
          <t>freight_payload_rail</t>
        </is>
      </c>
      <c r="B33" s="65" t="inlineStr">
        <is>
          <t>thousand tonnes</t>
        </is>
      </c>
      <c r="C33" s="65" t="inlineStr">
        <is>
          <t>Source observation</t>
        </is>
      </c>
      <c r="D33" s="114" t="n">
        <v>101145</v>
      </c>
      <c r="E33" s="114" t="inlineStr">
        <is>
          <t>Complete calendar years only; 2026 Jan–Jul shown separately.… [N236]</t>
        </is>
      </c>
      <c r="F33" s="115" t="n">
        <v>155913</v>
      </c>
      <c r="G33" s="115" t="n">
        <v>160100</v>
      </c>
      <c r="H33" s="115" t="n">
        <v>160745</v>
      </c>
      <c r="I33" s="115" t="n">
        <v>168259</v>
      </c>
      <c r="J33" s="115" t="n"/>
      <c r="K33" s="115" t="n"/>
      <c r="L33" s="115" t="n"/>
      <c r="M33" s="115" t="n"/>
      <c r="N33" s="115" t="n"/>
      <c r="O33" s="115" t="n"/>
      <c r="P33" s="115" t="n"/>
      <c r="Q33" s="115" t="n"/>
      <c r="R33" s="115" t="n"/>
      <c r="S33" s="115" t="n"/>
      <c r="T33" s="65" t="inlineStr">
        <is>
          <t>Unreviewed source extract</t>
        </is>
      </c>
      <c r="U33" s="65" t="inlineStr">
        <is>
          <t>pptx/story/evidence_2026_10_06/activity_statssa_monthly.csv</t>
        </is>
      </c>
      <c r="V33" s="65" t="inlineStr">
        <is>
          <t>Manish: reconcile scope and revisions before adoption.</t>
        </is>
      </c>
    </row>
    <row r="34" ht="30" customHeight="1">
      <c r="A34" s="65" t="inlineStr">
        <is>
          <t>eskom_ocgt</t>
        </is>
      </c>
      <c r="B34" s="65" t="inlineStr">
        <is>
          <t>GWh / financial year</t>
        </is>
      </c>
      <c r="C34" s="65" t="inlineStr">
        <is>
          <t>Source observation</t>
        </is>
      </c>
      <c r="D34" s="114" t="n"/>
      <c r="E34" s="114" t="inlineStr">
        <is>
          <t>Full financial year ending 31 March in the column year. Not… [N237]</t>
        </is>
      </c>
      <c r="F34" s="115" t="n">
        <v>1826</v>
      </c>
      <c r="G34" s="115" t="n">
        <v>3018</v>
      </c>
      <c r="H34" s="115" t="n">
        <v>3634</v>
      </c>
      <c r="I34" s="115" t="n">
        <v>2176</v>
      </c>
      <c r="J34" s="115" t="n">
        <v>811</v>
      </c>
      <c r="K34" s="115" t="n"/>
      <c r="L34" s="115" t="n"/>
      <c r="M34" s="115" t="n"/>
      <c r="N34" s="115" t="n"/>
      <c r="O34" s="115" t="n"/>
      <c r="P34" s="115" t="n"/>
      <c r="Q34" s="115" t="n"/>
      <c r="R34" s="115" t="n"/>
      <c r="S34" s="115" t="n"/>
      <c r="T34" s="65" t="inlineStr">
        <is>
          <t>Unreviewed source extract</t>
        </is>
      </c>
      <c r="U34" s="65" t="inlineStr">
        <is>
          <t>assumptions/2026/timeseries/ocgt_generation_eskom.csv</t>
        </is>
      </c>
      <c r="V34" s="65" t="inlineStr">
        <is>
          <t>Manish: reconcile scope and revisions before adoption.</t>
        </is>
      </c>
    </row>
    <row r="35" ht="30" customHeight="1">
      <c r="A35" s="65" t="inlineStr">
        <is>
          <t>ipp_ocgt</t>
        </is>
      </c>
      <c r="B35" s="65" t="inlineStr">
        <is>
          <t>GWh / financial year</t>
        </is>
      </c>
      <c r="C35" s="65" t="inlineStr">
        <is>
          <t>Source observation</t>
        </is>
      </c>
      <c r="D35" s="114" t="n"/>
      <c r="E35" s="114" t="inlineStr">
        <is>
          <t>Full financial year ending 31 March in the column year. Not… [N238]</t>
        </is>
      </c>
      <c r="F35" s="115" t="n"/>
      <c r="G35" s="115" t="n">
        <v>1098</v>
      </c>
      <c r="H35" s="115" t="n">
        <v>1509</v>
      </c>
      <c r="I35" s="115" t="n">
        <v>662</v>
      </c>
      <c r="J35" s="115" t="n">
        <v>268</v>
      </c>
      <c r="K35" s="115" t="n"/>
      <c r="L35" s="115" t="n"/>
      <c r="M35" s="115" t="n"/>
      <c r="N35" s="115" t="n"/>
      <c r="O35" s="115" t="n"/>
      <c r="P35" s="115" t="n"/>
      <c r="Q35" s="115" t="n"/>
      <c r="R35" s="115" t="n"/>
      <c r="S35" s="115" t="n"/>
      <c r="T35" s="65" t="inlineStr">
        <is>
          <t>Unreviewed source extract</t>
        </is>
      </c>
      <c r="U35" s="65" t="inlineStr">
        <is>
          <t>assumptions/2026/timeseries/ocgt_generation_eskom.csv</t>
        </is>
      </c>
      <c r="V35" s="65" t="inlineStr">
        <is>
          <t>Manish: reconcile scope and revisions before adoption.</t>
        </is>
      </c>
    </row>
    <row r="36" ht="30" customHeight="1">
      <c r="A36" s="65" t="inlineStr">
        <is>
          <t>eskom_and_ipp_ocgt</t>
        </is>
      </c>
      <c r="B36" s="65" t="inlineStr">
        <is>
          <t>GWh / financial year</t>
        </is>
      </c>
      <c r="C36" s="65" t="inlineStr">
        <is>
          <t>Source observation</t>
        </is>
      </c>
      <c r="D36" s="114" t="n"/>
      <c r="E36" s="114" t="inlineStr">
        <is>
          <t>Full financial year ending 31 March in the column year. Not… [N239]</t>
        </is>
      </c>
      <c r="F36" s="115" t="n"/>
      <c r="G36" s="115" t="n">
        <v>4116</v>
      </c>
      <c r="H36" s="115" t="n">
        <v>5143</v>
      </c>
      <c r="I36" s="115" t="n">
        <v>2838</v>
      </c>
      <c r="J36" s="115" t="n">
        <v>1079</v>
      </c>
      <c r="K36" s="115" t="n"/>
      <c r="L36" s="115" t="n"/>
      <c r="M36" s="115" t="n"/>
      <c r="N36" s="115" t="n"/>
      <c r="O36" s="115" t="n"/>
      <c r="P36" s="115" t="n"/>
      <c r="Q36" s="115" t="n"/>
      <c r="R36" s="115" t="n"/>
      <c r="S36" s="115" t="n"/>
      <c r="T36" s="65" t="inlineStr">
        <is>
          <t>Unreviewed source extract</t>
        </is>
      </c>
      <c r="U36" s="65" t="inlineStr">
        <is>
          <t>assumptions/2026/timeseries/ocgt_generation_eskom.csv</t>
        </is>
      </c>
      <c r="V36" s="65" t="inlineStr">
        <is>
          <t>Manish: reconcile scope and revisions before adoption.</t>
        </is>
      </c>
    </row>
    <row r="37" ht="30" customHeight="1">
      <c r="A37" s="65" t="inlineStr">
        <is>
          <t>acsa_passengers</t>
        </is>
      </c>
      <c r="B37" s="65" t="inlineStr">
        <is>
          <t>departures</t>
        </is>
      </c>
      <c r="C37" s="65" t="inlineStr">
        <is>
          <t>Source observation</t>
        </is>
      </c>
      <c r="D37" s="114" t="n">
        <v>13249170</v>
      </c>
      <c r="E37" s="114" t="inlineStr">
        <is>
          <t>ACSA departures only; sums monthly total-flight rows without… [N240]</t>
        </is>
      </c>
      <c r="F37" s="115" t="n">
        <v>14986458</v>
      </c>
      <c r="G37" s="115" t="n">
        <v>17846377</v>
      </c>
      <c r="H37" s="115" t="n">
        <v>18785364</v>
      </c>
      <c r="I37" s="115" t="n">
        <v>20197976</v>
      </c>
      <c r="J37" s="115" t="n"/>
      <c r="K37" s="115" t="n"/>
      <c r="L37" s="115" t="n"/>
      <c r="M37" s="115" t="n"/>
      <c r="N37" s="115" t="n"/>
      <c r="O37" s="115" t="n"/>
      <c r="P37" s="115" t="n"/>
      <c r="Q37" s="115" t="n"/>
      <c r="R37" s="115" t="n"/>
      <c r="S37" s="115" t="n"/>
      <c r="T37" s="65" t="inlineStr">
        <is>
          <t>Unreviewed source extract</t>
        </is>
      </c>
      <c r="U37" s="65" t="inlineStr">
        <is>
          <t>assumptions/2026/timeseries/air_traffic_acsa.csv</t>
        </is>
      </c>
      <c r="V37" s="65" t="inlineStr">
        <is>
          <t>Manish: reconcile scope and revisions before adoption.</t>
        </is>
      </c>
    </row>
    <row r="38" ht="30" customHeight="1">
      <c r="A38" s="65" t="inlineStr">
        <is>
          <t>acsa_aircraft_movements</t>
        </is>
      </c>
      <c r="B38" s="65" t="inlineStr">
        <is>
          <t>departures</t>
        </is>
      </c>
      <c r="C38" s="65" t="inlineStr">
        <is>
          <t>Source observation</t>
        </is>
      </c>
      <c r="D38" s="114" t="n">
        <v>155688</v>
      </c>
      <c r="E38" s="114" t="inlineStr">
        <is>
          <t>ACSA departures only; sums monthly total-flight rows without… [N241]</t>
        </is>
      </c>
      <c r="F38" s="115" t="n">
        <v>207504</v>
      </c>
      <c r="G38" s="115" t="n">
        <v>225422</v>
      </c>
      <c r="H38" s="115" t="n">
        <v>227773</v>
      </c>
      <c r="I38" s="115" t="n">
        <v>230996</v>
      </c>
      <c r="J38" s="115" t="n"/>
      <c r="K38" s="115" t="n"/>
      <c r="L38" s="115" t="n"/>
      <c r="M38" s="115" t="n"/>
      <c r="N38" s="115" t="n"/>
      <c r="O38" s="115" t="n"/>
      <c r="P38" s="115" t="n"/>
      <c r="Q38" s="115" t="n"/>
      <c r="R38" s="115" t="n"/>
      <c r="S38" s="115" t="n"/>
      <c r="T38" s="65" t="inlineStr">
        <is>
          <t>Unreviewed source extract</t>
        </is>
      </c>
      <c r="U38" s="65" t="inlineStr">
        <is>
          <t>assumptions/2026/timeseries/air_traffic_acsa.csv</t>
        </is>
      </c>
      <c r="V38" s="65" t="inlineStr">
        <is>
          <t>Manish: reconcile scope and revisions before adoption.</t>
        </is>
      </c>
    </row>
    <row r="39" ht="30" customHeight="1">
      <c r="A39" s="65" t="inlineStr">
        <is>
          <t>Agriculture: 2021 agriculture/forestry diesel</t>
        </is>
      </c>
      <c r="B39" s="65" t="inlineStr">
        <is>
          <t>million L/year</t>
        </is>
      </c>
      <c r="C39" s="65" t="inlineStr">
        <is>
          <t>Staged observation</t>
        </is>
      </c>
      <c r="D39" s="114" t="n">
        <v>1058.39895</v>
      </c>
      <c r="E39" s="114" t="inlineStr">
        <is>
          <t>D is reported 2021 fuel use. No 2022–26 fuel observations inferred.</t>
        </is>
      </c>
      <c r="F39" s="115" t="n"/>
      <c r="G39" s="115" t="n"/>
      <c r="H39" s="115" t="n"/>
      <c r="I39" s="115" t="n"/>
      <c r="J39" s="115" t="n"/>
      <c r="K39" s="115" t="n"/>
      <c r="L39" s="115" t="n"/>
      <c r="M39" s="115" t="n"/>
      <c r="N39" s="115" t="n"/>
      <c r="O39" s="115" t="n"/>
      <c r="P39" s="115" t="n"/>
      <c r="Q39" s="115" t="n"/>
      <c r="R39" s="115" t="n"/>
      <c r="S39" s="115" t="n"/>
      <c r="T39" s="65" t="inlineStr">
        <is>
          <t>Older anchor; not adopted</t>
        </is>
      </c>
      <c r="U39" s="65" t="inlineStr">
        <is>
          <t>https://github.com/Africa-International-Advisors/liq… [N242]</t>
        </is>
      </c>
      <c r="V39" s="65" t="inlineStr">
        <is>
          <t>Check date and scope before adopting.</t>
        </is>
      </c>
    </row>
    <row r="40" ht="30" customHeight="1">
      <c r="A40" s="65" t="inlineStr">
        <is>
          <t>Manufacturing: 2021 energy-balance industry total</t>
        </is>
      </c>
      <c r="B40" s="65" t="inlineStr">
        <is>
          <t>million L/year</t>
        </is>
      </c>
      <c r="C40" s="65" t="inlineStr">
        <is>
          <t>Staged observation</t>
        </is>
      </c>
      <c r="D40" s="114" t="n">
        <v>1499.13926</v>
      </c>
      <c r="E40" s="114" t="inlineStr">
        <is>
          <t>Parent industry total includes mining and construction. It is not… [N243]</t>
        </is>
      </c>
      <c r="F40" s="115" t="n"/>
      <c r="G40" s="115" t="n"/>
      <c r="H40" s="115" t="n"/>
      <c r="I40" s="115" t="n"/>
      <c r="J40" s="115" t="n"/>
      <c r="K40" s="115" t="n"/>
      <c r="L40" s="115" t="n"/>
      <c r="M40" s="115" t="n"/>
      <c r="N40" s="115" t="n"/>
      <c r="O40" s="115" t="n"/>
      <c r="P40" s="115" t="n"/>
      <c r="Q40" s="115" t="n"/>
      <c r="R40" s="115" t="n"/>
      <c r="S40" s="115" t="n"/>
      <c r="T40" s="65" t="inlineStr">
        <is>
          <t>Older anchor; not adopted</t>
        </is>
      </c>
      <c r="U40" s="65" t="inlineStr">
        <is>
          <t>https://github.com/Africa-International-Advisors/liq… [N244]</t>
        </is>
      </c>
      <c r="V40" s="65" t="inlineStr">
        <is>
          <t>Check date and scope before adopting.</t>
        </is>
      </c>
    </row>
    <row r="41" ht="30" customHeight="1">
      <c r="A41" s="65" t="inlineStr">
        <is>
          <t>Manufacturing: 2021 construction diesel</t>
        </is>
      </c>
      <c r="B41" s="65" t="inlineStr">
        <is>
          <t>million L/year</t>
        </is>
      </c>
      <c r="C41" s="65" t="inlineStr">
        <is>
          <t>Staged observation</t>
        </is>
      </c>
      <c r="D41" s="114" t="n">
        <v>48.69243</v>
      </c>
      <c r="E41" s="114" t="inlineStr">
        <is>
          <t>Construction child of source industry total, shown separately to… [N245]</t>
        </is>
      </c>
      <c r="F41" s="115" t="n"/>
      <c r="G41" s="115" t="n"/>
      <c r="H41" s="115" t="n"/>
      <c r="I41" s="115" t="n"/>
      <c r="J41" s="115" t="n"/>
      <c r="K41" s="115" t="n"/>
      <c r="L41" s="115" t="n"/>
      <c r="M41" s="115" t="n"/>
      <c r="N41" s="115" t="n"/>
      <c r="O41" s="115" t="n"/>
      <c r="P41" s="115" t="n"/>
      <c r="Q41" s="115" t="n"/>
      <c r="R41" s="115" t="n"/>
      <c r="S41" s="115" t="n"/>
      <c r="T41" s="65" t="inlineStr">
        <is>
          <t>Older anchor; not adopted</t>
        </is>
      </c>
      <c r="U41" s="65" t="inlineStr">
        <is>
          <t>https://github.com/Africa-International-Advisors/liq… [N246]</t>
        </is>
      </c>
      <c r="V41" s="65" t="inlineStr">
        <is>
          <t>Check date and scope before adopting.</t>
        </is>
      </c>
    </row>
    <row r="42" ht="30" customHeight="1">
      <c r="A42" s="65" t="inlineStr">
        <is>
          <t>Mining: 2021 mining/quarrying diesel</t>
        </is>
      </c>
      <c r="B42" s="65" t="inlineStr">
        <is>
          <t>million L/year</t>
        </is>
      </c>
      <c r="C42" s="65" t="inlineStr">
        <is>
          <t>Staged observation</t>
        </is>
      </c>
      <c r="D42" s="114" t="n">
        <v>1293.81342</v>
      </c>
      <c r="E42" s="114" t="inlineStr">
        <is>
          <t>D is a 2021 anchor. Not a 2022 observation or approved starting assumption.</t>
        </is>
      </c>
      <c r="F42" s="115" t="n"/>
      <c r="G42" s="115" t="n"/>
      <c r="H42" s="115" t="n"/>
      <c r="I42" s="115" t="n"/>
      <c r="J42" s="115" t="n"/>
      <c r="K42" s="115" t="n"/>
      <c r="L42" s="115" t="n"/>
      <c r="M42" s="115" t="n"/>
      <c r="N42" s="115" t="n"/>
      <c r="O42" s="115" t="n"/>
      <c r="P42" s="115" t="n"/>
      <c r="Q42" s="115" t="n"/>
      <c r="R42" s="115" t="n"/>
      <c r="S42" s="115" t="n"/>
      <c r="T42" s="65" t="inlineStr">
        <is>
          <t>Older anchor; not adopted</t>
        </is>
      </c>
      <c r="U42" s="65" t="inlineStr">
        <is>
          <t>https://github.com/Africa-International-Advisors/liq… [N247]</t>
        </is>
      </c>
      <c r="V42" s="65" t="inlineStr">
        <is>
          <t>Check date and scope before adopting.</t>
        </is>
      </c>
    </row>
    <row r="43" ht="30" customHeight="1">
      <c r="A43" s="65" t="inlineStr">
        <is>
          <t>Provincial: EC petrol / million L/year</t>
        </is>
      </c>
      <c r="B43" s="65" t="inlineStr">
        <is>
          <t>million L</t>
        </is>
      </c>
      <c r="C43" s="65" t="inlineStr">
        <is>
          <t>Source observation</t>
        </is>
      </c>
      <c r="D43" s="114" t="n">
        <v>169.983418416</v>
      </c>
      <c r="E43" s="114" t="inlineStr">
        <is>
          <t>2022 full year. Latest separate value: 2023 Q1 only</t>
        </is>
      </c>
      <c r="F43" s="115" t="n">
        <v>703.1324447169991</v>
      </c>
      <c r="G43" s="115" t="n"/>
      <c r="H43" s="115" t="n"/>
      <c r="I43" s="115" t="n"/>
      <c r="J43" s="115" t="n"/>
      <c r="K43" s="115" t="n"/>
      <c r="L43" s="115" t="n"/>
      <c r="M43" s="115" t="n"/>
      <c r="N43" s="115" t="n"/>
      <c r="O43" s="115" t="n"/>
      <c r="P43" s="115" t="n"/>
      <c r="Q43" s="115" t="n"/>
      <c r="R43" s="115" t="n"/>
      <c r="S43" s="115" t="n"/>
      <c r="T43" s="65" t="inlineStr">
        <is>
          <t>2022 full year; latest Q1 2023 in R, not annualised.</t>
        </is>
      </c>
      <c r="U43" s="65" t="inlineStr">
        <is>
          <t>https://github.com/Africa-International-Advisors/liq… [N248]</t>
        </is>
      </c>
      <c r="V43" s="65" t="inlineStr">
        <is>
          <t>Sales geography; not automatically consumption geography.</t>
        </is>
      </c>
    </row>
    <row r="44" ht="30" customHeight="1">
      <c r="A44" s="65" t="inlineStr">
        <is>
          <t>Provincial: FS petrol / million L/year</t>
        </is>
      </c>
      <c r="B44" s="65" t="inlineStr">
        <is>
          <t>million L</t>
        </is>
      </c>
      <c r="C44" s="65" t="inlineStr">
        <is>
          <t>Source observation</t>
        </is>
      </c>
      <c r="D44" s="114" t="n">
        <v>134.248089129</v>
      </c>
      <c r="E44" s="114" t="inlineStr">
        <is>
          <t>2022 full year. Latest separate value: 2023 Q1 only</t>
        </is>
      </c>
      <c r="F44" s="115" t="n">
        <v>587.4580081820001</v>
      </c>
      <c r="G44" s="115" t="n"/>
      <c r="H44" s="115" t="n"/>
      <c r="I44" s="115" t="n"/>
      <c r="J44" s="115" t="n"/>
      <c r="K44" s="115" t="n"/>
      <c r="L44" s="115" t="n"/>
      <c r="M44" s="115" t="n"/>
      <c r="N44" s="115" t="n"/>
      <c r="O44" s="115" t="n"/>
      <c r="P44" s="115" t="n"/>
      <c r="Q44" s="115" t="n"/>
      <c r="R44" s="115" t="n"/>
      <c r="S44" s="115" t="n"/>
      <c r="T44" s="65" t="inlineStr">
        <is>
          <t>2022 full year; latest Q1 2023 in R, not annualised.</t>
        </is>
      </c>
      <c r="U44" s="65" t="inlineStr">
        <is>
          <t>https://github.com/Africa-International-Advisors/liq… [N249]</t>
        </is>
      </c>
      <c r="V44" s="65" t="inlineStr">
        <is>
          <t>Sales geography; not automatically consumption geography.</t>
        </is>
      </c>
    </row>
    <row r="45" ht="30" customHeight="1">
      <c r="A45" s="65" t="inlineStr">
        <is>
          <t>Provincial: GP petrol / million L/year</t>
        </is>
      </c>
      <c r="B45" s="65" t="inlineStr">
        <is>
          <t>million L</t>
        </is>
      </c>
      <c r="C45" s="65" t="inlineStr">
        <is>
          <t>Source observation</t>
        </is>
      </c>
      <c r="D45" s="114" t="n">
        <v>866.542928499998</v>
      </c>
      <c r="E45" s="114" t="inlineStr">
        <is>
          <t>2022 full year. Latest separate value: 2023 Q1 only</t>
        </is>
      </c>
      <c r="F45" s="115" t="n">
        <v>3530.440256933996</v>
      </c>
      <c r="G45" s="115" t="n"/>
      <c r="H45" s="115" t="n"/>
      <c r="I45" s="115" t="n"/>
      <c r="J45" s="115" t="n"/>
      <c r="K45" s="115" t="n"/>
      <c r="L45" s="115" t="n"/>
      <c r="M45" s="115" t="n"/>
      <c r="N45" s="115" t="n"/>
      <c r="O45" s="115" t="n"/>
      <c r="P45" s="115" t="n"/>
      <c r="Q45" s="115" t="n"/>
      <c r="R45" s="115" t="n"/>
      <c r="S45" s="115" t="n"/>
      <c r="T45" s="65" t="inlineStr">
        <is>
          <t>2022 full year; latest Q1 2023 in R, not annualised.</t>
        </is>
      </c>
      <c r="U45" s="65" t="inlineStr">
        <is>
          <t>https://github.com/Africa-International-Advisors/liq… [N250]</t>
        </is>
      </c>
      <c r="V45" s="65" t="inlineStr">
        <is>
          <t>Sales geography; not automatically consumption geography.</t>
        </is>
      </c>
    </row>
    <row r="46" ht="30" customHeight="1">
      <c r="A46" s="65" t="inlineStr">
        <is>
          <t>Provincial: KZN petrol / million L/year</t>
        </is>
      </c>
      <c r="B46" s="65" t="inlineStr">
        <is>
          <t>million L</t>
        </is>
      </c>
      <c r="C46" s="65" t="inlineStr">
        <is>
          <t>Source observation</t>
        </is>
      </c>
      <c r="D46" s="114" t="n">
        <v>365.0497116949989</v>
      </c>
      <c r="E46" s="114" t="inlineStr">
        <is>
          <t>2022 full year. Latest separate value: 2023 Q1 only</t>
        </is>
      </c>
      <c r="F46" s="115" t="n">
        <v>1498.937893394999</v>
      </c>
      <c r="G46" s="115" t="n"/>
      <c r="H46" s="115" t="n"/>
      <c r="I46" s="115" t="n"/>
      <c r="J46" s="115" t="n"/>
      <c r="K46" s="115" t="n"/>
      <c r="L46" s="115" t="n"/>
      <c r="M46" s="115" t="n"/>
      <c r="N46" s="115" t="n"/>
      <c r="O46" s="115" t="n"/>
      <c r="P46" s="115" t="n"/>
      <c r="Q46" s="115" t="n"/>
      <c r="R46" s="115" t="n"/>
      <c r="S46" s="115" t="n"/>
      <c r="T46" s="65" t="inlineStr">
        <is>
          <t>2022 full year; latest Q1 2023 in R, not annualised.</t>
        </is>
      </c>
      <c r="U46" s="65" t="inlineStr">
        <is>
          <t>https://github.com/Africa-International-Advisors/liq… [N251]</t>
        </is>
      </c>
      <c r="V46" s="65" t="inlineStr">
        <is>
          <t>Sales geography; not automatically consumption geography.</t>
        </is>
      </c>
    </row>
    <row r="47" ht="30" customHeight="1">
      <c r="A47" s="65" t="inlineStr">
        <is>
          <t>Provincial: LP petrol / million L/year</t>
        </is>
      </c>
      <c r="B47" s="65" t="inlineStr">
        <is>
          <t>million L</t>
        </is>
      </c>
      <c r="C47" s="65" t="inlineStr">
        <is>
          <t>Source observation</t>
        </is>
      </c>
      <c r="D47" s="114" t="n">
        <v>68.09202067700001</v>
      </c>
      <c r="E47" s="114" t="inlineStr">
        <is>
          <t>2022 full year. Latest separate value: 2023 Q1 only</t>
        </is>
      </c>
      <c r="F47" s="115" t="n">
        <v>273.644045045999</v>
      </c>
      <c r="G47" s="115" t="n"/>
      <c r="H47" s="115" t="n"/>
      <c r="I47" s="115" t="n"/>
      <c r="J47" s="115" t="n"/>
      <c r="K47" s="115" t="n"/>
      <c r="L47" s="115" t="n"/>
      <c r="M47" s="115" t="n"/>
      <c r="N47" s="115" t="n"/>
      <c r="O47" s="115" t="n"/>
      <c r="P47" s="115" t="n"/>
      <c r="Q47" s="115" t="n"/>
      <c r="R47" s="115" t="n"/>
      <c r="S47" s="115" t="n"/>
      <c r="T47" s="65" t="inlineStr">
        <is>
          <t>2022 full year; latest Q1 2023 in R, not annualised.</t>
        </is>
      </c>
      <c r="U47" s="65" t="inlineStr">
        <is>
          <t>https://github.com/Africa-International-Advisors/liq… [N252]</t>
        </is>
      </c>
      <c r="V47" s="65" t="inlineStr">
        <is>
          <t>Sales geography; not automatically consumption geography.</t>
        </is>
      </c>
    </row>
    <row r="48" ht="30" customHeight="1">
      <c r="A48" s="65" t="inlineStr">
        <is>
          <t>Provincial: MP petrol / million L/year</t>
        </is>
      </c>
      <c r="B48" s="65" t="inlineStr">
        <is>
          <t>million L</t>
        </is>
      </c>
      <c r="C48" s="65" t="inlineStr">
        <is>
          <t>Source observation</t>
        </is>
      </c>
      <c r="D48" s="114" t="n">
        <v>159.667027414</v>
      </c>
      <c r="E48" s="114" t="inlineStr">
        <is>
          <t>2022 full year. Latest separate value: 2023 Q1 only</t>
        </is>
      </c>
      <c r="F48" s="115" t="n">
        <v>612.2656460789989</v>
      </c>
      <c r="G48" s="115" t="n"/>
      <c r="H48" s="115" t="n"/>
      <c r="I48" s="115" t="n"/>
      <c r="J48" s="115" t="n"/>
      <c r="K48" s="115" t="n"/>
      <c r="L48" s="115" t="n"/>
      <c r="M48" s="115" t="n"/>
      <c r="N48" s="115" t="n"/>
      <c r="O48" s="115" t="n"/>
      <c r="P48" s="115" t="n"/>
      <c r="Q48" s="115" t="n"/>
      <c r="R48" s="115" t="n"/>
      <c r="S48" s="115" t="n"/>
      <c r="T48" s="65" t="inlineStr">
        <is>
          <t>2022 full year; latest Q1 2023 in R, not annualised.</t>
        </is>
      </c>
      <c r="U48" s="65" t="inlineStr">
        <is>
          <t>https://github.com/Africa-International-Advisors/liq… [N253]</t>
        </is>
      </c>
      <c r="V48" s="65" t="inlineStr">
        <is>
          <t>Sales geography; not automatically consumption geography.</t>
        </is>
      </c>
    </row>
    <row r="49" ht="30" customHeight="1">
      <c r="A49" s="65" t="inlineStr">
        <is>
          <t>Provincial: NC petrol / million L/year</t>
        </is>
      </c>
      <c r="B49" s="65" t="inlineStr">
        <is>
          <t>million L</t>
        </is>
      </c>
      <c r="C49" s="65" t="inlineStr">
        <is>
          <t>Source observation</t>
        </is>
      </c>
      <c r="D49" s="114" t="n">
        <v>24.61671942</v>
      </c>
      <c r="E49" s="114" t="inlineStr">
        <is>
          <t>2022 full year. Latest separate value: 2023 Q1 only</t>
        </is>
      </c>
      <c r="F49" s="115" t="n">
        <v>99.82992901300001</v>
      </c>
      <c r="G49" s="115" t="n"/>
      <c r="H49" s="115" t="n"/>
      <c r="I49" s="115" t="n"/>
      <c r="J49" s="115" t="n"/>
      <c r="K49" s="115" t="n"/>
      <c r="L49" s="115" t="n"/>
      <c r="M49" s="115" t="n"/>
      <c r="N49" s="115" t="n"/>
      <c r="O49" s="115" t="n"/>
      <c r="P49" s="115" t="n"/>
      <c r="Q49" s="115" t="n"/>
      <c r="R49" s="115" t="n"/>
      <c r="S49" s="115" t="n"/>
      <c r="T49" s="65" t="inlineStr">
        <is>
          <t>2022 full year; latest Q1 2023 in R, not annualised.</t>
        </is>
      </c>
      <c r="U49" s="65" t="inlineStr">
        <is>
          <t>https://github.com/Africa-International-Advisors/liq… [N254]</t>
        </is>
      </c>
      <c r="V49" s="65" t="inlineStr">
        <is>
          <t>Sales geography; not automatically consumption geography.</t>
        </is>
      </c>
    </row>
    <row r="50" ht="30" customHeight="1">
      <c r="A50" s="65" t="inlineStr">
        <is>
          <t>Provincial: NW petrol / million L/year</t>
        </is>
      </c>
      <c r="B50" s="65" t="inlineStr">
        <is>
          <t>million L</t>
        </is>
      </c>
      <c r="C50" s="65" t="inlineStr">
        <is>
          <t>Source observation</t>
        </is>
      </c>
      <c r="D50" s="114" t="n">
        <v>107.872808111</v>
      </c>
      <c r="E50" s="114" t="inlineStr">
        <is>
          <t>2022 full year. Latest separate value: 2023 Q1 only</t>
        </is>
      </c>
      <c r="F50" s="115" t="n">
        <v>448.1562321239999</v>
      </c>
      <c r="G50" s="115" t="n"/>
      <c r="H50" s="115" t="n"/>
      <c r="I50" s="115" t="n"/>
      <c r="J50" s="115" t="n"/>
      <c r="K50" s="115" t="n"/>
      <c r="L50" s="115" t="n"/>
      <c r="M50" s="115" t="n"/>
      <c r="N50" s="115" t="n"/>
      <c r="O50" s="115" t="n"/>
      <c r="P50" s="115" t="n"/>
      <c r="Q50" s="115" t="n"/>
      <c r="R50" s="115" t="n"/>
      <c r="S50" s="115" t="n"/>
      <c r="T50" s="65" t="inlineStr">
        <is>
          <t>2022 full year; latest Q1 2023 in R, not annualised.</t>
        </is>
      </c>
      <c r="U50" s="65" t="inlineStr">
        <is>
          <t>https://github.com/Africa-International-Advisors/liq… [N255]</t>
        </is>
      </c>
      <c r="V50" s="65" t="inlineStr">
        <is>
          <t>Sales geography; not automatically consumption geography.</t>
        </is>
      </c>
    </row>
    <row r="51" ht="30" customHeight="1">
      <c r="A51" s="65" t="inlineStr">
        <is>
          <t>Provincial: WC petrol / million L/year</t>
        </is>
      </c>
      <c r="B51" s="65" t="inlineStr">
        <is>
          <t>million L</t>
        </is>
      </c>
      <c r="C51" s="65" t="inlineStr">
        <is>
          <t>Source observation</t>
        </is>
      </c>
      <c r="D51" s="114" t="n">
        <v>366.983397196</v>
      </c>
      <c r="E51" s="114" t="inlineStr">
        <is>
          <t>2022 full year. Latest separate value: 2023 Q1 only</t>
        </is>
      </c>
      <c r="F51" s="115" t="n">
        <v>1431.005460082997</v>
      </c>
      <c r="G51" s="115" t="n"/>
      <c r="H51" s="115" t="n"/>
      <c r="I51" s="115" t="n"/>
      <c r="J51" s="115" t="n"/>
      <c r="K51" s="115" t="n"/>
      <c r="L51" s="115" t="n"/>
      <c r="M51" s="115" t="n"/>
      <c r="N51" s="115" t="n"/>
      <c r="O51" s="115" t="n"/>
      <c r="P51" s="115" t="n"/>
      <c r="Q51" s="115" t="n"/>
      <c r="R51" s="115" t="n"/>
      <c r="S51" s="115" t="n"/>
      <c r="T51" s="65" t="inlineStr">
        <is>
          <t>2022 full year; latest Q1 2023 in R, not annualised.</t>
        </is>
      </c>
      <c r="U51" s="65" t="inlineStr">
        <is>
          <t>https://github.com/Africa-International-Advisors/liq… [N256]</t>
        </is>
      </c>
      <c r="V51" s="65" t="inlineStr">
        <is>
          <t>Sales geography; not automatically consumption geography.</t>
        </is>
      </c>
    </row>
    <row r="52" ht="30" customHeight="1">
      <c r="A52" s="65" t="inlineStr">
        <is>
          <t>Provincial: EC diesel / million L/year</t>
        </is>
      </c>
      <c r="B52" s="65" t="inlineStr">
        <is>
          <t>million L</t>
        </is>
      </c>
      <c r="C52" s="65" t="inlineStr">
        <is>
          <t>Source observation</t>
        </is>
      </c>
      <c r="D52" s="114" t="n">
        <v>249.2098948710001</v>
      </c>
      <c r="E52" s="114" t="inlineStr">
        <is>
          <t>2022 full year. Latest separate value: 2023 Q1 only</t>
        </is>
      </c>
      <c r="F52" s="115" t="n">
        <v>1032.35218272</v>
      </c>
      <c r="G52" s="115" t="n"/>
      <c r="H52" s="115" t="n"/>
      <c r="I52" s="115" t="n"/>
      <c r="J52" s="115" t="n"/>
      <c r="K52" s="115" t="n"/>
      <c r="L52" s="115" t="n"/>
      <c r="M52" s="115" t="n"/>
      <c r="N52" s="115" t="n"/>
      <c r="O52" s="115" t="n"/>
      <c r="P52" s="115" t="n"/>
      <c r="Q52" s="115" t="n"/>
      <c r="R52" s="115" t="n"/>
      <c r="S52" s="115" t="n"/>
      <c r="T52" s="65" t="inlineStr">
        <is>
          <t>2022 full year; latest Q1 2023 in R, not annualised.</t>
        </is>
      </c>
      <c r="U52" s="65" t="inlineStr">
        <is>
          <t>https://github.com/Africa-International-Advisors/liq… [N257]</t>
        </is>
      </c>
      <c r="V52" s="65" t="inlineStr">
        <is>
          <t>Sales geography; not automatically consumption geography.</t>
        </is>
      </c>
    </row>
    <row r="53" ht="30" customHeight="1">
      <c r="A53" s="65" t="inlineStr">
        <is>
          <t>Provincial: FS diesel / million L/year</t>
        </is>
      </c>
      <c r="B53" s="65" t="inlineStr">
        <is>
          <t>million L</t>
        </is>
      </c>
      <c r="C53" s="65" t="inlineStr">
        <is>
          <t>Source observation</t>
        </is>
      </c>
      <c r="D53" s="114" t="n">
        <v>171.380981426</v>
      </c>
      <c r="E53" s="114" t="inlineStr">
        <is>
          <t>2022 full year. Latest separate value: 2023 Q1 only</t>
        </is>
      </c>
      <c r="F53" s="115" t="n">
        <v>781.8611598310002</v>
      </c>
      <c r="G53" s="115" t="n"/>
      <c r="H53" s="115" t="n"/>
      <c r="I53" s="115" t="n"/>
      <c r="J53" s="115" t="n"/>
      <c r="K53" s="115" t="n"/>
      <c r="L53" s="115" t="n"/>
      <c r="M53" s="115" t="n"/>
      <c r="N53" s="115" t="n"/>
      <c r="O53" s="115" t="n"/>
      <c r="P53" s="115" t="n"/>
      <c r="Q53" s="115" t="n"/>
      <c r="R53" s="115" t="n"/>
      <c r="S53" s="115" t="n"/>
      <c r="T53" s="65" t="inlineStr">
        <is>
          <t>2022 full year; latest Q1 2023 in R, not annualised.</t>
        </is>
      </c>
      <c r="U53" s="65" t="inlineStr">
        <is>
          <t>https://github.com/Africa-International-Advisors/liq… [N258]</t>
        </is>
      </c>
      <c r="V53" s="65" t="inlineStr">
        <is>
          <t>Sales geography; not automatically consumption geography.</t>
        </is>
      </c>
    </row>
    <row r="54" ht="30" customHeight="1">
      <c r="A54" s="65" t="inlineStr">
        <is>
          <t>Provincial: GP diesel / million L/year</t>
        </is>
      </c>
      <c r="B54" s="65" t="inlineStr">
        <is>
          <t>million L</t>
        </is>
      </c>
      <c r="C54" s="65" t="inlineStr">
        <is>
          <t>Source observation</t>
        </is>
      </c>
      <c r="D54" s="114" t="n">
        <v>819.754786399999</v>
      </c>
      <c r="E54" s="114" t="inlineStr">
        <is>
          <t>2022 full year. Latest separate value: 2023 Q1 only</t>
        </is>
      </c>
      <c r="F54" s="115" t="n">
        <v>3278.990501961999</v>
      </c>
      <c r="G54" s="115" t="n"/>
      <c r="H54" s="115" t="n"/>
      <c r="I54" s="115" t="n"/>
      <c r="J54" s="115" t="n"/>
      <c r="K54" s="115" t="n"/>
      <c r="L54" s="115" t="n"/>
      <c r="M54" s="115" t="n"/>
      <c r="N54" s="115" t="n"/>
      <c r="O54" s="115" t="n"/>
      <c r="P54" s="115" t="n"/>
      <c r="Q54" s="115" t="n"/>
      <c r="R54" s="115" t="n"/>
      <c r="S54" s="115" t="n"/>
      <c r="T54" s="65" t="inlineStr">
        <is>
          <t>2022 full year; latest Q1 2023 in R, not annualised.</t>
        </is>
      </c>
      <c r="U54" s="65" t="inlineStr">
        <is>
          <t>https://github.com/Africa-International-Advisors/liq… [N259]</t>
        </is>
      </c>
      <c r="V54" s="65" t="inlineStr">
        <is>
          <t>Sales geography; not automatically consumption geography.</t>
        </is>
      </c>
    </row>
    <row r="55" ht="30" customHeight="1">
      <c r="A55" s="65" t="inlineStr">
        <is>
          <t>Provincial: KZN diesel / million L/year</t>
        </is>
      </c>
      <c r="B55" s="65" t="inlineStr">
        <is>
          <t>million L</t>
        </is>
      </c>
      <c r="C55" s="65" t="inlineStr">
        <is>
          <t>Source observation</t>
        </is>
      </c>
      <c r="D55" s="114" t="n">
        <v>599.6235340870004</v>
      </c>
      <c r="E55" s="114" t="inlineStr">
        <is>
          <t>2022 full year. Latest separate value: 2023 Q1 only</t>
        </is>
      </c>
      <c r="F55" s="115" t="n">
        <v>2785.554802503</v>
      </c>
      <c r="G55" s="115" t="n"/>
      <c r="H55" s="115" t="n"/>
      <c r="I55" s="115" t="n"/>
      <c r="J55" s="115" t="n"/>
      <c r="K55" s="115" t="n"/>
      <c r="L55" s="115" t="n"/>
      <c r="M55" s="115" t="n"/>
      <c r="N55" s="115" t="n"/>
      <c r="O55" s="115" t="n"/>
      <c r="P55" s="115" t="n"/>
      <c r="Q55" s="115" t="n"/>
      <c r="R55" s="115" t="n"/>
      <c r="S55" s="115" t="n"/>
      <c r="T55" s="65" t="inlineStr">
        <is>
          <t>2022 full year; latest Q1 2023 in R, not annualised.</t>
        </is>
      </c>
      <c r="U55" s="65" t="inlineStr">
        <is>
          <t>https://github.com/Africa-International-Advisors/liq… [N260]</t>
        </is>
      </c>
      <c r="V55" s="65" t="inlineStr">
        <is>
          <t>Sales geography; not automatically consumption geography.</t>
        </is>
      </c>
    </row>
    <row r="56" ht="30" customHeight="1">
      <c r="A56" s="65" t="inlineStr">
        <is>
          <t>Provincial: LP diesel / million L/year</t>
        </is>
      </c>
      <c r="B56" s="65" t="inlineStr">
        <is>
          <t>million L</t>
        </is>
      </c>
      <c r="C56" s="65" t="inlineStr">
        <is>
          <t>Source observation</t>
        </is>
      </c>
      <c r="D56" s="114" t="n">
        <v>59.657977532</v>
      </c>
      <c r="E56" s="114" t="inlineStr">
        <is>
          <t>2022 full year. Latest separate value: 2023 Q1 only</t>
        </is>
      </c>
      <c r="F56" s="115" t="n">
        <v>221.987440248</v>
      </c>
      <c r="G56" s="115" t="n"/>
      <c r="H56" s="115" t="n"/>
      <c r="I56" s="115" t="n"/>
      <c r="J56" s="115" t="n"/>
      <c r="K56" s="115" t="n"/>
      <c r="L56" s="115" t="n"/>
      <c r="M56" s="115" t="n"/>
      <c r="N56" s="115" t="n"/>
      <c r="O56" s="115" t="n"/>
      <c r="P56" s="115" t="n"/>
      <c r="Q56" s="115" t="n"/>
      <c r="R56" s="115" t="n"/>
      <c r="S56" s="115" t="n"/>
      <c r="T56" s="65" t="inlineStr">
        <is>
          <t>2022 full year; latest Q1 2023 in R, not annualised.</t>
        </is>
      </c>
      <c r="U56" s="65" t="inlineStr">
        <is>
          <t>https://github.com/Africa-International-Advisors/liq… [N261]</t>
        </is>
      </c>
      <c r="V56" s="65" t="inlineStr">
        <is>
          <t>Sales geography; not automatically consumption geography.</t>
        </is>
      </c>
    </row>
    <row r="57" ht="30" customHeight="1">
      <c r="A57" s="65" t="inlineStr">
        <is>
          <t>Provincial: MP diesel / million L/year</t>
        </is>
      </c>
      <c r="B57" s="65" t="inlineStr">
        <is>
          <t>million L</t>
        </is>
      </c>
      <c r="C57" s="65" t="inlineStr">
        <is>
          <t>Source observation</t>
        </is>
      </c>
      <c r="D57" s="114" t="n">
        <v>289.1097057700001</v>
      </c>
      <c r="E57" s="114" t="inlineStr">
        <is>
          <t>2022 full year. Latest separate value: 2023 Q1 only</t>
        </is>
      </c>
      <c r="F57" s="115" t="n">
        <v>1144.924075864997</v>
      </c>
      <c r="G57" s="115" t="n"/>
      <c r="H57" s="115" t="n"/>
      <c r="I57" s="115" t="n"/>
      <c r="J57" s="115" t="n"/>
      <c r="K57" s="115" t="n"/>
      <c r="L57" s="115" t="n"/>
      <c r="M57" s="115" t="n"/>
      <c r="N57" s="115" t="n"/>
      <c r="O57" s="115" t="n"/>
      <c r="P57" s="115" t="n"/>
      <c r="Q57" s="115" t="n"/>
      <c r="R57" s="115" t="n"/>
      <c r="S57" s="115" t="n"/>
      <c r="T57" s="65" t="inlineStr">
        <is>
          <t>2022 full year; latest Q1 2023 in R, not annualised.</t>
        </is>
      </c>
      <c r="U57" s="65" t="inlineStr">
        <is>
          <t>https://github.com/Africa-International-Advisors/liq… [N262]</t>
        </is>
      </c>
      <c r="V57" s="65" t="inlineStr">
        <is>
          <t>Sales geography; not automatically consumption geography.</t>
        </is>
      </c>
    </row>
    <row r="58" ht="30" customHeight="1">
      <c r="A58" s="65" t="inlineStr">
        <is>
          <t>Provincial: NC diesel / million L/year</t>
        </is>
      </c>
      <c r="B58" s="65" t="inlineStr">
        <is>
          <t>million L</t>
        </is>
      </c>
      <c r="C58" s="65" t="inlineStr">
        <is>
          <t>Source observation</t>
        </is>
      </c>
      <c r="D58" s="114" t="n">
        <v>88.67814113899999</v>
      </c>
      <c r="E58" s="114" t="inlineStr">
        <is>
          <t>2022 full year. Latest separate value: 2023 Q1 only</t>
        </is>
      </c>
      <c r="F58" s="115" t="n">
        <v>351.9801199100001</v>
      </c>
      <c r="G58" s="115" t="n"/>
      <c r="H58" s="115" t="n"/>
      <c r="I58" s="115" t="n"/>
      <c r="J58" s="115" t="n"/>
      <c r="K58" s="115" t="n"/>
      <c r="L58" s="115" t="n"/>
      <c r="M58" s="115" t="n"/>
      <c r="N58" s="115" t="n"/>
      <c r="O58" s="115" t="n"/>
      <c r="P58" s="115" t="n"/>
      <c r="Q58" s="115" t="n"/>
      <c r="R58" s="115" t="n"/>
      <c r="S58" s="115" t="n"/>
      <c r="T58" s="65" t="inlineStr">
        <is>
          <t>2022 full year; latest Q1 2023 in R, not annualised.</t>
        </is>
      </c>
      <c r="U58" s="65" t="inlineStr">
        <is>
          <t>https://github.com/Africa-International-Advisors/liq… [N263]</t>
        </is>
      </c>
      <c r="V58" s="65" t="inlineStr">
        <is>
          <t>Sales geography; not automatically consumption geography.</t>
        </is>
      </c>
    </row>
    <row r="59" ht="30" customHeight="1">
      <c r="A59" s="65" t="inlineStr">
        <is>
          <t>Provincial: NW diesel / million L/year</t>
        </is>
      </c>
      <c r="B59" s="65" t="inlineStr">
        <is>
          <t>million L</t>
        </is>
      </c>
      <c r="C59" s="65" t="inlineStr">
        <is>
          <t>Source observation</t>
        </is>
      </c>
      <c r="D59" s="114" t="n">
        <v>139.123552485</v>
      </c>
      <c r="E59" s="114" t="inlineStr">
        <is>
          <t>2022 full year. Latest separate value: 2023 Q1 only</t>
        </is>
      </c>
      <c r="F59" s="115" t="n">
        <v>619.906488913</v>
      </c>
      <c r="G59" s="115" t="n"/>
      <c r="H59" s="115" t="n"/>
      <c r="I59" s="115" t="n"/>
      <c r="J59" s="115" t="n"/>
      <c r="K59" s="115" t="n"/>
      <c r="L59" s="115" t="n"/>
      <c r="M59" s="115" t="n"/>
      <c r="N59" s="115" t="n"/>
      <c r="O59" s="115" t="n"/>
      <c r="P59" s="115" t="n"/>
      <c r="Q59" s="115" t="n"/>
      <c r="R59" s="115" t="n"/>
      <c r="S59" s="115" t="n"/>
      <c r="T59" s="65" t="inlineStr">
        <is>
          <t>2022 full year; latest Q1 2023 in R, not annualised.</t>
        </is>
      </c>
      <c r="U59" s="65" t="inlineStr">
        <is>
          <t>https://github.com/Africa-International-Advisors/liq… [N264]</t>
        </is>
      </c>
      <c r="V59" s="65" t="inlineStr">
        <is>
          <t>Sales geography; not automatically consumption geography.</t>
        </is>
      </c>
    </row>
    <row r="60" ht="30" customHeight="1">
      <c r="A60" s="65" t="inlineStr">
        <is>
          <t>Provincial: WC diesel / million L/year</t>
        </is>
      </c>
      <c r="B60" s="65" t="inlineStr">
        <is>
          <t>million L</t>
        </is>
      </c>
      <c r="C60" s="65" t="inlineStr">
        <is>
          <t>Source observation</t>
        </is>
      </c>
      <c r="D60" s="114" t="n">
        <v>741.744138472</v>
      </c>
      <c r="E60" s="114" t="inlineStr">
        <is>
          <t>2022 full year. Latest separate value: 2023 Q1 only</t>
        </is>
      </c>
      <c r="F60" s="115" t="n">
        <v>2499.769547067</v>
      </c>
      <c r="G60" s="115" t="n"/>
      <c r="H60" s="115" t="n"/>
      <c r="I60" s="115" t="n"/>
      <c r="J60" s="115" t="n"/>
      <c r="K60" s="115" t="n"/>
      <c r="L60" s="115" t="n"/>
      <c r="M60" s="115" t="n"/>
      <c r="N60" s="115" t="n"/>
      <c r="O60" s="115" t="n"/>
      <c r="P60" s="115" t="n"/>
      <c r="Q60" s="115" t="n"/>
      <c r="R60" s="115" t="n"/>
      <c r="S60" s="115" t="n"/>
      <c r="T60" s="65" t="inlineStr">
        <is>
          <t>2022 full year; latest Q1 2023 in R, not annualised.</t>
        </is>
      </c>
      <c r="U60" s="65" t="inlineStr">
        <is>
          <t>https://github.com/Africa-International-Advisors/liq… [N265]</t>
        </is>
      </c>
      <c r="V60" s="65" t="inlineStr">
        <is>
          <t>Sales geography; not automatically consumption geography.</t>
        </is>
      </c>
    </row>
    <row r="61" ht="8" customHeight="1">
      <c r="A61" s="3" t="n"/>
      <c r="B61" s="3" t="n"/>
      <c r="C61" s="3" t="n"/>
      <c r="D61" s="121" t="n"/>
      <c r="E61" s="121" t="n"/>
      <c r="F61" s="122" t="n"/>
      <c r="G61" s="122" t="n"/>
      <c r="H61" s="122" t="n"/>
      <c r="I61" s="122" t="n"/>
      <c r="J61" s="122" t="n"/>
      <c r="K61" s="122" t="n"/>
      <c r="L61" s="122" t="n"/>
      <c r="M61" s="122" t="n"/>
      <c r="N61" s="122" t="n"/>
      <c r="O61" s="122" t="n"/>
      <c r="P61" s="122" t="n"/>
      <c r="Q61" s="122" t="n"/>
      <c r="R61" s="122" t="n"/>
      <c r="S61" s="122" t="n"/>
      <c r="T61" s="3" t="n"/>
      <c r="U61" s="3" t="n"/>
      <c r="V61" s="3" t="n"/>
    </row>
    <row r="62" ht="8" customHeight="1">
      <c r="A62" s="3" t="n"/>
      <c r="B62" s="3" t="n"/>
      <c r="C62" s="3" t="n"/>
      <c r="D62" s="121" t="n"/>
      <c r="E62" s="121" t="n"/>
      <c r="F62" s="122" t="n"/>
      <c r="G62" s="122" t="n"/>
      <c r="H62" s="122" t="n"/>
      <c r="I62" s="122" t="n"/>
      <c r="J62" s="122" t="n"/>
      <c r="K62" s="122" t="n"/>
      <c r="L62" s="122" t="n"/>
      <c r="M62" s="122" t="n"/>
      <c r="N62" s="122" t="n"/>
      <c r="O62" s="122" t="n"/>
      <c r="P62" s="122" t="n"/>
      <c r="Q62" s="122" t="n"/>
      <c r="R62" s="122" t="n"/>
      <c r="S62" s="122" t="n"/>
      <c r="T62" s="3" t="n"/>
      <c r="U62" s="3" t="n"/>
      <c r="V62" s="3" t="n"/>
    </row>
    <row r="63" ht="8" customHeight="1">
      <c r="A63" s="3" t="n"/>
      <c r="B63" s="3" t="n"/>
      <c r="C63" s="3" t="n"/>
      <c r="D63" s="121" t="n"/>
      <c r="E63" s="121" t="n"/>
      <c r="F63" s="122" t="n"/>
      <c r="G63" s="122" t="n"/>
      <c r="H63" s="122" t="n"/>
      <c r="I63" s="122" t="n"/>
      <c r="J63" s="122" t="n"/>
      <c r="K63" s="122" t="n"/>
      <c r="L63" s="122" t="n"/>
      <c r="M63" s="122" t="n"/>
      <c r="N63" s="122" t="n"/>
      <c r="O63" s="122" t="n"/>
      <c r="P63" s="122" t="n"/>
      <c r="Q63" s="122" t="n"/>
      <c r="R63" s="122" t="n"/>
      <c r="S63" s="122" t="n"/>
      <c r="T63" s="3" t="n"/>
      <c r="U63" s="3" t="n"/>
      <c r="V63" s="3" t="n"/>
    </row>
    <row r="64" ht="8" customHeight="1">
      <c r="A64" s="3" t="n"/>
      <c r="B64" s="3" t="n"/>
      <c r="C64" s="3" t="n"/>
      <c r="D64" s="121" t="n"/>
      <c r="E64" s="121" t="n"/>
      <c r="F64" s="122" t="n"/>
      <c r="G64" s="122" t="n"/>
      <c r="H64" s="122" t="n"/>
      <c r="I64" s="122" t="n"/>
      <c r="J64" s="122" t="n"/>
      <c r="K64" s="122" t="n"/>
      <c r="L64" s="122" t="n"/>
      <c r="M64" s="122" t="n"/>
      <c r="N64" s="122" t="n"/>
      <c r="O64" s="122" t="n"/>
      <c r="P64" s="122" t="n"/>
      <c r="Q64" s="122" t="n"/>
      <c r="R64" s="122" t="n"/>
      <c r="S64" s="122" t="n"/>
      <c r="T64" s="3" t="n"/>
      <c r="U64" s="3" t="n"/>
      <c r="V64" s="3" t="n"/>
    </row>
    <row r="65" ht="8" customHeight="1">
      <c r="A65" s="3" t="n"/>
      <c r="B65" s="3" t="n"/>
      <c r="C65" s="3" t="n"/>
      <c r="D65" s="121" t="n"/>
      <c r="E65" s="121" t="n"/>
      <c r="F65" s="122" t="n"/>
      <c r="G65" s="122" t="n"/>
      <c r="H65" s="122" t="n"/>
      <c r="I65" s="122" t="n"/>
      <c r="J65" s="122" t="n"/>
      <c r="K65" s="122" t="n"/>
      <c r="L65" s="122" t="n"/>
      <c r="M65" s="122" t="n"/>
      <c r="N65" s="122" t="n"/>
      <c r="O65" s="122" t="n"/>
      <c r="P65" s="122" t="n"/>
      <c r="Q65" s="122" t="n"/>
      <c r="R65" s="122" t="n"/>
      <c r="S65" s="122" t="n"/>
      <c r="T65" s="3" t="n"/>
      <c r="U65" s="3" t="n"/>
      <c r="V65" s="3" t="n"/>
    </row>
    <row r="66" ht="8" customHeight="1">
      <c r="A66" s="3" t="n"/>
      <c r="B66" s="3" t="n"/>
      <c r="C66" s="3" t="n"/>
      <c r="D66" s="121" t="n"/>
      <c r="E66" s="121" t="n"/>
      <c r="F66" s="122" t="n"/>
      <c r="G66" s="122" t="n"/>
      <c r="H66" s="122" t="n"/>
      <c r="I66" s="122" t="n"/>
      <c r="J66" s="122" t="n"/>
      <c r="K66" s="122" t="n"/>
      <c r="L66" s="122" t="n"/>
      <c r="M66" s="122" t="n"/>
      <c r="N66" s="122" t="n"/>
      <c r="O66" s="122" t="n"/>
      <c r="P66" s="122" t="n"/>
      <c r="Q66" s="122" t="n"/>
      <c r="R66" s="122" t="n"/>
      <c r="S66" s="122" t="n"/>
      <c r="T66" s="3" t="n"/>
      <c r="U66" s="3" t="n"/>
      <c r="V66" s="3" t="n"/>
    </row>
    <row r="67" ht="8" customHeight="1">
      <c r="A67" s="3" t="n"/>
      <c r="B67" s="3" t="n"/>
      <c r="C67" s="3" t="n"/>
      <c r="D67" s="121" t="n"/>
      <c r="E67" s="121" t="n"/>
      <c r="F67" s="122" t="n"/>
      <c r="G67" s="122" t="n"/>
      <c r="H67" s="122" t="n"/>
      <c r="I67" s="122" t="n"/>
      <c r="J67" s="122" t="n"/>
      <c r="K67" s="122" t="n"/>
      <c r="L67" s="122" t="n"/>
      <c r="M67" s="122" t="n"/>
      <c r="N67" s="122" t="n"/>
      <c r="O67" s="122" t="n"/>
      <c r="P67" s="122" t="n"/>
      <c r="Q67" s="122" t="n"/>
      <c r="R67" s="122" t="n"/>
      <c r="S67" s="122" t="n"/>
      <c r="T67" s="3" t="n"/>
      <c r="U67" s="3" t="n"/>
      <c r="V67" s="3" t="n"/>
    </row>
    <row r="68" ht="8" customHeight="1">
      <c r="A68" s="3" t="n"/>
      <c r="B68" s="3" t="n"/>
      <c r="C68" s="3" t="n"/>
      <c r="D68" s="121" t="n"/>
      <c r="E68" s="121" t="n"/>
      <c r="F68" s="122" t="n"/>
      <c r="G68" s="122" t="n"/>
      <c r="H68" s="122" t="n"/>
      <c r="I68" s="122" t="n"/>
      <c r="J68" s="122" t="n"/>
      <c r="K68" s="122" t="n"/>
      <c r="L68" s="122" t="n"/>
      <c r="M68" s="122" t="n"/>
      <c r="N68" s="122" t="n"/>
      <c r="O68" s="122" t="n"/>
      <c r="P68" s="122" t="n"/>
      <c r="Q68" s="122" t="n"/>
      <c r="R68" s="122" t="n"/>
      <c r="S68" s="122" t="n"/>
      <c r="T68" s="3" t="n"/>
      <c r="U68" s="3" t="n"/>
      <c r="V68" s="3" t="n"/>
    </row>
    <row r="69" ht="8" customHeight="1">
      <c r="A69" s="3" t="n"/>
      <c r="B69" s="3" t="n"/>
      <c r="C69" s="3" t="n"/>
      <c r="D69" s="121" t="n"/>
      <c r="E69" s="121" t="n"/>
      <c r="F69" s="122" t="n"/>
      <c r="G69" s="122" t="n"/>
      <c r="H69" s="122" t="n"/>
      <c r="I69" s="122" t="n"/>
      <c r="J69" s="122" t="n"/>
      <c r="K69" s="122" t="n"/>
      <c r="L69" s="122" t="n"/>
      <c r="M69" s="122" t="n"/>
      <c r="N69" s="122" t="n"/>
      <c r="O69" s="122" t="n"/>
      <c r="P69" s="122" t="n"/>
      <c r="Q69" s="122" t="n"/>
      <c r="R69" s="122" t="n"/>
      <c r="S69" s="122" t="n"/>
      <c r="T69" s="3" t="n"/>
      <c r="U69" s="3" t="n"/>
      <c r="V69" s="3" t="n"/>
    </row>
    <row r="70" ht="8" customHeight="1">
      <c r="A70" s="3" t="n"/>
      <c r="B70" s="3" t="n"/>
      <c r="C70" s="3" t="n"/>
      <c r="D70" s="121" t="n"/>
      <c r="E70" s="121" t="n"/>
      <c r="F70" s="122" t="n"/>
      <c r="G70" s="122" t="n"/>
      <c r="H70" s="122" t="n"/>
      <c r="I70" s="122" t="n"/>
      <c r="J70" s="122" t="n"/>
      <c r="K70" s="122" t="n"/>
      <c r="L70" s="122" t="n"/>
      <c r="M70" s="122" t="n"/>
      <c r="N70" s="122" t="n"/>
      <c r="O70" s="122" t="n"/>
      <c r="P70" s="122" t="n"/>
      <c r="Q70" s="122" t="n"/>
      <c r="R70" s="122" t="n"/>
      <c r="S70" s="122" t="n"/>
      <c r="T70" s="3" t="n"/>
      <c r="U70" s="3" t="n"/>
      <c r="V70" s="3" t="n"/>
    </row>
    <row r="71" ht="8" customHeight="1">
      <c r="A71" s="3" t="n"/>
      <c r="B71" s="3" t="n"/>
      <c r="C71" s="3" t="n"/>
      <c r="D71" s="121" t="n"/>
      <c r="E71" s="121" t="n"/>
      <c r="F71" s="122" t="n"/>
      <c r="G71" s="122" t="n"/>
      <c r="H71" s="122" t="n"/>
      <c r="I71" s="122" t="n"/>
      <c r="J71" s="122" t="n"/>
      <c r="K71" s="122" t="n"/>
      <c r="L71" s="122" t="n"/>
      <c r="M71" s="122" t="n"/>
      <c r="N71" s="122" t="n"/>
      <c r="O71" s="122" t="n"/>
      <c r="P71" s="122" t="n"/>
      <c r="Q71" s="122" t="n"/>
      <c r="R71" s="122" t="n"/>
      <c r="S71" s="122" t="n"/>
      <c r="T71" s="3" t="n"/>
      <c r="U71" s="3" t="n"/>
      <c r="V71" s="3" t="n"/>
    </row>
    <row r="72" ht="8" customHeight="1">
      <c r="A72" s="3" t="n"/>
      <c r="B72" s="3" t="n"/>
      <c r="C72" s="3" t="n"/>
      <c r="D72" s="121" t="n"/>
      <c r="E72" s="121" t="n"/>
      <c r="F72" s="122" t="n"/>
      <c r="G72" s="122" t="n"/>
      <c r="H72" s="122" t="n"/>
      <c r="I72" s="122" t="n"/>
      <c r="J72" s="122" t="n"/>
      <c r="K72" s="122" t="n"/>
      <c r="L72" s="122" t="n"/>
      <c r="M72" s="122" t="n"/>
      <c r="N72" s="122" t="n"/>
      <c r="O72" s="122" t="n"/>
      <c r="P72" s="122" t="n"/>
      <c r="Q72" s="122" t="n"/>
      <c r="R72" s="122" t="n"/>
      <c r="S72" s="122" t="n"/>
      <c r="T72" s="3" t="n"/>
      <c r="U72" s="3" t="n"/>
      <c r="V72" s="3" t="n"/>
    </row>
    <row r="73" ht="8" customHeight="1">
      <c r="A73" s="3" t="n"/>
      <c r="B73" s="3" t="n"/>
      <c r="C73" s="3" t="n"/>
      <c r="D73" s="121" t="n"/>
      <c r="E73" s="121" t="n"/>
      <c r="F73" s="122" t="n"/>
      <c r="G73" s="122" t="n"/>
      <c r="H73" s="122" t="n"/>
      <c r="I73" s="122" t="n"/>
      <c r="J73" s="122" t="n"/>
      <c r="K73" s="122" t="n"/>
      <c r="L73" s="122" t="n"/>
      <c r="M73" s="122" t="n"/>
      <c r="N73" s="122" t="n"/>
      <c r="O73" s="122" t="n"/>
      <c r="P73" s="122" t="n"/>
      <c r="Q73" s="122" t="n"/>
      <c r="R73" s="122" t="n"/>
      <c r="S73" s="122" t="n"/>
      <c r="T73" s="3" t="n"/>
      <c r="U73" s="3" t="n"/>
      <c r="V73" s="3" t="n"/>
    </row>
    <row r="74" ht="8" customHeight="1">
      <c r="A74" s="3" t="n"/>
      <c r="B74" s="3" t="n"/>
      <c r="C74" s="3" t="n"/>
      <c r="D74" s="121" t="n"/>
      <c r="E74" s="121" t="n"/>
      <c r="F74" s="122" t="n"/>
      <c r="G74" s="122" t="n"/>
      <c r="H74" s="122" t="n"/>
      <c r="I74" s="122" t="n"/>
      <c r="J74" s="122" t="n"/>
      <c r="K74" s="122" t="n"/>
      <c r="L74" s="122" t="n"/>
      <c r="M74" s="122" t="n"/>
      <c r="N74" s="122" t="n"/>
      <c r="O74" s="122" t="n"/>
      <c r="P74" s="122" t="n"/>
      <c r="Q74" s="122" t="n"/>
      <c r="R74" s="122" t="n"/>
      <c r="S74" s="122" t="n"/>
      <c r="T74" s="3" t="n"/>
      <c r="U74" s="3" t="n"/>
      <c r="V74" s="3" t="n"/>
    </row>
    <row r="75" ht="8" customHeight="1">
      <c r="A75" s="3" t="n"/>
      <c r="B75" s="3" t="n"/>
      <c r="C75" s="3" t="n"/>
      <c r="D75" s="121" t="n"/>
      <c r="E75" s="121" t="n"/>
      <c r="F75" s="122" t="n"/>
      <c r="G75" s="122" t="n"/>
      <c r="H75" s="122" t="n"/>
      <c r="I75" s="122" t="n"/>
      <c r="J75" s="122" t="n"/>
      <c r="K75" s="122" t="n"/>
      <c r="L75" s="122" t="n"/>
      <c r="M75" s="122" t="n"/>
      <c r="N75" s="122" t="n"/>
      <c r="O75" s="122" t="n"/>
      <c r="P75" s="122" t="n"/>
      <c r="Q75" s="122" t="n"/>
      <c r="R75" s="122" t="n"/>
      <c r="S75" s="122" t="n"/>
      <c r="T75" s="3" t="n"/>
      <c r="U75" s="3" t="n"/>
      <c r="V75" s="3" t="n"/>
    </row>
    <row r="76" ht="8" customHeight="1">
      <c r="A76" s="3" t="n"/>
      <c r="B76" s="3" t="n"/>
      <c r="C76" s="3" t="n"/>
      <c r="D76" s="121" t="n"/>
      <c r="E76" s="121" t="n"/>
      <c r="F76" s="122" t="n"/>
      <c r="G76" s="122" t="n"/>
      <c r="H76" s="122" t="n"/>
      <c r="I76" s="122" t="n"/>
      <c r="J76" s="122" t="n"/>
      <c r="K76" s="122" t="n"/>
      <c r="L76" s="122" t="n"/>
      <c r="M76" s="122" t="n"/>
      <c r="N76" s="122" t="n"/>
      <c r="O76" s="122" t="n"/>
      <c r="P76" s="122" t="n"/>
      <c r="Q76" s="122" t="n"/>
      <c r="R76" s="122" t="n"/>
      <c r="S76" s="122" t="n"/>
      <c r="T76" s="3" t="n"/>
      <c r="U76" s="3" t="n"/>
      <c r="V76" s="3" t="n"/>
    </row>
    <row r="77" ht="8" customHeight="1">
      <c r="A77" s="3" t="n"/>
      <c r="B77" s="3" t="n"/>
      <c r="C77" s="3" t="n"/>
      <c r="D77" s="121" t="n"/>
      <c r="E77" s="121" t="n"/>
      <c r="F77" s="122" t="n"/>
      <c r="G77" s="122" t="n"/>
      <c r="H77" s="122" t="n"/>
      <c r="I77" s="122" t="n"/>
      <c r="J77" s="122" t="n"/>
      <c r="K77" s="122" t="n"/>
      <c r="L77" s="122" t="n"/>
      <c r="M77" s="122" t="n"/>
      <c r="N77" s="122" t="n"/>
      <c r="O77" s="122" t="n"/>
      <c r="P77" s="122" t="n"/>
      <c r="Q77" s="122" t="n"/>
      <c r="R77" s="122" t="n"/>
      <c r="S77" s="122" t="n"/>
      <c r="T77" s="3" t="n"/>
      <c r="U77" s="3" t="n"/>
      <c r="V77" s="3" t="n"/>
    </row>
    <row r="78" ht="8" customHeight="1">
      <c r="A78" s="3" t="n"/>
      <c r="B78" s="3" t="n"/>
      <c r="C78" s="3" t="n"/>
      <c r="D78" s="121" t="n"/>
      <c r="E78" s="121" t="n"/>
      <c r="F78" s="122" t="n"/>
      <c r="G78" s="122" t="n"/>
      <c r="H78" s="122" t="n"/>
      <c r="I78" s="122" t="n"/>
      <c r="J78" s="122" t="n"/>
      <c r="K78" s="122" t="n"/>
      <c r="L78" s="122" t="n"/>
      <c r="M78" s="122" t="n"/>
      <c r="N78" s="122" t="n"/>
      <c r="O78" s="122" t="n"/>
      <c r="P78" s="122" t="n"/>
      <c r="Q78" s="122" t="n"/>
      <c r="R78" s="122" t="n"/>
      <c r="S78" s="122" t="n"/>
      <c r="T78" s="3" t="n"/>
      <c r="U78" s="3" t="n"/>
      <c r="V78" s="3" t="n"/>
    </row>
    <row r="79" ht="8" customHeight="1">
      <c r="A79" s="3" t="n"/>
      <c r="B79" s="3" t="n"/>
      <c r="C79" s="3" t="n"/>
      <c r="D79" s="121" t="n"/>
      <c r="E79" s="121" t="n"/>
      <c r="F79" s="122" t="n"/>
      <c r="G79" s="122" t="n"/>
      <c r="H79" s="122" t="n"/>
      <c r="I79" s="122" t="n"/>
      <c r="J79" s="122" t="n"/>
      <c r="K79" s="122" t="n"/>
      <c r="L79" s="122" t="n"/>
      <c r="M79" s="122" t="n"/>
      <c r="N79" s="122" t="n"/>
      <c r="O79" s="122" t="n"/>
      <c r="P79" s="122" t="n"/>
      <c r="Q79" s="122" t="n"/>
      <c r="R79" s="122" t="n"/>
      <c r="S79" s="122" t="n"/>
      <c r="T79" s="3" t="n"/>
      <c r="U79" s="3" t="n"/>
      <c r="V79" s="3" t="n"/>
    </row>
    <row r="80" ht="8" customHeight="1">
      <c r="A80" s="3" t="n"/>
      <c r="B80" s="3" t="n"/>
      <c r="C80" s="3" t="n"/>
      <c r="D80" s="121" t="n"/>
      <c r="E80" s="121" t="n"/>
      <c r="F80" s="122" t="n"/>
      <c r="G80" s="122" t="n"/>
      <c r="H80" s="122" t="n"/>
      <c r="I80" s="122" t="n"/>
      <c r="J80" s="122" t="n"/>
      <c r="K80" s="122" t="n"/>
      <c r="L80" s="122" t="n"/>
      <c r="M80" s="122" t="n"/>
      <c r="N80" s="122" t="n"/>
      <c r="O80" s="122" t="n"/>
      <c r="P80" s="122" t="n"/>
      <c r="Q80" s="122" t="n"/>
      <c r="R80" s="122" t="n"/>
      <c r="S80" s="122" t="n"/>
      <c r="T80" s="3" t="n"/>
      <c r="U80" s="3" t="n"/>
      <c r="V80" s="3" t="n"/>
    </row>
    <row r="81" ht="8" customHeight="1">
      <c r="A81" s="3" t="n"/>
      <c r="B81" s="3" t="n"/>
      <c r="C81" s="3" t="n"/>
      <c r="D81" s="121" t="n"/>
      <c r="E81" s="121" t="n"/>
      <c r="F81" s="122" t="n"/>
      <c r="G81" s="122" t="n"/>
      <c r="H81" s="122" t="n"/>
      <c r="I81" s="122" t="n"/>
      <c r="J81" s="122" t="n"/>
      <c r="K81" s="122" t="n"/>
      <c r="L81" s="122" t="n"/>
      <c r="M81" s="122" t="n"/>
      <c r="N81" s="122" t="n"/>
      <c r="O81" s="122" t="n"/>
      <c r="P81" s="122" t="n"/>
      <c r="Q81" s="122" t="n"/>
      <c r="R81" s="122" t="n"/>
      <c r="S81" s="122" t="n"/>
      <c r="T81" s="3" t="n"/>
      <c r="U81" s="3" t="n"/>
      <c r="V81" s="3" t="n"/>
    </row>
    <row r="82" ht="8" customHeight="1">
      <c r="A82" s="3" t="n"/>
      <c r="B82" s="3" t="n"/>
      <c r="C82" s="3" t="n"/>
      <c r="D82" s="121" t="n"/>
      <c r="E82" s="121" t="n"/>
      <c r="F82" s="122" t="n"/>
      <c r="G82" s="122" t="n"/>
      <c r="H82" s="122" t="n"/>
      <c r="I82" s="122" t="n"/>
      <c r="J82" s="122" t="n"/>
      <c r="K82" s="122" t="n"/>
      <c r="L82" s="122" t="n"/>
      <c r="M82" s="122" t="n"/>
      <c r="N82" s="122" t="n"/>
      <c r="O82" s="122" t="n"/>
      <c r="P82" s="122" t="n"/>
      <c r="Q82" s="122" t="n"/>
      <c r="R82" s="122" t="n"/>
      <c r="S82" s="122" t="n"/>
      <c r="T82" s="3" t="n"/>
      <c r="U82" s="3" t="n"/>
      <c r="V82" s="3" t="n"/>
    </row>
    <row r="83" ht="8" customHeight="1">
      <c r="A83" s="3" t="n"/>
      <c r="B83" s="3" t="n"/>
      <c r="C83" s="3" t="n"/>
      <c r="D83" s="121" t="n"/>
      <c r="E83" s="121" t="n"/>
      <c r="F83" s="122" t="n"/>
      <c r="G83" s="122" t="n"/>
      <c r="H83" s="122" t="n"/>
      <c r="I83" s="122" t="n"/>
      <c r="J83" s="122" t="n"/>
      <c r="K83" s="122" t="n"/>
      <c r="L83" s="122" t="n"/>
      <c r="M83" s="122" t="n"/>
      <c r="N83" s="122" t="n"/>
      <c r="O83" s="122" t="n"/>
      <c r="P83" s="122" t="n"/>
      <c r="Q83" s="122" t="n"/>
      <c r="R83" s="122" t="n"/>
      <c r="S83" s="122" t="n"/>
      <c r="T83" s="3" t="n"/>
      <c r="U83" s="3" t="n"/>
      <c r="V83" s="3" t="n"/>
    </row>
    <row r="84" ht="8" customHeight="1">
      <c r="A84" s="3" t="n"/>
      <c r="B84" s="3" t="n"/>
      <c r="C84" s="3" t="n"/>
      <c r="D84" s="121" t="n"/>
      <c r="E84" s="121" t="n"/>
      <c r="F84" s="122" t="n"/>
      <c r="G84" s="122" t="n"/>
      <c r="H84" s="122" t="n"/>
      <c r="I84" s="122" t="n"/>
      <c r="J84" s="122" t="n"/>
      <c r="K84" s="122" t="n"/>
      <c r="L84" s="122" t="n"/>
      <c r="M84" s="122" t="n"/>
      <c r="N84" s="122" t="n"/>
      <c r="O84" s="122" t="n"/>
      <c r="P84" s="122" t="n"/>
      <c r="Q84" s="122" t="n"/>
      <c r="R84" s="122" t="n"/>
      <c r="S84" s="122" t="n"/>
      <c r="T84" s="3" t="n"/>
      <c r="U84" s="3" t="n"/>
      <c r="V84" s="3" t="n"/>
    </row>
    <row r="85" ht="8" customHeight="1">
      <c r="A85" s="3" t="n"/>
      <c r="B85" s="3" t="n"/>
      <c r="C85" s="3" t="n"/>
      <c r="D85" s="121" t="n"/>
      <c r="E85" s="121" t="n"/>
      <c r="F85" s="122" t="n"/>
      <c r="G85" s="122" t="n"/>
      <c r="H85" s="122" t="n"/>
      <c r="I85" s="122" t="n"/>
      <c r="J85" s="122" t="n"/>
      <c r="K85" s="122" t="n"/>
      <c r="L85" s="122" t="n"/>
      <c r="M85" s="122" t="n"/>
      <c r="N85" s="122" t="n"/>
      <c r="O85" s="122" t="n"/>
      <c r="P85" s="122" t="n"/>
      <c r="Q85" s="122" t="n"/>
      <c r="R85" s="122" t="n"/>
      <c r="S85" s="122" t="n"/>
      <c r="T85" s="3" t="n"/>
      <c r="U85" s="3" t="n"/>
      <c r="V85" s="3" t="n"/>
    </row>
    <row r="86" ht="8" customHeight="1">
      <c r="A86" s="3" t="n"/>
      <c r="B86" s="3" t="n"/>
      <c r="C86" s="3" t="n"/>
      <c r="D86" s="121" t="n"/>
      <c r="E86" s="121" t="n"/>
      <c r="F86" s="122" t="n"/>
      <c r="G86" s="122" t="n"/>
      <c r="H86" s="122" t="n"/>
      <c r="I86" s="122" t="n"/>
      <c r="J86" s="122" t="n"/>
      <c r="K86" s="122" t="n"/>
      <c r="L86" s="122" t="n"/>
      <c r="M86" s="122" t="n"/>
      <c r="N86" s="122" t="n"/>
      <c r="O86" s="122" t="n"/>
      <c r="P86" s="122" t="n"/>
      <c r="Q86" s="122" t="n"/>
      <c r="R86" s="122" t="n"/>
      <c r="S86" s="122" t="n"/>
      <c r="T86" s="3" t="n"/>
      <c r="U86" s="3" t="n"/>
      <c r="V86" s="3" t="n"/>
    </row>
    <row r="87" ht="8" customHeight="1">
      <c r="A87" s="3" t="n"/>
      <c r="B87" s="3" t="n"/>
      <c r="C87" s="3" t="n"/>
      <c r="D87" s="121" t="n"/>
      <c r="E87" s="121" t="n"/>
      <c r="F87" s="122" t="n"/>
      <c r="G87" s="122" t="n"/>
      <c r="H87" s="122" t="n"/>
      <c r="I87" s="122" t="n"/>
      <c r="J87" s="122" t="n"/>
      <c r="K87" s="122" t="n"/>
      <c r="L87" s="122" t="n"/>
      <c r="M87" s="122" t="n"/>
      <c r="N87" s="122" t="n"/>
      <c r="O87" s="122" t="n"/>
      <c r="P87" s="122" t="n"/>
      <c r="Q87" s="122" t="n"/>
      <c r="R87" s="122" t="n"/>
      <c r="S87" s="122" t="n"/>
      <c r="T87" s="3" t="n"/>
      <c r="U87" s="3" t="n"/>
      <c r="V87" s="3" t="n"/>
    </row>
    <row r="88" ht="8" customHeight="1">
      <c r="A88" s="3" t="n"/>
      <c r="B88" s="3" t="n"/>
      <c r="C88" s="3" t="n"/>
      <c r="D88" s="121" t="n"/>
      <c r="E88" s="121" t="n"/>
      <c r="F88" s="122" t="n"/>
      <c r="G88" s="122" t="n"/>
      <c r="H88" s="122" t="n"/>
      <c r="I88" s="122" t="n"/>
      <c r="J88" s="122" t="n"/>
      <c r="K88" s="122" t="n"/>
      <c r="L88" s="122" t="n"/>
      <c r="M88" s="122" t="n"/>
      <c r="N88" s="122" t="n"/>
      <c r="O88" s="122" t="n"/>
      <c r="P88" s="122" t="n"/>
      <c r="Q88" s="122" t="n"/>
      <c r="R88" s="122" t="n"/>
      <c r="S88" s="122" t="n"/>
      <c r="T88" s="3" t="n"/>
      <c r="U88" s="3" t="n"/>
      <c r="V88" s="3" t="n"/>
    </row>
    <row r="89" ht="8" customHeight="1">
      <c r="A89" s="3" t="n"/>
      <c r="B89" s="3" t="n"/>
      <c r="C89" s="3" t="n"/>
      <c r="D89" s="121" t="n"/>
      <c r="E89" s="121" t="n"/>
      <c r="F89" s="122" t="n"/>
      <c r="G89" s="122" t="n"/>
      <c r="H89" s="122" t="n"/>
      <c r="I89" s="122" t="n"/>
      <c r="J89" s="122" t="n"/>
      <c r="K89" s="122" t="n"/>
      <c r="L89" s="122" t="n"/>
      <c r="M89" s="122" t="n"/>
      <c r="N89" s="122" t="n"/>
      <c r="O89" s="122" t="n"/>
      <c r="P89" s="122" t="n"/>
      <c r="Q89" s="122" t="n"/>
      <c r="R89" s="122" t="n"/>
      <c r="S89" s="122" t="n"/>
      <c r="T89" s="3" t="n"/>
      <c r="U89" s="3" t="n"/>
      <c r="V89" s="3" t="n"/>
    </row>
    <row r="90" ht="8" customHeight="1">
      <c r="A90" s="3" t="n"/>
      <c r="B90" s="3" t="n"/>
      <c r="C90" s="3" t="n"/>
      <c r="D90" s="121" t="n"/>
      <c r="E90" s="121" t="n"/>
      <c r="F90" s="122" t="n"/>
      <c r="G90" s="122" t="n"/>
      <c r="H90" s="122" t="n"/>
      <c r="I90" s="122" t="n"/>
      <c r="J90" s="122" t="n"/>
      <c r="K90" s="122" t="n"/>
      <c r="L90" s="122" t="n"/>
      <c r="M90" s="122" t="n"/>
      <c r="N90" s="122" t="n"/>
      <c r="O90" s="122" t="n"/>
      <c r="P90" s="122" t="n"/>
      <c r="Q90" s="122" t="n"/>
      <c r="R90" s="122" t="n"/>
      <c r="S90" s="122" t="n"/>
      <c r="T90" s="3" t="n"/>
      <c r="U90" s="3" t="n"/>
      <c r="V90" s="3" t="n"/>
    </row>
    <row r="91" ht="8" customHeight="1">
      <c r="A91" s="3" t="n"/>
      <c r="B91" s="3" t="n"/>
      <c r="C91" s="3" t="n"/>
      <c r="D91" s="121" t="n"/>
      <c r="E91" s="121" t="n"/>
      <c r="F91" s="122" t="n"/>
      <c r="G91" s="122" t="n"/>
      <c r="H91" s="122" t="n"/>
      <c r="I91" s="122" t="n"/>
      <c r="J91" s="122" t="n"/>
      <c r="K91" s="122" t="n"/>
      <c r="L91" s="122" t="n"/>
      <c r="M91" s="122" t="n"/>
      <c r="N91" s="122" t="n"/>
      <c r="O91" s="122" t="n"/>
      <c r="P91" s="122" t="n"/>
      <c r="Q91" s="122" t="n"/>
      <c r="R91" s="122" t="n"/>
      <c r="S91" s="122" t="n"/>
      <c r="T91" s="3" t="n"/>
      <c r="U91" s="3" t="n"/>
      <c r="V91" s="3" t="n"/>
    </row>
    <row r="92" ht="8" customHeight="1">
      <c r="A92" s="3" t="n"/>
      <c r="B92" s="3" t="n"/>
      <c r="C92" s="3" t="n"/>
      <c r="D92" s="121" t="n"/>
      <c r="E92" s="121" t="n"/>
      <c r="F92" s="122" t="n"/>
      <c r="G92" s="122" t="n"/>
      <c r="H92" s="122" t="n"/>
      <c r="I92" s="122" t="n"/>
      <c r="J92" s="122" t="n"/>
      <c r="K92" s="122" t="n"/>
      <c r="L92" s="122" t="n"/>
      <c r="M92" s="122" t="n"/>
      <c r="N92" s="122" t="n"/>
      <c r="O92" s="122" t="n"/>
      <c r="P92" s="122" t="n"/>
      <c r="Q92" s="122" t="n"/>
      <c r="R92" s="122" t="n"/>
      <c r="S92" s="122" t="n"/>
      <c r="T92" s="3" t="n"/>
      <c r="U92" s="3" t="n"/>
      <c r="V92" s="3" t="n"/>
    </row>
    <row r="93" ht="8" customHeight="1">
      <c r="A93" s="3" t="n"/>
      <c r="B93" s="3" t="n"/>
      <c r="C93" s="3" t="n"/>
      <c r="D93" s="121" t="n"/>
      <c r="E93" s="121" t="n"/>
      <c r="F93" s="122" t="n"/>
      <c r="G93" s="122" t="n"/>
      <c r="H93" s="122" t="n"/>
      <c r="I93" s="122" t="n"/>
      <c r="J93" s="122" t="n"/>
      <c r="K93" s="122" t="n"/>
      <c r="L93" s="122" t="n"/>
      <c r="M93" s="122" t="n"/>
      <c r="N93" s="122" t="n"/>
      <c r="O93" s="122" t="n"/>
      <c r="P93" s="122" t="n"/>
      <c r="Q93" s="122" t="n"/>
      <c r="R93" s="122" t="n"/>
      <c r="S93" s="122" t="n"/>
      <c r="T93" s="3" t="n"/>
      <c r="U93" s="3" t="n"/>
      <c r="V93" s="3" t="n"/>
    </row>
    <row r="94" ht="8" customHeight="1">
      <c r="A94" s="3" t="n"/>
      <c r="B94" s="3" t="n"/>
      <c r="C94" s="3" t="n"/>
      <c r="D94" s="121" t="n"/>
      <c r="E94" s="121" t="n"/>
      <c r="F94" s="122" t="n"/>
      <c r="G94" s="122" t="n"/>
      <c r="H94" s="122" t="n"/>
      <c r="I94" s="122" t="n"/>
      <c r="J94" s="122" t="n"/>
      <c r="K94" s="122" t="n"/>
      <c r="L94" s="122" t="n"/>
      <c r="M94" s="122" t="n"/>
      <c r="N94" s="122" t="n"/>
      <c r="O94" s="122" t="n"/>
      <c r="P94" s="122" t="n"/>
      <c r="Q94" s="122" t="n"/>
      <c r="R94" s="122" t="n"/>
      <c r="S94" s="122" t="n"/>
      <c r="T94" s="3" t="n"/>
      <c r="U94" s="3" t="n"/>
      <c r="V94" s="3" t="n"/>
    </row>
    <row r="95" ht="8" customHeight="1">
      <c r="A95" s="3" t="n"/>
      <c r="B95" s="3" t="n"/>
      <c r="C95" s="3" t="n"/>
      <c r="D95" s="121" t="n"/>
      <c r="E95" s="121" t="n"/>
      <c r="F95" s="122" t="n"/>
      <c r="G95" s="122" t="n"/>
      <c r="H95" s="122" t="n"/>
      <c r="I95" s="122" t="n"/>
      <c r="J95" s="122" t="n"/>
      <c r="K95" s="122" t="n"/>
      <c r="L95" s="122" t="n"/>
      <c r="M95" s="122" t="n"/>
      <c r="N95" s="122" t="n"/>
      <c r="O95" s="122" t="n"/>
      <c r="P95" s="122" t="n"/>
      <c r="Q95" s="122" t="n"/>
      <c r="R95" s="122" t="n"/>
      <c r="S95" s="122" t="n"/>
      <c r="T95" s="3" t="n"/>
      <c r="U95" s="3" t="n"/>
      <c r="V95" s="3" t="n"/>
    </row>
    <row r="96" ht="8" customHeight="1">
      <c r="A96" s="3" t="n"/>
      <c r="B96" s="3" t="n"/>
      <c r="C96" s="3" t="n"/>
      <c r="D96" s="121" t="n"/>
      <c r="E96" s="121" t="n"/>
      <c r="F96" s="122" t="n"/>
      <c r="G96" s="122" t="n"/>
      <c r="H96" s="122" t="n"/>
      <c r="I96" s="122" t="n"/>
      <c r="J96" s="122" t="n"/>
      <c r="K96" s="122" t="n"/>
      <c r="L96" s="122" t="n"/>
      <c r="M96" s="122" t="n"/>
      <c r="N96" s="122" t="n"/>
      <c r="O96" s="122" t="n"/>
      <c r="P96" s="122" t="n"/>
      <c r="Q96" s="122" t="n"/>
      <c r="R96" s="122" t="n"/>
      <c r="S96" s="122" t="n"/>
      <c r="T96" s="3" t="n"/>
      <c r="U96" s="3" t="n"/>
      <c r="V96" s="3" t="n"/>
    </row>
    <row r="97" ht="8" customHeight="1">
      <c r="A97" s="3" t="n"/>
      <c r="B97" s="3" t="n"/>
      <c r="C97" s="3" t="n"/>
      <c r="D97" s="121" t="n"/>
      <c r="E97" s="121" t="n"/>
      <c r="F97" s="122" t="n"/>
      <c r="G97" s="122" t="n"/>
      <c r="H97" s="122" t="n"/>
      <c r="I97" s="122" t="n"/>
      <c r="J97" s="122" t="n"/>
      <c r="K97" s="122" t="n"/>
      <c r="L97" s="122" t="n"/>
      <c r="M97" s="122" t="n"/>
      <c r="N97" s="122" t="n"/>
      <c r="O97" s="122" t="n"/>
      <c r="P97" s="122" t="n"/>
      <c r="Q97" s="122" t="n"/>
      <c r="R97" s="122" t="n"/>
      <c r="S97" s="122" t="n"/>
      <c r="T97" s="3" t="n"/>
      <c r="U97" s="3" t="n"/>
      <c r="V97" s="3" t="n"/>
    </row>
    <row r="98" ht="8" customHeight="1">
      <c r="A98" s="3" t="n"/>
      <c r="B98" s="3" t="n"/>
      <c r="C98" s="3" t="n"/>
      <c r="D98" s="121" t="n"/>
      <c r="E98" s="121" t="n"/>
      <c r="F98" s="122" t="n"/>
      <c r="G98" s="122" t="n"/>
      <c r="H98" s="122" t="n"/>
      <c r="I98" s="122" t="n"/>
      <c r="J98" s="122" t="n"/>
      <c r="K98" s="122" t="n"/>
      <c r="L98" s="122" t="n"/>
      <c r="M98" s="122" t="n"/>
      <c r="N98" s="122" t="n"/>
      <c r="O98" s="122" t="n"/>
      <c r="P98" s="122" t="n"/>
      <c r="Q98" s="122" t="n"/>
      <c r="R98" s="122" t="n"/>
      <c r="S98" s="122" t="n"/>
      <c r="T98" s="3" t="n"/>
      <c r="U98" s="3" t="n"/>
      <c r="V98" s="3" t="n"/>
    </row>
    <row r="99" ht="8" customHeight="1">
      <c r="A99" s="3" t="n"/>
      <c r="B99" s="3" t="n"/>
      <c r="C99" s="3" t="n"/>
      <c r="D99" s="121" t="n"/>
      <c r="E99" s="121" t="n"/>
      <c r="F99" s="122" t="n"/>
      <c r="G99" s="122" t="n"/>
      <c r="H99" s="122" t="n"/>
      <c r="I99" s="122" t="n"/>
      <c r="J99" s="122" t="n"/>
      <c r="K99" s="122" t="n"/>
      <c r="L99" s="122" t="n"/>
      <c r="M99" s="122" t="n"/>
      <c r="N99" s="122" t="n"/>
      <c r="O99" s="122" t="n"/>
      <c r="P99" s="122" t="n"/>
      <c r="Q99" s="122" t="n"/>
      <c r="R99" s="122" t="n"/>
      <c r="S99" s="122" t="n"/>
      <c r="T99" s="3" t="n"/>
      <c r="U99" s="3" t="n"/>
      <c r="V99" s="3" t="n"/>
    </row>
    <row r="100" ht="8" customHeight="1">
      <c r="A100" s="3" t="n"/>
      <c r="B100" s="3" t="n"/>
      <c r="C100" s="3" t="n"/>
      <c r="D100" s="121" t="n"/>
      <c r="E100" s="121" t="n"/>
      <c r="F100" s="122" t="n"/>
      <c r="G100" s="122" t="n"/>
      <c r="H100" s="122" t="n"/>
      <c r="I100" s="122" t="n"/>
      <c r="J100" s="122" t="n"/>
      <c r="K100" s="122" t="n"/>
      <c r="L100" s="122" t="n"/>
      <c r="M100" s="122" t="n"/>
      <c r="N100" s="122" t="n"/>
      <c r="O100" s="122" t="n"/>
      <c r="P100" s="122" t="n"/>
      <c r="Q100" s="122" t="n"/>
      <c r="R100" s="122" t="n"/>
      <c r="S100" s="122" t="n"/>
      <c r="T100" s="3" t="n"/>
      <c r="U100" s="3" t="n"/>
      <c r="V100" s="3" t="n"/>
    </row>
    <row r="101" ht="8" customHeight="1">
      <c r="A101" s="3" t="n"/>
      <c r="B101" s="3" t="n"/>
      <c r="C101" s="3" t="n"/>
      <c r="D101" s="121" t="n"/>
      <c r="E101" s="121" t="n"/>
      <c r="F101" s="122" t="n"/>
      <c r="G101" s="122" t="n"/>
      <c r="H101" s="122" t="n"/>
      <c r="I101" s="122" t="n"/>
      <c r="J101" s="122" t="n"/>
      <c r="K101" s="122" t="n"/>
      <c r="L101" s="122" t="n"/>
      <c r="M101" s="122" t="n"/>
      <c r="N101" s="122" t="n"/>
      <c r="O101" s="122" t="n"/>
      <c r="P101" s="122" t="n"/>
      <c r="Q101" s="122" t="n"/>
      <c r="R101" s="122" t="n"/>
      <c r="S101" s="122" t="n"/>
      <c r="T101" s="3" t="n"/>
      <c r="U101" s="3" t="n"/>
      <c r="V101" s="3" t="n"/>
    </row>
    <row r="102" ht="8" customHeight="1">
      <c r="A102" s="3" t="n"/>
      <c r="B102" s="3" t="n"/>
      <c r="C102" s="3" t="n"/>
      <c r="D102" s="121" t="n"/>
      <c r="E102" s="121" t="n"/>
      <c r="F102" s="122" t="n"/>
      <c r="G102" s="122" t="n"/>
      <c r="H102" s="122" t="n"/>
      <c r="I102" s="122" t="n"/>
      <c r="J102" s="122" t="n"/>
      <c r="K102" s="122" t="n"/>
      <c r="L102" s="122" t="n"/>
      <c r="M102" s="122" t="n"/>
      <c r="N102" s="122" t="n"/>
      <c r="O102" s="122" t="n"/>
      <c r="P102" s="122" t="n"/>
      <c r="Q102" s="122" t="n"/>
      <c r="R102" s="122" t="n"/>
      <c r="S102" s="122" t="n"/>
      <c r="T102" s="3" t="n"/>
      <c r="U102" s="3" t="n"/>
      <c r="V102" s="3" t="n"/>
    </row>
    <row r="103" ht="8" customHeight="1">
      <c r="A103" s="3" t="n"/>
      <c r="B103" s="3" t="n"/>
      <c r="C103" s="3" t="n"/>
      <c r="D103" s="121" t="n"/>
      <c r="E103" s="121" t="n"/>
      <c r="F103" s="122" t="n"/>
      <c r="G103" s="122" t="n"/>
      <c r="H103" s="122" t="n"/>
      <c r="I103" s="122" t="n"/>
      <c r="J103" s="122" t="n"/>
      <c r="K103" s="122" t="n"/>
      <c r="L103" s="122" t="n"/>
      <c r="M103" s="122" t="n"/>
      <c r="N103" s="122" t="n"/>
      <c r="O103" s="122" t="n"/>
      <c r="P103" s="122" t="n"/>
      <c r="Q103" s="122" t="n"/>
      <c r="R103" s="122" t="n"/>
      <c r="S103" s="122" t="n"/>
      <c r="T103" s="3" t="n"/>
      <c r="U103" s="3" t="n"/>
      <c r="V103" s="3" t="n"/>
    </row>
    <row r="104" ht="8" customHeight="1">
      <c r="A104" s="3" t="n"/>
      <c r="B104" s="3" t="n"/>
      <c r="C104" s="3" t="n"/>
      <c r="D104" s="121" t="n"/>
      <c r="E104" s="121" t="n"/>
      <c r="F104" s="122" t="n"/>
      <c r="G104" s="122" t="n"/>
      <c r="H104" s="122" t="n"/>
      <c r="I104" s="122" t="n"/>
      <c r="J104" s="122" t="n"/>
      <c r="K104" s="122" t="n"/>
      <c r="L104" s="122" t="n"/>
      <c r="M104" s="122" t="n"/>
      <c r="N104" s="122" t="n"/>
      <c r="O104" s="122" t="n"/>
      <c r="P104" s="122" t="n"/>
      <c r="Q104" s="122" t="n"/>
      <c r="R104" s="122" t="n"/>
      <c r="S104" s="122" t="n"/>
      <c r="T104" s="3" t="n"/>
      <c r="U104" s="3" t="n"/>
      <c r="V104" s="3" t="n"/>
    </row>
    <row r="105" ht="8" customHeight="1">
      <c r="A105" s="3" t="n"/>
      <c r="B105" s="3" t="n"/>
      <c r="C105" s="3" t="n"/>
      <c r="D105" s="121" t="n"/>
      <c r="E105" s="121" t="n"/>
      <c r="F105" s="122" t="n"/>
      <c r="G105" s="122" t="n"/>
      <c r="H105" s="122" t="n"/>
      <c r="I105" s="122" t="n"/>
      <c r="J105" s="122" t="n"/>
      <c r="K105" s="122" t="n"/>
      <c r="L105" s="122" t="n"/>
      <c r="M105" s="122" t="n"/>
      <c r="N105" s="122" t="n"/>
      <c r="O105" s="122" t="n"/>
      <c r="P105" s="122" t="n"/>
      <c r="Q105" s="122" t="n"/>
      <c r="R105" s="122" t="n"/>
      <c r="S105" s="122" t="n"/>
      <c r="T105" s="3" t="n"/>
      <c r="U105" s="3" t="n"/>
      <c r="V105" s="3" t="n"/>
    </row>
    <row r="106" ht="8" customHeight="1">
      <c r="A106" s="3" t="n"/>
      <c r="B106" s="3" t="n"/>
      <c r="C106" s="3" t="n"/>
      <c r="D106" s="121" t="n"/>
      <c r="E106" s="121" t="n"/>
      <c r="F106" s="122" t="n"/>
      <c r="G106" s="122" t="n"/>
      <c r="H106" s="122" t="n"/>
      <c r="I106" s="122" t="n"/>
      <c r="J106" s="122" t="n"/>
      <c r="K106" s="122" t="n"/>
      <c r="L106" s="122" t="n"/>
      <c r="M106" s="122" t="n"/>
      <c r="N106" s="122" t="n"/>
      <c r="O106" s="122" t="n"/>
      <c r="P106" s="122" t="n"/>
      <c r="Q106" s="122" t="n"/>
      <c r="R106" s="122" t="n"/>
      <c r="S106" s="122" t="n"/>
      <c r="T106" s="3" t="n"/>
      <c r="U106" s="3" t="n"/>
      <c r="V106" s="3" t="n"/>
    </row>
    <row r="107" ht="8" customHeight="1">
      <c r="A107" s="3" t="n"/>
      <c r="B107" s="3" t="n"/>
      <c r="C107" s="3" t="n"/>
      <c r="D107" s="121" t="n"/>
      <c r="E107" s="121" t="n"/>
      <c r="F107" s="122" t="n"/>
      <c r="G107" s="122" t="n"/>
      <c r="H107" s="122" t="n"/>
      <c r="I107" s="122" t="n"/>
      <c r="J107" s="122" t="n"/>
      <c r="K107" s="122" t="n"/>
      <c r="L107" s="122" t="n"/>
      <c r="M107" s="122" t="n"/>
      <c r="N107" s="122" t="n"/>
      <c r="O107" s="122" t="n"/>
      <c r="P107" s="122" t="n"/>
      <c r="Q107" s="122" t="n"/>
      <c r="R107" s="122" t="n"/>
      <c r="S107" s="122" t="n"/>
      <c r="T107" s="3" t="n"/>
      <c r="U107" s="3" t="n"/>
      <c r="V107" s="3" t="n"/>
    </row>
    <row r="108" ht="8" customHeight="1">
      <c r="A108" s="3" t="n"/>
      <c r="B108" s="3" t="n"/>
      <c r="C108" s="3" t="n"/>
      <c r="D108" s="121" t="n"/>
      <c r="E108" s="121" t="n"/>
      <c r="F108" s="122" t="n"/>
      <c r="G108" s="122" t="n"/>
      <c r="H108" s="122" t="n"/>
      <c r="I108" s="122" t="n"/>
      <c r="J108" s="122" t="n"/>
      <c r="K108" s="122" t="n"/>
      <c r="L108" s="122" t="n"/>
      <c r="M108" s="122" t="n"/>
      <c r="N108" s="122" t="n"/>
      <c r="O108" s="122" t="n"/>
      <c r="P108" s="122" t="n"/>
      <c r="Q108" s="122" t="n"/>
      <c r="R108" s="122" t="n"/>
      <c r="S108" s="122" t="n"/>
      <c r="T108" s="3" t="n"/>
      <c r="U108" s="3" t="n"/>
      <c r="V108" s="3" t="n"/>
    </row>
    <row r="109" ht="8" customHeight="1">
      <c r="A109" s="3" t="n"/>
      <c r="B109" s="3" t="n"/>
      <c r="C109" s="3" t="n"/>
      <c r="D109" s="121" t="n"/>
      <c r="E109" s="121" t="n"/>
      <c r="F109" s="122" t="n"/>
      <c r="G109" s="122" t="n"/>
      <c r="H109" s="122" t="n"/>
      <c r="I109" s="122" t="n"/>
      <c r="J109" s="122" t="n"/>
      <c r="K109" s="122" t="n"/>
      <c r="L109" s="122" t="n"/>
      <c r="M109" s="122" t="n"/>
      <c r="N109" s="122" t="n"/>
      <c r="O109" s="122" t="n"/>
      <c r="P109" s="122" t="n"/>
      <c r="Q109" s="122" t="n"/>
      <c r="R109" s="122" t="n"/>
      <c r="S109" s="122" t="n"/>
      <c r="T109" s="3" t="n"/>
      <c r="U109" s="3" t="n"/>
      <c r="V109" s="3" t="n"/>
    </row>
    <row r="110" ht="8" customHeight="1">
      <c r="A110" s="3" t="n"/>
      <c r="B110" s="3" t="n"/>
      <c r="C110" s="3" t="n"/>
      <c r="D110" s="121" t="n"/>
      <c r="E110" s="121" t="n"/>
      <c r="F110" s="122" t="n"/>
      <c r="G110" s="122" t="n"/>
      <c r="H110" s="122" t="n"/>
      <c r="I110" s="122" t="n"/>
      <c r="J110" s="122" t="n"/>
      <c r="K110" s="122" t="n"/>
      <c r="L110" s="122" t="n"/>
      <c r="M110" s="122" t="n"/>
      <c r="N110" s="122" t="n"/>
      <c r="O110" s="122" t="n"/>
      <c r="P110" s="122" t="n"/>
      <c r="Q110" s="122" t="n"/>
      <c r="R110" s="122" t="n"/>
      <c r="S110" s="122" t="n"/>
      <c r="T110" s="3" t="n"/>
      <c r="U110" s="3" t="n"/>
      <c r="V110" s="3" t="n"/>
    </row>
    <row r="111" ht="8" customHeight="1">
      <c r="A111" s="3" t="n"/>
      <c r="B111" s="3" t="n"/>
      <c r="C111" s="3" t="n"/>
      <c r="D111" s="121" t="n"/>
      <c r="E111" s="121" t="n"/>
      <c r="F111" s="122" t="n"/>
      <c r="G111" s="122" t="n"/>
      <c r="H111" s="122" t="n"/>
      <c r="I111" s="122" t="n"/>
      <c r="J111" s="122" t="n"/>
      <c r="K111" s="122" t="n"/>
      <c r="L111" s="122" t="n"/>
      <c r="M111" s="122" t="n"/>
      <c r="N111" s="122" t="n"/>
      <c r="O111" s="122" t="n"/>
      <c r="P111" s="122" t="n"/>
      <c r="Q111" s="122" t="n"/>
      <c r="R111" s="122" t="n"/>
      <c r="S111" s="122" t="n"/>
      <c r="T111" s="3" t="n"/>
      <c r="U111" s="3" t="n"/>
      <c r="V111" s="3" t="n"/>
    </row>
    <row r="112" ht="8" customHeight="1">
      <c r="A112" s="3" t="n"/>
      <c r="B112" s="3" t="n"/>
      <c r="C112" s="3" t="n"/>
      <c r="D112" s="121" t="n"/>
      <c r="E112" s="121" t="n"/>
      <c r="F112" s="122" t="n"/>
      <c r="G112" s="122" t="n"/>
      <c r="H112" s="122" t="n"/>
      <c r="I112" s="122" t="n"/>
      <c r="J112" s="122" t="n"/>
      <c r="K112" s="122" t="n"/>
      <c r="L112" s="122" t="n"/>
      <c r="M112" s="122" t="n"/>
      <c r="N112" s="122" t="n"/>
      <c r="O112" s="122" t="n"/>
      <c r="P112" s="122" t="n"/>
      <c r="Q112" s="122" t="n"/>
      <c r="R112" s="122" t="n"/>
      <c r="S112" s="122" t="n"/>
      <c r="T112" s="3" t="n"/>
      <c r="U112" s="3" t="n"/>
      <c r="V112" s="3" t="n"/>
    </row>
    <row r="113" ht="8" customHeight="1">
      <c r="A113" s="3" t="n"/>
      <c r="B113" s="3" t="n"/>
      <c r="C113" s="3" t="n"/>
      <c r="D113" s="121" t="n"/>
      <c r="E113" s="121" t="n"/>
      <c r="F113" s="122" t="n"/>
      <c r="G113" s="122" t="n"/>
      <c r="H113" s="122" t="n"/>
      <c r="I113" s="122" t="n"/>
      <c r="J113" s="122" t="n"/>
      <c r="K113" s="122" t="n"/>
      <c r="L113" s="122" t="n"/>
      <c r="M113" s="122" t="n"/>
      <c r="N113" s="122" t="n"/>
      <c r="O113" s="122" t="n"/>
      <c r="P113" s="122" t="n"/>
      <c r="Q113" s="122" t="n"/>
      <c r="R113" s="122" t="n"/>
      <c r="S113" s="122" t="n"/>
      <c r="T113" s="3" t="n"/>
      <c r="U113" s="3" t="n"/>
      <c r="V113" s="3" t="n"/>
    </row>
    <row r="114" ht="8" customHeight="1">
      <c r="A114" s="3" t="n"/>
      <c r="B114" s="3" t="n"/>
      <c r="C114" s="3" t="n"/>
      <c r="D114" s="121" t="n"/>
      <c r="E114" s="121" t="n"/>
      <c r="F114" s="122" t="n"/>
      <c r="G114" s="122" t="n"/>
      <c r="H114" s="122" t="n"/>
      <c r="I114" s="122" t="n"/>
      <c r="J114" s="122" t="n"/>
      <c r="K114" s="122" t="n"/>
      <c r="L114" s="122" t="n"/>
      <c r="M114" s="122" t="n"/>
      <c r="N114" s="122" t="n"/>
      <c r="O114" s="122" t="n"/>
      <c r="P114" s="122" t="n"/>
      <c r="Q114" s="122" t="n"/>
      <c r="R114" s="122" t="n"/>
      <c r="S114" s="122" t="n"/>
      <c r="T114" s="3" t="n"/>
      <c r="U114" s="3" t="n"/>
      <c r="V114" s="3" t="n"/>
    </row>
    <row r="115" ht="8" customHeight="1">
      <c r="A115" s="3" t="n"/>
      <c r="B115" s="3" t="n"/>
      <c r="C115" s="3" t="n"/>
      <c r="D115" s="121" t="n"/>
      <c r="E115" s="121" t="n"/>
      <c r="F115" s="122" t="n"/>
      <c r="G115" s="122" t="n"/>
      <c r="H115" s="122" t="n"/>
      <c r="I115" s="122" t="n"/>
      <c r="J115" s="122" t="n"/>
      <c r="K115" s="122" t="n"/>
      <c r="L115" s="122" t="n"/>
      <c r="M115" s="122" t="n"/>
      <c r="N115" s="122" t="n"/>
      <c r="O115" s="122" t="n"/>
      <c r="P115" s="122" t="n"/>
      <c r="Q115" s="122" t="n"/>
      <c r="R115" s="122" t="n"/>
      <c r="S115" s="122" t="n"/>
      <c r="T115" s="3" t="n"/>
      <c r="U115" s="3" t="n"/>
      <c r="V115" s="3" t="n"/>
    </row>
    <row r="116" ht="8" customHeight="1">
      <c r="A116" s="3" t="n"/>
      <c r="B116" s="3" t="n"/>
      <c r="C116" s="3" t="n"/>
      <c r="D116" s="121" t="n"/>
      <c r="E116" s="121" t="n"/>
      <c r="F116" s="122" t="n"/>
      <c r="G116" s="122" t="n"/>
      <c r="H116" s="122" t="n"/>
      <c r="I116" s="122" t="n"/>
      <c r="J116" s="122" t="n"/>
      <c r="K116" s="122" t="n"/>
      <c r="L116" s="122" t="n"/>
      <c r="M116" s="122" t="n"/>
      <c r="N116" s="122" t="n"/>
      <c r="O116" s="122" t="n"/>
      <c r="P116" s="122" t="n"/>
      <c r="Q116" s="122" t="n"/>
      <c r="R116" s="122" t="n"/>
      <c r="S116" s="122" t="n"/>
      <c r="T116" s="3" t="n"/>
      <c r="U116" s="3" t="n"/>
      <c r="V116" s="3" t="n"/>
    </row>
    <row r="117" ht="8" customHeight="1">
      <c r="A117" s="3" t="n"/>
      <c r="B117" s="3" t="n"/>
      <c r="C117" s="3" t="n"/>
      <c r="D117" s="121" t="n"/>
      <c r="E117" s="121" t="n"/>
      <c r="F117" s="122" t="n"/>
      <c r="G117" s="122" t="n"/>
      <c r="H117" s="122" t="n"/>
      <c r="I117" s="122" t="n"/>
      <c r="J117" s="122" t="n"/>
      <c r="K117" s="122" t="n"/>
      <c r="L117" s="122" t="n"/>
      <c r="M117" s="122" t="n"/>
      <c r="N117" s="122" t="n"/>
      <c r="O117" s="122" t="n"/>
      <c r="P117" s="122" t="n"/>
      <c r="Q117" s="122" t="n"/>
      <c r="R117" s="122" t="n"/>
      <c r="S117" s="122" t="n"/>
      <c r="T117" s="3" t="n"/>
      <c r="U117" s="3" t="n"/>
      <c r="V117" s="3" t="n"/>
    </row>
    <row r="118" ht="8" customHeight="1">
      <c r="A118" s="3" t="n"/>
      <c r="B118" s="3" t="n"/>
      <c r="C118" s="3" t="n"/>
      <c r="D118" s="121" t="n"/>
      <c r="E118" s="121" t="n"/>
      <c r="F118" s="122" t="n"/>
      <c r="G118" s="122" t="n"/>
      <c r="H118" s="122" t="n"/>
      <c r="I118" s="122" t="n"/>
      <c r="J118" s="122" t="n"/>
      <c r="K118" s="122" t="n"/>
      <c r="L118" s="122" t="n"/>
      <c r="M118" s="122" t="n"/>
      <c r="N118" s="122" t="n"/>
      <c r="O118" s="122" t="n"/>
      <c r="P118" s="122" t="n"/>
      <c r="Q118" s="122" t="n"/>
      <c r="R118" s="122" t="n"/>
      <c r="S118" s="122" t="n"/>
      <c r="T118" s="3" t="n"/>
      <c r="U118" s="3" t="n"/>
      <c r="V118" s="3" t="n"/>
    </row>
    <row r="119" ht="8" customHeight="1">
      <c r="A119" s="3" t="n"/>
      <c r="B119" s="3" t="n"/>
      <c r="C119" s="3" t="n"/>
      <c r="D119" s="121" t="n"/>
      <c r="E119" s="121" t="n"/>
      <c r="F119" s="122" t="n"/>
      <c r="G119" s="122" t="n"/>
      <c r="H119" s="122" t="n"/>
      <c r="I119" s="122" t="n"/>
      <c r="J119" s="122" t="n"/>
      <c r="K119" s="122" t="n"/>
      <c r="L119" s="122" t="n"/>
      <c r="M119" s="122" t="n"/>
      <c r="N119" s="122" t="n"/>
      <c r="O119" s="122" t="n"/>
      <c r="P119" s="122" t="n"/>
      <c r="Q119" s="122" t="n"/>
      <c r="R119" s="122" t="n"/>
      <c r="S119" s="122" t="n"/>
      <c r="T119" s="3" t="n"/>
      <c r="U119" s="3" t="n"/>
      <c r="V119" s="3" t="n"/>
    </row>
    <row r="120" ht="8" customHeight="1">
      <c r="A120" s="3" t="n"/>
      <c r="B120" s="3" t="n"/>
      <c r="C120" s="3" t="n"/>
      <c r="D120" s="121" t="n"/>
      <c r="E120" s="121" t="n"/>
      <c r="F120" s="122" t="n"/>
      <c r="G120" s="122" t="n"/>
      <c r="H120" s="122" t="n"/>
      <c r="I120" s="122" t="n"/>
      <c r="J120" s="122" t="n"/>
      <c r="K120" s="122" t="n"/>
      <c r="L120" s="122" t="n"/>
      <c r="M120" s="122" t="n"/>
      <c r="N120" s="122" t="n"/>
      <c r="O120" s="122" t="n"/>
      <c r="P120" s="122" t="n"/>
      <c r="Q120" s="122" t="n"/>
      <c r="R120" s="122" t="n"/>
      <c r="S120" s="122" t="n"/>
      <c r="T120" s="3" t="n"/>
      <c r="U120" s="3" t="n"/>
      <c r="V120" s="3" t="n"/>
    </row>
    <row r="121" ht="8" customHeight="1">
      <c r="A121" s="3" t="n"/>
      <c r="B121" s="3" t="n"/>
      <c r="C121" s="3" t="n"/>
      <c r="D121" s="121" t="n"/>
      <c r="E121" s="121" t="n"/>
      <c r="F121" s="122" t="n"/>
      <c r="G121" s="122" t="n"/>
      <c r="H121" s="122" t="n"/>
      <c r="I121" s="122" t="n"/>
      <c r="J121" s="122" t="n"/>
      <c r="K121" s="122" t="n"/>
      <c r="L121" s="122" t="n"/>
      <c r="M121" s="122" t="n"/>
      <c r="N121" s="122" t="n"/>
      <c r="O121" s="122" t="n"/>
      <c r="P121" s="122" t="n"/>
      <c r="Q121" s="122" t="n"/>
      <c r="R121" s="122" t="n"/>
      <c r="S121" s="122" t="n"/>
      <c r="T121" s="3" t="n"/>
      <c r="U121" s="3" t="n"/>
      <c r="V121" s="3" t="n"/>
    </row>
    <row r="122" ht="8" customHeight="1">
      <c r="A122" s="3" t="n"/>
      <c r="B122" s="3" t="n"/>
      <c r="C122" s="3" t="n"/>
      <c r="D122" s="121" t="n"/>
      <c r="E122" s="121" t="n"/>
      <c r="F122" s="122" t="n"/>
      <c r="G122" s="122" t="n"/>
      <c r="H122" s="122" t="n"/>
      <c r="I122" s="122" t="n"/>
      <c r="J122" s="122" t="n"/>
      <c r="K122" s="122" t="n"/>
      <c r="L122" s="122" t="n"/>
      <c r="M122" s="122" t="n"/>
      <c r="N122" s="122" t="n"/>
      <c r="O122" s="122" t="n"/>
      <c r="P122" s="122" t="n"/>
      <c r="Q122" s="122" t="n"/>
      <c r="R122" s="122" t="n"/>
      <c r="S122" s="122" t="n"/>
      <c r="T122" s="3" t="n"/>
      <c r="U122" s="3" t="n"/>
      <c r="V122" s="3" t="n"/>
    </row>
    <row r="123" ht="8" customHeight="1">
      <c r="A123" s="3" t="n"/>
      <c r="B123" s="3" t="n"/>
      <c r="C123" s="3" t="n"/>
      <c r="D123" s="121" t="n"/>
      <c r="E123" s="121" t="n"/>
      <c r="F123" s="122" t="n"/>
      <c r="G123" s="122" t="n"/>
      <c r="H123" s="122" t="n"/>
      <c r="I123" s="122" t="n"/>
      <c r="J123" s="122" t="n"/>
      <c r="K123" s="122" t="n"/>
      <c r="L123" s="122" t="n"/>
      <c r="M123" s="122" t="n"/>
      <c r="N123" s="122" t="n"/>
      <c r="O123" s="122" t="n"/>
      <c r="P123" s="122" t="n"/>
      <c r="Q123" s="122" t="n"/>
      <c r="R123" s="122" t="n"/>
      <c r="S123" s="122" t="n"/>
      <c r="T123" s="3" t="n"/>
      <c r="U123" s="3" t="n"/>
      <c r="V123" s="3" t="n"/>
    </row>
    <row r="124" ht="8" customHeight="1">
      <c r="A124" s="3" t="n"/>
      <c r="B124" s="3" t="n"/>
      <c r="C124" s="3" t="n"/>
      <c r="D124" s="121" t="n"/>
      <c r="E124" s="121" t="n"/>
      <c r="F124" s="122" t="n"/>
      <c r="G124" s="122" t="n"/>
      <c r="H124" s="122" t="n"/>
      <c r="I124" s="122" t="n"/>
      <c r="J124" s="122" t="n"/>
      <c r="K124" s="122" t="n"/>
      <c r="L124" s="122" t="n"/>
      <c r="M124" s="122" t="n"/>
      <c r="N124" s="122" t="n"/>
      <c r="O124" s="122" t="n"/>
      <c r="P124" s="122" t="n"/>
      <c r="Q124" s="122" t="n"/>
      <c r="R124" s="122" t="n"/>
      <c r="S124" s="122" t="n"/>
      <c r="T124" s="3" t="n"/>
      <c r="U124" s="3" t="n"/>
      <c r="V124" s="3" t="n"/>
    </row>
    <row r="125" ht="8" customHeight="1">
      <c r="A125" s="3" t="n"/>
      <c r="B125" s="3" t="n"/>
      <c r="C125" s="3" t="n"/>
      <c r="D125" s="121" t="n"/>
      <c r="E125" s="121" t="n"/>
      <c r="F125" s="122" t="n"/>
      <c r="G125" s="122" t="n"/>
      <c r="H125" s="122" t="n"/>
      <c r="I125" s="122" t="n"/>
      <c r="J125" s="122" t="n"/>
      <c r="K125" s="122" t="n"/>
      <c r="L125" s="122" t="n"/>
      <c r="M125" s="122" t="n"/>
      <c r="N125" s="122" t="n"/>
      <c r="O125" s="122" t="n"/>
      <c r="P125" s="122" t="n"/>
      <c r="Q125" s="122" t="n"/>
      <c r="R125" s="122" t="n"/>
      <c r="S125" s="122" t="n"/>
      <c r="T125" s="3" t="n"/>
      <c r="U125" s="3" t="n"/>
      <c r="V125" s="3" t="n"/>
    </row>
    <row r="126" ht="8" customHeight="1">
      <c r="A126" s="3" t="n"/>
      <c r="B126" s="3" t="n"/>
      <c r="C126" s="3" t="n"/>
      <c r="D126" s="121" t="n"/>
      <c r="E126" s="121" t="n"/>
      <c r="F126" s="122" t="n"/>
      <c r="G126" s="122" t="n"/>
      <c r="H126" s="122" t="n"/>
      <c r="I126" s="122" t="n"/>
      <c r="J126" s="122" t="n"/>
      <c r="K126" s="122" t="n"/>
      <c r="L126" s="122" t="n"/>
      <c r="M126" s="122" t="n"/>
      <c r="N126" s="122" t="n"/>
      <c r="O126" s="122" t="n"/>
      <c r="P126" s="122" t="n"/>
      <c r="Q126" s="122" t="n"/>
      <c r="R126" s="122" t="n"/>
      <c r="S126" s="122" t="n"/>
      <c r="T126" s="3" t="n"/>
      <c r="U126" s="3" t="n"/>
      <c r="V126" s="3" t="n"/>
    </row>
    <row r="127" ht="8" customHeight="1">
      <c r="A127" s="3" t="n"/>
      <c r="B127" s="3" t="n"/>
      <c r="C127" s="3" t="n"/>
      <c r="D127" s="121" t="n"/>
      <c r="E127" s="121" t="n"/>
      <c r="F127" s="122" t="n"/>
      <c r="G127" s="122" t="n"/>
      <c r="H127" s="122" t="n"/>
      <c r="I127" s="122" t="n"/>
      <c r="J127" s="122" t="n"/>
      <c r="K127" s="122" t="n"/>
      <c r="L127" s="122" t="n"/>
      <c r="M127" s="122" t="n"/>
      <c r="N127" s="122" t="n"/>
      <c r="O127" s="122" t="n"/>
      <c r="P127" s="122" t="n"/>
      <c r="Q127" s="122" t="n"/>
      <c r="R127" s="122" t="n"/>
      <c r="S127" s="122" t="n"/>
      <c r="T127" s="3" t="n"/>
      <c r="U127" s="3" t="n"/>
      <c r="V127" s="3" t="n"/>
    </row>
    <row r="128" ht="8" customHeight="1">
      <c r="A128" s="3" t="n"/>
      <c r="B128" s="3" t="n"/>
      <c r="C128" s="3" t="n"/>
      <c r="D128" s="121" t="n"/>
      <c r="E128" s="121" t="n"/>
      <c r="F128" s="122" t="n"/>
      <c r="G128" s="122" t="n"/>
      <c r="H128" s="122" t="n"/>
      <c r="I128" s="122" t="n"/>
      <c r="J128" s="122" t="n"/>
      <c r="K128" s="122" t="n"/>
      <c r="L128" s="122" t="n"/>
      <c r="M128" s="122" t="n"/>
      <c r="N128" s="122" t="n"/>
      <c r="O128" s="122" t="n"/>
      <c r="P128" s="122" t="n"/>
      <c r="Q128" s="122" t="n"/>
      <c r="R128" s="122" t="n"/>
      <c r="S128" s="122" t="n"/>
      <c r="T128" s="3" t="n"/>
      <c r="U128" s="3" t="n"/>
      <c r="V128" s="3" t="n"/>
    </row>
    <row r="129" ht="8" customHeight="1">
      <c r="A129" s="3" t="n"/>
      <c r="B129" s="3" t="n"/>
      <c r="C129" s="3" t="n"/>
      <c r="D129" s="121" t="n"/>
      <c r="E129" s="121" t="n"/>
      <c r="F129" s="122" t="n"/>
      <c r="G129" s="122" t="n"/>
      <c r="H129" s="122" t="n"/>
      <c r="I129" s="122" t="n"/>
      <c r="J129" s="122" t="n"/>
      <c r="K129" s="122" t="n"/>
      <c r="L129" s="122" t="n"/>
      <c r="M129" s="122" t="n"/>
      <c r="N129" s="122" t="n"/>
      <c r="O129" s="122" t="n"/>
      <c r="P129" s="122" t="n"/>
      <c r="Q129" s="122" t="n"/>
      <c r="R129" s="122" t="n"/>
      <c r="S129" s="122" t="n"/>
      <c r="T129" s="3" t="n"/>
      <c r="U129" s="3" t="n"/>
      <c r="V129" s="3" t="n"/>
    </row>
    <row r="130" ht="8" customHeight="1">
      <c r="A130" s="3" t="n"/>
      <c r="B130" s="3" t="n"/>
      <c r="C130" s="3" t="n"/>
      <c r="D130" s="121" t="n"/>
      <c r="E130" s="121" t="n"/>
      <c r="F130" s="122" t="n"/>
      <c r="G130" s="122" t="n"/>
      <c r="H130" s="122" t="n"/>
      <c r="I130" s="122" t="n"/>
      <c r="J130" s="122" t="n"/>
      <c r="K130" s="122" t="n"/>
      <c r="L130" s="122" t="n"/>
      <c r="M130" s="122" t="n"/>
      <c r="N130" s="122" t="n"/>
      <c r="O130" s="122" t="n"/>
      <c r="P130" s="122" t="n"/>
      <c r="Q130" s="122" t="n"/>
      <c r="R130" s="122" t="n"/>
      <c r="S130" s="122" t="n"/>
      <c r="T130" s="3" t="n"/>
      <c r="U130" s="3" t="n"/>
      <c r="V130" s="3" t="n"/>
    </row>
    <row r="131" ht="8" customHeight="1">
      <c r="A131" s="3" t="n"/>
      <c r="B131" s="3" t="n"/>
      <c r="C131" s="3" t="n"/>
      <c r="D131" s="121" t="n"/>
      <c r="E131" s="121" t="n"/>
      <c r="F131" s="122" t="n"/>
      <c r="G131" s="122" t="n"/>
      <c r="H131" s="122" t="n"/>
      <c r="I131" s="122" t="n"/>
      <c r="J131" s="122" t="n"/>
      <c r="K131" s="122" t="n"/>
      <c r="L131" s="122" t="n"/>
      <c r="M131" s="122" t="n"/>
      <c r="N131" s="122" t="n"/>
      <c r="O131" s="122" t="n"/>
      <c r="P131" s="122" t="n"/>
      <c r="Q131" s="122" t="n"/>
      <c r="R131" s="122" t="n"/>
      <c r="S131" s="122" t="n"/>
      <c r="T131" s="3" t="n"/>
      <c r="U131" s="3" t="n"/>
      <c r="V131" s="3" t="n"/>
    </row>
    <row r="132" ht="8" customHeight="1">
      <c r="A132" s="3" t="n"/>
      <c r="B132" s="3" t="n"/>
      <c r="C132" s="3" t="n"/>
      <c r="D132" s="121" t="n"/>
      <c r="E132" s="121" t="n"/>
      <c r="F132" s="122" t="n"/>
      <c r="G132" s="122" t="n"/>
      <c r="H132" s="122" t="n"/>
      <c r="I132" s="122" t="n"/>
      <c r="J132" s="122" t="n"/>
      <c r="K132" s="122" t="n"/>
      <c r="L132" s="122" t="n"/>
      <c r="M132" s="122" t="n"/>
      <c r="N132" s="122" t="n"/>
      <c r="O132" s="122" t="n"/>
      <c r="P132" s="122" t="n"/>
      <c r="Q132" s="122" t="n"/>
      <c r="R132" s="122" t="n"/>
      <c r="S132" s="122" t="n"/>
      <c r="T132" s="3" t="n"/>
      <c r="U132" s="3" t="n"/>
      <c r="V132" s="3" t="n"/>
    </row>
    <row r="133" ht="8" customHeight="1">
      <c r="A133" s="3" t="n"/>
      <c r="B133" s="3" t="n"/>
      <c r="C133" s="3" t="n"/>
      <c r="D133" s="121" t="n"/>
      <c r="E133" s="121" t="n"/>
      <c r="F133" s="122" t="n"/>
      <c r="G133" s="122" t="n"/>
      <c r="H133" s="122" t="n"/>
      <c r="I133" s="122" t="n"/>
      <c r="J133" s="122" t="n"/>
      <c r="K133" s="122" t="n"/>
      <c r="L133" s="122" t="n"/>
      <c r="M133" s="122" t="n"/>
      <c r="N133" s="122" t="n"/>
      <c r="O133" s="122" t="n"/>
      <c r="P133" s="122" t="n"/>
      <c r="Q133" s="122" t="n"/>
      <c r="R133" s="122" t="n"/>
      <c r="S133" s="122" t="n"/>
      <c r="T133" s="3" t="n"/>
      <c r="U133" s="3" t="n"/>
      <c r="V133" s="3" t="n"/>
    </row>
    <row r="134" ht="8" customHeight="1">
      <c r="A134" s="3" t="n"/>
      <c r="B134" s="3" t="n"/>
      <c r="C134" s="3" t="n"/>
      <c r="D134" s="121" t="n"/>
      <c r="E134" s="121" t="n"/>
      <c r="F134" s="122" t="n"/>
      <c r="G134" s="122" t="n"/>
      <c r="H134" s="122" t="n"/>
      <c r="I134" s="122" t="n"/>
      <c r="J134" s="122" t="n"/>
      <c r="K134" s="122" t="n"/>
      <c r="L134" s="122" t="n"/>
      <c r="M134" s="122" t="n"/>
      <c r="N134" s="122" t="n"/>
      <c r="O134" s="122" t="n"/>
      <c r="P134" s="122" t="n"/>
      <c r="Q134" s="122" t="n"/>
      <c r="R134" s="122" t="n"/>
      <c r="S134" s="122" t="n"/>
      <c r="T134" s="3" t="n"/>
      <c r="U134" s="3" t="n"/>
      <c r="V134" s="3" t="n"/>
    </row>
    <row r="135" ht="8" customHeight="1">
      <c r="A135" s="3" t="n"/>
      <c r="B135" s="3" t="n"/>
      <c r="C135" s="3" t="n"/>
      <c r="D135" s="121" t="n"/>
      <c r="E135" s="121" t="n"/>
      <c r="F135" s="122" t="n"/>
      <c r="G135" s="122" t="n"/>
      <c r="H135" s="122" t="n"/>
      <c r="I135" s="122" t="n"/>
      <c r="J135" s="122" t="n"/>
      <c r="K135" s="122" t="n"/>
      <c r="L135" s="122" t="n"/>
      <c r="M135" s="122" t="n"/>
      <c r="N135" s="122" t="n"/>
      <c r="O135" s="122" t="n"/>
      <c r="P135" s="122" t="n"/>
      <c r="Q135" s="122" t="n"/>
      <c r="R135" s="122" t="n"/>
      <c r="S135" s="122" t="n"/>
      <c r="T135" s="3" t="n"/>
      <c r="U135" s="3" t="n"/>
      <c r="V135" s="3" t="n"/>
    </row>
    <row r="136" ht="8" customHeight="1">
      <c r="A136" s="3" t="n"/>
      <c r="B136" s="3" t="n"/>
      <c r="C136" s="3" t="n"/>
      <c r="D136" s="121" t="n"/>
      <c r="E136" s="121" t="n"/>
      <c r="F136" s="122" t="n"/>
      <c r="G136" s="122" t="n"/>
      <c r="H136" s="122" t="n"/>
      <c r="I136" s="122" t="n"/>
      <c r="J136" s="122" t="n"/>
      <c r="K136" s="122" t="n"/>
      <c r="L136" s="122" t="n"/>
      <c r="M136" s="122" t="n"/>
      <c r="N136" s="122" t="n"/>
      <c r="O136" s="122" t="n"/>
      <c r="P136" s="122" t="n"/>
      <c r="Q136" s="122" t="n"/>
      <c r="R136" s="122" t="n"/>
      <c r="S136" s="122" t="n"/>
      <c r="T136" s="3" t="n"/>
      <c r="U136" s="3" t="n"/>
      <c r="V136" s="3" t="n"/>
    </row>
    <row r="137" ht="8" customHeight="1">
      <c r="A137" s="3" t="n"/>
      <c r="B137" s="3" t="n"/>
      <c r="C137" s="3" t="n"/>
      <c r="D137" s="121" t="n"/>
      <c r="E137" s="121" t="n"/>
      <c r="F137" s="122" t="n"/>
      <c r="G137" s="122" t="n"/>
      <c r="H137" s="122" t="n"/>
      <c r="I137" s="122" t="n"/>
      <c r="J137" s="122" t="n"/>
      <c r="K137" s="122" t="n"/>
      <c r="L137" s="122" t="n"/>
      <c r="M137" s="122" t="n"/>
      <c r="N137" s="122" t="n"/>
      <c r="O137" s="122" t="n"/>
      <c r="P137" s="122" t="n"/>
      <c r="Q137" s="122" t="n"/>
      <c r="R137" s="122" t="n"/>
      <c r="S137" s="122" t="n"/>
      <c r="T137" s="3" t="n"/>
      <c r="U137" s="3" t="n"/>
      <c r="V137" s="3" t="n"/>
    </row>
    <row r="138" ht="8" customHeight="1">
      <c r="A138" s="3" t="n"/>
      <c r="B138" s="3" t="n"/>
      <c r="C138" s="3" t="n"/>
      <c r="D138" s="121" t="n"/>
      <c r="E138" s="121" t="n"/>
      <c r="F138" s="122" t="n"/>
      <c r="G138" s="122" t="n"/>
      <c r="H138" s="122" t="n"/>
      <c r="I138" s="122" t="n"/>
      <c r="J138" s="122" t="n"/>
      <c r="K138" s="122" t="n"/>
      <c r="L138" s="122" t="n"/>
      <c r="M138" s="122" t="n"/>
      <c r="N138" s="122" t="n"/>
      <c r="O138" s="122" t="n"/>
      <c r="P138" s="122" t="n"/>
      <c r="Q138" s="122" t="n"/>
      <c r="R138" s="122" t="n"/>
      <c r="S138" s="122" t="n"/>
      <c r="T138" s="3" t="n"/>
      <c r="U138" s="3" t="n"/>
      <c r="V138" s="3" t="n"/>
    </row>
    <row r="139" ht="8" customHeight="1">
      <c r="A139" s="3" t="n"/>
      <c r="B139" s="3" t="n"/>
      <c r="C139" s="3" t="n"/>
      <c r="D139" s="121" t="n"/>
      <c r="E139" s="121" t="n"/>
      <c r="F139" s="122" t="n"/>
      <c r="G139" s="122" t="n"/>
      <c r="H139" s="122" t="n"/>
      <c r="I139" s="122" t="n"/>
      <c r="J139" s="122" t="n"/>
      <c r="K139" s="122" t="n"/>
      <c r="L139" s="122" t="n"/>
      <c r="M139" s="122" t="n"/>
      <c r="N139" s="122" t="n"/>
      <c r="O139" s="122" t="n"/>
      <c r="P139" s="122" t="n"/>
      <c r="Q139" s="122" t="n"/>
      <c r="R139" s="122" t="n"/>
      <c r="S139" s="122" t="n"/>
      <c r="T139" s="3" t="n"/>
      <c r="U139" s="3" t="n"/>
      <c r="V139" s="3" t="n"/>
    </row>
    <row r="140" ht="8" customHeight="1">
      <c r="A140" s="3" t="n"/>
      <c r="B140" s="3" t="n"/>
      <c r="C140" s="3" t="n"/>
      <c r="D140" s="121" t="n"/>
      <c r="E140" s="121" t="n"/>
      <c r="F140" s="122" t="n"/>
      <c r="G140" s="122" t="n"/>
      <c r="H140" s="122" t="n"/>
      <c r="I140" s="122" t="n"/>
      <c r="J140" s="122" t="n"/>
      <c r="K140" s="122" t="n"/>
      <c r="L140" s="122" t="n"/>
      <c r="M140" s="122" t="n"/>
      <c r="N140" s="122" t="n"/>
      <c r="O140" s="122" t="n"/>
      <c r="P140" s="122" t="n"/>
      <c r="Q140" s="122" t="n"/>
      <c r="R140" s="122" t="n"/>
      <c r="S140" s="122" t="n"/>
      <c r="T140" s="3" t="n"/>
      <c r="U140" s="3" t="n"/>
      <c r="V140" s="3" t="n"/>
    </row>
    <row r="141" ht="8" customHeight="1">
      <c r="A141" s="3" t="n"/>
      <c r="B141" s="3" t="n"/>
      <c r="C141" s="3" t="n"/>
      <c r="D141" s="121" t="n"/>
      <c r="E141" s="121" t="n"/>
      <c r="F141" s="122" t="n"/>
      <c r="G141" s="122" t="n"/>
      <c r="H141" s="122" t="n"/>
      <c r="I141" s="122" t="n"/>
      <c r="J141" s="122" t="n"/>
      <c r="K141" s="122" t="n"/>
      <c r="L141" s="122" t="n"/>
      <c r="M141" s="122" t="n"/>
      <c r="N141" s="122" t="n"/>
      <c r="O141" s="122" t="n"/>
      <c r="P141" s="122" t="n"/>
      <c r="Q141" s="122" t="n"/>
      <c r="R141" s="122" t="n"/>
      <c r="S141" s="122" t="n"/>
      <c r="T141" s="3" t="n"/>
      <c r="U141" s="3" t="n"/>
      <c r="V141" s="3" t="n"/>
    </row>
    <row r="142" ht="8" customHeight="1">
      <c r="A142" s="3" t="n"/>
      <c r="B142" s="3" t="n"/>
      <c r="C142" s="3" t="n"/>
      <c r="D142" s="121" t="n"/>
      <c r="E142" s="121" t="n"/>
      <c r="F142" s="122" t="n"/>
      <c r="G142" s="122" t="n"/>
      <c r="H142" s="122" t="n"/>
      <c r="I142" s="122" t="n"/>
      <c r="J142" s="122" t="n"/>
      <c r="K142" s="122" t="n"/>
      <c r="L142" s="122" t="n"/>
      <c r="M142" s="122" t="n"/>
      <c r="N142" s="122" t="n"/>
      <c r="O142" s="122" t="n"/>
      <c r="P142" s="122" t="n"/>
      <c r="Q142" s="122" t="n"/>
      <c r="R142" s="122" t="n"/>
      <c r="S142" s="122" t="n"/>
      <c r="T142" s="3" t="n"/>
      <c r="U142" s="3" t="n"/>
      <c r="V142" s="3" t="n"/>
    </row>
    <row r="143" ht="8" customHeight="1">
      <c r="A143" s="3" t="n"/>
      <c r="B143" s="3" t="n"/>
      <c r="C143" s="3" t="n"/>
      <c r="D143" s="121" t="n"/>
      <c r="E143" s="121" t="n"/>
      <c r="F143" s="122" t="n"/>
      <c r="G143" s="122" t="n"/>
      <c r="H143" s="122" t="n"/>
      <c r="I143" s="122" t="n"/>
      <c r="J143" s="122" t="n"/>
      <c r="K143" s="122" t="n"/>
      <c r="L143" s="122" t="n"/>
      <c r="M143" s="122" t="n"/>
      <c r="N143" s="122" t="n"/>
      <c r="O143" s="122" t="n"/>
      <c r="P143" s="122" t="n"/>
      <c r="Q143" s="122" t="n"/>
      <c r="R143" s="122" t="n"/>
      <c r="S143" s="122" t="n"/>
      <c r="T143" s="3" t="n"/>
      <c r="U143" s="3" t="n"/>
      <c r="V143" s="3" t="n"/>
    </row>
    <row r="144" ht="8" customHeight="1">
      <c r="A144" s="3" t="n"/>
      <c r="B144" s="3" t="n"/>
      <c r="C144" s="3" t="n"/>
      <c r="D144" s="121" t="n"/>
      <c r="E144" s="121" t="n"/>
      <c r="F144" s="122" t="n"/>
      <c r="G144" s="122" t="n"/>
      <c r="H144" s="122" t="n"/>
      <c r="I144" s="122" t="n"/>
      <c r="J144" s="122" t="n"/>
      <c r="K144" s="122" t="n"/>
      <c r="L144" s="122" t="n"/>
      <c r="M144" s="122" t="n"/>
      <c r="N144" s="122" t="n"/>
      <c r="O144" s="122" t="n"/>
      <c r="P144" s="122" t="n"/>
      <c r="Q144" s="122" t="n"/>
      <c r="R144" s="122" t="n"/>
      <c r="S144" s="122" t="n"/>
      <c r="T144" s="3" t="n"/>
      <c r="U144" s="3" t="n"/>
      <c r="V144" s="3" t="n"/>
    </row>
    <row r="145" ht="8" customHeight="1">
      <c r="A145" s="3" t="n"/>
      <c r="B145" s="3" t="n"/>
      <c r="C145" s="3" t="n"/>
      <c r="D145" s="121" t="n"/>
      <c r="E145" s="121" t="n"/>
      <c r="F145" s="122" t="n"/>
      <c r="G145" s="122" t="n"/>
      <c r="H145" s="122" t="n"/>
      <c r="I145" s="122" t="n"/>
      <c r="J145" s="122" t="n"/>
      <c r="K145" s="122" t="n"/>
      <c r="L145" s="122" t="n"/>
      <c r="M145" s="122" t="n"/>
      <c r="N145" s="122" t="n"/>
      <c r="O145" s="122" t="n"/>
      <c r="P145" s="122" t="n"/>
      <c r="Q145" s="122" t="n"/>
      <c r="R145" s="122" t="n"/>
      <c r="S145" s="122" t="n"/>
      <c r="T145" s="3" t="n"/>
      <c r="U145" s="3" t="n"/>
      <c r="V145" s="3" t="n"/>
    </row>
    <row r="146" ht="8" customHeight="1">
      <c r="A146" s="3" t="n"/>
      <c r="B146" s="3" t="n"/>
      <c r="C146" s="3" t="n"/>
      <c r="D146" s="121" t="n"/>
      <c r="E146" s="121" t="n"/>
      <c r="F146" s="122" t="n"/>
      <c r="G146" s="122" t="n"/>
      <c r="H146" s="122" t="n"/>
      <c r="I146" s="122" t="n"/>
      <c r="J146" s="122" t="n"/>
      <c r="K146" s="122" t="n"/>
      <c r="L146" s="122" t="n"/>
      <c r="M146" s="122" t="n"/>
      <c r="N146" s="122" t="n"/>
      <c r="O146" s="122" t="n"/>
      <c r="P146" s="122" t="n"/>
      <c r="Q146" s="122" t="n"/>
      <c r="R146" s="122" t="n"/>
      <c r="S146" s="122" t="n"/>
      <c r="T146" s="3" t="n"/>
      <c r="U146" s="3" t="n"/>
      <c r="V146" s="3" t="n"/>
    </row>
    <row r="147" ht="8" customHeight="1">
      <c r="A147" s="3" t="n"/>
      <c r="B147" s="3" t="n"/>
      <c r="C147" s="3" t="n"/>
      <c r="D147" s="121" t="n"/>
      <c r="E147" s="121" t="n"/>
      <c r="F147" s="122" t="n"/>
      <c r="G147" s="122" t="n"/>
      <c r="H147" s="122" t="n"/>
      <c r="I147" s="122" t="n"/>
      <c r="J147" s="122" t="n"/>
      <c r="K147" s="122" t="n"/>
      <c r="L147" s="122" t="n"/>
      <c r="M147" s="122" t="n"/>
      <c r="N147" s="122" t="n"/>
      <c r="O147" s="122" t="n"/>
      <c r="P147" s="122" t="n"/>
      <c r="Q147" s="122" t="n"/>
      <c r="R147" s="122" t="n"/>
      <c r="S147" s="122" t="n"/>
      <c r="T147" s="3" t="n"/>
      <c r="U147" s="3" t="n"/>
      <c r="V147" s="3" t="n"/>
    </row>
    <row r="148" ht="8" customHeight="1">
      <c r="A148" s="3" t="n"/>
      <c r="B148" s="3" t="n"/>
      <c r="C148" s="3" t="n"/>
      <c r="D148" s="121" t="n"/>
      <c r="E148" s="121" t="n"/>
      <c r="F148" s="122" t="n"/>
      <c r="G148" s="122" t="n"/>
      <c r="H148" s="122" t="n"/>
      <c r="I148" s="122" t="n"/>
      <c r="J148" s="122" t="n"/>
      <c r="K148" s="122" t="n"/>
      <c r="L148" s="122" t="n"/>
      <c r="M148" s="122" t="n"/>
      <c r="N148" s="122" t="n"/>
      <c r="O148" s="122" t="n"/>
      <c r="P148" s="122" t="n"/>
      <c r="Q148" s="122" t="n"/>
      <c r="R148" s="122" t="n"/>
      <c r="S148" s="122" t="n"/>
      <c r="T148" s="3" t="n"/>
      <c r="U148" s="3" t="n"/>
      <c r="V148" s="3" t="n"/>
    </row>
    <row r="149" ht="8" customHeight="1">
      <c r="A149" s="3" t="n"/>
      <c r="B149" s="3" t="n"/>
      <c r="C149" s="3" t="n"/>
      <c r="D149" s="121" t="n"/>
      <c r="E149" s="121" t="n"/>
      <c r="F149" s="122" t="n"/>
      <c r="G149" s="122" t="n"/>
      <c r="H149" s="122" t="n"/>
      <c r="I149" s="122" t="n"/>
      <c r="J149" s="122" t="n"/>
      <c r="K149" s="122" t="n"/>
      <c r="L149" s="122" t="n"/>
      <c r="M149" s="122" t="n"/>
      <c r="N149" s="122" t="n"/>
      <c r="O149" s="122" t="n"/>
      <c r="P149" s="122" t="n"/>
      <c r="Q149" s="122" t="n"/>
      <c r="R149" s="122" t="n"/>
      <c r="S149" s="122" t="n"/>
      <c r="T149" s="3" t="n"/>
      <c r="U149" s="3" t="n"/>
      <c r="V149" s="3" t="n"/>
    </row>
    <row r="150" ht="8" customHeight="1">
      <c r="A150" s="3" t="n"/>
      <c r="B150" s="3" t="n"/>
      <c r="C150" s="3" t="n"/>
      <c r="D150" s="121" t="n"/>
      <c r="E150" s="121" t="n"/>
      <c r="F150" s="122" t="n"/>
      <c r="G150" s="122" t="n"/>
      <c r="H150" s="122" t="n"/>
      <c r="I150" s="122" t="n"/>
      <c r="J150" s="122" t="n"/>
      <c r="K150" s="122" t="n"/>
      <c r="L150" s="122" t="n"/>
      <c r="M150" s="122" t="n"/>
      <c r="N150" s="122" t="n"/>
      <c r="O150" s="122" t="n"/>
      <c r="P150" s="122" t="n"/>
      <c r="Q150" s="122" t="n"/>
      <c r="R150" s="122" t="n"/>
      <c r="S150" s="122" t="n"/>
      <c r="T150" s="3" t="n"/>
      <c r="U150" s="3" t="n"/>
      <c r="V150" s="3" t="n"/>
    </row>
    <row r="151" ht="8" customHeight="1">
      <c r="A151" s="3" t="n"/>
      <c r="B151" s="3" t="n"/>
      <c r="C151" s="3" t="n"/>
      <c r="D151" s="121" t="n"/>
      <c r="E151" s="121" t="n"/>
      <c r="F151" s="122" t="n"/>
      <c r="G151" s="122" t="n"/>
      <c r="H151" s="122" t="n"/>
      <c r="I151" s="122" t="n"/>
      <c r="J151" s="122" t="n"/>
      <c r="K151" s="122" t="n"/>
      <c r="L151" s="122" t="n"/>
      <c r="M151" s="122" t="n"/>
      <c r="N151" s="122" t="n"/>
      <c r="O151" s="122" t="n"/>
      <c r="P151" s="122" t="n"/>
      <c r="Q151" s="122" t="n"/>
      <c r="R151" s="122" t="n"/>
      <c r="S151" s="122" t="n"/>
      <c r="T151" s="3" t="n"/>
      <c r="U151" s="3" t="n"/>
      <c r="V151" s="3" t="n"/>
    </row>
    <row r="152" ht="8" customHeight="1">
      <c r="A152" s="3" t="n"/>
      <c r="B152" s="3" t="n"/>
      <c r="C152" s="3" t="n"/>
      <c r="D152" s="121" t="n"/>
      <c r="E152" s="121" t="n"/>
      <c r="F152" s="122" t="n"/>
      <c r="G152" s="122" t="n"/>
      <c r="H152" s="122" t="n"/>
      <c r="I152" s="122" t="n"/>
      <c r="J152" s="122" t="n"/>
      <c r="K152" s="122" t="n"/>
      <c r="L152" s="122" t="n"/>
      <c r="M152" s="122" t="n"/>
      <c r="N152" s="122" t="n"/>
      <c r="O152" s="122" t="n"/>
      <c r="P152" s="122" t="n"/>
      <c r="Q152" s="122" t="n"/>
      <c r="R152" s="122" t="n"/>
      <c r="S152" s="122" t="n"/>
      <c r="T152" s="3" t="n"/>
      <c r="U152" s="3" t="n"/>
      <c r="V152" s="3" t="n"/>
    </row>
    <row r="153" ht="8" customHeight="1">
      <c r="A153" s="3" t="n"/>
      <c r="B153" s="3" t="n"/>
      <c r="C153" s="3" t="n"/>
      <c r="D153" s="121" t="n"/>
      <c r="E153" s="121" t="n"/>
      <c r="F153" s="122" t="n"/>
      <c r="G153" s="122" t="n"/>
      <c r="H153" s="122" t="n"/>
      <c r="I153" s="122" t="n"/>
      <c r="J153" s="122" t="n"/>
      <c r="K153" s="122" t="n"/>
      <c r="L153" s="122" t="n"/>
      <c r="M153" s="122" t="n"/>
      <c r="N153" s="122" t="n"/>
      <c r="O153" s="122" t="n"/>
      <c r="P153" s="122" t="n"/>
      <c r="Q153" s="122" t="n"/>
      <c r="R153" s="122" t="n"/>
      <c r="S153" s="122" t="n"/>
      <c r="T153" s="3" t="n"/>
      <c r="U153" s="3" t="n"/>
      <c r="V153" s="3" t="n"/>
    </row>
    <row r="154" ht="8" customHeight="1">
      <c r="A154" s="3" t="n"/>
      <c r="B154" s="3" t="n"/>
      <c r="C154" s="3" t="n"/>
      <c r="D154" s="121" t="n"/>
      <c r="E154" s="121" t="n"/>
      <c r="F154" s="122" t="n"/>
      <c r="G154" s="122" t="n"/>
      <c r="H154" s="122" t="n"/>
      <c r="I154" s="122" t="n"/>
      <c r="J154" s="122" t="n"/>
      <c r="K154" s="122" t="n"/>
      <c r="L154" s="122" t="n"/>
      <c r="M154" s="122" t="n"/>
      <c r="N154" s="122" t="n"/>
      <c r="O154" s="122" t="n"/>
      <c r="P154" s="122" t="n"/>
      <c r="Q154" s="122" t="n"/>
      <c r="R154" s="122" t="n"/>
      <c r="S154" s="122" t="n"/>
      <c r="T154" s="3" t="n"/>
      <c r="U154" s="3" t="n"/>
      <c r="V154" s="3" t="n"/>
    </row>
    <row r="155" ht="8" customHeight="1">
      <c r="A155" s="3" t="n"/>
      <c r="B155" s="3" t="n"/>
      <c r="C155" s="3" t="n"/>
      <c r="D155" s="121" t="n"/>
      <c r="E155" s="121" t="n"/>
      <c r="F155" s="122" t="n"/>
      <c r="G155" s="122" t="n"/>
      <c r="H155" s="122" t="n"/>
      <c r="I155" s="122" t="n"/>
      <c r="J155" s="122" t="n"/>
      <c r="K155" s="122" t="n"/>
      <c r="L155" s="122" t="n"/>
      <c r="M155" s="122" t="n"/>
      <c r="N155" s="122" t="n"/>
      <c r="O155" s="122" t="n"/>
      <c r="P155" s="122" t="n"/>
      <c r="Q155" s="122" t="n"/>
      <c r="R155" s="122" t="n"/>
      <c r="S155" s="122" t="n"/>
      <c r="T155" s="3" t="n"/>
      <c r="U155" s="3" t="n"/>
      <c r="V155" s="3" t="n"/>
    </row>
    <row r="156" ht="8" customHeight="1">
      <c r="A156" s="3" t="n"/>
      <c r="B156" s="3" t="n"/>
      <c r="C156" s="3" t="n"/>
      <c r="D156" s="121" t="n"/>
      <c r="E156" s="121" t="n"/>
      <c r="F156" s="122" t="n"/>
      <c r="G156" s="122" t="n"/>
      <c r="H156" s="122" t="n"/>
      <c r="I156" s="122" t="n"/>
      <c r="J156" s="122" t="n"/>
      <c r="K156" s="122" t="n"/>
      <c r="L156" s="122" t="n"/>
      <c r="M156" s="122" t="n"/>
      <c r="N156" s="122" t="n"/>
      <c r="O156" s="122" t="n"/>
      <c r="P156" s="122" t="n"/>
      <c r="Q156" s="122" t="n"/>
      <c r="R156" s="122" t="n"/>
      <c r="S156" s="122" t="n"/>
      <c r="T156" s="3" t="n"/>
      <c r="U156" s="3" t="n"/>
      <c r="V156" s="3" t="n"/>
    </row>
    <row r="157" ht="8" customHeight="1">
      <c r="A157" s="3" t="n"/>
      <c r="B157" s="3" t="n"/>
      <c r="C157" s="3" t="n"/>
      <c r="D157" s="121" t="n"/>
      <c r="E157" s="121" t="n"/>
      <c r="F157" s="122" t="n"/>
      <c r="G157" s="122" t="n"/>
      <c r="H157" s="122" t="n"/>
      <c r="I157" s="122" t="n"/>
      <c r="J157" s="122" t="n"/>
      <c r="K157" s="122" t="n"/>
      <c r="L157" s="122" t="n"/>
      <c r="M157" s="122" t="n"/>
      <c r="N157" s="122" t="n"/>
      <c r="O157" s="122" t="n"/>
      <c r="P157" s="122" t="n"/>
      <c r="Q157" s="122" t="n"/>
      <c r="R157" s="122" t="n"/>
      <c r="S157" s="122" t="n"/>
      <c r="T157" s="3" t="n"/>
      <c r="U157" s="3" t="n"/>
      <c r="V157" s="3" t="n"/>
    </row>
    <row r="158" ht="8" customHeight="1">
      <c r="A158" s="3" t="n"/>
      <c r="B158" s="3" t="n"/>
      <c r="C158" s="3" t="n"/>
      <c r="D158" s="121" t="n"/>
      <c r="E158" s="121" t="n"/>
      <c r="F158" s="122" t="n"/>
      <c r="G158" s="122" t="n"/>
      <c r="H158" s="122" t="n"/>
      <c r="I158" s="122" t="n"/>
      <c r="J158" s="122" t="n"/>
      <c r="K158" s="122" t="n"/>
      <c r="L158" s="122" t="n"/>
      <c r="M158" s="122" t="n"/>
      <c r="N158" s="122" t="n"/>
      <c r="O158" s="122" t="n"/>
      <c r="P158" s="122" t="n"/>
      <c r="Q158" s="122" t="n"/>
      <c r="R158" s="122" t="n"/>
      <c r="S158" s="122" t="n"/>
      <c r="T158" s="3" t="n"/>
      <c r="U158" s="3" t="n"/>
      <c r="V158" s="3" t="n"/>
    </row>
    <row r="159" ht="8" customHeight="1">
      <c r="A159" s="3" t="n"/>
      <c r="B159" s="3" t="n"/>
      <c r="C159" s="3" t="n"/>
      <c r="D159" s="121" t="n"/>
      <c r="E159" s="121" t="n"/>
      <c r="F159" s="122" t="n"/>
      <c r="G159" s="122" t="n"/>
      <c r="H159" s="122" t="n"/>
      <c r="I159" s="122" t="n"/>
      <c r="J159" s="122" t="n"/>
      <c r="K159" s="122" t="n"/>
      <c r="L159" s="122" t="n"/>
      <c r="M159" s="122" t="n"/>
      <c r="N159" s="122" t="n"/>
      <c r="O159" s="122" t="n"/>
      <c r="P159" s="122" t="n"/>
      <c r="Q159" s="122" t="n"/>
      <c r="R159" s="122" t="n"/>
      <c r="S159" s="122" t="n"/>
      <c r="T159" s="3" t="n"/>
      <c r="U159" s="3" t="n"/>
      <c r="V159" s="3" t="n"/>
    </row>
    <row r="160" ht="8" customHeight="1">
      <c r="A160" s="3" t="n"/>
      <c r="B160" s="3" t="n"/>
      <c r="C160" s="3" t="n"/>
      <c r="D160" s="121" t="n"/>
      <c r="E160" s="121" t="n"/>
      <c r="F160" s="122" t="n"/>
      <c r="G160" s="122" t="n"/>
      <c r="H160" s="122" t="n"/>
      <c r="I160" s="122" t="n"/>
      <c r="J160" s="122" t="n"/>
      <c r="K160" s="122" t="n"/>
      <c r="L160" s="122" t="n"/>
      <c r="M160" s="122" t="n"/>
      <c r="N160" s="122" t="n"/>
      <c r="O160" s="122" t="n"/>
      <c r="P160" s="122" t="n"/>
      <c r="Q160" s="122" t="n"/>
      <c r="R160" s="122" t="n"/>
      <c r="S160" s="122" t="n"/>
      <c r="T160" s="3" t="n"/>
      <c r="U160" s="3" t="n"/>
      <c r="V160" s="3" t="n"/>
    </row>
    <row r="161" ht="8" customHeight="1">
      <c r="A161" s="3" t="n"/>
      <c r="B161" s="3" t="n"/>
      <c r="C161" s="3" t="n"/>
      <c r="D161" s="121" t="n"/>
      <c r="E161" s="121" t="n"/>
      <c r="F161" s="122" t="n"/>
      <c r="G161" s="122" t="n"/>
      <c r="H161" s="122" t="n"/>
      <c r="I161" s="122" t="n"/>
      <c r="J161" s="122" t="n"/>
      <c r="K161" s="122" t="n"/>
      <c r="L161" s="122" t="n"/>
      <c r="M161" s="122" t="n"/>
      <c r="N161" s="122" t="n"/>
      <c r="O161" s="122" t="n"/>
      <c r="P161" s="122" t="n"/>
      <c r="Q161" s="122" t="n"/>
      <c r="R161" s="122" t="n"/>
      <c r="S161" s="122" t="n"/>
      <c r="T161" s="3" t="n"/>
      <c r="U161" s="3" t="n"/>
      <c r="V161" s="3" t="n"/>
    </row>
    <row r="162" ht="8" customHeight="1">
      <c r="A162" s="3" t="n"/>
      <c r="B162" s="3" t="n"/>
      <c r="C162" s="3" t="n"/>
      <c r="D162" s="121" t="n"/>
      <c r="E162" s="121" t="n"/>
      <c r="F162" s="122" t="n"/>
      <c r="G162" s="122" t="n"/>
      <c r="H162" s="122" t="n"/>
      <c r="I162" s="122" t="n"/>
      <c r="J162" s="122" t="n"/>
      <c r="K162" s="122" t="n"/>
      <c r="L162" s="122" t="n"/>
      <c r="M162" s="122" t="n"/>
      <c r="N162" s="122" t="n"/>
      <c r="O162" s="122" t="n"/>
      <c r="P162" s="122" t="n"/>
      <c r="Q162" s="122" t="n"/>
      <c r="R162" s="122" t="n"/>
      <c r="S162" s="122" t="n"/>
      <c r="T162" s="3" t="n"/>
      <c r="U162" s="3" t="n"/>
      <c r="V162" s="3" t="n"/>
    </row>
    <row r="163" ht="8" customHeight="1">
      <c r="A163" s="3" t="n"/>
      <c r="B163" s="3" t="n"/>
      <c r="C163" s="3" t="n"/>
      <c r="D163" s="121" t="n"/>
      <c r="E163" s="121" t="n"/>
      <c r="F163" s="122" t="n"/>
      <c r="G163" s="122" t="n"/>
      <c r="H163" s="122" t="n"/>
      <c r="I163" s="122" t="n"/>
      <c r="J163" s="122" t="n"/>
      <c r="K163" s="122" t="n"/>
      <c r="L163" s="122" t="n"/>
      <c r="M163" s="122" t="n"/>
      <c r="N163" s="122" t="n"/>
      <c r="O163" s="122" t="n"/>
      <c r="P163" s="122" t="n"/>
      <c r="Q163" s="122" t="n"/>
      <c r="R163" s="122" t="n"/>
      <c r="S163" s="122" t="n"/>
      <c r="T163" s="3" t="n"/>
      <c r="U163" s="3" t="n"/>
      <c r="V163" s="3" t="n"/>
    </row>
    <row r="164" ht="8" customHeight="1">
      <c r="A164" s="3" t="n"/>
      <c r="B164" s="3" t="n"/>
      <c r="C164" s="3" t="n"/>
      <c r="D164" s="121" t="n"/>
      <c r="E164" s="121" t="n"/>
      <c r="F164" s="122" t="n"/>
      <c r="G164" s="122" t="n"/>
      <c r="H164" s="122" t="n"/>
      <c r="I164" s="122" t="n"/>
      <c r="J164" s="122" t="n"/>
      <c r="K164" s="122" t="n"/>
      <c r="L164" s="122" t="n"/>
      <c r="M164" s="122" t="n"/>
      <c r="N164" s="122" t="n"/>
      <c r="O164" s="122" t="n"/>
      <c r="P164" s="122" t="n"/>
      <c r="Q164" s="122" t="n"/>
      <c r="R164" s="122" t="n"/>
      <c r="S164" s="122" t="n"/>
      <c r="T164" s="3" t="n"/>
      <c r="U164" s="3" t="n"/>
      <c r="V164" s="3" t="n"/>
    </row>
    <row r="165" ht="8" customHeight="1">
      <c r="A165" s="3" t="n"/>
      <c r="B165" s="3" t="n"/>
      <c r="C165" s="3" t="n"/>
      <c r="D165" s="121" t="n"/>
      <c r="E165" s="121" t="n"/>
      <c r="F165" s="122" t="n"/>
      <c r="G165" s="122" t="n"/>
      <c r="H165" s="122" t="n"/>
      <c r="I165" s="122" t="n"/>
      <c r="J165" s="122" t="n"/>
      <c r="K165" s="122" t="n"/>
      <c r="L165" s="122" t="n"/>
      <c r="M165" s="122" t="n"/>
      <c r="N165" s="122" t="n"/>
      <c r="O165" s="122" t="n"/>
      <c r="P165" s="122" t="n"/>
      <c r="Q165" s="122" t="n"/>
      <c r="R165" s="122" t="n"/>
      <c r="S165" s="122" t="n"/>
      <c r="T165" s="3" t="n"/>
      <c r="U165" s="3" t="n"/>
      <c r="V165" s="3" t="n"/>
    </row>
    <row r="166" ht="8" customHeight="1">
      <c r="A166" s="3" t="n"/>
      <c r="B166" s="3" t="n"/>
      <c r="C166" s="3" t="n"/>
      <c r="D166" s="121" t="n"/>
      <c r="E166" s="121" t="n"/>
      <c r="F166" s="122" t="n"/>
      <c r="G166" s="122" t="n"/>
      <c r="H166" s="122" t="n"/>
      <c r="I166" s="122" t="n"/>
      <c r="J166" s="122" t="n"/>
      <c r="K166" s="122" t="n"/>
      <c r="L166" s="122" t="n"/>
      <c r="M166" s="122" t="n"/>
      <c r="N166" s="122" t="n"/>
      <c r="O166" s="122" t="n"/>
      <c r="P166" s="122" t="n"/>
      <c r="Q166" s="122" t="n"/>
      <c r="R166" s="122" t="n"/>
      <c r="S166" s="122" t="n"/>
      <c r="T166" s="3" t="n"/>
      <c r="U166" s="3" t="n"/>
      <c r="V166" s="3" t="n"/>
    </row>
    <row r="167" ht="8" customHeight="1">
      <c r="A167" s="3" t="n"/>
      <c r="B167" s="3" t="n"/>
      <c r="C167" s="3" t="n"/>
      <c r="D167" s="121" t="n"/>
      <c r="E167" s="121" t="n"/>
      <c r="F167" s="122" t="n"/>
      <c r="G167" s="122" t="n"/>
      <c r="H167" s="122" t="n"/>
      <c r="I167" s="122" t="n"/>
      <c r="J167" s="122" t="n"/>
      <c r="K167" s="122" t="n"/>
      <c r="L167" s="122" t="n"/>
      <c r="M167" s="122" t="n"/>
      <c r="N167" s="122" t="n"/>
      <c r="O167" s="122" t="n"/>
      <c r="P167" s="122" t="n"/>
      <c r="Q167" s="122" t="n"/>
      <c r="R167" s="122" t="n"/>
      <c r="S167" s="122" t="n"/>
      <c r="T167" s="3" t="n"/>
      <c r="U167" s="3" t="n"/>
      <c r="V167" s="3" t="n"/>
    </row>
    <row r="168" ht="8" customHeight="1">
      <c r="A168" s="3" t="n"/>
      <c r="B168" s="3" t="n"/>
      <c r="C168" s="3" t="n"/>
      <c r="D168" s="121" t="n"/>
      <c r="E168" s="121" t="n"/>
      <c r="F168" s="122" t="n"/>
      <c r="G168" s="122" t="n"/>
      <c r="H168" s="122" t="n"/>
      <c r="I168" s="122" t="n"/>
      <c r="J168" s="122" t="n"/>
      <c r="K168" s="122" t="n"/>
      <c r="L168" s="122" t="n"/>
      <c r="M168" s="122" t="n"/>
      <c r="N168" s="122" t="n"/>
      <c r="O168" s="122" t="n"/>
      <c r="P168" s="122" t="n"/>
      <c r="Q168" s="122" t="n"/>
      <c r="R168" s="122" t="n"/>
      <c r="S168" s="122" t="n"/>
      <c r="T168" s="3" t="n"/>
      <c r="U168" s="3" t="n"/>
      <c r="V168" s="3" t="n"/>
    </row>
    <row r="169" ht="8" customHeight="1">
      <c r="A169" s="3" t="n"/>
      <c r="B169" s="3" t="n"/>
      <c r="C169" s="3" t="n"/>
      <c r="D169" s="121" t="n"/>
      <c r="E169" s="121" t="n"/>
      <c r="F169" s="122" t="n"/>
      <c r="G169" s="122" t="n"/>
      <c r="H169" s="122" t="n"/>
      <c r="I169" s="122" t="n"/>
      <c r="J169" s="122" t="n"/>
      <c r="K169" s="122" t="n"/>
      <c r="L169" s="122" t="n"/>
      <c r="M169" s="122" t="n"/>
      <c r="N169" s="122" t="n"/>
      <c r="O169" s="122" t="n"/>
      <c r="P169" s="122" t="n"/>
      <c r="Q169" s="122" t="n"/>
      <c r="R169" s="122" t="n"/>
      <c r="S169" s="122" t="n"/>
      <c r="T169" s="3" t="n"/>
      <c r="U169" s="3" t="n"/>
      <c r="V169" s="3" t="n"/>
    </row>
    <row r="170" ht="8" customHeight="1">
      <c r="A170" s="3" t="n"/>
      <c r="B170" s="3" t="n"/>
      <c r="C170" s="3" t="n"/>
      <c r="D170" s="121" t="n"/>
      <c r="E170" s="121" t="n"/>
      <c r="F170" s="122" t="n"/>
      <c r="G170" s="122" t="n"/>
      <c r="H170" s="122" t="n"/>
      <c r="I170" s="122" t="n"/>
      <c r="J170" s="122" t="n"/>
      <c r="K170" s="122" t="n"/>
      <c r="L170" s="122" t="n"/>
      <c r="M170" s="122" t="n"/>
      <c r="N170" s="122" t="n"/>
      <c r="O170" s="122" t="n"/>
      <c r="P170" s="122" t="n"/>
      <c r="Q170" s="122" t="n"/>
      <c r="R170" s="122" t="n"/>
      <c r="S170" s="122" t="n"/>
      <c r="T170" s="3" t="n"/>
      <c r="U170" s="3" t="n"/>
      <c r="V170" s="3" t="n"/>
    </row>
    <row r="171" ht="8" customHeight="1">
      <c r="A171" s="3" t="n"/>
      <c r="B171" s="3" t="n"/>
      <c r="C171" s="3" t="n"/>
      <c r="D171" s="121" t="n"/>
      <c r="E171" s="121" t="n"/>
      <c r="F171" s="122" t="n"/>
      <c r="G171" s="122" t="n"/>
      <c r="H171" s="122" t="n"/>
      <c r="I171" s="122" t="n"/>
      <c r="J171" s="122" t="n"/>
      <c r="K171" s="122" t="n"/>
      <c r="L171" s="122" t="n"/>
      <c r="M171" s="122" t="n"/>
      <c r="N171" s="122" t="n"/>
      <c r="O171" s="122" t="n"/>
      <c r="P171" s="122" t="n"/>
      <c r="Q171" s="122" t="n"/>
      <c r="R171" s="122" t="n"/>
      <c r="S171" s="122" t="n"/>
      <c r="T171" s="3" t="n"/>
      <c r="U171" s="3" t="n"/>
      <c r="V171" s="3" t="n"/>
    </row>
    <row r="172" ht="8" customHeight="1">
      <c r="A172" s="3" t="n"/>
      <c r="B172" s="3" t="n"/>
      <c r="C172" s="3" t="n"/>
      <c r="D172" s="121" t="n"/>
      <c r="E172" s="121" t="n"/>
      <c r="F172" s="122" t="n"/>
      <c r="G172" s="122" t="n"/>
      <c r="H172" s="122" t="n"/>
      <c r="I172" s="122" t="n"/>
      <c r="J172" s="122" t="n"/>
      <c r="K172" s="122" t="n"/>
      <c r="L172" s="122" t="n"/>
      <c r="M172" s="122" t="n"/>
      <c r="N172" s="122" t="n"/>
      <c r="O172" s="122" t="n"/>
      <c r="P172" s="122" t="n"/>
      <c r="Q172" s="122" t="n"/>
      <c r="R172" s="122" t="n"/>
      <c r="S172" s="122" t="n"/>
      <c r="T172" s="3" t="n"/>
      <c r="U172" s="3" t="n"/>
      <c r="V172" s="3" t="n"/>
    </row>
    <row r="173" ht="8" customHeight="1">
      <c r="A173" s="3" t="n"/>
      <c r="B173" s="3" t="n"/>
      <c r="C173" s="3" t="n"/>
      <c r="D173" s="121" t="n"/>
      <c r="E173" s="121" t="n"/>
      <c r="F173" s="122" t="n"/>
      <c r="G173" s="122" t="n"/>
      <c r="H173" s="122" t="n"/>
      <c r="I173" s="122" t="n"/>
      <c r="J173" s="122" t="n"/>
      <c r="K173" s="122" t="n"/>
      <c r="L173" s="122" t="n"/>
      <c r="M173" s="122" t="n"/>
      <c r="N173" s="122" t="n"/>
      <c r="O173" s="122" t="n"/>
      <c r="P173" s="122" t="n"/>
      <c r="Q173" s="122" t="n"/>
      <c r="R173" s="122" t="n"/>
      <c r="S173" s="122" t="n"/>
      <c r="T173" s="3" t="n"/>
      <c r="U173" s="3" t="n"/>
      <c r="V173" s="3" t="n"/>
    </row>
    <row r="174" ht="8" customHeight="1">
      <c r="A174" s="3" t="n"/>
      <c r="B174" s="3" t="n"/>
      <c r="C174" s="3" t="n"/>
      <c r="D174" s="121" t="n"/>
      <c r="E174" s="121" t="n"/>
      <c r="F174" s="122" t="n"/>
      <c r="G174" s="122" t="n"/>
      <c r="H174" s="122" t="n"/>
      <c r="I174" s="122" t="n"/>
      <c r="J174" s="122" t="n"/>
      <c r="K174" s="122" t="n"/>
      <c r="L174" s="122" t="n"/>
      <c r="M174" s="122" t="n"/>
      <c r="N174" s="122" t="n"/>
      <c r="O174" s="122" t="n"/>
      <c r="P174" s="122" t="n"/>
      <c r="Q174" s="122" t="n"/>
      <c r="R174" s="122" t="n"/>
      <c r="S174" s="122" t="n"/>
      <c r="T174" s="3" t="n"/>
      <c r="U174" s="3" t="n"/>
      <c r="V174" s="3" t="n"/>
    </row>
    <row r="175" ht="8" customHeight="1">
      <c r="A175" s="3" t="n"/>
      <c r="B175" s="3" t="n"/>
      <c r="C175" s="3" t="n"/>
      <c r="D175" s="121" t="n"/>
      <c r="E175" s="121" t="n"/>
      <c r="F175" s="122" t="n"/>
      <c r="G175" s="122" t="n"/>
      <c r="H175" s="122" t="n"/>
      <c r="I175" s="122" t="n"/>
      <c r="J175" s="122" t="n"/>
      <c r="K175" s="122" t="n"/>
      <c r="L175" s="122" t="n"/>
      <c r="M175" s="122" t="n"/>
      <c r="N175" s="122" t="n"/>
      <c r="O175" s="122" t="n"/>
      <c r="P175" s="122" t="n"/>
      <c r="Q175" s="122" t="n"/>
      <c r="R175" s="122" t="n"/>
      <c r="S175" s="122" t="n"/>
      <c r="T175" s="3" t="n"/>
      <c r="U175" s="3" t="n"/>
      <c r="V175" s="3" t="n"/>
    </row>
    <row r="176" ht="8" customHeight="1">
      <c r="A176" s="3" t="n"/>
      <c r="B176" s="3" t="n"/>
      <c r="C176" s="3" t="n"/>
      <c r="D176" s="121" t="n"/>
      <c r="E176" s="121" t="n"/>
      <c r="F176" s="122" t="n"/>
      <c r="G176" s="122" t="n"/>
      <c r="H176" s="122" t="n"/>
      <c r="I176" s="122" t="n"/>
      <c r="J176" s="122" t="n"/>
      <c r="K176" s="122" t="n"/>
      <c r="L176" s="122" t="n"/>
      <c r="M176" s="122" t="n"/>
      <c r="N176" s="122" t="n"/>
      <c r="O176" s="122" t="n"/>
      <c r="P176" s="122" t="n"/>
      <c r="Q176" s="122" t="n"/>
      <c r="R176" s="122" t="n"/>
      <c r="S176" s="122" t="n"/>
      <c r="T176" s="3" t="n"/>
      <c r="U176" s="3" t="n"/>
      <c r="V176" s="3" t="n"/>
    </row>
    <row r="177" ht="8" customHeight="1">
      <c r="A177" s="3" t="n"/>
      <c r="B177" s="3" t="n"/>
      <c r="C177" s="3" t="n"/>
      <c r="D177" s="121" t="n"/>
      <c r="E177" s="121" t="n"/>
      <c r="F177" s="122" t="n"/>
      <c r="G177" s="122" t="n"/>
      <c r="H177" s="122" t="n"/>
      <c r="I177" s="122" t="n"/>
      <c r="J177" s="122" t="n"/>
      <c r="K177" s="122" t="n"/>
      <c r="L177" s="122" t="n"/>
      <c r="M177" s="122" t="n"/>
      <c r="N177" s="122" t="n"/>
      <c r="O177" s="122" t="n"/>
      <c r="P177" s="122" t="n"/>
      <c r="Q177" s="122" t="n"/>
      <c r="R177" s="122" t="n"/>
      <c r="S177" s="122" t="n"/>
      <c r="T177" s="3" t="n"/>
      <c r="U177" s="3" t="n"/>
      <c r="V177" s="3" t="n"/>
    </row>
    <row r="178" ht="8" customHeight="1">
      <c r="A178" s="3" t="n"/>
      <c r="B178" s="3" t="n"/>
      <c r="C178" s="3" t="n"/>
      <c r="D178" s="121" t="n"/>
      <c r="E178" s="121" t="n"/>
      <c r="F178" s="122" t="n"/>
      <c r="G178" s="122" t="n"/>
      <c r="H178" s="122" t="n"/>
      <c r="I178" s="122" t="n"/>
      <c r="J178" s="122" t="n"/>
      <c r="K178" s="122" t="n"/>
      <c r="L178" s="122" t="n"/>
      <c r="M178" s="122" t="n"/>
      <c r="N178" s="122" t="n"/>
      <c r="O178" s="122" t="n"/>
      <c r="P178" s="122" t="n"/>
      <c r="Q178" s="122" t="n"/>
      <c r="R178" s="122" t="n"/>
      <c r="S178" s="122" t="n"/>
      <c r="T178" s="3" t="n"/>
      <c r="U178" s="3" t="n"/>
      <c r="V178" s="3" t="n"/>
    </row>
    <row r="179" ht="8" customHeight="1">
      <c r="A179" s="3" t="n"/>
      <c r="B179" s="3" t="n"/>
      <c r="C179" s="3" t="n"/>
      <c r="D179" s="121" t="n"/>
      <c r="E179" s="121" t="n"/>
      <c r="F179" s="122" t="n"/>
      <c r="G179" s="122" t="n"/>
      <c r="H179" s="122" t="n"/>
      <c r="I179" s="122" t="n"/>
      <c r="J179" s="122" t="n"/>
      <c r="K179" s="122" t="n"/>
      <c r="L179" s="122" t="n"/>
      <c r="M179" s="122" t="n"/>
      <c r="N179" s="122" t="n"/>
      <c r="O179" s="122" t="n"/>
      <c r="P179" s="122" t="n"/>
      <c r="Q179" s="122" t="n"/>
      <c r="R179" s="122" t="n"/>
      <c r="S179" s="122" t="n"/>
      <c r="T179" s="3" t="n"/>
      <c r="U179" s="3" t="n"/>
      <c r="V179" s="3" t="n"/>
    </row>
    <row r="180" ht="8" customHeight="1">
      <c r="A180" s="3" t="n"/>
      <c r="B180" s="3" t="n"/>
      <c r="C180" s="3" t="n"/>
      <c r="D180" s="121" t="n"/>
      <c r="E180" s="121" t="n"/>
      <c r="F180" s="122" t="n"/>
      <c r="G180" s="122" t="n"/>
      <c r="H180" s="122" t="n"/>
      <c r="I180" s="122" t="n"/>
      <c r="J180" s="122" t="n"/>
      <c r="K180" s="122" t="n"/>
      <c r="L180" s="122" t="n"/>
      <c r="M180" s="122" t="n"/>
      <c r="N180" s="122" t="n"/>
      <c r="O180" s="122" t="n"/>
      <c r="P180" s="122" t="n"/>
      <c r="Q180" s="122" t="n"/>
      <c r="R180" s="122" t="n"/>
      <c r="S180" s="122" t="n"/>
      <c r="T180" s="3" t="n"/>
      <c r="U180" s="3" t="n"/>
      <c r="V180" s="3" t="n"/>
    </row>
    <row r="181" ht="8" customHeight="1">
      <c r="A181" s="3" t="n"/>
      <c r="B181" s="3" t="n"/>
      <c r="C181" s="3" t="n"/>
      <c r="D181" s="121" t="n"/>
      <c r="E181" s="121" t="n"/>
      <c r="F181" s="122" t="n"/>
      <c r="G181" s="122" t="n"/>
      <c r="H181" s="122" t="n"/>
      <c r="I181" s="122" t="n"/>
      <c r="J181" s="122" t="n"/>
      <c r="K181" s="122" t="n"/>
      <c r="L181" s="122" t="n"/>
      <c r="M181" s="122" t="n"/>
      <c r="N181" s="122" t="n"/>
      <c r="O181" s="122" t="n"/>
      <c r="P181" s="122" t="n"/>
      <c r="Q181" s="122" t="n"/>
      <c r="R181" s="122" t="n"/>
      <c r="S181" s="122" t="n"/>
      <c r="T181" s="3" t="n"/>
      <c r="U181" s="3" t="n"/>
      <c r="V181" s="3" t="n"/>
    </row>
    <row r="182" ht="8" customHeight="1">
      <c r="A182" s="3" t="n"/>
      <c r="B182" s="3" t="n"/>
      <c r="C182" s="3" t="n"/>
      <c r="D182" s="121" t="n"/>
      <c r="E182" s="121" t="n"/>
      <c r="F182" s="122" t="n"/>
      <c r="G182" s="122" t="n"/>
      <c r="H182" s="122" t="n"/>
      <c r="I182" s="122" t="n"/>
      <c r="J182" s="122" t="n"/>
      <c r="K182" s="122" t="n"/>
      <c r="L182" s="122" t="n"/>
      <c r="M182" s="122" t="n"/>
      <c r="N182" s="122" t="n"/>
      <c r="O182" s="122" t="n"/>
      <c r="P182" s="122" t="n"/>
      <c r="Q182" s="122" t="n"/>
      <c r="R182" s="122" t="n"/>
      <c r="S182" s="122" t="n"/>
      <c r="T182" s="3" t="n"/>
      <c r="U182" s="3" t="n"/>
      <c r="V182" s="3" t="n"/>
    </row>
    <row r="183" ht="8" customHeight="1">
      <c r="A183" s="3" t="n"/>
      <c r="B183" s="3" t="n"/>
      <c r="C183" s="3" t="n"/>
      <c r="D183" s="121" t="n"/>
      <c r="E183" s="121" t="n"/>
      <c r="F183" s="122" t="n"/>
      <c r="G183" s="122" t="n"/>
      <c r="H183" s="122" t="n"/>
      <c r="I183" s="122" t="n"/>
      <c r="J183" s="122" t="n"/>
      <c r="K183" s="122" t="n"/>
      <c r="L183" s="122" t="n"/>
      <c r="M183" s="122" t="n"/>
      <c r="N183" s="122" t="n"/>
      <c r="O183" s="122" t="n"/>
      <c r="P183" s="122" t="n"/>
      <c r="Q183" s="122" t="n"/>
      <c r="R183" s="122" t="n"/>
      <c r="S183" s="122" t="n"/>
      <c r="T183" s="3" t="n"/>
      <c r="U183" s="3" t="n"/>
      <c r="V183" s="3" t="n"/>
    </row>
    <row r="184" ht="8" customHeight="1">
      <c r="A184" s="3" t="n"/>
      <c r="B184" s="3" t="n"/>
      <c r="C184" s="3" t="n"/>
      <c r="D184" s="121" t="n"/>
      <c r="E184" s="121" t="n"/>
      <c r="F184" s="122" t="n"/>
      <c r="G184" s="122" t="n"/>
      <c r="H184" s="122" t="n"/>
      <c r="I184" s="122" t="n"/>
      <c r="J184" s="122" t="n"/>
      <c r="K184" s="122" t="n"/>
      <c r="L184" s="122" t="n"/>
      <c r="M184" s="122" t="n"/>
      <c r="N184" s="122" t="n"/>
      <c r="O184" s="122" t="n"/>
      <c r="P184" s="122" t="n"/>
      <c r="Q184" s="122" t="n"/>
      <c r="R184" s="122" t="n"/>
      <c r="S184" s="122" t="n"/>
      <c r="T184" s="3" t="n"/>
      <c r="U184" s="3" t="n"/>
      <c r="V184" s="3" t="n"/>
    </row>
    <row r="185" ht="8" customHeight="1">
      <c r="A185" s="3" t="n"/>
      <c r="B185" s="3" t="n"/>
      <c r="C185" s="3" t="n"/>
      <c r="D185" s="121" t="n"/>
      <c r="E185" s="121" t="n"/>
      <c r="F185" s="122" t="n"/>
      <c r="G185" s="122" t="n"/>
      <c r="H185" s="122" t="n"/>
      <c r="I185" s="122" t="n"/>
      <c r="J185" s="122" t="n"/>
      <c r="K185" s="122" t="n"/>
      <c r="L185" s="122" t="n"/>
      <c r="M185" s="122" t="n"/>
      <c r="N185" s="122" t="n"/>
      <c r="O185" s="122" t="n"/>
      <c r="P185" s="122" t="n"/>
      <c r="Q185" s="122" t="n"/>
      <c r="R185" s="122" t="n"/>
      <c r="S185" s="122" t="n"/>
      <c r="T185" s="3" t="n"/>
      <c r="U185" s="3" t="n"/>
      <c r="V185" s="3" t="n"/>
    </row>
    <row r="186" ht="8" customHeight="1">
      <c r="A186" s="3" t="n"/>
      <c r="B186" s="3" t="n"/>
      <c r="C186" s="3" t="n"/>
      <c r="D186" s="121" t="n"/>
      <c r="E186" s="121" t="n"/>
      <c r="F186" s="122" t="n"/>
      <c r="G186" s="122" t="n"/>
      <c r="H186" s="122" t="n"/>
      <c r="I186" s="122" t="n"/>
      <c r="J186" s="122" t="n"/>
      <c r="K186" s="122" t="n"/>
      <c r="L186" s="122" t="n"/>
      <c r="M186" s="122" t="n"/>
      <c r="N186" s="122" t="n"/>
      <c r="O186" s="122" t="n"/>
      <c r="P186" s="122" t="n"/>
      <c r="Q186" s="122" t="n"/>
      <c r="R186" s="122" t="n"/>
      <c r="S186" s="122" t="n"/>
      <c r="T186" s="3" t="n"/>
      <c r="U186" s="3" t="n"/>
      <c r="V186" s="3" t="n"/>
    </row>
    <row r="187" ht="8" customHeight="1">
      <c r="A187" s="3" t="n"/>
      <c r="B187" s="3" t="n"/>
      <c r="C187" s="3" t="n"/>
      <c r="D187" s="121" t="n"/>
      <c r="E187" s="121" t="n"/>
      <c r="F187" s="122" t="n"/>
      <c r="G187" s="122" t="n"/>
      <c r="H187" s="122" t="n"/>
      <c r="I187" s="122" t="n"/>
      <c r="J187" s="122" t="n"/>
      <c r="K187" s="122" t="n"/>
      <c r="L187" s="122" t="n"/>
      <c r="M187" s="122" t="n"/>
      <c r="N187" s="122" t="n"/>
      <c r="O187" s="122" t="n"/>
      <c r="P187" s="122" t="n"/>
      <c r="Q187" s="122" t="n"/>
      <c r="R187" s="122" t="n"/>
      <c r="S187" s="122" t="n"/>
      <c r="T187" s="3" t="n"/>
      <c r="U187" s="3" t="n"/>
      <c r="V187" s="3" t="n"/>
    </row>
    <row r="188" ht="8" customHeight="1">
      <c r="A188" s="3" t="n"/>
      <c r="B188" s="3" t="n"/>
      <c r="C188" s="3" t="n"/>
      <c r="D188" s="121" t="n"/>
      <c r="E188" s="121" t="n"/>
      <c r="F188" s="122" t="n"/>
      <c r="G188" s="122" t="n"/>
      <c r="H188" s="122" t="n"/>
      <c r="I188" s="122" t="n"/>
      <c r="J188" s="122" t="n"/>
      <c r="K188" s="122" t="n"/>
      <c r="L188" s="122" t="n"/>
      <c r="M188" s="122" t="n"/>
      <c r="N188" s="122" t="n"/>
      <c r="O188" s="122" t="n"/>
      <c r="P188" s="122" t="n"/>
      <c r="Q188" s="122" t="n"/>
      <c r="R188" s="122" t="n"/>
      <c r="S188" s="122" t="n"/>
      <c r="T188" s="3" t="n"/>
      <c r="U188" s="3" t="n"/>
      <c r="V188" s="3" t="n"/>
    </row>
    <row r="189" ht="8" customHeight="1">
      <c r="A189" s="3" t="n"/>
      <c r="B189" s="3" t="n"/>
      <c r="C189" s="3" t="n"/>
      <c r="D189" s="121" t="n"/>
      <c r="E189" s="121" t="n"/>
      <c r="F189" s="122" t="n"/>
      <c r="G189" s="122" t="n"/>
      <c r="H189" s="122" t="n"/>
      <c r="I189" s="122" t="n"/>
      <c r="J189" s="122" t="n"/>
      <c r="K189" s="122" t="n"/>
      <c r="L189" s="122" t="n"/>
      <c r="M189" s="122" t="n"/>
      <c r="N189" s="122" t="n"/>
      <c r="O189" s="122" t="n"/>
      <c r="P189" s="122" t="n"/>
      <c r="Q189" s="122" t="n"/>
      <c r="R189" s="122" t="n"/>
      <c r="S189" s="122" t="n"/>
      <c r="T189" s="3" t="n"/>
      <c r="U189" s="3" t="n"/>
      <c r="V189" s="3" t="n"/>
    </row>
    <row r="190" ht="8" customHeight="1">
      <c r="A190" s="3" t="n"/>
      <c r="B190" s="3" t="n"/>
      <c r="C190" s="3" t="n"/>
      <c r="D190" s="121" t="n"/>
      <c r="E190" s="121" t="n"/>
      <c r="F190" s="122" t="n"/>
      <c r="G190" s="122" t="n"/>
      <c r="H190" s="122" t="n"/>
      <c r="I190" s="122" t="n"/>
      <c r="J190" s="122" t="n"/>
      <c r="K190" s="122" t="n"/>
      <c r="L190" s="122" t="n"/>
      <c r="M190" s="122" t="n"/>
      <c r="N190" s="122" t="n"/>
      <c r="O190" s="122" t="n"/>
      <c r="P190" s="122" t="n"/>
      <c r="Q190" s="122" t="n"/>
      <c r="R190" s="122" t="n"/>
      <c r="S190" s="122" t="n"/>
      <c r="T190" s="3" t="n"/>
      <c r="U190" s="3" t="n"/>
      <c r="V190" s="3" t="n"/>
    </row>
    <row r="191" ht="8" customHeight="1">
      <c r="A191" s="3" t="n"/>
      <c r="B191" s="3" t="n"/>
      <c r="C191" s="3" t="n"/>
      <c r="D191" s="121" t="n"/>
      <c r="E191" s="121" t="n"/>
      <c r="F191" s="122" t="n"/>
      <c r="G191" s="122" t="n"/>
      <c r="H191" s="122" t="n"/>
      <c r="I191" s="122" t="n"/>
      <c r="J191" s="122" t="n"/>
      <c r="K191" s="122" t="n"/>
      <c r="L191" s="122" t="n"/>
      <c r="M191" s="122" t="n"/>
      <c r="N191" s="122" t="n"/>
      <c r="O191" s="122" t="n"/>
      <c r="P191" s="122" t="n"/>
      <c r="Q191" s="122" t="n"/>
      <c r="R191" s="122" t="n"/>
      <c r="S191" s="122" t="n"/>
      <c r="T191" s="3" t="n"/>
      <c r="U191" s="3" t="n"/>
      <c r="V191" s="3" t="n"/>
    </row>
    <row r="192" ht="8" customHeight="1">
      <c r="A192" s="3" t="n"/>
      <c r="B192" s="3" t="n"/>
      <c r="C192" s="3" t="n"/>
      <c r="D192" s="121" t="n"/>
      <c r="E192" s="121" t="n"/>
      <c r="F192" s="122" t="n"/>
      <c r="G192" s="122" t="n"/>
      <c r="H192" s="122" t="n"/>
      <c r="I192" s="122" t="n"/>
      <c r="J192" s="122" t="n"/>
      <c r="K192" s="122" t="n"/>
      <c r="L192" s="122" t="n"/>
      <c r="M192" s="122" t="n"/>
      <c r="N192" s="122" t="n"/>
      <c r="O192" s="122" t="n"/>
      <c r="P192" s="122" t="n"/>
      <c r="Q192" s="122" t="n"/>
      <c r="R192" s="122" t="n"/>
      <c r="S192" s="122" t="n"/>
      <c r="T192" s="3" t="n"/>
      <c r="U192" s="3" t="n"/>
      <c r="V192" s="3" t="n"/>
    </row>
    <row r="193" ht="8" customHeight="1">
      <c r="A193" s="3" t="n"/>
      <c r="B193" s="3" t="n"/>
      <c r="C193" s="3" t="n"/>
      <c r="D193" s="121" t="n"/>
      <c r="E193" s="121" t="n"/>
      <c r="F193" s="122" t="n"/>
      <c r="G193" s="122" t="n"/>
      <c r="H193" s="122" t="n"/>
      <c r="I193" s="122" t="n"/>
      <c r="J193" s="122" t="n"/>
      <c r="K193" s="122" t="n"/>
      <c r="L193" s="122" t="n"/>
      <c r="M193" s="122" t="n"/>
      <c r="N193" s="122" t="n"/>
      <c r="O193" s="122" t="n"/>
      <c r="P193" s="122" t="n"/>
      <c r="Q193" s="122" t="n"/>
      <c r="R193" s="122" t="n"/>
      <c r="S193" s="122" t="n"/>
      <c r="T193" s="3" t="n"/>
      <c r="U193" s="3" t="n"/>
      <c r="V193" s="3" t="n"/>
    </row>
    <row r="194" ht="8" customHeight="1">
      <c r="A194" s="3" t="n"/>
      <c r="B194" s="3" t="n"/>
      <c r="C194" s="3" t="n"/>
      <c r="D194" s="121" t="n"/>
      <c r="E194" s="121" t="n"/>
      <c r="F194" s="122" t="n"/>
      <c r="G194" s="122" t="n"/>
      <c r="H194" s="122" t="n"/>
      <c r="I194" s="122" t="n"/>
      <c r="J194" s="122" t="n"/>
      <c r="K194" s="122" t="n"/>
      <c r="L194" s="122" t="n"/>
      <c r="M194" s="122" t="n"/>
      <c r="N194" s="122" t="n"/>
      <c r="O194" s="122" t="n"/>
      <c r="P194" s="122" t="n"/>
      <c r="Q194" s="122" t="n"/>
      <c r="R194" s="122" t="n"/>
      <c r="S194" s="122" t="n"/>
      <c r="T194" s="3" t="n"/>
      <c r="U194" s="3" t="n"/>
      <c r="V194" s="3" t="n"/>
    </row>
    <row r="195" ht="8" customHeight="1">
      <c r="A195" s="3" t="n"/>
      <c r="B195" s="3" t="n"/>
      <c r="C195" s="3" t="n"/>
      <c r="D195" s="121" t="n"/>
      <c r="E195" s="121" t="n"/>
      <c r="F195" s="122" t="n"/>
      <c r="G195" s="122" t="n"/>
      <c r="H195" s="122" t="n"/>
      <c r="I195" s="122" t="n"/>
      <c r="J195" s="122" t="n"/>
      <c r="K195" s="122" t="n"/>
      <c r="L195" s="122" t="n"/>
      <c r="M195" s="122" t="n"/>
      <c r="N195" s="122" t="n"/>
      <c r="O195" s="122" t="n"/>
      <c r="P195" s="122" t="n"/>
      <c r="Q195" s="122" t="n"/>
      <c r="R195" s="122" t="n"/>
      <c r="S195" s="122" t="n"/>
      <c r="T195" s="3" t="n"/>
      <c r="U195" s="3" t="n"/>
      <c r="V195" s="3" t="n"/>
    </row>
    <row r="196" ht="8" customHeight="1">
      <c r="A196" s="3" t="n"/>
      <c r="B196" s="3" t="n"/>
      <c r="C196" s="3" t="n"/>
      <c r="D196" s="121" t="n"/>
      <c r="E196" s="121" t="n"/>
      <c r="F196" s="122" t="n"/>
      <c r="G196" s="122" t="n"/>
      <c r="H196" s="122" t="n"/>
      <c r="I196" s="122" t="n"/>
      <c r="J196" s="122" t="n"/>
      <c r="K196" s="122" t="n"/>
      <c r="L196" s="122" t="n"/>
      <c r="M196" s="122" t="n"/>
      <c r="N196" s="122" t="n"/>
      <c r="O196" s="122" t="n"/>
      <c r="P196" s="122" t="n"/>
      <c r="Q196" s="122" t="n"/>
      <c r="R196" s="122" t="n"/>
      <c r="S196" s="122" t="n"/>
      <c r="T196" s="3" t="n"/>
      <c r="U196" s="3" t="n"/>
      <c r="V196" s="3" t="n"/>
    </row>
    <row r="197" ht="8" customHeight="1">
      <c r="A197" s="3" t="n"/>
      <c r="B197" s="3" t="n"/>
      <c r="C197" s="3" t="n"/>
      <c r="D197" s="121" t="n"/>
      <c r="E197" s="121" t="n"/>
      <c r="F197" s="122" t="n"/>
      <c r="G197" s="122" t="n"/>
      <c r="H197" s="122" t="n"/>
      <c r="I197" s="122" t="n"/>
      <c r="J197" s="122" t="n"/>
      <c r="K197" s="122" t="n"/>
      <c r="L197" s="122" t="n"/>
      <c r="M197" s="122" t="n"/>
      <c r="N197" s="122" t="n"/>
      <c r="O197" s="122" t="n"/>
      <c r="P197" s="122" t="n"/>
      <c r="Q197" s="122" t="n"/>
      <c r="R197" s="122" t="n"/>
      <c r="S197" s="122" t="n"/>
      <c r="T197" s="3" t="n"/>
      <c r="U197" s="3" t="n"/>
      <c r="V197" s="3" t="n"/>
    </row>
    <row r="198" ht="8" customHeight="1">
      <c r="A198" s="3" t="n"/>
      <c r="B198" s="3" t="n"/>
      <c r="C198" s="3" t="n"/>
      <c r="D198" s="121" t="n"/>
      <c r="E198" s="121" t="n"/>
      <c r="F198" s="122" t="n"/>
      <c r="G198" s="122" t="n"/>
      <c r="H198" s="122" t="n"/>
      <c r="I198" s="122" t="n"/>
      <c r="J198" s="122" t="n"/>
      <c r="K198" s="122" t="n"/>
      <c r="L198" s="122" t="n"/>
      <c r="M198" s="122" t="n"/>
      <c r="N198" s="122" t="n"/>
      <c r="O198" s="122" t="n"/>
      <c r="P198" s="122" t="n"/>
      <c r="Q198" s="122" t="n"/>
      <c r="R198" s="122" t="n"/>
      <c r="S198" s="122" t="n"/>
      <c r="T198" s="3" t="n"/>
      <c r="U198" s="3" t="n"/>
      <c r="V198" s="3" t="n"/>
    </row>
    <row r="199" ht="8" customHeight="1">
      <c r="A199" s="3" t="n"/>
      <c r="B199" s="3" t="n"/>
      <c r="C199" s="3" t="n"/>
      <c r="D199" s="121" t="n"/>
      <c r="E199" s="121" t="n"/>
      <c r="F199" s="122" t="n"/>
      <c r="G199" s="122" t="n"/>
      <c r="H199" s="122" t="n"/>
      <c r="I199" s="122" t="n"/>
      <c r="J199" s="122" t="n"/>
      <c r="K199" s="122" t="n"/>
      <c r="L199" s="122" t="n"/>
      <c r="M199" s="122" t="n"/>
      <c r="N199" s="122" t="n"/>
      <c r="O199" s="122" t="n"/>
      <c r="P199" s="122" t="n"/>
      <c r="Q199" s="122" t="n"/>
      <c r="R199" s="122" t="n"/>
      <c r="S199" s="122" t="n"/>
      <c r="T199" s="3" t="n"/>
      <c r="U199" s="3" t="n"/>
      <c r="V199" s="3" t="n"/>
    </row>
    <row r="200" ht="8" customHeight="1">
      <c r="A200" s="3" t="n"/>
      <c r="B200" s="3" t="n"/>
      <c r="C200" s="3" t="n"/>
      <c r="D200" s="121" t="n"/>
      <c r="E200" s="121" t="n"/>
      <c r="F200" s="122" t="n"/>
      <c r="G200" s="122" t="n"/>
      <c r="H200" s="122" t="n"/>
      <c r="I200" s="122" t="n"/>
      <c r="J200" s="122" t="n"/>
      <c r="K200" s="122" t="n"/>
      <c r="L200" s="122" t="n"/>
      <c r="M200" s="122" t="n"/>
      <c r="N200" s="122" t="n"/>
      <c r="O200" s="122" t="n"/>
      <c r="P200" s="122" t="n"/>
      <c r="Q200" s="122" t="n"/>
      <c r="R200" s="122" t="n"/>
      <c r="S200" s="122" t="n"/>
      <c r="T200" s="3" t="n"/>
      <c r="U200" s="3" t="n"/>
      <c r="V200" s="3" t="n"/>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V200"/>
  <sheetViews>
    <sheetView showGridLines="0" workbookViewId="0">
      <pane ySplit="4" topLeftCell="A5" activePane="bottomLef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81" t="inlineStr">
        <is>
          <t>Model run</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Frozen Python run inputs/results • changing an input here does NOT rerun the engine; rerun Python and refresh this workbook.</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Series / driver</t>
        </is>
      </c>
      <c r="B4" s="9" t="inlineStr">
        <is>
          <t>Unit</t>
        </is>
      </c>
      <c r="C4" s="9" t="inlineStr">
        <is>
          <t>Role</t>
        </is>
      </c>
      <c r="D4" s="9" t="inlineStr">
        <is>
          <t>Scalar / latest</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Status</t>
        </is>
      </c>
      <c r="U4" s="9" t="inlineStr">
        <is>
          <t>Source / dependency</t>
        </is>
      </c>
      <c r="V4" s="9" t="inlineStr">
        <is>
          <t>Review action</t>
        </is>
      </c>
    </row>
    <row r="5" ht="30" customHeight="1">
      <c r="A5" s="16" t="inlineStr">
        <is>
          <t>Petrol: GDP per capita</t>
        </is>
      </c>
      <c r="B5" s="16" t="inlineStr">
        <is>
          <t>2015 ZAR/person</t>
        </is>
      </c>
      <c r="C5" s="16" t="inlineStr">
        <is>
          <t>Input series</t>
        </is>
      </c>
      <c r="D5" s="143" t="n"/>
      <c r="E5" s="116" t="inlineStr">
        <is>
          <t>Shared macro driver. Model forecasts beyond the source observation window.</t>
        </is>
      </c>
      <c r="F5" s="117" t="n">
        <v>76790.1650122451</v>
      </c>
      <c r="G5" s="117" t="n">
        <v>76777.92621036293</v>
      </c>
      <c r="H5" s="117" t="n">
        <v>76356.55727959426</v>
      </c>
      <c r="I5" s="117" t="n">
        <v>75873.5403538539</v>
      </c>
      <c r="J5" s="117" t="n">
        <v>76305.62080219547</v>
      </c>
      <c r="K5" s="117" t="n">
        <v>76770.11274129389</v>
      </c>
      <c r="L5" s="117" t="n">
        <v>77267.03031188184</v>
      </c>
      <c r="M5" s="117" t="n">
        <v>77793.85014588524</v>
      </c>
      <c r="N5" s="117" t="n">
        <v>78347.23662423984</v>
      </c>
      <c r="O5" s="117" t="n">
        <v>78904.55961677714</v>
      </c>
      <c r="P5" s="117" t="n">
        <v>79465.847125887</v>
      </c>
      <c r="Q5" s="117" t="n">
        <v>80031.12735315424</v>
      </c>
      <c r="R5" s="117" t="n">
        <v>80600.42870077565</v>
      </c>
      <c r="S5" s="117" t="n">
        <v>81173.77977298702</v>
      </c>
      <c r="T5" s="16" t="inlineStr">
        <is>
          <t>Frozen current high_demand; provisional</t>
        </is>
      </c>
      <c r="U5" s="16" t="inlineStr">
        <is>
          <t>Petrol 6: current engine input/result</t>
        </is>
      </c>
      <c r="V5" s="16" t="inlineStr">
        <is>
          <t>Engine dependency is in Python; Excel links expose… [N266]</t>
        </is>
      </c>
    </row>
    <row r="6" ht="30" customHeight="1">
      <c r="A6" s="16" t="inlineStr">
        <is>
          <t>Petrol: New-sales regression slope</t>
        </is>
      </c>
      <c r="B6" s="16" t="inlineStr">
        <is>
          <t>vehicles / ZAR pc</t>
        </is>
      </c>
      <c r="C6" s="16" t="inlineStr">
        <is>
          <t>Scalar</t>
        </is>
      </c>
      <c r="D6" s="143" t="n">
        <v>37.3149</v>
      </c>
      <c r="E6" s="116" t="inlineStr">
        <is>
          <t>Sales = max(0, slope × GDP/capita + intercept). Applies to all new vehicles.</t>
        </is>
      </c>
      <c r="F6" s="117" t="n"/>
      <c r="G6" s="117" t="n"/>
      <c r="H6" s="117" t="n"/>
      <c r="I6" s="117" t="n"/>
      <c r="J6" s="117" t="n"/>
      <c r="K6" s="117" t="n"/>
      <c r="L6" s="117" t="n"/>
      <c r="M6" s="117" t="n"/>
      <c r="N6" s="117" t="n"/>
      <c r="O6" s="117" t="n"/>
      <c r="P6" s="117" t="n"/>
      <c r="Q6" s="117" t="n"/>
      <c r="R6" s="117" t="n"/>
      <c r="S6" s="117" t="n"/>
      <c r="T6" s="16" t="inlineStr">
        <is>
          <t>Frozen current high_demand; provisional</t>
        </is>
      </c>
      <c r="U6" s="16" t="inlineStr">
        <is>
          <t>Petrol 7: current engine input/result</t>
        </is>
      </c>
      <c r="V6" s="16" t="inlineStr">
        <is>
          <t>Engine dependency is in Python; Excel links expose… [N267]</t>
        </is>
      </c>
    </row>
    <row r="7" ht="30" customHeight="1">
      <c r="A7" s="16" t="inlineStr">
        <is>
          <t>Petrol: New-sales regression intercept</t>
        </is>
      </c>
      <c r="B7" s="16" t="inlineStr">
        <is>
          <t>vehicles/year</t>
        </is>
      </c>
      <c r="C7" s="16" t="inlineStr">
        <is>
          <t>Scalar</t>
        </is>
      </c>
      <c r="D7" s="143" t="n">
        <v>-2387744</v>
      </c>
      <c r="E7" s="116" t="inlineStr">
        <is>
          <t>Legacy fitted parameter; historical validity needs review.</t>
        </is>
      </c>
      <c r="F7" s="117" t="n"/>
      <c r="G7" s="117" t="n"/>
      <c r="H7" s="117" t="n"/>
      <c r="I7" s="117" t="n"/>
      <c r="J7" s="117" t="n"/>
      <c r="K7" s="117" t="n"/>
      <c r="L7" s="117" t="n"/>
      <c r="M7" s="117" t="n"/>
      <c r="N7" s="117" t="n"/>
      <c r="O7" s="117" t="n"/>
      <c r="P7" s="117" t="n"/>
      <c r="Q7" s="117" t="n"/>
      <c r="R7" s="117" t="n"/>
      <c r="S7" s="117" t="n"/>
      <c r="T7" s="16" t="inlineStr">
        <is>
          <t>Frozen current high_demand; provisional</t>
        </is>
      </c>
      <c r="U7" s="16" t="inlineStr">
        <is>
          <t>Petrol 8: current engine input/result</t>
        </is>
      </c>
      <c r="V7" s="16" t="inlineStr">
        <is>
          <t>Engine dependency is in Python; Excel links expose… [N268]</t>
        </is>
      </c>
    </row>
    <row r="8" ht="30" customHeight="1">
      <c r="A8" s="16" t="inlineStr">
        <is>
          <t>Petrol: Passenger share of new sales</t>
        </is>
      </c>
      <c r="B8" s="16" t="inlineStr">
        <is>
          <t>share</t>
        </is>
      </c>
      <c r="C8" s="16" t="inlineStr">
        <is>
          <t>Scalar</t>
        </is>
      </c>
      <c r="D8" s="129" t="n">
        <v>0.78</v>
      </c>
      <c r="E8" s="129" t="inlineStr">
        <is>
          <t>Current provisional split of total modelled new sales.</t>
        </is>
      </c>
      <c r="F8" s="128" t="n"/>
      <c r="G8" s="128" t="n"/>
      <c r="H8" s="128" t="n"/>
      <c r="I8" s="128" t="n"/>
      <c r="J8" s="128" t="n"/>
      <c r="K8" s="128" t="n"/>
      <c r="L8" s="128" t="n"/>
      <c r="M8" s="128" t="n"/>
      <c r="N8" s="128" t="n"/>
      <c r="O8" s="128" t="n"/>
      <c r="P8" s="128" t="n"/>
      <c r="Q8" s="128" t="n"/>
      <c r="R8" s="128" t="n"/>
      <c r="S8" s="128" t="n"/>
      <c r="T8" s="16" t="inlineStr">
        <is>
          <t>Frozen current high_demand; provisional</t>
        </is>
      </c>
      <c r="U8" s="16" t="inlineStr">
        <is>
          <t>Petrol 9: current engine input/result</t>
        </is>
      </c>
      <c r="V8" s="16" t="inlineStr">
        <is>
          <t>Engine dependency is in Python; Excel links expose… [N269]</t>
        </is>
      </c>
    </row>
    <row r="9" ht="30" customHeight="1">
      <c r="A9" s="16" t="inlineStr">
        <is>
          <t>Petrol: Petrol share of passenger ICE sales</t>
        </is>
      </c>
      <c r="B9" s="16" t="inlineStr">
        <is>
          <t>share</t>
        </is>
      </c>
      <c r="C9" s="16" t="inlineStr">
        <is>
          <t>Scalar</t>
        </is>
      </c>
      <c r="D9" s="129" t="n">
        <v>0.83</v>
      </c>
      <c r="E9" s="129" t="inlineStr">
        <is>
          <t>Applies after current EV adjustment. Hybrids are not separately modelled.</t>
        </is>
      </c>
      <c r="F9" s="128" t="n"/>
      <c r="G9" s="128" t="n"/>
      <c r="H9" s="128" t="n"/>
      <c r="I9" s="128" t="n"/>
      <c r="J9" s="128" t="n"/>
      <c r="K9" s="128" t="n"/>
      <c r="L9" s="128" t="n"/>
      <c r="M9" s="128" t="n"/>
      <c r="N9" s="128" t="n"/>
      <c r="O9" s="128" t="n"/>
      <c r="P9" s="128" t="n"/>
      <c r="Q9" s="128" t="n"/>
      <c r="R9" s="128" t="n"/>
      <c r="S9" s="128" t="n"/>
      <c r="T9" s="16" t="inlineStr">
        <is>
          <t>Frozen current high_demand; provisional</t>
        </is>
      </c>
      <c r="U9" s="16" t="inlineStr">
        <is>
          <t>Petrol 10: current engine input/result</t>
        </is>
      </c>
      <c r="V9" s="16" t="inlineStr">
        <is>
          <t>Engine dependency is in Python; Excel links expose… [N270]</t>
        </is>
      </c>
    </row>
    <row r="10" ht="30" customHeight="1">
      <c r="A10" s="16" t="inlineStr">
        <is>
          <t>Petrol: Passenger annual mileage</t>
        </is>
      </c>
      <c r="B10" s="16" t="inlineStr">
        <is>
          <t>km/vehicle/year</t>
        </is>
      </c>
      <c r="C10" s="16" t="inlineStr">
        <is>
          <t>Scalar</t>
        </is>
      </c>
      <c r="D10" s="143" t="n">
        <v>17000</v>
      </c>
      <c r="E10" s="116" t="inlineStr">
        <is>
          <t>Current placeholder. Proposed HML brackets appear on HML sheet.</t>
        </is>
      </c>
      <c r="F10" s="117" t="n"/>
      <c r="G10" s="117" t="n"/>
      <c r="H10" s="117" t="n"/>
      <c r="I10" s="117" t="n"/>
      <c r="J10" s="117" t="n"/>
      <c r="K10" s="117" t="n"/>
      <c r="L10" s="117" t="n"/>
      <c r="M10" s="117" t="n"/>
      <c r="N10" s="117" t="n"/>
      <c r="O10" s="117" t="n"/>
      <c r="P10" s="117" t="n"/>
      <c r="Q10" s="117" t="n"/>
      <c r="R10" s="117" t="n"/>
      <c r="S10" s="117" t="n"/>
      <c r="T10" s="16" t="inlineStr">
        <is>
          <t>Frozen current high_demand; provisional</t>
        </is>
      </c>
      <c r="U10" s="16" t="inlineStr">
        <is>
          <t>Petrol 11: current engine input/result</t>
        </is>
      </c>
      <c r="V10" s="16" t="inlineStr">
        <is>
          <t>Engine dependency is in Python; Excel links expose… [N271]</t>
        </is>
      </c>
    </row>
    <row r="11" ht="30" customHeight="1">
      <c r="A11" s="16" t="inlineStr">
        <is>
          <t>Petrol: Passenger retirement rate</t>
        </is>
      </c>
      <c r="B11" s="16" t="inlineStr">
        <is>
          <t>share/year</t>
        </is>
      </c>
      <c r="C11" s="16" t="inlineStr">
        <is>
          <t>Scalar</t>
        </is>
      </c>
      <c r="D11" s="129" t="n">
        <v>0.04</v>
      </c>
      <c r="E11" s="129" t="inlineStr">
        <is>
          <t>Current engine scraps all cohorts, including additions, within the year.</t>
        </is>
      </c>
      <c r="F11" s="128" t="n"/>
      <c r="G11" s="128" t="n"/>
      <c r="H11" s="128" t="n"/>
      <c r="I11" s="128" t="n"/>
      <c r="J11" s="128" t="n"/>
      <c r="K11" s="128" t="n"/>
      <c r="L11" s="128" t="n"/>
      <c r="M11" s="128" t="n"/>
      <c r="N11" s="128" t="n"/>
      <c r="O11" s="128" t="n"/>
      <c r="P11" s="128" t="n"/>
      <c r="Q11" s="128" t="n"/>
      <c r="R11" s="128" t="n"/>
      <c r="S11" s="128" t="n"/>
      <c r="T11" s="16" t="inlineStr">
        <is>
          <t>Frozen current high_demand; provisional</t>
        </is>
      </c>
      <c r="U11" s="16" t="inlineStr">
        <is>
          <t>Petrol 12: current engine input/result</t>
        </is>
      </c>
      <c r="V11" s="16" t="inlineStr">
        <is>
          <t>Engine dependency is in Python; Excel links expose… [N272]</t>
        </is>
      </c>
    </row>
    <row r="12" ht="30" customHeight="1">
      <c r="A12" s="16" t="inlineStr">
        <is>
          <t>Petrol: Base new petrol vehicle consumption</t>
        </is>
      </c>
      <c r="B12" s="16" t="inlineStr">
        <is>
          <t>L/100 km</t>
        </is>
      </c>
      <c r="C12" s="16" t="inlineStr">
        <is>
          <t>Scalar</t>
        </is>
      </c>
      <c r="D12" s="143" t="n">
        <v>9.5</v>
      </c>
      <c r="E12" s="116" t="inlineStr">
        <is>
          <t>Entry-cohort baseline before cumulative efficiency gains.</t>
        </is>
      </c>
      <c r="F12" s="117" t="n"/>
      <c r="G12" s="117" t="n"/>
      <c r="H12" s="117" t="n"/>
      <c r="I12" s="117" t="n"/>
      <c r="J12" s="117" t="n"/>
      <c r="K12" s="117" t="n"/>
      <c r="L12" s="117" t="n"/>
      <c r="M12" s="117" t="n"/>
      <c r="N12" s="117" t="n"/>
      <c r="O12" s="117" t="n"/>
      <c r="P12" s="117" t="n"/>
      <c r="Q12" s="117" t="n"/>
      <c r="R12" s="117" t="n"/>
      <c r="S12" s="117" t="n"/>
      <c r="T12" s="16" t="inlineStr">
        <is>
          <t>Frozen current high_demand; provisional</t>
        </is>
      </c>
      <c r="U12" s="16" t="inlineStr">
        <is>
          <t>Petrol 13: current engine input/result</t>
        </is>
      </c>
      <c r="V12" s="16" t="inlineStr">
        <is>
          <t>Engine dependency is in Python; Excel links expose… [N273]</t>
        </is>
      </c>
    </row>
    <row r="13" ht="30" customHeight="1">
      <c r="A13" s="16" t="inlineStr">
        <is>
          <t>Petrol: New-cohort efficiency gain</t>
        </is>
      </c>
      <c r="B13" s="16" t="inlineStr">
        <is>
          <t>fraction/year</t>
        </is>
      </c>
      <c r="C13" s="16" t="inlineStr">
        <is>
          <t>Input series</t>
        </is>
      </c>
      <c r="D13" s="143" t="n"/>
      <c r="E13" s="116" t="inlineStr">
        <is>
          <t>Applied cumulatively to new cohorts; older cohorts retain their… [N274]</t>
        </is>
      </c>
      <c r="F13" s="117" t="n">
        <v>0.01</v>
      </c>
      <c r="G13" s="117" t="n">
        <v>0.01</v>
      </c>
      <c r="H13" s="117" t="n">
        <v>0.01</v>
      </c>
      <c r="I13" s="117" t="n">
        <v>0.01</v>
      </c>
      <c r="J13" s="117" t="n">
        <v>0.01</v>
      </c>
      <c r="K13" s="117" t="n">
        <v>0.01</v>
      </c>
      <c r="L13" s="117" t="n">
        <v>0.01</v>
      </c>
      <c r="M13" s="117" t="n">
        <v>0.01</v>
      </c>
      <c r="N13" s="117" t="n">
        <v>0.01</v>
      </c>
      <c r="O13" s="117" t="n">
        <v>0.01</v>
      </c>
      <c r="P13" s="117" t="n">
        <v>0.01</v>
      </c>
      <c r="Q13" s="117" t="n">
        <v>0.01</v>
      </c>
      <c r="R13" s="117" t="n">
        <v>0.01</v>
      </c>
      <c r="S13" s="117" t="n">
        <v>0.01</v>
      </c>
      <c r="T13" s="16" t="inlineStr">
        <is>
          <t>Frozen current high_demand; provisional</t>
        </is>
      </c>
      <c r="U13" s="16" t="inlineStr">
        <is>
          <t>Petrol 14: current engine input/result</t>
        </is>
      </c>
      <c r="V13" s="16" t="inlineStr">
        <is>
          <t>Engine dependency is in Python; Excel links expose… [N275]</t>
        </is>
      </c>
    </row>
    <row r="14" ht="30" customHeight="1">
      <c r="A14" s="16" t="inlineStr">
        <is>
          <t>Petrol: EV curve ceiling</t>
        </is>
      </c>
      <c r="B14" s="16" t="inlineStr">
        <is>
          <t>share</t>
        </is>
      </c>
      <c r="C14" s="16" t="inlineStr">
        <is>
          <t>Parameter</t>
        </is>
      </c>
      <c r="D14" s="129" t="n">
        <v>0.3</v>
      </c>
      <c r="E14" s="129" t="inlineStr">
        <is>
          <t>Current logistic curve parameter. Proposed BEV sales ranges are separate.</t>
        </is>
      </c>
      <c r="F14" s="128" t="n"/>
      <c r="G14" s="128" t="n"/>
      <c r="H14" s="128" t="n"/>
      <c r="I14" s="128" t="n"/>
      <c r="J14" s="128" t="n"/>
      <c r="K14" s="128" t="n"/>
      <c r="L14" s="128" t="n"/>
      <c r="M14" s="128" t="n"/>
      <c r="N14" s="128" t="n"/>
      <c r="O14" s="128" t="n"/>
      <c r="P14" s="128" t="n"/>
      <c r="Q14" s="128" t="n"/>
      <c r="R14" s="128" t="n"/>
      <c r="S14" s="128" t="n"/>
      <c r="T14" s="16" t="inlineStr">
        <is>
          <t>Frozen current high_demand; provisional</t>
        </is>
      </c>
      <c r="U14" s="16" t="inlineStr">
        <is>
          <t>Petrol 15: current engine input/result</t>
        </is>
      </c>
      <c r="V14" s="16" t="inlineStr">
        <is>
          <t>Engine dependency is in Python; Excel links expose… [N276]</t>
        </is>
      </c>
    </row>
    <row r="15" ht="30" customHeight="1">
      <c r="A15" s="16" t="inlineStr">
        <is>
          <t>Petrol: Passenger petrol fleet</t>
        </is>
      </c>
      <c r="B15" s="16" t="inlineStr">
        <is>
          <t>vehicles</t>
        </is>
      </c>
      <c r="C15" s="16" t="inlineStr">
        <is>
          <t>Engine output</t>
        </is>
      </c>
      <c r="D15" s="143" t="n"/>
      <c r="E15" s="116" t="inlineStr">
        <is>
          <t>Cohort stock from engine diagnostics. Opening stock is… [N277]</t>
        </is>
      </c>
      <c r="F15" s="117" t="n">
        <v>4105442.820063777</v>
      </c>
      <c r="G15" s="117" t="n">
        <v>4237510.411114601</v>
      </c>
      <c r="H15" s="117" t="n">
        <v>4354416.496447995</v>
      </c>
      <c r="I15" s="117" t="n">
        <v>4455304.547532654</v>
      </c>
      <c r="J15" s="117" t="n">
        <v>4561932.711510791</v>
      </c>
      <c r="K15" s="117" t="n">
        <v>4674714.360330738</v>
      </c>
      <c r="L15" s="117" t="n">
        <v>4793999.249590636</v>
      </c>
      <c r="M15" s="117" t="n">
        <v>4919998.09997983</v>
      </c>
      <c r="N15" s="117" t="n">
        <v>5052743.732514513</v>
      </c>
      <c r="O15" s="117" t="n">
        <v>5191624.005673832</v>
      </c>
      <c r="P15" s="117" t="n">
        <v>5335891.848160342</v>
      </c>
      <c r="Q15" s="117" t="n">
        <v>5484627.964432901</v>
      </c>
      <c r="R15" s="117" t="n">
        <v>5636707.366851823</v>
      </c>
      <c r="S15" s="117" t="n">
        <v>5790782.33635809</v>
      </c>
      <c r="T15" s="16" t="inlineStr">
        <is>
          <t>Frozen current high_demand; provisional</t>
        </is>
      </c>
      <c r="U15" s="16" t="inlineStr">
        <is>
          <t>Petrol 18: current engine input/result</t>
        </is>
      </c>
      <c r="V15" s="16" t="inlineStr">
        <is>
          <t>Engine dependency is in Python; Excel links expose… [N278]</t>
        </is>
      </c>
    </row>
    <row r="16" ht="30" customHeight="1">
      <c r="A16" s="16" t="inlineStr">
        <is>
          <t>Petrol: Passenger petrol vehicle-km</t>
        </is>
      </c>
      <c r="B16" s="16" t="inlineStr">
        <is>
          <t>km/year</t>
        </is>
      </c>
      <c r="C16" s="16" t="inlineStr">
        <is>
          <t>Engine output</t>
        </is>
      </c>
      <c r="D16" s="143" t="n"/>
      <c r="E16" s="116" t="inlineStr">
        <is>
          <t>Engine diagnostic activity for petrol passenger cohorts.</t>
        </is>
      </c>
      <c r="F16" s="117" t="n">
        <v>69792527941.08421</v>
      </c>
      <c r="G16" s="117" t="n">
        <v>72037676988.94823</v>
      </c>
      <c r="H16" s="117" t="n">
        <v>74025080439.61592</v>
      </c>
      <c r="I16" s="117" t="n">
        <v>75740177308.05513</v>
      </c>
      <c r="J16" s="117" t="n">
        <v>77552856095.68346</v>
      </c>
      <c r="K16" s="117" t="n">
        <v>79470144125.62254</v>
      </c>
      <c r="L16" s="117" t="n">
        <v>81497987243.04082</v>
      </c>
      <c r="M16" s="117" t="n">
        <v>83639967699.6571</v>
      </c>
      <c r="N16" s="117" t="n">
        <v>85896643452.74672</v>
      </c>
      <c r="O16" s="117" t="n">
        <v>88257608096.45515</v>
      </c>
      <c r="P16" s="117" t="n">
        <v>90710161418.72581</v>
      </c>
      <c r="Q16" s="117" t="n">
        <v>93238675395.35931</v>
      </c>
      <c r="R16" s="117" t="n">
        <v>95824025236.481</v>
      </c>
      <c r="S16" s="117" t="n">
        <v>98443299718.08752</v>
      </c>
      <c r="T16" s="16" t="inlineStr">
        <is>
          <t>Frozen current high_demand; provisional</t>
        </is>
      </c>
      <c r="U16" s="16" t="inlineStr">
        <is>
          <t>Petrol 19: current engine input/result</t>
        </is>
      </c>
      <c r="V16" s="16" t="inlineStr">
        <is>
          <t>Engine dependency is in Python; Excel links expose… [N279]</t>
        </is>
      </c>
    </row>
    <row r="17" ht="30" customHeight="1">
      <c r="A17" s="16" t="inlineStr">
        <is>
          <t>Petrol: Passenger petrol demand</t>
        </is>
      </c>
      <c r="B17" s="16" t="inlineStr">
        <is>
          <t>L/year</t>
        </is>
      </c>
      <c r="C17" s="16" t="inlineStr">
        <is>
          <t>Engine output</t>
        </is>
      </c>
      <c r="D17" s="143" t="n"/>
      <c r="E17" s="116" t="inlineStr">
        <is>
          <t>Calculated by the Python cohort engine.</t>
        </is>
      </c>
      <c r="F17" s="117" t="n">
        <v>6604446599.287105</v>
      </c>
      <c r="G17" s="117" t="n">
        <v>6799914661.651272</v>
      </c>
      <c r="H17" s="117" t="n">
        <v>6967795194.654524</v>
      </c>
      <c r="I17" s="117" t="n">
        <v>7107316650.590699</v>
      </c>
      <c r="J17" s="117" t="n">
        <v>7251790037.536386</v>
      </c>
      <c r="K17" s="117" t="n">
        <v>7401722983.680083</v>
      </c>
      <c r="L17" s="117" t="n">
        <v>7557508602.12469</v>
      </c>
      <c r="M17" s="117" t="n">
        <v>7719319498.873311</v>
      </c>
      <c r="N17" s="117" t="n">
        <v>7887060129.324876</v>
      </c>
      <c r="O17" s="117" t="n">
        <v>8059708885.814959</v>
      </c>
      <c r="P17" s="117" t="n">
        <v>8236078449.78074</v>
      </c>
      <c r="Q17" s="117" t="n">
        <v>8414771202.164529</v>
      </c>
      <c r="R17" s="117" t="n">
        <v>8594142435.126007</v>
      </c>
      <c r="S17" s="117" t="n">
        <v>8772288312.452164</v>
      </c>
      <c r="T17" s="16" t="inlineStr">
        <is>
          <t>Frozen current high_demand; provisional</t>
        </is>
      </c>
      <c r="U17" s="16" t="inlineStr">
        <is>
          <t>Petrol 20: current engine input/result</t>
        </is>
      </c>
      <c r="V17" s="16" t="inlineStr">
        <is>
          <t>Engine dependency is in Python; Excel links expose… [N280]</t>
        </is>
      </c>
    </row>
    <row r="18" ht="30" customHeight="1">
      <c r="A18" s="16" t="inlineStr">
        <is>
          <t>Petrol: All road petrol demand</t>
        </is>
      </c>
      <c r="B18" s="16" t="inlineStr">
        <is>
          <t>L/year</t>
        </is>
      </c>
      <c r="C18" s="16" t="inlineStr">
        <is>
          <t>Engine output</t>
        </is>
      </c>
      <c r="D18" s="143" t="n"/>
      <c r="E18" s="116" t="inlineStr">
        <is>
          <t>Includes passenger and LCV petrol. Does not claim all-product/sector coverage.</t>
        </is>
      </c>
      <c r="F18" s="117" t="n">
        <v>7524313292.876868</v>
      </c>
      <c r="G18" s="117" t="n">
        <v>7742855189.752118</v>
      </c>
      <c r="H18" s="117" t="n">
        <v>7929685371.405513</v>
      </c>
      <c r="I18" s="117" t="n">
        <v>8083956751.428673</v>
      </c>
      <c r="J18" s="117" t="n">
        <v>8244025240.866486</v>
      </c>
      <c r="K18" s="117" t="n">
        <v>8410462249.470676</v>
      </c>
      <c r="L18" s="117" t="n">
        <v>8583707326.682598</v>
      </c>
      <c r="M18" s="117" t="n">
        <v>8763946422.052998</v>
      </c>
      <c r="N18" s="117" t="n">
        <v>8951057412.033466</v>
      </c>
      <c r="O18" s="117" t="n">
        <v>9143853712.900026</v>
      </c>
      <c r="P18" s="117" t="n">
        <v>9340960238.495893</v>
      </c>
      <c r="Q18" s="117" t="n">
        <v>9540762254.104132</v>
      </c>
      <c r="R18" s="117" t="n">
        <v>9741363263.688969</v>
      </c>
      <c r="S18" s="117" t="n">
        <v>9940571409.724516</v>
      </c>
      <c r="T18" s="16" t="inlineStr">
        <is>
          <t>Frozen current high_demand; provisional</t>
        </is>
      </c>
      <c r="U18" s="16" t="inlineStr">
        <is>
          <t>Petrol 23: current engine input/result</t>
        </is>
      </c>
      <c r="V18" s="16" t="inlineStr">
        <is>
          <t>Engine dependency is in Python; Excel links expose… [N281]</t>
        </is>
      </c>
    </row>
    <row r="19" ht="30" customHeight="1">
      <c r="A19" s="16" t="inlineStr">
        <is>
          <t>Freight: GDP per capita</t>
        </is>
      </c>
      <c r="B19" s="16" t="inlineStr">
        <is>
          <t>2015 ZAR/person</t>
        </is>
      </c>
      <c r="C19" s="16" t="inlineStr">
        <is>
          <t>Input series</t>
        </is>
      </c>
      <c r="D19" s="143" t="n"/>
      <c r="E19" s="116" t="inlineStr">
        <is>
          <t>Same national vehicle-sales regression as Petrol sheet.</t>
        </is>
      </c>
      <c r="F19" s="117" t="n">
        <v>76790.1650122451</v>
      </c>
      <c r="G19" s="117" t="n">
        <v>76777.92621036293</v>
      </c>
      <c r="H19" s="117" t="n">
        <v>76356.55727959426</v>
      </c>
      <c r="I19" s="117" t="n">
        <v>75873.5403538539</v>
      </c>
      <c r="J19" s="117" t="n">
        <v>76305.62080219547</v>
      </c>
      <c r="K19" s="117" t="n">
        <v>76770.11274129389</v>
      </c>
      <c r="L19" s="117" t="n">
        <v>77267.03031188184</v>
      </c>
      <c r="M19" s="117" t="n">
        <v>77793.85014588524</v>
      </c>
      <c r="N19" s="117" t="n">
        <v>78347.23662423984</v>
      </c>
      <c r="O19" s="117" t="n">
        <v>78904.55961677714</v>
      </c>
      <c r="P19" s="117" t="n">
        <v>79465.847125887</v>
      </c>
      <c r="Q19" s="117" t="n">
        <v>80031.12735315424</v>
      </c>
      <c r="R19" s="117" t="n">
        <v>80600.42870077565</v>
      </c>
      <c r="S19" s="117" t="n">
        <v>81173.77977298702</v>
      </c>
      <c r="T19" s="16" t="inlineStr">
        <is>
          <t>Frozen current high_demand; provisional</t>
        </is>
      </c>
      <c r="U19" s="16" t="inlineStr">
        <is>
          <t>Freight 6: current engine input/result</t>
        </is>
      </c>
      <c r="V19" s="16" t="inlineStr">
        <is>
          <t>Engine dependency is in Python; Excel links expose… [N282]</t>
        </is>
      </c>
    </row>
    <row r="20" ht="30" customHeight="1">
      <c r="A20" s="16" t="inlineStr">
        <is>
          <t>Freight: HCV share of new vehicle sales</t>
        </is>
      </c>
      <c r="B20" s="16" t="inlineStr">
        <is>
          <t>share</t>
        </is>
      </c>
      <c r="C20" s="16" t="inlineStr">
        <is>
          <t>Scalar</t>
        </is>
      </c>
      <c r="D20" s="129" t="n">
        <v>0.04</v>
      </c>
      <c r="E20" s="129" t="inlineStr">
        <is>
          <t>Current provisional class split.</t>
        </is>
      </c>
      <c r="F20" s="128" t="n"/>
      <c r="G20" s="128" t="n"/>
      <c r="H20" s="128" t="n"/>
      <c r="I20" s="128" t="n"/>
      <c r="J20" s="128" t="n"/>
      <c r="K20" s="128" t="n"/>
      <c r="L20" s="128" t="n"/>
      <c r="M20" s="128" t="n"/>
      <c r="N20" s="128" t="n"/>
      <c r="O20" s="128" t="n"/>
      <c r="P20" s="128" t="n"/>
      <c r="Q20" s="128" t="n"/>
      <c r="R20" s="128" t="n"/>
      <c r="S20" s="128" t="n"/>
      <c r="T20" s="16" t="inlineStr">
        <is>
          <t>Frozen current high_demand; provisional</t>
        </is>
      </c>
      <c r="U20" s="16" t="inlineStr">
        <is>
          <t>Freight 7: current engine input/result</t>
        </is>
      </c>
      <c r="V20" s="16" t="inlineStr">
        <is>
          <t>Engine dependency is in Python; Excel links expose… [N283]</t>
        </is>
      </c>
    </row>
    <row r="21" ht="30" customHeight="1">
      <c r="A21" s="16" t="inlineStr">
        <is>
          <t>Freight: Diesel share of HCV ICE sales</t>
        </is>
      </c>
      <c r="B21" s="16" t="inlineStr">
        <is>
          <t>share</t>
        </is>
      </c>
      <c r="C21" s="16" t="inlineStr">
        <is>
          <t>Scalar</t>
        </is>
      </c>
      <c r="D21" s="129" t="n">
        <v>1</v>
      </c>
      <c r="E21" s="129" t="inlineStr">
        <is>
          <t>Current model applies its common EV adjustment before the diesel split.</t>
        </is>
      </c>
      <c r="F21" s="128" t="n"/>
      <c r="G21" s="128" t="n"/>
      <c r="H21" s="128" t="n"/>
      <c r="I21" s="128" t="n"/>
      <c r="J21" s="128" t="n"/>
      <c r="K21" s="128" t="n"/>
      <c r="L21" s="128" t="n"/>
      <c r="M21" s="128" t="n"/>
      <c r="N21" s="128" t="n"/>
      <c r="O21" s="128" t="n"/>
      <c r="P21" s="128" t="n"/>
      <c r="Q21" s="128" t="n"/>
      <c r="R21" s="128" t="n"/>
      <c r="S21" s="128" t="n"/>
      <c r="T21" s="16" t="inlineStr">
        <is>
          <t>Frozen current high_demand; provisional</t>
        </is>
      </c>
      <c r="U21" s="16" t="inlineStr">
        <is>
          <t>Freight 8: current engine input/result</t>
        </is>
      </c>
      <c r="V21" s="16" t="inlineStr">
        <is>
          <t>Engine dependency is in Python; Excel links expose… [N284]</t>
        </is>
      </c>
    </row>
    <row r="22" ht="30" customHeight="1">
      <c r="A22" s="16" t="inlineStr">
        <is>
          <t>Freight: Heavy-truck annual mileage</t>
        </is>
      </c>
      <c r="B22" s="16" t="inlineStr">
        <is>
          <t>km/vehicle/year</t>
        </is>
      </c>
      <c r="C22" s="16" t="inlineStr">
        <is>
          <t>Scalar</t>
        </is>
      </c>
      <c r="D22" s="143" t="n">
        <v>70000</v>
      </c>
      <c r="E22" s="116" t="inlineStr">
        <is>
          <t>Current provisional assumption.</t>
        </is>
      </c>
      <c r="F22" s="117" t="n"/>
      <c r="G22" s="117" t="n"/>
      <c r="H22" s="117" t="n"/>
      <c r="I22" s="117" t="n"/>
      <c r="J22" s="117" t="n"/>
      <c r="K22" s="117" t="n"/>
      <c r="L22" s="117" t="n"/>
      <c r="M22" s="117" t="n"/>
      <c r="N22" s="117" t="n"/>
      <c r="O22" s="117" t="n"/>
      <c r="P22" s="117" t="n"/>
      <c r="Q22" s="117" t="n"/>
      <c r="R22" s="117" t="n"/>
      <c r="S22" s="117" t="n"/>
      <c r="T22" s="16" t="inlineStr">
        <is>
          <t>Frozen current high_demand; provisional</t>
        </is>
      </c>
      <c r="U22" s="16" t="inlineStr">
        <is>
          <t>Freight 9: current engine input/result</t>
        </is>
      </c>
      <c r="V22" s="16" t="inlineStr">
        <is>
          <t>Engine dependency is in Python; Excel links expose… [N285]</t>
        </is>
      </c>
    </row>
    <row r="23" ht="30" customHeight="1">
      <c r="A23" s="16" t="inlineStr">
        <is>
          <t>Freight: Heavy-truck retirement rate</t>
        </is>
      </c>
      <c r="B23" s="16" t="inlineStr">
        <is>
          <t>share/year</t>
        </is>
      </c>
      <c r="C23" s="16" t="inlineStr">
        <is>
          <t>Scalar</t>
        </is>
      </c>
      <c r="D23" s="129" t="n">
        <v>0.06</v>
      </c>
      <c r="E23" s="129" t="inlineStr">
        <is>
          <t>Flat retirement assumption across cohorts.</t>
        </is>
      </c>
      <c r="F23" s="128" t="n"/>
      <c r="G23" s="128" t="n"/>
      <c r="H23" s="128" t="n"/>
      <c r="I23" s="128" t="n"/>
      <c r="J23" s="128" t="n"/>
      <c r="K23" s="128" t="n"/>
      <c r="L23" s="128" t="n"/>
      <c r="M23" s="128" t="n"/>
      <c r="N23" s="128" t="n"/>
      <c r="O23" s="128" t="n"/>
      <c r="P23" s="128" t="n"/>
      <c r="Q23" s="128" t="n"/>
      <c r="R23" s="128" t="n"/>
      <c r="S23" s="128" t="n"/>
      <c r="T23" s="16" t="inlineStr">
        <is>
          <t>Frozen current high_demand; provisional</t>
        </is>
      </c>
      <c r="U23" s="16" t="inlineStr">
        <is>
          <t>Freight 10: current engine input/result</t>
        </is>
      </c>
      <c r="V23" s="16" t="inlineStr">
        <is>
          <t>Engine dependency is in Python; Excel links expose… [N286]</t>
        </is>
      </c>
    </row>
    <row r="24" ht="30" customHeight="1">
      <c r="A24" s="16" t="inlineStr">
        <is>
          <t>Freight: Base new-truck consumption</t>
        </is>
      </c>
      <c r="B24" s="16" t="inlineStr">
        <is>
          <t>L/100 km</t>
        </is>
      </c>
      <c r="C24" s="16" t="inlineStr">
        <is>
          <t>Scalar</t>
        </is>
      </c>
      <c r="D24" s="143" t="n">
        <v>35</v>
      </c>
      <c r="E24" s="116" t="inlineStr">
        <is>
          <t>Entry-cohort baseline before efficiency improvement.</t>
        </is>
      </c>
      <c r="F24" s="117" t="n"/>
      <c r="G24" s="117" t="n"/>
      <c r="H24" s="117" t="n"/>
      <c r="I24" s="117" t="n"/>
      <c r="J24" s="117" t="n"/>
      <c r="K24" s="117" t="n"/>
      <c r="L24" s="117" t="n"/>
      <c r="M24" s="117" t="n"/>
      <c r="N24" s="117" t="n"/>
      <c r="O24" s="117" t="n"/>
      <c r="P24" s="117" t="n"/>
      <c r="Q24" s="117" t="n"/>
      <c r="R24" s="117" t="n"/>
      <c r="S24" s="117" t="n"/>
      <c r="T24" s="16" t="inlineStr">
        <is>
          <t>Frozen current high_demand; provisional</t>
        </is>
      </c>
      <c r="U24" s="16" t="inlineStr">
        <is>
          <t>Freight 11: current engine input/result</t>
        </is>
      </c>
      <c r="V24" s="16" t="inlineStr">
        <is>
          <t>Engine dependency is in Python; Excel links expose… [N287]</t>
        </is>
      </c>
    </row>
    <row r="25" ht="30" customHeight="1">
      <c r="A25" s="16" t="inlineStr">
        <is>
          <t>Freight: New-cohort efficiency gain</t>
        </is>
      </c>
      <c r="B25" s="16" t="inlineStr">
        <is>
          <t>fraction/year</t>
        </is>
      </c>
      <c r="C25" s="16" t="inlineStr">
        <is>
          <t>Input series</t>
        </is>
      </c>
      <c r="D25" s="143" t="n"/>
      <c r="E25" s="116" t="inlineStr">
        <is>
          <t>Applies to new cohorts only.</t>
        </is>
      </c>
      <c r="F25" s="117" t="n">
        <v>0.005</v>
      </c>
      <c r="G25" s="117" t="n">
        <v>0.005</v>
      </c>
      <c r="H25" s="117" t="n">
        <v>0.005</v>
      </c>
      <c r="I25" s="117" t="n">
        <v>0.005</v>
      </c>
      <c r="J25" s="117" t="n">
        <v>0.005</v>
      </c>
      <c r="K25" s="117" t="n">
        <v>0.005</v>
      </c>
      <c r="L25" s="117" t="n">
        <v>0.005</v>
      </c>
      <c r="M25" s="117" t="n">
        <v>0.005</v>
      </c>
      <c r="N25" s="117" t="n">
        <v>0.005</v>
      </c>
      <c r="O25" s="117" t="n">
        <v>0.005</v>
      </c>
      <c r="P25" s="117" t="n">
        <v>0.005</v>
      </c>
      <c r="Q25" s="117" t="n">
        <v>0.005</v>
      </c>
      <c r="R25" s="117" t="n">
        <v>0.005</v>
      </c>
      <c r="S25" s="117" t="n">
        <v>0.005</v>
      </c>
      <c r="T25" s="16" t="inlineStr">
        <is>
          <t>Frozen current high_demand; provisional</t>
        </is>
      </c>
      <c r="U25" s="16" t="inlineStr">
        <is>
          <t>Freight 12: current engine input/result</t>
        </is>
      </c>
      <c r="V25" s="16" t="inlineStr">
        <is>
          <t>Engine dependency is in Python; Excel links expose… [N288]</t>
        </is>
      </c>
    </row>
    <row r="26" ht="30" customHeight="1">
      <c r="A26" s="16" t="inlineStr">
        <is>
          <t>Freight: Heavy-truck diesel fleet</t>
        </is>
      </c>
      <c r="B26" s="16" t="inlineStr">
        <is>
          <t>vehicles</t>
        </is>
      </c>
      <c r="C26" s="16" t="inlineStr">
        <is>
          <t>Engine output</t>
        </is>
      </c>
      <c r="D26" s="143" t="n"/>
      <c r="E26" s="116" t="inlineStr">
        <is>
          <t>National HCV diesel cohort stock.</t>
        </is>
      </c>
      <c r="F26" s="117" t="n">
        <v>213882.4205907325</v>
      </c>
      <c r="G26" s="117" t="n">
        <v>218974.263329118</v>
      </c>
      <c r="H26" s="117" t="n">
        <v>223162.9437454724</v>
      </c>
      <c r="I26" s="117" t="n">
        <v>226414.1430942551</v>
      </c>
      <c r="J26" s="117" t="n">
        <v>230061.6807926254</v>
      </c>
      <c r="K26" s="117" t="n">
        <v>234120.6755894116</v>
      </c>
      <c r="L26" s="117" t="n">
        <v>238602.4907545889</v>
      </c>
      <c r="M26" s="117" t="n">
        <v>243510.2427580862</v>
      </c>
      <c r="N26" s="117" t="n">
        <v>248836.6083659767</v>
      </c>
      <c r="O26" s="117" t="n">
        <v>254535.7639590847</v>
      </c>
      <c r="P26" s="117" t="n">
        <v>260554.9909558677</v>
      </c>
      <c r="Q26" s="117" t="n">
        <v>266832.5067329813</v>
      </c>
      <c r="R26" s="117" t="n">
        <v>273295.5669443139</v>
      </c>
      <c r="S26" s="117" t="n">
        <v>279859.5946108957</v>
      </c>
      <c r="T26" s="16" t="inlineStr">
        <is>
          <t>Frozen current high_demand; provisional</t>
        </is>
      </c>
      <c r="U26" s="16" t="inlineStr">
        <is>
          <t>Freight 15: current engine input/result</t>
        </is>
      </c>
      <c r="V26" s="16" t="inlineStr">
        <is>
          <t>Engine dependency is in Python; Excel links expose… [N289]</t>
        </is>
      </c>
    </row>
    <row r="27" ht="30" customHeight="1">
      <c r="A27" s="16" t="inlineStr">
        <is>
          <t>Freight: Heavy-truck vehicle-km</t>
        </is>
      </c>
      <c r="B27" s="16" t="inlineStr">
        <is>
          <t>km/year</t>
        </is>
      </c>
      <c r="C27" s="16" t="inlineStr">
        <is>
          <t>Engine output</t>
        </is>
      </c>
      <c r="D27" s="143" t="n"/>
      <c r="E27" s="116" t="inlineStr">
        <is>
          <t>National HCV diesel activity.</t>
        </is>
      </c>
      <c r="F27" s="117" t="n">
        <v>14971769441.35127</v>
      </c>
      <c r="G27" s="117" t="n">
        <v>15328198433.03826</v>
      </c>
      <c r="H27" s="117" t="n">
        <v>15621406062.18307</v>
      </c>
      <c r="I27" s="117" t="n">
        <v>15848990016.59786</v>
      </c>
      <c r="J27" s="117" t="n">
        <v>16104317655.48378</v>
      </c>
      <c r="K27" s="117" t="n">
        <v>16388447291.25881</v>
      </c>
      <c r="L27" s="117" t="n">
        <v>16702174352.82122</v>
      </c>
      <c r="M27" s="117" t="n">
        <v>17045716993.06603</v>
      </c>
      <c r="N27" s="117" t="n">
        <v>17418562585.61837</v>
      </c>
      <c r="O27" s="117" t="n">
        <v>17817503477.13593</v>
      </c>
      <c r="P27" s="117" t="n">
        <v>18238849366.91074</v>
      </c>
      <c r="Q27" s="117" t="n">
        <v>18678275471.30869</v>
      </c>
      <c r="R27" s="117" t="n">
        <v>19130689686.10197</v>
      </c>
      <c r="S27" s="117" t="n">
        <v>19590171622.7627</v>
      </c>
      <c r="T27" s="16" t="inlineStr">
        <is>
          <t>Frozen current high_demand; provisional</t>
        </is>
      </c>
      <c r="U27" s="16" t="inlineStr">
        <is>
          <t>Freight 16: current engine input/result</t>
        </is>
      </c>
      <c r="V27" s="16" t="inlineStr">
        <is>
          <t>Engine dependency is in Python; Excel links expose… [N290]</t>
        </is>
      </c>
    </row>
    <row r="28" ht="30" customHeight="1">
      <c r="A28" s="16" t="inlineStr">
        <is>
          <t>Freight: Heavy-truck diesel demand</t>
        </is>
      </c>
      <c r="B28" s="16" t="inlineStr">
        <is>
          <t>L/year</t>
        </is>
      </c>
      <c r="C28" s="16" t="inlineStr">
        <is>
          <t>Engine output</t>
        </is>
      </c>
      <c r="D28" s="143" t="n"/>
      <c r="E28" s="116" t="inlineStr">
        <is>
          <t>Current Python engine output. Does not include LCV freight.</t>
        </is>
      </c>
      <c r="F28" s="117" t="n">
        <v>5228356913.313794</v>
      </c>
      <c r="G28" s="117" t="n">
        <v>5345095312.058235</v>
      </c>
      <c r="H28" s="117" t="n">
        <v>5438397159.087927</v>
      </c>
      <c r="I28" s="117" t="n">
        <v>5507717997.074704</v>
      </c>
      <c r="J28" s="117" t="n">
        <v>5584891423.650293</v>
      </c>
      <c r="K28" s="117" t="n">
        <v>5670231840.634418</v>
      </c>
      <c r="L28" s="117" t="n">
        <v>5763955345.599746</v>
      </c>
      <c r="M28" s="117" t="n">
        <v>5866077186.531343</v>
      </c>
      <c r="N28" s="117" t="n">
        <v>5976365141.460197</v>
      </c>
      <c r="O28" s="117" t="n">
        <v>6093697409.374835</v>
      </c>
      <c r="P28" s="117" t="n">
        <v>6216806465.79391</v>
      </c>
      <c r="Q28" s="117" t="n">
        <v>6344233164.457887</v>
      </c>
      <c r="R28" s="117" t="n">
        <v>6474288223.016267</v>
      </c>
      <c r="S28" s="117" t="n">
        <v>6605037980.344461</v>
      </c>
      <c r="T28" s="16" t="inlineStr">
        <is>
          <t>Frozen current high_demand; provisional</t>
        </is>
      </c>
      <c r="U28" s="16" t="inlineStr">
        <is>
          <t>Freight 17: current engine input/result</t>
        </is>
      </c>
      <c r="V28" s="16" t="inlineStr">
        <is>
          <t>Engine dependency is in Python; Excel links expose… [N291]</t>
        </is>
      </c>
    </row>
    <row r="29" ht="30" customHeight="1">
      <c r="A29" s="16" t="inlineStr">
        <is>
          <t>Freight: Current common EV share of new sales</t>
        </is>
      </c>
      <c r="B29" s="16" t="inlineStr">
        <is>
          <t>share</t>
        </is>
      </c>
      <c r="C29" s="16" t="inlineStr">
        <is>
          <t>Engine output</t>
        </is>
      </c>
      <c r="D29" s="129" t="n"/>
      <c r="E29" s="129" t="inlineStr">
        <is>
          <t>Existing engine curve applied to HCV as well as other classes.… [N292]</t>
        </is>
      </c>
      <c r="F29" s="128" t="n">
        <v>0.0007417869469904323</v>
      </c>
      <c r="G29" s="128" t="n">
        <v>0.001034235390469069</v>
      </c>
      <c r="H29" s="128" t="n">
        <v>0.001441425866147856</v>
      </c>
      <c r="I29" s="128" t="n">
        <v>0.002007855277285457</v>
      </c>
      <c r="J29" s="128" t="n">
        <v>0.002794787803520006</v>
      </c>
      <c r="K29" s="128" t="n">
        <v>0.003886118259208761</v>
      </c>
      <c r="L29" s="128" t="n">
        <v>0.005395862988627468</v>
      </c>
      <c r="M29" s="128" t="n">
        <v>0.007477327994134211</v>
      </c>
      <c r="N29" s="128" t="n">
        <v>0.01033355869986335</v>
      </c>
      <c r="O29" s="128" t="n">
        <v>0.01422776195327003</v>
      </c>
      <c r="P29" s="128" t="n">
        <v>0.01949075073859922</v>
      </c>
      <c r="Q29" s="128" t="n">
        <v>0.02651990316211752</v>
      </c>
      <c r="R29" s="128" t="n">
        <v>0.03576087660663526</v>
      </c>
      <c r="S29" s="128" t="n">
        <v>0.04766073146427455</v>
      </c>
      <c r="T29" s="16" t="inlineStr">
        <is>
          <t>Frozen current high_demand; provisional</t>
        </is>
      </c>
      <c r="U29" s="16" t="inlineStr">
        <is>
          <t>Freight 31: current engine input/result</t>
        </is>
      </c>
      <c r="V29" s="16" t="inlineStr">
        <is>
          <t>Engine dependency is in Python; Excel links expose… [N293]</t>
        </is>
      </c>
    </row>
    <row r="30" ht="30" customHeight="1">
      <c r="A30" s="16" t="inlineStr">
        <is>
          <t>Agriculture: Base year</t>
        </is>
      </c>
      <c r="B30" s="16" t="inlineStr">
        <is>
          <t>year</t>
        </is>
      </c>
      <c r="C30" s="16" t="inlineStr">
        <is>
          <t>Scalar</t>
        </is>
      </c>
      <c r="D30" s="143" t="n">
        <v>2024</v>
      </c>
      <c r="E30" s="116" t="inlineStr">
        <is>
          <t>A dated baseline, not a recurring annual observation.</t>
        </is>
      </c>
      <c r="F30" s="117" t="n"/>
      <c r="G30" s="117" t="n"/>
      <c r="H30" s="117" t="n"/>
      <c r="I30" s="117" t="n"/>
      <c r="J30" s="117" t="n"/>
      <c r="K30" s="117" t="n"/>
      <c r="L30" s="117" t="n"/>
      <c r="M30" s="117" t="n"/>
      <c r="N30" s="117" t="n"/>
      <c r="O30" s="117" t="n"/>
      <c r="P30" s="117" t="n"/>
      <c r="Q30" s="117" t="n"/>
      <c r="R30" s="117" t="n"/>
      <c r="S30" s="117" t="n"/>
      <c r="T30" s="16" t="inlineStr">
        <is>
          <t>Frozen current high_demand; provisional</t>
        </is>
      </c>
      <c r="U30" s="16" t="inlineStr">
        <is>
          <t>Agriculture 7: current engine input/result</t>
        </is>
      </c>
      <c r="V30" s="16" t="inlineStr">
        <is>
          <t>Engine dependency is in Python; Excel links expose… [N294]</t>
        </is>
      </c>
    </row>
    <row r="31" ht="30" customHeight="1">
      <c r="A31" s="16" t="inlineStr">
        <is>
          <t>Agriculture: GDP/capita elasticity</t>
        </is>
      </c>
      <c r="B31" s="16" t="inlineStr">
        <is>
          <t>dimensionless</t>
        </is>
      </c>
      <c r="C31" s="16" t="inlineStr">
        <is>
          <t>Scalar</t>
        </is>
      </c>
      <c r="D31" s="143" t="n">
        <v>0.2</v>
      </c>
      <c r="E31" s="116" t="inlineStr">
        <is>
          <t>Provisional GDP proxy, pending an agricultural driver.</t>
        </is>
      </c>
      <c r="F31" s="117" t="n"/>
      <c r="G31" s="117" t="n"/>
      <c r="H31" s="117" t="n"/>
      <c r="I31" s="117" t="n"/>
      <c r="J31" s="117" t="n"/>
      <c r="K31" s="117" t="n"/>
      <c r="L31" s="117" t="n"/>
      <c r="M31" s="117" t="n"/>
      <c r="N31" s="117" t="n"/>
      <c r="O31" s="117" t="n"/>
      <c r="P31" s="117" t="n"/>
      <c r="Q31" s="117" t="n"/>
      <c r="R31" s="117" t="n"/>
      <c r="S31" s="117" t="n"/>
      <c r="T31" s="16" t="inlineStr">
        <is>
          <t>Frozen current high_demand; provisional</t>
        </is>
      </c>
      <c r="U31" s="16" t="inlineStr">
        <is>
          <t>Agriculture 8: current engine input/result</t>
        </is>
      </c>
      <c r="V31" s="16" t="inlineStr">
        <is>
          <t>Engine dependency is in Python; Excel links expose… [N295]</t>
        </is>
      </c>
    </row>
    <row r="32" ht="30" customHeight="1">
      <c r="A32" s="16" t="inlineStr">
        <is>
          <t>Agriculture: GDP per capita</t>
        </is>
      </c>
      <c r="B32" s="16" t="inlineStr">
        <is>
          <t>2015 ZAR/person</t>
        </is>
      </c>
      <c r="C32" s="16" t="inlineStr">
        <is>
          <t>Input series</t>
        </is>
      </c>
      <c r="D32" s="143" t="n"/>
      <c r="E32" s="116" t="inlineStr">
        <is>
          <t>Current driver used by the held engine.</t>
        </is>
      </c>
      <c r="F32" s="117" t="n">
        <v>76790.1650122451</v>
      </c>
      <c r="G32" s="117" t="n">
        <v>76777.92621036293</v>
      </c>
      <c r="H32" s="117" t="n">
        <v>76356.55727959426</v>
      </c>
      <c r="I32" s="117" t="n">
        <v>75873.5403538539</v>
      </c>
      <c r="J32" s="117" t="n">
        <v>76305.62080219547</v>
      </c>
      <c r="K32" s="117" t="n">
        <v>76770.11274129389</v>
      </c>
      <c r="L32" s="117" t="n">
        <v>77267.03031188184</v>
      </c>
      <c r="M32" s="117" t="n">
        <v>77793.85014588524</v>
      </c>
      <c r="N32" s="117" t="n">
        <v>78347.23662423984</v>
      </c>
      <c r="O32" s="117" t="n">
        <v>78904.55961677714</v>
      </c>
      <c r="P32" s="117" t="n">
        <v>79465.847125887</v>
      </c>
      <c r="Q32" s="117" t="n">
        <v>80031.12735315424</v>
      </c>
      <c r="R32" s="117" t="n">
        <v>80600.42870077565</v>
      </c>
      <c r="S32" s="117" t="n">
        <v>81173.77977298702</v>
      </c>
      <c r="T32" s="16" t="inlineStr">
        <is>
          <t>Frozen current high_demand; provisional</t>
        </is>
      </c>
      <c r="U32" s="16" t="inlineStr">
        <is>
          <t>Agriculture 9: current engine input/result</t>
        </is>
      </c>
      <c r="V32" s="16" t="inlineStr">
        <is>
          <t>Engine dependency is in Python; Excel links expose… [N296]</t>
        </is>
      </c>
    </row>
    <row r="33" ht="30" customHeight="1">
      <c r="A33" s="16" t="inlineStr">
        <is>
          <t>Agriculture: Agricultural diesel demand</t>
        </is>
      </c>
      <c r="B33" s="16" t="inlineStr">
        <is>
          <t>L/year</t>
        </is>
      </c>
      <c r="C33" s="16" t="inlineStr">
        <is>
          <t>Engine output</t>
        </is>
      </c>
      <c r="D33" s="143" t="n"/>
      <c r="E33" s="116" t="inlineStr">
        <is>
          <t>Engine: baseline × (GDP/capita / base-year GDP/capita)^elasticity.</t>
        </is>
      </c>
      <c r="F33" s="117" t="n">
        <v>700793221.4567857</v>
      </c>
      <c r="G33" s="117" t="n">
        <v>700770881.5744826</v>
      </c>
      <c r="H33" s="117" t="n">
        <v>700000000</v>
      </c>
      <c r="I33" s="117" t="n">
        <v>699112137.4405431</v>
      </c>
      <c r="J33" s="117" t="n">
        <v>699906582.8701582</v>
      </c>
      <c r="K33" s="117" t="n">
        <v>700756617.9057957</v>
      </c>
      <c r="L33" s="117" t="n">
        <v>701661449.6704552</v>
      </c>
      <c r="M33" s="117" t="n">
        <v>702615660.3836949</v>
      </c>
      <c r="N33" s="117" t="n">
        <v>703612439.3352404</v>
      </c>
      <c r="O33" s="117" t="n">
        <v>704610632.3860354</v>
      </c>
      <c r="P33" s="117" t="n">
        <v>705610241.5422189</v>
      </c>
      <c r="Q33" s="117" t="n">
        <v>706611268.8127754</v>
      </c>
      <c r="R33" s="117" t="n">
        <v>707613716.2095395</v>
      </c>
      <c r="S33" s="117" t="n">
        <v>708617585.7472003</v>
      </c>
      <c r="T33" s="16" t="inlineStr">
        <is>
          <t>Frozen current high_demand; provisional</t>
        </is>
      </c>
      <c r="U33" s="16" t="inlineStr">
        <is>
          <t>Agriculture 12: current engine input/result</t>
        </is>
      </c>
      <c r="V33" s="16" t="inlineStr">
        <is>
          <t>Engine dependency is in Python; Excel links expose… [N297]</t>
        </is>
      </c>
    </row>
    <row r="34" ht="30" customHeight="1">
      <c r="A34" s="16" t="inlineStr">
        <is>
          <t>Manufacturing: Combined baseline year</t>
        </is>
      </c>
      <c r="B34" s="16" t="inlineStr">
        <is>
          <t>year</t>
        </is>
      </c>
      <c r="C34" s="16" t="inlineStr">
        <is>
          <t>Scalar</t>
        </is>
      </c>
      <c r="D34" s="143" t="n">
        <v>2024</v>
      </c>
      <c r="E34" s="116" t="inlineStr">
        <is>
          <t>Current main vintage; branch replacement proposals are not adopted here.</t>
        </is>
      </c>
      <c r="F34" s="117" t="n"/>
      <c r="G34" s="117" t="n"/>
      <c r="H34" s="117" t="n"/>
      <c r="I34" s="117" t="n"/>
      <c r="J34" s="117" t="n"/>
      <c r="K34" s="117" t="n"/>
      <c r="L34" s="117" t="n"/>
      <c r="M34" s="117" t="n"/>
      <c r="N34" s="117" t="n"/>
      <c r="O34" s="117" t="n"/>
      <c r="P34" s="117" t="n"/>
      <c r="Q34" s="117" t="n"/>
      <c r="R34" s="117" t="n"/>
      <c r="S34" s="117" t="n"/>
      <c r="T34" s="16" t="inlineStr">
        <is>
          <t>Frozen current high_demand; provisional</t>
        </is>
      </c>
      <c r="U34" s="16" t="inlineStr">
        <is>
          <t>Manufacturing 21: current engine input/result</t>
        </is>
      </c>
      <c r="V34" s="16" t="inlineStr">
        <is>
          <t>Engine dependency is in Python; Excel links expose… [N298]</t>
        </is>
      </c>
    </row>
    <row r="35" ht="30" customHeight="1">
      <c r="A35" s="16" t="inlineStr">
        <is>
          <t>Manufacturing: Combined GDP/capita elasticity</t>
        </is>
      </c>
      <c r="B35" s="16" t="inlineStr">
        <is>
          <t>dimensionless</t>
        </is>
      </c>
      <c r="C35" s="16" t="inlineStr">
        <is>
          <t>Scalar</t>
        </is>
      </c>
      <c r="D35" s="143" t="n">
        <v>1</v>
      </c>
      <c r="E35" s="116" t="inlineStr">
        <is>
          <t>Current combined held-method parameter. Not a manufacturing-specific estimate.</t>
        </is>
      </c>
      <c r="F35" s="117" t="n"/>
      <c r="G35" s="117" t="n"/>
      <c r="H35" s="117" t="n"/>
      <c r="I35" s="117" t="n"/>
      <c r="J35" s="117" t="n"/>
      <c r="K35" s="117" t="n"/>
      <c r="L35" s="117" t="n"/>
      <c r="M35" s="117" t="n"/>
      <c r="N35" s="117" t="n"/>
      <c r="O35" s="117" t="n"/>
      <c r="P35" s="117" t="n"/>
      <c r="Q35" s="117" t="n"/>
      <c r="R35" s="117" t="n"/>
      <c r="S35" s="117" t="n"/>
      <c r="T35" s="16" t="inlineStr">
        <is>
          <t>Frozen current high_demand; provisional</t>
        </is>
      </c>
      <c r="U35" s="16" t="inlineStr">
        <is>
          <t>Manufacturing 22: current engine input/result</t>
        </is>
      </c>
      <c r="V35" s="16" t="inlineStr">
        <is>
          <t>Engine dependency is in Python; Excel links expose… [N299]</t>
        </is>
      </c>
    </row>
    <row r="36" ht="30" customHeight="1">
      <c r="A36" s="16" t="inlineStr">
        <is>
          <t>Manufacturing: Combined industrial diesel</t>
        </is>
      </c>
      <c r="B36" s="16" t="inlineStr">
        <is>
          <t>L/year</t>
        </is>
      </c>
      <c r="C36" s="16" t="inlineStr">
        <is>
          <t>Engine output</t>
        </is>
      </c>
      <c r="D36" s="143" t="n"/>
      <c r="E36" s="116" t="inlineStr">
        <is>
          <t>Existing engine output shown ONCE as a reference for the future… [N300]</t>
        </is>
      </c>
      <c r="F36" s="117" t="n">
        <v>2514196807.324062</v>
      </c>
      <c r="G36" s="117" t="n">
        <v>2513796095.115504</v>
      </c>
      <c r="H36" s="117" t="n">
        <v>2500000000</v>
      </c>
      <c r="I36" s="117" t="n">
        <v>2484185479.84125</v>
      </c>
      <c r="J36" s="117" t="n">
        <v>2498332282.15056</v>
      </c>
      <c r="K36" s="117" t="n">
        <v>2513540273.305714</v>
      </c>
      <c r="L36" s="117" t="n">
        <v>2529809916.290284</v>
      </c>
      <c r="M36" s="117" t="n">
        <v>2547058593.18107</v>
      </c>
      <c r="N36" s="117" t="n">
        <v>2565177092.039271</v>
      </c>
      <c r="O36" s="117" t="n">
        <v>2583424476.821712</v>
      </c>
      <c r="P36" s="117" t="n">
        <v>2601801664.358291</v>
      </c>
      <c r="Q36" s="117" t="n">
        <v>2620309578.000774</v>
      </c>
      <c r="R36" s="117" t="n">
        <v>2638949147.669192</v>
      </c>
      <c r="S36" s="117" t="n">
        <v>2657721309.898559</v>
      </c>
      <c r="T36" s="16" t="inlineStr">
        <is>
          <t>Frozen current high_demand; provisional</t>
        </is>
      </c>
      <c r="U36" s="16" t="inlineStr">
        <is>
          <t>Manufacturing 23: current engine input/result</t>
        </is>
      </c>
      <c r="V36" s="16" t="inlineStr">
        <is>
          <t>Engine dependency is in Python; Excel links expose… [N301]</t>
        </is>
      </c>
    </row>
    <row r="37" ht="30" customHeight="1">
      <c r="A37" s="16" t="inlineStr">
        <is>
          <t>Other demand: Current engine load factor</t>
        </is>
      </c>
      <c r="B37" s="16" t="inlineStr">
        <is>
          <t>share</t>
        </is>
      </c>
      <c r="C37" s="16" t="inlineStr">
        <is>
          <t>Current input</t>
        </is>
      </c>
      <c r="D37" s="129" t="n"/>
      <c r="E37" s="129" t="inlineStr">
        <is>
          <t>Legacy scenario path. Not measured dispatch.</t>
        </is>
      </c>
      <c r="F37" s="128" t="n">
        <v>0.45</v>
      </c>
      <c r="G37" s="128" t="n">
        <v>0.5603</v>
      </c>
      <c r="H37" s="128" t="n">
        <v>0.5456</v>
      </c>
      <c r="I37" s="128" t="n">
        <v>0.626</v>
      </c>
      <c r="J37" s="128" t="n">
        <v>0.7</v>
      </c>
      <c r="K37" s="128" t="n">
        <v>0.71</v>
      </c>
      <c r="L37" s="128" t="n">
        <v>0.7</v>
      </c>
      <c r="M37" s="128" t="n">
        <v>0.7</v>
      </c>
      <c r="N37" s="128" t="n">
        <v>0.7</v>
      </c>
      <c r="O37" s="128" t="n">
        <v>0.7</v>
      </c>
      <c r="P37" s="128" t="n">
        <v>0.7</v>
      </c>
      <c r="Q37" s="128" t="n">
        <v>0.7</v>
      </c>
      <c r="R37" s="128" t="n">
        <v>0.7</v>
      </c>
      <c r="S37" s="128" t="n">
        <v>0.7</v>
      </c>
      <c r="T37" s="16" t="inlineStr">
        <is>
          <t>Frozen current high_demand; provisional</t>
        </is>
      </c>
      <c r="U37" s="16" t="inlineStr">
        <is>
          <t>https://github.com/Africa-International-Advisors/liq… [N302]</t>
        </is>
      </c>
      <c r="V37" s="16" t="inlineStr">
        <is>
          <t>Engine dependency is in Python; Excel links expose… [N303]</t>
        </is>
      </c>
    </row>
    <row r="38" ht="30" customHeight="1">
      <c r="A38" s="16" t="inlineStr">
        <is>
          <t>Other demand: Current thermal efficiency</t>
        </is>
      </c>
      <c r="B38" s="16" t="inlineStr">
        <is>
          <t>share</t>
        </is>
      </c>
      <c r="C38" s="16" t="inlineStr">
        <is>
          <t>Current scalar</t>
        </is>
      </c>
      <c r="D38" s="129" t="n">
        <v>0.4</v>
      </c>
      <c r="E38" s="129" t="inlineStr">
        <is>
          <t>Fraction of fuel energy converted to electricity.</t>
        </is>
      </c>
      <c r="F38" s="128" t="n"/>
      <c r="G38" s="128" t="n"/>
      <c r="H38" s="128" t="n"/>
      <c r="I38" s="128" t="n"/>
      <c r="J38" s="128" t="n"/>
      <c r="K38" s="128" t="n"/>
      <c r="L38" s="128" t="n"/>
      <c r="M38" s="128" t="n"/>
      <c r="N38" s="128" t="n"/>
      <c r="O38" s="128" t="n"/>
      <c r="P38" s="128" t="n"/>
      <c r="Q38" s="128" t="n"/>
      <c r="R38" s="128" t="n"/>
      <c r="S38" s="128" t="n"/>
      <c r="T38" s="16" t="inlineStr">
        <is>
          <t>Frozen current high_demand; provisional</t>
        </is>
      </c>
      <c r="U38" s="16" t="inlineStr">
        <is>
          <t>https://github.com/Africa-International-Advisors/liq… [N304]</t>
        </is>
      </c>
      <c r="V38" s="16" t="inlineStr">
        <is>
          <t>Engine dependency is in Python; Excel links expose… [N305]</t>
        </is>
      </c>
    </row>
    <row r="39" ht="30" customHeight="1">
      <c r="A39" s="16" t="inlineStr">
        <is>
          <t>Other demand: Diesel energy content</t>
        </is>
      </c>
      <c r="B39" s="16" t="inlineStr">
        <is>
          <t>MJ/L</t>
        </is>
      </c>
      <c r="C39" s="16" t="inlineStr">
        <is>
          <t>Current scalar</t>
        </is>
      </c>
      <c r="D39" s="143" t="n">
        <v>36.9</v>
      </c>
      <c r="E39" s="116" t="inlineStr">
        <is>
          <t>Current engine conversion input.</t>
        </is>
      </c>
      <c r="F39" s="117" t="n"/>
      <c r="G39" s="117" t="n"/>
      <c r="H39" s="117" t="n"/>
      <c r="I39" s="117" t="n"/>
      <c r="J39" s="117" t="n"/>
      <c r="K39" s="117" t="n"/>
      <c r="L39" s="117" t="n"/>
      <c r="M39" s="117" t="n"/>
      <c r="N39" s="117" t="n"/>
      <c r="O39" s="117" t="n"/>
      <c r="P39" s="117" t="n"/>
      <c r="Q39" s="117" t="n"/>
      <c r="R39" s="117" t="n"/>
      <c r="S39" s="117" t="n"/>
      <c r="T39" s="16" t="inlineStr">
        <is>
          <t>Frozen current high_demand; provisional</t>
        </is>
      </c>
      <c r="U39" s="16" t="inlineStr">
        <is>
          <t>https://github.com/Africa-International-Advisors/liq… [N306]</t>
        </is>
      </c>
      <c r="V39" s="16" t="inlineStr">
        <is>
          <t>Engine dependency is in Python; Excel links expose… [N307]</t>
        </is>
      </c>
    </row>
    <row r="40" ht="30" customHeight="1">
      <c r="A40" s="16" t="inlineStr">
        <is>
          <t>Other demand: Current OCGT diesel demand</t>
        </is>
      </c>
      <c r="B40" s="16" t="inlineStr">
        <is>
          <t>million L/year</t>
        </is>
      </c>
      <c r="C40" s="16" t="inlineStr">
        <is>
          <t>Model output</t>
        </is>
      </c>
      <c r="D40" s="143" t="n"/>
      <c r="E40" s="116" t="inlineStr">
        <is>
          <t>Calendar-year model output; do not directly tie to FY generation… [N308]</t>
        </is>
      </c>
      <c r="F40" s="117" t="n">
        <v>2953.615609756098</v>
      </c>
      <c r="G40" s="117" t="n">
        <v>3677.579613658537</v>
      </c>
      <c r="H40" s="117" t="n">
        <v>3581.09483707317</v>
      </c>
      <c r="I40" s="117" t="n">
        <v>4108.807492682927</v>
      </c>
      <c r="J40" s="117" t="n">
        <v>4594.513170731708</v>
      </c>
      <c r="K40" s="117" t="n">
        <v>4660.149073170731</v>
      </c>
      <c r="L40" s="117" t="n">
        <v>4594.513170731708</v>
      </c>
      <c r="M40" s="117" t="n">
        <v>4594.513170731708</v>
      </c>
      <c r="N40" s="117" t="n">
        <v>4594.513170731708</v>
      </c>
      <c r="O40" s="117" t="n">
        <v>4594.513170731708</v>
      </c>
      <c r="P40" s="117" t="n">
        <v>4594.513170731708</v>
      </c>
      <c r="Q40" s="117" t="n">
        <v>4594.513170731708</v>
      </c>
      <c r="R40" s="117" t="n">
        <v>4594.513170731708</v>
      </c>
      <c r="S40" s="117" t="n">
        <v>4594.513170731708</v>
      </c>
      <c r="T40" s="16" t="inlineStr">
        <is>
          <t>Frozen current high_demand; provisional</t>
        </is>
      </c>
      <c r="U40" s="16" t="inlineStr">
        <is>
          <t>https://github.com/Africa-International-Advisors/liq… [N309]</t>
        </is>
      </c>
      <c r="V40" s="16" t="inlineStr">
        <is>
          <t>Engine dependency is in Python; Excel links expose… [N310]</t>
        </is>
      </c>
    </row>
    <row r="41" ht="30" customHeight="1">
      <c r="A41" s="16" t="inlineStr">
        <is>
          <t>Other demand: Current engine passenger departures</t>
        </is>
      </c>
      <c r="B41" s="16" t="inlineStr">
        <is>
          <t>passengers/year</t>
        </is>
      </c>
      <c r="C41" s="16" t="inlineStr">
        <is>
          <t>Current input</t>
        </is>
      </c>
      <c r="D41" s="143" t="n"/>
      <c r="E41" s="116" t="inlineStr">
        <is>
          <t>Legacy regression driver; separate from new ACSA observations.</t>
        </is>
      </c>
      <c r="F41" s="117" t="n">
        <v>15813215</v>
      </c>
      <c r="G41" s="117" t="n">
        <v>17730490.28571429</v>
      </c>
      <c r="H41" s="117" t="n">
        <v>17000000</v>
      </c>
      <c r="I41" s="117" t="n">
        <v>19000000</v>
      </c>
      <c r="J41" s="117" t="n">
        <v>21000000</v>
      </c>
      <c r="K41" s="117" t="n">
        <v>22366222.61011254</v>
      </c>
      <c r="L41" s="117" t="n">
        <v>23832226.83755719</v>
      </c>
      <c r="M41" s="117" t="n">
        <v>25394320.97845525</v>
      </c>
      <c r="N41" s="117" t="n">
        <v>27058803.28986128</v>
      </c>
      <c r="O41" s="117" t="n">
        <v>28832384.85095128</v>
      </c>
      <c r="P41" s="117" t="n">
        <v>30722216.62163636</v>
      </c>
      <c r="Q41" s="117" t="n">
        <v>32735918.27474543</v>
      </c>
      <c r="R41" s="117" t="n">
        <v>34881608.91802647</v>
      </c>
      <c r="S41" s="117" t="n">
        <v>37167939.8298353</v>
      </c>
      <c r="T41" s="16" t="inlineStr">
        <is>
          <t>Frozen current high_demand; provisional</t>
        </is>
      </c>
      <c r="U41" s="16" t="inlineStr">
        <is>
          <t>https://github.com/Africa-International-Advisors/liq… [N311]</t>
        </is>
      </c>
      <c r="V41" s="16" t="inlineStr">
        <is>
          <t>Engine dependency is in Python; Excel links expose… [N312]</t>
        </is>
      </c>
    </row>
    <row r="42" ht="30" customHeight="1">
      <c r="A42" s="16" t="inlineStr">
        <is>
          <t>Other demand: Current jet demand</t>
        </is>
      </c>
      <c r="B42" s="16" t="inlineStr">
        <is>
          <t>million L/year</t>
        </is>
      </c>
      <c r="C42" s="16" t="inlineStr">
        <is>
          <t>Model output</t>
        </is>
      </c>
      <c r="D42" s="143" t="n"/>
      <c r="E42" s="116" t="inlineStr">
        <is>
          <t>Legacy two-driver regression.</t>
        </is>
      </c>
      <c r="F42" s="117" t="n">
        <v>1591.885842849324</v>
      </c>
      <c r="G42" s="117" t="n">
        <v>1742.458241097289</v>
      </c>
      <c r="H42" s="117" t="n">
        <v>1601.444539293681</v>
      </c>
      <c r="I42" s="117" t="n">
        <v>1666.18717411699</v>
      </c>
      <c r="J42" s="117" t="n">
        <v>1910.595391337534</v>
      </c>
      <c r="K42" s="117" t="n">
        <v>2110.799371315896</v>
      </c>
      <c r="L42" s="117" t="n">
        <v>2325.330997769632</v>
      </c>
      <c r="M42" s="117" t="n">
        <v>2553.400292222359</v>
      </c>
      <c r="N42" s="117" t="n">
        <v>2794.854880612478</v>
      </c>
      <c r="O42" s="117" t="n">
        <v>3045.787140513172</v>
      </c>
      <c r="P42" s="117" t="n">
        <v>3306.773129599316</v>
      </c>
      <c r="Q42" s="117" t="n">
        <v>3578.426342257959</v>
      </c>
      <c r="R42" s="117" t="n">
        <v>3861.400161109434</v>
      </c>
      <c r="S42" s="117" t="n">
        <v>4156.390469198261</v>
      </c>
      <c r="T42" s="16" t="inlineStr">
        <is>
          <t>Frozen current high_demand; provisional</t>
        </is>
      </c>
      <c r="U42" s="16" t="inlineStr">
        <is>
          <t>https://github.com/Africa-International-Advisors/liq… [N313]</t>
        </is>
      </c>
      <c r="V42" s="16" t="inlineStr">
        <is>
          <t>Engine dependency is in Python; Excel links expose… [N314]</t>
        </is>
      </c>
    </row>
    <row r="43" ht="30" customHeight="1">
      <c r="A43" s="16" t="inlineStr">
        <is>
          <t>Other demand: Legacy jet regression intercept</t>
        </is>
      </c>
      <c r="B43" s="16" t="inlineStr">
        <is>
          <t>L/year</t>
        </is>
      </c>
      <c r="C43" s="16" t="inlineStr">
        <is>
          <t>Current scalar</t>
        </is>
      </c>
      <c r="D43" s="143" t="n">
        <v>-14746408795.76744</v>
      </c>
      <c r="E43" s="116" t="inlineStr">
        <is>
          <t>Jet = intercept + GDP/capita coefficient × GDP/capita + passenger… [N315]</t>
        </is>
      </c>
      <c r="F43" s="117" t="n"/>
      <c r="G43" s="117" t="n"/>
      <c r="H43" s="117" t="n"/>
      <c r="I43" s="117" t="n"/>
      <c r="J43" s="117" t="n"/>
      <c r="K43" s="117" t="n"/>
      <c r="L43" s="117" t="n"/>
      <c r="M43" s="117" t="n"/>
      <c r="N43" s="117" t="n"/>
      <c r="O43" s="117" t="n"/>
      <c r="P43" s="117" t="n"/>
      <c r="Q43" s="117" t="n"/>
      <c r="R43" s="117" t="n"/>
      <c r="S43" s="117" t="n"/>
      <c r="T43" s="16" t="inlineStr">
        <is>
          <t>Frozen current high_demand; provisional</t>
        </is>
      </c>
      <c r="U43" s="16" t="inlineStr">
        <is>
          <t>https://github.com/Africa-International-Advisors/liq… [N316]</t>
        </is>
      </c>
      <c r="V43" s="16" t="inlineStr">
        <is>
          <t>Engine dependency is in Python; Excel links expose… [N317]</t>
        </is>
      </c>
    </row>
    <row r="44" ht="30" customHeight="1">
      <c r="A44" s="16" t="inlineStr">
        <is>
          <t>Other demand: GDP/capita coefficient</t>
        </is>
      </c>
      <c r="B44" s="16" t="inlineStr">
        <is>
          <t>L per ZAR/person</t>
        </is>
      </c>
      <c r="C44" s="16" t="inlineStr">
        <is>
          <t>Current scalar</t>
        </is>
      </c>
      <c r="D44" s="143" t="n">
        <v>196334.9338396717</v>
      </c>
      <c r="E44" s="116" t="inlineStr">
        <is>
          <t>Used with current macro path.</t>
        </is>
      </c>
      <c r="F44" s="117" t="n"/>
      <c r="G44" s="117" t="n"/>
      <c r="H44" s="117" t="n"/>
      <c r="I44" s="117" t="n"/>
      <c r="J44" s="117" t="n"/>
      <c r="K44" s="117" t="n"/>
      <c r="L44" s="117" t="n"/>
      <c r="M44" s="117" t="n"/>
      <c r="N44" s="117" t="n"/>
      <c r="O44" s="117" t="n"/>
      <c r="P44" s="117" t="n"/>
      <c r="Q44" s="117" t="n"/>
      <c r="R44" s="117" t="n"/>
      <c r="S44" s="117" t="n"/>
      <c r="T44" s="16" t="inlineStr">
        <is>
          <t>Frozen current high_demand; provisional</t>
        </is>
      </c>
      <c r="U44" s="16" t="inlineStr">
        <is>
          <t>https://github.com/Africa-International-Advisors/liq… [N318]</t>
        </is>
      </c>
      <c r="V44" s="16" t="inlineStr">
        <is>
          <t>Engine dependency is in Python; Excel links expose… [N319]</t>
        </is>
      </c>
    </row>
    <row r="45" ht="30" customHeight="1">
      <c r="A45" s="16" t="inlineStr">
        <is>
          <t>Other demand: Passenger coefficient</t>
        </is>
      </c>
      <c r="B45" s="16" t="inlineStr">
        <is>
          <t>L per departure</t>
        </is>
      </c>
      <c r="C45" s="16" t="inlineStr">
        <is>
          <t>Current scalar</t>
        </is>
      </c>
      <c r="D45" s="143" t="n">
        <v>79.78786549099274</v>
      </c>
      <c r="E45" s="116" t="inlineStr">
        <is>
          <t>Passenger departure basis.</t>
        </is>
      </c>
      <c r="F45" s="117" t="n"/>
      <c r="G45" s="117" t="n"/>
      <c r="H45" s="117" t="n"/>
      <c r="I45" s="117" t="n"/>
      <c r="J45" s="117" t="n"/>
      <c r="K45" s="117" t="n"/>
      <c r="L45" s="117" t="n"/>
      <c r="M45" s="117" t="n"/>
      <c r="N45" s="117" t="n"/>
      <c r="O45" s="117" t="n"/>
      <c r="P45" s="117" t="n"/>
      <c r="Q45" s="117" t="n"/>
      <c r="R45" s="117" t="n"/>
      <c r="S45" s="117" t="n"/>
      <c r="T45" s="16" t="inlineStr">
        <is>
          <t>Frozen current high_demand; provisional</t>
        </is>
      </c>
      <c r="U45" s="16" t="inlineStr">
        <is>
          <t>https://github.com/Africa-International-Advisors/liq… [N320]</t>
        </is>
      </c>
      <c r="V45" s="16" t="inlineStr">
        <is>
          <t>Engine dependency is in Python; Excel links expose… [N321]</t>
        </is>
      </c>
    </row>
    <row r="46" ht="30" customHeight="1">
      <c r="A46" s="16" t="inlineStr">
        <is>
          <t>Other demand: durban provisional port baseline</t>
        </is>
      </c>
      <c r="B46" s="16" t="inlineStr">
        <is>
          <t>million L/year</t>
        </is>
      </c>
      <c r="C46" s="16" t="inlineStr">
        <is>
          <t>Current scalar</t>
        </is>
      </c>
      <c r="D46" s="143" t="n">
        <v>1500</v>
      </c>
      <c r="E46" s="116" t="inlineStr">
        <is>
          <t>Current 2024 placeholder; not measured port bunkering.</t>
        </is>
      </c>
      <c r="F46" s="117" t="n"/>
      <c r="G46" s="117" t="n"/>
      <c r="H46" s="117" t="n"/>
      <c r="I46" s="117" t="n"/>
      <c r="J46" s="117" t="n"/>
      <c r="K46" s="117" t="n"/>
      <c r="L46" s="117" t="n"/>
      <c r="M46" s="117" t="n"/>
      <c r="N46" s="117" t="n"/>
      <c r="O46" s="117" t="n"/>
      <c r="P46" s="117" t="n"/>
      <c r="Q46" s="117" t="n"/>
      <c r="R46" s="117" t="n"/>
      <c r="S46" s="117" t="n"/>
      <c r="T46" s="16" t="inlineStr">
        <is>
          <t>Frozen current high_demand; provisional</t>
        </is>
      </c>
      <c r="U46" s="16" t="inlineStr">
        <is>
          <t>https://github.com/Africa-International-Advisors/liq… [N322]</t>
        </is>
      </c>
      <c r="V46" s="16" t="inlineStr">
        <is>
          <t>Engine dependency is in Python; Excel links expose… [N323]</t>
        </is>
      </c>
    </row>
    <row r="47" ht="30" customHeight="1">
      <c r="A47" s="16" t="inlineStr">
        <is>
          <t>Other demand: cape_town provisional port baseline</t>
        </is>
      </c>
      <c r="B47" s="16" t="inlineStr">
        <is>
          <t>million L/year</t>
        </is>
      </c>
      <c r="C47" s="16" t="inlineStr">
        <is>
          <t>Current scalar</t>
        </is>
      </c>
      <c r="D47" s="143" t="n">
        <v>500</v>
      </c>
      <c r="E47" s="116" t="inlineStr">
        <is>
          <t>Current 2024 placeholder; not measured port bunkering.</t>
        </is>
      </c>
      <c r="F47" s="117" t="n"/>
      <c r="G47" s="117" t="n"/>
      <c r="H47" s="117" t="n"/>
      <c r="I47" s="117" t="n"/>
      <c r="J47" s="117" t="n"/>
      <c r="K47" s="117" t="n"/>
      <c r="L47" s="117" t="n"/>
      <c r="M47" s="117" t="n"/>
      <c r="N47" s="117" t="n"/>
      <c r="O47" s="117" t="n"/>
      <c r="P47" s="117" t="n"/>
      <c r="Q47" s="117" t="n"/>
      <c r="R47" s="117" t="n"/>
      <c r="S47" s="117" t="n"/>
      <c r="T47" s="16" t="inlineStr">
        <is>
          <t>Frozen current high_demand; provisional</t>
        </is>
      </c>
      <c r="U47" s="16" t="inlineStr">
        <is>
          <t>https://github.com/Africa-International-Advisors/liq… [N324]</t>
        </is>
      </c>
      <c r="V47" s="16" t="inlineStr">
        <is>
          <t>Engine dependency is in Python; Excel links expose… [N325]</t>
        </is>
      </c>
    </row>
    <row r="48" ht="30" customHeight="1">
      <c r="A48" s="16" t="inlineStr">
        <is>
          <t>Other demand: saldanha provisional port baseline</t>
        </is>
      </c>
      <c r="B48" s="16" t="inlineStr">
        <is>
          <t>million L/year</t>
        </is>
      </c>
      <c r="C48" s="16" t="inlineStr">
        <is>
          <t>Current scalar</t>
        </is>
      </c>
      <c r="D48" s="143" t="n">
        <v>200</v>
      </c>
      <c r="E48" s="116" t="inlineStr">
        <is>
          <t>Current 2024 placeholder; not measured port bunkering.</t>
        </is>
      </c>
      <c r="F48" s="117" t="n"/>
      <c r="G48" s="117" t="n"/>
      <c r="H48" s="117" t="n"/>
      <c r="I48" s="117" t="n"/>
      <c r="J48" s="117" t="n"/>
      <c r="K48" s="117" t="n"/>
      <c r="L48" s="117" t="n"/>
      <c r="M48" s="117" t="n"/>
      <c r="N48" s="117" t="n"/>
      <c r="O48" s="117" t="n"/>
      <c r="P48" s="117" t="n"/>
      <c r="Q48" s="117" t="n"/>
      <c r="R48" s="117" t="n"/>
      <c r="S48" s="117" t="n"/>
      <c r="T48" s="16" t="inlineStr">
        <is>
          <t>Frozen current high_demand; provisional</t>
        </is>
      </c>
      <c r="U48" s="16" t="inlineStr">
        <is>
          <t>https://github.com/Africa-International-Advisors/liq… [N326]</t>
        </is>
      </c>
      <c r="V48" s="16" t="inlineStr">
        <is>
          <t>Engine dependency is in Python; Excel links expose… [N327]</t>
        </is>
      </c>
    </row>
    <row r="49" ht="30" customHeight="1">
      <c r="A49" s="16" t="inlineStr">
        <is>
          <t>Other demand: Marine GDP/capita elasticity</t>
        </is>
      </c>
      <c r="B49" s="16" t="inlineStr">
        <is>
          <t>dimensionless</t>
        </is>
      </c>
      <c r="C49" s="16" t="inlineStr">
        <is>
          <t>Current scalar</t>
        </is>
      </c>
      <c r="D49" s="143" t="n">
        <v>0.4</v>
      </c>
      <c r="E49" s="116" t="inlineStr">
        <is>
          <t>Current proxy response.</t>
        </is>
      </c>
      <c r="F49" s="117" t="n"/>
      <c r="G49" s="117" t="n"/>
      <c r="H49" s="117" t="n"/>
      <c r="I49" s="117" t="n"/>
      <c r="J49" s="117" t="n"/>
      <c r="K49" s="117" t="n"/>
      <c r="L49" s="117" t="n"/>
      <c r="M49" s="117" t="n"/>
      <c r="N49" s="117" t="n"/>
      <c r="O49" s="117" t="n"/>
      <c r="P49" s="117" t="n"/>
      <c r="Q49" s="117" t="n"/>
      <c r="R49" s="117" t="n"/>
      <c r="S49" s="117" t="n"/>
      <c r="T49" s="16" t="inlineStr">
        <is>
          <t>Frozen current high_demand; provisional</t>
        </is>
      </c>
      <c r="U49" s="16" t="inlineStr">
        <is>
          <t>https://github.com/Africa-International-Advisors/liq… [N328]</t>
        </is>
      </c>
      <c r="V49" s="16" t="inlineStr">
        <is>
          <t>Engine dependency is in Python; Excel links expose… [N329]</t>
        </is>
      </c>
    </row>
    <row r="50" ht="30" customHeight="1">
      <c r="A50" s="16" t="inlineStr">
        <is>
          <t>Other demand: Marine fuel-oil share</t>
        </is>
      </c>
      <c r="B50" s="16" t="inlineStr">
        <is>
          <t>share</t>
        </is>
      </c>
      <c r="C50" s="16" t="inlineStr">
        <is>
          <t>Current scalar</t>
        </is>
      </c>
      <c r="D50" s="129" t="n">
        <v>0.65</v>
      </c>
      <c r="E50" s="129" t="inlineStr">
        <is>
          <t>One provisional split across ports.</t>
        </is>
      </c>
      <c r="F50" s="128" t="n"/>
      <c r="G50" s="128" t="n"/>
      <c r="H50" s="128" t="n"/>
      <c r="I50" s="128" t="n"/>
      <c r="J50" s="128" t="n"/>
      <c r="K50" s="128" t="n"/>
      <c r="L50" s="128" t="n"/>
      <c r="M50" s="128" t="n"/>
      <c r="N50" s="128" t="n"/>
      <c r="O50" s="128" t="n"/>
      <c r="P50" s="128" t="n"/>
      <c r="Q50" s="128" t="n"/>
      <c r="R50" s="128" t="n"/>
      <c r="S50" s="128" t="n"/>
      <c r="T50" s="16" t="inlineStr">
        <is>
          <t>Frozen current high_demand; provisional</t>
        </is>
      </c>
      <c r="U50" s="16" t="inlineStr">
        <is>
          <t>https://github.com/Africa-International-Advisors/liq… [N330]</t>
        </is>
      </c>
      <c r="V50" s="16" t="inlineStr">
        <is>
          <t>Engine dependency is in Python; Excel links expose… [N331]</t>
        </is>
      </c>
    </row>
    <row r="51" ht="30" customHeight="1">
      <c r="A51" s="16" t="inlineStr">
        <is>
          <t>Other demand: Marine diesel share</t>
        </is>
      </c>
      <c r="B51" s="16" t="inlineStr">
        <is>
          <t>share</t>
        </is>
      </c>
      <c r="C51" s="16" t="inlineStr">
        <is>
          <t>Current scalar</t>
        </is>
      </c>
      <c r="D51" s="129" t="n">
        <v>0.35</v>
      </c>
      <c r="E51" s="129" t="inlineStr">
        <is>
          <t>Diesel_500ppm; part of total diesel comparison.</t>
        </is>
      </c>
      <c r="F51" s="128" t="n"/>
      <c r="G51" s="128" t="n"/>
      <c r="H51" s="128" t="n"/>
      <c r="I51" s="128" t="n"/>
      <c r="J51" s="128" t="n"/>
      <c r="K51" s="128" t="n"/>
      <c r="L51" s="128" t="n"/>
      <c r="M51" s="128" t="n"/>
      <c r="N51" s="128" t="n"/>
      <c r="O51" s="128" t="n"/>
      <c r="P51" s="128" t="n"/>
      <c r="Q51" s="128" t="n"/>
      <c r="R51" s="128" t="n"/>
      <c r="S51" s="128" t="n"/>
      <c r="T51" s="16" t="inlineStr">
        <is>
          <t>Frozen current high_demand; provisional</t>
        </is>
      </c>
      <c r="U51" s="16" t="inlineStr">
        <is>
          <t>https://github.com/Africa-International-Advisors/liq… [N332]</t>
        </is>
      </c>
      <c r="V51" s="16" t="inlineStr">
        <is>
          <t>Engine dependency is in Python; Excel links expose… [N333]</t>
        </is>
      </c>
    </row>
    <row r="52" ht="30" customHeight="1">
      <c r="A52" s="16" t="inlineStr">
        <is>
          <t>Other demand: Marine diesel demand</t>
        </is>
      </c>
      <c r="B52" s="16" t="inlineStr">
        <is>
          <t>million L/year</t>
        </is>
      </c>
      <c r="C52" s="16" t="inlineStr">
        <is>
          <t>Model output</t>
        </is>
      </c>
      <c r="D52" s="143" t="n"/>
      <c r="E52" s="116" t="inlineStr">
        <is>
          <t>No 2022–23 output from current marine engine.</t>
        </is>
      </c>
      <c r="F52" s="117" t="n"/>
      <c r="G52" s="117" t="n"/>
      <c r="H52" s="117" t="n">
        <v>770</v>
      </c>
      <c r="I52" s="117" t="n">
        <v>768.0479411262189</v>
      </c>
      <c r="J52" s="117" t="n">
        <v>769.7944960278282</v>
      </c>
      <c r="K52" s="117" t="n">
        <v>771.6654589894948</v>
      </c>
      <c r="L52" s="117" t="n">
        <v>773.6595270700128</v>
      </c>
      <c r="M52" s="117" t="n">
        <v>775.7652040543675</v>
      </c>
      <c r="N52" s="117" t="n">
        <v>777.9678732371657</v>
      </c>
      <c r="O52" s="117" t="n">
        <v>780.1767965694195</v>
      </c>
      <c r="P52" s="117" t="n">
        <v>782.3919918088507</v>
      </c>
      <c r="Q52" s="117" t="n">
        <v>784.6134767636006</v>
      </c>
      <c r="R52" s="117" t="n">
        <v>786.8412692923746</v>
      </c>
      <c r="S52" s="117" t="n">
        <v>789.0753873045852</v>
      </c>
      <c r="T52" s="16" t="inlineStr">
        <is>
          <t>Frozen current high_demand; provisional</t>
        </is>
      </c>
      <c r="U52" s="16" t="inlineStr">
        <is>
          <t>https://github.com/Africa-International-Advisors/liq… [N334]</t>
        </is>
      </c>
      <c r="V52" s="16" t="inlineStr">
        <is>
          <t>Engine dependency is in Python; Excel links expose… [N335]</t>
        </is>
      </c>
    </row>
    <row r="53" ht="30" customHeight="1">
      <c r="A53" s="16" t="inlineStr">
        <is>
          <t>Other demand: Marine fuel-oil demand</t>
        </is>
      </c>
      <c r="B53" s="16" t="inlineStr">
        <is>
          <t>million L/year</t>
        </is>
      </c>
      <c r="C53" s="16" t="inlineStr">
        <is>
          <t>Model output</t>
        </is>
      </c>
      <c r="D53" s="143" t="n"/>
      <c r="E53" s="116" t="inlineStr">
        <is>
          <t>Marine only; does not represent all national fuel-oil consumption.</t>
        </is>
      </c>
      <c r="F53" s="117" t="n"/>
      <c r="G53" s="117" t="n"/>
      <c r="H53" s="117" t="n">
        <v>1430</v>
      </c>
      <c r="I53" s="117" t="n">
        <v>1426.374747805835</v>
      </c>
      <c r="J53" s="117" t="n">
        <v>1429.618349765967</v>
      </c>
      <c r="K53" s="117" t="n">
        <v>1433.092995266205</v>
      </c>
      <c r="L53" s="117" t="n">
        <v>1436.796264558595</v>
      </c>
      <c r="M53" s="117" t="n">
        <v>1440.70680752954</v>
      </c>
      <c r="N53" s="117" t="n">
        <v>1444.797478869022</v>
      </c>
      <c r="O53" s="117" t="n">
        <v>1448.899765057493</v>
      </c>
      <c r="P53" s="117" t="n">
        <v>1453.01369907358</v>
      </c>
      <c r="Q53" s="117" t="n">
        <v>1457.139313989544</v>
      </c>
      <c r="R53" s="117" t="n">
        <v>1461.276642971553</v>
      </c>
      <c r="S53" s="117" t="n">
        <v>1465.425719279944</v>
      </c>
      <c r="T53" s="16" t="inlineStr">
        <is>
          <t>Frozen current high_demand; provisional</t>
        </is>
      </c>
      <c r="U53" s="16" t="inlineStr">
        <is>
          <t>https://github.com/Africa-International-Advisors/liq… [N336]</t>
        </is>
      </c>
      <c r="V53" s="16" t="inlineStr">
        <is>
          <t>Engine dependency is in Python; Excel links expose… [N337]</t>
        </is>
      </c>
    </row>
    <row r="54" ht="30" customHeight="1">
      <c r="A54" s="16" t="inlineStr">
        <is>
          <t>LCV petrol stock</t>
        </is>
      </c>
      <c r="B54" s="16" t="inlineStr">
        <is>
          <t>vehicles</t>
        </is>
      </c>
      <c r="C54" s="16" t="inlineStr">
        <is>
          <t>Python result</t>
        </is>
      </c>
      <c r="D54" s="143" t="n"/>
      <c r="E54" s="116" t="inlineStr">
        <is>
          <t>lcv / petrol_95 / stock</t>
        </is>
      </c>
      <c r="F54" s="117" t="n">
        <v>314192.8954495676</v>
      </c>
      <c r="G54" s="117" t="n">
        <v>322939.1449073407</v>
      </c>
      <c r="H54" s="117" t="n">
        <v>330432.6687227717</v>
      </c>
      <c r="I54" s="117" t="n">
        <v>336615.3455909181</v>
      </c>
      <c r="J54" s="117" t="n">
        <v>343295.7861935666</v>
      </c>
      <c r="K54" s="117" t="n">
        <v>350502.1747177935</v>
      </c>
      <c r="L54" s="117" t="n">
        <v>358257.3999563134</v>
      </c>
      <c r="M54" s="117" t="n">
        <v>366572.8848606796</v>
      </c>
      <c r="N54" s="117" t="n">
        <v>375445.4928222779</v>
      </c>
      <c r="O54" s="117" t="n">
        <v>384819.1161193799</v>
      </c>
      <c r="P54" s="117" t="n">
        <v>394627.2939942893</v>
      </c>
      <c r="Q54" s="117" t="n">
        <v>404790.206462875</v>
      </c>
      <c r="R54" s="117" t="n">
        <v>415212.0111547706</v>
      </c>
      <c r="S54" s="117" t="n">
        <v>425779.5588510279</v>
      </c>
      <c r="T54" s="16" t="inlineStr">
        <is>
          <t>Frozen high_demand</t>
        </is>
      </c>
      <c r="U54" s="16" t="inlineStr">
        <is>
          <t>src/lfm/model/demand/vehicles.py</t>
        </is>
      </c>
      <c r="V54" s="16" t="inlineStr">
        <is>
          <t>Uses vehicle inputs shown on sector tabs; refresh via Python.</t>
        </is>
      </c>
    </row>
    <row r="55" ht="30" customHeight="1">
      <c r="A55" s="16" t="inlineStr">
        <is>
          <t>LCV petrol vehicle kilometres</t>
        </is>
      </c>
      <c r="B55" s="16" t="inlineStr">
        <is>
          <t>vehicle km/year</t>
        </is>
      </c>
      <c r="C55" s="16" t="inlineStr">
        <is>
          <t>Python result</t>
        </is>
      </c>
      <c r="D55" s="143" t="n"/>
      <c r="E55" s="116" t="inlineStr">
        <is>
          <t>lcv / petrol_95 / vehicle_km</t>
        </is>
      </c>
      <c r="F55" s="117" t="n">
        <v>8797401072.587893</v>
      </c>
      <c r="G55" s="117" t="n">
        <v>9042296057.40554</v>
      </c>
      <c r="H55" s="117" t="n">
        <v>9252114724.23761</v>
      </c>
      <c r="I55" s="117" t="n">
        <v>9425229676.545706</v>
      </c>
      <c r="J55" s="117" t="n">
        <v>9612282013.419867</v>
      </c>
      <c r="K55" s="117" t="n">
        <v>9814060892.098217</v>
      </c>
      <c r="L55" s="117" t="n">
        <v>10031207198.77677</v>
      </c>
      <c r="M55" s="117" t="n">
        <v>10264040776.09903</v>
      </c>
      <c r="N55" s="117" t="n">
        <v>10512473799.02378</v>
      </c>
      <c r="O55" s="117" t="n">
        <v>10774935251.34264</v>
      </c>
      <c r="P55" s="117" t="n">
        <v>11049564231.8401</v>
      </c>
      <c r="Q55" s="117" t="n">
        <v>11334125780.9605</v>
      </c>
      <c r="R55" s="117" t="n">
        <v>11625936312.33358</v>
      </c>
      <c r="S55" s="117" t="n">
        <v>11921827647.82878</v>
      </c>
      <c r="T55" s="16" t="inlineStr">
        <is>
          <t>Frozen high_demand</t>
        </is>
      </c>
      <c r="U55" s="16" t="inlineStr">
        <is>
          <t>src/lfm/model/demand/vehicles.py</t>
        </is>
      </c>
      <c r="V55" s="16" t="inlineStr">
        <is>
          <t>Uses vehicle inputs shown on sector tabs; refresh via Python.</t>
        </is>
      </c>
    </row>
    <row r="56" ht="30" customHeight="1">
      <c r="A56" s="16" t="inlineStr">
        <is>
          <t>LCV petrol demand</t>
        </is>
      </c>
      <c r="B56" s="16" t="inlineStr">
        <is>
          <t>L/year</t>
        </is>
      </c>
      <c r="C56" s="16" t="inlineStr">
        <is>
          <t>Python result</t>
        </is>
      </c>
      <c r="D56" s="143" t="n"/>
      <c r="E56" s="116" t="inlineStr">
        <is>
          <t>lcv / petrol_95 / litres</t>
        </is>
      </c>
      <c r="F56" s="117" t="n">
        <v>919866693.5897633</v>
      </c>
      <c r="G56" s="117" t="n">
        <v>942940528.1008457</v>
      </c>
      <c r="H56" s="117" t="n">
        <v>961890176.7509885</v>
      </c>
      <c r="I56" s="117" t="n">
        <v>976640100.8379743</v>
      </c>
      <c r="J56" s="117" t="n">
        <v>992235203.3301032</v>
      </c>
      <c r="K56" s="117" t="n">
        <v>1008739265.790592</v>
      </c>
      <c r="L56" s="117" t="n">
        <v>1026198724.557906</v>
      </c>
      <c r="M56" s="117" t="n">
        <v>1044626923.179688</v>
      </c>
      <c r="N56" s="117" t="n">
        <v>1063997282.708591</v>
      </c>
      <c r="O56" s="117" t="n">
        <v>1084144827.085065</v>
      </c>
      <c r="P56" s="117" t="n">
        <v>1104881788.715154</v>
      </c>
      <c r="Q56" s="117" t="n">
        <v>1125991051.939601</v>
      </c>
      <c r="R56" s="117" t="n">
        <v>1147220828.562962</v>
      </c>
      <c r="S56" s="117" t="n">
        <v>1168283097.272352</v>
      </c>
      <c r="T56" s="16" t="inlineStr">
        <is>
          <t>Frozen high_demand</t>
        </is>
      </c>
      <c r="U56" s="16" t="inlineStr">
        <is>
          <t>src/lfm/model/demand/vehicles.py</t>
        </is>
      </c>
      <c r="V56" s="16" t="inlineStr">
        <is>
          <t>Uses vehicle inputs shown on sector tabs; refresh via Python.</t>
        </is>
      </c>
    </row>
    <row r="57" ht="30" customHeight="1">
      <c r="A57" s="16" t="inlineStr">
        <is>
          <t>Passenger diesel demand</t>
        </is>
      </c>
      <c r="B57" s="16" t="inlineStr">
        <is>
          <t>L/year</t>
        </is>
      </c>
      <c r="C57" s="16" t="inlineStr">
        <is>
          <t>Python result</t>
        </is>
      </c>
      <c r="D57" s="143" t="n"/>
      <c r="E57" s="116" t="inlineStr">
        <is>
          <t>passenger / diesel_50ppm / litres</t>
        </is>
      </c>
      <c r="F57" s="117" t="n">
        <v>1070017165.774483</v>
      </c>
      <c r="G57" s="117" t="n">
        <v>1103053881.220822</v>
      </c>
      <c r="H57" s="117" t="n">
        <v>1131873998.594546</v>
      </c>
      <c r="I57" s="117" t="n">
        <v>1156302504.824944</v>
      </c>
      <c r="J57" s="117" t="n">
        <v>1181870186.781693</v>
      </c>
      <c r="K57" s="117" t="n">
        <v>1208669881.483022</v>
      </c>
      <c r="L57" s="117" t="n">
        <v>1236776716.238646</v>
      </c>
      <c r="M57" s="117" t="n">
        <v>1266229710.811676</v>
      </c>
      <c r="N57" s="117" t="n">
        <v>1297022884.660583</v>
      </c>
      <c r="O57" s="117" t="n">
        <v>1328991310.377187</v>
      </c>
      <c r="P57" s="117" t="n">
        <v>1361939124.509505</v>
      </c>
      <c r="Q57" s="117" t="n">
        <v>1395631137.906538</v>
      </c>
      <c r="R57" s="117" t="n">
        <v>1429785597.406811</v>
      </c>
      <c r="S57" s="117" t="n">
        <v>1464071106.236353</v>
      </c>
      <c r="T57" s="16" t="inlineStr">
        <is>
          <t>Frozen high_demand</t>
        </is>
      </c>
      <c r="U57" s="16" t="inlineStr">
        <is>
          <t>src/lfm/model/demand/vehicles.py</t>
        </is>
      </c>
      <c r="V57" s="16" t="inlineStr">
        <is>
          <t>Uses vehicle inputs shown on sector tabs; refresh via Python.</t>
        </is>
      </c>
    </row>
    <row r="58" ht="30" customHeight="1">
      <c r="A58" s="16" t="inlineStr">
        <is>
          <t>LCV diesel demand</t>
        </is>
      </c>
      <c r="B58" s="16" t="inlineStr">
        <is>
          <t>L/year</t>
        </is>
      </c>
      <c r="C58" s="16" t="inlineStr">
        <is>
          <t>Python result</t>
        </is>
      </c>
      <c r="D58" s="143" t="n"/>
      <c r="E58" s="116" t="inlineStr">
        <is>
          <t>lcv / diesel_50ppm / litres</t>
        </is>
      </c>
      <c r="F58" s="117" t="n">
        <v>1843579855.991744</v>
      </c>
      <c r="G58" s="117" t="n">
        <v>1892347006.392814</v>
      </c>
      <c r="H58" s="117" t="n">
        <v>1933295112.178313</v>
      </c>
      <c r="I58" s="117" t="n">
        <v>1966176391.32085</v>
      </c>
      <c r="J58" s="117" t="n">
        <v>2001346844.807937</v>
      </c>
      <c r="K58" s="117" t="n">
        <v>2038949242.099122</v>
      </c>
      <c r="L58" s="117" t="n">
        <v>2079093201.761362</v>
      </c>
      <c r="M58" s="117" t="n">
        <v>2121821339.504445</v>
      </c>
      <c r="N58" s="117" t="n">
        <v>2167093406.580247</v>
      </c>
      <c r="O58" s="117" t="n">
        <v>2214575314.439119</v>
      </c>
      <c r="P58" s="117" t="n">
        <v>2263879922.464106</v>
      </c>
      <c r="Q58" s="117" t="n">
        <v>2314551798.318617</v>
      </c>
      <c r="R58" s="117" t="n">
        <v>2366054256.387237</v>
      </c>
      <c r="S58" s="117" t="n">
        <v>2417764235.278815</v>
      </c>
      <c r="T58" s="16" t="inlineStr">
        <is>
          <t>Frozen high_demand</t>
        </is>
      </c>
      <c r="U58" s="16" t="inlineStr">
        <is>
          <t>src/lfm/model/demand/vehicles.py</t>
        </is>
      </c>
      <c r="V58" s="16" t="inlineStr">
        <is>
          <t>Uses vehicle inputs shown on sector tabs; refresh via Python.</t>
        </is>
      </c>
    </row>
    <row r="59" ht="8" customHeight="1">
      <c r="A59" s="3" t="n"/>
      <c r="B59" s="3" t="n"/>
      <c r="C59" s="3" t="n"/>
      <c r="D59" s="144" t="n"/>
      <c r="E59" s="121" t="n"/>
      <c r="F59" s="122" t="n"/>
      <c r="G59" s="122" t="n"/>
      <c r="H59" s="122" t="n"/>
      <c r="I59" s="122" t="n"/>
      <c r="J59" s="122" t="n"/>
      <c r="K59" s="122" t="n"/>
      <c r="L59" s="122" t="n"/>
      <c r="M59" s="122" t="n"/>
      <c r="N59" s="122" t="n"/>
      <c r="O59" s="122" t="n"/>
      <c r="P59" s="122" t="n"/>
      <c r="Q59" s="122" t="n"/>
      <c r="R59" s="122" t="n"/>
      <c r="S59" s="122" t="n"/>
      <c r="T59" s="3" t="n"/>
      <c r="U59" s="3" t="n"/>
      <c r="V59" s="3" t="n"/>
    </row>
    <row r="60" ht="8" customHeight="1">
      <c r="A60" s="3" t="n"/>
      <c r="B60" s="3" t="n"/>
      <c r="C60" s="3" t="n"/>
      <c r="D60" s="144" t="n"/>
      <c r="E60" s="121" t="n"/>
      <c r="F60" s="122" t="n"/>
      <c r="G60" s="122" t="n"/>
      <c r="H60" s="122" t="n"/>
      <c r="I60" s="122" t="n"/>
      <c r="J60" s="122" t="n"/>
      <c r="K60" s="122" t="n"/>
      <c r="L60" s="122" t="n"/>
      <c r="M60" s="122" t="n"/>
      <c r="N60" s="122" t="n"/>
      <c r="O60" s="122" t="n"/>
      <c r="P60" s="122" t="n"/>
      <c r="Q60" s="122" t="n"/>
      <c r="R60" s="122" t="n"/>
      <c r="S60" s="122" t="n"/>
      <c r="T60" s="3" t="n"/>
      <c r="U60" s="3" t="n"/>
      <c r="V60" s="3" t="n"/>
    </row>
    <row r="61" ht="30" customHeight="1">
      <c r="A61" s="3" t="inlineStr">
        <is>
          <t>Run provenance</t>
        </is>
      </c>
      <c r="B61" s="3" t="inlineStr">
        <is>
          <t>record</t>
        </is>
      </c>
      <c r="C61" s="3" t="inlineStr">
        <is>
          <t>Frozen export</t>
        </is>
      </c>
      <c r="D61" s="144" t="n"/>
      <c r="E61" s="121" t="inlineStr">
        <is>
          <t>2026-10-07T10:48:46.852505+00:00;… [N338]</t>
        </is>
      </c>
      <c r="F61" s="122" t="n"/>
      <c r="G61" s="122" t="n"/>
      <c r="H61" s="122" t="n"/>
      <c r="I61" s="122" t="n"/>
      <c r="J61" s="122" t="n"/>
      <c r="K61" s="122" t="n"/>
      <c r="L61" s="122" t="n"/>
      <c r="M61" s="122" t="n"/>
      <c r="N61" s="122" t="n"/>
      <c r="O61" s="122" t="n"/>
      <c r="P61" s="122" t="n"/>
      <c r="Q61" s="122" t="n"/>
      <c r="R61" s="122" t="n"/>
      <c r="S61" s="122" t="n"/>
      <c r="T61" s="3" t="n"/>
      <c r="U61" s="3" t="n"/>
      <c r="V61" s="3" t="n"/>
    </row>
    <row r="62" ht="8" customHeight="1">
      <c r="A62" s="3" t="n"/>
      <c r="B62" s="3" t="n"/>
      <c r="C62" s="3" t="n"/>
      <c r="D62" s="144" t="n"/>
      <c r="E62" s="121" t="n"/>
      <c r="F62" s="122" t="n"/>
      <c r="G62" s="122" t="n"/>
      <c r="H62" s="122" t="n"/>
      <c r="I62" s="122" t="n"/>
      <c r="J62" s="122" t="n"/>
      <c r="K62" s="122" t="n"/>
      <c r="L62" s="122" t="n"/>
      <c r="M62" s="122" t="n"/>
      <c r="N62" s="122" t="n"/>
      <c r="O62" s="122" t="n"/>
      <c r="P62" s="122" t="n"/>
      <c r="Q62" s="122" t="n"/>
      <c r="R62" s="122" t="n"/>
      <c r="S62" s="122" t="n"/>
      <c r="T62" s="3" t="n"/>
      <c r="U62" s="3" t="n"/>
      <c r="V62" s="3" t="n"/>
    </row>
    <row r="63" ht="8" customHeight="1">
      <c r="A63" s="3" t="n"/>
      <c r="B63" s="3" t="n"/>
      <c r="C63" s="3" t="n"/>
      <c r="D63" s="144" t="n"/>
      <c r="E63" s="121" t="n"/>
      <c r="F63" s="122" t="n"/>
      <c r="G63" s="122" t="n"/>
      <c r="H63" s="122" t="n"/>
      <c r="I63" s="122" t="n"/>
      <c r="J63" s="122" t="n"/>
      <c r="K63" s="122" t="n"/>
      <c r="L63" s="122" t="n"/>
      <c r="M63" s="122" t="n"/>
      <c r="N63" s="122" t="n"/>
      <c r="O63" s="122" t="n"/>
      <c r="P63" s="122" t="n"/>
      <c r="Q63" s="122" t="n"/>
      <c r="R63" s="122" t="n"/>
      <c r="S63" s="122" t="n"/>
      <c r="T63" s="3" t="n"/>
      <c r="U63" s="3" t="n"/>
      <c r="V63" s="3" t="n"/>
    </row>
    <row r="64" ht="30" customHeight="1">
      <c r="A64" s="3" t="inlineStr">
        <is>
          <t>Input snapshot manifest</t>
        </is>
      </c>
      <c r="B64" s="3" t="inlineStr">
        <is>
          <t>SHA256</t>
        </is>
      </c>
      <c r="C64" s="3" t="inlineStr">
        <is>
          <t>Audit record</t>
        </is>
      </c>
      <c r="D64" s="144" t="n"/>
      <c r="E64" s="121" t="inlineStr">
        <is>
          <t>Paths and hashes identify the captured input files;… [N339]</t>
        </is>
      </c>
      <c r="F64" s="122" t="n"/>
      <c r="G64" s="122" t="n"/>
      <c r="H64" s="122" t="n"/>
      <c r="I64" s="122" t="n"/>
      <c r="J64" s="122" t="n"/>
      <c r="K64" s="122" t="n"/>
      <c r="L64" s="122" t="n"/>
      <c r="M64" s="122" t="n"/>
      <c r="N64" s="122" t="n"/>
      <c r="O64" s="122" t="n"/>
      <c r="P64" s="122" t="n"/>
      <c r="Q64" s="122" t="n"/>
      <c r="R64" s="122" t="n"/>
      <c r="S64" s="122" t="n"/>
      <c r="T64" s="3" t="n"/>
      <c r="U64" s="3" t="n"/>
      <c r="V64" s="3" t="n"/>
    </row>
    <row r="65" ht="30" customHeight="1">
      <c r="A65" s="3" t="inlineStr">
        <is>
          <t>assumptions/2026/_meta.yaml</t>
        </is>
      </c>
      <c r="B65" s="3" t="inlineStr">
        <is>
          <t>SHA256</t>
        </is>
      </c>
      <c r="C65" s="3" t="inlineStr">
        <is>
          <t>Frozen file</t>
        </is>
      </c>
      <c r="D65" s="144" t="n"/>
      <c r="E65" s="121" t="inlineStr">
        <is>
          <t>0e3bc69dba8106755b3e1e6403460b0fad8e2bbe007745c940233ba8a044b6a2</t>
        </is>
      </c>
      <c r="F65" s="122" t="n"/>
      <c r="G65" s="122" t="n"/>
      <c r="H65" s="122" t="n"/>
      <c r="I65" s="122" t="n"/>
      <c r="J65" s="122" t="n"/>
      <c r="K65" s="122" t="n"/>
      <c r="L65" s="122" t="n"/>
      <c r="M65" s="122" t="n"/>
      <c r="N65" s="122" t="n"/>
      <c r="O65" s="122" t="n"/>
      <c r="P65" s="122" t="n"/>
      <c r="Q65" s="122" t="n"/>
      <c r="R65" s="122" t="n"/>
      <c r="S65" s="122" t="n"/>
      <c r="T65" s="3" t="n"/>
      <c r="U65" s="3" t="n"/>
      <c r="V65" s="3" t="n"/>
    </row>
    <row r="66" ht="30" customHeight="1">
      <c r="A66" s="3" t="inlineStr">
        <is>
          <t>assumptions/2026/agriculture.yaml</t>
        </is>
      </c>
      <c r="B66" s="3" t="inlineStr">
        <is>
          <t>SHA256</t>
        </is>
      </c>
      <c r="C66" s="3" t="inlineStr">
        <is>
          <t>Frozen file</t>
        </is>
      </c>
      <c r="D66" s="144" t="n"/>
      <c r="E66" s="121" t="inlineStr">
        <is>
          <t>9af1efe4bf94b6efccfb04e67222961da53ec5192ecd7d8c708221b7ddbff407</t>
        </is>
      </c>
      <c r="F66" s="122" t="n"/>
      <c r="G66" s="122" t="n"/>
      <c r="H66" s="122" t="n"/>
      <c r="I66" s="122" t="n"/>
      <c r="J66" s="122" t="n"/>
      <c r="K66" s="122" t="n"/>
      <c r="L66" s="122" t="n"/>
      <c r="M66" s="122" t="n"/>
      <c r="N66" s="122" t="n"/>
      <c r="O66" s="122" t="n"/>
      <c r="P66" s="122" t="n"/>
      <c r="Q66" s="122" t="n"/>
      <c r="R66" s="122" t="n"/>
      <c r="S66" s="122" t="n"/>
      <c r="T66" s="3" t="n"/>
      <c r="U66" s="3" t="n"/>
      <c r="V66" s="3" t="n"/>
    </row>
    <row r="67" ht="30" customHeight="1">
      <c r="A67" s="3" t="inlineStr">
        <is>
          <t>assumptions/2026/aviation.yaml</t>
        </is>
      </c>
      <c r="B67" s="3" t="inlineStr">
        <is>
          <t>SHA256</t>
        </is>
      </c>
      <c r="C67" s="3" t="inlineStr">
        <is>
          <t>Frozen file</t>
        </is>
      </c>
      <c r="D67" s="144" t="n"/>
      <c r="E67" s="121" t="inlineStr">
        <is>
          <t>8eb68563f2d8466df52f7460028b9d4df1e480a463baf63645fbe34e92baee12</t>
        </is>
      </c>
      <c r="F67" s="122" t="n"/>
      <c r="G67" s="122" t="n"/>
      <c r="H67" s="122" t="n"/>
      <c r="I67" s="122" t="n"/>
      <c r="J67" s="122" t="n"/>
      <c r="K67" s="122" t="n"/>
      <c r="L67" s="122" t="n"/>
      <c r="M67" s="122" t="n"/>
      <c r="N67" s="122" t="n"/>
      <c r="O67" s="122" t="n"/>
      <c r="P67" s="122" t="n"/>
      <c r="Q67" s="122" t="n"/>
      <c r="R67" s="122" t="n"/>
      <c r="S67" s="122" t="n"/>
      <c r="T67" s="3" t="n"/>
      <c r="U67" s="3" t="n"/>
      <c r="V67" s="3" t="n"/>
    </row>
    <row r="68" ht="30" customHeight="1">
      <c r="A68" s="3" t="inlineStr">
        <is>
          <t>assumptions/2026/fuel_lever_design.yaml</t>
        </is>
      </c>
      <c r="B68" s="3" t="inlineStr">
        <is>
          <t>SHA256</t>
        </is>
      </c>
      <c r="C68" s="3" t="inlineStr">
        <is>
          <t>Frozen file</t>
        </is>
      </c>
      <c r="D68" s="144" t="n"/>
      <c r="E68" s="121" t="inlineStr">
        <is>
          <t>26bd2b42eb5f21e5167ce831acd2963e9c0f7f33870f6f356becb7d7622dc458</t>
        </is>
      </c>
      <c r="F68" s="122" t="n"/>
      <c r="G68" s="122" t="n"/>
      <c r="H68" s="122" t="n"/>
      <c r="I68" s="122" t="n"/>
      <c r="J68" s="122" t="n"/>
      <c r="K68" s="122" t="n"/>
      <c r="L68" s="122" t="n"/>
      <c r="M68" s="122" t="n"/>
      <c r="N68" s="122" t="n"/>
      <c r="O68" s="122" t="n"/>
      <c r="P68" s="122" t="n"/>
      <c r="Q68" s="122" t="n"/>
      <c r="R68" s="122" t="n"/>
      <c r="S68" s="122" t="n"/>
      <c r="T68" s="3" t="n"/>
      <c r="U68" s="3" t="n"/>
      <c r="V68" s="3" t="n"/>
    </row>
    <row r="69" ht="30" customHeight="1">
      <c r="A69" s="3" t="inlineStr">
        <is>
          <t>assumptions/2026/generation.yaml</t>
        </is>
      </c>
      <c r="B69" s="3" t="inlineStr">
        <is>
          <t>SHA256</t>
        </is>
      </c>
      <c r="C69" s="3" t="inlineStr">
        <is>
          <t>Frozen file</t>
        </is>
      </c>
      <c r="D69" s="144" t="n"/>
      <c r="E69" s="121" t="inlineStr">
        <is>
          <t>60afb39b8dade734943b98cec9295258d400b6d62a4031dd3110228a94557518</t>
        </is>
      </c>
      <c r="F69" s="122" t="n"/>
      <c r="G69" s="122" t="n"/>
      <c r="H69" s="122" t="n"/>
      <c r="I69" s="122" t="n"/>
      <c r="J69" s="122" t="n"/>
      <c r="K69" s="122" t="n"/>
      <c r="L69" s="122" t="n"/>
      <c r="M69" s="122" t="n"/>
      <c r="N69" s="122" t="n"/>
      <c r="O69" s="122" t="n"/>
      <c r="P69" s="122" t="n"/>
      <c r="Q69" s="122" t="n"/>
      <c r="R69" s="122" t="n"/>
      <c r="S69" s="122" t="n"/>
      <c r="T69" s="3" t="n"/>
      <c r="U69" s="3" t="n"/>
      <c r="V69" s="3" t="n"/>
    </row>
    <row r="70" ht="30" customHeight="1">
      <c r="A70" s="3" t="inlineStr">
        <is>
          <t>assumptions/2026/industrial.yaml</t>
        </is>
      </c>
      <c r="B70" s="3" t="inlineStr">
        <is>
          <t>SHA256</t>
        </is>
      </c>
      <c r="C70" s="3" t="inlineStr">
        <is>
          <t>Frozen file</t>
        </is>
      </c>
      <c r="D70" s="144" t="n"/>
      <c r="E70" s="121" t="inlineStr">
        <is>
          <t>371d67d323cbf21b5c018b4bca4a6c372480f860f29b659afcb132bc279262ab</t>
        </is>
      </c>
      <c r="F70" s="122" t="n"/>
      <c r="G70" s="122" t="n"/>
      <c r="H70" s="122" t="n"/>
      <c r="I70" s="122" t="n"/>
      <c r="J70" s="122" t="n"/>
      <c r="K70" s="122" t="n"/>
      <c r="L70" s="122" t="n"/>
      <c r="M70" s="122" t="n"/>
      <c r="N70" s="122" t="n"/>
      <c r="O70" s="122" t="n"/>
      <c r="P70" s="122" t="n"/>
      <c r="Q70" s="122" t="n"/>
      <c r="R70" s="122" t="n"/>
      <c r="S70" s="122" t="n"/>
      <c r="T70" s="3" t="n"/>
      <c r="U70" s="3" t="n"/>
      <c r="V70" s="3" t="n"/>
    </row>
    <row r="71" ht="30" customHeight="1">
      <c r="A71" s="3" t="inlineStr">
        <is>
          <t>assumptions/2026/infrastructure/storag… [N340]</t>
        </is>
      </c>
      <c r="B71" s="3" t="inlineStr">
        <is>
          <t>SHA256</t>
        </is>
      </c>
      <c r="C71" s="3" t="inlineStr">
        <is>
          <t>Frozen file</t>
        </is>
      </c>
      <c r="D71" s="144" t="n"/>
      <c r="E71" s="121" t="inlineStr">
        <is>
          <t>3fe3d166768ecfe702fbe7a487dd04083f42f75a70454f8dd48097e779d4ac73</t>
        </is>
      </c>
      <c r="F71" s="122" t="n"/>
      <c r="G71" s="122" t="n"/>
      <c r="H71" s="122" t="n"/>
      <c r="I71" s="122" t="n"/>
      <c r="J71" s="122" t="n"/>
      <c r="K71" s="122" t="n"/>
      <c r="L71" s="122" t="n"/>
      <c r="M71" s="122" t="n"/>
      <c r="N71" s="122" t="n"/>
      <c r="O71" s="122" t="n"/>
      <c r="P71" s="122" t="n"/>
      <c r="Q71" s="122" t="n"/>
      <c r="R71" s="122" t="n"/>
      <c r="S71" s="122" t="n"/>
      <c r="T71" s="3" t="n"/>
      <c r="U71" s="3" t="n"/>
      <c r="V71" s="3" t="n"/>
    </row>
    <row r="72" ht="30" customHeight="1">
      <c r="A72" s="3" t="inlineStr">
        <is>
          <t>assumptions/2026/infrastructure/storag… [N341]</t>
        </is>
      </c>
      <c r="B72" s="3" t="inlineStr">
        <is>
          <t>SHA256</t>
        </is>
      </c>
      <c r="C72" s="3" t="inlineStr">
        <is>
          <t>Frozen file</t>
        </is>
      </c>
      <c r="D72" s="144" t="n"/>
      <c r="E72" s="121" t="inlineStr">
        <is>
          <t>cc3bf1ce107458f5dbab71090bdfbcd379cdeb491a725368fea6c8b00d831e5a</t>
        </is>
      </c>
      <c r="F72" s="122" t="n"/>
      <c r="G72" s="122" t="n"/>
      <c r="H72" s="122" t="n"/>
      <c r="I72" s="122" t="n"/>
      <c r="J72" s="122" t="n"/>
      <c r="K72" s="122" t="n"/>
      <c r="L72" s="122" t="n"/>
      <c r="M72" s="122" t="n"/>
      <c r="N72" s="122" t="n"/>
      <c r="O72" s="122" t="n"/>
      <c r="P72" s="122" t="n"/>
      <c r="Q72" s="122" t="n"/>
      <c r="R72" s="122" t="n"/>
      <c r="S72" s="122" t="n"/>
      <c r="T72" s="3" t="n"/>
      <c r="U72" s="3" t="n"/>
      <c r="V72" s="3" t="n"/>
    </row>
    <row r="73" ht="30" customHeight="1">
      <c r="A73" s="3" t="inlineStr">
        <is>
          <t>assumptions/2026/macro.yaml</t>
        </is>
      </c>
      <c r="B73" s="3" t="inlineStr">
        <is>
          <t>SHA256</t>
        </is>
      </c>
      <c r="C73" s="3" t="inlineStr">
        <is>
          <t>Frozen file</t>
        </is>
      </c>
      <c r="D73" s="144" t="n"/>
      <c r="E73" s="121" t="inlineStr">
        <is>
          <t>d800f8024eaa02a9528cfbc1032c035c4e826dbd897da3bc3a6ead4d4ca68b29</t>
        </is>
      </c>
      <c r="F73" s="122" t="n"/>
      <c r="G73" s="122" t="n"/>
      <c r="H73" s="122" t="n"/>
      <c r="I73" s="122" t="n"/>
      <c r="J73" s="122" t="n"/>
      <c r="K73" s="122" t="n"/>
      <c r="L73" s="122" t="n"/>
      <c r="M73" s="122" t="n"/>
      <c r="N73" s="122" t="n"/>
      <c r="O73" s="122" t="n"/>
      <c r="P73" s="122" t="n"/>
      <c r="Q73" s="122" t="n"/>
      <c r="R73" s="122" t="n"/>
      <c r="S73" s="122" t="n"/>
      <c r="T73" s="3" t="n"/>
      <c r="U73" s="3" t="n"/>
      <c r="V73" s="3" t="n"/>
    </row>
    <row r="74" ht="30" customHeight="1">
      <c r="A74" s="3" t="inlineStr">
        <is>
          <t>assumptions/2026/marine.yaml</t>
        </is>
      </c>
      <c r="B74" s="3" t="inlineStr">
        <is>
          <t>SHA256</t>
        </is>
      </c>
      <c r="C74" s="3" t="inlineStr">
        <is>
          <t>Frozen file</t>
        </is>
      </c>
      <c r="D74" s="144" t="n"/>
      <c r="E74" s="121" t="inlineStr">
        <is>
          <t>cc38dd8c98d286e0f6fd4c748779e2d1aaf075e7630e76235a21d072da773a91</t>
        </is>
      </c>
      <c r="F74" s="122" t="n"/>
      <c r="G74" s="122" t="n"/>
      <c r="H74" s="122" t="n"/>
      <c r="I74" s="122" t="n"/>
      <c r="J74" s="122" t="n"/>
      <c r="K74" s="122" t="n"/>
      <c r="L74" s="122" t="n"/>
      <c r="M74" s="122" t="n"/>
      <c r="N74" s="122" t="n"/>
      <c r="O74" s="122" t="n"/>
      <c r="P74" s="122" t="n"/>
      <c r="Q74" s="122" t="n"/>
      <c r="R74" s="122" t="n"/>
      <c r="S74" s="122" t="n"/>
      <c r="T74" s="3" t="n"/>
      <c r="U74" s="3" t="n"/>
      <c r="V74" s="3" t="n"/>
    </row>
    <row r="75" ht="30" customHeight="1">
      <c r="A75" s="3" t="inlineStr">
        <is>
          <t>assumptions/2026/reference/fleet_fuel_… [N342]</t>
        </is>
      </c>
      <c r="B75" s="3" t="inlineStr">
        <is>
          <t>SHA256</t>
        </is>
      </c>
      <c r="C75" s="3" t="inlineStr">
        <is>
          <t>Frozen file</t>
        </is>
      </c>
      <c r="D75" s="144" t="n"/>
      <c r="E75" s="121" t="inlineStr">
        <is>
          <t>71e7b0804f8221d944d29b15b9a81b2b6142442cf699f748b0f6142d098468fb</t>
        </is>
      </c>
      <c r="F75" s="122" t="n"/>
      <c r="G75" s="122" t="n"/>
      <c r="H75" s="122" t="n"/>
      <c r="I75" s="122" t="n"/>
      <c r="J75" s="122" t="n"/>
      <c r="K75" s="122" t="n"/>
      <c r="L75" s="122" t="n"/>
      <c r="M75" s="122" t="n"/>
      <c r="N75" s="122" t="n"/>
      <c r="O75" s="122" t="n"/>
      <c r="P75" s="122" t="n"/>
      <c r="Q75" s="122" t="n"/>
      <c r="R75" s="122" t="n"/>
      <c r="S75" s="122" t="n"/>
      <c r="T75" s="3" t="n"/>
      <c r="U75" s="3" t="n"/>
      <c r="V75" s="3" t="n"/>
    </row>
    <row r="76" ht="30" customHeight="1">
      <c r="A76" s="3" t="inlineStr">
        <is>
          <t>assumptions/2026/reference/fleet_fuel_… [N343]</t>
        </is>
      </c>
      <c r="B76" s="3" t="inlineStr">
        <is>
          <t>SHA256</t>
        </is>
      </c>
      <c r="C76" s="3" t="inlineStr">
        <is>
          <t>Frozen file</t>
        </is>
      </c>
      <c r="D76" s="144" t="n"/>
      <c r="E76" s="121" t="inlineStr">
        <is>
          <t>868002df1a97e7f6c84079e1a7486842298d221cf56a2e87449ed666bad459e3</t>
        </is>
      </c>
      <c r="F76" s="122" t="n"/>
      <c r="G76" s="122" t="n"/>
      <c r="H76" s="122" t="n"/>
      <c r="I76" s="122" t="n"/>
      <c r="J76" s="122" t="n"/>
      <c r="K76" s="122" t="n"/>
      <c r="L76" s="122" t="n"/>
      <c r="M76" s="122" t="n"/>
      <c r="N76" s="122" t="n"/>
      <c r="O76" s="122" t="n"/>
      <c r="P76" s="122" t="n"/>
      <c r="Q76" s="122" t="n"/>
      <c r="R76" s="122" t="n"/>
      <c r="S76" s="122" t="n"/>
      <c r="T76" s="3" t="n"/>
      <c r="U76" s="3" t="n"/>
      <c r="V76" s="3" t="n"/>
    </row>
    <row r="77" ht="30" customHeight="1">
      <c r="A77" s="3" t="inlineStr">
        <is>
          <t>assumptions/2026/reference/vehicle_par… [N344]</t>
        </is>
      </c>
      <c r="B77" s="3" t="inlineStr">
        <is>
          <t>SHA256</t>
        </is>
      </c>
      <c r="C77" s="3" t="inlineStr">
        <is>
          <t>Frozen file</t>
        </is>
      </c>
      <c r="D77" s="144" t="n"/>
      <c r="E77" s="121" t="inlineStr">
        <is>
          <t>84ee5d2fae42b26d41312201022fdd017c30ee871f3bbd47071064aa6e1a96ec</t>
        </is>
      </c>
      <c r="F77" s="122" t="n"/>
      <c r="G77" s="122" t="n"/>
      <c r="H77" s="122" t="n"/>
      <c r="I77" s="122" t="n"/>
      <c r="J77" s="122" t="n"/>
      <c r="K77" s="122" t="n"/>
      <c r="L77" s="122" t="n"/>
      <c r="M77" s="122" t="n"/>
      <c r="N77" s="122" t="n"/>
      <c r="O77" s="122" t="n"/>
      <c r="P77" s="122" t="n"/>
      <c r="Q77" s="122" t="n"/>
      <c r="R77" s="122" t="n"/>
      <c r="S77" s="122" t="n"/>
      <c r="T77" s="3" t="n"/>
      <c r="U77" s="3" t="n"/>
      <c r="V77" s="3" t="n"/>
    </row>
    <row r="78" ht="30" customHeight="1">
      <c r="A78" s="3" t="inlineStr">
        <is>
          <t>assumptions/2026/reference/vehicle_par… [N345]</t>
        </is>
      </c>
      <c r="B78" s="3" t="inlineStr">
        <is>
          <t>SHA256</t>
        </is>
      </c>
      <c r="C78" s="3" t="inlineStr">
        <is>
          <t>Frozen file</t>
        </is>
      </c>
      <c r="D78" s="144" t="n"/>
      <c r="E78" s="121" t="inlineStr">
        <is>
          <t>c17b4fabf65b6d404aa961c0afa8a161158de6cc7a3f920573b0ff9c51356238</t>
        </is>
      </c>
      <c r="F78" s="122" t="n"/>
      <c r="G78" s="122" t="n"/>
      <c r="H78" s="122" t="n"/>
      <c r="I78" s="122" t="n"/>
      <c r="J78" s="122" t="n"/>
      <c r="K78" s="122" t="n"/>
      <c r="L78" s="122" t="n"/>
      <c r="M78" s="122" t="n"/>
      <c r="N78" s="122" t="n"/>
      <c r="O78" s="122" t="n"/>
      <c r="P78" s="122" t="n"/>
      <c r="Q78" s="122" t="n"/>
      <c r="R78" s="122" t="n"/>
      <c r="S78" s="122" t="n"/>
      <c r="T78" s="3" t="n"/>
      <c r="U78" s="3" t="n"/>
      <c r="V78" s="3" t="n"/>
    </row>
    <row r="79" ht="30" customHeight="1">
      <c r="A79" s="3" t="inlineStr">
        <is>
          <t>assumptions/2026/reference/vehicle_pop… [N346]</t>
        </is>
      </c>
      <c r="B79" s="3" t="inlineStr">
        <is>
          <t>SHA256</t>
        </is>
      </c>
      <c r="C79" s="3" t="inlineStr">
        <is>
          <t>Frozen file</t>
        </is>
      </c>
      <c r="D79" s="144" t="n"/>
      <c r="E79" s="121" t="inlineStr">
        <is>
          <t>8b19edbe057a7011d8da2d523dd22057109ef0164ed8d55e003817a11f536d1d</t>
        </is>
      </c>
      <c r="F79" s="122" t="n"/>
      <c r="G79" s="122" t="n"/>
      <c r="H79" s="122" t="n"/>
      <c r="I79" s="122" t="n"/>
      <c r="J79" s="122" t="n"/>
      <c r="K79" s="122" t="n"/>
      <c r="L79" s="122" t="n"/>
      <c r="M79" s="122" t="n"/>
      <c r="N79" s="122" t="n"/>
      <c r="O79" s="122" t="n"/>
      <c r="P79" s="122" t="n"/>
      <c r="Q79" s="122" t="n"/>
      <c r="R79" s="122" t="n"/>
      <c r="S79" s="122" t="n"/>
      <c r="T79" s="3" t="n"/>
      <c r="U79" s="3" t="n"/>
      <c r="V79" s="3" t="n"/>
    </row>
    <row r="80" ht="30" customHeight="1">
      <c r="A80" s="3" t="inlineStr">
        <is>
          <t>assumptions/2026/reference/vehicle_pop… [N347]</t>
        </is>
      </c>
      <c r="B80" s="3" t="inlineStr">
        <is>
          <t>SHA256</t>
        </is>
      </c>
      <c r="C80" s="3" t="inlineStr">
        <is>
          <t>Frozen file</t>
        </is>
      </c>
      <c r="D80" s="144" t="n"/>
      <c r="E80" s="121" t="inlineStr">
        <is>
          <t>98c5d5a0087e07bb5d466964385209787333423bacccdfa8a0d2c8965f6c8451</t>
        </is>
      </c>
      <c r="F80" s="122" t="n"/>
      <c r="G80" s="122" t="n"/>
      <c r="H80" s="122" t="n"/>
      <c r="I80" s="122" t="n"/>
      <c r="J80" s="122" t="n"/>
      <c r="K80" s="122" t="n"/>
      <c r="L80" s="122" t="n"/>
      <c r="M80" s="122" t="n"/>
      <c r="N80" s="122" t="n"/>
      <c r="O80" s="122" t="n"/>
      <c r="P80" s="122" t="n"/>
      <c r="Q80" s="122" t="n"/>
      <c r="R80" s="122" t="n"/>
      <c r="S80" s="122" t="n"/>
      <c r="T80" s="3" t="n"/>
      <c r="U80" s="3" t="n"/>
      <c r="V80" s="3" t="n"/>
    </row>
    <row r="81" ht="30" customHeight="1">
      <c r="A81" s="3" t="inlineStr">
        <is>
          <t>assumptions/2026/review_capacity_scenarios.yaml</t>
        </is>
      </c>
      <c r="B81" s="3" t="inlineStr">
        <is>
          <t>SHA256</t>
        </is>
      </c>
      <c r="C81" s="3" t="inlineStr">
        <is>
          <t>Frozen file</t>
        </is>
      </c>
      <c r="D81" s="144" t="n"/>
      <c r="E81" s="121" t="inlineStr">
        <is>
          <t>b2146915515f653c5a3e710564a290fd1d0e0aacd8276b9050ba82b067b5fcf7</t>
        </is>
      </c>
      <c r="F81" s="122" t="n"/>
      <c r="G81" s="122" t="n"/>
      <c r="H81" s="122" t="n"/>
      <c r="I81" s="122" t="n"/>
      <c r="J81" s="122" t="n"/>
      <c r="K81" s="122" t="n"/>
      <c r="L81" s="122" t="n"/>
      <c r="M81" s="122" t="n"/>
      <c r="N81" s="122" t="n"/>
      <c r="O81" s="122" t="n"/>
      <c r="P81" s="122" t="n"/>
      <c r="Q81" s="122" t="n"/>
      <c r="R81" s="122" t="n"/>
      <c r="S81" s="122" t="n"/>
      <c r="T81" s="3" t="n"/>
      <c r="U81" s="3" t="n"/>
      <c r="V81" s="3" t="n"/>
    </row>
    <row r="82" ht="30" customHeight="1">
      <c r="A82" s="3" t="inlineStr">
        <is>
          <t>assumptions/2026/sources.yaml</t>
        </is>
      </c>
      <c r="B82" s="3" t="inlineStr">
        <is>
          <t>SHA256</t>
        </is>
      </c>
      <c r="C82" s="3" t="inlineStr">
        <is>
          <t>Frozen file</t>
        </is>
      </c>
      <c r="D82" s="144" t="n"/>
      <c r="E82" s="121" t="inlineStr">
        <is>
          <t>7720ffdbd88f5432616a6f6915c1d6dec51549a1c876e6377284ce82664fe687</t>
        </is>
      </c>
      <c r="F82" s="122" t="n"/>
      <c r="G82" s="122" t="n"/>
      <c r="H82" s="122" t="n"/>
      <c r="I82" s="122" t="n"/>
      <c r="J82" s="122" t="n"/>
      <c r="K82" s="122" t="n"/>
      <c r="L82" s="122" t="n"/>
      <c r="M82" s="122" t="n"/>
      <c r="N82" s="122" t="n"/>
      <c r="O82" s="122" t="n"/>
      <c r="P82" s="122" t="n"/>
      <c r="Q82" s="122" t="n"/>
      <c r="R82" s="122" t="n"/>
      <c r="S82" s="122" t="n"/>
      <c r="T82" s="3" t="n"/>
      <c r="U82" s="3" t="n"/>
      <c r="V82" s="3" t="n"/>
    </row>
    <row r="83" ht="30" customHeight="1">
      <c r="A83" s="3" t="inlineStr">
        <is>
          <t>assumptions/2026/supply.yaml</t>
        </is>
      </c>
      <c r="B83" s="3" t="inlineStr">
        <is>
          <t>SHA256</t>
        </is>
      </c>
      <c r="C83" s="3" t="inlineStr">
        <is>
          <t>Frozen file</t>
        </is>
      </c>
      <c r="D83" s="144" t="n"/>
      <c r="E83" s="121" t="inlineStr">
        <is>
          <t>941ad87753ba74335a6d356dfd996f6185c9f96e00527ceb3abe9b74d8bb8907</t>
        </is>
      </c>
      <c r="F83" s="122" t="n"/>
      <c r="G83" s="122" t="n"/>
      <c r="H83" s="122" t="n"/>
      <c r="I83" s="122" t="n"/>
      <c r="J83" s="122" t="n"/>
      <c r="K83" s="122" t="n"/>
      <c r="L83" s="122" t="n"/>
      <c r="M83" s="122" t="n"/>
      <c r="N83" s="122" t="n"/>
      <c r="O83" s="122" t="n"/>
      <c r="P83" s="122" t="n"/>
      <c r="Q83" s="122" t="n"/>
      <c r="R83" s="122" t="n"/>
      <c r="S83" s="122" t="n"/>
      <c r="T83" s="3" t="n"/>
      <c r="U83" s="3" t="n"/>
      <c r="V83" s="3" t="n"/>
    </row>
    <row r="84" ht="30" customHeight="1">
      <c r="A84" s="3" t="inlineStr">
        <is>
          <t>assumptions/2026/terminal_handling.yaml</t>
        </is>
      </c>
      <c r="B84" s="3" t="inlineStr">
        <is>
          <t>SHA256</t>
        </is>
      </c>
      <c r="C84" s="3" t="inlineStr">
        <is>
          <t>Frozen file</t>
        </is>
      </c>
      <c r="D84" s="144" t="n"/>
      <c r="E84" s="121" t="inlineStr">
        <is>
          <t>5c3cdbcd436ef4ead0d81235c2b9eef2e4dd1f59d709f85ebd3fa066ada45fc9</t>
        </is>
      </c>
      <c r="F84" s="122" t="n"/>
      <c r="G84" s="122" t="n"/>
      <c r="H84" s="122" t="n"/>
      <c r="I84" s="122" t="n"/>
      <c r="J84" s="122" t="n"/>
      <c r="K84" s="122" t="n"/>
      <c r="L84" s="122" t="n"/>
      <c r="M84" s="122" t="n"/>
      <c r="N84" s="122" t="n"/>
      <c r="O84" s="122" t="n"/>
      <c r="P84" s="122" t="n"/>
      <c r="Q84" s="122" t="n"/>
      <c r="R84" s="122" t="n"/>
      <c r="S84" s="122" t="n"/>
      <c r="T84" s="3" t="n"/>
      <c r="U84" s="3" t="n"/>
      <c r="V84" s="3" t="n"/>
    </row>
    <row r="85" ht="30" customHeight="1">
      <c r="A85" s="3" t="inlineStr">
        <is>
          <t>assumptions/2026/timeseries/acsa.sources.yaml</t>
        </is>
      </c>
      <c r="B85" s="3" t="inlineStr">
        <is>
          <t>SHA256</t>
        </is>
      </c>
      <c r="C85" s="3" t="inlineStr">
        <is>
          <t>Frozen file</t>
        </is>
      </c>
      <c r="D85" s="144" t="n"/>
      <c r="E85" s="121" t="inlineStr">
        <is>
          <t>faa38d765948cd8fc8809d3bdee3fa8d1328b1da5859963f0c467d08a14129ee</t>
        </is>
      </c>
      <c r="F85" s="122" t="n"/>
      <c r="G85" s="122" t="n"/>
      <c r="H85" s="122" t="n"/>
      <c r="I85" s="122" t="n"/>
      <c r="J85" s="122" t="n"/>
      <c r="K85" s="122" t="n"/>
      <c r="L85" s="122" t="n"/>
      <c r="M85" s="122" t="n"/>
      <c r="N85" s="122" t="n"/>
      <c r="O85" s="122" t="n"/>
      <c r="P85" s="122" t="n"/>
      <c r="Q85" s="122" t="n"/>
      <c r="R85" s="122" t="n"/>
      <c r="S85" s="122" t="n"/>
      <c r="T85" s="3" t="n"/>
      <c r="U85" s="3" t="n"/>
      <c r="V85" s="3" t="n"/>
    </row>
    <row r="86" ht="30" customHeight="1">
      <c r="A86" s="3" t="inlineStr">
        <is>
          <t>assumptions/2026/timeseries/air_traffic_acsa.csv</t>
        </is>
      </c>
      <c r="B86" s="3" t="inlineStr">
        <is>
          <t>SHA256</t>
        </is>
      </c>
      <c r="C86" s="3" t="inlineStr">
        <is>
          <t>Frozen file</t>
        </is>
      </c>
      <c r="D86" s="144" t="n"/>
      <c r="E86" s="121" t="inlineStr">
        <is>
          <t>760a8ce2752b494346900eeaa7228b6abee32d8de6fc57ab609f3661d58b8c86</t>
        </is>
      </c>
      <c r="F86" s="122" t="n"/>
      <c r="G86" s="122" t="n"/>
      <c r="H86" s="122" t="n"/>
      <c r="I86" s="122" t="n"/>
      <c r="J86" s="122" t="n"/>
      <c r="K86" s="122" t="n"/>
      <c r="L86" s="122" t="n"/>
      <c r="M86" s="122" t="n"/>
      <c r="N86" s="122" t="n"/>
      <c r="O86" s="122" t="n"/>
      <c r="P86" s="122" t="n"/>
      <c r="Q86" s="122" t="n"/>
      <c r="R86" s="122" t="n"/>
      <c r="S86" s="122" t="n"/>
      <c r="T86" s="3" t="n"/>
      <c r="U86" s="3" t="n"/>
      <c r="V86" s="3" t="n"/>
    </row>
    <row r="87" ht="30" customHeight="1">
      <c r="A87" s="3" t="inlineStr">
        <is>
          <t>assumptions/2026/timeseries/air_traffi… [N348]</t>
        </is>
      </c>
      <c r="B87" s="3" t="inlineStr">
        <is>
          <t>SHA256</t>
        </is>
      </c>
      <c r="C87" s="3" t="inlineStr">
        <is>
          <t>Frozen file</t>
        </is>
      </c>
      <c r="D87" s="144" t="n"/>
      <c r="E87" s="121" t="inlineStr">
        <is>
          <t>8d51f267d626b855cbf0d66b6a59829f531c985ab01f4ff6ed744d54a0befe8e</t>
        </is>
      </c>
      <c r="F87" s="122" t="n"/>
      <c r="G87" s="122" t="n"/>
      <c r="H87" s="122" t="n"/>
      <c r="I87" s="122" t="n"/>
      <c r="J87" s="122" t="n"/>
      <c r="K87" s="122" t="n"/>
      <c r="L87" s="122" t="n"/>
      <c r="M87" s="122" t="n"/>
      <c r="N87" s="122" t="n"/>
      <c r="O87" s="122" t="n"/>
      <c r="P87" s="122" t="n"/>
      <c r="Q87" s="122" t="n"/>
      <c r="R87" s="122" t="n"/>
      <c r="S87" s="122" t="n"/>
      <c r="T87" s="3" t="n"/>
      <c r="U87" s="3" t="n"/>
      <c r="V87" s="3" t="n"/>
    </row>
    <row r="88" ht="30" customHeight="1">
      <c r="A88" s="3" t="inlineStr">
        <is>
          <t>assumptions/2026/timeseries/economy.sources.yaml</t>
        </is>
      </c>
      <c r="B88" s="3" t="inlineStr">
        <is>
          <t>SHA256</t>
        </is>
      </c>
      <c r="C88" s="3" t="inlineStr">
        <is>
          <t>Frozen file</t>
        </is>
      </c>
      <c r="D88" s="144" t="n"/>
      <c r="E88" s="121" t="inlineStr">
        <is>
          <t>e52fee7ad0e684f33f3343b175bee3a77fe816a59a0a3a1be17aed5240a3a1ea</t>
        </is>
      </c>
      <c r="F88" s="122" t="n"/>
      <c r="G88" s="122" t="n"/>
      <c r="H88" s="122" t="n"/>
      <c r="I88" s="122" t="n"/>
      <c r="J88" s="122" t="n"/>
      <c r="K88" s="122" t="n"/>
      <c r="L88" s="122" t="n"/>
      <c r="M88" s="122" t="n"/>
      <c r="N88" s="122" t="n"/>
      <c r="O88" s="122" t="n"/>
      <c r="P88" s="122" t="n"/>
      <c r="Q88" s="122" t="n"/>
      <c r="R88" s="122" t="n"/>
      <c r="S88" s="122" t="n"/>
      <c r="T88" s="3" t="n"/>
      <c r="U88" s="3" t="n"/>
      <c r="V88" s="3" t="n"/>
    </row>
    <row r="89" ht="30" customHeight="1">
      <c r="A89" s="3" t="inlineStr">
        <is>
          <t>assumptions/2026/timeseries/efficiency… [N349]</t>
        </is>
      </c>
      <c r="B89" s="3" t="inlineStr">
        <is>
          <t>SHA256</t>
        </is>
      </c>
      <c r="C89" s="3" t="inlineStr">
        <is>
          <t>Frozen file</t>
        </is>
      </c>
      <c r="D89" s="144" t="n"/>
      <c r="E89" s="121" t="inlineStr">
        <is>
          <t>c70b4b719df721c8b64e5496dc3f362ba1747faeb5ab3d1cdc654bdcfffa451c</t>
        </is>
      </c>
      <c r="F89" s="122" t="n"/>
      <c r="G89" s="122" t="n"/>
      <c r="H89" s="122" t="n"/>
      <c r="I89" s="122" t="n"/>
      <c r="J89" s="122" t="n"/>
      <c r="K89" s="122" t="n"/>
      <c r="L89" s="122" t="n"/>
      <c r="M89" s="122" t="n"/>
      <c r="N89" s="122" t="n"/>
      <c r="O89" s="122" t="n"/>
      <c r="P89" s="122" t="n"/>
      <c r="Q89" s="122" t="n"/>
      <c r="R89" s="122" t="n"/>
      <c r="S89" s="122" t="n"/>
      <c r="T89" s="3" t="n"/>
      <c r="U89" s="3" t="n"/>
      <c r="V89" s="3" t="n"/>
    </row>
    <row r="90" ht="30" customHeight="1">
      <c r="A90" s="3" t="inlineStr">
        <is>
          <t>assumptions/2026/timeseries/efficiency… [N350]</t>
        </is>
      </c>
      <c r="B90" s="3" t="inlineStr">
        <is>
          <t>SHA256</t>
        </is>
      </c>
      <c r="C90" s="3" t="inlineStr">
        <is>
          <t>Frozen file</t>
        </is>
      </c>
      <c r="D90" s="144" t="n"/>
      <c r="E90" s="121" t="inlineStr">
        <is>
          <t>404797987a9253b988754037185c70679e3cf6b32290cbd734d1356ae03b0337</t>
        </is>
      </c>
      <c r="F90" s="122" t="n"/>
      <c r="G90" s="122" t="n"/>
      <c r="H90" s="122" t="n"/>
      <c r="I90" s="122" t="n"/>
      <c r="J90" s="122" t="n"/>
      <c r="K90" s="122" t="n"/>
      <c r="L90" s="122" t="n"/>
      <c r="M90" s="122" t="n"/>
      <c r="N90" s="122" t="n"/>
      <c r="O90" s="122" t="n"/>
      <c r="P90" s="122" t="n"/>
      <c r="Q90" s="122" t="n"/>
      <c r="R90" s="122" t="n"/>
      <c r="S90" s="122" t="n"/>
      <c r="T90" s="3" t="n"/>
      <c r="U90" s="3" t="n"/>
      <c r="V90" s="3" t="n"/>
    </row>
    <row r="91" ht="30" customHeight="1">
      <c r="A91" s="3" t="inlineStr">
        <is>
          <t>assumptions/2026/timeseries/energy_bal… [N351]</t>
        </is>
      </c>
      <c r="B91" s="3" t="inlineStr">
        <is>
          <t>SHA256</t>
        </is>
      </c>
      <c r="C91" s="3" t="inlineStr">
        <is>
          <t>Frozen file</t>
        </is>
      </c>
      <c r="D91" s="144" t="n"/>
      <c r="E91" s="121" t="inlineStr">
        <is>
          <t>e7a3b6b2ae23c8bf60e414470914174ea2dd226782a8ed26d438c519dbe650e9</t>
        </is>
      </c>
      <c r="F91" s="122" t="n"/>
      <c r="G91" s="122" t="n"/>
      <c r="H91" s="122" t="n"/>
      <c r="I91" s="122" t="n"/>
      <c r="J91" s="122" t="n"/>
      <c r="K91" s="122" t="n"/>
      <c r="L91" s="122" t="n"/>
      <c r="M91" s="122" t="n"/>
      <c r="N91" s="122" t="n"/>
      <c r="O91" s="122" t="n"/>
      <c r="P91" s="122" t="n"/>
      <c r="Q91" s="122" t="n"/>
      <c r="R91" s="122" t="n"/>
      <c r="S91" s="122" t="n"/>
      <c r="T91" s="3" t="n"/>
      <c r="U91" s="3" t="n"/>
      <c r="V91" s="3" t="n"/>
    </row>
    <row r="92" ht="30" customHeight="1">
      <c r="A92" s="3" t="inlineStr">
        <is>
          <t>assumptions/2026/timeseries/energy_dep… [N352]</t>
        </is>
      </c>
      <c r="B92" s="3" t="inlineStr">
        <is>
          <t>SHA256</t>
        </is>
      </c>
      <c r="C92" s="3" t="inlineStr">
        <is>
          <t>Frozen file</t>
        </is>
      </c>
      <c r="D92" s="144" t="n"/>
      <c r="E92" s="121" t="inlineStr">
        <is>
          <t>e740f766e6c7940d253c343b590dc00af2ab67e018fb2d005a348280e19f3f59</t>
        </is>
      </c>
      <c r="F92" s="122" t="n"/>
      <c r="G92" s="122" t="n"/>
      <c r="H92" s="122" t="n"/>
      <c r="I92" s="122" t="n"/>
      <c r="J92" s="122" t="n"/>
      <c r="K92" s="122" t="n"/>
      <c r="L92" s="122" t="n"/>
      <c r="M92" s="122" t="n"/>
      <c r="N92" s="122" t="n"/>
      <c r="O92" s="122" t="n"/>
      <c r="P92" s="122" t="n"/>
      <c r="Q92" s="122" t="n"/>
      <c r="R92" s="122" t="n"/>
      <c r="S92" s="122" t="n"/>
      <c r="T92" s="3" t="n"/>
      <c r="U92" s="3" t="n"/>
      <c r="V92" s="3" t="n"/>
    </row>
    <row r="93" ht="30" customHeight="1">
      <c r="A93" s="3" t="inlineStr">
        <is>
          <t>assumptions/2026/timeseries/freight_pa… [N353]</t>
        </is>
      </c>
      <c r="B93" s="3" t="inlineStr">
        <is>
          <t>SHA256</t>
        </is>
      </c>
      <c r="C93" s="3" t="inlineStr">
        <is>
          <t>Frozen file</t>
        </is>
      </c>
      <c r="D93" s="144" t="n"/>
      <c r="E93" s="121" t="inlineStr">
        <is>
          <t>416ca6bafb0f3cb1e53c0484415f9335d515db14ca1442f4523d6ecfa75293e8</t>
        </is>
      </c>
      <c r="F93" s="122" t="n"/>
      <c r="G93" s="122" t="n"/>
      <c r="H93" s="122" t="n"/>
      <c r="I93" s="122" t="n"/>
      <c r="J93" s="122" t="n"/>
      <c r="K93" s="122" t="n"/>
      <c r="L93" s="122" t="n"/>
      <c r="M93" s="122" t="n"/>
      <c r="N93" s="122" t="n"/>
      <c r="O93" s="122" t="n"/>
      <c r="P93" s="122" t="n"/>
      <c r="Q93" s="122" t="n"/>
      <c r="R93" s="122" t="n"/>
      <c r="S93" s="122" t="n"/>
      <c r="T93" s="3" t="n"/>
      <c r="U93" s="3" t="n"/>
      <c r="V93" s="3" t="n"/>
    </row>
    <row r="94" ht="30" customHeight="1">
      <c r="A94" s="3" t="inlineStr">
        <is>
          <t>assumptions/2026/timeseries/fuel_lever… [N354]</t>
        </is>
      </c>
      <c r="B94" s="3" t="inlineStr">
        <is>
          <t>SHA256</t>
        </is>
      </c>
      <c r="C94" s="3" t="inlineStr">
        <is>
          <t>Frozen file</t>
        </is>
      </c>
      <c r="D94" s="144" t="n"/>
      <c r="E94" s="121" t="inlineStr">
        <is>
          <t>102d3292265eed7501c142d40de582d0be25df5955f1ea96c85c0b42649f1fb5</t>
        </is>
      </c>
      <c r="F94" s="122" t="n"/>
      <c r="G94" s="122" t="n"/>
      <c r="H94" s="122" t="n"/>
      <c r="I94" s="122" t="n"/>
      <c r="J94" s="122" t="n"/>
      <c r="K94" s="122" t="n"/>
      <c r="L94" s="122" t="n"/>
      <c r="M94" s="122" t="n"/>
      <c r="N94" s="122" t="n"/>
      <c r="O94" s="122" t="n"/>
      <c r="P94" s="122" t="n"/>
      <c r="Q94" s="122" t="n"/>
      <c r="R94" s="122" t="n"/>
      <c r="S94" s="122" t="n"/>
      <c r="T94" s="3" t="n"/>
      <c r="U94" s="3" t="n"/>
      <c r="V94" s="3" t="n"/>
    </row>
    <row r="95" ht="30" customHeight="1">
      <c r="A95" s="3" t="inlineStr">
        <is>
          <t>assumptions/2026/timeseries/fuel_price… [N355]</t>
        </is>
      </c>
      <c r="B95" s="3" t="inlineStr">
        <is>
          <t>SHA256</t>
        </is>
      </c>
      <c r="C95" s="3" t="inlineStr">
        <is>
          <t>Frozen file</t>
        </is>
      </c>
      <c r="D95" s="144" t="n"/>
      <c r="E95" s="121" t="inlineStr">
        <is>
          <t>8fd3952d569770796ab576de5f2e9c70f0a61e0e972fb6f9fd8509cc64c871cb</t>
        </is>
      </c>
      <c r="F95" s="122" t="n"/>
      <c r="G95" s="122" t="n"/>
      <c r="H95" s="122" t="n"/>
      <c r="I95" s="122" t="n"/>
      <c r="J95" s="122" t="n"/>
      <c r="K95" s="122" t="n"/>
      <c r="L95" s="122" t="n"/>
      <c r="M95" s="122" t="n"/>
      <c r="N95" s="122" t="n"/>
      <c r="O95" s="122" t="n"/>
      <c r="P95" s="122" t="n"/>
      <c r="Q95" s="122" t="n"/>
      <c r="R95" s="122" t="n"/>
      <c r="S95" s="122" t="n"/>
      <c r="T95" s="3" t="n"/>
      <c r="U95" s="3" t="n"/>
      <c r="V95" s="3" t="n"/>
    </row>
    <row r="96" ht="30" customHeight="1">
      <c r="A96" s="3" t="inlineStr">
        <is>
          <t>assumptions/2026/timeseries/fuel_price… [N356]</t>
        </is>
      </c>
      <c r="B96" s="3" t="inlineStr">
        <is>
          <t>SHA256</t>
        </is>
      </c>
      <c r="C96" s="3" t="inlineStr">
        <is>
          <t>Frozen file</t>
        </is>
      </c>
      <c r="D96" s="144" t="n"/>
      <c r="E96" s="121" t="inlineStr">
        <is>
          <t>604c8e85f767d9506ae3717251d126ce67189c8e6e4b6c5883c6ad72a3cdf0ee</t>
        </is>
      </c>
      <c r="F96" s="122" t="n"/>
      <c r="G96" s="122" t="n"/>
      <c r="H96" s="122" t="n"/>
      <c r="I96" s="122" t="n"/>
      <c r="J96" s="122" t="n"/>
      <c r="K96" s="122" t="n"/>
      <c r="L96" s="122" t="n"/>
      <c r="M96" s="122" t="n"/>
      <c r="N96" s="122" t="n"/>
      <c r="O96" s="122" t="n"/>
      <c r="P96" s="122" t="n"/>
      <c r="Q96" s="122" t="n"/>
      <c r="R96" s="122" t="n"/>
      <c r="S96" s="122" t="n"/>
      <c r="T96" s="3" t="n"/>
      <c r="U96" s="3" t="n"/>
      <c r="V96" s="3" t="n"/>
    </row>
    <row r="97" ht="30" customHeight="1">
      <c r="A97" s="3" t="inlineStr">
        <is>
          <t>assumptions/2026/timeseries/fuel_sales… [N357]</t>
        </is>
      </c>
      <c r="B97" s="3" t="inlineStr">
        <is>
          <t>SHA256</t>
        </is>
      </c>
      <c r="C97" s="3" t="inlineStr">
        <is>
          <t>Frozen file</t>
        </is>
      </c>
      <c r="D97" s="144" t="n"/>
      <c r="E97" s="121" t="inlineStr">
        <is>
          <t>41223a0fa4d749959a02499bc1f9672b39c41d28023f7ab6f7aaaa581b03428c</t>
        </is>
      </c>
      <c r="F97" s="122" t="n"/>
      <c r="G97" s="122" t="n"/>
      <c r="H97" s="122" t="n"/>
      <c r="I97" s="122" t="n"/>
      <c r="J97" s="122" t="n"/>
      <c r="K97" s="122" t="n"/>
      <c r="L97" s="122" t="n"/>
      <c r="M97" s="122" t="n"/>
      <c r="N97" s="122" t="n"/>
      <c r="O97" s="122" t="n"/>
      <c r="P97" s="122" t="n"/>
      <c r="Q97" s="122" t="n"/>
      <c r="R97" s="122" t="n"/>
      <c r="S97" s="122" t="n"/>
      <c r="T97" s="3" t="n"/>
      <c r="U97" s="3" t="n"/>
      <c r="V97" s="3" t="n"/>
    </row>
    <row r="98" ht="30" customHeight="1">
      <c r="A98" s="3" t="inlineStr">
        <is>
          <t>assumptions/2026/timeseries/fuel_sales… [N358]</t>
        </is>
      </c>
      <c r="B98" s="3" t="inlineStr">
        <is>
          <t>SHA256</t>
        </is>
      </c>
      <c r="C98" s="3" t="inlineStr">
        <is>
          <t>Frozen file</t>
        </is>
      </c>
      <c r="D98" s="144" t="n"/>
      <c r="E98" s="121" t="inlineStr">
        <is>
          <t>92d1d57a2e4b73d98fad393bb9226770868057b1ab9637b94e329a76ac2c0259</t>
        </is>
      </c>
      <c r="F98" s="122" t="n"/>
      <c r="G98" s="122" t="n"/>
      <c r="H98" s="122" t="n"/>
      <c r="I98" s="122" t="n"/>
      <c r="J98" s="122" t="n"/>
      <c r="K98" s="122" t="n"/>
      <c r="L98" s="122" t="n"/>
      <c r="M98" s="122" t="n"/>
      <c r="N98" s="122" t="n"/>
      <c r="O98" s="122" t="n"/>
      <c r="P98" s="122" t="n"/>
      <c r="Q98" s="122" t="n"/>
      <c r="R98" s="122" t="n"/>
      <c r="S98" s="122" t="n"/>
      <c r="T98" s="3" t="n"/>
      <c r="U98" s="3" t="n"/>
      <c r="V98" s="3" t="n"/>
    </row>
    <row r="99" ht="30" customHeight="1">
      <c r="A99" s="3" t="inlineStr">
        <is>
          <t>assumptions/2026/timeseries/fuel_sales… [N359]</t>
        </is>
      </c>
      <c r="B99" s="3" t="inlineStr">
        <is>
          <t>SHA256</t>
        </is>
      </c>
      <c r="C99" s="3" t="inlineStr">
        <is>
          <t>Frozen file</t>
        </is>
      </c>
      <c r="D99" s="144" t="n"/>
      <c r="E99" s="121" t="inlineStr">
        <is>
          <t>aec82481b33f70429b6b8e7c9c02767d62a6e8c7bf6bda09e21123a5bc56c9d6</t>
        </is>
      </c>
      <c r="F99" s="122" t="n"/>
      <c r="G99" s="122" t="n"/>
      <c r="H99" s="122" t="n"/>
      <c r="I99" s="122" t="n"/>
      <c r="J99" s="122" t="n"/>
      <c r="K99" s="122" t="n"/>
      <c r="L99" s="122" t="n"/>
      <c r="M99" s="122" t="n"/>
      <c r="N99" s="122" t="n"/>
      <c r="O99" s="122" t="n"/>
      <c r="P99" s="122" t="n"/>
      <c r="Q99" s="122" t="n"/>
      <c r="R99" s="122" t="n"/>
      <c r="S99" s="122" t="n"/>
      <c r="T99" s="3" t="n"/>
      <c r="U99" s="3" t="n"/>
      <c r="V99" s="3" t="n"/>
    </row>
    <row r="100" ht="30" customHeight="1">
      <c r="A100" s="3" t="inlineStr">
        <is>
          <t>assumptions/2026/timeseries/fuel_sales… [N360]</t>
        </is>
      </c>
      <c r="B100" s="3" t="inlineStr">
        <is>
          <t>SHA256</t>
        </is>
      </c>
      <c r="C100" s="3" t="inlineStr">
        <is>
          <t>Frozen file</t>
        </is>
      </c>
      <c r="D100" s="144" t="n"/>
      <c r="E100" s="121" t="inlineStr">
        <is>
          <t>9111da1ea931b8c499aec12ae898b9506320b529706445a473f08fee524fa8d0</t>
        </is>
      </c>
      <c r="F100" s="122" t="n"/>
      <c r="G100" s="122" t="n"/>
      <c r="H100" s="122" t="n"/>
      <c r="I100" s="122" t="n"/>
      <c r="J100" s="122" t="n"/>
      <c r="K100" s="122" t="n"/>
      <c r="L100" s="122" t="n"/>
      <c r="M100" s="122" t="n"/>
      <c r="N100" s="122" t="n"/>
      <c r="O100" s="122" t="n"/>
      <c r="P100" s="122" t="n"/>
      <c r="Q100" s="122" t="n"/>
      <c r="R100" s="122" t="n"/>
      <c r="S100" s="122" t="n"/>
      <c r="T100" s="3" t="n"/>
      <c r="U100" s="3" t="n"/>
      <c r="V100" s="3" t="n"/>
    </row>
    <row r="101" ht="30" customHeight="1">
      <c r="A101" s="3" t="inlineStr">
        <is>
          <t>assumptions/2026/timeseries/fuel_sales_fiasa.csv</t>
        </is>
      </c>
      <c r="B101" s="3" t="inlineStr">
        <is>
          <t>SHA256</t>
        </is>
      </c>
      <c r="C101" s="3" t="inlineStr">
        <is>
          <t>Frozen file</t>
        </is>
      </c>
      <c r="D101" s="144" t="n"/>
      <c r="E101" s="121" t="inlineStr">
        <is>
          <t>2f297c38bbdd7006614055381b67a3f31445549a8ca214ee78212a7b3e833bee</t>
        </is>
      </c>
      <c r="F101" s="122" t="n"/>
      <c r="G101" s="122" t="n"/>
      <c r="H101" s="122" t="n"/>
      <c r="I101" s="122" t="n"/>
      <c r="J101" s="122" t="n"/>
      <c r="K101" s="122" t="n"/>
      <c r="L101" s="122" t="n"/>
      <c r="M101" s="122" t="n"/>
      <c r="N101" s="122" t="n"/>
      <c r="O101" s="122" t="n"/>
      <c r="P101" s="122" t="n"/>
      <c r="Q101" s="122" t="n"/>
      <c r="R101" s="122" t="n"/>
      <c r="S101" s="122" t="n"/>
      <c r="T101" s="3" t="n"/>
      <c r="U101" s="3" t="n"/>
      <c r="V101" s="3" t="n"/>
    </row>
    <row r="102" ht="30" customHeight="1">
      <c r="A102" s="3" t="inlineStr">
        <is>
          <t>assumptions/2026/timeseries/fuel_sales… [N361]</t>
        </is>
      </c>
      <c r="B102" s="3" t="inlineStr">
        <is>
          <t>SHA256</t>
        </is>
      </c>
      <c r="C102" s="3" t="inlineStr">
        <is>
          <t>Frozen file</t>
        </is>
      </c>
      <c r="D102" s="144" t="n"/>
      <c r="E102" s="121" t="inlineStr">
        <is>
          <t>c00973df661ccdd826c3946b97fca6152b345738d01bb02f63181356ad8d39c9</t>
        </is>
      </c>
      <c r="F102" s="122" t="n"/>
      <c r="G102" s="122" t="n"/>
      <c r="H102" s="122" t="n"/>
      <c r="I102" s="122" t="n"/>
      <c r="J102" s="122" t="n"/>
      <c r="K102" s="122" t="n"/>
      <c r="L102" s="122" t="n"/>
      <c r="M102" s="122" t="n"/>
      <c r="N102" s="122" t="n"/>
      <c r="O102" s="122" t="n"/>
      <c r="P102" s="122" t="n"/>
      <c r="Q102" s="122" t="n"/>
      <c r="R102" s="122" t="n"/>
      <c r="S102" s="122" t="n"/>
      <c r="T102" s="3" t="n"/>
      <c r="U102" s="3" t="n"/>
      <c r="V102" s="3" t="n"/>
    </row>
    <row r="103" ht="30" customHeight="1">
      <c r="A103" s="3" t="inlineStr">
        <is>
          <t>assumptions/2026/timeseries/fuel_trade… [N362]</t>
        </is>
      </c>
      <c r="B103" s="3" t="inlineStr">
        <is>
          <t>SHA256</t>
        </is>
      </c>
      <c r="C103" s="3" t="inlineStr">
        <is>
          <t>Frozen file</t>
        </is>
      </c>
      <c r="D103" s="144" t="n"/>
      <c r="E103" s="121" t="inlineStr">
        <is>
          <t>e1b5788c6c307d695065fc160207b422c0899190b579ac7a0be4b26deb0623e8</t>
        </is>
      </c>
      <c r="F103" s="122" t="n"/>
      <c r="G103" s="122" t="n"/>
      <c r="H103" s="122" t="n"/>
      <c r="I103" s="122" t="n"/>
      <c r="J103" s="122" t="n"/>
      <c r="K103" s="122" t="n"/>
      <c r="L103" s="122" t="n"/>
      <c r="M103" s="122" t="n"/>
      <c r="N103" s="122" t="n"/>
      <c r="O103" s="122" t="n"/>
      <c r="P103" s="122" t="n"/>
      <c r="Q103" s="122" t="n"/>
      <c r="R103" s="122" t="n"/>
      <c r="S103" s="122" t="n"/>
      <c r="T103" s="3" t="n"/>
      <c r="U103" s="3" t="n"/>
      <c r="V103" s="3" t="n"/>
    </row>
    <row r="104" ht="30" customHeight="1">
      <c r="A104" s="3" t="inlineStr">
        <is>
          <t>assumptions/2026/timeseries/fuel_trade_fiasa.csv</t>
        </is>
      </c>
      <c r="B104" s="3" t="inlineStr">
        <is>
          <t>SHA256</t>
        </is>
      </c>
      <c r="C104" s="3" t="inlineStr">
        <is>
          <t>Frozen file</t>
        </is>
      </c>
      <c r="D104" s="144" t="n"/>
      <c r="E104" s="121" t="inlineStr">
        <is>
          <t>a0aaad23707a80643ceac79b6418c1ab386ed4a766e66d098f80e94dd04fafe3</t>
        </is>
      </c>
      <c r="F104" s="122" t="n"/>
      <c r="G104" s="122" t="n"/>
      <c r="H104" s="122" t="n"/>
      <c r="I104" s="122" t="n"/>
      <c r="J104" s="122" t="n"/>
      <c r="K104" s="122" t="n"/>
      <c r="L104" s="122" t="n"/>
      <c r="M104" s="122" t="n"/>
      <c r="N104" s="122" t="n"/>
      <c r="O104" s="122" t="n"/>
      <c r="P104" s="122" t="n"/>
      <c r="Q104" s="122" t="n"/>
      <c r="R104" s="122" t="n"/>
      <c r="S104" s="122" t="n"/>
      <c r="T104" s="3" t="n"/>
      <c r="U104" s="3" t="n"/>
      <c r="V104" s="3" t="n"/>
    </row>
    <row r="105" ht="30" customHeight="1">
      <c r="A105" s="3" t="inlineStr">
        <is>
          <t>assumptions/2026/timeseries/gdp.csv</t>
        </is>
      </c>
      <c r="B105" s="3" t="inlineStr">
        <is>
          <t>SHA256</t>
        </is>
      </c>
      <c r="C105" s="3" t="inlineStr">
        <is>
          <t>Frozen file</t>
        </is>
      </c>
      <c r="D105" s="144" t="n"/>
      <c r="E105" s="121" t="inlineStr">
        <is>
          <t>823725b7bab4bb1eee942a768d79302f4af3fba752ff3f14cd658320bb596cb9</t>
        </is>
      </c>
      <c r="F105" s="122" t="n"/>
      <c r="G105" s="122" t="n"/>
      <c r="H105" s="122" t="n"/>
      <c r="I105" s="122" t="n"/>
      <c r="J105" s="122" t="n"/>
      <c r="K105" s="122" t="n"/>
      <c r="L105" s="122" t="n"/>
      <c r="M105" s="122" t="n"/>
      <c r="N105" s="122" t="n"/>
      <c r="O105" s="122" t="n"/>
      <c r="P105" s="122" t="n"/>
      <c r="Q105" s="122" t="n"/>
      <c r="R105" s="122" t="n"/>
      <c r="S105" s="122" t="n"/>
      <c r="T105" s="3" t="n"/>
      <c r="U105" s="3" t="n"/>
      <c r="V105" s="3" t="n"/>
    </row>
    <row r="106" ht="30" customHeight="1">
      <c r="A106" s="3" t="inlineStr">
        <is>
          <t>assumptions/2026/timeseries/gdp_growth.csv</t>
        </is>
      </c>
      <c r="B106" s="3" t="inlineStr">
        <is>
          <t>SHA256</t>
        </is>
      </c>
      <c r="C106" s="3" t="inlineStr">
        <is>
          <t>Frozen file</t>
        </is>
      </c>
      <c r="D106" s="144" t="n"/>
      <c r="E106" s="121" t="inlineStr">
        <is>
          <t>14b82eab313c4027c55ee9d9997447ca2d7e3e5bf25d5d5c3f90547fc7879ea4</t>
        </is>
      </c>
      <c r="F106" s="122" t="n"/>
      <c r="G106" s="122" t="n"/>
      <c r="H106" s="122" t="n"/>
      <c r="I106" s="122" t="n"/>
      <c r="J106" s="122" t="n"/>
      <c r="K106" s="122" t="n"/>
      <c r="L106" s="122" t="n"/>
      <c r="M106" s="122" t="n"/>
      <c r="N106" s="122" t="n"/>
      <c r="O106" s="122" t="n"/>
      <c r="P106" s="122" t="n"/>
      <c r="Q106" s="122" t="n"/>
      <c r="R106" s="122" t="n"/>
      <c r="S106" s="122" t="n"/>
      <c r="T106" s="3" t="n"/>
      <c r="U106" s="3" t="n"/>
      <c r="V106" s="3" t="n"/>
    </row>
    <row r="107" ht="30" customHeight="1">
      <c r="A107" s="3" t="inlineStr">
        <is>
          <t>assumptions/2026/timeseries/gdp_growth… [N363]</t>
        </is>
      </c>
      <c r="B107" s="3" t="inlineStr">
        <is>
          <t>SHA256</t>
        </is>
      </c>
      <c r="C107" s="3" t="inlineStr">
        <is>
          <t>Frozen file</t>
        </is>
      </c>
      <c r="D107" s="144" t="n"/>
      <c r="E107" s="121" t="inlineStr">
        <is>
          <t>278b1c7782f17a1874edd2138376b860a4cd660440d6e5de71cf30c493e034c9</t>
        </is>
      </c>
      <c r="F107" s="122" t="n"/>
      <c r="G107" s="122" t="n"/>
      <c r="H107" s="122" t="n"/>
      <c r="I107" s="122" t="n"/>
      <c r="J107" s="122" t="n"/>
      <c r="K107" s="122" t="n"/>
      <c r="L107" s="122" t="n"/>
      <c r="M107" s="122" t="n"/>
      <c r="N107" s="122" t="n"/>
      <c r="O107" s="122" t="n"/>
      <c r="P107" s="122" t="n"/>
      <c r="Q107" s="122" t="n"/>
      <c r="R107" s="122" t="n"/>
      <c r="S107" s="122" t="n"/>
      <c r="T107" s="3" t="n"/>
      <c r="U107" s="3" t="n"/>
      <c r="V107" s="3" t="n"/>
    </row>
    <row r="108" ht="30" customHeight="1">
      <c r="A108" s="3" t="inlineStr">
        <is>
          <t>assumptions/2026/timeseries/gdp_per_capita.csv</t>
        </is>
      </c>
      <c r="B108" s="3" t="inlineStr">
        <is>
          <t>SHA256</t>
        </is>
      </c>
      <c r="C108" s="3" t="inlineStr">
        <is>
          <t>Frozen file</t>
        </is>
      </c>
      <c r="D108" s="144" t="n"/>
      <c r="E108" s="121" t="inlineStr">
        <is>
          <t>f48fe9427e6916c0a9047ed1cbcd20c3bd3cf361312b5172a42e494dd53b47ff</t>
        </is>
      </c>
      <c r="F108" s="122" t="n"/>
      <c r="G108" s="122" t="n"/>
      <c r="H108" s="122" t="n"/>
      <c r="I108" s="122" t="n"/>
      <c r="J108" s="122" t="n"/>
      <c r="K108" s="122" t="n"/>
      <c r="L108" s="122" t="n"/>
      <c r="M108" s="122" t="n"/>
      <c r="N108" s="122" t="n"/>
      <c r="O108" s="122" t="n"/>
      <c r="P108" s="122" t="n"/>
      <c r="Q108" s="122" t="n"/>
      <c r="R108" s="122" t="n"/>
      <c r="S108" s="122" t="n"/>
      <c r="T108" s="3" t="n"/>
      <c r="U108" s="3" t="n"/>
      <c r="V108" s="3" t="n"/>
    </row>
    <row r="109" ht="30" customHeight="1">
      <c r="A109" s="3" t="inlineStr">
        <is>
          <t>assumptions/2026/timeseries/historical_demand.csv</t>
        </is>
      </c>
      <c r="B109" s="3" t="inlineStr">
        <is>
          <t>SHA256</t>
        </is>
      </c>
      <c r="C109" s="3" t="inlineStr">
        <is>
          <t>Frozen file</t>
        </is>
      </c>
      <c r="D109" s="144" t="n"/>
      <c r="E109" s="121" t="inlineStr">
        <is>
          <t>729ea6ffca882148030264cdb3829d6b67afae46c4cbf818b4eca45d496a79a7</t>
        </is>
      </c>
      <c r="F109" s="122" t="n"/>
      <c r="G109" s="122" t="n"/>
      <c r="H109" s="122" t="n"/>
      <c r="I109" s="122" t="n"/>
      <c r="J109" s="122" t="n"/>
      <c r="K109" s="122" t="n"/>
      <c r="L109" s="122" t="n"/>
      <c r="M109" s="122" t="n"/>
      <c r="N109" s="122" t="n"/>
      <c r="O109" s="122" t="n"/>
      <c r="P109" s="122" t="n"/>
      <c r="Q109" s="122" t="n"/>
      <c r="R109" s="122" t="n"/>
      <c r="S109" s="122" t="n"/>
      <c r="T109" s="3" t="n"/>
      <c r="U109" s="3" t="n"/>
      <c r="V109" s="3" t="n"/>
    </row>
    <row r="110" ht="30" customHeight="1">
      <c r="A110" s="3" t="inlineStr">
        <is>
          <t>assumptions/2026/timeseries/macro_statssa.csv</t>
        </is>
      </c>
      <c r="B110" s="3" t="inlineStr">
        <is>
          <t>SHA256</t>
        </is>
      </c>
      <c r="C110" s="3" t="inlineStr">
        <is>
          <t>Frozen file</t>
        </is>
      </c>
      <c r="D110" s="144" t="n"/>
      <c r="E110" s="121" t="inlineStr">
        <is>
          <t>ce45c515a70e04bc4569bf29cfec41147db3dc444e93fb7e754bfab459af36d3</t>
        </is>
      </c>
      <c r="F110" s="122" t="n"/>
      <c r="G110" s="122" t="n"/>
      <c r="H110" s="122" t="n"/>
      <c r="I110" s="122" t="n"/>
      <c r="J110" s="122" t="n"/>
      <c r="K110" s="122" t="n"/>
      <c r="L110" s="122" t="n"/>
      <c r="M110" s="122" t="n"/>
      <c r="N110" s="122" t="n"/>
      <c r="O110" s="122" t="n"/>
      <c r="P110" s="122" t="n"/>
      <c r="Q110" s="122" t="n"/>
      <c r="R110" s="122" t="n"/>
      <c r="S110" s="122" t="n"/>
      <c r="T110" s="3" t="n"/>
      <c r="U110" s="3" t="n"/>
      <c r="V110" s="3" t="n"/>
    </row>
    <row r="111" ht="30" customHeight="1">
      <c r="A111" s="3" t="inlineStr">
        <is>
          <t>assumptions/2026/timeseries/macro_worldbank.csv</t>
        </is>
      </c>
      <c r="B111" s="3" t="inlineStr">
        <is>
          <t>SHA256</t>
        </is>
      </c>
      <c r="C111" s="3" t="inlineStr">
        <is>
          <t>Frozen file</t>
        </is>
      </c>
      <c r="D111" s="144" t="n"/>
      <c r="E111" s="121" t="inlineStr">
        <is>
          <t>354bc79e194f8085270320844d7674e796fda07cf6e9cb8a4589c25283bfc3f6</t>
        </is>
      </c>
      <c r="F111" s="122" t="n"/>
      <c r="G111" s="122" t="n"/>
      <c r="H111" s="122" t="n"/>
      <c r="I111" s="122" t="n"/>
      <c r="J111" s="122" t="n"/>
      <c r="K111" s="122" t="n"/>
      <c r="L111" s="122" t="n"/>
      <c r="M111" s="122" t="n"/>
      <c r="N111" s="122" t="n"/>
      <c r="O111" s="122" t="n"/>
      <c r="P111" s="122" t="n"/>
      <c r="Q111" s="122" t="n"/>
      <c r="R111" s="122" t="n"/>
      <c r="S111" s="122" t="n"/>
      <c r="T111" s="3" t="n"/>
      <c r="U111" s="3" t="n"/>
      <c r="V111" s="3" t="n"/>
    </row>
    <row r="112" ht="30" customHeight="1">
      <c r="A112" s="3" t="inlineStr">
        <is>
          <t>assumptions/2026/timeseries/naamsa.sources.yaml</t>
        </is>
      </c>
      <c r="B112" s="3" t="inlineStr">
        <is>
          <t>SHA256</t>
        </is>
      </c>
      <c r="C112" s="3" t="inlineStr">
        <is>
          <t>Frozen file</t>
        </is>
      </c>
      <c r="D112" s="144" t="n"/>
      <c r="E112" s="121" t="inlineStr">
        <is>
          <t>aca53bfa4fcf655931542ed6448496b33ed9ae9f106205e4ac1bb6cb5e8235dc</t>
        </is>
      </c>
      <c r="F112" s="122" t="n"/>
      <c r="G112" s="122" t="n"/>
      <c r="H112" s="122" t="n"/>
      <c r="I112" s="122" t="n"/>
      <c r="J112" s="122" t="n"/>
      <c r="K112" s="122" t="n"/>
      <c r="L112" s="122" t="n"/>
      <c r="M112" s="122" t="n"/>
      <c r="N112" s="122" t="n"/>
      <c r="O112" s="122" t="n"/>
      <c r="P112" s="122" t="n"/>
      <c r="Q112" s="122" t="n"/>
      <c r="R112" s="122" t="n"/>
      <c r="S112" s="122" t="n"/>
      <c r="T112" s="3" t="n"/>
      <c r="U112" s="3" t="n"/>
      <c r="V112" s="3" t="n"/>
    </row>
    <row r="113" ht="30" customHeight="1">
      <c r="A113" s="3" t="inlineStr">
        <is>
          <t>assumptions/2026/timeseries/natis.sources.yaml</t>
        </is>
      </c>
      <c r="B113" s="3" t="inlineStr">
        <is>
          <t>SHA256</t>
        </is>
      </c>
      <c r="C113" s="3" t="inlineStr">
        <is>
          <t>Frozen file</t>
        </is>
      </c>
      <c r="D113" s="144" t="n"/>
      <c r="E113" s="121" t="inlineStr">
        <is>
          <t>8787984be492aceb38fb483fd1d37933a11364515b42b8488304083c26946b1a</t>
        </is>
      </c>
      <c r="F113" s="122" t="n"/>
      <c r="G113" s="122" t="n"/>
      <c r="H113" s="122" t="n"/>
      <c r="I113" s="122" t="n"/>
      <c r="J113" s="122" t="n"/>
      <c r="K113" s="122" t="n"/>
      <c r="L113" s="122" t="n"/>
      <c r="M113" s="122" t="n"/>
      <c r="N113" s="122" t="n"/>
      <c r="O113" s="122" t="n"/>
      <c r="P113" s="122" t="n"/>
      <c r="Q113" s="122" t="n"/>
      <c r="R113" s="122" t="n"/>
      <c r="S113" s="122" t="n"/>
      <c r="T113" s="3" t="n"/>
      <c r="U113" s="3" t="n"/>
      <c r="V113" s="3" t="n"/>
    </row>
    <row r="114" ht="30" customHeight="1">
      <c r="A114" s="3" t="inlineStr">
        <is>
          <t>assumptions/2026/timeseries/nev_sales_naamsa.csv</t>
        </is>
      </c>
      <c r="B114" s="3" t="inlineStr">
        <is>
          <t>SHA256</t>
        </is>
      </c>
      <c r="C114" s="3" t="inlineStr">
        <is>
          <t>Frozen file</t>
        </is>
      </c>
      <c r="D114" s="144" t="n"/>
      <c r="E114" s="121" t="inlineStr">
        <is>
          <t>c047aeef4485c2bf43779f6cbf1362cc9d2dc32d629d8b5605cea764c9defb91</t>
        </is>
      </c>
      <c r="F114" s="122" t="n"/>
      <c r="G114" s="122" t="n"/>
      <c r="H114" s="122" t="n"/>
      <c r="I114" s="122" t="n"/>
      <c r="J114" s="122" t="n"/>
      <c r="K114" s="122" t="n"/>
      <c r="L114" s="122" t="n"/>
      <c r="M114" s="122" t="n"/>
      <c r="N114" s="122" t="n"/>
      <c r="O114" s="122" t="n"/>
      <c r="P114" s="122" t="n"/>
      <c r="Q114" s="122" t="n"/>
      <c r="R114" s="122" t="n"/>
      <c r="S114" s="122" t="n"/>
      <c r="T114" s="3" t="n"/>
      <c r="U114" s="3" t="n"/>
      <c r="V114" s="3" t="n"/>
    </row>
    <row r="115" ht="30" customHeight="1">
      <c r="A115" s="3" t="inlineStr">
        <is>
          <t>assumptions/2026/timeseries/new_vehicl… [N364]</t>
        </is>
      </c>
      <c r="B115" s="3" t="inlineStr">
        <is>
          <t>SHA256</t>
        </is>
      </c>
      <c r="C115" s="3" t="inlineStr">
        <is>
          <t>Frozen file</t>
        </is>
      </c>
      <c r="D115" s="144" t="n"/>
      <c r="E115" s="121" t="inlineStr">
        <is>
          <t>d044b44ad018367130d3442b7cd0dcc798e52dcc1475aaaaa88aedcc885d8c4e</t>
        </is>
      </c>
      <c r="F115" s="122" t="n"/>
      <c r="G115" s="122" t="n"/>
      <c r="H115" s="122" t="n"/>
      <c r="I115" s="122" t="n"/>
      <c r="J115" s="122" t="n"/>
      <c r="K115" s="122" t="n"/>
      <c r="L115" s="122" t="n"/>
      <c r="M115" s="122" t="n"/>
      <c r="N115" s="122" t="n"/>
      <c r="O115" s="122" t="n"/>
      <c r="P115" s="122" t="n"/>
      <c r="Q115" s="122" t="n"/>
      <c r="R115" s="122" t="n"/>
      <c r="S115" s="122" t="n"/>
      <c r="T115" s="3" t="n"/>
      <c r="U115" s="3" t="n"/>
      <c r="V115" s="3" t="n"/>
    </row>
    <row r="116" ht="30" customHeight="1">
      <c r="A116" s="3" t="inlineStr">
        <is>
          <t>assumptions/2026/timeseries/new_vehicl… [N365]</t>
        </is>
      </c>
      <c r="B116" s="3" t="inlineStr">
        <is>
          <t>SHA256</t>
        </is>
      </c>
      <c r="C116" s="3" t="inlineStr">
        <is>
          <t>Frozen file</t>
        </is>
      </c>
      <c r="D116" s="144" t="n"/>
      <c r="E116" s="121" t="inlineStr">
        <is>
          <t>0efea6b314167a5bbac20611e07e8df548117c4c37ba2a0e5a18b09d566af8fd</t>
        </is>
      </c>
      <c r="F116" s="122" t="n"/>
      <c r="G116" s="122" t="n"/>
      <c r="H116" s="122" t="n"/>
      <c r="I116" s="122" t="n"/>
      <c r="J116" s="122" t="n"/>
      <c r="K116" s="122" t="n"/>
      <c r="L116" s="122" t="n"/>
      <c r="M116" s="122" t="n"/>
      <c r="N116" s="122" t="n"/>
      <c r="O116" s="122" t="n"/>
      <c r="P116" s="122" t="n"/>
      <c r="Q116" s="122" t="n"/>
      <c r="R116" s="122" t="n"/>
      <c r="S116" s="122" t="n"/>
      <c r="T116" s="3" t="n"/>
      <c r="U116" s="3" t="n"/>
      <c r="V116" s="3" t="n"/>
    </row>
    <row r="117" ht="30" customHeight="1">
      <c r="A117" s="3" t="inlineStr">
        <is>
          <t>assumptions/2026/timeseries/new_vehicl… [N366]</t>
        </is>
      </c>
      <c r="B117" s="3" t="inlineStr">
        <is>
          <t>SHA256</t>
        </is>
      </c>
      <c r="C117" s="3" t="inlineStr">
        <is>
          <t>Frozen file</t>
        </is>
      </c>
      <c r="D117" s="144" t="n"/>
      <c r="E117" s="121" t="inlineStr">
        <is>
          <t>18c3f96d82da8c7340e6a5833bd0c5f8c7f3aa8e4d89d9eb45b388bb2aec2b58</t>
        </is>
      </c>
      <c r="F117" s="122" t="n"/>
      <c r="G117" s="122" t="n"/>
      <c r="H117" s="122" t="n"/>
      <c r="I117" s="122" t="n"/>
      <c r="J117" s="122" t="n"/>
      <c r="K117" s="122" t="n"/>
      <c r="L117" s="122" t="n"/>
      <c r="M117" s="122" t="n"/>
      <c r="N117" s="122" t="n"/>
      <c r="O117" s="122" t="n"/>
      <c r="P117" s="122" t="n"/>
      <c r="Q117" s="122" t="n"/>
      <c r="R117" s="122" t="n"/>
      <c r="S117" s="122" t="n"/>
      <c r="T117" s="3" t="n"/>
      <c r="U117" s="3" t="n"/>
      <c r="V117" s="3" t="n"/>
    </row>
    <row r="118" ht="30" customHeight="1">
      <c r="A118" s="3" t="inlineStr">
        <is>
          <t>assumptions/2026/timeseries/ocgt_gener… [N367]</t>
        </is>
      </c>
      <c r="B118" s="3" t="inlineStr">
        <is>
          <t>SHA256</t>
        </is>
      </c>
      <c r="C118" s="3" t="inlineStr">
        <is>
          <t>Frozen file</t>
        </is>
      </c>
      <c r="D118" s="144" t="n"/>
      <c r="E118" s="121" t="inlineStr">
        <is>
          <t>24084b32a3e8ca70c033728722db40c9088649991bba1d2972848e4f22884add</t>
        </is>
      </c>
      <c r="F118" s="122" t="n"/>
      <c r="G118" s="122" t="n"/>
      <c r="H118" s="122" t="n"/>
      <c r="I118" s="122" t="n"/>
      <c r="J118" s="122" t="n"/>
      <c r="K118" s="122" t="n"/>
      <c r="L118" s="122" t="n"/>
      <c r="M118" s="122" t="n"/>
      <c r="N118" s="122" t="n"/>
      <c r="O118" s="122" t="n"/>
      <c r="P118" s="122" t="n"/>
      <c r="Q118" s="122" t="n"/>
      <c r="R118" s="122" t="n"/>
      <c r="S118" s="122" t="n"/>
      <c r="T118" s="3" t="n"/>
      <c r="U118" s="3" t="n"/>
      <c r="V118" s="3" t="n"/>
    </row>
    <row r="119" ht="30" customHeight="1">
      <c r="A119" s="3" t="inlineStr">
        <is>
          <t>assumptions/2026/timeseries/ocgt_gener… [N368]</t>
        </is>
      </c>
      <c r="B119" s="3" t="inlineStr">
        <is>
          <t>SHA256</t>
        </is>
      </c>
      <c r="C119" s="3" t="inlineStr">
        <is>
          <t>Frozen file</t>
        </is>
      </c>
      <c r="D119" s="144" t="n"/>
      <c r="E119" s="121" t="inlineStr">
        <is>
          <t>25d54771dab6fcff609054926ae9eccac811e27ae4ab7b3f38a088fe0e91921e</t>
        </is>
      </c>
      <c r="F119" s="122" t="n"/>
      <c r="G119" s="122" t="n"/>
      <c r="H119" s="122" t="n"/>
      <c r="I119" s="122" t="n"/>
      <c r="J119" s="122" t="n"/>
      <c r="K119" s="122" t="n"/>
      <c r="L119" s="122" t="n"/>
      <c r="M119" s="122" t="n"/>
      <c r="N119" s="122" t="n"/>
      <c r="O119" s="122" t="n"/>
      <c r="P119" s="122" t="n"/>
      <c r="Q119" s="122" t="n"/>
      <c r="R119" s="122" t="n"/>
      <c r="S119" s="122" t="n"/>
      <c r="T119" s="3" t="n"/>
      <c r="U119" s="3" t="n"/>
      <c r="V119" s="3" t="n"/>
    </row>
    <row r="120" ht="30" customHeight="1">
      <c r="A120" s="3" t="inlineStr">
        <is>
          <t>assumptions/2026/timeseries/ocgt_load_factor.csv</t>
        </is>
      </c>
      <c r="B120" s="3" t="inlineStr">
        <is>
          <t>SHA256</t>
        </is>
      </c>
      <c r="C120" s="3" t="inlineStr">
        <is>
          <t>Frozen file</t>
        </is>
      </c>
      <c r="D120" s="144" t="n"/>
      <c r="E120" s="121" t="inlineStr">
        <is>
          <t>4ee8d166218567440aa1601d18357eb6f7b5c1bd83fa9393099515480d128b0c</t>
        </is>
      </c>
      <c r="F120" s="122" t="n"/>
      <c r="G120" s="122" t="n"/>
      <c r="H120" s="122" t="n"/>
      <c r="I120" s="122" t="n"/>
      <c r="J120" s="122" t="n"/>
      <c r="K120" s="122" t="n"/>
      <c r="L120" s="122" t="n"/>
      <c r="M120" s="122" t="n"/>
      <c r="N120" s="122" t="n"/>
      <c r="O120" s="122" t="n"/>
      <c r="P120" s="122" t="n"/>
      <c r="Q120" s="122" t="n"/>
      <c r="R120" s="122" t="n"/>
      <c r="S120" s="122" t="n"/>
      <c r="T120" s="3" t="n"/>
      <c r="U120" s="3" t="n"/>
      <c r="V120" s="3" t="n"/>
    </row>
    <row r="121" ht="30" customHeight="1">
      <c r="A121" s="3" t="inlineStr">
        <is>
          <t>assumptions/2026/timeseries/ocgt_load_shedding.csv</t>
        </is>
      </c>
      <c r="B121" s="3" t="inlineStr">
        <is>
          <t>SHA256</t>
        </is>
      </c>
      <c r="C121" s="3" t="inlineStr">
        <is>
          <t>Frozen file</t>
        </is>
      </c>
      <c r="D121" s="144" t="n"/>
      <c r="E121" s="121" t="inlineStr">
        <is>
          <t>a59366005a96f0750629cfa6abf0d46e3eb508cce396b98c1806401d46e854e3</t>
        </is>
      </c>
      <c r="F121" s="122" t="n"/>
      <c r="G121" s="122" t="n"/>
      <c r="H121" s="122" t="n"/>
      <c r="I121" s="122" t="n"/>
      <c r="J121" s="122" t="n"/>
      <c r="K121" s="122" t="n"/>
      <c r="L121" s="122" t="n"/>
      <c r="M121" s="122" t="n"/>
      <c r="N121" s="122" t="n"/>
      <c r="O121" s="122" t="n"/>
      <c r="P121" s="122" t="n"/>
      <c r="Q121" s="122" t="n"/>
      <c r="R121" s="122" t="n"/>
      <c r="S121" s="122" t="n"/>
      <c r="T121" s="3" t="n"/>
      <c r="U121" s="3" t="n"/>
      <c r="V121" s="3" t="n"/>
    </row>
    <row r="122" ht="30" customHeight="1">
      <c r="A122" s="3" t="inlineStr">
        <is>
          <t>assumptions/2026/timeseries/passenger_… [N369]</t>
        </is>
      </c>
      <c r="B122" s="3" t="inlineStr">
        <is>
          <t>SHA256</t>
        </is>
      </c>
      <c r="C122" s="3" t="inlineStr">
        <is>
          <t>Frozen file</t>
        </is>
      </c>
      <c r="D122" s="144" t="n"/>
      <c r="E122" s="121" t="inlineStr">
        <is>
          <t>c4fc42851b8fe56a95926f27e5d3af1dfe17fd0f7438d87efd45cd3750b7d7e7</t>
        </is>
      </c>
      <c r="F122" s="122" t="n"/>
      <c r="G122" s="122" t="n"/>
      <c r="H122" s="122" t="n"/>
      <c r="I122" s="122" t="n"/>
      <c r="J122" s="122" t="n"/>
      <c r="K122" s="122" t="n"/>
      <c r="L122" s="122" t="n"/>
      <c r="M122" s="122" t="n"/>
      <c r="N122" s="122" t="n"/>
      <c r="O122" s="122" t="n"/>
      <c r="P122" s="122" t="n"/>
      <c r="Q122" s="122" t="n"/>
      <c r="R122" s="122" t="n"/>
      <c r="S122" s="122" t="n"/>
      <c r="T122" s="3" t="n"/>
      <c r="U122" s="3" t="n"/>
      <c r="V122" s="3" t="n"/>
    </row>
    <row r="123" ht="30" customHeight="1">
      <c r="A123" s="3" t="inlineStr">
        <is>
          <t>assumptions/2026/timeseries/population.csv</t>
        </is>
      </c>
      <c r="B123" s="3" t="inlineStr">
        <is>
          <t>SHA256</t>
        </is>
      </c>
      <c r="C123" s="3" t="inlineStr">
        <is>
          <t>Frozen file</t>
        </is>
      </c>
      <c r="D123" s="144" t="n"/>
      <c r="E123" s="121" t="inlineStr">
        <is>
          <t>84ad50a18791de0cf8a3e90ec5ab76f29b07dc89307e05fb58ce67157b8a4962</t>
        </is>
      </c>
      <c r="F123" s="122" t="n"/>
      <c r="G123" s="122" t="n"/>
      <c r="H123" s="122" t="n"/>
      <c r="I123" s="122" t="n"/>
      <c r="J123" s="122" t="n"/>
      <c r="K123" s="122" t="n"/>
      <c r="L123" s="122" t="n"/>
      <c r="M123" s="122" t="n"/>
      <c r="N123" s="122" t="n"/>
      <c r="O123" s="122" t="n"/>
      <c r="P123" s="122" t="n"/>
      <c r="Q123" s="122" t="n"/>
      <c r="R123" s="122" t="n"/>
      <c r="S123" s="122" t="n"/>
      <c r="T123" s="3" t="n"/>
      <c r="U123" s="3" t="n"/>
      <c r="V123" s="3" t="n"/>
    </row>
    <row r="124" ht="30" customHeight="1">
      <c r="A124" s="3" t="inlineStr">
        <is>
          <t>assumptions/2026/timeseries/refinery_c… [N370]</t>
        </is>
      </c>
      <c r="B124" s="3" t="inlineStr">
        <is>
          <t>SHA256</t>
        </is>
      </c>
      <c r="C124" s="3" t="inlineStr">
        <is>
          <t>Frozen file</t>
        </is>
      </c>
      <c r="D124" s="144" t="n"/>
      <c r="E124" s="121" t="inlineStr">
        <is>
          <t>07df1233838f20c2ba38a8d46ae575261905ff4c064d1a27cd78aee280fc00d2</t>
        </is>
      </c>
      <c r="F124" s="122" t="n"/>
      <c r="G124" s="122" t="n"/>
      <c r="H124" s="122" t="n"/>
      <c r="I124" s="122" t="n"/>
      <c r="J124" s="122" t="n"/>
      <c r="K124" s="122" t="n"/>
      <c r="L124" s="122" t="n"/>
      <c r="M124" s="122" t="n"/>
      <c r="N124" s="122" t="n"/>
      <c r="O124" s="122" t="n"/>
      <c r="P124" s="122" t="n"/>
      <c r="Q124" s="122" t="n"/>
      <c r="R124" s="122" t="n"/>
      <c r="S124" s="122" t="n"/>
      <c r="T124" s="3" t="n"/>
      <c r="U124" s="3" t="n"/>
      <c r="V124" s="3" t="n"/>
    </row>
    <row r="125" ht="30" customHeight="1">
      <c r="A125" s="3" t="inlineStr">
        <is>
          <t>assumptions/2026/timeseries/refinery_p… [N371]</t>
        </is>
      </c>
      <c r="B125" s="3" t="inlineStr">
        <is>
          <t>SHA256</t>
        </is>
      </c>
      <c r="C125" s="3" t="inlineStr">
        <is>
          <t>Frozen file</t>
        </is>
      </c>
      <c r="D125" s="144" t="n"/>
      <c r="E125" s="121" t="inlineStr">
        <is>
          <t>d2d7241a40c7dbd819e1017106bac96b22e2cc1424cf488012d9f9c20ef11a04</t>
        </is>
      </c>
      <c r="F125" s="122" t="n"/>
      <c r="G125" s="122" t="n"/>
      <c r="H125" s="122" t="n"/>
      <c r="I125" s="122" t="n"/>
      <c r="J125" s="122" t="n"/>
      <c r="K125" s="122" t="n"/>
      <c r="L125" s="122" t="n"/>
      <c r="M125" s="122" t="n"/>
      <c r="N125" s="122" t="n"/>
      <c r="O125" s="122" t="n"/>
      <c r="P125" s="122" t="n"/>
      <c r="Q125" s="122" t="n"/>
      <c r="R125" s="122" t="n"/>
      <c r="S125" s="122" t="n"/>
      <c r="T125" s="3" t="n"/>
      <c r="U125" s="3" t="n"/>
      <c r="V125" s="3" t="n"/>
    </row>
    <row r="126" ht="30" customHeight="1">
      <c r="A126" s="3" t="inlineStr">
        <is>
          <t>assumptions/2026/timeseries/vehicle_po… [N372]</t>
        </is>
      </c>
      <c r="B126" s="3" t="inlineStr">
        <is>
          <t>SHA256</t>
        </is>
      </c>
      <c r="C126" s="3" t="inlineStr">
        <is>
          <t>Frozen file</t>
        </is>
      </c>
      <c r="D126" s="144" t="n"/>
      <c r="E126" s="121" t="inlineStr">
        <is>
          <t>fb103c7f4e1ccf92402b167f16c38c54462bc51b8951fc7c204b8484ad7254c4</t>
        </is>
      </c>
      <c r="F126" s="122" t="n"/>
      <c r="G126" s="122" t="n"/>
      <c r="H126" s="122" t="n"/>
      <c r="I126" s="122" t="n"/>
      <c r="J126" s="122" t="n"/>
      <c r="K126" s="122" t="n"/>
      <c r="L126" s="122" t="n"/>
      <c r="M126" s="122" t="n"/>
      <c r="N126" s="122" t="n"/>
      <c r="O126" s="122" t="n"/>
      <c r="P126" s="122" t="n"/>
      <c r="Q126" s="122" t="n"/>
      <c r="R126" s="122" t="n"/>
      <c r="S126" s="122" t="n"/>
      <c r="T126" s="3" t="n"/>
      <c r="U126" s="3" t="n"/>
      <c r="V126" s="3" t="n"/>
    </row>
    <row r="127" ht="30" customHeight="1">
      <c r="A127" s="3" t="inlineStr">
        <is>
          <t>assumptions/2026/vehicles.yaml</t>
        </is>
      </c>
      <c r="B127" s="3" t="inlineStr">
        <is>
          <t>SHA256</t>
        </is>
      </c>
      <c r="C127" s="3" t="inlineStr">
        <is>
          <t>Frozen file</t>
        </is>
      </c>
      <c r="D127" s="144" t="n"/>
      <c r="E127" s="121" t="inlineStr">
        <is>
          <t>e77eb3eceb54949da864a8d522d71db9950d738a69b97af6a58692e6666a028a</t>
        </is>
      </c>
      <c r="F127" s="122" t="n"/>
      <c r="G127" s="122" t="n"/>
      <c r="H127" s="122" t="n"/>
      <c r="I127" s="122" t="n"/>
      <c r="J127" s="122" t="n"/>
      <c r="K127" s="122" t="n"/>
      <c r="L127" s="122" t="n"/>
      <c r="M127" s="122" t="n"/>
      <c r="N127" s="122" t="n"/>
      <c r="O127" s="122" t="n"/>
      <c r="P127" s="122" t="n"/>
      <c r="Q127" s="122" t="n"/>
      <c r="R127" s="122" t="n"/>
      <c r="S127" s="122" t="n"/>
      <c r="T127" s="3" t="n"/>
      <c r="U127" s="3" t="n"/>
      <c r="V127" s="3" t="n"/>
    </row>
    <row r="128" ht="8" customHeight="1">
      <c r="A128" s="3" t="n"/>
      <c r="B128" s="3" t="n"/>
      <c r="C128" s="3" t="n"/>
      <c r="D128" s="144" t="n"/>
      <c r="E128" s="121" t="n"/>
      <c r="F128" s="122" t="n"/>
      <c r="G128" s="122" t="n"/>
      <c r="H128" s="122" t="n"/>
      <c r="I128" s="122" t="n"/>
      <c r="J128" s="122" t="n"/>
      <c r="K128" s="122" t="n"/>
      <c r="L128" s="122" t="n"/>
      <c r="M128" s="122" t="n"/>
      <c r="N128" s="122" t="n"/>
      <c r="O128" s="122" t="n"/>
      <c r="P128" s="122" t="n"/>
      <c r="Q128" s="122" t="n"/>
      <c r="R128" s="122" t="n"/>
      <c r="S128" s="122" t="n"/>
      <c r="T128" s="3" t="n"/>
      <c r="U128" s="3" t="n"/>
      <c r="V128" s="3" t="n"/>
    </row>
    <row r="129" ht="8" customHeight="1">
      <c r="A129" s="3" t="n"/>
      <c r="B129" s="3" t="n"/>
      <c r="C129" s="3" t="n"/>
      <c r="D129" s="144" t="n"/>
      <c r="E129" s="121" t="n"/>
      <c r="F129" s="122" t="n"/>
      <c r="G129" s="122" t="n"/>
      <c r="H129" s="122" t="n"/>
      <c r="I129" s="122" t="n"/>
      <c r="J129" s="122" t="n"/>
      <c r="K129" s="122" t="n"/>
      <c r="L129" s="122" t="n"/>
      <c r="M129" s="122" t="n"/>
      <c r="N129" s="122" t="n"/>
      <c r="O129" s="122" t="n"/>
      <c r="P129" s="122" t="n"/>
      <c r="Q129" s="122" t="n"/>
      <c r="R129" s="122" t="n"/>
      <c r="S129" s="122" t="n"/>
      <c r="T129" s="3" t="n"/>
      <c r="U129" s="3" t="n"/>
      <c r="V129" s="3" t="n"/>
    </row>
    <row r="130" ht="8" customHeight="1">
      <c r="A130" s="3" t="n"/>
      <c r="B130" s="3" t="n"/>
      <c r="C130" s="3" t="n"/>
      <c r="D130" s="144" t="n"/>
      <c r="E130" s="121" t="n"/>
      <c r="F130" s="122" t="n"/>
      <c r="G130" s="122" t="n"/>
      <c r="H130" s="122" t="n"/>
      <c r="I130" s="122" t="n"/>
      <c r="J130" s="122" t="n"/>
      <c r="K130" s="122" t="n"/>
      <c r="L130" s="122" t="n"/>
      <c r="M130" s="122" t="n"/>
      <c r="N130" s="122" t="n"/>
      <c r="O130" s="122" t="n"/>
      <c r="P130" s="122" t="n"/>
      <c r="Q130" s="122" t="n"/>
      <c r="R130" s="122" t="n"/>
      <c r="S130" s="122" t="n"/>
      <c r="T130" s="3" t="n"/>
      <c r="U130" s="3" t="n"/>
      <c r="V130" s="3" t="n"/>
    </row>
    <row r="131" ht="8" customHeight="1">
      <c r="A131" s="3" t="n"/>
      <c r="B131" s="3" t="n"/>
      <c r="C131" s="3" t="n"/>
      <c r="D131" s="144" t="n"/>
      <c r="E131" s="121" t="n"/>
      <c r="F131" s="122" t="n"/>
      <c r="G131" s="122" t="n"/>
      <c r="H131" s="122" t="n"/>
      <c r="I131" s="122" t="n"/>
      <c r="J131" s="122" t="n"/>
      <c r="K131" s="122" t="n"/>
      <c r="L131" s="122" t="n"/>
      <c r="M131" s="122" t="n"/>
      <c r="N131" s="122" t="n"/>
      <c r="O131" s="122" t="n"/>
      <c r="P131" s="122" t="n"/>
      <c r="Q131" s="122" t="n"/>
      <c r="R131" s="122" t="n"/>
      <c r="S131" s="122" t="n"/>
      <c r="T131" s="3" t="n"/>
      <c r="U131" s="3" t="n"/>
      <c r="V131" s="3" t="n"/>
    </row>
    <row r="132" ht="8" customHeight="1">
      <c r="A132" s="3" t="n"/>
      <c r="B132" s="3" t="n"/>
      <c r="C132" s="3" t="n"/>
      <c r="D132" s="144" t="n"/>
      <c r="E132" s="121" t="n"/>
      <c r="F132" s="122" t="n"/>
      <c r="G132" s="122" t="n"/>
      <c r="H132" s="122" t="n"/>
      <c r="I132" s="122" t="n"/>
      <c r="J132" s="122" t="n"/>
      <c r="K132" s="122" t="n"/>
      <c r="L132" s="122" t="n"/>
      <c r="M132" s="122" t="n"/>
      <c r="N132" s="122" t="n"/>
      <c r="O132" s="122" t="n"/>
      <c r="P132" s="122" t="n"/>
      <c r="Q132" s="122" t="n"/>
      <c r="R132" s="122" t="n"/>
      <c r="S132" s="122" t="n"/>
      <c r="T132" s="3" t="n"/>
      <c r="U132" s="3" t="n"/>
      <c r="V132" s="3" t="n"/>
    </row>
    <row r="133" ht="8" customHeight="1">
      <c r="A133" s="3" t="n"/>
      <c r="B133" s="3" t="n"/>
      <c r="C133" s="3" t="n"/>
      <c r="D133" s="144" t="n"/>
      <c r="E133" s="121" t="n"/>
      <c r="F133" s="122" t="n"/>
      <c r="G133" s="122" t="n"/>
      <c r="H133" s="122" t="n"/>
      <c r="I133" s="122" t="n"/>
      <c r="J133" s="122" t="n"/>
      <c r="K133" s="122" t="n"/>
      <c r="L133" s="122" t="n"/>
      <c r="M133" s="122" t="n"/>
      <c r="N133" s="122" t="n"/>
      <c r="O133" s="122" t="n"/>
      <c r="P133" s="122" t="n"/>
      <c r="Q133" s="122" t="n"/>
      <c r="R133" s="122" t="n"/>
      <c r="S133" s="122" t="n"/>
      <c r="T133" s="3" t="n"/>
      <c r="U133" s="3" t="n"/>
      <c r="V133" s="3" t="n"/>
    </row>
    <row r="134" ht="8" customHeight="1">
      <c r="A134" s="3" t="n"/>
      <c r="B134" s="3" t="n"/>
      <c r="C134" s="3" t="n"/>
      <c r="D134" s="144" t="n"/>
      <c r="E134" s="121" t="n"/>
      <c r="F134" s="122" t="n"/>
      <c r="G134" s="122" t="n"/>
      <c r="H134" s="122" t="n"/>
      <c r="I134" s="122" t="n"/>
      <c r="J134" s="122" t="n"/>
      <c r="K134" s="122" t="n"/>
      <c r="L134" s="122" t="n"/>
      <c r="M134" s="122" t="n"/>
      <c r="N134" s="122" t="n"/>
      <c r="O134" s="122" t="n"/>
      <c r="P134" s="122" t="n"/>
      <c r="Q134" s="122" t="n"/>
      <c r="R134" s="122" t="n"/>
      <c r="S134" s="122" t="n"/>
      <c r="T134" s="3" t="n"/>
      <c r="U134" s="3" t="n"/>
      <c r="V134" s="3" t="n"/>
    </row>
    <row r="135" ht="8" customHeight="1">
      <c r="A135" s="3" t="n"/>
      <c r="B135" s="3" t="n"/>
      <c r="C135" s="3" t="n"/>
      <c r="D135" s="144" t="n"/>
      <c r="E135" s="121" t="n"/>
      <c r="F135" s="122" t="n"/>
      <c r="G135" s="122" t="n"/>
      <c r="H135" s="122" t="n"/>
      <c r="I135" s="122" t="n"/>
      <c r="J135" s="122" t="n"/>
      <c r="K135" s="122" t="n"/>
      <c r="L135" s="122" t="n"/>
      <c r="M135" s="122" t="n"/>
      <c r="N135" s="122" t="n"/>
      <c r="O135" s="122" t="n"/>
      <c r="P135" s="122" t="n"/>
      <c r="Q135" s="122" t="n"/>
      <c r="R135" s="122" t="n"/>
      <c r="S135" s="122" t="n"/>
      <c r="T135" s="3" t="n"/>
      <c r="U135" s="3" t="n"/>
      <c r="V135" s="3" t="n"/>
    </row>
    <row r="136" ht="8" customHeight="1">
      <c r="A136" s="3" t="n"/>
      <c r="B136" s="3" t="n"/>
      <c r="C136" s="3" t="n"/>
      <c r="D136" s="144" t="n"/>
      <c r="E136" s="121" t="n"/>
      <c r="F136" s="122" t="n"/>
      <c r="G136" s="122" t="n"/>
      <c r="H136" s="122" t="n"/>
      <c r="I136" s="122" t="n"/>
      <c r="J136" s="122" t="n"/>
      <c r="K136" s="122" t="n"/>
      <c r="L136" s="122" t="n"/>
      <c r="M136" s="122" t="n"/>
      <c r="N136" s="122" t="n"/>
      <c r="O136" s="122" t="n"/>
      <c r="P136" s="122" t="n"/>
      <c r="Q136" s="122" t="n"/>
      <c r="R136" s="122" t="n"/>
      <c r="S136" s="122" t="n"/>
      <c r="T136" s="3" t="n"/>
      <c r="U136" s="3" t="n"/>
      <c r="V136" s="3" t="n"/>
    </row>
    <row r="137" ht="8" customHeight="1">
      <c r="A137" s="3" t="n"/>
      <c r="B137" s="3" t="n"/>
      <c r="C137" s="3" t="n"/>
      <c r="D137" s="144" t="n"/>
      <c r="E137" s="121" t="n"/>
      <c r="F137" s="122" t="n"/>
      <c r="G137" s="122" t="n"/>
      <c r="H137" s="122" t="n"/>
      <c r="I137" s="122" t="n"/>
      <c r="J137" s="122" t="n"/>
      <c r="K137" s="122" t="n"/>
      <c r="L137" s="122" t="n"/>
      <c r="M137" s="122" t="n"/>
      <c r="N137" s="122" t="n"/>
      <c r="O137" s="122" t="n"/>
      <c r="P137" s="122" t="n"/>
      <c r="Q137" s="122" t="n"/>
      <c r="R137" s="122" t="n"/>
      <c r="S137" s="122" t="n"/>
      <c r="T137" s="3" t="n"/>
      <c r="U137" s="3" t="n"/>
      <c r="V137" s="3" t="n"/>
    </row>
    <row r="138" ht="8" customHeight="1">
      <c r="A138" s="3" t="n"/>
      <c r="B138" s="3" t="n"/>
      <c r="C138" s="3" t="n"/>
      <c r="D138" s="144" t="n"/>
      <c r="E138" s="121" t="n"/>
      <c r="F138" s="122" t="n"/>
      <c r="G138" s="122" t="n"/>
      <c r="H138" s="122" t="n"/>
      <c r="I138" s="122" t="n"/>
      <c r="J138" s="122" t="n"/>
      <c r="K138" s="122" t="n"/>
      <c r="L138" s="122" t="n"/>
      <c r="M138" s="122" t="n"/>
      <c r="N138" s="122" t="n"/>
      <c r="O138" s="122" t="n"/>
      <c r="P138" s="122" t="n"/>
      <c r="Q138" s="122" t="n"/>
      <c r="R138" s="122" t="n"/>
      <c r="S138" s="122" t="n"/>
      <c r="T138" s="3" t="n"/>
      <c r="U138" s="3" t="n"/>
      <c r="V138" s="3" t="n"/>
    </row>
    <row r="139" ht="8" customHeight="1">
      <c r="A139" s="3" t="n"/>
      <c r="B139" s="3" t="n"/>
      <c r="C139" s="3" t="n"/>
      <c r="D139" s="144" t="n"/>
      <c r="E139" s="121" t="n"/>
      <c r="F139" s="122" t="n"/>
      <c r="G139" s="122" t="n"/>
      <c r="H139" s="122" t="n"/>
      <c r="I139" s="122" t="n"/>
      <c r="J139" s="122" t="n"/>
      <c r="K139" s="122" t="n"/>
      <c r="L139" s="122" t="n"/>
      <c r="M139" s="122" t="n"/>
      <c r="N139" s="122" t="n"/>
      <c r="O139" s="122" t="n"/>
      <c r="P139" s="122" t="n"/>
      <c r="Q139" s="122" t="n"/>
      <c r="R139" s="122" t="n"/>
      <c r="S139" s="122" t="n"/>
      <c r="T139" s="3" t="n"/>
      <c r="U139" s="3" t="n"/>
      <c r="V139" s="3" t="n"/>
    </row>
    <row r="140" ht="8" customHeight="1">
      <c r="A140" s="3" t="n"/>
      <c r="B140" s="3" t="n"/>
      <c r="C140" s="3" t="n"/>
      <c r="D140" s="144" t="n"/>
      <c r="E140" s="121" t="n"/>
      <c r="F140" s="122" t="n"/>
      <c r="G140" s="122" t="n"/>
      <c r="H140" s="122" t="n"/>
      <c r="I140" s="122" t="n"/>
      <c r="J140" s="122" t="n"/>
      <c r="K140" s="122" t="n"/>
      <c r="L140" s="122" t="n"/>
      <c r="M140" s="122" t="n"/>
      <c r="N140" s="122" t="n"/>
      <c r="O140" s="122" t="n"/>
      <c r="P140" s="122" t="n"/>
      <c r="Q140" s="122" t="n"/>
      <c r="R140" s="122" t="n"/>
      <c r="S140" s="122" t="n"/>
      <c r="T140" s="3" t="n"/>
      <c r="U140" s="3" t="n"/>
      <c r="V140" s="3" t="n"/>
    </row>
    <row r="141" ht="8" customHeight="1">
      <c r="A141" s="3" t="n"/>
      <c r="B141" s="3" t="n"/>
      <c r="C141" s="3" t="n"/>
      <c r="D141" s="144" t="n"/>
      <c r="E141" s="121" t="n"/>
      <c r="F141" s="122" t="n"/>
      <c r="G141" s="122" t="n"/>
      <c r="H141" s="122" t="n"/>
      <c r="I141" s="122" t="n"/>
      <c r="J141" s="122" t="n"/>
      <c r="K141" s="122" t="n"/>
      <c r="L141" s="122" t="n"/>
      <c r="M141" s="122" t="n"/>
      <c r="N141" s="122" t="n"/>
      <c r="O141" s="122" t="n"/>
      <c r="P141" s="122" t="n"/>
      <c r="Q141" s="122" t="n"/>
      <c r="R141" s="122" t="n"/>
      <c r="S141" s="122" t="n"/>
      <c r="T141" s="3" t="n"/>
      <c r="U141" s="3" t="n"/>
      <c r="V141" s="3" t="n"/>
    </row>
    <row r="142" ht="8" customHeight="1">
      <c r="A142" s="3" t="n"/>
      <c r="B142" s="3" t="n"/>
      <c r="C142" s="3" t="n"/>
      <c r="D142" s="144" t="n"/>
      <c r="E142" s="121" t="n"/>
      <c r="F142" s="122" t="n"/>
      <c r="G142" s="122" t="n"/>
      <c r="H142" s="122" t="n"/>
      <c r="I142" s="122" t="n"/>
      <c r="J142" s="122" t="n"/>
      <c r="K142" s="122" t="n"/>
      <c r="L142" s="122" t="n"/>
      <c r="M142" s="122" t="n"/>
      <c r="N142" s="122" t="n"/>
      <c r="O142" s="122" t="n"/>
      <c r="P142" s="122" t="n"/>
      <c r="Q142" s="122" t="n"/>
      <c r="R142" s="122" t="n"/>
      <c r="S142" s="122" t="n"/>
      <c r="T142" s="3" t="n"/>
      <c r="U142" s="3" t="n"/>
      <c r="V142" s="3" t="n"/>
    </row>
    <row r="143" ht="8" customHeight="1">
      <c r="A143" s="3" t="n"/>
      <c r="B143" s="3" t="n"/>
      <c r="C143" s="3" t="n"/>
      <c r="D143" s="144" t="n"/>
      <c r="E143" s="121" t="n"/>
      <c r="F143" s="122" t="n"/>
      <c r="G143" s="122" t="n"/>
      <c r="H143" s="122" t="n"/>
      <c r="I143" s="122" t="n"/>
      <c r="J143" s="122" t="n"/>
      <c r="K143" s="122" t="n"/>
      <c r="L143" s="122" t="n"/>
      <c r="M143" s="122" t="n"/>
      <c r="N143" s="122" t="n"/>
      <c r="O143" s="122" t="n"/>
      <c r="P143" s="122" t="n"/>
      <c r="Q143" s="122" t="n"/>
      <c r="R143" s="122" t="n"/>
      <c r="S143" s="122" t="n"/>
      <c r="T143" s="3" t="n"/>
      <c r="U143" s="3" t="n"/>
      <c r="V143" s="3" t="n"/>
    </row>
    <row r="144" ht="8" customHeight="1">
      <c r="A144" s="3" t="n"/>
      <c r="B144" s="3" t="n"/>
      <c r="C144" s="3" t="n"/>
      <c r="D144" s="144" t="n"/>
      <c r="E144" s="121" t="n"/>
      <c r="F144" s="122" t="n"/>
      <c r="G144" s="122" t="n"/>
      <c r="H144" s="122" t="n"/>
      <c r="I144" s="122" t="n"/>
      <c r="J144" s="122" t="n"/>
      <c r="K144" s="122" t="n"/>
      <c r="L144" s="122" t="n"/>
      <c r="M144" s="122" t="n"/>
      <c r="N144" s="122" t="n"/>
      <c r="O144" s="122" t="n"/>
      <c r="P144" s="122" t="n"/>
      <c r="Q144" s="122" t="n"/>
      <c r="R144" s="122" t="n"/>
      <c r="S144" s="122" t="n"/>
      <c r="T144" s="3" t="n"/>
      <c r="U144" s="3" t="n"/>
      <c r="V144" s="3" t="n"/>
    </row>
    <row r="145" ht="8" customHeight="1">
      <c r="A145" s="3" t="n"/>
      <c r="B145" s="3" t="n"/>
      <c r="C145" s="3" t="n"/>
      <c r="D145" s="144" t="n"/>
      <c r="E145" s="121" t="n"/>
      <c r="F145" s="122" t="n"/>
      <c r="G145" s="122" t="n"/>
      <c r="H145" s="122" t="n"/>
      <c r="I145" s="122" t="n"/>
      <c r="J145" s="122" t="n"/>
      <c r="K145" s="122" t="n"/>
      <c r="L145" s="122" t="n"/>
      <c r="M145" s="122" t="n"/>
      <c r="N145" s="122" t="n"/>
      <c r="O145" s="122" t="n"/>
      <c r="P145" s="122" t="n"/>
      <c r="Q145" s="122" t="n"/>
      <c r="R145" s="122" t="n"/>
      <c r="S145" s="122" t="n"/>
      <c r="T145" s="3" t="n"/>
      <c r="U145" s="3" t="n"/>
      <c r="V145" s="3" t="n"/>
    </row>
    <row r="146" ht="8" customHeight="1">
      <c r="A146" s="3" t="n"/>
      <c r="B146" s="3" t="n"/>
      <c r="C146" s="3" t="n"/>
      <c r="D146" s="144" t="n"/>
      <c r="E146" s="121" t="n"/>
      <c r="F146" s="122" t="n"/>
      <c r="G146" s="122" t="n"/>
      <c r="H146" s="122" t="n"/>
      <c r="I146" s="122" t="n"/>
      <c r="J146" s="122" t="n"/>
      <c r="K146" s="122" t="n"/>
      <c r="L146" s="122" t="n"/>
      <c r="M146" s="122" t="n"/>
      <c r="N146" s="122" t="n"/>
      <c r="O146" s="122" t="n"/>
      <c r="P146" s="122" t="n"/>
      <c r="Q146" s="122" t="n"/>
      <c r="R146" s="122" t="n"/>
      <c r="S146" s="122" t="n"/>
      <c r="T146" s="3" t="n"/>
      <c r="U146" s="3" t="n"/>
      <c r="V146" s="3" t="n"/>
    </row>
    <row r="147" ht="8" customHeight="1">
      <c r="A147" s="3" t="n"/>
      <c r="B147" s="3" t="n"/>
      <c r="C147" s="3" t="n"/>
      <c r="D147" s="144" t="n"/>
      <c r="E147" s="121" t="n"/>
      <c r="F147" s="122" t="n"/>
      <c r="G147" s="122" t="n"/>
      <c r="H147" s="122" t="n"/>
      <c r="I147" s="122" t="n"/>
      <c r="J147" s="122" t="n"/>
      <c r="K147" s="122" t="n"/>
      <c r="L147" s="122" t="n"/>
      <c r="M147" s="122" t="n"/>
      <c r="N147" s="122" t="n"/>
      <c r="O147" s="122" t="n"/>
      <c r="P147" s="122" t="n"/>
      <c r="Q147" s="122" t="n"/>
      <c r="R147" s="122" t="n"/>
      <c r="S147" s="122" t="n"/>
      <c r="T147" s="3" t="n"/>
      <c r="U147" s="3" t="n"/>
      <c r="V147" s="3" t="n"/>
    </row>
    <row r="148" ht="8" customHeight="1">
      <c r="A148" s="3" t="n"/>
      <c r="B148" s="3" t="n"/>
      <c r="C148" s="3" t="n"/>
      <c r="D148" s="144" t="n"/>
      <c r="E148" s="121" t="n"/>
      <c r="F148" s="122" t="n"/>
      <c r="G148" s="122" t="n"/>
      <c r="H148" s="122" t="n"/>
      <c r="I148" s="122" t="n"/>
      <c r="J148" s="122" t="n"/>
      <c r="K148" s="122" t="n"/>
      <c r="L148" s="122" t="n"/>
      <c r="M148" s="122" t="n"/>
      <c r="N148" s="122" t="n"/>
      <c r="O148" s="122" t="n"/>
      <c r="P148" s="122" t="n"/>
      <c r="Q148" s="122" t="n"/>
      <c r="R148" s="122" t="n"/>
      <c r="S148" s="122" t="n"/>
      <c r="T148" s="3" t="n"/>
      <c r="U148" s="3" t="n"/>
      <c r="V148" s="3" t="n"/>
    </row>
    <row r="149" ht="8" customHeight="1">
      <c r="A149" s="3" t="n"/>
      <c r="B149" s="3" t="n"/>
      <c r="C149" s="3" t="n"/>
      <c r="D149" s="144" t="n"/>
      <c r="E149" s="121" t="n"/>
      <c r="F149" s="122" t="n"/>
      <c r="G149" s="122" t="n"/>
      <c r="H149" s="122" t="n"/>
      <c r="I149" s="122" t="n"/>
      <c r="J149" s="122" t="n"/>
      <c r="K149" s="122" t="n"/>
      <c r="L149" s="122" t="n"/>
      <c r="M149" s="122" t="n"/>
      <c r="N149" s="122" t="n"/>
      <c r="O149" s="122" t="n"/>
      <c r="P149" s="122" t="n"/>
      <c r="Q149" s="122" t="n"/>
      <c r="R149" s="122" t="n"/>
      <c r="S149" s="122" t="n"/>
      <c r="T149" s="3" t="n"/>
      <c r="U149" s="3" t="n"/>
      <c r="V149" s="3" t="n"/>
    </row>
    <row r="150" ht="8" customHeight="1">
      <c r="A150" s="3" t="n"/>
      <c r="B150" s="3" t="n"/>
      <c r="C150" s="3" t="n"/>
      <c r="D150" s="144" t="n"/>
      <c r="E150" s="121" t="n"/>
      <c r="F150" s="122" t="n"/>
      <c r="G150" s="122" t="n"/>
      <c r="H150" s="122" t="n"/>
      <c r="I150" s="122" t="n"/>
      <c r="J150" s="122" t="n"/>
      <c r="K150" s="122" t="n"/>
      <c r="L150" s="122" t="n"/>
      <c r="M150" s="122" t="n"/>
      <c r="N150" s="122" t="n"/>
      <c r="O150" s="122" t="n"/>
      <c r="P150" s="122" t="n"/>
      <c r="Q150" s="122" t="n"/>
      <c r="R150" s="122" t="n"/>
      <c r="S150" s="122" t="n"/>
      <c r="T150" s="3" t="n"/>
      <c r="U150" s="3" t="n"/>
      <c r="V150" s="3" t="n"/>
    </row>
    <row r="151" ht="8" customHeight="1">
      <c r="A151" s="3" t="n"/>
      <c r="B151" s="3" t="n"/>
      <c r="C151" s="3" t="n"/>
      <c r="D151" s="144" t="n"/>
      <c r="E151" s="121" t="n"/>
      <c r="F151" s="122" t="n"/>
      <c r="G151" s="122" t="n"/>
      <c r="H151" s="122" t="n"/>
      <c r="I151" s="122" t="n"/>
      <c r="J151" s="122" t="n"/>
      <c r="K151" s="122" t="n"/>
      <c r="L151" s="122" t="n"/>
      <c r="M151" s="122" t="n"/>
      <c r="N151" s="122" t="n"/>
      <c r="O151" s="122" t="n"/>
      <c r="P151" s="122" t="n"/>
      <c r="Q151" s="122" t="n"/>
      <c r="R151" s="122" t="n"/>
      <c r="S151" s="122" t="n"/>
      <c r="T151" s="3" t="n"/>
      <c r="U151" s="3" t="n"/>
      <c r="V151" s="3" t="n"/>
    </row>
    <row r="152" ht="8" customHeight="1">
      <c r="A152" s="3" t="n"/>
      <c r="B152" s="3" t="n"/>
      <c r="C152" s="3" t="n"/>
      <c r="D152" s="144" t="n"/>
      <c r="E152" s="121" t="n"/>
      <c r="F152" s="122" t="n"/>
      <c r="G152" s="122" t="n"/>
      <c r="H152" s="122" t="n"/>
      <c r="I152" s="122" t="n"/>
      <c r="J152" s="122" t="n"/>
      <c r="K152" s="122" t="n"/>
      <c r="L152" s="122" t="n"/>
      <c r="M152" s="122" t="n"/>
      <c r="N152" s="122" t="n"/>
      <c r="O152" s="122" t="n"/>
      <c r="P152" s="122" t="n"/>
      <c r="Q152" s="122" t="n"/>
      <c r="R152" s="122" t="n"/>
      <c r="S152" s="122" t="n"/>
      <c r="T152" s="3" t="n"/>
      <c r="U152" s="3" t="n"/>
      <c r="V152" s="3" t="n"/>
    </row>
    <row r="153" ht="8" customHeight="1">
      <c r="A153" s="3" t="n"/>
      <c r="B153" s="3" t="n"/>
      <c r="C153" s="3" t="n"/>
      <c r="D153" s="144" t="n"/>
      <c r="E153" s="121" t="n"/>
      <c r="F153" s="122" t="n"/>
      <c r="G153" s="122" t="n"/>
      <c r="H153" s="122" t="n"/>
      <c r="I153" s="122" t="n"/>
      <c r="J153" s="122" t="n"/>
      <c r="K153" s="122" t="n"/>
      <c r="L153" s="122" t="n"/>
      <c r="M153" s="122" t="n"/>
      <c r="N153" s="122" t="n"/>
      <c r="O153" s="122" t="n"/>
      <c r="P153" s="122" t="n"/>
      <c r="Q153" s="122" t="n"/>
      <c r="R153" s="122" t="n"/>
      <c r="S153" s="122" t="n"/>
      <c r="T153" s="3" t="n"/>
      <c r="U153" s="3" t="n"/>
      <c r="V153" s="3" t="n"/>
    </row>
    <row r="154" ht="8" customHeight="1">
      <c r="A154" s="3" t="n"/>
      <c r="B154" s="3" t="n"/>
      <c r="C154" s="3" t="n"/>
      <c r="D154" s="144" t="n"/>
      <c r="E154" s="121" t="n"/>
      <c r="F154" s="122" t="n"/>
      <c r="G154" s="122" t="n"/>
      <c r="H154" s="122" t="n"/>
      <c r="I154" s="122" t="n"/>
      <c r="J154" s="122" t="n"/>
      <c r="K154" s="122" t="n"/>
      <c r="L154" s="122" t="n"/>
      <c r="M154" s="122" t="n"/>
      <c r="N154" s="122" t="n"/>
      <c r="O154" s="122" t="n"/>
      <c r="P154" s="122" t="n"/>
      <c r="Q154" s="122" t="n"/>
      <c r="R154" s="122" t="n"/>
      <c r="S154" s="122" t="n"/>
      <c r="T154" s="3" t="n"/>
      <c r="U154" s="3" t="n"/>
      <c r="V154" s="3" t="n"/>
    </row>
    <row r="155" ht="8" customHeight="1">
      <c r="A155" s="3" t="n"/>
      <c r="B155" s="3" t="n"/>
      <c r="C155" s="3" t="n"/>
      <c r="D155" s="144" t="n"/>
      <c r="E155" s="121" t="n"/>
      <c r="F155" s="122" t="n"/>
      <c r="G155" s="122" t="n"/>
      <c r="H155" s="122" t="n"/>
      <c r="I155" s="122" t="n"/>
      <c r="J155" s="122" t="n"/>
      <c r="K155" s="122" t="n"/>
      <c r="L155" s="122" t="n"/>
      <c r="M155" s="122" t="n"/>
      <c r="N155" s="122" t="n"/>
      <c r="O155" s="122" t="n"/>
      <c r="P155" s="122" t="n"/>
      <c r="Q155" s="122" t="n"/>
      <c r="R155" s="122" t="n"/>
      <c r="S155" s="122" t="n"/>
      <c r="T155" s="3" t="n"/>
      <c r="U155" s="3" t="n"/>
      <c r="V155" s="3" t="n"/>
    </row>
    <row r="156" ht="8" customHeight="1">
      <c r="A156" s="3" t="n"/>
      <c r="B156" s="3" t="n"/>
      <c r="C156" s="3" t="n"/>
      <c r="D156" s="144" t="n"/>
      <c r="E156" s="121" t="n"/>
      <c r="F156" s="122" t="n"/>
      <c r="G156" s="122" t="n"/>
      <c r="H156" s="122" t="n"/>
      <c r="I156" s="122" t="n"/>
      <c r="J156" s="122" t="n"/>
      <c r="K156" s="122" t="n"/>
      <c r="L156" s="122" t="n"/>
      <c r="M156" s="122" t="n"/>
      <c r="N156" s="122" t="n"/>
      <c r="O156" s="122" t="n"/>
      <c r="P156" s="122" t="n"/>
      <c r="Q156" s="122" t="n"/>
      <c r="R156" s="122" t="n"/>
      <c r="S156" s="122" t="n"/>
      <c r="T156" s="3" t="n"/>
      <c r="U156" s="3" t="n"/>
      <c r="V156" s="3" t="n"/>
    </row>
    <row r="157" ht="8" customHeight="1">
      <c r="A157" s="3" t="n"/>
      <c r="B157" s="3" t="n"/>
      <c r="C157" s="3" t="n"/>
      <c r="D157" s="144" t="n"/>
      <c r="E157" s="121" t="n"/>
      <c r="F157" s="122" t="n"/>
      <c r="G157" s="122" t="n"/>
      <c r="H157" s="122" t="n"/>
      <c r="I157" s="122" t="n"/>
      <c r="J157" s="122" t="n"/>
      <c r="K157" s="122" t="n"/>
      <c r="L157" s="122" t="n"/>
      <c r="M157" s="122" t="n"/>
      <c r="N157" s="122" t="n"/>
      <c r="O157" s="122" t="n"/>
      <c r="P157" s="122" t="n"/>
      <c r="Q157" s="122" t="n"/>
      <c r="R157" s="122" t="n"/>
      <c r="S157" s="122" t="n"/>
      <c r="T157" s="3" t="n"/>
      <c r="U157" s="3" t="n"/>
      <c r="V157" s="3" t="n"/>
    </row>
    <row r="158" ht="8" customHeight="1">
      <c r="A158" s="3" t="n"/>
      <c r="B158" s="3" t="n"/>
      <c r="C158" s="3" t="n"/>
      <c r="D158" s="144" t="n"/>
      <c r="E158" s="121" t="n"/>
      <c r="F158" s="122" t="n"/>
      <c r="G158" s="122" t="n"/>
      <c r="H158" s="122" t="n"/>
      <c r="I158" s="122" t="n"/>
      <c r="J158" s="122" t="n"/>
      <c r="K158" s="122" t="n"/>
      <c r="L158" s="122" t="n"/>
      <c r="M158" s="122" t="n"/>
      <c r="N158" s="122" t="n"/>
      <c r="O158" s="122" t="n"/>
      <c r="P158" s="122" t="n"/>
      <c r="Q158" s="122" t="n"/>
      <c r="R158" s="122" t="n"/>
      <c r="S158" s="122" t="n"/>
      <c r="T158" s="3" t="n"/>
      <c r="U158" s="3" t="n"/>
      <c r="V158" s="3" t="n"/>
    </row>
    <row r="159" ht="8" customHeight="1">
      <c r="A159" s="3" t="n"/>
      <c r="B159" s="3" t="n"/>
      <c r="C159" s="3" t="n"/>
      <c r="D159" s="144" t="n"/>
      <c r="E159" s="121" t="n"/>
      <c r="F159" s="122" t="n"/>
      <c r="G159" s="122" t="n"/>
      <c r="H159" s="122" t="n"/>
      <c r="I159" s="122" t="n"/>
      <c r="J159" s="122" t="n"/>
      <c r="K159" s="122" t="n"/>
      <c r="L159" s="122" t="n"/>
      <c r="M159" s="122" t="n"/>
      <c r="N159" s="122" t="n"/>
      <c r="O159" s="122" t="n"/>
      <c r="P159" s="122" t="n"/>
      <c r="Q159" s="122" t="n"/>
      <c r="R159" s="122" t="n"/>
      <c r="S159" s="122" t="n"/>
      <c r="T159" s="3" t="n"/>
      <c r="U159" s="3" t="n"/>
      <c r="V159" s="3" t="n"/>
    </row>
    <row r="160" ht="8" customHeight="1">
      <c r="A160" s="3" t="n"/>
      <c r="B160" s="3" t="n"/>
      <c r="C160" s="3" t="n"/>
      <c r="D160" s="144" t="n"/>
      <c r="E160" s="121" t="n"/>
      <c r="F160" s="122" t="n"/>
      <c r="G160" s="122" t="n"/>
      <c r="H160" s="122" t="n"/>
      <c r="I160" s="122" t="n"/>
      <c r="J160" s="122" t="n"/>
      <c r="K160" s="122" t="n"/>
      <c r="L160" s="122" t="n"/>
      <c r="M160" s="122" t="n"/>
      <c r="N160" s="122" t="n"/>
      <c r="O160" s="122" t="n"/>
      <c r="P160" s="122" t="n"/>
      <c r="Q160" s="122" t="n"/>
      <c r="R160" s="122" t="n"/>
      <c r="S160" s="122" t="n"/>
      <c r="T160" s="3" t="n"/>
      <c r="U160" s="3" t="n"/>
      <c r="V160" s="3" t="n"/>
    </row>
    <row r="161" ht="8" customHeight="1">
      <c r="A161" s="3" t="n"/>
      <c r="B161" s="3" t="n"/>
      <c r="C161" s="3" t="n"/>
      <c r="D161" s="144" t="n"/>
      <c r="E161" s="121" t="n"/>
      <c r="F161" s="122" t="n"/>
      <c r="G161" s="122" t="n"/>
      <c r="H161" s="122" t="n"/>
      <c r="I161" s="122" t="n"/>
      <c r="J161" s="122" t="n"/>
      <c r="K161" s="122" t="n"/>
      <c r="L161" s="122" t="n"/>
      <c r="M161" s="122" t="n"/>
      <c r="N161" s="122" t="n"/>
      <c r="O161" s="122" t="n"/>
      <c r="P161" s="122" t="n"/>
      <c r="Q161" s="122" t="n"/>
      <c r="R161" s="122" t="n"/>
      <c r="S161" s="122" t="n"/>
      <c r="T161" s="3" t="n"/>
      <c r="U161" s="3" t="n"/>
      <c r="V161" s="3" t="n"/>
    </row>
    <row r="162" ht="8" customHeight="1">
      <c r="A162" s="3" t="n"/>
      <c r="B162" s="3" t="n"/>
      <c r="C162" s="3" t="n"/>
      <c r="D162" s="144" t="n"/>
      <c r="E162" s="121" t="n"/>
      <c r="F162" s="122" t="n"/>
      <c r="G162" s="122" t="n"/>
      <c r="H162" s="122" t="n"/>
      <c r="I162" s="122" t="n"/>
      <c r="J162" s="122" t="n"/>
      <c r="K162" s="122" t="n"/>
      <c r="L162" s="122" t="n"/>
      <c r="M162" s="122" t="n"/>
      <c r="N162" s="122" t="n"/>
      <c r="O162" s="122" t="n"/>
      <c r="P162" s="122" t="n"/>
      <c r="Q162" s="122" t="n"/>
      <c r="R162" s="122" t="n"/>
      <c r="S162" s="122" t="n"/>
      <c r="T162" s="3" t="n"/>
      <c r="U162" s="3" t="n"/>
      <c r="V162" s="3" t="n"/>
    </row>
    <row r="163" ht="8" customHeight="1">
      <c r="A163" s="3" t="n"/>
      <c r="B163" s="3" t="n"/>
      <c r="C163" s="3" t="n"/>
      <c r="D163" s="144" t="n"/>
      <c r="E163" s="121" t="n"/>
      <c r="F163" s="122" t="n"/>
      <c r="G163" s="122" t="n"/>
      <c r="H163" s="122" t="n"/>
      <c r="I163" s="122" t="n"/>
      <c r="J163" s="122" t="n"/>
      <c r="K163" s="122" t="n"/>
      <c r="L163" s="122" t="n"/>
      <c r="M163" s="122" t="n"/>
      <c r="N163" s="122" t="n"/>
      <c r="O163" s="122" t="n"/>
      <c r="P163" s="122" t="n"/>
      <c r="Q163" s="122" t="n"/>
      <c r="R163" s="122" t="n"/>
      <c r="S163" s="122" t="n"/>
      <c r="T163" s="3" t="n"/>
      <c r="U163" s="3" t="n"/>
      <c r="V163" s="3" t="n"/>
    </row>
    <row r="164" ht="8" customHeight="1">
      <c r="A164" s="3" t="n"/>
      <c r="B164" s="3" t="n"/>
      <c r="C164" s="3" t="n"/>
      <c r="D164" s="144" t="n"/>
      <c r="E164" s="121" t="n"/>
      <c r="F164" s="122" t="n"/>
      <c r="G164" s="122" t="n"/>
      <c r="H164" s="122" t="n"/>
      <c r="I164" s="122" t="n"/>
      <c r="J164" s="122" t="n"/>
      <c r="K164" s="122" t="n"/>
      <c r="L164" s="122" t="n"/>
      <c r="M164" s="122" t="n"/>
      <c r="N164" s="122" t="n"/>
      <c r="O164" s="122" t="n"/>
      <c r="P164" s="122" t="n"/>
      <c r="Q164" s="122" t="n"/>
      <c r="R164" s="122" t="n"/>
      <c r="S164" s="122" t="n"/>
      <c r="T164" s="3" t="n"/>
      <c r="U164" s="3" t="n"/>
      <c r="V164" s="3" t="n"/>
    </row>
    <row r="165" ht="8" customHeight="1">
      <c r="A165" s="3" t="n"/>
      <c r="B165" s="3" t="n"/>
      <c r="C165" s="3" t="n"/>
      <c r="D165" s="144" t="n"/>
      <c r="E165" s="121" t="n"/>
      <c r="F165" s="122" t="n"/>
      <c r="G165" s="122" t="n"/>
      <c r="H165" s="122" t="n"/>
      <c r="I165" s="122" t="n"/>
      <c r="J165" s="122" t="n"/>
      <c r="K165" s="122" t="n"/>
      <c r="L165" s="122" t="n"/>
      <c r="M165" s="122" t="n"/>
      <c r="N165" s="122" t="n"/>
      <c r="O165" s="122" t="n"/>
      <c r="P165" s="122" t="n"/>
      <c r="Q165" s="122" t="n"/>
      <c r="R165" s="122" t="n"/>
      <c r="S165" s="122" t="n"/>
      <c r="T165" s="3" t="n"/>
      <c r="U165" s="3" t="n"/>
      <c r="V165" s="3" t="n"/>
    </row>
    <row r="166" ht="8" customHeight="1">
      <c r="A166" s="3" t="n"/>
      <c r="B166" s="3" t="n"/>
      <c r="C166" s="3" t="n"/>
      <c r="D166" s="144" t="n"/>
      <c r="E166" s="121" t="n"/>
      <c r="F166" s="122" t="n"/>
      <c r="G166" s="122" t="n"/>
      <c r="H166" s="122" t="n"/>
      <c r="I166" s="122" t="n"/>
      <c r="J166" s="122" t="n"/>
      <c r="K166" s="122" t="n"/>
      <c r="L166" s="122" t="n"/>
      <c r="M166" s="122" t="n"/>
      <c r="N166" s="122" t="n"/>
      <c r="O166" s="122" t="n"/>
      <c r="P166" s="122" t="n"/>
      <c r="Q166" s="122" t="n"/>
      <c r="R166" s="122" t="n"/>
      <c r="S166" s="122" t="n"/>
      <c r="T166" s="3" t="n"/>
      <c r="U166" s="3" t="n"/>
      <c r="V166" s="3" t="n"/>
    </row>
    <row r="167" ht="8" customHeight="1">
      <c r="A167" s="3" t="n"/>
      <c r="B167" s="3" t="n"/>
      <c r="C167" s="3" t="n"/>
      <c r="D167" s="144" t="n"/>
      <c r="E167" s="121" t="n"/>
      <c r="F167" s="122" t="n"/>
      <c r="G167" s="122" t="n"/>
      <c r="H167" s="122" t="n"/>
      <c r="I167" s="122" t="n"/>
      <c r="J167" s="122" t="n"/>
      <c r="K167" s="122" t="n"/>
      <c r="L167" s="122" t="n"/>
      <c r="M167" s="122" t="n"/>
      <c r="N167" s="122" t="n"/>
      <c r="O167" s="122" t="n"/>
      <c r="P167" s="122" t="n"/>
      <c r="Q167" s="122" t="n"/>
      <c r="R167" s="122" t="n"/>
      <c r="S167" s="122" t="n"/>
      <c r="T167" s="3" t="n"/>
      <c r="U167" s="3" t="n"/>
      <c r="V167" s="3" t="n"/>
    </row>
    <row r="168" ht="8" customHeight="1">
      <c r="A168" s="3" t="n"/>
      <c r="B168" s="3" t="n"/>
      <c r="C168" s="3" t="n"/>
      <c r="D168" s="144" t="n"/>
      <c r="E168" s="121" t="n"/>
      <c r="F168" s="122" t="n"/>
      <c r="G168" s="122" t="n"/>
      <c r="H168" s="122" t="n"/>
      <c r="I168" s="122" t="n"/>
      <c r="J168" s="122" t="n"/>
      <c r="K168" s="122" t="n"/>
      <c r="L168" s="122" t="n"/>
      <c r="M168" s="122" t="n"/>
      <c r="N168" s="122" t="n"/>
      <c r="O168" s="122" t="n"/>
      <c r="P168" s="122" t="n"/>
      <c r="Q168" s="122" t="n"/>
      <c r="R168" s="122" t="n"/>
      <c r="S168" s="122" t="n"/>
      <c r="T168" s="3" t="n"/>
      <c r="U168" s="3" t="n"/>
      <c r="V168" s="3" t="n"/>
    </row>
    <row r="169" ht="8" customHeight="1">
      <c r="A169" s="3" t="n"/>
      <c r="B169" s="3" t="n"/>
      <c r="C169" s="3" t="n"/>
      <c r="D169" s="144" t="n"/>
      <c r="E169" s="121" t="n"/>
      <c r="F169" s="122" t="n"/>
      <c r="G169" s="122" t="n"/>
      <c r="H169" s="122" t="n"/>
      <c r="I169" s="122" t="n"/>
      <c r="J169" s="122" t="n"/>
      <c r="K169" s="122" t="n"/>
      <c r="L169" s="122" t="n"/>
      <c r="M169" s="122" t="n"/>
      <c r="N169" s="122" t="n"/>
      <c r="O169" s="122" t="n"/>
      <c r="P169" s="122" t="n"/>
      <c r="Q169" s="122" t="n"/>
      <c r="R169" s="122" t="n"/>
      <c r="S169" s="122" t="n"/>
      <c r="T169" s="3" t="n"/>
      <c r="U169" s="3" t="n"/>
      <c r="V169" s="3" t="n"/>
    </row>
    <row r="170" ht="8" customHeight="1">
      <c r="A170" s="3" t="n"/>
      <c r="B170" s="3" t="n"/>
      <c r="C170" s="3" t="n"/>
      <c r="D170" s="144" t="n"/>
      <c r="E170" s="121" t="n"/>
      <c r="F170" s="122" t="n"/>
      <c r="G170" s="122" t="n"/>
      <c r="H170" s="122" t="n"/>
      <c r="I170" s="122" t="n"/>
      <c r="J170" s="122" t="n"/>
      <c r="K170" s="122" t="n"/>
      <c r="L170" s="122" t="n"/>
      <c r="M170" s="122" t="n"/>
      <c r="N170" s="122" t="n"/>
      <c r="O170" s="122" t="n"/>
      <c r="P170" s="122" t="n"/>
      <c r="Q170" s="122" t="n"/>
      <c r="R170" s="122" t="n"/>
      <c r="S170" s="122" t="n"/>
      <c r="T170" s="3" t="n"/>
      <c r="U170" s="3" t="n"/>
      <c r="V170" s="3" t="n"/>
    </row>
    <row r="171" ht="8" customHeight="1">
      <c r="A171" s="3" t="n"/>
      <c r="B171" s="3" t="n"/>
      <c r="C171" s="3" t="n"/>
      <c r="D171" s="144" t="n"/>
      <c r="E171" s="121" t="n"/>
      <c r="F171" s="122" t="n"/>
      <c r="G171" s="122" t="n"/>
      <c r="H171" s="122" t="n"/>
      <c r="I171" s="122" t="n"/>
      <c r="J171" s="122" t="n"/>
      <c r="K171" s="122" t="n"/>
      <c r="L171" s="122" t="n"/>
      <c r="M171" s="122" t="n"/>
      <c r="N171" s="122" t="n"/>
      <c r="O171" s="122" t="n"/>
      <c r="P171" s="122" t="n"/>
      <c r="Q171" s="122" t="n"/>
      <c r="R171" s="122" t="n"/>
      <c r="S171" s="122" t="n"/>
      <c r="T171" s="3" t="n"/>
      <c r="U171" s="3" t="n"/>
      <c r="V171" s="3" t="n"/>
    </row>
    <row r="172" ht="8" customHeight="1">
      <c r="A172" s="3" t="n"/>
      <c r="B172" s="3" t="n"/>
      <c r="C172" s="3" t="n"/>
      <c r="D172" s="144" t="n"/>
      <c r="E172" s="121" t="n"/>
      <c r="F172" s="122" t="n"/>
      <c r="G172" s="122" t="n"/>
      <c r="H172" s="122" t="n"/>
      <c r="I172" s="122" t="n"/>
      <c r="J172" s="122" t="n"/>
      <c r="K172" s="122" t="n"/>
      <c r="L172" s="122" t="n"/>
      <c r="M172" s="122" t="n"/>
      <c r="N172" s="122" t="n"/>
      <c r="O172" s="122" t="n"/>
      <c r="P172" s="122" t="n"/>
      <c r="Q172" s="122" t="n"/>
      <c r="R172" s="122" t="n"/>
      <c r="S172" s="122" t="n"/>
      <c r="T172" s="3" t="n"/>
      <c r="U172" s="3" t="n"/>
      <c r="V172" s="3" t="n"/>
    </row>
    <row r="173" ht="8" customHeight="1">
      <c r="A173" s="3" t="n"/>
      <c r="B173" s="3" t="n"/>
      <c r="C173" s="3" t="n"/>
      <c r="D173" s="144" t="n"/>
      <c r="E173" s="121" t="n"/>
      <c r="F173" s="122" t="n"/>
      <c r="G173" s="122" t="n"/>
      <c r="H173" s="122" t="n"/>
      <c r="I173" s="122" t="n"/>
      <c r="J173" s="122" t="n"/>
      <c r="K173" s="122" t="n"/>
      <c r="L173" s="122" t="n"/>
      <c r="M173" s="122" t="n"/>
      <c r="N173" s="122" t="n"/>
      <c r="O173" s="122" t="n"/>
      <c r="P173" s="122" t="n"/>
      <c r="Q173" s="122" t="n"/>
      <c r="R173" s="122" t="n"/>
      <c r="S173" s="122" t="n"/>
      <c r="T173" s="3" t="n"/>
      <c r="U173" s="3" t="n"/>
      <c r="V173" s="3" t="n"/>
    </row>
    <row r="174" ht="8" customHeight="1">
      <c r="A174" s="3" t="n"/>
      <c r="B174" s="3" t="n"/>
      <c r="C174" s="3" t="n"/>
      <c r="D174" s="144" t="n"/>
      <c r="E174" s="121" t="n"/>
      <c r="F174" s="122" t="n"/>
      <c r="G174" s="122" t="n"/>
      <c r="H174" s="122" t="n"/>
      <c r="I174" s="122" t="n"/>
      <c r="J174" s="122" t="n"/>
      <c r="K174" s="122" t="n"/>
      <c r="L174" s="122" t="n"/>
      <c r="M174" s="122" t="n"/>
      <c r="N174" s="122" t="n"/>
      <c r="O174" s="122" t="n"/>
      <c r="P174" s="122" t="n"/>
      <c r="Q174" s="122" t="n"/>
      <c r="R174" s="122" t="n"/>
      <c r="S174" s="122" t="n"/>
      <c r="T174" s="3" t="n"/>
      <c r="U174" s="3" t="n"/>
      <c r="V174" s="3" t="n"/>
    </row>
    <row r="175" ht="8" customHeight="1">
      <c r="A175" s="3" t="n"/>
      <c r="B175" s="3" t="n"/>
      <c r="C175" s="3" t="n"/>
      <c r="D175" s="144" t="n"/>
      <c r="E175" s="121" t="n"/>
      <c r="F175" s="122" t="n"/>
      <c r="G175" s="122" t="n"/>
      <c r="H175" s="122" t="n"/>
      <c r="I175" s="122" t="n"/>
      <c r="J175" s="122" t="n"/>
      <c r="K175" s="122" t="n"/>
      <c r="L175" s="122" t="n"/>
      <c r="M175" s="122" t="n"/>
      <c r="N175" s="122" t="n"/>
      <c r="O175" s="122" t="n"/>
      <c r="P175" s="122" t="n"/>
      <c r="Q175" s="122" t="n"/>
      <c r="R175" s="122" t="n"/>
      <c r="S175" s="122" t="n"/>
      <c r="T175" s="3" t="n"/>
      <c r="U175" s="3" t="n"/>
      <c r="V175" s="3" t="n"/>
    </row>
    <row r="176" ht="8" customHeight="1">
      <c r="A176" s="3" t="n"/>
      <c r="B176" s="3" t="n"/>
      <c r="C176" s="3" t="n"/>
      <c r="D176" s="144" t="n"/>
      <c r="E176" s="121" t="n"/>
      <c r="F176" s="122" t="n"/>
      <c r="G176" s="122" t="n"/>
      <c r="H176" s="122" t="n"/>
      <c r="I176" s="122" t="n"/>
      <c r="J176" s="122" t="n"/>
      <c r="K176" s="122" t="n"/>
      <c r="L176" s="122" t="n"/>
      <c r="M176" s="122" t="n"/>
      <c r="N176" s="122" t="n"/>
      <c r="O176" s="122" t="n"/>
      <c r="P176" s="122" t="n"/>
      <c r="Q176" s="122" t="n"/>
      <c r="R176" s="122" t="n"/>
      <c r="S176" s="122" t="n"/>
      <c r="T176" s="3" t="n"/>
      <c r="U176" s="3" t="n"/>
      <c r="V176" s="3" t="n"/>
    </row>
    <row r="177" ht="8" customHeight="1">
      <c r="A177" s="3" t="n"/>
      <c r="B177" s="3" t="n"/>
      <c r="C177" s="3" t="n"/>
      <c r="D177" s="144" t="n"/>
      <c r="E177" s="121" t="n"/>
      <c r="F177" s="122" t="n"/>
      <c r="G177" s="122" t="n"/>
      <c r="H177" s="122" t="n"/>
      <c r="I177" s="122" t="n"/>
      <c r="J177" s="122" t="n"/>
      <c r="K177" s="122" t="n"/>
      <c r="L177" s="122" t="n"/>
      <c r="M177" s="122" t="n"/>
      <c r="N177" s="122" t="n"/>
      <c r="O177" s="122" t="n"/>
      <c r="P177" s="122" t="n"/>
      <c r="Q177" s="122" t="n"/>
      <c r="R177" s="122" t="n"/>
      <c r="S177" s="122" t="n"/>
      <c r="T177" s="3" t="n"/>
      <c r="U177" s="3" t="n"/>
      <c r="V177" s="3" t="n"/>
    </row>
    <row r="178" ht="8" customHeight="1">
      <c r="A178" s="3" t="n"/>
      <c r="B178" s="3" t="n"/>
      <c r="C178" s="3" t="n"/>
      <c r="D178" s="144" t="n"/>
      <c r="E178" s="121" t="n"/>
      <c r="F178" s="122" t="n"/>
      <c r="G178" s="122" t="n"/>
      <c r="H178" s="122" t="n"/>
      <c r="I178" s="122" t="n"/>
      <c r="J178" s="122" t="n"/>
      <c r="K178" s="122" t="n"/>
      <c r="L178" s="122" t="n"/>
      <c r="M178" s="122" t="n"/>
      <c r="N178" s="122" t="n"/>
      <c r="O178" s="122" t="n"/>
      <c r="P178" s="122" t="n"/>
      <c r="Q178" s="122" t="n"/>
      <c r="R178" s="122" t="n"/>
      <c r="S178" s="122" t="n"/>
      <c r="T178" s="3" t="n"/>
      <c r="U178" s="3" t="n"/>
      <c r="V178" s="3" t="n"/>
    </row>
    <row r="179" ht="8" customHeight="1">
      <c r="A179" s="3" t="n"/>
      <c r="B179" s="3" t="n"/>
      <c r="C179" s="3" t="n"/>
      <c r="D179" s="144" t="n"/>
      <c r="E179" s="121" t="n"/>
      <c r="F179" s="122" t="n"/>
      <c r="G179" s="122" t="n"/>
      <c r="H179" s="122" t="n"/>
      <c r="I179" s="122" t="n"/>
      <c r="J179" s="122" t="n"/>
      <c r="K179" s="122" t="n"/>
      <c r="L179" s="122" t="n"/>
      <c r="M179" s="122" t="n"/>
      <c r="N179" s="122" t="n"/>
      <c r="O179" s="122" t="n"/>
      <c r="P179" s="122" t="n"/>
      <c r="Q179" s="122" t="n"/>
      <c r="R179" s="122" t="n"/>
      <c r="S179" s="122" t="n"/>
      <c r="T179" s="3" t="n"/>
      <c r="U179" s="3" t="n"/>
      <c r="V179" s="3" t="n"/>
    </row>
    <row r="180" ht="8" customHeight="1">
      <c r="A180" s="3" t="n"/>
      <c r="B180" s="3" t="n"/>
      <c r="C180" s="3" t="n"/>
      <c r="D180" s="144" t="n"/>
      <c r="E180" s="121" t="n"/>
      <c r="F180" s="122" t="n"/>
      <c r="G180" s="122" t="n"/>
      <c r="H180" s="122" t="n"/>
      <c r="I180" s="122" t="n"/>
      <c r="J180" s="122" t="n"/>
      <c r="K180" s="122" t="n"/>
      <c r="L180" s="122" t="n"/>
      <c r="M180" s="122" t="n"/>
      <c r="N180" s="122" t="n"/>
      <c r="O180" s="122" t="n"/>
      <c r="P180" s="122" t="n"/>
      <c r="Q180" s="122" t="n"/>
      <c r="R180" s="122" t="n"/>
      <c r="S180" s="122" t="n"/>
      <c r="T180" s="3" t="n"/>
      <c r="U180" s="3" t="n"/>
      <c r="V180" s="3" t="n"/>
    </row>
    <row r="181" ht="8" customHeight="1">
      <c r="A181" s="3" t="n"/>
      <c r="B181" s="3" t="n"/>
      <c r="C181" s="3" t="n"/>
      <c r="D181" s="144" t="n"/>
      <c r="E181" s="121" t="n"/>
      <c r="F181" s="122" t="n"/>
      <c r="G181" s="122" t="n"/>
      <c r="H181" s="122" t="n"/>
      <c r="I181" s="122" t="n"/>
      <c r="J181" s="122" t="n"/>
      <c r="K181" s="122" t="n"/>
      <c r="L181" s="122" t="n"/>
      <c r="M181" s="122" t="n"/>
      <c r="N181" s="122" t="n"/>
      <c r="O181" s="122" t="n"/>
      <c r="P181" s="122" t="n"/>
      <c r="Q181" s="122" t="n"/>
      <c r="R181" s="122" t="n"/>
      <c r="S181" s="122" t="n"/>
      <c r="T181" s="3" t="n"/>
      <c r="U181" s="3" t="n"/>
      <c r="V181" s="3" t="n"/>
    </row>
    <row r="182" ht="8" customHeight="1">
      <c r="A182" s="3" t="n"/>
      <c r="B182" s="3" t="n"/>
      <c r="C182" s="3" t="n"/>
      <c r="D182" s="144" t="n"/>
      <c r="E182" s="121" t="n"/>
      <c r="F182" s="122" t="n"/>
      <c r="G182" s="122" t="n"/>
      <c r="H182" s="122" t="n"/>
      <c r="I182" s="122" t="n"/>
      <c r="J182" s="122" t="n"/>
      <c r="K182" s="122" t="n"/>
      <c r="L182" s="122" t="n"/>
      <c r="M182" s="122" t="n"/>
      <c r="N182" s="122" t="n"/>
      <c r="O182" s="122" t="n"/>
      <c r="P182" s="122" t="n"/>
      <c r="Q182" s="122" t="n"/>
      <c r="R182" s="122" t="n"/>
      <c r="S182" s="122" t="n"/>
      <c r="T182" s="3" t="n"/>
      <c r="U182" s="3" t="n"/>
      <c r="V182" s="3" t="n"/>
    </row>
    <row r="183" ht="8" customHeight="1">
      <c r="A183" s="3" t="n"/>
      <c r="B183" s="3" t="n"/>
      <c r="C183" s="3" t="n"/>
      <c r="D183" s="144" t="n"/>
      <c r="E183" s="121" t="n"/>
      <c r="F183" s="122" t="n"/>
      <c r="G183" s="122" t="n"/>
      <c r="H183" s="122" t="n"/>
      <c r="I183" s="122" t="n"/>
      <c r="J183" s="122" t="n"/>
      <c r="K183" s="122" t="n"/>
      <c r="L183" s="122" t="n"/>
      <c r="M183" s="122" t="n"/>
      <c r="N183" s="122" t="n"/>
      <c r="O183" s="122" t="n"/>
      <c r="P183" s="122" t="n"/>
      <c r="Q183" s="122" t="n"/>
      <c r="R183" s="122" t="n"/>
      <c r="S183" s="122" t="n"/>
      <c r="T183" s="3" t="n"/>
      <c r="U183" s="3" t="n"/>
      <c r="V183" s="3" t="n"/>
    </row>
    <row r="184" ht="8" customHeight="1">
      <c r="A184" s="3" t="n"/>
      <c r="B184" s="3" t="n"/>
      <c r="C184" s="3" t="n"/>
      <c r="D184" s="144" t="n"/>
      <c r="E184" s="121" t="n"/>
      <c r="F184" s="122" t="n"/>
      <c r="G184" s="122" t="n"/>
      <c r="H184" s="122" t="n"/>
      <c r="I184" s="122" t="n"/>
      <c r="J184" s="122" t="n"/>
      <c r="K184" s="122" t="n"/>
      <c r="L184" s="122" t="n"/>
      <c r="M184" s="122" t="n"/>
      <c r="N184" s="122" t="n"/>
      <c r="O184" s="122" t="n"/>
      <c r="P184" s="122" t="n"/>
      <c r="Q184" s="122" t="n"/>
      <c r="R184" s="122" t="n"/>
      <c r="S184" s="122" t="n"/>
      <c r="T184" s="3" t="n"/>
      <c r="U184" s="3" t="n"/>
      <c r="V184" s="3" t="n"/>
    </row>
    <row r="185" ht="8" customHeight="1">
      <c r="A185" s="3" t="n"/>
      <c r="B185" s="3" t="n"/>
      <c r="C185" s="3" t="n"/>
      <c r="D185" s="144" t="n"/>
      <c r="E185" s="121" t="n"/>
      <c r="F185" s="122" t="n"/>
      <c r="G185" s="122" t="n"/>
      <c r="H185" s="122" t="n"/>
      <c r="I185" s="122" t="n"/>
      <c r="J185" s="122" t="n"/>
      <c r="K185" s="122" t="n"/>
      <c r="L185" s="122" t="n"/>
      <c r="M185" s="122" t="n"/>
      <c r="N185" s="122" t="n"/>
      <c r="O185" s="122" t="n"/>
      <c r="P185" s="122" t="n"/>
      <c r="Q185" s="122" t="n"/>
      <c r="R185" s="122" t="n"/>
      <c r="S185" s="122" t="n"/>
      <c r="T185" s="3" t="n"/>
      <c r="U185" s="3" t="n"/>
      <c r="V185" s="3" t="n"/>
    </row>
    <row r="186" ht="8" customHeight="1">
      <c r="A186" s="3" t="n"/>
      <c r="B186" s="3" t="n"/>
      <c r="C186" s="3" t="n"/>
      <c r="D186" s="144" t="n"/>
      <c r="E186" s="121" t="n"/>
      <c r="F186" s="122" t="n"/>
      <c r="G186" s="122" t="n"/>
      <c r="H186" s="122" t="n"/>
      <c r="I186" s="122" t="n"/>
      <c r="J186" s="122" t="n"/>
      <c r="K186" s="122" t="n"/>
      <c r="L186" s="122" t="n"/>
      <c r="M186" s="122" t="n"/>
      <c r="N186" s="122" t="n"/>
      <c r="O186" s="122" t="n"/>
      <c r="P186" s="122" t="n"/>
      <c r="Q186" s="122" t="n"/>
      <c r="R186" s="122" t="n"/>
      <c r="S186" s="122" t="n"/>
      <c r="T186" s="3" t="n"/>
      <c r="U186" s="3" t="n"/>
      <c r="V186" s="3" t="n"/>
    </row>
    <row r="187" ht="8" customHeight="1">
      <c r="A187" s="3" t="n"/>
      <c r="B187" s="3" t="n"/>
      <c r="C187" s="3" t="n"/>
      <c r="D187" s="144" t="n"/>
      <c r="E187" s="121" t="n"/>
      <c r="F187" s="122" t="n"/>
      <c r="G187" s="122" t="n"/>
      <c r="H187" s="122" t="n"/>
      <c r="I187" s="122" t="n"/>
      <c r="J187" s="122" t="n"/>
      <c r="K187" s="122" t="n"/>
      <c r="L187" s="122" t="n"/>
      <c r="M187" s="122" t="n"/>
      <c r="N187" s="122" t="n"/>
      <c r="O187" s="122" t="n"/>
      <c r="P187" s="122" t="n"/>
      <c r="Q187" s="122" t="n"/>
      <c r="R187" s="122" t="n"/>
      <c r="S187" s="122" t="n"/>
      <c r="T187" s="3" t="n"/>
      <c r="U187" s="3" t="n"/>
      <c r="V187" s="3" t="n"/>
    </row>
    <row r="188" ht="8" customHeight="1">
      <c r="A188" s="3" t="n"/>
      <c r="B188" s="3" t="n"/>
      <c r="C188" s="3" t="n"/>
      <c r="D188" s="144" t="n"/>
      <c r="E188" s="121" t="n"/>
      <c r="F188" s="122" t="n"/>
      <c r="G188" s="122" t="n"/>
      <c r="H188" s="122" t="n"/>
      <c r="I188" s="122" t="n"/>
      <c r="J188" s="122" t="n"/>
      <c r="K188" s="122" t="n"/>
      <c r="L188" s="122" t="n"/>
      <c r="M188" s="122" t="n"/>
      <c r="N188" s="122" t="n"/>
      <c r="O188" s="122" t="n"/>
      <c r="P188" s="122" t="n"/>
      <c r="Q188" s="122" t="n"/>
      <c r="R188" s="122" t="n"/>
      <c r="S188" s="122" t="n"/>
      <c r="T188" s="3" t="n"/>
      <c r="U188" s="3" t="n"/>
      <c r="V188" s="3" t="n"/>
    </row>
    <row r="189" ht="8" customHeight="1">
      <c r="A189" s="3" t="n"/>
      <c r="B189" s="3" t="n"/>
      <c r="C189" s="3" t="n"/>
      <c r="D189" s="144" t="n"/>
      <c r="E189" s="121" t="n"/>
      <c r="F189" s="122" t="n"/>
      <c r="G189" s="122" t="n"/>
      <c r="H189" s="122" t="n"/>
      <c r="I189" s="122" t="n"/>
      <c r="J189" s="122" t="n"/>
      <c r="K189" s="122" t="n"/>
      <c r="L189" s="122" t="n"/>
      <c r="M189" s="122" t="n"/>
      <c r="N189" s="122" t="n"/>
      <c r="O189" s="122" t="n"/>
      <c r="P189" s="122" t="n"/>
      <c r="Q189" s="122" t="n"/>
      <c r="R189" s="122" t="n"/>
      <c r="S189" s="122" t="n"/>
      <c r="T189" s="3" t="n"/>
      <c r="U189" s="3" t="n"/>
      <c r="V189" s="3" t="n"/>
    </row>
    <row r="190" ht="8" customHeight="1">
      <c r="A190" s="3" t="n"/>
      <c r="B190" s="3" t="n"/>
      <c r="C190" s="3" t="n"/>
      <c r="D190" s="144" t="n"/>
      <c r="E190" s="121" t="n"/>
      <c r="F190" s="122" t="n"/>
      <c r="G190" s="122" t="n"/>
      <c r="H190" s="122" t="n"/>
      <c r="I190" s="122" t="n"/>
      <c r="J190" s="122" t="n"/>
      <c r="K190" s="122" t="n"/>
      <c r="L190" s="122" t="n"/>
      <c r="M190" s="122" t="n"/>
      <c r="N190" s="122" t="n"/>
      <c r="O190" s="122" t="n"/>
      <c r="P190" s="122" t="n"/>
      <c r="Q190" s="122" t="n"/>
      <c r="R190" s="122" t="n"/>
      <c r="S190" s="122" t="n"/>
      <c r="T190" s="3" t="n"/>
      <c r="U190" s="3" t="n"/>
      <c r="V190" s="3" t="n"/>
    </row>
    <row r="191" ht="8" customHeight="1">
      <c r="A191" s="3" t="n"/>
      <c r="B191" s="3" t="n"/>
      <c r="C191" s="3" t="n"/>
      <c r="D191" s="144" t="n"/>
      <c r="E191" s="121" t="n"/>
      <c r="F191" s="122" t="n"/>
      <c r="G191" s="122" t="n"/>
      <c r="H191" s="122" t="n"/>
      <c r="I191" s="122" t="n"/>
      <c r="J191" s="122" t="n"/>
      <c r="K191" s="122" t="n"/>
      <c r="L191" s="122" t="n"/>
      <c r="M191" s="122" t="n"/>
      <c r="N191" s="122" t="n"/>
      <c r="O191" s="122" t="n"/>
      <c r="P191" s="122" t="n"/>
      <c r="Q191" s="122" t="n"/>
      <c r="R191" s="122" t="n"/>
      <c r="S191" s="122" t="n"/>
      <c r="T191" s="3" t="n"/>
      <c r="U191" s="3" t="n"/>
      <c r="V191" s="3" t="n"/>
    </row>
    <row r="192" ht="8" customHeight="1">
      <c r="A192" s="3" t="n"/>
      <c r="B192" s="3" t="n"/>
      <c r="C192" s="3" t="n"/>
      <c r="D192" s="144" t="n"/>
      <c r="E192" s="121" t="n"/>
      <c r="F192" s="122" t="n"/>
      <c r="G192" s="122" t="n"/>
      <c r="H192" s="122" t="n"/>
      <c r="I192" s="122" t="n"/>
      <c r="J192" s="122" t="n"/>
      <c r="K192" s="122" t="n"/>
      <c r="L192" s="122" t="n"/>
      <c r="M192" s="122" t="n"/>
      <c r="N192" s="122" t="n"/>
      <c r="O192" s="122" t="n"/>
      <c r="P192" s="122" t="n"/>
      <c r="Q192" s="122" t="n"/>
      <c r="R192" s="122" t="n"/>
      <c r="S192" s="122" t="n"/>
      <c r="T192" s="3" t="n"/>
      <c r="U192" s="3" t="n"/>
      <c r="V192" s="3" t="n"/>
    </row>
    <row r="193" ht="8" customHeight="1">
      <c r="A193" s="3" t="n"/>
      <c r="B193" s="3" t="n"/>
      <c r="C193" s="3" t="n"/>
      <c r="D193" s="144" t="n"/>
      <c r="E193" s="121" t="n"/>
      <c r="F193" s="122" t="n"/>
      <c r="G193" s="122" t="n"/>
      <c r="H193" s="122" t="n"/>
      <c r="I193" s="122" t="n"/>
      <c r="J193" s="122" t="n"/>
      <c r="K193" s="122" t="n"/>
      <c r="L193" s="122" t="n"/>
      <c r="M193" s="122" t="n"/>
      <c r="N193" s="122" t="n"/>
      <c r="O193" s="122" t="n"/>
      <c r="P193" s="122" t="n"/>
      <c r="Q193" s="122" t="n"/>
      <c r="R193" s="122" t="n"/>
      <c r="S193" s="122" t="n"/>
      <c r="T193" s="3" t="n"/>
      <c r="U193" s="3" t="n"/>
      <c r="V193" s="3" t="n"/>
    </row>
    <row r="194" ht="8" customHeight="1">
      <c r="A194" s="3" t="n"/>
      <c r="B194" s="3" t="n"/>
      <c r="C194" s="3" t="n"/>
      <c r="D194" s="144" t="n"/>
      <c r="E194" s="121" t="n"/>
      <c r="F194" s="122" t="n"/>
      <c r="G194" s="122" t="n"/>
      <c r="H194" s="122" t="n"/>
      <c r="I194" s="122" t="n"/>
      <c r="J194" s="122" t="n"/>
      <c r="K194" s="122" t="n"/>
      <c r="L194" s="122" t="n"/>
      <c r="M194" s="122" t="n"/>
      <c r="N194" s="122" t="n"/>
      <c r="O194" s="122" t="n"/>
      <c r="P194" s="122" t="n"/>
      <c r="Q194" s="122" t="n"/>
      <c r="R194" s="122" t="n"/>
      <c r="S194" s="122" t="n"/>
      <c r="T194" s="3" t="n"/>
      <c r="U194" s="3" t="n"/>
      <c r="V194" s="3" t="n"/>
    </row>
    <row r="195" ht="8" customHeight="1">
      <c r="A195" s="3" t="n"/>
      <c r="B195" s="3" t="n"/>
      <c r="C195" s="3" t="n"/>
      <c r="D195" s="144" t="n"/>
      <c r="E195" s="121" t="n"/>
      <c r="F195" s="122" t="n"/>
      <c r="G195" s="122" t="n"/>
      <c r="H195" s="122" t="n"/>
      <c r="I195" s="122" t="n"/>
      <c r="J195" s="122" t="n"/>
      <c r="K195" s="122" t="n"/>
      <c r="L195" s="122" t="n"/>
      <c r="M195" s="122" t="n"/>
      <c r="N195" s="122" t="n"/>
      <c r="O195" s="122" t="n"/>
      <c r="P195" s="122" t="n"/>
      <c r="Q195" s="122" t="n"/>
      <c r="R195" s="122" t="n"/>
      <c r="S195" s="122" t="n"/>
      <c r="T195" s="3" t="n"/>
      <c r="U195" s="3" t="n"/>
      <c r="V195" s="3" t="n"/>
    </row>
    <row r="196" ht="8" customHeight="1">
      <c r="A196" s="3" t="n"/>
      <c r="B196" s="3" t="n"/>
      <c r="C196" s="3" t="n"/>
      <c r="D196" s="144" t="n"/>
      <c r="E196" s="121" t="n"/>
      <c r="F196" s="122" t="n"/>
      <c r="G196" s="122" t="n"/>
      <c r="H196" s="122" t="n"/>
      <c r="I196" s="122" t="n"/>
      <c r="J196" s="122" t="n"/>
      <c r="K196" s="122" t="n"/>
      <c r="L196" s="122" t="n"/>
      <c r="M196" s="122" t="n"/>
      <c r="N196" s="122" t="n"/>
      <c r="O196" s="122" t="n"/>
      <c r="P196" s="122" t="n"/>
      <c r="Q196" s="122" t="n"/>
      <c r="R196" s="122" t="n"/>
      <c r="S196" s="122" t="n"/>
      <c r="T196" s="3" t="n"/>
      <c r="U196" s="3" t="n"/>
      <c r="V196" s="3" t="n"/>
    </row>
    <row r="197" ht="8" customHeight="1">
      <c r="A197" s="3" t="n"/>
      <c r="B197" s="3" t="n"/>
      <c r="C197" s="3" t="n"/>
      <c r="D197" s="144" t="n"/>
      <c r="E197" s="121" t="n"/>
      <c r="F197" s="122" t="n"/>
      <c r="G197" s="122" t="n"/>
      <c r="H197" s="122" t="n"/>
      <c r="I197" s="122" t="n"/>
      <c r="J197" s="122" t="n"/>
      <c r="K197" s="122" t="n"/>
      <c r="L197" s="122" t="n"/>
      <c r="M197" s="122" t="n"/>
      <c r="N197" s="122" t="n"/>
      <c r="O197" s="122" t="n"/>
      <c r="P197" s="122" t="n"/>
      <c r="Q197" s="122" t="n"/>
      <c r="R197" s="122" t="n"/>
      <c r="S197" s="122" t="n"/>
      <c r="T197" s="3" t="n"/>
      <c r="U197" s="3" t="n"/>
      <c r="V197" s="3" t="n"/>
    </row>
    <row r="198" ht="8" customHeight="1">
      <c r="A198" s="3" t="n"/>
      <c r="B198" s="3" t="n"/>
      <c r="C198" s="3" t="n"/>
      <c r="D198" s="144" t="n"/>
      <c r="E198" s="121" t="n"/>
      <c r="F198" s="122" t="n"/>
      <c r="G198" s="122" t="n"/>
      <c r="H198" s="122" t="n"/>
      <c r="I198" s="122" t="n"/>
      <c r="J198" s="122" t="n"/>
      <c r="K198" s="122" t="n"/>
      <c r="L198" s="122" t="n"/>
      <c r="M198" s="122" t="n"/>
      <c r="N198" s="122" t="n"/>
      <c r="O198" s="122" t="n"/>
      <c r="P198" s="122" t="n"/>
      <c r="Q198" s="122" t="n"/>
      <c r="R198" s="122" t="n"/>
      <c r="S198" s="122" t="n"/>
      <c r="T198" s="3" t="n"/>
      <c r="U198" s="3" t="n"/>
      <c r="V198" s="3" t="n"/>
    </row>
    <row r="199" ht="8" customHeight="1">
      <c r="A199" s="3" t="n"/>
      <c r="B199" s="3" t="n"/>
      <c r="C199" s="3" t="n"/>
      <c r="D199" s="144" t="n"/>
      <c r="E199" s="121" t="n"/>
      <c r="F199" s="122" t="n"/>
      <c r="G199" s="122" t="n"/>
      <c r="H199" s="122" t="n"/>
      <c r="I199" s="122" t="n"/>
      <c r="J199" s="122" t="n"/>
      <c r="K199" s="122" t="n"/>
      <c r="L199" s="122" t="n"/>
      <c r="M199" s="122" t="n"/>
      <c r="N199" s="122" t="n"/>
      <c r="O199" s="122" t="n"/>
      <c r="P199" s="122" t="n"/>
      <c r="Q199" s="122" t="n"/>
      <c r="R199" s="122" t="n"/>
      <c r="S199" s="122" t="n"/>
      <c r="T199" s="3" t="n"/>
      <c r="U199" s="3" t="n"/>
      <c r="V199" s="3" t="n"/>
    </row>
    <row r="200" ht="8" customHeight="1">
      <c r="A200" s="3" t="n"/>
      <c r="B200" s="3" t="n"/>
      <c r="C200" s="3" t="n"/>
      <c r="D200" s="144" t="n"/>
      <c r="E200" s="121" t="n"/>
      <c r="F200" s="122" t="n"/>
      <c r="G200" s="122" t="n"/>
      <c r="H200" s="122" t="n"/>
      <c r="I200" s="122" t="n"/>
      <c r="J200" s="122" t="n"/>
      <c r="K200" s="122" t="n"/>
      <c r="L200" s="122" t="n"/>
      <c r="M200" s="122" t="n"/>
      <c r="N200" s="122" t="n"/>
      <c r="O200" s="122" t="n"/>
      <c r="P200" s="122" t="n"/>
      <c r="Q200" s="122" t="n"/>
      <c r="R200" s="122" t="n"/>
      <c r="S200" s="122" t="n"/>
      <c r="T200" s="3" t="n"/>
      <c r="U200" s="3" t="n"/>
      <c r="V200" s="3" t="n"/>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activeCell="A1" sqref="A1"/>
    </sheetView>
  </sheetViews>
  <sheetFormatPr baseColWidth="8" defaultRowHeight="15"/>
  <cols>
    <col width="8.75" customWidth="1" min="1" max="1"/>
    <col width="21.25" customWidth="1" min="2" max="2"/>
    <col width="39.38000106811523" customWidth="1" min="3" max="3"/>
    <col width="39.38000106811523" customWidth="1" min="4" max="4"/>
    <col width="40" customWidth="1" min="5" max="5"/>
    <col width="17.5" customWidth="1" min="6" max="6"/>
    <col width="41.25" customWidth="1" min="7" max="7"/>
    <col width="28.75" customWidth="1" min="8" max="8"/>
  </cols>
  <sheetData>
    <row r="1" ht="28" customHeight="1">
      <c r="A1" s="5" t="inlineStr">
        <is>
          <t>Data needed to close the baseline</t>
        </is>
      </c>
      <c r="B1" s="3" t="n"/>
      <c r="C1" s="3" t="n"/>
      <c r="D1" s="3" t="n"/>
      <c r="E1" s="3" t="n"/>
      <c r="F1" s="3" t="n"/>
      <c r="G1" s="3" t="n"/>
      <c r="H1" s="3" t="n"/>
    </row>
    <row r="2" ht="25" customHeight="1">
      <c r="A2" s="6" t="inlineStr">
        <is>
          <t>Available does not mean approved • Owners follow the existing workplan; review triggers are explicit.</t>
        </is>
      </c>
      <c r="B2" s="3" t="n"/>
      <c r="C2" s="3" t="n"/>
      <c r="D2" s="3" t="n"/>
      <c r="E2" s="3" t="n"/>
      <c r="F2" s="3" t="n"/>
      <c r="G2" s="3" t="n"/>
      <c r="H2" s="3" t="n"/>
    </row>
    <row r="3" ht="12" customHeight="1">
      <c r="A3" s="3" t="n"/>
      <c r="B3" s="3" t="n"/>
      <c r="C3" s="3" t="n"/>
      <c r="D3" s="3" t="n"/>
      <c r="E3" s="3" t="n"/>
      <c r="F3" s="3" t="n"/>
      <c r="G3" s="3" t="n"/>
      <c r="H3" s="3" t="n"/>
    </row>
    <row r="4" ht="42" customHeight="1">
      <c r="A4" s="61" t="inlineStr">
        <is>
          <t>ID</t>
        </is>
      </c>
      <c r="B4" s="61" t="inlineStr">
        <is>
          <t>Demand component</t>
        </is>
      </c>
      <c r="C4" s="61" t="inlineStr">
        <is>
          <t>Available evidence</t>
        </is>
      </c>
      <c r="D4" s="61" t="inlineStr">
        <is>
          <t>Missing input / decision</t>
        </is>
      </c>
      <c r="E4" s="61" t="inlineStr">
        <is>
          <t>Retrieval starting point</t>
        </is>
      </c>
      <c r="F4" s="61" t="inlineStr">
        <is>
          <t>Owner / reviewer</t>
        </is>
      </c>
      <c r="G4" s="61" t="inlineStr">
        <is>
          <t>Next action</t>
        </is>
      </c>
      <c r="H4" s="61" t="inlineStr">
        <is>
          <t>Closure trigger</t>
        </is>
      </c>
    </row>
    <row r="5" ht="100" customHeight="1">
      <c r="A5" s="3" t="inlineStr">
        <is>
          <t>G01</t>
        </is>
      </c>
      <c r="B5" s="3" t="inlineStr">
        <is>
          <t>National fuel balance</t>
        </is>
      </c>
      <c r="C5" s="3" t="inlineStr">
        <is>
          <t>2022–24 reported sales; department comparison through 2023. Current engine output available.</t>
        </is>
      </c>
      <c r="D5" s="3" t="inlineStr">
        <is>
          <t>2024 source choice; 2025–26 sales; grades, bunkers and segment scope.</t>
        </is>
      </c>
      <c r="E5" s="3" t="inlineStr">
        <is>
          <t>FIASA editions and department originals; matched production/trade/stocks.</t>
        </is>
      </c>
      <c r="F5" s="3" t="inlineStr">
        <is>
          <t>Manish / Nigel</t>
        </is>
      </c>
      <c r="G5" s="3" t="inlineStr">
        <is>
          <t>Reconcile source/product/period; record adopted national baseline.</t>
        </is>
      </c>
      <c r="H5" s="3" t="inlineStr">
        <is>
          <t>Before calibration or forecast acceptance.</t>
        </is>
      </c>
    </row>
    <row r="6" ht="100" customHeight="1">
      <c r="A6" s="3" t="inlineStr">
        <is>
          <t>G02</t>
        </is>
      </c>
      <c r="B6" s="3" t="inlineStr">
        <is>
          <t>Fleet and new sales</t>
        </is>
      </c>
      <c r="C6" s="3" t="inlineStr">
        <is>
          <t>2022–25 sales and December fleet snapshots; June 2026 stock separately.</t>
        </is>
      </c>
      <c r="D6" s="3" t="inlineStr">
        <is>
          <t>Opening stock by age/fuel/drivetrain; class mapping; survival and mileage.</t>
        </is>
      </c>
      <c r="E6" s="3" t="inlineStr">
        <is>
          <t>eNaTIS, NAAMSA and registration/odometer evidence.</t>
        </is>
      </c>
      <c r="F6" s="3" t="inlineStr">
        <is>
          <t>Manish / Nigel</t>
        </is>
      </c>
      <c r="G6" s="3" t="inlineStr">
        <is>
          <t>Reconcile observed stock with engine backfill; fit sales and survival.</t>
        </is>
      </c>
      <c r="H6" s="3" t="inlineStr">
        <is>
          <t>Before vehicle baseline adoption.</t>
        </is>
      </c>
    </row>
    <row r="7" ht="100" customHeight="1">
      <c r="A7" s="3" t="inlineStr">
        <is>
          <t>G03</t>
        </is>
      </c>
      <c r="B7" s="3" t="inlineStr">
        <is>
          <t>Passenger electrification</t>
        </is>
      </c>
      <c r="C7" s="3" t="inlineStr">
        <is>
          <t>2022–25 BEV/PHEV/HEV sales for total market.</t>
        </is>
      </c>
      <c r="D7" s="3" t="inlineStr">
        <is>
          <t>Passenger-specific denominators, fleet stock and hybrid fuel savings.</t>
        </is>
      </c>
      <c r="E7" s="3" t="inlineStr">
        <is>
          <t>NAAMSA class/drivetrain data and vehicle-use evidence.</t>
        </is>
      </c>
      <c r="F7" s="3" t="inlineStr">
        <is>
          <t>Manish / Nigel</t>
        </is>
      </c>
      <c r="G7" s="3" t="inlineStr">
        <is>
          <t>Separate sales shares from fleet shares; calibrate electric distance and fuel use.</t>
        </is>
      </c>
      <c r="H7" s="3" t="inlineStr">
        <is>
          <t>Before passenger H/M/L integration.</t>
        </is>
      </c>
    </row>
    <row r="8" ht="100" customHeight="1">
      <c r="A8" s="3" t="inlineStr">
        <is>
          <t>G04</t>
        </is>
      </c>
      <c r="B8" s="3" t="inlineStr">
        <is>
          <t>Road freight activity</t>
        </is>
      </c>
      <c r="C8" s="3" t="inlineStr">
        <is>
          <t>Annual road/rail payload through 2025; Jan–Jul 2026 separately; truck sales/stock.</t>
        </is>
      </c>
      <c r="D8" s="3" t="inlineStr">
        <is>
          <t>Tonne-km, distance, payload, empty running; LCV freight scope.</t>
        </is>
      </c>
      <c r="E8" s="3" t="inlineStr">
        <is>
          <t>Stats SA transport evidence, operators, corridor studies and fleet records.</t>
        </is>
      </c>
      <c r="F8" s="3" t="inlineStr">
        <is>
          <t>Manish / Nigel</t>
        </is>
      </c>
      <c r="G8" s="3" t="inlineStr">
        <is>
          <t>Choose fleet or tonne-km method; retain other as cross-check.</t>
        </is>
      </c>
      <c r="H8" s="3" t="inlineStr">
        <is>
          <t>Before freight fuel calibration.</t>
        </is>
      </c>
    </row>
    <row r="9" ht="100" customHeight="1">
      <c r="A9" s="3" t="inlineStr">
        <is>
          <t>G05</t>
        </is>
      </c>
      <c r="B9" s="3" t="inlineStr">
        <is>
          <t>Freight electrification</t>
        </is>
      </c>
      <c r="C9" s="3" t="inlineStr">
        <is>
          <t>Current generic EV curve is visible. No truck-specific observations established.</t>
        </is>
      </c>
      <c r="D9" s="3" t="inlineStr">
        <is>
          <t>Truck BEV/hybrid sales/stock by duty cycle; utilisation and charging rollout.</t>
        </is>
      </c>
      <c r="E9" s="3" t="inlineStr">
        <is>
          <t>Commercial-vehicle registrations/sales; depot and fleet operating evidence.</t>
        </is>
      </c>
      <c r="F9" s="3" t="inlineStr">
        <is>
          <t>Manish / Nigel</t>
        </is>
      </c>
      <c r="G9" s="3" t="inlineStr">
        <is>
          <t>Define delivery/regional/long-haul paths and coherent work shares.</t>
        </is>
      </c>
      <c r="H9" s="3" t="inlineStr">
        <is>
          <t>Before freight H/M/L integration.</t>
        </is>
      </c>
    </row>
    <row r="10" ht="100" customHeight="1">
      <c r="A10" s="3" t="inlineStr">
        <is>
          <t>G06</t>
        </is>
      </c>
      <c r="B10" s="3" t="inlineStr">
        <is>
          <t>Manufacturing</t>
        </is>
      </c>
      <c r="C10" s="3" t="inlineStr">
        <is>
          <t>2022–25 production/GVA; Jan–Jul 2026 production. 2021 industry parent available.</t>
        </is>
      </c>
      <c r="D10" s="3" t="inlineStr">
        <is>
          <t>Manufacturing-only fuel baseline, subsector intensity and electrification.</t>
        </is>
      </c>
      <c r="E10" s="3" t="inlineStr">
        <is>
          <t>2021 energy-balance subsectors; newer department/industry fuel records.</t>
        </is>
      </c>
      <c r="F10" s="3" t="inlineStr">
        <is>
          <t>Manish / Nigel</t>
        </is>
      </c>
      <c r="G10" s="3" t="inlineStr">
        <is>
          <t>Reconcile manufacturing children and unspecified industry; do not assign industry parent to manufacturing.</t>
        </is>
      </c>
      <c r="H10" s="3" t="inlineStr">
        <is>
          <t>Before splitting industrial engine bucket.</t>
        </is>
      </c>
    </row>
    <row r="11" ht="100" customHeight="1">
      <c r="A11" s="3" t="inlineStr">
        <is>
          <t>G07</t>
        </is>
      </c>
      <c r="B11" s="3" t="inlineStr">
        <is>
          <t>Mining and construction</t>
        </is>
      </c>
      <c r="C11" s="3" t="inlineStr">
        <is>
          <t>2021 mining/construction diesel anchors; 2022–25 mining activity, Jan–Jul 2026 index.</t>
        </is>
      </c>
      <c r="D11" s="3" t="inlineStr">
        <is>
          <t>2022+ fuel use; site/commodity split; off-road/public-road boundary; electrification.</t>
        </is>
      </c>
      <c r="E11" s="3" t="inlineStr">
        <is>
          <t>Mine/site fuel and production records; energy balance; industry disclosures.</t>
        </is>
      </c>
      <c r="F11" s="3" t="inlineStr">
        <is>
          <t>Manish / Nigel</t>
        </is>
      </c>
      <c r="G11" s="3" t="inlineStr">
        <is>
          <t>Match baseline/activity; preserve construction and unresolved remainder.</t>
        </is>
      </c>
      <c r="H11" s="3" t="inlineStr">
        <is>
          <t>Before separate mining forecast.</t>
        </is>
      </c>
    </row>
    <row r="12" ht="100" customHeight="1">
      <c r="A12" s="3" t="inlineStr">
        <is>
          <t>G08</t>
        </is>
      </c>
      <c r="B12" s="3" t="inlineStr">
        <is>
          <t>Agriculture</t>
        </is>
      </c>
      <c r="C12" s="3" t="inlineStr">
        <is>
          <t>2021 agriculture/forestry fuel anchor; 2022–25 real GVA.</t>
        </is>
      </c>
      <c r="D12" s="3" t="inlineStr">
        <is>
          <t>Newer fuel baseline; crop/area/irrigation activity; intensity and scope.</t>
        </is>
      </c>
      <c r="E12" s="3" t="inlineStr">
        <is>
          <t>Department energy balance, agricultural statistics and sector fuel-use records.</t>
        </is>
      </c>
      <c r="F12" s="3" t="inlineStr">
        <is>
          <t>Manish / Nigel</t>
        </is>
      </c>
      <c r="G12" s="3" t="inlineStr">
        <is>
          <t>Choose activity proxy and base year; reconcile forestry/fishing/backup coverage.</t>
        </is>
      </c>
      <c r="H12" s="3" t="inlineStr">
        <is>
          <t>Before replacing held GDP proxy.</t>
        </is>
      </c>
    </row>
    <row r="13" ht="100" customHeight="1">
      <c r="A13" s="3" t="inlineStr">
        <is>
          <t>G09</t>
        </is>
      </c>
      <c r="B13" s="3" t="inlineStr">
        <is>
          <t>Generation</t>
        </is>
      </c>
      <c r="C13" s="3" t="inlineStr">
        <is>
          <t>Eskom/IPP FY generation through March 2026; current engine inputs/output.</t>
        </is>
      </c>
      <c r="D13" s="3" t="inlineStr">
        <is>
          <t>Matched fuel burn, calendar-year bridge; private-backup coverage.</t>
        </is>
      </c>
      <c r="E13" s="3" t="inlineStr">
        <is>
          <t>Eskom/IPP operating and fuel records; private generator evidence.</t>
        </is>
      </c>
      <c r="F13" s="3" t="inlineStr">
        <is>
          <t>Manish / Henry</t>
        </is>
      </c>
      <c r="G13" s="3" t="inlineStr">
        <is>
          <t>Reconcile GWh-to-litres and sector overlaps; count private backup once.</t>
        </is>
      </c>
      <c r="H13" s="3" t="inlineStr">
        <is>
          <t>Before generation calibration.</t>
        </is>
      </c>
    </row>
    <row r="14" ht="100" customHeight="1">
      <c r="A14" s="3" t="inlineStr">
        <is>
          <t>G10</t>
        </is>
      </c>
      <c r="B14" s="3" t="inlineStr">
        <is>
          <t>Aviation</t>
        </is>
      </c>
      <c r="C14" s="3" t="inlineStr">
        <is>
          <t>2022–25 ACSA departures; Jan–Aug 2026 separately; jet sales through 2024.</t>
        </is>
      </c>
      <c r="D14" s="3" t="inlineStr">
        <is>
          <t>Aircraft/route mix, cargo/non-ACSA coverage and matched jet uplift.</t>
        </is>
      </c>
      <c r="E14" s="3" t="inlineStr">
        <is>
          <t>ACSA and airport/airline fuel delivery records.</t>
        </is>
      </c>
      <c r="F14" s="3" t="inlineStr">
        <is>
          <t>Manish / Nigel</t>
        </is>
      </c>
      <c r="G14" s="3" t="inlineStr">
        <is>
          <t>Fit proposed movement model and back-test; preserve source coverage.</t>
        </is>
      </c>
      <c r="H14" s="3" t="inlineStr">
        <is>
          <t>Before jet driver replacement.</t>
        </is>
      </c>
    </row>
    <row r="15" ht="100" customHeight="1">
      <c r="A15" s="3" t="inlineStr">
        <is>
          <t>G11</t>
        </is>
      </c>
      <c r="B15" s="3" t="inlineStr">
        <is>
          <t>Provincial demand</t>
        </is>
      </c>
      <c r="C15" s="3" t="inlineStr">
        <is>
          <t>2022 full-year sales; Q1 2023 separately. National difference retained.</t>
        </is>
      </c>
      <c r="D15" s="3" t="inlineStr">
        <is>
          <t>2023+ complete provincial fuel sales and sector-specific distribution.</t>
        </is>
      </c>
      <c r="E15" s="3" t="inlineStr">
        <is>
          <t>Department district/provincial workbooks and provincial/site activity sources.</t>
        </is>
      </c>
      <c r="F15" s="3" t="inlineStr">
        <is>
          <t>Manish / Nigel</t>
        </is>
      </c>
      <c r="G15" s="3" t="inlineStr">
        <is>
          <t>Resolve completeness; choose allocation or local calculation by segment.</t>
        </is>
      </c>
      <c r="H15" s="3" t="inlineStr">
        <is>
          <t>Before provincial forecast acceptance.</t>
        </is>
      </c>
    </row>
    <row r="16" ht="100" customHeight="1">
      <c r="A16" s="3" t="inlineStr">
        <is>
          <t>G12</t>
        </is>
      </c>
      <c r="B16" s="3" t="inlineStr">
        <is>
          <t>Marine and other coverage</t>
        </is>
      </c>
      <c r="C16" s="3" t="inlineStr">
        <is>
          <t>Current provisional port assumptions; national fuel-oil comparison.</t>
        </is>
      </c>
      <c r="D16" s="3" t="inlineStr">
        <is>
          <t>Observed port/product bunker volumes, activity, 2022–23 model history and coverage.</t>
        </is>
      </c>
      <c r="E16" s="3" t="inlineStr">
        <is>
          <t>Port/operator bunker data; marine market and energy-balance sources.</t>
        </is>
      </c>
      <c r="F16" s="3" t="inlineStr">
        <is>
          <t>Manish / Nigel</t>
        </is>
      </c>
      <c r="G16" s="3" t="inlineStr">
        <is>
          <t>Separate domestic/international bunkers; reconcile diesel grades and national sales.</t>
        </is>
      </c>
      <c r="H16" s="3" t="inlineStr">
        <is>
          <t>Before marine baseline adoption.</t>
        </is>
      </c>
    </row>
    <row r="17" ht="100" customHeight="1">
      <c r="A17" s="3" t="inlineStr">
        <is>
          <t>G13</t>
        </is>
      </c>
      <c r="B17" s="3" t="inlineStr">
        <is>
          <t>Ranges and annual forecast paths</t>
        </is>
      </c>
      <c r="C17" s="3" t="inlineStr">
        <is>
          <t>Existing proposed H/M/L endpoints retained on last tab.</t>
        </is>
      </c>
      <c r="D17" s="3" t="inlineStr">
        <is>
          <t>Agreed medium/reference, annual paths and compatible provincial/sector settings.</t>
        </is>
      </c>
      <c r="E17" s="3" t="inlineStr">
        <is>
          <t>Review existing lever design against the above baseline evidence.</t>
        </is>
      </c>
      <c r="F17" s="3" t="inlineStr">
        <is>
          <t>Nigel / Henry</t>
        </is>
      </c>
      <c r="G17" s="3" t="inlineStr">
        <is>
          <t>Select input ranges and scenario combinations; record acceptance and implementation.</t>
        </is>
      </c>
      <c r="H17" s="3" t="inlineStr">
        <is>
          <t>Before forecast integration.</t>
        </is>
      </c>
    </row>
    <row r="18" ht="100" customHeight="1">
      <c r="A18" s="3" t="n"/>
      <c r="B18" s="3" t="n"/>
      <c r="C18" s="3" t="n"/>
      <c r="D18" s="3" t="n"/>
      <c r="E18" s="3" t="n"/>
      <c r="F18" s="3" t="n"/>
      <c r="G18" s="3" t="n"/>
      <c r="H18" s="3" t="n"/>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E376"/>
  <sheetViews>
    <sheetView showGridLines="0" workbookViewId="0">
      <pane ySplit="4" topLeftCell="A5" activePane="bottomLeft" state="frozen"/>
      <selection activeCell="A1" sqref="A1"/>
    </sheetView>
  </sheetViews>
  <sheetFormatPr baseColWidth="8" defaultRowHeight="15"/>
  <cols>
    <col width="8.75" customWidth="1" min="1" max="1"/>
    <col width="16.25" customWidth="1" min="2" max="2"/>
    <col width="8.75" customWidth="1" min="3" max="3"/>
    <col width="31.25" customWidth="1" min="4" max="4"/>
    <col width="107.5" customWidth="1" min="5" max="5"/>
  </cols>
  <sheetData>
    <row r="1" ht="25" customHeight="1">
      <c r="A1" s="5" t="inlineStr">
        <is>
          <t>Detailed notes</t>
        </is>
      </c>
      <c r="B1" s="3" t="n"/>
      <c r="C1" s="3" t="n"/>
      <c r="D1" s="3" t="n"/>
      <c r="E1" s="3" t="n"/>
    </row>
    <row r="2" ht="21" customHeight="1">
      <c r="A2" s="6" t="inlineStr">
        <is>
          <t>Full descriptions retained from the working tables. Match the N-reference or sheet/cell below.</t>
        </is>
      </c>
      <c r="B2" s="3" t="n"/>
      <c r="C2" s="3" t="n"/>
      <c r="D2" s="3" t="n"/>
      <c r="E2" s="3" t="n"/>
    </row>
    <row r="3" ht="8" customHeight="1">
      <c r="A3" s="3" t="n"/>
      <c r="B3" s="3" t="n"/>
      <c r="C3" s="3" t="n"/>
      <c r="D3" s="3" t="n"/>
      <c r="E3" s="3" t="n"/>
    </row>
    <row r="4" ht="28" customHeight="1">
      <c r="A4" s="113" t="inlineStr">
        <is>
          <t>Reference</t>
        </is>
      </c>
      <c r="B4" s="113" t="inlineStr">
        <is>
          <t>Sheet</t>
        </is>
      </c>
      <c r="C4" s="113" t="inlineStr">
        <is>
          <t>Cell</t>
        </is>
      </c>
      <c r="D4" s="113" t="inlineStr">
        <is>
          <t>Driver / output</t>
        </is>
      </c>
      <c r="E4" s="113" t="inlineStr">
        <is>
          <t>Full text</t>
        </is>
      </c>
    </row>
    <row r="5" ht="42" customHeight="1">
      <c r="A5" s="3" t="inlineStr">
        <is>
          <t>N001</t>
        </is>
      </c>
      <c r="B5" s="3" t="inlineStr">
        <is>
          <t>Baseline</t>
        </is>
      </c>
      <c r="C5" s="3" t="inlineStr">
        <is>
          <t>E6</t>
        </is>
      </c>
      <c r="D5" s="3" t="inlineStr">
        <is>
          <t>Selected historical petrol sales</t>
        </is>
      </c>
      <c r="E5" s="3" t="inlineStr">
        <is>
          <t>Choice is explicit by year on Source selection. Alternative series remain on Evidence.</t>
        </is>
      </c>
    </row>
    <row r="6" ht="42" customHeight="1">
      <c r="A6" s="3" t="inlineStr">
        <is>
          <t>N002</t>
        </is>
      </c>
      <c r="B6" s="3" t="inlineStr">
        <is>
          <t>Baseline</t>
        </is>
      </c>
      <c r="C6" s="3" t="inlineStr">
        <is>
          <t>E7</t>
        </is>
      </c>
      <c r="D6" s="3" t="inlineStr">
        <is>
          <t>Historical source / status</t>
        </is>
      </c>
      <c r="E6" s="3" t="inlineStr">
        <is>
          <t>Source name shown when available; no automatic fallback if selected evidence is missing.</t>
        </is>
      </c>
    </row>
    <row r="7" ht="42" customHeight="1">
      <c r="A7" s="3" t="inlineStr">
        <is>
          <t>N003</t>
        </is>
      </c>
      <c r="B7" s="3" t="inlineStr">
        <is>
          <t>Baseline</t>
        </is>
      </c>
      <c r="C7" s="3" t="inlineStr">
        <is>
          <t>E8</t>
        </is>
      </c>
      <c r="D7" s="3" t="inlineStr">
        <is>
          <t>Current model road petrol</t>
        </is>
      </c>
      <c r="E7" s="3" t="inlineStr">
        <is>
          <t>Passenger + LCV petrol_95. Reported sales cover petrol grades; scope bridge remains open.</t>
        </is>
      </c>
    </row>
    <row r="8" ht="42" customHeight="1">
      <c r="A8" s="3" t="inlineStr">
        <is>
          <t>N004</t>
        </is>
      </c>
      <c r="B8" s="3" t="inlineStr">
        <is>
          <t>Baseline</t>
        </is>
      </c>
      <c r="C8" s="3" t="inlineStr">
        <is>
          <t>E9</t>
        </is>
      </c>
      <c r="D8" s="3" t="inlineStr">
        <is>
          <t>Model less selected historical sales</t>
        </is>
      </c>
      <c r="E8" s="3" t="inlineStr">
        <is>
          <t>Working discrepancy, not a calibrated residual or extra segment.</t>
        </is>
      </c>
    </row>
    <row r="9" ht="42" customHeight="1">
      <c r="A9" s="3" t="inlineStr">
        <is>
          <t>N005</t>
        </is>
      </c>
      <c r="B9" s="3" t="inlineStr">
        <is>
          <t>Baseline</t>
        </is>
      </c>
      <c r="C9" s="3" t="inlineStr">
        <is>
          <t>E12</t>
        </is>
      </c>
      <c r="D9" s="3" t="inlineStr">
        <is>
          <t>Selected historical diesel sales</t>
        </is>
      </c>
      <c r="E9" s="3" t="inlineStr">
        <is>
          <t>Choice is explicit by year on Source selection. Alternative series remain on Evidence.</t>
        </is>
      </c>
    </row>
    <row r="10" ht="42" customHeight="1">
      <c r="A10" s="3" t="inlineStr">
        <is>
          <t>N006</t>
        </is>
      </c>
      <c r="B10" s="3" t="inlineStr">
        <is>
          <t>Baseline</t>
        </is>
      </c>
      <c r="C10" s="3" t="inlineStr">
        <is>
          <t>E13</t>
        </is>
      </c>
      <c r="D10" s="3" t="inlineStr">
        <is>
          <t>Historical source / status</t>
        </is>
      </c>
      <c r="E10" s="3" t="inlineStr">
        <is>
          <t>Source name shown when available; no automatic fallback if selected evidence is missing.</t>
        </is>
      </c>
    </row>
    <row r="11" ht="42" customHeight="1">
      <c r="A11" s="3" t="inlineStr">
        <is>
          <t>N007</t>
        </is>
      </c>
      <c r="B11" s="3" t="inlineStr">
        <is>
          <t>Baseline</t>
        </is>
      </c>
      <c r="C11" s="3" t="inlineStr">
        <is>
          <t>E14</t>
        </is>
      </c>
      <c r="D11" s="3" t="inlineStr">
        <is>
          <t>All road diesel</t>
        </is>
      </c>
      <c r="E11" s="3" t="inlineStr">
        <is>
          <t>Passenger + LCV + HCV diesel; HCV alone is not national freight demand.</t>
        </is>
      </c>
    </row>
    <row r="12" ht="42" customHeight="1">
      <c r="A12" s="3" t="inlineStr">
        <is>
          <t>N008</t>
        </is>
      </c>
      <c r="B12" s="3" t="inlineStr">
        <is>
          <t>Baseline</t>
        </is>
      </c>
      <c r="C12" s="3" t="inlineStr">
        <is>
          <t>E15</t>
        </is>
      </c>
      <c r="D12" s="3" t="inlineStr">
        <is>
          <t>Grid OCGT diesel</t>
        </is>
      </c>
      <c r="E12" s="3" t="inlineStr">
        <is>
          <t>Operational plant set and current load-factor path. Private backup is not separately calibrated.</t>
        </is>
      </c>
    </row>
    <row r="13" ht="42" customHeight="1">
      <c r="A13" s="3" t="inlineStr">
        <is>
          <t>N009</t>
        </is>
      </c>
      <c r="B13" s="3" t="inlineStr">
        <is>
          <t>Baseline</t>
        </is>
      </c>
      <c r="C13" s="3" t="inlineStr">
        <is>
          <t>E16</t>
        </is>
      </c>
      <c r="D13" s="3" t="inlineStr">
        <is>
          <t>Agricultural diesel</t>
        </is>
      </c>
      <c r="E13" s="3" t="inlineStr">
        <is>
          <t>Held GDP/capita method with provisional 2024 baseline.</t>
        </is>
      </c>
    </row>
    <row r="14" ht="42" customHeight="1">
      <c r="A14" s="3" t="inlineStr">
        <is>
          <t>N010</t>
        </is>
      </c>
      <c r="B14" s="3" t="inlineStr">
        <is>
          <t>Baseline</t>
        </is>
      </c>
      <c r="C14" s="3" t="inlineStr">
        <is>
          <t>E17</t>
        </is>
      </c>
      <c r="D14" s="3" t="inlineStr">
        <is>
          <t>Combined industrial diesel</t>
        </is>
      </c>
      <c r="E14" s="3" t="inlineStr">
        <is>
          <t>Manufacturing + mining + construction remain ONE aggregate engine bucket.</t>
        </is>
      </c>
    </row>
    <row r="15" ht="42" customHeight="1">
      <c r="A15" s="3" t="inlineStr">
        <is>
          <t>N011</t>
        </is>
      </c>
      <c r="B15" s="3" t="inlineStr">
        <is>
          <t>Baseline</t>
        </is>
      </c>
      <c r="C15" s="3" t="inlineStr">
        <is>
          <t>E18</t>
        </is>
      </c>
      <c r="D15" s="3" t="inlineStr">
        <is>
          <t>Marine diesel</t>
        </is>
      </c>
      <c r="E15" s="3" t="inlineStr">
        <is>
          <t>Marine diesel_500ppm. No 2022-23 backcast provided by current marine engine.</t>
        </is>
      </c>
    </row>
    <row r="16" ht="42" customHeight="1">
      <c r="A16" s="3" t="inlineStr">
        <is>
          <t>N012</t>
        </is>
      </c>
      <c r="B16" s="3" t="inlineStr">
        <is>
          <t>Baseline</t>
        </is>
      </c>
      <c r="C16" s="3" t="inlineStr">
        <is>
          <t>E19</t>
        </is>
      </c>
      <c r="D16" s="3" t="inlineStr">
        <is>
          <t>Total model diesel</t>
        </is>
      </c>
      <c r="E16" s="3" t="inlineStr">
        <is>
          <t>Sum rows 14-18 once. Includes marine diesel; comparator bunker/grade scope unresolved.</t>
        </is>
      </c>
    </row>
    <row r="17" ht="42" customHeight="1">
      <c r="A17" s="3" t="inlineStr">
        <is>
          <t>N013</t>
        </is>
      </c>
      <c r="B17" s="3" t="inlineStr">
        <is>
          <t>Baseline</t>
        </is>
      </c>
      <c r="C17" s="3" t="inlineStr">
        <is>
          <t>E20</t>
        </is>
      </c>
      <c r="D17" s="3" t="inlineStr">
        <is>
          <t>Model less selected historical sales</t>
        </is>
      </c>
      <c r="E17" s="3" t="inlineStr">
        <is>
          <t>Difference is a diagnostic, not evidence of additional measured demand.</t>
        </is>
      </c>
    </row>
    <row r="18" ht="42" customHeight="1">
      <c r="A18" s="3" t="inlineStr">
        <is>
          <t>N014</t>
        </is>
      </c>
      <c r="B18" s="3" t="inlineStr">
        <is>
          <t>Baseline</t>
        </is>
      </c>
      <c r="C18" s="3" t="inlineStr">
        <is>
          <t>E21</t>
        </is>
      </c>
      <c r="D18" s="3" t="inlineStr">
        <is>
          <t>Manufacturing-only baseline</t>
        </is>
      </c>
      <c r="E18" s="3" t="inlineStr">
        <is>
          <t>Contained within the combined industrial model. Not added again.</t>
        </is>
      </c>
    </row>
    <row r="19" ht="42" customHeight="1">
      <c r="A19" s="3" t="inlineStr">
        <is>
          <t>N015</t>
        </is>
      </c>
      <c r="B19" s="3" t="inlineStr">
        <is>
          <t>Baseline</t>
        </is>
      </c>
      <c r="C19" s="3" t="inlineStr">
        <is>
          <t>U21</t>
        </is>
      </c>
      <c r="D19" s="3" t="inlineStr">
        <is>
          <t>Manufacturing-only baseline</t>
        </is>
      </c>
      <c r="E19" s="3" t="inlineStr">
        <is>
          <t>https://github.com/Africa-International-Advisors/liquid_fuels_model/blob/8c69f8333192483f19cd80911cb90fcd0943eb6b/assumptions/2026/timeseries/energy_balance_department.csv</t>
        </is>
      </c>
    </row>
    <row r="20" ht="42" customHeight="1">
      <c r="A20" s="3" t="inlineStr">
        <is>
          <t>N016</t>
        </is>
      </c>
      <c r="B20" s="3" t="inlineStr">
        <is>
          <t>Baseline</t>
        </is>
      </c>
      <c r="C20" s="3" t="inlineStr">
        <is>
          <t>E22</t>
        </is>
      </c>
      <c r="D20" s="3" t="inlineStr">
        <is>
          <t>Mining-only baseline</t>
        </is>
      </c>
      <c r="E20" s="3" t="inlineStr">
        <is>
          <t>D is a 2021 source anchor in million litres, NOT a 2022+ observation. Not added again.</t>
        </is>
      </c>
    </row>
    <row r="21" ht="42" customHeight="1">
      <c r="A21" s="3" t="inlineStr">
        <is>
          <t>N017</t>
        </is>
      </c>
      <c r="B21" s="3" t="inlineStr">
        <is>
          <t>Baseline</t>
        </is>
      </c>
      <c r="C21" s="3" t="inlineStr">
        <is>
          <t>U22</t>
        </is>
      </c>
      <c r="D21" s="3" t="inlineStr">
        <is>
          <t>Mining-only baseline</t>
        </is>
      </c>
      <c r="E21" s="3" t="inlineStr">
        <is>
          <t>https://github.com/Africa-International-Advisors/liquid_fuels_model/blob/8c69f8333192483f19cd80911cb90fcd0943eb6b/assumptions/2026/timeseries/energy_balance_department.csv</t>
        </is>
      </c>
    </row>
    <row r="22" ht="42" customHeight="1">
      <c r="A22" s="3" t="inlineStr">
        <is>
          <t>N018</t>
        </is>
      </c>
      <c r="B22" s="3" t="inlineStr">
        <is>
          <t>Baseline</t>
        </is>
      </c>
      <c r="C22" s="3" t="inlineStr">
        <is>
          <t>E23</t>
        </is>
      </c>
      <c r="D22" s="3" t="inlineStr">
        <is>
          <t>Private backup / other diesel</t>
        </is>
      </c>
      <c r="E22" s="3" t="inlineStr">
        <is>
          <t>No extra quantity assumed. Determine what is already embedded in sectors.</t>
        </is>
      </c>
    </row>
    <row r="23" ht="42" customHeight="1">
      <c r="A23" s="3" t="inlineStr">
        <is>
          <t>N019</t>
        </is>
      </c>
      <c r="B23" s="3" t="inlineStr">
        <is>
          <t>Baseline</t>
        </is>
      </c>
      <c r="C23" s="3" t="inlineStr">
        <is>
          <t>E26</t>
        </is>
      </c>
      <c r="D23" s="3" t="inlineStr">
        <is>
          <t>Selected historical jet sales</t>
        </is>
      </c>
      <c r="E23" s="3" t="inlineStr">
        <is>
          <t>Choice is explicit by year on Source selection. Alternative series remain on Evidence.</t>
        </is>
      </c>
    </row>
    <row r="24" ht="42" customHeight="1">
      <c r="A24" s="3" t="inlineStr">
        <is>
          <t>N020</t>
        </is>
      </c>
      <c r="B24" s="3" t="inlineStr">
        <is>
          <t>Baseline</t>
        </is>
      </c>
      <c r="C24" s="3" t="inlineStr">
        <is>
          <t>E27</t>
        </is>
      </c>
      <c r="D24" s="3" t="inlineStr">
        <is>
          <t>Historical source / status</t>
        </is>
      </c>
      <c r="E24" s="3" t="inlineStr">
        <is>
          <t>Source name shown when available; no automatic fallback if selected evidence is missing.</t>
        </is>
      </c>
    </row>
    <row r="25" ht="42" customHeight="1">
      <c r="A25" s="3" t="inlineStr">
        <is>
          <t>N021</t>
        </is>
      </c>
      <c r="B25" s="3" t="inlineStr">
        <is>
          <t>Baseline</t>
        </is>
      </c>
      <c r="C25" s="3" t="inlineStr">
        <is>
          <t>E28</t>
        </is>
      </c>
      <c r="D25" s="3" t="inlineStr">
        <is>
          <t>Current model jet</t>
        </is>
      </c>
      <c r="E25" s="3" t="inlineStr">
        <is>
          <t>Legacy GDP/capita and passenger regression; movement-driver proposal not integrated.</t>
        </is>
      </c>
    </row>
    <row r="26" ht="42" customHeight="1">
      <c r="A26" s="3" t="inlineStr">
        <is>
          <t>N022</t>
        </is>
      </c>
      <c r="B26" s="3" t="inlineStr">
        <is>
          <t>Baseline</t>
        </is>
      </c>
      <c r="C26" s="3" t="inlineStr">
        <is>
          <t>E29</t>
        </is>
      </c>
      <c r="D26" s="3" t="inlineStr">
        <is>
          <t>Model less selected historical sales</t>
        </is>
      </c>
      <c r="E26" s="3" t="inlineStr">
        <is>
          <t>Scope/reconciliation diagnostic.</t>
        </is>
      </c>
    </row>
    <row r="27" ht="42" customHeight="1">
      <c r="A27" s="3" t="inlineStr">
        <is>
          <t>N023</t>
        </is>
      </c>
      <c r="B27" s="3" t="inlineStr">
        <is>
          <t>Baseline</t>
        </is>
      </c>
      <c r="C27" s="3" t="inlineStr">
        <is>
          <t>E32</t>
        </is>
      </c>
      <c r="D27" s="3" t="inlineStr">
        <is>
          <t>Selected historical fuel oil sales</t>
        </is>
      </c>
      <c r="E27" s="3" t="inlineStr">
        <is>
          <t>Choice is explicit by year on Source selection. Alternative series remain on Evidence.</t>
        </is>
      </c>
    </row>
    <row r="28" ht="42" customHeight="1">
      <c r="A28" s="3" t="inlineStr">
        <is>
          <t>N024</t>
        </is>
      </c>
      <c r="B28" s="3" t="inlineStr">
        <is>
          <t>Baseline</t>
        </is>
      </c>
      <c r="C28" s="3" t="inlineStr">
        <is>
          <t>E33</t>
        </is>
      </c>
      <c r="D28" s="3" t="inlineStr">
        <is>
          <t>Current model marine fuel oil</t>
        </is>
      </c>
      <c r="E28" s="3" t="inlineStr">
        <is>
          <t>Marine component only. Do not treat difference from national fuel oil as a model error without scope bridge.</t>
        </is>
      </c>
    </row>
    <row r="29" ht="42" customHeight="1">
      <c r="A29" s="3" t="inlineStr">
        <is>
          <t>N025</t>
        </is>
      </c>
      <c r="B29" s="3" t="inlineStr">
        <is>
          <t>Baseline</t>
        </is>
      </c>
      <c r="C29" s="3" t="inlineStr">
        <is>
          <t>E35</t>
        </is>
      </c>
      <c r="D29" s="3" t="inlineStr">
        <is>
          <t>Baseline selection</t>
        </is>
      </c>
      <c r="E29" s="3" t="inlineStr">
        <is>
          <t>Historical comparator selection is explicit on Source selection. It does not calibrate the Python engine or approve a medium forecast.</t>
        </is>
      </c>
    </row>
    <row r="30" ht="42" customHeight="1">
      <c r="A30" s="3" t="inlineStr">
        <is>
          <t>N026</t>
        </is>
      </c>
      <c r="B30" s="3" t="inlineStr">
        <is>
          <t>Baseline</t>
        </is>
      </c>
      <c r="C30" s="3" t="inlineStr">
        <is>
          <t>E36</t>
        </is>
      </c>
      <c r="D30" s="3" t="inlineStr">
        <is>
          <t>Latest partial periods</t>
        </is>
      </c>
      <c r="E30" s="3" t="inlineStr">
        <is>
          <t>Full annual observations occupy year columns. A separate D value records latest YTD total, YTD mean or dated stock snapshot where available.</t>
        </is>
      </c>
    </row>
    <row r="31" ht="42" customHeight="1">
      <c r="A31" s="3" t="inlineStr">
        <is>
          <t>N027</t>
        </is>
      </c>
      <c r="B31" s="3" t="inlineStr">
        <is>
          <t>Baseline</t>
        </is>
      </c>
      <c r="C31" s="3" t="inlineStr">
        <is>
          <t>E37</t>
        </is>
      </c>
      <c r="D31" s="3" t="inlineStr">
        <is>
          <t>Run provenance</t>
        </is>
      </c>
      <c r="E31" s="3" t="inlineStr">
        <is>
          <t>Commit 8c69f8333192483f19cd80911cb90fcd0943eb6b; vintage 2026; high_demand; 2026-10-07T10:29:14.203830+00:00</t>
        </is>
      </c>
    </row>
    <row r="32" ht="42" customHeight="1">
      <c r="A32" s="3" t="inlineStr">
        <is>
          <t>N028</t>
        </is>
      </c>
      <c r="B32" s="3" t="inlineStr">
        <is>
          <t>Baseline</t>
        </is>
      </c>
      <c r="C32" s="3" t="inlineStr">
        <is>
          <t>U37</t>
        </is>
      </c>
      <c r="D32" s="3" t="inlineStr">
        <is>
          <t>Run provenance</t>
        </is>
      </c>
      <c r="E32" s="3" t="inlineStr">
        <is>
          <t>https://github.com/Africa-International-Advisors/liquid_fuels_model/blob/8c69f8333192483f19cd80911cb90fcd0943eb6b/GATE_CHECKLIST.md</t>
        </is>
      </c>
    </row>
    <row r="33" ht="42" customHeight="1">
      <c r="A33" s="3" t="inlineStr">
        <is>
          <t>N029</t>
        </is>
      </c>
      <c r="B33" s="3" t="inlineStr">
        <is>
          <t>Petrol</t>
        </is>
      </c>
      <c r="C33" s="3" t="inlineStr">
        <is>
          <t>E14</t>
        </is>
      </c>
      <c r="D33" s="3" t="inlineStr">
        <is>
          <t>New-cohort efficiency gain</t>
        </is>
      </c>
      <c r="E33" s="3" t="inlineStr">
        <is>
          <t>Applied cumulatively to new cohorts; older cohorts retain their entry efficiency.</t>
        </is>
      </c>
    </row>
    <row r="34" ht="42" customHeight="1">
      <c r="A34" s="3" t="inlineStr">
        <is>
          <t>N030</t>
        </is>
      </c>
      <c r="B34" s="3" t="inlineStr">
        <is>
          <t>Petrol</t>
        </is>
      </c>
      <c r="C34" s="3" t="inlineStr">
        <is>
          <t>E18</t>
        </is>
      </c>
      <c r="D34" s="3" t="inlineStr">
        <is>
          <t>Passenger petrol fleet</t>
        </is>
      </c>
      <c r="E34" s="3" t="inlineStr">
        <is>
          <t>Cohort stock from engine diagnostics. Opening stock is backfilled, not a verified registration total.</t>
        </is>
      </c>
    </row>
    <row r="35" ht="42" customHeight="1">
      <c r="A35" s="3" t="inlineStr">
        <is>
          <t>N031</t>
        </is>
      </c>
      <c r="B35" s="3" t="inlineStr">
        <is>
          <t>Petrol</t>
        </is>
      </c>
      <c r="C35" s="3" t="inlineStr">
        <is>
          <t>E26</t>
        </is>
      </c>
      <c r="D35" s="3" t="inlineStr">
        <is>
          <t>New passenger sales / BEV share</t>
        </is>
      </c>
      <c r="E35" s="3" t="inlineStr">
        <is>
          <t>New sales evidence is now in rows 35-41. Class-specific adoption remains missing.</t>
        </is>
      </c>
    </row>
    <row r="36" ht="42" customHeight="1">
      <c r="A36" s="3" t="inlineStr">
        <is>
          <t>N032</t>
        </is>
      </c>
      <c r="B36" s="3" t="inlineStr">
        <is>
          <t>Petrol</t>
        </is>
      </c>
      <c r="C36" s="3" t="inlineStr">
        <is>
          <t>E27</t>
        </is>
      </c>
      <c r="D36" s="3" t="inlineStr">
        <is>
          <t>Verified opening fleet</t>
        </is>
      </c>
      <c r="E36" s="3" t="inlineStr">
        <is>
          <t>All-drivetrain stock is in row 36. Petrol-only opening fleet and age distribution remain unresolved.</t>
        </is>
      </c>
    </row>
    <row r="37" ht="42" customHeight="1">
      <c r="A37" s="3" t="inlineStr">
        <is>
          <t>N033</t>
        </is>
      </c>
      <c r="B37" s="3" t="inlineStr">
        <is>
          <t>Petrol</t>
        </is>
      </c>
      <c r="C37" s="3" t="inlineStr">
        <is>
          <t>E28</t>
        </is>
      </c>
      <c r="D37" s="3" t="inlineStr">
        <is>
          <t>Reported total petrol sales</t>
        </is>
      </c>
      <c r="E37" s="3" t="inlineStr">
        <is>
          <t>FIASA staged reported sales; latest edition selected by existing extract. 2024 revisions unresolved; not verified consumption.</t>
        </is>
      </c>
    </row>
    <row r="38" ht="42" customHeight="1">
      <c r="A38" s="3" t="inlineStr">
        <is>
          <t>N034</t>
        </is>
      </c>
      <c r="B38" s="3" t="inlineStr">
        <is>
          <t>Petrol</t>
        </is>
      </c>
      <c r="C38" s="3" t="inlineStr">
        <is>
          <t>T28</t>
        </is>
      </c>
      <c r="D38" s="3" t="inlineStr">
        <is>
          <t>Reported total petrol sales</t>
        </is>
      </c>
      <c r="E38" s="3" t="inlineStr">
        <is>
          <t>Unreviewed source extract; annual cells contain complete periods only.</t>
        </is>
      </c>
    </row>
    <row r="39" ht="42" customHeight="1">
      <c r="A39" s="3" t="inlineStr">
        <is>
          <t>N035</t>
        </is>
      </c>
      <c r="B39" s="3" t="inlineStr">
        <is>
          <t>Petrol</t>
        </is>
      </c>
      <c r="C39" s="3" t="inlineStr">
        <is>
          <t>V28</t>
        </is>
      </c>
      <c r="D39" s="3" t="inlineStr">
        <is>
          <t>Reported total petrol sales</t>
        </is>
      </c>
      <c r="E39" s="3" t="inlineStr">
        <is>
          <t>All-product comparator; compare with road total, not just passenger demand.</t>
        </is>
      </c>
    </row>
    <row r="40" ht="42" customHeight="1">
      <c r="A40" s="3" t="inlineStr">
        <is>
          <t>N036</t>
        </is>
      </c>
      <c r="B40" s="3" t="inlineStr">
        <is>
          <t>Petrol</t>
        </is>
      </c>
      <c r="C40" s="3" t="inlineStr">
        <is>
          <t>E30</t>
        </is>
      </c>
      <c r="D40" s="3" t="inlineStr">
        <is>
          <t>Source</t>
        </is>
      </c>
      <c r="E40" s="3" t="inlineStr">
        <is>
          <t>https://github.com/Africa-International-Advisors/liquid_fuels_model/blob/8c69f8333192483f19cd80911cb90fcd0943eb6b/assumptions/2026/vehicles.yaml</t>
        </is>
      </c>
    </row>
    <row r="41" ht="42" customHeight="1">
      <c r="A41" s="3" t="inlineStr">
        <is>
          <t>N037</t>
        </is>
      </c>
      <c r="B41" s="3" t="inlineStr">
        <is>
          <t>Petrol</t>
        </is>
      </c>
      <c r="C41" s="3" t="inlineStr">
        <is>
          <t>E31</t>
        </is>
      </c>
      <c r="D41" s="3" t="inlineStr">
        <is>
          <t>Calculation source</t>
        </is>
      </c>
      <c r="E41" s="3" t="inlineStr">
        <is>
          <t>https://github.com/Africa-International-Advisors/liquid_fuels_model/blob/8c69f8333192483f19cd80911cb90fcd0943eb6b/src/lfm/model/demand/vehicles.py</t>
        </is>
      </c>
    </row>
    <row r="42" ht="42" customHeight="1">
      <c r="A42" s="3" t="inlineStr">
        <is>
          <t>N038</t>
        </is>
      </c>
      <c r="B42" s="3" t="inlineStr">
        <is>
          <t>Petrol</t>
        </is>
      </c>
      <c r="C42" s="3" t="inlineStr">
        <is>
          <t>E32</t>
        </is>
      </c>
      <c r="D42" s="3" t="inlineStr">
        <is>
          <t>Macro / efficiency sources</t>
        </is>
      </c>
      <c r="E42" s="3" t="inlineStr">
        <is>
          <t>https://github.com/Africa-International-Advisors/liquid_fuels_model/blob/8c69f8333192483f19cd80911cb90fcd0943eb6b/assumptions/2026/macro.yaml</t>
        </is>
      </c>
    </row>
    <row r="43" ht="42" customHeight="1">
      <c r="A43" s="3" t="inlineStr">
        <is>
          <t>N039</t>
        </is>
      </c>
      <c r="B43" s="3" t="inlineStr">
        <is>
          <t>Petrol</t>
        </is>
      </c>
      <c r="C43" s="3" t="inlineStr">
        <is>
          <t>E35</t>
        </is>
      </c>
      <c r="D43" s="3" t="inlineStr">
        <is>
          <t>New passenger-car sales</t>
        </is>
      </c>
      <c r="E43" s="3" t="inlineStr">
        <is>
          <t>NAAMSA actual new sales. Published 2026/27 projections excluded from observed rows.</t>
        </is>
      </c>
    </row>
    <row r="44" ht="42" customHeight="1">
      <c r="A44" s="3" t="inlineStr">
        <is>
          <t>N040</t>
        </is>
      </c>
      <c r="B44" s="3" t="inlineStr">
        <is>
          <t>Petrol</t>
        </is>
      </c>
      <c r="C44" s="3" t="inlineStr">
        <is>
          <t>T35</t>
        </is>
      </c>
      <c r="D44" s="3" t="inlineStr">
        <is>
          <t>New passenger-car sales</t>
        </is>
      </c>
      <c r="E44" s="3" t="inlineStr">
        <is>
          <t>Unreviewed source extract; annual cells contain complete periods only.</t>
        </is>
      </c>
    </row>
    <row r="45" ht="42" customHeight="1">
      <c r="A45" s="3" t="inlineStr">
        <is>
          <t>N041</t>
        </is>
      </c>
      <c r="B45" s="3" t="inlineStr">
        <is>
          <t>Petrol</t>
        </is>
      </c>
      <c r="C45" s="3" t="inlineStr">
        <is>
          <t>U35</t>
        </is>
      </c>
      <c r="D45" s="3" t="inlineStr">
        <is>
          <t>New passenger-car sales</t>
        </is>
      </c>
      <c r="E45" s="3" t="inlineStr">
        <is>
          <t>Evidence row 13; assumptions/2026/timeseries/new_vehicle_market_naamsa.csv</t>
        </is>
      </c>
    </row>
    <row r="46" ht="42" customHeight="1">
      <c r="A46" s="3" t="inlineStr">
        <is>
          <t>N042</t>
        </is>
      </c>
      <c r="B46" s="3" t="inlineStr">
        <is>
          <t>Petrol</t>
        </is>
      </c>
      <c r="C46" s="3" t="inlineStr">
        <is>
          <t>V35</t>
        </is>
      </c>
      <c r="D46" s="3" t="inlineStr">
        <is>
          <t>New passenger-car sales</t>
        </is>
      </c>
      <c r="E46" s="3" t="inlineStr">
        <is>
          <t>G02: fit class-specific sales and compare with current regression.</t>
        </is>
      </c>
    </row>
    <row r="47" ht="42" customHeight="1">
      <c r="A47" s="3" t="inlineStr">
        <is>
          <t>N043</t>
        </is>
      </c>
      <c r="B47" s="3" t="inlineStr">
        <is>
          <t>Petrol</t>
        </is>
      </c>
      <c r="C47" s="3" t="inlineStr">
        <is>
          <t>E36</t>
        </is>
      </c>
      <c r="D47" s="3" t="inlineStr">
        <is>
          <t>Registered cars, all drivetrains</t>
        </is>
      </c>
      <c r="E47" s="3" t="inlineStr">
        <is>
          <t>eNaTIS December snapshots; latest June 2026 kept separately. No fuel/drivetrain split. Latest value in D: 2026-06, snapshot.</t>
        </is>
      </c>
    </row>
    <row r="48" ht="42" customHeight="1">
      <c r="A48" s="3" t="inlineStr">
        <is>
          <t>N044</t>
        </is>
      </c>
      <c r="B48" s="3" t="inlineStr">
        <is>
          <t>Petrol</t>
        </is>
      </c>
      <c r="C48" s="3" t="inlineStr">
        <is>
          <t>T36</t>
        </is>
      </c>
      <c r="D48" s="3" t="inlineStr">
        <is>
          <t>Registered cars, all drivetrains</t>
        </is>
      </c>
      <c r="E48" s="3" t="inlineStr">
        <is>
          <t>Unreviewed source extract; annual cells contain complete periods only.</t>
        </is>
      </c>
    </row>
    <row r="49" ht="42" customHeight="1">
      <c r="A49" s="3" t="inlineStr">
        <is>
          <t>N045</t>
        </is>
      </c>
      <c r="B49" s="3" t="inlineStr">
        <is>
          <t>Petrol</t>
        </is>
      </c>
      <c r="C49" s="3" t="inlineStr">
        <is>
          <t>U36</t>
        </is>
      </c>
      <c r="D49" s="3" t="inlineStr">
        <is>
          <t>Registered cars, all drivetrains</t>
        </is>
      </c>
      <c r="E49" s="3" t="inlineStr">
        <is>
          <t>Evidence row 20; assumptions/2026/timeseries/vehicle_population_natis.csv</t>
        </is>
      </c>
    </row>
    <row r="50" ht="42" customHeight="1">
      <c r="A50" s="3" t="inlineStr">
        <is>
          <t>N046</t>
        </is>
      </c>
      <c r="B50" s="3" t="inlineStr">
        <is>
          <t>Petrol</t>
        </is>
      </c>
      <c r="C50" s="3" t="inlineStr">
        <is>
          <t>E37</t>
        </is>
      </c>
      <c r="D50" s="3" t="inlineStr">
        <is>
          <t>BEV new sales - all market</t>
        </is>
      </c>
      <c r="E50" s="3" t="inlineStr">
        <is>
          <t>All-market drivetrain sales; passenger/truck split is not supplied. Do not assign all to passenger or freight.</t>
        </is>
      </c>
    </row>
    <row r="51" ht="42" customHeight="1">
      <c r="A51" s="3" t="inlineStr">
        <is>
          <t>N047</t>
        </is>
      </c>
      <c r="B51" s="3" t="inlineStr">
        <is>
          <t>Petrol</t>
        </is>
      </c>
      <c r="C51" s="3" t="inlineStr">
        <is>
          <t>T37</t>
        </is>
      </c>
      <c r="D51" s="3" t="inlineStr">
        <is>
          <t>BEV new sales - all market</t>
        </is>
      </c>
      <c r="E51" s="3" t="inlineStr">
        <is>
          <t>Unreviewed source extract; annual cells contain complete periods only.</t>
        </is>
      </c>
    </row>
    <row r="52" ht="42" customHeight="1">
      <c r="A52" s="3" t="inlineStr">
        <is>
          <t>N048</t>
        </is>
      </c>
      <c r="B52" s="3" t="inlineStr">
        <is>
          <t>Petrol</t>
        </is>
      </c>
      <c r="C52" s="3" t="inlineStr">
        <is>
          <t>U37</t>
        </is>
      </c>
      <c r="D52" s="3" t="inlineStr">
        <is>
          <t>BEV new sales - all market</t>
        </is>
      </c>
      <c r="E52" s="3" t="inlineStr">
        <is>
          <t>Evidence row 17; assumptions/2026/timeseries/nev_sales_naamsa.csv</t>
        </is>
      </c>
    </row>
    <row r="53" ht="42" customHeight="1">
      <c r="A53" s="3" t="inlineStr">
        <is>
          <t>N049</t>
        </is>
      </c>
      <c r="B53" s="3" t="inlineStr">
        <is>
          <t>Petrol</t>
        </is>
      </c>
      <c r="C53" s="3" t="inlineStr">
        <is>
          <t>V37</t>
        </is>
      </c>
      <c r="D53" s="3" t="inlineStr">
        <is>
          <t>BEV new sales - all market</t>
        </is>
      </c>
      <c r="E53" s="3" t="inlineStr">
        <is>
          <t>G03: class split missing; do not treat as passenger-only or truck uptake.</t>
        </is>
      </c>
    </row>
    <row r="54" ht="42" customHeight="1">
      <c r="A54" s="3" t="inlineStr">
        <is>
          <t>N050</t>
        </is>
      </c>
      <c r="B54" s="3" t="inlineStr">
        <is>
          <t>Petrol</t>
        </is>
      </c>
      <c r="C54" s="3" t="inlineStr">
        <is>
          <t>E38</t>
        </is>
      </c>
      <c r="D54" s="3" t="inlineStr">
        <is>
          <t>PHEV new sales - all market</t>
        </is>
      </c>
      <c r="E54" s="3" t="inlineStr">
        <is>
          <t>All-market drivetrain sales; passenger/truck split is not supplied. Do not assign all to passenger or freight.</t>
        </is>
      </c>
    </row>
    <row r="55" ht="42" customHeight="1">
      <c r="A55" s="3" t="inlineStr">
        <is>
          <t>N051</t>
        </is>
      </c>
      <c r="B55" s="3" t="inlineStr">
        <is>
          <t>Petrol</t>
        </is>
      </c>
      <c r="C55" s="3" t="inlineStr">
        <is>
          <t>T38</t>
        </is>
      </c>
      <c r="D55" s="3" t="inlineStr">
        <is>
          <t>PHEV new sales - all market</t>
        </is>
      </c>
      <c r="E55" s="3" t="inlineStr">
        <is>
          <t>Unreviewed source extract; annual cells contain complete periods only.</t>
        </is>
      </c>
    </row>
    <row r="56" ht="42" customHeight="1">
      <c r="A56" s="3" t="inlineStr">
        <is>
          <t>N052</t>
        </is>
      </c>
      <c r="B56" s="3" t="inlineStr">
        <is>
          <t>Petrol</t>
        </is>
      </c>
      <c r="C56" s="3" t="inlineStr">
        <is>
          <t>U38</t>
        </is>
      </c>
      <c r="D56" s="3" t="inlineStr">
        <is>
          <t>PHEV new sales - all market</t>
        </is>
      </c>
      <c r="E56" s="3" t="inlineStr">
        <is>
          <t>Evidence row 18; assumptions/2026/timeseries/nev_sales_naamsa.csv</t>
        </is>
      </c>
    </row>
    <row r="57" ht="42" customHeight="1">
      <c r="A57" s="3" t="inlineStr">
        <is>
          <t>N053</t>
        </is>
      </c>
      <c r="B57" s="3" t="inlineStr">
        <is>
          <t>Petrol</t>
        </is>
      </c>
      <c r="C57" s="3" t="inlineStr">
        <is>
          <t>E39</t>
        </is>
      </c>
      <c r="D57" s="3" t="inlineStr">
        <is>
          <t>Conventional hybrid new sales</t>
        </is>
      </c>
      <c r="E57" s="3" t="inlineStr">
        <is>
          <t>All-market drivetrain sales; passenger/truck split is not supplied. Do not assign all to passenger or freight.</t>
        </is>
      </c>
    </row>
    <row r="58" ht="42" customHeight="1">
      <c r="A58" s="3" t="inlineStr">
        <is>
          <t>N054</t>
        </is>
      </c>
      <c r="B58" s="3" t="inlineStr">
        <is>
          <t>Petrol</t>
        </is>
      </c>
      <c r="C58" s="3" t="inlineStr">
        <is>
          <t>T39</t>
        </is>
      </c>
      <c r="D58" s="3" t="inlineStr">
        <is>
          <t>Conventional hybrid new sales</t>
        </is>
      </c>
      <c r="E58" s="3" t="inlineStr">
        <is>
          <t>Unreviewed source extract; annual cells contain complete periods only.</t>
        </is>
      </c>
    </row>
    <row r="59" ht="42" customHeight="1">
      <c r="A59" s="3" t="inlineStr">
        <is>
          <t>N055</t>
        </is>
      </c>
      <c r="B59" s="3" t="inlineStr">
        <is>
          <t>Petrol</t>
        </is>
      </c>
      <c r="C59" s="3" t="inlineStr">
        <is>
          <t>U39</t>
        </is>
      </c>
      <c r="D59" s="3" t="inlineStr">
        <is>
          <t>Conventional hybrid new sales</t>
        </is>
      </c>
      <c r="E59" s="3" t="inlineStr">
        <is>
          <t>Evidence row 19; assumptions/2026/timeseries/nev_sales_naamsa.csv</t>
        </is>
      </c>
    </row>
    <row r="60" ht="42" customHeight="1">
      <c r="A60" s="3" t="inlineStr">
        <is>
          <t>N056</t>
        </is>
      </c>
      <c r="B60" s="3" t="inlineStr">
        <is>
          <t>Petrol</t>
        </is>
      </c>
      <c r="C60" s="3" t="inlineStr">
        <is>
          <t>E40</t>
        </is>
      </c>
      <c r="D60" s="3" t="inlineStr">
        <is>
          <t>Total new-vehicle sales</t>
        </is>
      </c>
      <c r="E60" s="3" t="inlineStr">
        <is>
          <t>NAAMSA actual new sales. Published 2026/27 projections excluded from observed rows.</t>
        </is>
      </c>
    </row>
    <row r="61" ht="42" customHeight="1">
      <c r="A61" s="3" t="inlineStr">
        <is>
          <t>N057</t>
        </is>
      </c>
      <c r="B61" s="3" t="inlineStr">
        <is>
          <t>Petrol</t>
        </is>
      </c>
      <c r="C61" s="3" t="inlineStr">
        <is>
          <t>T40</t>
        </is>
      </c>
      <c r="D61" s="3" t="inlineStr">
        <is>
          <t>Total new-vehicle sales</t>
        </is>
      </c>
      <c r="E61" s="3" t="inlineStr">
        <is>
          <t>Unreviewed source extract; annual cells contain complete periods only.</t>
        </is>
      </c>
    </row>
    <row r="62" ht="42" customHeight="1">
      <c r="A62" s="3" t="inlineStr">
        <is>
          <t>N058</t>
        </is>
      </c>
      <c r="B62" s="3" t="inlineStr">
        <is>
          <t>Petrol</t>
        </is>
      </c>
      <c r="C62" s="3" t="inlineStr">
        <is>
          <t>U40</t>
        </is>
      </c>
      <c r="D62" s="3" t="inlineStr">
        <is>
          <t>Total new-vehicle sales</t>
        </is>
      </c>
      <c r="E62" s="3" t="inlineStr">
        <is>
          <t>Evidence row 16; assumptions/2026/timeseries/new_vehicle_market_naamsa.csv</t>
        </is>
      </c>
    </row>
    <row r="63" ht="42" customHeight="1">
      <c r="A63" s="3" t="inlineStr">
        <is>
          <t>N059</t>
        </is>
      </c>
      <c r="B63" s="3" t="inlineStr">
        <is>
          <t>Petrol</t>
        </is>
      </c>
      <c r="C63" s="3" t="inlineStr">
        <is>
          <t>V40</t>
        </is>
      </c>
      <c r="D63" s="3" t="inlineStr">
        <is>
          <t>Total new-vehicle sales</t>
        </is>
      </c>
      <c r="E63" s="3" t="inlineStr">
        <is>
          <t>G02/G03: same-market denominator only; reconcile sales definitions.</t>
        </is>
      </c>
    </row>
    <row r="64" ht="42" customHeight="1">
      <c r="A64" s="3" t="inlineStr">
        <is>
          <t>N060</t>
        </is>
      </c>
      <c r="B64" s="3" t="inlineStr">
        <is>
          <t>Petrol</t>
        </is>
      </c>
      <c r="C64" s="3" t="inlineStr">
        <is>
          <t>U41</t>
        </is>
      </c>
      <c r="D64" s="3" t="inlineStr">
        <is>
          <t>BEV share of total market sales</t>
        </is>
      </c>
      <c r="E64" s="3" t="inlineStr">
        <is>
          <t>https://github.com/Africa-International-Advisors/liquid_fuels_model/blob/8c69f8333192483f19cd80911cb90fcd0943eb6b/assumptions/2026/timeseries/nev_sales_naamsa.csv</t>
        </is>
      </c>
    </row>
    <row r="65" ht="42" customHeight="1">
      <c r="A65" s="3" t="inlineStr">
        <is>
          <t>N061</t>
        </is>
      </c>
      <c r="B65" s="3" t="inlineStr">
        <is>
          <t>Petrol</t>
        </is>
      </c>
      <c r="C65" s="3" t="inlineStr">
        <is>
          <t>E42</t>
        </is>
      </c>
      <c r="D65" s="3" t="inlineStr">
        <is>
          <t>Updated observed GDP per capita</t>
        </is>
      </c>
      <c r="E65" s="3" t="inlineStr">
        <is>
          <t>Stats SA annual actual in staged reporting copy. Sector value added is an activity proxy, not measured fuel use.</t>
        </is>
      </c>
    </row>
    <row r="66" ht="42" customHeight="1">
      <c r="A66" s="3" t="inlineStr">
        <is>
          <t>N062</t>
        </is>
      </c>
      <c r="B66" s="3" t="inlineStr">
        <is>
          <t>Petrol</t>
        </is>
      </c>
      <c r="C66" s="3" t="inlineStr">
        <is>
          <t>T42</t>
        </is>
      </c>
      <c r="D66" s="3" t="inlineStr">
        <is>
          <t>Updated observed GDP per capita</t>
        </is>
      </c>
      <c r="E66" s="3" t="inlineStr">
        <is>
          <t>Unreviewed source extract; annual cells contain complete periods only.</t>
        </is>
      </c>
    </row>
    <row r="67" ht="42" customHeight="1">
      <c r="A67" s="3" t="inlineStr">
        <is>
          <t>N063</t>
        </is>
      </c>
      <c r="B67" s="3" t="inlineStr">
        <is>
          <t>Petrol</t>
        </is>
      </c>
      <c r="C67" s="3" t="inlineStr">
        <is>
          <t>U42</t>
        </is>
      </c>
      <c r="D67" s="3" t="inlineStr">
        <is>
          <t>Updated observed GDP per capita</t>
        </is>
      </c>
      <c r="E67" s="3" t="inlineStr">
        <is>
          <t>Evidence row 25; pptx/story/evidence_2026_10_06/macro_statssa.csv</t>
        </is>
      </c>
    </row>
    <row r="68" ht="42" customHeight="1">
      <c r="A68" s="3" t="inlineStr">
        <is>
          <t>N064</t>
        </is>
      </c>
      <c r="B68" s="3" t="inlineStr">
        <is>
          <t>Freight</t>
        </is>
      </c>
      <c r="C68" s="3" t="inlineStr">
        <is>
          <t>E23</t>
        </is>
      </c>
      <c r="D68" s="3" t="inlineStr">
        <is>
          <t>Road work diverted to rail</t>
        </is>
      </c>
      <c r="E68" s="3" t="inlineStr">
        <is>
          <t>Deduct once. If already reflected in the road activity path, do not deduct again.</t>
        </is>
      </c>
    </row>
    <row r="69" ht="42" customHeight="1">
      <c r="A69" s="3" t="inlineStr">
        <is>
          <t>N065</t>
        </is>
      </c>
      <c r="B69" s="3" t="inlineStr">
        <is>
          <t>Freight</t>
        </is>
      </c>
      <c r="C69" s="3" t="inlineStr">
        <is>
          <t>E25</t>
        </is>
      </c>
      <c r="D69" s="3" t="inlineStr">
        <is>
          <t>Alternative freight demand</t>
        </is>
      </c>
      <c r="E69" s="3" t="inlineStr">
        <is>
          <t>Reference tonne-km × (1 − eligible diversion share) × L/tonne-km / 1,000,000. Not calculated here.</t>
        </is>
      </c>
    </row>
    <row r="70" ht="42" customHeight="1">
      <c r="A70" s="3" t="inlineStr">
        <is>
          <t>N066</t>
        </is>
      </c>
      <c r="B70" s="3" t="inlineStr">
        <is>
          <t>Freight</t>
        </is>
      </c>
      <c r="C70" s="3" t="inlineStr">
        <is>
          <t>E26</t>
        </is>
      </c>
      <c r="D70" s="3" t="inlineStr">
        <is>
          <t>Geographic definition</t>
        </is>
      </c>
      <c r="E70" s="3" t="inlineStr">
        <is>
          <t>Agree fuel sales location versus consumption/corridor. Do not allocate solely by truck registrations.</t>
        </is>
      </c>
    </row>
    <row r="71" ht="42" customHeight="1">
      <c r="A71" s="3" t="inlineStr">
        <is>
          <t>N067</t>
        </is>
      </c>
      <c r="B71" s="3" t="inlineStr">
        <is>
          <t>Freight</t>
        </is>
      </c>
      <c r="C71" s="3" t="inlineStr">
        <is>
          <t>E28</t>
        </is>
      </c>
      <c r="D71" s="3" t="inlineStr">
        <is>
          <t>Source</t>
        </is>
      </c>
      <c r="E71" s="3" t="inlineStr">
        <is>
          <t>https://github.com/Africa-International-Advisors/liquid_fuels_model/blob/8c69f8333192483f19cd80911cb90fcd0943eb6b/assumptions/2026/vehicles.yaml</t>
        </is>
      </c>
    </row>
    <row r="72" ht="42" customHeight="1">
      <c r="A72" s="3" t="inlineStr">
        <is>
          <t>N068</t>
        </is>
      </c>
      <c r="B72" s="3" t="inlineStr">
        <is>
          <t>Freight</t>
        </is>
      </c>
      <c r="C72" s="3" t="inlineStr">
        <is>
          <t>E31</t>
        </is>
      </c>
      <c r="D72" s="3" t="inlineStr">
        <is>
          <t>Current common EV share of new sales</t>
        </is>
      </c>
      <c r="E72" s="3" t="inlineStr">
        <is>
          <t>Existing engine curve applied to HCV as well as other classes. This is not a calibrated truck-specific forecast.</t>
        </is>
      </c>
    </row>
    <row r="73" ht="42" customHeight="1">
      <c r="A73" s="3" t="inlineStr">
        <is>
          <t>N069</t>
        </is>
      </c>
      <c r="B73" s="3" t="inlineStr">
        <is>
          <t>Freight</t>
        </is>
      </c>
      <c r="C73" s="3" t="inlineStr">
        <is>
          <t>E32</t>
        </is>
      </c>
      <c r="D73" s="3" t="inlineStr">
        <is>
          <t>Truck BEV share of new sales</t>
        </is>
      </c>
      <c r="E73" s="3" t="inlineStr">
        <is>
          <t>Separate light delivery, regional and long-haul cohorts. Use truck-specific opening shares and trajectories.</t>
        </is>
      </c>
    </row>
    <row r="74" ht="42" customHeight="1">
      <c r="A74" s="3" t="inlineStr">
        <is>
          <t>N070</t>
        </is>
      </c>
      <c r="B74" s="3" t="inlineStr">
        <is>
          <t>Freight</t>
        </is>
      </c>
      <c r="C74" s="3" t="inlineStr">
        <is>
          <t>E33</t>
        </is>
      </c>
      <c r="D74" s="3" t="inlineStr">
        <is>
          <t>Truck hybrid / PHEV new-sales share</t>
        </is>
      </c>
      <c r="E74" s="3" t="inlineStr">
        <is>
          <t>Separate from BEVs. Record residual diesel use; PHEV electric-distance fraction requires evidence.</t>
        </is>
      </c>
    </row>
    <row r="75" ht="42" customHeight="1">
      <c r="A75" s="3" t="inlineStr">
        <is>
          <t>N071</t>
        </is>
      </c>
      <c r="B75" s="3" t="inlineStr">
        <is>
          <t>Freight</t>
        </is>
      </c>
      <c r="C75" s="3" t="inlineStr">
        <is>
          <t>E34</t>
        </is>
      </c>
      <c r="D75" s="3" t="inlineStr">
        <is>
          <t>Opening fleet and survival by drivetrain</t>
        </is>
      </c>
      <c r="E75" s="3" t="inlineStr">
        <is>
          <t>New-sales shares become stock through cohort additions and retirements; do not apply sales shares directly to the total fleet.</t>
        </is>
      </c>
    </row>
    <row r="76" ht="42" customHeight="1">
      <c r="A76" s="3" t="inlineStr">
        <is>
          <t>N072</t>
        </is>
      </c>
      <c r="B76" s="3" t="inlineStr">
        <is>
          <t>Freight</t>
        </is>
      </c>
      <c r="C76" s="3" t="inlineStr">
        <is>
          <t>E35</t>
        </is>
      </c>
      <c r="D76" s="3" t="inlineStr">
        <is>
          <t>Mileage by drivetrain / duty cycle</t>
        </is>
      </c>
      <c r="E76" s="3" t="inlineStr">
        <is>
          <t>Electric and diesel trucks can perform different annual work. Use mileage/work shares rather than stock shares alone.</t>
        </is>
      </c>
    </row>
    <row r="77" ht="42" customHeight="1">
      <c r="A77" s="3" t="inlineStr">
        <is>
          <t>N073</t>
        </is>
      </c>
      <c r="B77" s="3" t="inlineStr">
        <is>
          <t>Freight</t>
        </is>
      </c>
      <c r="C77" s="3" t="inlineStr">
        <is>
          <t>E36</t>
        </is>
      </c>
      <c r="D77" s="3" t="inlineStr">
        <is>
          <t>Truck electricity intensity</t>
        </is>
      </c>
      <c r="E77" s="3" t="inlineStr">
        <is>
          <t>Optional electricity requirement and charging-feasibility check. BEV tailpipe diesel use is zero; backup/auxiliary fuel needs separate scope.</t>
        </is>
      </c>
    </row>
    <row r="78" ht="42" customHeight="1">
      <c r="A78" s="3" t="inlineStr">
        <is>
          <t>N074</t>
        </is>
      </c>
      <c r="B78" s="3" t="inlineStr">
        <is>
          <t>Freight</t>
        </is>
      </c>
      <c r="C78" s="3" t="inlineStr">
        <is>
          <t>E37</t>
        </is>
      </c>
      <c r="D78" s="3" t="inlineStr">
        <is>
          <t>Charging and operating constraints</t>
        </is>
      </c>
      <c r="E78" s="3" t="inlineStr">
        <is>
          <t>Depot/corridor access, charging power, dwell time, grid connection, range and payload constrain uptake. They do not create a second fuel discount.</t>
        </is>
      </c>
    </row>
    <row r="79" ht="42" customHeight="1">
      <c r="A79" s="3" t="inlineStr">
        <is>
          <t>N075</t>
        </is>
      </c>
      <c r="B79" s="3" t="inlineStr">
        <is>
          <t>Freight</t>
        </is>
      </c>
      <c r="C79" s="3" t="inlineStr">
        <is>
          <t>E38</t>
        </is>
      </c>
      <c r="D79" s="3" t="inlineStr">
        <is>
          <t>Electric freight share of road work</t>
        </is>
      </c>
      <c r="E79" s="3" t="inlineStr">
        <is>
          <t>For tonne-km method: derive consistent work share from drivetrain fleets, mileage and payload; exclude BEV work from diesel work once.</t>
        </is>
      </c>
    </row>
    <row r="80" ht="42" customHeight="1">
      <c r="A80" s="3" t="inlineStr">
        <is>
          <t>N076</t>
        </is>
      </c>
      <c r="B80" s="3" t="inlineStr">
        <is>
          <t>Freight</t>
        </is>
      </c>
      <c r="C80" s="3" t="inlineStr">
        <is>
          <t>E39</t>
        </is>
      </c>
      <c r="D80" s="3" t="inlineStr">
        <is>
          <t>Truck diesel demand after transition</t>
        </is>
      </c>
      <c r="E80" s="3" t="inlineStr">
        <is>
          <t>Fleet method: sum diesel/hybrid cohort vehicles × km × L/100 km / 100. BEVs contribute zero truck diesel. Proposed replacement not yet run.</t>
        </is>
      </c>
    </row>
    <row r="81" ht="42" customHeight="1">
      <c r="A81" s="3" t="inlineStr">
        <is>
          <t>N077</t>
        </is>
      </c>
      <c r="B81" s="3" t="inlineStr">
        <is>
          <t>Freight</t>
        </is>
      </c>
      <c r="C81" s="3" t="inlineStr">
        <is>
          <t>E40</t>
        </is>
      </c>
      <c r="D81" s="3" t="inlineStr">
        <is>
          <t>Rail and electrification interaction</t>
        </is>
      </c>
      <c r="E81" s="3" t="inlineStr">
        <is>
          <t>Rail diversion first defines remaining road work. Drivetrain shares divide that road work; do not subtract electrification again in efficiency.</t>
        </is>
      </c>
    </row>
    <row r="82" ht="42" customHeight="1">
      <c r="A82" s="3" t="inlineStr">
        <is>
          <t>N078</t>
        </is>
      </c>
      <c r="B82" s="3" t="inlineStr">
        <is>
          <t>Freight</t>
        </is>
      </c>
      <c r="C82" s="3" t="inlineStr">
        <is>
          <t>E41</t>
        </is>
      </c>
      <c r="D82" s="3" t="inlineStr">
        <is>
          <t>Province / corridor treatment</t>
        </is>
      </c>
      <c r="E82" s="3" t="inlineStr">
        <is>
          <t>Electrify feasible routes/depot fleets first; reconcile provincial/corridor work with the national total. Do not copy passenger uptake.</t>
        </is>
      </c>
    </row>
    <row r="83" ht="42" customHeight="1">
      <c r="A83" s="3" t="inlineStr">
        <is>
          <t>N079</t>
        </is>
      </c>
      <c r="B83" s="3" t="inlineStr">
        <is>
          <t>Freight</t>
        </is>
      </c>
      <c r="C83" s="3" t="inlineStr">
        <is>
          <t>E43</t>
        </is>
      </c>
      <c r="D83" s="3" t="inlineStr">
        <is>
          <t>H/M/L brackets</t>
        </is>
      </c>
      <c r="E83" s="3" t="inlineStr">
        <is>
          <t>Set truck BEV shares, hybrid treatment and rollout dates by duty cycle for 2030/2035; agree annual paths. Higher BEV uptake generally lowers road diesel.</t>
        </is>
      </c>
    </row>
    <row r="84" ht="42" customHeight="1">
      <c r="A84" s="3" t="inlineStr">
        <is>
          <t>N080</t>
        </is>
      </c>
      <c r="B84" s="3" t="inlineStr">
        <is>
          <t>Freight</t>
        </is>
      </c>
      <c r="C84" s="3" t="inlineStr">
        <is>
          <t>E45</t>
        </is>
      </c>
      <c r="D84" s="3" t="inlineStr">
        <is>
          <t>Current curve source</t>
        </is>
      </c>
      <c r="E84" s="3" t="inlineStr">
        <is>
          <t>https://github.com/Africa-International-Advisors/liquid_fuels_model/blob/8c69f8333192483f19cd80911cb90fcd0943eb6b/assumptions/2026/vehicles.yaml</t>
        </is>
      </c>
    </row>
    <row r="85" ht="42" customHeight="1">
      <c r="A85" s="3" t="inlineStr">
        <is>
          <t>N081</t>
        </is>
      </c>
      <c r="B85" s="3" t="inlineStr">
        <is>
          <t>Freight</t>
        </is>
      </c>
      <c r="C85" s="3" t="inlineStr">
        <is>
          <t>E48</t>
        </is>
      </c>
      <c r="D85" s="3" t="inlineStr">
        <is>
          <t>Medium/heavy commercial new sales</t>
        </is>
      </c>
      <c r="E85" s="3" t="inlineStr">
        <is>
          <t>NAAMSA actual new sales. Published 2026/27 projections excluded from observed rows.</t>
        </is>
      </c>
    </row>
    <row r="86" ht="42" customHeight="1">
      <c r="A86" s="3" t="inlineStr">
        <is>
          <t>N082</t>
        </is>
      </c>
      <c r="B86" s="3" t="inlineStr">
        <is>
          <t>Freight</t>
        </is>
      </c>
      <c r="C86" s="3" t="inlineStr">
        <is>
          <t>T48</t>
        </is>
      </c>
      <c r="D86" s="3" t="inlineStr">
        <is>
          <t>Medium/heavy commercial new sales</t>
        </is>
      </c>
      <c r="E86" s="3" t="inlineStr">
        <is>
          <t>Unreviewed source extract; annual cells contain complete periods only.</t>
        </is>
      </c>
    </row>
    <row r="87" ht="42" customHeight="1">
      <c r="A87" s="3" t="inlineStr">
        <is>
          <t>N083</t>
        </is>
      </c>
      <c r="B87" s="3" t="inlineStr">
        <is>
          <t>Freight</t>
        </is>
      </c>
      <c r="C87" s="3" t="inlineStr">
        <is>
          <t>U48</t>
        </is>
      </c>
      <c r="D87" s="3" t="inlineStr">
        <is>
          <t>Medium/heavy commercial new sales</t>
        </is>
      </c>
      <c r="E87" s="3" t="inlineStr">
        <is>
          <t>Evidence row 15; assumptions/2026/timeseries/new_vehicle_market_naamsa.csv</t>
        </is>
      </c>
    </row>
    <row r="88" ht="42" customHeight="1">
      <c r="A88" s="3" t="inlineStr">
        <is>
          <t>N084</t>
        </is>
      </c>
      <c r="B88" s="3" t="inlineStr">
        <is>
          <t>Freight</t>
        </is>
      </c>
      <c r="C88" s="3" t="inlineStr">
        <is>
          <t>V48</t>
        </is>
      </c>
      <c r="D88" s="3" t="inlineStr">
        <is>
          <t>Medium/heavy commercial new sales</t>
        </is>
      </c>
      <c r="E88" s="3" t="inlineStr">
        <is>
          <t>G04: align medium/heavy sales with HCV engine and LCV freight scope.</t>
        </is>
      </c>
    </row>
    <row r="89" ht="42" customHeight="1">
      <c r="A89" s="3" t="inlineStr">
        <is>
          <t>N085</t>
        </is>
      </c>
      <c r="B89" s="3" t="inlineStr">
        <is>
          <t>Freight</t>
        </is>
      </c>
      <c r="C89" s="3" t="inlineStr">
        <is>
          <t>E49</t>
        </is>
      </c>
      <c r="D89" s="3" t="inlineStr">
        <is>
          <t>Registered trucks, all drivetrains</t>
        </is>
      </c>
      <c r="E89" s="3" t="inlineStr">
        <is>
          <t>eNaTIS December snapshots; latest June 2026 kept separately. No fuel/drivetrain split. Latest value in D: 2026-06, snapshot.</t>
        </is>
      </c>
    </row>
    <row r="90" ht="42" customHeight="1">
      <c r="A90" s="3" t="inlineStr">
        <is>
          <t>N086</t>
        </is>
      </c>
      <c r="B90" s="3" t="inlineStr">
        <is>
          <t>Freight</t>
        </is>
      </c>
      <c r="C90" s="3" t="inlineStr">
        <is>
          <t>T49</t>
        </is>
      </c>
      <c r="D90" s="3" t="inlineStr">
        <is>
          <t>Registered trucks, all drivetrains</t>
        </is>
      </c>
      <c r="E90" s="3" t="inlineStr">
        <is>
          <t>Unreviewed source extract; annual cells contain complete periods only.</t>
        </is>
      </c>
    </row>
    <row r="91" ht="42" customHeight="1">
      <c r="A91" s="3" t="inlineStr">
        <is>
          <t>N087</t>
        </is>
      </c>
      <c r="B91" s="3" t="inlineStr">
        <is>
          <t>Freight</t>
        </is>
      </c>
      <c r="C91" s="3" t="inlineStr">
        <is>
          <t>U49</t>
        </is>
      </c>
      <c r="D91" s="3" t="inlineStr">
        <is>
          <t>Registered trucks, all drivetrains</t>
        </is>
      </c>
      <c r="E91" s="3" t="inlineStr">
        <is>
          <t>Evidence row 22; assumptions/2026/timeseries/vehicle_population_natis.csv</t>
        </is>
      </c>
    </row>
    <row r="92" ht="42" customHeight="1">
      <c r="A92" s="3" t="inlineStr">
        <is>
          <t>N088</t>
        </is>
      </c>
      <c r="B92" s="3" t="inlineStr">
        <is>
          <t>Freight</t>
        </is>
      </c>
      <c r="C92" s="3" t="inlineStr">
        <is>
          <t>V49</t>
        </is>
      </c>
      <c r="D92" s="3" t="inlineStr">
        <is>
          <t>Registered trucks, all drivetrains</t>
        </is>
      </c>
      <c r="E92" s="3" t="inlineStr">
        <is>
          <t>G04: reconcile vehicle definition, drivetrain and duty-cycle split.</t>
        </is>
      </c>
    </row>
    <row r="93" ht="42" customHeight="1">
      <c r="A93" s="3" t="inlineStr">
        <is>
          <t>N089</t>
        </is>
      </c>
      <c r="B93" s="3" t="inlineStr">
        <is>
          <t>Freight</t>
        </is>
      </c>
      <c r="C93" s="3" t="inlineStr">
        <is>
          <t>E50</t>
        </is>
      </c>
      <c r="D93" s="3" t="inlineStr">
        <is>
          <t>Road freight payload</t>
        </is>
      </c>
      <c r="E93" s="3" t="inlineStr">
        <is>
          <t>Complete calendar years only; 2026 Jan-Jul shown separately. Tonnes do not measure tonne-km. Latest value in D: 2026-01 to 2026-07, 7 months; sum; not annualised.</t>
        </is>
      </c>
    </row>
    <row r="94" ht="42" customHeight="1">
      <c r="A94" s="3" t="inlineStr">
        <is>
          <t>N090</t>
        </is>
      </c>
      <c r="B94" s="3" t="inlineStr">
        <is>
          <t>Freight</t>
        </is>
      </c>
      <c r="C94" s="3" t="inlineStr">
        <is>
          <t>T50</t>
        </is>
      </c>
      <c r="D94" s="3" t="inlineStr">
        <is>
          <t>Road freight payload</t>
        </is>
      </c>
      <c r="E94" s="3" t="inlineStr">
        <is>
          <t>Unreviewed source extract; annual cells contain complete periods only.</t>
        </is>
      </c>
    </row>
    <row r="95" ht="42" customHeight="1">
      <c r="A95" s="3" t="inlineStr">
        <is>
          <t>N091</t>
        </is>
      </c>
      <c r="B95" s="3" t="inlineStr">
        <is>
          <t>Freight</t>
        </is>
      </c>
      <c r="C95" s="3" t="inlineStr">
        <is>
          <t>U50</t>
        </is>
      </c>
      <c r="D95" s="3" t="inlineStr">
        <is>
          <t>Road freight payload</t>
        </is>
      </c>
      <c r="E95" s="3" t="inlineStr">
        <is>
          <t>Evidence row 32; pptx/story/evidence_2026_10_06/activity_statssa_monthly.csv</t>
        </is>
      </c>
    </row>
    <row r="96" ht="42" customHeight="1">
      <c r="A96" s="3" t="inlineStr">
        <is>
          <t>N092</t>
        </is>
      </c>
      <c r="B96" s="3" t="inlineStr">
        <is>
          <t>Freight</t>
        </is>
      </c>
      <c r="C96" s="3" t="inlineStr">
        <is>
          <t>V50</t>
        </is>
      </c>
      <c r="D96" s="3" t="inlineStr">
        <is>
          <t>Road freight payload</t>
        </is>
      </c>
      <c r="E96" s="3" t="inlineStr">
        <is>
          <t>G04: tonnes need distance/payload/empty-running bridge to tonne-km and litres.</t>
        </is>
      </c>
    </row>
    <row r="97" ht="42" customHeight="1">
      <c r="A97" s="3" t="inlineStr">
        <is>
          <t>N093</t>
        </is>
      </c>
      <c r="B97" s="3" t="inlineStr">
        <is>
          <t>Freight</t>
        </is>
      </c>
      <c r="C97" s="3" t="inlineStr">
        <is>
          <t>E51</t>
        </is>
      </c>
      <c r="D97" s="3" t="inlineStr">
        <is>
          <t>Rail freight payload</t>
        </is>
      </c>
      <c r="E97" s="3" t="inlineStr">
        <is>
          <t>Complete calendar years only; 2026 Jan-Jul shown separately. Tonnes do not measure tonne-km. Latest value in D: 2026-01 to 2026-07, 7 months; sum; not annualised.</t>
        </is>
      </c>
    </row>
    <row r="98" ht="42" customHeight="1">
      <c r="A98" s="3" t="inlineStr">
        <is>
          <t>N094</t>
        </is>
      </c>
      <c r="B98" s="3" t="inlineStr">
        <is>
          <t>Freight</t>
        </is>
      </c>
      <c r="C98" s="3" t="inlineStr">
        <is>
          <t>T51</t>
        </is>
      </c>
      <c r="D98" s="3" t="inlineStr">
        <is>
          <t>Rail freight payload</t>
        </is>
      </c>
      <c r="E98" s="3" t="inlineStr">
        <is>
          <t>Unreviewed source extract; annual cells contain complete periods only.</t>
        </is>
      </c>
    </row>
    <row r="99" ht="42" customHeight="1">
      <c r="A99" s="3" t="inlineStr">
        <is>
          <t>N095</t>
        </is>
      </c>
      <c r="B99" s="3" t="inlineStr">
        <is>
          <t>Freight</t>
        </is>
      </c>
      <c r="C99" s="3" t="inlineStr">
        <is>
          <t>U51</t>
        </is>
      </c>
      <c r="D99" s="3" t="inlineStr">
        <is>
          <t>Rail freight payload</t>
        </is>
      </c>
      <c r="E99" s="3" t="inlineStr">
        <is>
          <t>Evidence row 33; pptx/story/evidence_2026_10_06/activity_statssa_monthly.csv</t>
        </is>
      </c>
    </row>
    <row r="100" ht="42" customHeight="1">
      <c r="A100" s="3" t="inlineStr">
        <is>
          <t>N096</t>
        </is>
      </c>
      <c r="B100" s="3" t="inlineStr">
        <is>
          <t>Freight</t>
        </is>
      </c>
      <c r="C100" s="3" t="inlineStr">
        <is>
          <t>V51</t>
        </is>
      </c>
      <c r="D100" s="3" t="inlineStr">
        <is>
          <t>Rail freight payload</t>
        </is>
      </c>
      <c r="E100" s="3" t="inlineStr">
        <is>
          <t>G04: source feasible diversion by commodity/corridor; no automatic diesel saving.</t>
        </is>
      </c>
    </row>
    <row r="101" ht="42" customHeight="1">
      <c r="A101" s="3" t="inlineStr">
        <is>
          <t>N097</t>
        </is>
      </c>
      <c r="B101" s="3" t="inlineStr">
        <is>
          <t>Freight</t>
        </is>
      </c>
      <c r="C101" s="3" t="inlineStr">
        <is>
          <t>E52</t>
        </is>
      </c>
      <c r="D101" s="3" t="inlineStr">
        <is>
          <t>LCV new sales</t>
        </is>
      </c>
      <c r="E101" s="3" t="inlineStr">
        <is>
          <t>NAAMSA actual new sales. Published 2026/27 projections excluded from observed rows.</t>
        </is>
      </c>
    </row>
    <row r="102" ht="42" customHeight="1">
      <c r="A102" s="3" t="inlineStr">
        <is>
          <t>N098</t>
        </is>
      </c>
      <c r="B102" s="3" t="inlineStr">
        <is>
          <t>Freight</t>
        </is>
      </c>
      <c r="C102" s="3" t="inlineStr">
        <is>
          <t>T52</t>
        </is>
      </c>
      <c r="D102" s="3" t="inlineStr">
        <is>
          <t>LCV new sales</t>
        </is>
      </c>
      <c r="E102" s="3" t="inlineStr">
        <is>
          <t>Unreviewed source extract; annual cells contain complete periods only.</t>
        </is>
      </c>
    </row>
    <row r="103" ht="42" customHeight="1">
      <c r="A103" s="3" t="inlineStr">
        <is>
          <t>N099</t>
        </is>
      </c>
      <c r="B103" s="3" t="inlineStr">
        <is>
          <t>Freight</t>
        </is>
      </c>
      <c r="C103" s="3" t="inlineStr">
        <is>
          <t>U52</t>
        </is>
      </c>
      <c r="D103" s="3" t="inlineStr">
        <is>
          <t>LCV new sales</t>
        </is>
      </c>
      <c r="E103" s="3" t="inlineStr">
        <is>
          <t>Evidence row 14; assumptions/2026/timeseries/new_vehicle_market_naamsa.csv</t>
        </is>
      </c>
    </row>
    <row r="104" ht="42" customHeight="1">
      <c r="A104" s="3" t="inlineStr">
        <is>
          <t>N100</t>
        </is>
      </c>
      <c r="B104" s="3" t="inlineStr">
        <is>
          <t>Freight</t>
        </is>
      </c>
      <c r="C104" s="3" t="inlineStr">
        <is>
          <t>E53</t>
        </is>
      </c>
      <c r="D104" s="3" t="inlineStr">
        <is>
          <t>Truck-specific BEV sales / fleet</t>
        </is>
      </c>
      <c r="E104" s="3" t="inlineStr">
        <is>
          <t>All-market NEV data exists on Petrol sheet; no truck-specific split established.</t>
        </is>
      </c>
    </row>
    <row r="105" ht="42" customHeight="1">
      <c r="A105" s="3" t="inlineStr">
        <is>
          <t>N101</t>
        </is>
      </c>
      <c r="B105" s="3" t="inlineStr">
        <is>
          <t>Freight</t>
        </is>
      </c>
      <c r="C105" s="3" t="inlineStr">
        <is>
          <t>V53</t>
        </is>
      </c>
      <c r="D105" s="3" t="inlineStr">
        <is>
          <t>Truck-specific BEV sales / fleet</t>
        </is>
      </c>
      <c r="E105" s="3" t="inlineStr">
        <is>
          <t>G05: source truck registrations/sales, fleet pilots, duty cycles and charging.</t>
        </is>
      </c>
    </row>
    <row r="106" ht="42" customHeight="1">
      <c r="A106" s="3" t="inlineStr">
        <is>
          <t>N102</t>
        </is>
      </c>
      <c r="B106" s="3" t="inlineStr">
        <is>
          <t>Agriculture</t>
        </is>
      </c>
      <c r="C106" s="3" t="inlineStr">
        <is>
          <t>E16</t>
        </is>
      </c>
      <c r="D106" s="3" t="inlineStr">
        <is>
          <t>Reviewed baseline demand</t>
        </is>
      </c>
      <c r="E106" s="3" t="inlineStr">
        <is>
          <t>A 2021 source anchor is available in row 30, but has not been selected as the new model baseline.</t>
        </is>
      </c>
    </row>
    <row r="107" ht="42" customHeight="1">
      <c r="A107" s="3" t="inlineStr">
        <is>
          <t>N103</t>
        </is>
      </c>
      <c r="B107" s="3" t="inlineStr">
        <is>
          <t>Agriculture</t>
        </is>
      </c>
      <c r="C107" s="3" t="inlineStr">
        <is>
          <t>E17</t>
        </is>
      </c>
      <c r="D107" s="3" t="inlineStr">
        <is>
          <t>Agricultural activity index</t>
        </is>
      </c>
      <c r="E107" s="3" t="inlineStr">
        <is>
          <t>Real agricultural GVA is available in row 29. Select/rebase an activity measure only after matching fuel coverage.</t>
        </is>
      </c>
    </row>
    <row r="108" ht="42" customHeight="1">
      <c r="A108" s="3" t="inlineStr">
        <is>
          <t>N104</t>
        </is>
      </c>
      <c r="B108" s="3" t="inlineStr">
        <is>
          <t>Agriculture</t>
        </is>
      </c>
      <c r="C108" s="3" t="inlineStr">
        <is>
          <t>E18</t>
        </is>
      </c>
      <c r="D108" s="3" t="inlineStr">
        <is>
          <t>Relative fuel intensity</t>
        </is>
      </c>
      <c r="E108" s="3" t="inlineStr">
        <is>
          <t>Lower values mean less fuel per activity unit; mechanisation can increase intensity.</t>
        </is>
      </c>
    </row>
    <row r="109" ht="42" customHeight="1">
      <c r="A109" s="3" t="inlineStr">
        <is>
          <t>N105</t>
        </is>
      </c>
      <c r="B109" s="3" t="inlineStr">
        <is>
          <t>Agriculture</t>
        </is>
      </c>
      <c r="C109" s="3" t="inlineStr">
        <is>
          <t>E19</t>
        </is>
      </c>
      <c r="D109" s="3" t="inlineStr">
        <is>
          <t>Proposed agricultural demand</t>
        </is>
      </c>
      <c r="E109" s="3" t="inlineStr">
        <is>
          <t>Reviewed base demand × activity index / 100 × relative intensity. No engine change or new forecast here.</t>
        </is>
      </c>
    </row>
    <row r="110" ht="42" customHeight="1">
      <c r="A110" s="3" t="inlineStr">
        <is>
          <t>N106</t>
        </is>
      </c>
      <c r="B110" s="3" t="inlineStr">
        <is>
          <t>Agriculture</t>
        </is>
      </c>
      <c r="C110" s="3" t="inlineStr">
        <is>
          <t>E20</t>
        </is>
      </c>
      <c r="D110" s="3" t="inlineStr">
        <is>
          <t>Provincial activity / baseline shares</t>
        </is>
      </c>
      <c r="E110" s="3" t="inlineStr">
        <is>
          <t>Use local agricultural evidence; confirm that national allocations sum to 100%.</t>
        </is>
      </c>
    </row>
    <row r="111" ht="42" customHeight="1">
      <c r="A111" s="3" t="inlineStr">
        <is>
          <t>N107</t>
        </is>
      </c>
      <c r="B111" s="3" t="inlineStr">
        <is>
          <t>Agriculture</t>
        </is>
      </c>
      <c r="C111" s="3" t="inlineStr">
        <is>
          <t>E21</t>
        </is>
      </c>
      <c r="D111" s="3" t="inlineStr">
        <is>
          <t>Sector boundaries</t>
        </is>
      </c>
      <c r="E111" s="3" t="inlineStr">
        <is>
          <t>Resolve irrigation, off-road machinery, road vehicles and backup generation; avoid overlapping litres.</t>
        </is>
      </c>
    </row>
    <row r="112" ht="42" customHeight="1">
      <c r="A112" s="3" t="inlineStr">
        <is>
          <t>N108</t>
        </is>
      </c>
      <c r="B112" s="3" t="inlineStr">
        <is>
          <t>Agriculture</t>
        </is>
      </c>
      <c r="C112" s="3" t="inlineStr">
        <is>
          <t>E23</t>
        </is>
      </c>
      <c r="D112" s="3" t="inlineStr">
        <is>
          <t>Industry / mining extension</t>
        </is>
      </c>
      <c r="E112" s="3" t="inlineStr">
        <is>
          <t>Apply the same structure separately to mining, manufacturing and construction after baseline splits reconcile.</t>
        </is>
      </c>
    </row>
    <row r="113" ht="42" customHeight="1">
      <c r="A113" s="3" t="inlineStr">
        <is>
          <t>N109</t>
        </is>
      </c>
      <c r="B113" s="3" t="inlineStr">
        <is>
          <t>Agriculture</t>
        </is>
      </c>
      <c r="C113" s="3" t="inlineStr">
        <is>
          <t>E25</t>
        </is>
      </c>
      <c r="D113" s="3" t="inlineStr">
        <is>
          <t>Source</t>
        </is>
      </c>
      <c r="E113" s="3" t="inlineStr">
        <is>
          <t>https://github.com/Africa-International-Advisors/liquid_fuels_model/blob/8c69f8333192483f19cd80911cb90fcd0943eb6b/assumptions/2026/agriculture.yaml</t>
        </is>
      </c>
    </row>
    <row r="114" ht="42" customHeight="1">
      <c r="A114" s="3" t="inlineStr">
        <is>
          <t>N110</t>
        </is>
      </c>
      <c r="B114" s="3" t="inlineStr">
        <is>
          <t>Agriculture</t>
        </is>
      </c>
      <c r="C114" s="3" t="inlineStr">
        <is>
          <t>E26</t>
        </is>
      </c>
      <c r="D114" s="3" t="inlineStr">
        <is>
          <t>Calculation source</t>
        </is>
      </c>
      <c r="E114" s="3" t="inlineStr">
        <is>
          <t>https://github.com/Africa-International-Advisors/liquid_fuels_model/blob/8c69f8333192483f19cd80911cb90fcd0943eb6b/src/lfm/model/demand/agriculture.py</t>
        </is>
      </c>
    </row>
    <row r="115" ht="42" customHeight="1">
      <c r="A115" s="3" t="inlineStr">
        <is>
          <t>N111</t>
        </is>
      </c>
      <c r="B115" s="3" t="inlineStr">
        <is>
          <t>Agriculture</t>
        </is>
      </c>
      <c r="C115" s="3" t="inlineStr">
        <is>
          <t>E29</t>
        </is>
      </c>
      <c r="D115" s="3" t="inlineStr">
        <is>
          <t>Agriculture/forestry/fishing real GVA</t>
        </is>
      </c>
      <c r="E115" s="3" t="inlineStr">
        <is>
          <t>Stats SA annual actual in staged reporting copy. Sector value added is an activity proxy, not measured fuel use.</t>
        </is>
      </c>
    </row>
    <row r="116" ht="42" customHeight="1">
      <c r="A116" s="3" t="inlineStr">
        <is>
          <t>N112</t>
        </is>
      </c>
      <c r="B116" s="3" t="inlineStr">
        <is>
          <t>Agriculture</t>
        </is>
      </c>
      <c r="C116" s="3" t="inlineStr">
        <is>
          <t>T29</t>
        </is>
      </c>
      <c r="D116" s="3" t="inlineStr">
        <is>
          <t>Agriculture/forestry/fishing real GVA</t>
        </is>
      </c>
      <c r="E116" s="3" t="inlineStr">
        <is>
          <t>Unreviewed source extract; annual cells contain complete periods only.</t>
        </is>
      </c>
    </row>
    <row r="117" ht="42" customHeight="1">
      <c r="A117" s="3" t="inlineStr">
        <is>
          <t>N113</t>
        </is>
      </c>
      <c r="B117" s="3" t="inlineStr">
        <is>
          <t>Agriculture</t>
        </is>
      </c>
      <c r="C117" s="3" t="inlineStr">
        <is>
          <t>U29</t>
        </is>
      </c>
      <c r="D117" s="3" t="inlineStr">
        <is>
          <t>Agriculture/forestry/fishing real GVA</t>
        </is>
      </c>
      <c r="E117" s="3" t="inlineStr">
        <is>
          <t>Evidence row 26; pptx/story/evidence_2026_10_06/macro_statssa.csv</t>
        </is>
      </c>
    </row>
    <row r="118" ht="42" customHeight="1">
      <c r="A118" s="3" t="inlineStr">
        <is>
          <t>N114</t>
        </is>
      </c>
      <c r="B118" s="3" t="inlineStr">
        <is>
          <t>Agriculture</t>
        </is>
      </c>
      <c r="C118" s="3" t="inlineStr">
        <is>
          <t>V29</t>
        </is>
      </c>
      <c r="D118" s="3" t="inlineStr">
        <is>
          <t>Agriculture/forestry/fishing real GVA</t>
        </is>
      </c>
      <c r="E118" s="3" t="inlineStr">
        <is>
          <t>G08: choose crop/area/output proxy and rebase to agreed fuel baseline.</t>
        </is>
      </c>
    </row>
    <row r="119" ht="42" customHeight="1">
      <c r="A119" s="3" t="inlineStr">
        <is>
          <t>N115</t>
        </is>
      </c>
      <c r="B119" s="3" t="inlineStr">
        <is>
          <t>Agriculture</t>
        </is>
      </c>
      <c r="C119" s="3" t="inlineStr">
        <is>
          <t>U30</t>
        </is>
      </c>
      <c r="D119" s="3" t="inlineStr">
        <is>
          <t>2021 agriculture/forestry diesel</t>
        </is>
      </c>
      <c r="E119" s="3" t="inlineStr">
        <is>
          <t>https://github.com/Africa-International-Advisors/liquid_fuels_model/blob/8c69f8333192483f19cd80911cb90fcd0943eb6b/assumptions/2026/timeseries/energy_balance_department.csv</t>
        </is>
      </c>
    </row>
    <row r="120" ht="42" customHeight="1">
      <c r="A120" s="3" t="inlineStr">
        <is>
          <t>N116</t>
        </is>
      </c>
      <c r="B120" s="3" t="inlineStr">
        <is>
          <t>Agriculture</t>
        </is>
      </c>
      <c r="C120" s="3" t="inlineStr">
        <is>
          <t>V30</t>
        </is>
      </c>
      <c r="D120" s="3" t="inlineStr">
        <is>
          <t>2021 agriculture/forestry diesel</t>
        </is>
      </c>
      <c r="E120" s="3" t="inlineStr">
        <is>
          <t>G08: reconcile forestry/fishing and machinery/irrigation/backup scope; source newer fuel data.</t>
        </is>
      </c>
    </row>
    <row r="121" ht="42" customHeight="1">
      <c r="A121" s="3" t="inlineStr">
        <is>
          <t>N117</t>
        </is>
      </c>
      <c r="B121" s="3" t="inlineStr">
        <is>
          <t>Manufacturing</t>
        </is>
      </c>
      <c r="C121" s="3" t="inlineStr">
        <is>
          <t>E6</t>
        </is>
      </c>
      <c r="D121" s="3" t="inlineStr">
        <is>
          <t>Reviewed manufacturing baseline</t>
        </is>
      </c>
      <c r="E121" s="3" t="inlineStr">
        <is>
          <t>2021 industry parent exists (row 34), but is not manufacturing-only. A matched manufacturing baseline remains missing.</t>
        </is>
      </c>
    </row>
    <row r="122" ht="42" customHeight="1">
      <c r="A122" s="3" t="inlineStr">
        <is>
          <t>N118</t>
        </is>
      </c>
      <c r="B122" s="3" t="inlineStr">
        <is>
          <t>Manufacturing</t>
        </is>
      </c>
      <c r="C122" s="3" t="inlineStr">
        <is>
          <t>E8</t>
        </is>
      </c>
      <c r="D122" s="3" t="inlineStr">
        <is>
          <t>Manufacturing production index</t>
        </is>
      </c>
      <c r="E122" s="3" t="inlineStr">
        <is>
          <t>Observed production indices now appear in row 32. Rebase to the agreed baseline before using the proposed equation.</t>
        </is>
      </c>
    </row>
    <row r="123" ht="42" customHeight="1">
      <c r="A123" s="3" t="inlineStr">
        <is>
          <t>N119</t>
        </is>
      </c>
      <c r="B123" s="3" t="inlineStr">
        <is>
          <t>Manufacturing</t>
        </is>
      </c>
      <c r="C123" s="3" t="inlineStr">
        <is>
          <t>E9</t>
        </is>
      </c>
      <c r="D123" s="3" t="inlineStr">
        <is>
          <t>Relative fuel intensity</t>
        </is>
      </c>
      <c r="E123" s="3" t="inlineStr">
        <is>
          <t>Efficiency and process mix for continuing diesel uses. Exclude electrification if separately modelled below.</t>
        </is>
      </c>
    </row>
    <row r="124" ht="42" customHeight="1">
      <c r="A124" s="3" t="inlineStr">
        <is>
          <t>N120</t>
        </is>
      </c>
      <c r="B124" s="3" t="inlineStr">
        <is>
          <t>Manufacturing</t>
        </is>
      </c>
      <c r="C124" s="3" t="inlineStr">
        <is>
          <t>E10</t>
        </is>
      </c>
      <c r="D124" s="3" t="inlineStr">
        <is>
          <t>Electrification: remaining diesel fraction</t>
        </is>
      </c>
      <c r="E124" s="3" t="inlineStr">
        <is>
          <t>After baseline, fraction of counterfactual diesel retained as processes/equipment switch. Eligible use, timing and conversion efficiency need evidence.</t>
        </is>
      </c>
    </row>
    <row r="125" ht="42" customHeight="1">
      <c r="A125" s="3" t="inlineStr">
        <is>
          <t>N121</t>
        </is>
      </c>
      <c r="B125" s="3" t="inlineStr">
        <is>
          <t>Manufacturing</t>
        </is>
      </c>
      <c r="C125" s="3" t="inlineStr">
        <is>
          <t>E11</t>
        </is>
      </c>
      <c r="D125" s="3" t="inlineStr">
        <is>
          <t>Private backup generation</t>
        </is>
      </c>
      <c r="E125" s="3" t="inlineStr">
        <is>
          <t>Include here OR in generation. Record whether the baseline already includes backup fuel.</t>
        </is>
      </c>
    </row>
    <row r="126" ht="42" customHeight="1">
      <c r="A126" s="3" t="inlineStr">
        <is>
          <t>N122</t>
        </is>
      </c>
      <c r="B126" s="3" t="inlineStr">
        <is>
          <t>Manufacturing</t>
        </is>
      </c>
      <c r="C126" s="3" t="inlineStr">
        <is>
          <t>E12</t>
        </is>
      </c>
      <c r="D126" s="3" t="inlineStr">
        <is>
          <t>Provincial baseline / activity</t>
        </is>
      </c>
      <c r="E126" s="3" t="inlineStr">
        <is>
          <t>Use manufacturing establishments/production, not population by default. National = provinces + unallocated.</t>
        </is>
      </c>
    </row>
    <row r="127" ht="42" customHeight="1">
      <c r="A127" s="3" t="inlineStr">
        <is>
          <t>N123</t>
        </is>
      </c>
      <c r="B127" s="3" t="inlineStr">
        <is>
          <t>Manufacturing</t>
        </is>
      </c>
      <c r="C127" s="3" t="inlineStr">
        <is>
          <t>E15</t>
        </is>
      </c>
      <c r="D127" s="3" t="inlineStr">
        <is>
          <t>Manufacturing diesel demand</t>
        </is>
      </c>
      <c r="E127" s="3" t="inlineStr">
        <is>
          <t>Baseline × activity/100 × relative intensity × remaining diesel fraction. Not calculated until inputs and scope are agreed.</t>
        </is>
      </c>
    </row>
    <row r="128" ht="42" customHeight="1">
      <c r="A128" s="3" t="inlineStr">
        <is>
          <t>N124</t>
        </is>
      </c>
      <c r="B128" s="3" t="inlineStr">
        <is>
          <t>Manufacturing</t>
        </is>
      </c>
      <c r="C128" s="3" t="inlineStr">
        <is>
          <t>E16</t>
        </is>
      </c>
      <c r="D128" s="3" t="inlineStr">
        <is>
          <t>Observed manufacturing diesel</t>
        </is>
      </c>
      <c r="E128" s="3" t="inlineStr">
        <is>
          <t>Matched-period comparator; total national diesel sales cannot validate this segment alone.</t>
        </is>
      </c>
    </row>
    <row r="129" ht="42" customHeight="1">
      <c r="A129" s="3" t="inlineStr">
        <is>
          <t>N125</t>
        </is>
      </c>
      <c r="B129" s="3" t="inlineStr">
        <is>
          <t>Manufacturing</t>
        </is>
      </c>
      <c r="C129" s="3" t="inlineStr">
        <is>
          <t>E17</t>
        </is>
      </c>
      <c r="D129" s="3" t="inlineStr">
        <is>
          <t>Calculated less observed demand</t>
        </is>
      </c>
      <c r="E129" s="3" t="inlineStr">
        <is>
          <t>Reconcile only against matched manufacturing scope. No manufactured zero or assumed residual allocation.</t>
        </is>
      </c>
    </row>
    <row r="130" ht="42" customHeight="1">
      <c r="A130" s="3" t="inlineStr">
        <is>
          <t>N126</t>
        </is>
      </c>
      <c r="B130" s="3" t="inlineStr">
        <is>
          <t>Manufacturing</t>
        </is>
      </c>
      <c r="C130" s="3" t="inlineStr">
        <is>
          <t>E20</t>
        </is>
      </c>
      <c r="D130" s="3" t="inlineStr">
        <is>
          <t>Current combined industrial baseline</t>
        </is>
      </c>
      <c r="E130" s="3" t="inlineStr">
        <is>
          <t>ONE provisional total for manufacturing + mining + construction. Do not give the whole total to each sector.</t>
        </is>
      </c>
    </row>
    <row r="131" ht="42" customHeight="1">
      <c r="A131" s="3" t="inlineStr">
        <is>
          <t>N127</t>
        </is>
      </c>
      <c r="B131" s="3" t="inlineStr">
        <is>
          <t>Manufacturing</t>
        </is>
      </c>
      <c r="C131" s="3" t="inlineStr">
        <is>
          <t>E23</t>
        </is>
      </c>
      <c r="D131" s="3" t="inlineStr">
        <is>
          <t>Combined industrial diesel</t>
        </is>
      </c>
      <c r="E131" s="3" t="inlineStr">
        <is>
          <t>Existing engine output shown ONCE as a reference for the future split; includes mining and construction.</t>
        </is>
      </c>
    </row>
    <row r="132" ht="42" customHeight="1">
      <c r="A132" s="3" t="inlineStr">
        <is>
          <t>N128</t>
        </is>
      </c>
      <c r="B132" s="3" t="inlineStr">
        <is>
          <t>Manufacturing</t>
        </is>
      </c>
      <c r="C132" s="3" t="inlineStr">
        <is>
          <t>E26</t>
        </is>
      </c>
      <c r="D132" s="3" t="inlineStr">
        <is>
          <t>Split and reconcile the combined total</t>
        </is>
      </c>
      <c r="E132" s="3" t="inlineStr">
        <is>
          <t>Manufacturing + mining + construction/other + unallocated must explain the retained total or a reviewed revision. Do not silently drop construction.</t>
        </is>
      </c>
    </row>
    <row r="133" ht="42" customHeight="1">
      <c r="A133" s="3" t="inlineStr">
        <is>
          <t>N129</t>
        </is>
      </c>
      <c r="B133" s="3" t="inlineStr">
        <is>
          <t>Manufacturing</t>
        </is>
      </c>
      <c r="C133" s="3" t="inlineStr">
        <is>
          <t>E28</t>
        </is>
      </c>
      <c r="D133" s="3" t="inlineStr">
        <is>
          <t>Input source</t>
        </is>
      </c>
      <c r="E133" s="3" t="inlineStr">
        <is>
          <t>https://github.com/Africa-International-Advisors/liquid_fuels_model/blob/8c69f8333192483f19cd80911cb90fcd0943eb6b/assumptions/2026/industrial.yaml</t>
        </is>
      </c>
    </row>
    <row r="134" ht="42" customHeight="1">
      <c r="A134" s="3" t="inlineStr">
        <is>
          <t>N130</t>
        </is>
      </c>
      <c r="B134" s="3" t="inlineStr">
        <is>
          <t>Manufacturing</t>
        </is>
      </c>
      <c r="C134" s="3" t="inlineStr">
        <is>
          <t>E29</t>
        </is>
      </c>
      <c r="D134" s="3" t="inlineStr">
        <is>
          <t>Calculation source</t>
        </is>
      </c>
      <c r="E134" s="3" t="inlineStr">
        <is>
          <t>https://github.com/Africa-International-Advisors/liquid_fuels_model/blob/8c69f8333192483f19cd80911cb90fcd0943eb6b/src/lfm/model/demand/industrial.py</t>
        </is>
      </c>
    </row>
    <row r="135" ht="42" customHeight="1">
      <c r="A135" s="3" t="inlineStr">
        <is>
          <t>N131</t>
        </is>
      </c>
      <c r="B135" s="3" t="inlineStr">
        <is>
          <t>Manufacturing</t>
        </is>
      </c>
      <c r="C135" s="3" t="inlineStr">
        <is>
          <t>E32</t>
        </is>
      </c>
      <c r="D135" s="3" t="inlineStr">
        <is>
          <t>Manufacturing production volume</t>
        </is>
      </c>
      <c r="E135" s="3" t="inlineStr">
        <is>
          <t>Arithmetic mean of all 12 monthly production indices; 2026 Jan-Jul mean shown separately. Latest value in D: 2026-01 to 2026-07, 7 months; mean; not annualised.</t>
        </is>
      </c>
    </row>
    <row r="136" ht="42" customHeight="1">
      <c r="A136" s="3" t="inlineStr">
        <is>
          <t>N132</t>
        </is>
      </c>
      <c r="B136" s="3" t="inlineStr">
        <is>
          <t>Manufacturing</t>
        </is>
      </c>
      <c r="C136" s="3" t="inlineStr">
        <is>
          <t>T32</t>
        </is>
      </c>
      <c r="D136" s="3" t="inlineStr">
        <is>
          <t>Manufacturing production volume</t>
        </is>
      </c>
      <c r="E136" s="3" t="inlineStr">
        <is>
          <t>Unreviewed source extract; annual cells contain complete periods only.</t>
        </is>
      </c>
    </row>
    <row r="137" ht="42" customHeight="1">
      <c r="A137" s="3" t="inlineStr">
        <is>
          <t>N133</t>
        </is>
      </c>
      <c r="B137" s="3" t="inlineStr">
        <is>
          <t>Manufacturing</t>
        </is>
      </c>
      <c r="C137" s="3" t="inlineStr">
        <is>
          <t>U32</t>
        </is>
      </c>
      <c r="D137" s="3" t="inlineStr">
        <is>
          <t>Manufacturing production volume</t>
        </is>
      </c>
      <c r="E137" s="3" t="inlineStr">
        <is>
          <t>Evidence row 30; pptx/story/evidence_2026_10_06/activity_statssa_monthly.csv</t>
        </is>
      </c>
    </row>
    <row r="138" ht="42" customHeight="1">
      <c r="A138" s="3" t="inlineStr">
        <is>
          <t>N134</t>
        </is>
      </c>
      <c r="B138" s="3" t="inlineStr">
        <is>
          <t>Manufacturing</t>
        </is>
      </c>
      <c r="C138" s="3" t="inlineStr">
        <is>
          <t>V32</t>
        </is>
      </c>
      <c r="D138" s="3" t="inlineStr">
        <is>
          <t>Manufacturing production volume</t>
        </is>
      </c>
      <c r="E138" s="3" t="inlineStr">
        <is>
          <t>G06: match subsectors to fuel scope; rebase to chosen fuel-baseline year.</t>
        </is>
      </c>
    </row>
    <row r="139" ht="42" customHeight="1">
      <c r="A139" s="3" t="inlineStr">
        <is>
          <t>N135</t>
        </is>
      </c>
      <c r="B139" s="3" t="inlineStr">
        <is>
          <t>Manufacturing</t>
        </is>
      </c>
      <c r="C139" s="3" t="inlineStr">
        <is>
          <t>E33</t>
        </is>
      </c>
      <c r="D139" s="3" t="inlineStr">
        <is>
          <t>Manufacturing real GVA</t>
        </is>
      </c>
      <c r="E139" s="3" t="inlineStr">
        <is>
          <t>Stats SA annual actual in staged reporting copy. Sector value added is an activity proxy, not measured fuel use.</t>
        </is>
      </c>
    </row>
    <row r="140" ht="42" customHeight="1">
      <c r="A140" s="3" t="inlineStr">
        <is>
          <t>N136</t>
        </is>
      </c>
      <c r="B140" s="3" t="inlineStr">
        <is>
          <t>Manufacturing</t>
        </is>
      </c>
      <c r="C140" s="3" t="inlineStr">
        <is>
          <t>T33</t>
        </is>
      </c>
      <c r="D140" s="3" t="inlineStr">
        <is>
          <t>Manufacturing real GVA</t>
        </is>
      </c>
      <c r="E140" s="3" t="inlineStr">
        <is>
          <t>Unreviewed source extract; annual cells contain complete periods only.</t>
        </is>
      </c>
    </row>
    <row r="141" ht="42" customHeight="1">
      <c r="A141" s="3" t="inlineStr">
        <is>
          <t>N137</t>
        </is>
      </c>
      <c r="B141" s="3" t="inlineStr">
        <is>
          <t>Manufacturing</t>
        </is>
      </c>
      <c r="C141" s="3" t="inlineStr">
        <is>
          <t>U33</t>
        </is>
      </c>
      <c r="D141" s="3" t="inlineStr">
        <is>
          <t>Manufacturing real GVA</t>
        </is>
      </c>
      <c r="E141" s="3" t="inlineStr">
        <is>
          <t>Evidence row 27; pptx/story/evidence_2026_10_06/macro_statssa.csv</t>
        </is>
      </c>
    </row>
    <row r="142" ht="42" customHeight="1">
      <c r="A142" s="3" t="inlineStr">
        <is>
          <t>N138</t>
        </is>
      </c>
      <c r="B142" s="3" t="inlineStr">
        <is>
          <t>Manufacturing</t>
        </is>
      </c>
      <c r="C142" s="3" t="inlineStr">
        <is>
          <t>V33</t>
        </is>
      </c>
      <c r="D142" s="3" t="inlineStr">
        <is>
          <t>Manufacturing real GVA</t>
        </is>
      </c>
      <c r="E142" s="3" t="inlineStr">
        <is>
          <t>G06: alternative activity proxy, not additive to production-index growth.</t>
        </is>
      </c>
    </row>
    <row r="143" ht="42" customHeight="1">
      <c r="A143" s="3" t="inlineStr">
        <is>
          <t>N139</t>
        </is>
      </c>
      <c r="B143" s="3" t="inlineStr">
        <is>
          <t>Manufacturing</t>
        </is>
      </c>
      <c r="C143" s="3" t="inlineStr">
        <is>
          <t>E34</t>
        </is>
      </c>
      <c r="D143" s="3" t="inlineStr">
        <is>
          <t>2021 energy-balance industry total</t>
        </is>
      </c>
      <c r="E143" s="3" t="inlineStr">
        <is>
          <t>Parent industry total includes mining and construction. It is not manufacturing fuel demand.</t>
        </is>
      </c>
    </row>
    <row r="144" ht="42" customHeight="1">
      <c r="A144" s="3" t="inlineStr">
        <is>
          <t>N140</t>
        </is>
      </c>
      <c r="B144" s="3" t="inlineStr">
        <is>
          <t>Manufacturing</t>
        </is>
      </c>
      <c r="C144" s="3" t="inlineStr">
        <is>
          <t>U34</t>
        </is>
      </c>
      <c r="D144" s="3" t="inlineStr">
        <is>
          <t>2021 energy-balance industry total</t>
        </is>
      </c>
      <c r="E144" s="3" t="inlineStr">
        <is>
          <t>https://github.com/Africa-International-Advisors/liquid_fuels_model/blob/8c69f8333192483f19cd80911cb90fcd0943eb6b/assumptions/2026/timeseries/energy_balance_department.csv</t>
        </is>
      </c>
    </row>
    <row r="145" ht="42" customHeight="1">
      <c r="A145" s="3" t="inlineStr">
        <is>
          <t>N141</t>
        </is>
      </c>
      <c r="B145" s="3" t="inlineStr">
        <is>
          <t>Manufacturing</t>
        </is>
      </c>
      <c r="C145" s="3" t="inlineStr">
        <is>
          <t>V34</t>
        </is>
      </c>
      <c r="D145" s="3" t="inlineStr">
        <is>
          <t>2021 energy-balance industry total</t>
        </is>
      </c>
      <c r="E145" s="3" t="inlineStr">
        <is>
          <t>G06: reconcile manufacturing subsector rows and unspecified industry; do not double count parent and children.</t>
        </is>
      </c>
    </row>
    <row r="146" ht="42" customHeight="1">
      <c r="A146" s="3" t="inlineStr">
        <is>
          <t>N142</t>
        </is>
      </c>
      <c r="B146" s="3" t="inlineStr">
        <is>
          <t>Manufacturing</t>
        </is>
      </c>
      <c r="C146" s="3" t="inlineStr">
        <is>
          <t>E35</t>
        </is>
      </c>
      <c r="D146" s="3" t="inlineStr">
        <is>
          <t>2021 construction diesel</t>
        </is>
      </c>
      <c r="E146" s="3" t="inlineStr">
        <is>
          <t>Construction child of source industry total, shown separately to preserve scope.</t>
        </is>
      </c>
    </row>
    <row r="147" ht="42" customHeight="1">
      <c r="A147" s="3" t="inlineStr">
        <is>
          <t>N143</t>
        </is>
      </c>
      <c r="B147" s="3" t="inlineStr">
        <is>
          <t>Manufacturing</t>
        </is>
      </c>
      <c r="C147" s="3" t="inlineStr">
        <is>
          <t>U35</t>
        </is>
      </c>
      <c r="D147" s="3" t="inlineStr">
        <is>
          <t>2021 construction diesel</t>
        </is>
      </c>
      <c r="E147" s="3" t="inlineStr">
        <is>
          <t>https://github.com/Africa-International-Advisors/liquid_fuels_model/blob/8c69f8333192483f19cd80911cb90fcd0943eb6b/assumptions/2026/timeseries/energy_balance_department.csv</t>
        </is>
      </c>
    </row>
    <row r="148" ht="42" customHeight="1">
      <c r="A148" s="3" t="inlineStr">
        <is>
          <t>N144</t>
        </is>
      </c>
      <c r="B148" s="3" t="inlineStr">
        <is>
          <t>Manufacturing</t>
        </is>
      </c>
      <c r="C148" s="3" t="inlineStr">
        <is>
          <t>V35</t>
        </is>
      </c>
      <c r="D148" s="3" t="inlineStr">
        <is>
          <t>2021 construction diesel</t>
        </is>
      </c>
      <c r="E148" s="3" t="inlineStr">
        <is>
          <t>G06/G07: retain construction/other when splitting the model bucket.</t>
        </is>
      </c>
    </row>
    <row r="149" ht="42" customHeight="1">
      <c r="A149" s="3" t="inlineStr">
        <is>
          <t>N145</t>
        </is>
      </c>
      <c r="B149" s="3" t="inlineStr">
        <is>
          <t>Mining</t>
        </is>
      </c>
      <c r="C149" s="3" t="inlineStr">
        <is>
          <t>E6</t>
        </is>
      </c>
      <c r="D149" s="3" t="inlineStr">
        <is>
          <t>Reviewed mining baseline</t>
        </is>
      </c>
      <c r="E149" s="3" t="inlineStr">
        <is>
          <t>2021 mining fuel is shown in row 31. Source newer years and review scope before selecting a baseline.</t>
        </is>
      </c>
    </row>
    <row r="150" ht="42" customHeight="1">
      <c r="A150" s="3" t="inlineStr">
        <is>
          <t>N146</t>
        </is>
      </c>
      <c r="B150" s="3" t="inlineStr">
        <is>
          <t>Mining</t>
        </is>
      </c>
      <c r="C150" s="3" t="inlineStr">
        <is>
          <t>E8</t>
        </is>
      </c>
      <c r="D150" s="3" t="inlineStr">
        <is>
          <t>Mining activity index</t>
        </is>
      </c>
      <c r="E150" s="3" t="inlineStr">
        <is>
          <t>Production index and GVA now appear in rows 29-30. Select one coherent activity path, with mine-specific work where supported.</t>
        </is>
      </c>
    </row>
    <row r="151" ht="42" customHeight="1">
      <c r="A151" s="3" t="inlineStr">
        <is>
          <t>N147</t>
        </is>
      </c>
      <c r="B151" s="3" t="inlineStr">
        <is>
          <t>Mining</t>
        </is>
      </c>
      <c r="C151" s="3" t="inlineStr">
        <is>
          <t>E9</t>
        </is>
      </c>
      <c r="D151" s="3" t="inlineStr">
        <is>
          <t>Relative operating intensity</t>
        </is>
      </c>
      <c r="E151" s="3" t="inlineStr">
        <is>
          <t>Reflect depth, haul work, equipment mix and efficiency. Avoid duplicating work already embedded in the activity measure.</t>
        </is>
      </c>
    </row>
    <row r="152" ht="42" customHeight="1">
      <c r="A152" s="3" t="inlineStr">
        <is>
          <t>N148</t>
        </is>
      </c>
      <c r="B152" s="3" t="inlineStr">
        <is>
          <t>Mining</t>
        </is>
      </c>
      <c r="C152" s="3" t="inlineStr">
        <is>
          <t>E10</t>
        </is>
      </c>
      <c r="D152" s="3" t="inlineStr">
        <is>
          <t>Electrification: remaining diesel fraction</t>
        </is>
      </c>
      <c r="E152" s="3" t="inlineStr">
        <is>
          <t>Eligible off-road diesel work retained after switching equipment or haul systems. Fit by mine/equipment; do not apply road-truck uptake automatically.</t>
        </is>
      </c>
    </row>
    <row r="153" ht="42" customHeight="1">
      <c r="A153" s="3" t="inlineStr">
        <is>
          <t>N149</t>
        </is>
      </c>
      <c r="B153" s="3" t="inlineStr">
        <is>
          <t>Mining</t>
        </is>
      </c>
      <c r="C153" s="3" t="inlineStr">
        <is>
          <t>E12</t>
        </is>
      </c>
      <c r="D153" s="3" t="inlineStr">
        <is>
          <t>Provincial site / activity allocation</t>
        </is>
      </c>
      <c r="E153" s="3" t="inlineStr">
        <is>
          <t>Locate mine demand by site/activity; use explicit unallocated coverage if sites or fuel use are unknown.</t>
        </is>
      </c>
    </row>
    <row r="154" ht="42" customHeight="1">
      <c r="A154" s="3" t="inlineStr">
        <is>
          <t>N150</t>
        </is>
      </c>
      <c r="B154" s="3" t="inlineStr">
        <is>
          <t>Mining</t>
        </is>
      </c>
      <c r="C154" s="3" t="inlineStr">
        <is>
          <t>E15</t>
        </is>
      </c>
      <c r="D154" s="3" t="inlineStr">
        <is>
          <t>Mining diesel demand</t>
        </is>
      </c>
      <c r="E154" s="3" t="inlineStr">
        <is>
          <t>Baseline × activity/100 × relative intensity × remaining diesel fraction. Aggregate subsectors/sites where supported.</t>
        </is>
      </c>
    </row>
    <row r="155" ht="42" customHeight="1">
      <c r="A155" s="3" t="inlineStr">
        <is>
          <t>N151</t>
        </is>
      </c>
      <c r="B155" s="3" t="inlineStr">
        <is>
          <t>Mining</t>
        </is>
      </c>
      <c r="C155" s="3" t="inlineStr">
        <is>
          <t>E17</t>
        </is>
      </c>
      <c r="D155" s="3" t="inlineStr">
        <is>
          <t>Calculated less observed demand</t>
        </is>
      </c>
      <c r="E155" s="3" t="inlineStr">
        <is>
          <t>No numerical forecast or observed comparison until the sector baseline is sourced.</t>
        </is>
      </c>
    </row>
    <row r="156" ht="42" customHeight="1">
      <c r="A156" s="3" t="inlineStr">
        <is>
          <t>N152</t>
        </is>
      </c>
      <c r="B156" s="3" t="inlineStr">
        <is>
          <t>Mining</t>
        </is>
      </c>
      <c r="C156" s="3" t="inlineStr">
        <is>
          <t>E20</t>
        </is>
      </c>
      <c r="D156" s="3" t="inlineStr">
        <is>
          <t>Current combined model reference</t>
        </is>
      </c>
      <c r="E156" s="3" t="inlineStr">
        <is>
          <t>Manufacturing rows 20-24 hold the combined industrial baseline/output once. Mining has no separate current-engine result.</t>
        </is>
      </c>
    </row>
    <row r="157" ht="42" customHeight="1">
      <c r="A157" s="3" t="inlineStr">
        <is>
          <t>N153</t>
        </is>
      </c>
      <c r="B157" s="3" t="inlineStr">
        <is>
          <t>Mining</t>
        </is>
      </c>
      <c r="C157" s="3" t="inlineStr">
        <is>
          <t>E21</t>
        </is>
      </c>
      <c r="D157" s="3" t="inlineStr">
        <is>
          <t>Public-road freight boundary</t>
        </is>
      </c>
      <c r="E157" s="3" t="inlineStr">
        <is>
          <t>Mine-to-port road trucks belong to freight if already in that fleet/activity. Keep mine-site machinery and haulage in mining.</t>
        </is>
      </c>
    </row>
    <row r="158" ht="42" customHeight="1">
      <c r="A158" s="3" t="inlineStr">
        <is>
          <t>N154</t>
        </is>
      </c>
      <c r="B158" s="3" t="inlineStr">
        <is>
          <t>Mining</t>
        </is>
      </c>
      <c r="C158" s="3" t="inlineStr">
        <is>
          <t>E22</t>
        </is>
      </c>
      <c r="D158" s="3" t="inlineStr">
        <is>
          <t>Construction and other remainder</t>
        </is>
      </c>
      <c r="E158" s="3" t="inlineStr">
        <is>
          <t>Reconcile the combined baseline with manufacturing, mining and construction/other; retain unallocated demand explicitly.</t>
        </is>
      </c>
    </row>
    <row r="159" ht="42" customHeight="1">
      <c r="A159" s="3" t="inlineStr">
        <is>
          <t>N155</t>
        </is>
      </c>
      <c r="B159" s="3" t="inlineStr">
        <is>
          <t>Mining</t>
        </is>
      </c>
      <c r="C159" s="3" t="inlineStr">
        <is>
          <t>E24</t>
        </is>
      </c>
      <c r="D159" s="3" t="inlineStr">
        <is>
          <t>H/M/L brackets and reference case</t>
        </is>
      </c>
      <c r="E159" s="3" t="inlineStr">
        <is>
          <t>Agree mining activity, intensity and electrification separately. Higher remaining-diesel fraction raises fuel demand.</t>
        </is>
      </c>
    </row>
    <row r="160" ht="42" customHeight="1">
      <c r="A160" s="3" t="inlineStr">
        <is>
          <t>N156</t>
        </is>
      </c>
      <c r="B160" s="3" t="inlineStr">
        <is>
          <t>Mining</t>
        </is>
      </c>
      <c r="C160" s="3" t="inlineStr">
        <is>
          <t>E26</t>
        </is>
      </c>
      <c r="D160" s="3" t="inlineStr">
        <is>
          <t>Input source</t>
        </is>
      </c>
      <c r="E160" s="3" t="inlineStr">
        <is>
          <t>https://github.com/Africa-International-Advisors/liquid_fuels_model/blob/8c69f8333192483f19cd80911cb90fcd0943eb6b/assumptions/2026/industrial.yaml</t>
        </is>
      </c>
    </row>
    <row r="161" ht="42" customHeight="1">
      <c r="A161" s="3" t="inlineStr">
        <is>
          <t>N157</t>
        </is>
      </c>
      <c r="B161" s="3" t="inlineStr">
        <is>
          <t>Mining</t>
        </is>
      </c>
      <c r="C161" s="3" t="inlineStr">
        <is>
          <t>E29</t>
        </is>
      </c>
      <c r="D161" s="3" t="inlineStr">
        <is>
          <t>Mining production volume</t>
        </is>
      </c>
      <c r="E161" s="3" t="inlineStr">
        <is>
          <t>Arithmetic mean of all 12 monthly production indices; 2026 Jan-Jul mean shown separately. Latest value in D: 2026-01 to 2026-07, 7 months; mean; not annualised.</t>
        </is>
      </c>
    </row>
    <row r="162" ht="42" customHeight="1">
      <c r="A162" s="3" t="inlineStr">
        <is>
          <t>N158</t>
        </is>
      </c>
      <c r="B162" s="3" t="inlineStr">
        <is>
          <t>Mining</t>
        </is>
      </c>
      <c r="C162" s="3" t="inlineStr">
        <is>
          <t>T29</t>
        </is>
      </c>
      <c r="D162" s="3" t="inlineStr">
        <is>
          <t>Mining production volume</t>
        </is>
      </c>
      <c r="E162" s="3" t="inlineStr">
        <is>
          <t>Unreviewed source extract; annual cells contain complete periods only.</t>
        </is>
      </c>
    </row>
    <row r="163" ht="42" customHeight="1">
      <c r="A163" s="3" t="inlineStr">
        <is>
          <t>N159</t>
        </is>
      </c>
      <c r="B163" s="3" t="inlineStr">
        <is>
          <t>Mining</t>
        </is>
      </c>
      <c r="C163" s="3" t="inlineStr">
        <is>
          <t>U29</t>
        </is>
      </c>
      <c r="D163" s="3" t="inlineStr">
        <is>
          <t>Mining production volume</t>
        </is>
      </c>
      <c r="E163" s="3" t="inlineStr">
        <is>
          <t>Evidence row 31; pptx/story/evidence_2026_10_06/activity_statssa_monthly.csv</t>
        </is>
      </c>
    </row>
    <row r="164" ht="42" customHeight="1">
      <c r="A164" s="3" t="inlineStr">
        <is>
          <t>N160</t>
        </is>
      </c>
      <c r="B164" s="3" t="inlineStr">
        <is>
          <t>Mining</t>
        </is>
      </c>
      <c r="C164" s="3" t="inlineStr">
        <is>
          <t>V29</t>
        </is>
      </c>
      <c r="D164" s="3" t="inlineStr">
        <is>
          <t>Mining production volume</t>
        </is>
      </c>
      <c r="E164" s="3" t="inlineStr">
        <is>
          <t>G07: test commodity output versus material moved/haul work as diesel driver.</t>
        </is>
      </c>
    </row>
    <row r="165" ht="42" customHeight="1">
      <c r="A165" s="3" t="inlineStr">
        <is>
          <t>N161</t>
        </is>
      </c>
      <c r="B165" s="3" t="inlineStr">
        <is>
          <t>Mining</t>
        </is>
      </c>
      <c r="C165" s="3" t="inlineStr">
        <is>
          <t>E30</t>
        </is>
      </c>
      <c r="D165" s="3" t="inlineStr">
        <is>
          <t>Mining/quarrying real GVA</t>
        </is>
      </c>
      <c r="E165" s="3" t="inlineStr">
        <is>
          <t>Stats SA annual actual in staged reporting copy. Sector value added is an activity proxy, not measured fuel use.</t>
        </is>
      </c>
    </row>
    <row r="166" ht="42" customHeight="1">
      <c r="A166" s="3" t="inlineStr">
        <is>
          <t>N162</t>
        </is>
      </c>
      <c r="B166" s="3" t="inlineStr">
        <is>
          <t>Mining</t>
        </is>
      </c>
      <c r="C166" s="3" t="inlineStr">
        <is>
          <t>T30</t>
        </is>
      </c>
      <c r="D166" s="3" t="inlineStr">
        <is>
          <t>Mining/quarrying real GVA</t>
        </is>
      </c>
      <c r="E166" s="3" t="inlineStr">
        <is>
          <t>Unreviewed source extract; annual cells contain complete periods only.</t>
        </is>
      </c>
    </row>
    <row r="167" ht="42" customHeight="1">
      <c r="A167" s="3" t="inlineStr">
        <is>
          <t>N163</t>
        </is>
      </c>
      <c r="B167" s="3" t="inlineStr">
        <is>
          <t>Mining</t>
        </is>
      </c>
      <c r="C167" s="3" t="inlineStr">
        <is>
          <t>U30</t>
        </is>
      </c>
      <c r="D167" s="3" t="inlineStr">
        <is>
          <t>Mining/quarrying real GVA</t>
        </is>
      </c>
      <c r="E167" s="3" t="inlineStr">
        <is>
          <t>Evidence row 28; pptx/story/evidence_2026_10_06/macro_statssa.csv</t>
        </is>
      </c>
    </row>
    <row r="168" ht="42" customHeight="1">
      <c r="A168" s="3" t="inlineStr">
        <is>
          <t>N164</t>
        </is>
      </c>
      <c r="B168" s="3" t="inlineStr">
        <is>
          <t>Mining</t>
        </is>
      </c>
      <c r="C168" s="3" t="inlineStr">
        <is>
          <t>V30</t>
        </is>
      </c>
      <c r="D168" s="3" t="inlineStr">
        <is>
          <t>Mining/quarrying real GVA</t>
        </is>
      </c>
      <c r="E168" s="3" t="inlineStr">
        <is>
          <t>G07: alternative activity proxy; do not multiply both indices without calibration.</t>
        </is>
      </c>
    </row>
    <row r="169" ht="42" customHeight="1">
      <c r="A169" s="3" t="inlineStr">
        <is>
          <t>N165</t>
        </is>
      </c>
      <c r="B169" s="3" t="inlineStr">
        <is>
          <t>Mining</t>
        </is>
      </c>
      <c r="C169" s="3" t="inlineStr">
        <is>
          <t>U31</t>
        </is>
      </c>
      <c r="D169" s="3" t="inlineStr">
        <is>
          <t>2021 mining/quarrying diesel</t>
        </is>
      </c>
      <c r="E169" s="3" t="inlineStr">
        <is>
          <t>https://github.com/Africa-International-Advisors/liquid_fuels_model/blob/8c69f8333192483f19cd80911cb90fcd0943eb6b/assumptions/2026/timeseries/energy_balance_department.csv</t>
        </is>
      </c>
    </row>
    <row r="170" ht="42" customHeight="1">
      <c r="A170" s="3" t="inlineStr">
        <is>
          <t>N166</t>
        </is>
      </c>
      <c r="B170" s="3" t="inlineStr">
        <is>
          <t>Mining</t>
        </is>
      </c>
      <c r="C170" s="3" t="inlineStr">
        <is>
          <t>V31</t>
        </is>
      </c>
      <c r="D170" s="3" t="inlineStr">
        <is>
          <t>2021 mining/quarrying diesel</t>
        </is>
      </c>
      <c r="E170" s="3" t="inlineStr">
        <is>
          <t>G07: verify machinery/haulage/backup boundaries and newer fuel use.</t>
        </is>
      </c>
    </row>
    <row r="171" ht="42" customHeight="1">
      <c r="A171" s="3" t="inlineStr">
        <is>
          <t>N167</t>
        </is>
      </c>
      <c r="B171" s="3" t="inlineStr">
        <is>
          <t>Other demand</t>
        </is>
      </c>
      <c r="C171" s="3" t="inlineStr">
        <is>
          <t>E6</t>
        </is>
      </c>
      <c r="D171" s="3" t="inlineStr">
        <is>
          <t>Eskom OCGT generation</t>
        </is>
      </c>
      <c r="E171" s="3" t="inlineStr">
        <is>
          <t>Full financial year ending 31 March in the column year. Not calendar-year generation; fuel-burn bridge still required.</t>
        </is>
      </c>
    </row>
    <row r="172" ht="42" customHeight="1">
      <c r="A172" s="3" t="inlineStr">
        <is>
          <t>N168</t>
        </is>
      </c>
      <c r="B172" s="3" t="inlineStr">
        <is>
          <t>Other demand</t>
        </is>
      </c>
      <c r="C172" s="3" t="inlineStr">
        <is>
          <t>T6</t>
        </is>
      </c>
      <c r="D172" s="3" t="inlineStr">
        <is>
          <t>Eskom OCGT generation</t>
        </is>
      </c>
      <c r="E172" s="3" t="inlineStr">
        <is>
          <t>Unreviewed source extract; annual cells contain complete periods only.</t>
        </is>
      </c>
    </row>
    <row r="173" ht="42" customHeight="1">
      <c r="A173" s="3" t="inlineStr">
        <is>
          <t>N169</t>
        </is>
      </c>
      <c r="B173" s="3" t="inlineStr">
        <is>
          <t>Other demand</t>
        </is>
      </c>
      <c r="C173" s="3" t="inlineStr">
        <is>
          <t>U6</t>
        </is>
      </c>
      <c r="D173" s="3" t="inlineStr">
        <is>
          <t>Eskom OCGT generation</t>
        </is>
      </c>
      <c r="E173" s="3" t="inlineStr">
        <is>
          <t>Evidence row 34; assumptions/2026/timeseries/ocgt_generation_eskom.csv</t>
        </is>
      </c>
    </row>
    <row r="174" ht="42" customHeight="1">
      <c r="A174" s="3" t="inlineStr">
        <is>
          <t>N170</t>
        </is>
      </c>
      <c r="B174" s="3" t="inlineStr">
        <is>
          <t>Other demand</t>
        </is>
      </c>
      <c r="C174" s="3" t="inlineStr">
        <is>
          <t>V6</t>
        </is>
      </c>
      <c r="D174" s="3" t="inlineStr">
        <is>
          <t>Eskom OCGT generation</t>
        </is>
      </c>
      <c r="E174" s="3" t="inlineStr">
        <is>
          <t>G09: source matched litres and convert FY evidence to calendar-year basis.</t>
        </is>
      </c>
    </row>
    <row r="175" ht="42" customHeight="1">
      <c r="A175" s="3" t="inlineStr">
        <is>
          <t>N171</t>
        </is>
      </c>
      <c r="B175" s="3" t="inlineStr">
        <is>
          <t>Other demand</t>
        </is>
      </c>
      <c r="C175" s="3" t="inlineStr">
        <is>
          <t>E7</t>
        </is>
      </c>
      <c r="D175" s="3" t="inlineStr">
        <is>
          <t>IPP OCGT generation</t>
        </is>
      </c>
      <c r="E175" s="3" t="inlineStr">
        <is>
          <t>Full financial year ending 31 March in the column year. Not calendar-year generation; fuel-burn bridge still required.</t>
        </is>
      </c>
    </row>
    <row r="176" ht="42" customHeight="1">
      <c r="A176" s="3" t="inlineStr">
        <is>
          <t>N172</t>
        </is>
      </c>
      <c r="B176" s="3" t="inlineStr">
        <is>
          <t>Other demand</t>
        </is>
      </c>
      <c r="C176" s="3" t="inlineStr">
        <is>
          <t>T7</t>
        </is>
      </c>
      <c r="D176" s="3" t="inlineStr">
        <is>
          <t>IPP OCGT generation</t>
        </is>
      </c>
      <c r="E176" s="3" t="inlineStr">
        <is>
          <t>Unreviewed source extract; annual cells contain complete periods only.</t>
        </is>
      </c>
    </row>
    <row r="177" ht="42" customHeight="1">
      <c r="A177" s="3" t="inlineStr">
        <is>
          <t>N173</t>
        </is>
      </c>
      <c r="B177" s="3" t="inlineStr">
        <is>
          <t>Other demand</t>
        </is>
      </c>
      <c r="C177" s="3" t="inlineStr">
        <is>
          <t>U7</t>
        </is>
      </c>
      <c r="D177" s="3" t="inlineStr">
        <is>
          <t>IPP OCGT generation</t>
        </is>
      </c>
      <c r="E177" s="3" t="inlineStr">
        <is>
          <t>Evidence row 35; assumptions/2026/timeseries/ocgt_generation_eskom.csv</t>
        </is>
      </c>
    </row>
    <row r="178" ht="42" customHeight="1">
      <c r="A178" s="3" t="inlineStr">
        <is>
          <t>N174</t>
        </is>
      </c>
      <c r="B178" s="3" t="inlineStr">
        <is>
          <t>Other demand</t>
        </is>
      </c>
      <c r="C178" s="3" t="inlineStr">
        <is>
          <t>E8</t>
        </is>
      </c>
      <c r="D178" s="3" t="inlineStr">
        <is>
          <t>Combined OCGT generation</t>
        </is>
      </c>
      <c r="E178" s="3" t="inlineStr">
        <is>
          <t>Full financial year ending 31 March in the column year. Not calendar-year generation; fuel-burn bridge still required.</t>
        </is>
      </c>
    </row>
    <row r="179" ht="42" customHeight="1">
      <c r="A179" s="3" t="inlineStr">
        <is>
          <t>N175</t>
        </is>
      </c>
      <c r="B179" s="3" t="inlineStr">
        <is>
          <t>Other demand</t>
        </is>
      </c>
      <c r="C179" s="3" t="inlineStr">
        <is>
          <t>T8</t>
        </is>
      </c>
      <c r="D179" s="3" t="inlineStr">
        <is>
          <t>Combined OCGT generation</t>
        </is>
      </c>
      <c r="E179" s="3" t="inlineStr">
        <is>
          <t>Unreviewed source extract; annual cells contain complete periods only.</t>
        </is>
      </c>
    </row>
    <row r="180" ht="42" customHeight="1">
      <c r="A180" s="3" t="inlineStr">
        <is>
          <t>N176</t>
        </is>
      </c>
      <c r="B180" s="3" t="inlineStr">
        <is>
          <t>Other demand</t>
        </is>
      </c>
      <c r="C180" s="3" t="inlineStr">
        <is>
          <t>U8</t>
        </is>
      </c>
      <c r="D180" s="3" t="inlineStr">
        <is>
          <t>Combined OCGT generation</t>
        </is>
      </c>
      <c r="E180" s="3" t="inlineStr">
        <is>
          <t>Evidence row 36; assumptions/2026/timeseries/ocgt_generation_eskom.csv</t>
        </is>
      </c>
    </row>
    <row r="181" ht="42" customHeight="1">
      <c r="A181" s="3" t="inlineStr">
        <is>
          <t>N177</t>
        </is>
      </c>
      <c r="B181" s="3" t="inlineStr">
        <is>
          <t>Other demand</t>
        </is>
      </c>
      <c r="C181" s="3" t="inlineStr">
        <is>
          <t>U9</t>
        </is>
      </c>
      <c r="D181" s="3" t="inlineStr">
        <is>
          <t>Current engine load factor</t>
        </is>
      </c>
      <c r="E181" s="3" t="inlineStr">
        <is>
          <t>https://github.com/Africa-International-Advisors/liquid_fuels_model/blob/8c69f8333192483f19cd80911cb90fcd0943eb6b/assumptions/2026/generation.yaml</t>
        </is>
      </c>
    </row>
    <row r="182" ht="42" customHeight="1">
      <c r="A182" s="3" t="inlineStr">
        <is>
          <t>N178</t>
        </is>
      </c>
      <c r="B182" s="3" t="inlineStr">
        <is>
          <t>Other demand</t>
        </is>
      </c>
      <c r="C182" s="3" t="inlineStr">
        <is>
          <t>U10</t>
        </is>
      </c>
      <c r="D182" s="3" t="inlineStr">
        <is>
          <t>Current thermal efficiency</t>
        </is>
      </c>
      <c r="E182" s="3" t="inlineStr">
        <is>
          <t>https://github.com/Africa-International-Advisors/liquid_fuels_model/blob/8c69f8333192483f19cd80911cb90fcd0943eb6b/assumptions/2026/generation.yaml</t>
        </is>
      </c>
    </row>
    <row r="183" ht="42" customHeight="1">
      <c r="A183" s="3" t="inlineStr">
        <is>
          <t>N179</t>
        </is>
      </c>
      <c r="B183" s="3" t="inlineStr">
        <is>
          <t>Other demand</t>
        </is>
      </c>
      <c r="C183" s="3" t="inlineStr">
        <is>
          <t>U11</t>
        </is>
      </c>
      <c r="D183" s="3" t="inlineStr">
        <is>
          <t>Diesel energy content</t>
        </is>
      </c>
      <c r="E183" s="3" t="inlineStr">
        <is>
          <t>https://github.com/Africa-International-Advisors/liquid_fuels_model/blob/8c69f8333192483f19cd80911cb90fcd0943eb6b/assumptions/2026/generation.yaml</t>
        </is>
      </c>
    </row>
    <row r="184" ht="42" customHeight="1">
      <c r="A184" s="3" t="inlineStr">
        <is>
          <t>N180</t>
        </is>
      </c>
      <c r="B184" s="3" t="inlineStr">
        <is>
          <t>Other demand</t>
        </is>
      </c>
      <c r="C184" s="3" t="inlineStr">
        <is>
          <t>E12</t>
        </is>
      </c>
      <c r="D184" s="3" t="inlineStr">
        <is>
          <t>Current OCGT diesel demand</t>
        </is>
      </c>
      <c r="E184" s="3" t="inlineStr">
        <is>
          <t>Calendar-year model output; do not directly tie to FY generation without a bridge.</t>
        </is>
      </c>
    </row>
    <row r="185" ht="42" customHeight="1">
      <c r="A185" s="3" t="inlineStr">
        <is>
          <t>N181</t>
        </is>
      </c>
      <c r="B185" s="3" t="inlineStr">
        <is>
          <t>Other demand</t>
        </is>
      </c>
      <c r="C185" s="3" t="inlineStr">
        <is>
          <t>U12</t>
        </is>
      </c>
      <c r="D185" s="3" t="inlineStr">
        <is>
          <t>Current OCGT diesel demand</t>
        </is>
      </c>
      <c r="E185" s="3" t="inlineStr">
        <is>
          <t>https://github.com/Africa-International-Advisors/liquid_fuels_model/blob/8c69f8333192483f19cd80911cb90fcd0943eb6b/src/lfm/model/demand/generation.py</t>
        </is>
      </c>
    </row>
    <row r="186" ht="42" customHeight="1">
      <c r="A186" s="3" t="inlineStr">
        <is>
          <t>N182</t>
        </is>
      </c>
      <c r="B186" s="3" t="inlineStr">
        <is>
          <t>Other demand</t>
        </is>
      </c>
      <c r="C186" s="3" t="inlineStr">
        <is>
          <t>E13</t>
        </is>
      </c>
      <c r="D186" s="3" t="inlineStr">
        <is>
          <t>Private backup diesel baseline</t>
        </is>
      </c>
      <c r="E186" s="3" t="inlineStr">
        <is>
          <t>No separate observed litres established. Some may already be in sector fuel records.</t>
        </is>
      </c>
    </row>
    <row r="187" ht="42" customHeight="1">
      <c r="A187" s="3" t="inlineStr">
        <is>
          <t>N183</t>
        </is>
      </c>
      <c r="B187" s="3" t="inlineStr">
        <is>
          <t>Other demand</t>
        </is>
      </c>
      <c r="C187" s="3" t="inlineStr">
        <is>
          <t>E17</t>
        </is>
      </c>
      <c r="D187" s="3" t="inlineStr">
        <is>
          <t>ACSA aircraft departures</t>
        </is>
      </c>
      <c r="E187" s="3" t="inlineStr">
        <is>
          <t>ACSA departures only; sums monthly total-flight rows without double counting flight categories. 2026 is Jan-Aug, not annualised. Latest value in D: 2026-01 to 2026-08, 8 months; sum; not annualised.</t>
        </is>
      </c>
    </row>
    <row r="188" ht="42" customHeight="1">
      <c r="A188" s="3" t="inlineStr">
        <is>
          <t>N184</t>
        </is>
      </c>
      <c r="B188" s="3" t="inlineStr">
        <is>
          <t>Other demand</t>
        </is>
      </c>
      <c r="C188" s="3" t="inlineStr">
        <is>
          <t>T17</t>
        </is>
      </c>
      <c r="D188" s="3" t="inlineStr">
        <is>
          <t>ACSA aircraft departures</t>
        </is>
      </c>
      <c r="E188" s="3" t="inlineStr">
        <is>
          <t>Unreviewed source extract; annual cells contain complete periods only.</t>
        </is>
      </c>
    </row>
    <row r="189" ht="42" customHeight="1">
      <c r="A189" s="3" t="inlineStr">
        <is>
          <t>N185</t>
        </is>
      </c>
      <c r="B189" s="3" t="inlineStr">
        <is>
          <t>Other demand</t>
        </is>
      </c>
      <c r="C189" s="3" t="inlineStr">
        <is>
          <t>U17</t>
        </is>
      </c>
      <c r="D189" s="3" t="inlineStr">
        <is>
          <t>ACSA aircraft departures</t>
        </is>
      </c>
      <c r="E189" s="3" t="inlineStr">
        <is>
          <t>Evidence row 38; assumptions/2026/timeseries/air_traffic_acsa.csv</t>
        </is>
      </c>
    </row>
    <row r="190" ht="42" customHeight="1">
      <c r="A190" s="3" t="inlineStr">
        <is>
          <t>N186</t>
        </is>
      </c>
      <c r="B190" s="3" t="inlineStr">
        <is>
          <t>Other demand</t>
        </is>
      </c>
      <c r="C190" s="3" t="inlineStr">
        <is>
          <t>V17</t>
        </is>
      </c>
      <c r="D190" s="3" t="inlineStr">
        <is>
          <t>ACSA aircraft departures</t>
        </is>
      </c>
      <c r="E190" s="3" t="inlineStr">
        <is>
          <t>G10: fit movements to jet uplift, aircraft/route mix and non-ACSA coverage.</t>
        </is>
      </c>
    </row>
    <row r="191" ht="42" customHeight="1">
      <c r="A191" s="3" t="inlineStr">
        <is>
          <t>N187</t>
        </is>
      </c>
      <c r="B191" s="3" t="inlineStr">
        <is>
          <t>Other demand</t>
        </is>
      </c>
      <c r="C191" s="3" t="inlineStr">
        <is>
          <t>E18</t>
        </is>
      </c>
      <c r="D191" s="3" t="inlineStr">
        <is>
          <t>ACSA passenger departures</t>
        </is>
      </c>
      <c r="E191" s="3" t="inlineStr">
        <is>
          <t>ACSA departures only; sums monthly total-flight rows without double counting flight categories. 2026 is Jan-Aug, not annualised. Latest value in D: 2026-01 to 2026-08, 8 months; sum; not annualised.</t>
        </is>
      </c>
    </row>
    <row r="192" ht="42" customHeight="1">
      <c r="A192" s="3" t="inlineStr">
        <is>
          <t>N188</t>
        </is>
      </c>
      <c r="B192" s="3" t="inlineStr">
        <is>
          <t>Other demand</t>
        </is>
      </c>
      <c r="C192" s="3" t="inlineStr">
        <is>
          <t>T18</t>
        </is>
      </c>
      <c r="D192" s="3" t="inlineStr">
        <is>
          <t>ACSA passenger departures</t>
        </is>
      </c>
      <c r="E192" s="3" t="inlineStr">
        <is>
          <t>Unreviewed source extract; annual cells contain complete periods only.</t>
        </is>
      </c>
    </row>
    <row r="193" ht="42" customHeight="1">
      <c r="A193" s="3" t="inlineStr">
        <is>
          <t>N189</t>
        </is>
      </c>
      <c r="B193" s="3" t="inlineStr">
        <is>
          <t>Other demand</t>
        </is>
      </c>
      <c r="C193" s="3" t="inlineStr">
        <is>
          <t>U18</t>
        </is>
      </c>
      <c r="D193" s="3" t="inlineStr">
        <is>
          <t>ACSA passenger departures</t>
        </is>
      </c>
      <c r="E193" s="3" t="inlineStr">
        <is>
          <t>Evidence row 37; assumptions/2026/timeseries/air_traffic_acsa.csv</t>
        </is>
      </c>
    </row>
    <row r="194" ht="42" customHeight="1">
      <c r="A194" s="3" t="inlineStr">
        <is>
          <t>N190</t>
        </is>
      </c>
      <c r="B194" s="3" t="inlineStr">
        <is>
          <t>Other demand</t>
        </is>
      </c>
      <c r="C194" s="3" t="inlineStr">
        <is>
          <t>U19</t>
        </is>
      </c>
      <c r="D194" s="3" t="inlineStr">
        <is>
          <t>Current engine passenger departures</t>
        </is>
      </c>
      <c r="E194" s="3" t="inlineStr">
        <is>
          <t>https://github.com/Africa-International-Advisors/liquid_fuels_model/blob/8c69f8333192483f19cd80911cb90fcd0943eb6b/assumptions/2026/aviation.yaml</t>
        </is>
      </c>
    </row>
    <row r="195" ht="42" customHeight="1">
      <c r="A195" s="3" t="inlineStr">
        <is>
          <t>N191</t>
        </is>
      </c>
      <c r="B195" s="3" t="inlineStr">
        <is>
          <t>Other demand</t>
        </is>
      </c>
      <c r="C195" s="3" t="inlineStr">
        <is>
          <t>V19</t>
        </is>
      </c>
      <c r="D195" s="3" t="inlineStr">
        <is>
          <t>Current engine passenger departures</t>
        </is>
      </c>
      <c r="E195" s="3" t="inlineStr">
        <is>
          <t>Fit proposed movement-based model before replacing passenger relationship.</t>
        </is>
      </c>
    </row>
    <row r="196" ht="42" customHeight="1">
      <c r="A196" s="3" t="inlineStr">
        <is>
          <t>N192</t>
        </is>
      </c>
      <c r="B196" s="3" t="inlineStr">
        <is>
          <t>Other demand</t>
        </is>
      </c>
      <c r="C196" s="3" t="inlineStr">
        <is>
          <t>U20</t>
        </is>
      </c>
      <c r="D196" s="3" t="inlineStr">
        <is>
          <t>Current jet demand</t>
        </is>
      </c>
      <c r="E196" s="3" t="inlineStr">
        <is>
          <t>https://github.com/Africa-International-Advisors/liquid_fuels_model/blob/8c69f8333192483f19cd80911cb90fcd0943eb6b/src/lfm/model/demand/aviation.py</t>
        </is>
      </c>
    </row>
    <row r="197" ht="42" customHeight="1">
      <c r="A197" s="3" t="inlineStr">
        <is>
          <t>N193</t>
        </is>
      </c>
      <c r="B197" s="3" t="inlineStr">
        <is>
          <t>Other demand</t>
        </is>
      </c>
      <c r="C197" s="3" t="inlineStr">
        <is>
          <t>E21</t>
        </is>
      </c>
      <c r="D197" s="3" t="inlineStr">
        <is>
          <t>Reported jet sales - FIASA</t>
        </is>
      </c>
      <c r="E197" s="3" t="inlineStr">
        <is>
          <t>FIASA staged reported sales; latest edition selected by existing extract. 2024 revisions unresolved; not verified consumption.</t>
        </is>
      </c>
    </row>
    <row r="198" ht="42" customHeight="1">
      <c r="A198" s="3" t="inlineStr">
        <is>
          <t>N194</t>
        </is>
      </c>
      <c r="B198" s="3" t="inlineStr">
        <is>
          <t>Other demand</t>
        </is>
      </c>
      <c r="C198" s="3" t="inlineStr">
        <is>
          <t>T21</t>
        </is>
      </c>
      <c r="D198" s="3" t="inlineStr">
        <is>
          <t>Reported jet sales - FIASA</t>
        </is>
      </c>
      <c r="E198" s="3" t="inlineStr">
        <is>
          <t>Unreviewed source extract; annual cells contain complete periods only.</t>
        </is>
      </c>
    </row>
    <row r="199" ht="42" customHeight="1">
      <c r="A199" s="3" t="inlineStr">
        <is>
          <t>N195</t>
        </is>
      </c>
      <c r="B199" s="3" t="inlineStr">
        <is>
          <t>Other demand</t>
        </is>
      </c>
      <c r="C199" s="3" t="inlineStr">
        <is>
          <t>V21</t>
        </is>
      </c>
      <c r="D199" s="3" t="inlineStr">
        <is>
          <t>Reported jet sales - FIASA</t>
        </is>
      </c>
      <c r="E199" s="3" t="inlineStr">
        <is>
          <t>G10: match fuel product, airport/airline and international coverage.</t>
        </is>
      </c>
    </row>
    <row r="200" ht="42" customHeight="1">
      <c r="A200" s="3" t="inlineStr">
        <is>
          <t>N196</t>
        </is>
      </c>
      <c r="B200" s="3" t="inlineStr">
        <is>
          <t>Other demand</t>
        </is>
      </c>
      <c r="C200" s="3" t="inlineStr">
        <is>
          <t>E22</t>
        </is>
      </c>
      <c r="D200" s="3" t="inlineStr">
        <is>
          <t>Legacy jet regression intercept</t>
        </is>
      </c>
      <c r="E200" s="3" t="inlineStr">
        <is>
          <t>Jet = intercept + GDP/capita coefficient × GDP/capita + passenger coefficient × departures.</t>
        </is>
      </c>
    </row>
    <row r="201" ht="42" customHeight="1">
      <c r="A201" s="3" t="inlineStr">
        <is>
          <t>N197</t>
        </is>
      </c>
      <c r="B201" s="3" t="inlineStr">
        <is>
          <t>Other demand</t>
        </is>
      </c>
      <c r="C201" s="3" t="inlineStr">
        <is>
          <t>U22</t>
        </is>
      </c>
      <c r="D201" s="3" t="inlineStr">
        <is>
          <t>Legacy jet regression intercept</t>
        </is>
      </c>
      <c r="E201" s="3" t="inlineStr">
        <is>
          <t>https://github.com/Africa-International-Advisors/liquid_fuels_model/blob/8c69f8333192483f19cd80911cb90fcd0943eb6b/assumptions/2026/aviation.yaml</t>
        </is>
      </c>
    </row>
    <row r="202" ht="42" customHeight="1">
      <c r="A202" s="3" t="inlineStr">
        <is>
          <t>N198</t>
        </is>
      </c>
      <c r="B202" s="3" t="inlineStr">
        <is>
          <t>Other demand</t>
        </is>
      </c>
      <c r="C202" s="3" t="inlineStr">
        <is>
          <t>U23</t>
        </is>
      </c>
      <c r="D202" s="3" t="inlineStr">
        <is>
          <t>GDP/capita coefficient</t>
        </is>
      </c>
      <c r="E202" s="3" t="inlineStr">
        <is>
          <t>https://github.com/Africa-International-Advisors/liquid_fuels_model/blob/8c69f8333192483f19cd80911cb90fcd0943eb6b/assumptions/2026/aviation.yaml</t>
        </is>
      </c>
    </row>
    <row r="203" ht="42" customHeight="1">
      <c r="A203" s="3" t="inlineStr">
        <is>
          <t>N199</t>
        </is>
      </c>
      <c r="B203" s="3" t="inlineStr">
        <is>
          <t>Other demand</t>
        </is>
      </c>
      <c r="C203" s="3" t="inlineStr">
        <is>
          <t>U24</t>
        </is>
      </c>
      <c r="D203" s="3" t="inlineStr">
        <is>
          <t>Passenger coefficient</t>
        </is>
      </c>
      <c r="E203" s="3" t="inlineStr">
        <is>
          <t>https://github.com/Africa-International-Advisors/liquid_fuels_model/blob/8c69f8333192483f19cd80911cb90fcd0943eb6b/assumptions/2026/aviation.yaml</t>
        </is>
      </c>
    </row>
    <row r="204" ht="42" customHeight="1">
      <c r="A204" s="3" t="inlineStr">
        <is>
          <t>N200</t>
        </is>
      </c>
      <c r="B204" s="3" t="inlineStr">
        <is>
          <t>Other demand</t>
        </is>
      </c>
      <c r="C204" s="3" t="inlineStr">
        <is>
          <t>U28</t>
        </is>
      </c>
      <c r="D204" s="3" t="inlineStr">
        <is>
          <t>durban provisional port baseline</t>
        </is>
      </c>
      <c r="E204" s="3" t="inlineStr">
        <is>
          <t>https://github.com/Africa-International-Advisors/liquid_fuels_model/blob/8c69f8333192483f19cd80911cb90fcd0943eb6b/assumptions/2026/marine.yaml</t>
        </is>
      </c>
    </row>
    <row r="205" ht="42" customHeight="1">
      <c r="A205" s="3" t="inlineStr">
        <is>
          <t>N201</t>
        </is>
      </c>
      <c r="B205" s="3" t="inlineStr">
        <is>
          <t>Other demand</t>
        </is>
      </c>
      <c r="C205" s="3" t="inlineStr">
        <is>
          <t>U29</t>
        </is>
      </c>
      <c r="D205" s="3" t="inlineStr">
        <is>
          <t>cape_town provisional port baseline</t>
        </is>
      </c>
      <c r="E205" s="3" t="inlineStr">
        <is>
          <t>https://github.com/Africa-International-Advisors/liquid_fuels_model/blob/8c69f8333192483f19cd80911cb90fcd0943eb6b/assumptions/2026/marine.yaml</t>
        </is>
      </c>
    </row>
    <row r="206" ht="42" customHeight="1">
      <c r="A206" s="3" t="inlineStr">
        <is>
          <t>N202</t>
        </is>
      </c>
      <c r="B206" s="3" t="inlineStr">
        <is>
          <t>Other demand</t>
        </is>
      </c>
      <c r="C206" s="3" t="inlineStr">
        <is>
          <t>U30</t>
        </is>
      </c>
      <c r="D206" s="3" t="inlineStr">
        <is>
          <t>saldanha provisional port baseline</t>
        </is>
      </c>
      <c r="E206" s="3" t="inlineStr">
        <is>
          <t>https://github.com/Africa-International-Advisors/liquid_fuels_model/blob/8c69f8333192483f19cd80911cb90fcd0943eb6b/assumptions/2026/marine.yaml</t>
        </is>
      </c>
    </row>
    <row r="207" ht="42" customHeight="1">
      <c r="A207" s="3" t="inlineStr">
        <is>
          <t>N203</t>
        </is>
      </c>
      <c r="B207" s="3" t="inlineStr">
        <is>
          <t>Other demand</t>
        </is>
      </c>
      <c r="C207" s="3" t="inlineStr">
        <is>
          <t>U31</t>
        </is>
      </c>
      <c r="D207" s="3" t="inlineStr">
        <is>
          <t>Marine GDP/capita elasticity</t>
        </is>
      </c>
      <c r="E207" s="3" t="inlineStr">
        <is>
          <t>https://github.com/Africa-International-Advisors/liquid_fuels_model/blob/8c69f8333192483f19cd80911cb90fcd0943eb6b/assumptions/2026/marine.yaml</t>
        </is>
      </c>
    </row>
    <row r="208" ht="42" customHeight="1">
      <c r="A208" s="3" t="inlineStr">
        <is>
          <t>N204</t>
        </is>
      </c>
      <c r="B208" s="3" t="inlineStr">
        <is>
          <t>Other demand</t>
        </is>
      </c>
      <c r="C208" s="3" t="inlineStr">
        <is>
          <t>U32</t>
        </is>
      </c>
      <c r="D208" s="3" t="inlineStr">
        <is>
          <t>Marine fuel-oil share</t>
        </is>
      </c>
      <c r="E208" s="3" t="inlineStr">
        <is>
          <t>https://github.com/Africa-International-Advisors/liquid_fuels_model/blob/8c69f8333192483f19cd80911cb90fcd0943eb6b/assumptions/2026/marine.yaml</t>
        </is>
      </c>
    </row>
    <row r="209" ht="42" customHeight="1">
      <c r="A209" s="3" t="inlineStr">
        <is>
          <t>N205</t>
        </is>
      </c>
      <c r="B209" s="3" t="inlineStr">
        <is>
          <t>Other demand</t>
        </is>
      </c>
      <c r="C209" s="3" t="inlineStr">
        <is>
          <t>U33</t>
        </is>
      </c>
      <c r="D209" s="3" t="inlineStr">
        <is>
          <t>Marine diesel share</t>
        </is>
      </c>
      <c r="E209" s="3" t="inlineStr">
        <is>
          <t>https://github.com/Africa-International-Advisors/liquid_fuels_model/blob/8c69f8333192483f19cd80911cb90fcd0943eb6b/assumptions/2026/marine.yaml</t>
        </is>
      </c>
    </row>
    <row r="210" ht="42" customHeight="1">
      <c r="A210" s="3" t="inlineStr">
        <is>
          <t>N206</t>
        </is>
      </c>
      <c r="B210" s="3" t="inlineStr">
        <is>
          <t>Other demand</t>
        </is>
      </c>
      <c r="C210" s="3" t="inlineStr">
        <is>
          <t>U34</t>
        </is>
      </c>
      <c r="D210" s="3" t="inlineStr">
        <is>
          <t>Marine diesel demand</t>
        </is>
      </c>
      <c r="E210" s="3" t="inlineStr">
        <is>
          <t>https://github.com/Africa-International-Advisors/liquid_fuels_model/blob/8c69f8333192483f19cd80911cb90fcd0943eb6b/src/lfm/model/demand/marine.py</t>
        </is>
      </c>
    </row>
    <row r="211" ht="42" customHeight="1">
      <c r="A211" s="3" t="inlineStr">
        <is>
          <t>N207</t>
        </is>
      </c>
      <c r="B211" s="3" t="inlineStr">
        <is>
          <t>Other demand</t>
        </is>
      </c>
      <c r="C211" s="3" t="inlineStr">
        <is>
          <t>U35</t>
        </is>
      </c>
      <c r="D211" s="3" t="inlineStr">
        <is>
          <t>Marine fuel-oil demand</t>
        </is>
      </c>
      <c r="E211" s="3" t="inlineStr">
        <is>
          <t>https://github.com/Africa-International-Advisors/liquid_fuels_model/blob/8c69f8333192483f19cd80911cb90fcd0943eb6b/src/lfm/model/demand/marine.py</t>
        </is>
      </c>
    </row>
    <row r="212" ht="42" customHeight="1">
      <c r="A212" s="3" t="inlineStr">
        <is>
          <t>N208</t>
        </is>
      </c>
      <c r="B212" s="3" t="inlineStr">
        <is>
          <t>Evidence</t>
        </is>
      </c>
      <c r="C212" s="3" t="inlineStr">
        <is>
          <t>E5</t>
        </is>
      </c>
      <c r="D212" s="3" t="inlineStr">
        <is>
          <t>sales_petrol</t>
        </is>
      </c>
      <c r="E212" s="3" t="inlineStr">
        <is>
          <t>FIASA staged reported sales; latest edition selected by existing extract. 2024 revisions unresolved; not verified consumption.</t>
        </is>
      </c>
    </row>
    <row r="213" ht="42" customHeight="1">
      <c r="A213" s="3" t="inlineStr">
        <is>
          <t>N209</t>
        </is>
      </c>
      <c r="B213" s="3" t="inlineStr">
        <is>
          <t>Evidence</t>
        </is>
      </c>
      <c r="C213" s="3" t="inlineStr">
        <is>
          <t>E6</t>
        </is>
      </c>
      <c r="D213" s="3" t="inlineStr">
        <is>
          <t>dept_petrol</t>
        </is>
      </c>
      <c r="E213" s="3" t="inlineStr">
        <is>
          <t>Department sales with four reported quarters. Preserve differences from FIASA; no automatic source selection.</t>
        </is>
      </c>
    </row>
    <row r="214" ht="42" customHeight="1">
      <c r="A214" s="3" t="inlineStr">
        <is>
          <t>N210</t>
        </is>
      </c>
      <c r="B214" s="3" t="inlineStr">
        <is>
          <t>Evidence</t>
        </is>
      </c>
      <c r="C214" s="3" t="inlineStr">
        <is>
          <t>E7</t>
        </is>
      </c>
      <c r="D214" s="3" t="inlineStr">
        <is>
          <t>sales_diesel</t>
        </is>
      </c>
      <c r="E214" s="3" t="inlineStr">
        <is>
          <t>FIASA staged reported sales; latest edition selected by existing extract. 2024 revisions unresolved; not verified consumption.</t>
        </is>
      </c>
    </row>
    <row r="215" ht="42" customHeight="1">
      <c r="A215" s="3" t="inlineStr">
        <is>
          <t>N211</t>
        </is>
      </c>
      <c r="B215" s="3" t="inlineStr">
        <is>
          <t>Evidence</t>
        </is>
      </c>
      <c r="C215" s="3" t="inlineStr">
        <is>
          <t>E8</t>
        </is>
      </c>
      <c r="D215" s="3" t="inlineStr">
        <is>
          <t>dept_diesel</t>
        </is>
      </c>
      <c r="E215" s="3" t="inlineStr">
        <is>
          <t>Department sales with four reported quarters. Preserve differences from FIASA; no automatic source selection.</t>
        </is>
      </c>
    </row>
    <row r="216" ht="42" customHeight="1">
      <c r="A216" s="3" t="inlineStr">
        <is>
          <t>N212</t>
        </is>
      </c>
      <c r="B216" s="3" t="inlineStr">
        <is>
          <t>Evidence</t>
        </is>
      </c>
      <c r="C216" s="3" t="inlineStr">
        <is>
          <t>E9</t>
        </is>
      </c>
      <c r="D216" s="3" t="inlineStr">
        <is>
          <t>sales_jet</t>
        </is>
      </c>
      <c r="E216" s="3" t="inlineStr">
        <is>
          <t>FIASA staged reported sales; latest edition selected by existing extract. 2024 revisions unresolved; not verified consumption.</t>
        </is>
      </c>
    </row>
    <row r="217" ht="42" customHeight="1">
      <c r="A217" s="3" t="inlineStr">
        <is>
          <t>N213</t>
        </is>
      </c>
      <c r="B217" s="3" t="inlineStr">
        <is>
          <t>Evidence</t>
        </is>
      </c>
      <c r="C217" s="3" t="inlineStr">
        <is>
          <t>E10</t>
        </is>
      </c>
      <c r="D217" s="3" t="inlineStr">
        <is>
          <t>dept_jet</t>
        </is>
      </c>
      <c r="E217" s="3" t="inlineStr">
        <is>
          <t>Department sales with four reported quarters. Preserve differences from FIASA; no automatic source selection.</t>
        </is>
      </c>
    </row>
    <row r="218" ht="42" customHeight="1">
      <c r="A218" s="3" t="inlineStr">
        <is>
          <t>N214</t>
        </is>
      </c>
      <c r="B218" s="3" t="inlineStr">
        <is>
          <t>Evidence</t>
        </is>
      </c>
      <c r="C218" s="3" t="inlineStr">
        <is>
          <t>E11</t>
        </is>
      </c>
      <c r="D218" s="3" t="inlineStr">
        <is>
          <t>sales_fuel_oil</t>
        </is>
      </c>
      <c r="E218" s="3" t="inlineStr">
        <is>
          <t>FIASA staged reported sales; latest edition selected by existing extract. 2024 revisions unresolved; not verified consumption.</t>
        </is>
      </c>
    </row>
    <row r="219" ht="42" customHeight="1">
      <c r="A219" s="3" t="inlineStr">
        <is>
          <t>N215</t>
        </is>
      </c>
      <c r="B219" s="3" t="inlineStr">
        <is>
          <t>Evidence</t>
        </is>
      </c>
      <c r="C219" s="3" t="inlineStr">
        <is>
          <t>E12</t>
        </is>
      </c>
      <c r="D219" s="3" t="inlineStr">
        <is>
          <t>dept_fuel_oil</t>
        </is>
      </c>
      <c r="E219" s="3" t="inlineStr">
        <is>
          <t>Department sales with four reported quarters. Preserve differences from FIASA; no automatic source selection.</t>
        </is>
      </c>
    </row>
    <row r="220" ht="42" customHeight="1">
      <c r="A220" s="3" t="inlineStr">
        <is>
          <t>N216</t>
        </is>
      </c>
      <c r="B220" s="3" t="inlineStr">
        <is>
          <t>Evidence</t>
        </is>
      </c>
      <c r="C220" s="3" t="inlineStr">
        <is>
          <t>E13</t>
        </is>
      </c>
      <c r="D220" s="3" t="inlineStr">
        <is>
          <t>sales_vehicles_cars</t>
        </is>
      </c>
      <c r="E220" s="3" t="inlineStr">
        <is>
          <t>NAAMSA actual new sales. Published 2026/27 projections excluded from observed rows.</t>
        </is>
      </c>
    </row>
    <row r="221" ht="42" customHeight="1">
      <c r="A221" s="3" t="inlineStr">
        <is>
          <t>N217</t>
        </is>
      </c>
      <c r="B221" s="3" t="inlineStr">
        <is>
          <t>Evidence</t>
        </is>
      </c>
      <c r="C221" s="3" t="inlineStr">
        <is>
          <t>E14</t>
        </is>
      </c>
      <c r="D221" s="3" t="inlineStr">
        <is>
          <t>sales_vehicles_light_commercial</t>
        </is>
      </c>
      <c r="E221" s="3" t="inlineStr">
        <is>
          <t>NAAMSA actual new sales. Published 2026/27 projections excluded from observed rows.</t>
        </is>
      </c>
    </row>
    <row r="222" ht="42" customHeight="1">
      <c r="A222" s="3" t="inlineStr">
        <is>
          <t>N218</t>
        </is>
      </c>
      <c r="B222" s="3" t="inlineStr">
        <is>
          <t>Evidence</t>
        </is>
      </c>
      <c r="C222" s="3" t="inlineStr">
        <is>
          <t>E15</t>
        </is>
      </c>
      <c r="D222" s="3" t="inlineStr">
        <is>
          <t>sales_vehicles_medium_heavy_commercial</t>
        </is>
      </c>
      <c r="E222" s="3" t="inlineStr">
        <is>
          <t>NAAMSA actual new sales. Published 2026/27 projections excluded from observed rows.</t>
        </is>
      </c>
    </row>
    <row r="223" ht="42" customHeight="1">
      <c r="A223" s="3" t="inlineStr">
        <is>
          <t>N219</t>
        </is>
      </c>
      <c r="B223" s="3" t="inlineStr">
        <is>
          <t>Evidence</t>
        </is>
      </c>
      <c r="C223" s="3" t="inlineStr">
        <is>
          <t>E16</t>
        </is>
      </c>
      <c r="D223" s="3" t="inlineStr">
        <is>
          <t>sales_vehicles_total</t>
        </is>
      </c>
      <c r="E223" s="3" t="inlineStr">
        <is>
          <t>NAAMSA actual new sales. Published 2026/27 projections excluded from observed rows.</t>
        </is>
      </c>
    </row>
    <row r="224" ht="42" customHeight="1">
      <c r="A224" s="3" t="inlineStr">
        <is>
          <t>N220</t>
        </is>
      </c>
      <c r="B224" s="3" t="inlineStr">
        <is>
          <t>Evidence</t>
        </is>
      </c>
      <c r="C224" s="3" t="inlineStr">
        <is>
          <t>E17</t>
        </is>
      </c>
      <c r="D224" s="3" t="inlineStr">
        <is>
          <t>nev_battery_electric</t>
        </is>
      </c>
      <c r="E224" s="3" t="inlineStr">
        <is>
          <t>All-market drivetrain sales; passenger/truck split is not supplied. Do not assign all to passenger or freight.</t>
        </is>
      </c>
    </row>
    <row r="225" ht="42" customHeight="1">
      <c r="A225" s="3" t="inlineStr">
        <is>
          <t>N221</t>
        </is>
      </c>
      <c r="B225" s="3" t="inlineStr">
        <is>
          <t>Evidence</t>
        </is>
      </c>
      <c r="C225" s="3" t="inlineStr">
        <is>
          <t>E18</t>
        </is>
      </c>
      <c r="D225" s="3" t="inlineStr">
        <is>
          <t>nev_plug_in_hybrid</t>
        </is>
      </c>
      <c r="E225" s="3" t="inlineStr">
        <is>
          <t>All-market drivetrain sales; passenger/truck split is not supplied. Do not assign all to passenger or freight.</t>
        </is>
      </c>
    </row>
    <row r="226" ht="42" customHeight="1">
      <c r="A226" s="3" t="inlineStr">
        <is>
          <t>N222</t>
        </is>
      </c>
      <c r="B226" s="3" t="inlineStr">
        <is>
          <t>Evidence</t>
        </is>
      </c>
      <c r="C226" s="3" t="inlineStr">
        <is>
          <t>E19</t>
        </is>
      </c>
      <c r="D226" s="3" t="inlineStr">
        <is>
          <t>nev_traditional_hybrid</t>
        </is>
      </c>
      <c r="E226" s="3" t="inlineStr">
        <is>
          <t>All-market drivetrain sales; passenger/truck split is not supplied. Do not assign all to passenger or freight.</t>
        </is>
      </c>
    </row>
    <row r="227" ht="42" customHeight="1">
      <c r="A227" s="3" t="inlineStr">
        <is>
          <t>N223</t>
        </is>
      </c>
      <c r="B227" s="3" t="inlineStr">
        <is>
          <t>Evidence</t>
        </is>
      </c>
      <c r="C227" s="3" t="inlineStr">
        <is>
          <t>E20</t>
        </is>
      </c>
      <c r="D227" s="3" t="inlineStr">
        <is>
          <t>stock_cars</t>
        </is>
      </c>
      <c r="E227" s="3" t="inlineStr">
        <is>
          <t>eNaTIS December snapshots; latest June 2026 kept separately. No fuel/drivetrain split. Latest: 2026-06; snapshot.</t>
        </is>
      </c>
    </row>
    <row r="228" ht="42" customHeight="1">
      <c r="A228" s="3" t="inlineStr">
        <is>
          <t>N224</t>
        </is>
      </c>
      <c r="B228" s="3" t="inlineStr">
        <is>
          <t>Evidence</t>
        </is>
      </c>
      <c r="C228" s="3" t="inlineStr">
        <is>
          <t>E21</t>
        </is>
      </c>
      <c r="D228" s="3" t="inlineStr">
        <is>
          <t>stock_light_commercial</t>
        </is>
      </c>
      <c r="E228" s="3" t="inlineStr">
        <is>
          <t>eNaTIS December snapshots; latest June 2026 kept separately. No fuel/drivetrain split. Latest: 2026-06; snapshot.</t>
        </is>
      </c>
    </row>
    <row r="229" ht="42" customHeight="1">
      <c r="A229" s="3" t="inlineStr">
        <is>
          <t>N225</t>
        </is>
      </c>
      <c r="B229" s="3" t="inlineStr">
        <is>
          <t>Evidence</t>
        </is>
      </c>
      <c r="C229" s="3" t="inlineStr">
        <is>
          <t>E22</t>
        </is>
      </c>
      <c r="D229" s="3" t="inlineStr">
        <is>
          <t>stock_trucks</t>
        </is>
      </c>
      <c r="E229" s="3" t="inlineStr">
        <is>
          <t>eNaTIS December snapshots; latest June 2026 kept separately. No fuel/drivetrain split. Latest: 2026-06; snapshot.</t>
        </is>
      </c>
    </row>
    <row r="230" ht="42" customHeight="1">
      <c r="A230" s="3" t="inlineStr">
        <is>
          <t>N226</t>
        </is>
      </c>
      <c r="B230" s="3" t="inlineStr">
        <is>
          <t>Evidence</t>
        </is>
      </c>
      <c r="C230" s="3" t="inlineStr">
        <is>
          <t>E23</t>
        </is>
      </c>
      <c r="D230" s="3" t="inlineStr">
        <is>
          <t>stock_buses</t>
        </is>
      </c>
      <c r="E230" s="3" t="inlineStr">
        <is>
          <t>eNaTIS December snapshots; latest June 2026 kept separately. No fuel/drivetrain split. Latest: 2026-06; snapshot.</t>
        </is>
      </c>
    </row>
    <row r="231" ht="42" customHeight="1">
      <c r="A231" s="3" t="inlineStr">
        <is>
          <t>N227</t>
        </is>
      </c>
      <c r="B231" s="3" t="inlineStr">
        <is>
          <t>Evidence</t>
        </is>
      </c>
      <c r="C231" s="3" t="inlineStr">
        <is>
          <t>E24</t>
        </is>
      </c>
      <c r="D231" s="3" t="inlineStr">
        <is>
          <t>stock_minibuses</t>
        </is>
      </c>
      <c r="E231" s="3" t="inlineStr">
        <is>
          <t>eNaTIS December snapshots; latest June 2026 kept separately. No fuel/drivetrain split. Latest: 2026-06; snapshot.</t>
        </is>
      </c>
    </row>
    <row r="232" ht="42" customHeight="1">
      <c r="A232" s="3" t="inlineStr">
        <is>
          <t>N228</t>
        </is>
      </c>
      <c r="B232" s="3" t="inlineStr">
        <is>
          <t>Evidence</t>
        </is>
      </c>
      <c r="C232" s="3" t="inlineStr">
        <is>
          <t>E25</t>
        </is>
      </c>
      <c r="D232" s="3" t="inlineStr">
        <is>
          <t>macro_gdp_per_capita</t>
        </is>
      </c>
      <c r="E232" s="3" t="inlineStr">
        <is>
          <t>Stats SA annual actual in staged reporting copy. Sector value added is an activity proxy, not measured fuel use.</t>
        </is>
      </c>
    </row>
    <row r="233" ht="42" customHeight="1">
      <c r="A233" s="3" t="inlineStr">
        <is>
          <t>N229</t>
        </is>
      </c>
      <c r="B233" s="3" t="inlineStr">
        <is>
          <t>Evidence</t>
        </is>
      </c>
      <c r="C233" s="3" t="inlineStr">
        <is>
          <t>E26</t>
        </is>
      </c>
      <c r="D233" s="3" t="inlineStr">
        <is>
          <t>macro_agriculture_forestry_and_fishing</t>
        </is>
      </c>
      <c r="E233" s="3" t="inlineStr">
        <is>
          <t>Stats SA annual actual in staged reporting copy. Sector value added is an activity proxy, not measured fuel use.</t>
        </is>
      </c>
    </row>
    <row r="234" ht="42" customHeight="1">
      <c r="A234" s="3" t="inlineStr">
        <is>
          <t>N230</t>
        </is>
      </c>
      <c r="B234" s="3" t="inlineStr">
        <is>
          <t>Evidence</t>
        </is>
      </c>
      <c r="C234" s="3" t="inlineStr">
        <is>
          <t>E27</t>
        </is>
      </c>
      <c r="D234" s="3" t="inlineStr">
        <is>
          <t>macro_manufacturing</t>
        </is>
      </c>
      <c r="E234" s="3" t="inlineStr">
        <is>
          <t>Stats SA annual actual in staged reporting copy. Sector value added is an activity proxy, not measured fuel use.</t>
        </is>
      </c>
    </row>
    <row r="235" ht="42" customHeight="1">
      <c r="A235" s="3" t="inlineStr">
        <is>
          <t>N231</t>
        </is>
      </c>
      <c r="B235" s="3" t="inlineStr">
        <is>
          <t>Evidence</t>
        </is>
      </c>
      <c r="C235" s="3" t="inlineStr">
        <is>
          <t>E28</t>
        </is>
      </c>
      <c r="D235" s="3" t="inlineStr">
        <is>
          <t>macro_mining_and_quarrying</t>
        </is>
      </c>
      <c r="E235" s="3" t="inlineStr">
        <is>
          <t>Stats SA annual actual in staged reporting copy. Sector value added is an activity proxy, not measured fuel use.</t>
        </is>
      </c>
    </row>
    <row r="236" ht="42" customHeight="1">
      <c r="A236" s="3" t="inlineStr">
        <is>
          <t>N232</t>
        </is>
      </c>
      <c r="B236" s="3" t="inlineStr">
        <is>
          <t>Evidence</t>
        </is>
      </c>
      <c r="C236" s="3" t="inlineStr">
        <is>
          <t>E29</t>
        </is>
      </c>
      <c r="D236" s="3" t="inlineStr">
        <is>
          <t>macro_construction</t>
        </is>
      </c>
      <c r="E236" s="3" t="inlineStr">
        <is>
          <t>Stats SA annual actual in staged reporting copy. Sector value added is an activity proxy, not measured fuel use.</t>
        </is>
      </c>
    </row>
    <row r="237" ht="42" customHeight="1">
      <c r="A237" s="3" t="inlineStr">
        <is>
          <t>N233</t>
        </is>
      </c>
      <c r="B237" s="3" t="inlineStr">
        <is>
          <t>Evidence</t>
        </is>
      </c>
      <c r="C237" s="3" t="inlineStr">
        <is>
          <t>E30</t>
        </is>
      </c>
      <c r="D237" s="3" t="inlineStr">
        <is>
          <t>manufacturing_volume_total</t>
        </is>
      </c>
      <c r="E237" s="3" t="inlineStr">
        <is>
          <t>Arithmetic mean of all 12 monthly production indices; 2026 Jan-Jul mean shown separately. Latest: 2026-01 to 2026-07; 7 months; mean; not annualised.</t>
        </is>
      </c>
    </row>
    <row r="238" ht="42" customHeight="1">
      <c r="A238" s="3" t="inlineStr">
        <is>
          <t>N234</t>
        </is>
      </c>
      <c r="B238" s="3" t="inlineStr">
        <is>
          <t>Evidence</t>
        </is>
      </c>
      <c r="C238" s="3" t="inlineStr">
        <is>
          <t>E31</t>
        </is>
      </c>
      <c r="D238" s="3" t="inlineStr">
        <is>
          <t>mining_volume_total</t>
        </is>
      </c>
      <c r="E238" s="3" t="inlineStr">
        <is>
          <t>Arithmetic mean of all 12 monthly production indices; 2026 Jan-Jul mean shown separately. Latest: 2026-01 to 2026-07; 7 months; mean; not annualised.</t>
        </is>
      </c>
    </row>
    <row r="239" ht="42" customHeight="1">
      <c r="A239" s="3" t="inlineStr">
        <is>
          <t>N235</t>
        </is>
      </c>
      <c r="B239" s="3" t="inlineStr">
        <is>
          <t>Evidence</t>
        </is>
      </c>
      <c r="C239" s="3" t="inlineStr">
        <is>
          <t>E32</t>
        </is>
      </c>
      <c r="D239" s="3" t="inlineStr">
        <is>
          <t>freight_payload_road</t>
        </is>
      </c>
      <c r="E239" s="3" t="inlineStr">
        <is>
          <t>Complete calendar years only; 2026 Jan-Jul shown separately. Tonnes do not measure tonne-km. Latest: 2026-01 to 2026-07; 7 months; sum; not annualised.</t>
        </is>
      </c>
    </row>
    <row r="240" ht="42" customHeight="1">
      <c r="A240" s="3" t="inlineStr">
        <is>
          <t>N236</t>
        </is>
      </c>
      <c r="B240" s="3" t="inlineStr">
        <is>
          <t>Evidence</t>
        </is>
      </c>
      <c r="C240" s="3" t="inlineStr">
        <is>
          <t>E33</t>
        </is>
      </c>
      <c r="D240" s="3" t="inlineStr">
        <is>
          <t>freight_payload_rail</t>
        </is>
      </c>
      <c r="E240" s="3" t="inlineStr">
        <is>
          <t>Complete calendar years only; 2026 Jan-Jul shown separately. Tonnes do not measure tonne-km. Latest: 2026-01 to 2026-07; 7 months; sum; not annualised.</t>
        </is>
      </c>
    </row>
    <row r="241" ht="42" customHeight="1">
      <c r="A241" s="3" t="inlineStr">
        <is>
          <t>N237</t>
        </is>
      </c>
      <c r="B241" s="3" t="inlineStr">
        <is>
          <t>Evidence</t>
        </is>
      </c>
      <c r="C241" s="3" t="inlineStr">
        <is>
          <t>E34</t>
        </is>
      </c>
      <c r="D241" s="3" t="inlineStr">
        <is>
          <t>eskom_ocgt</t>
        </is>
      </c>
      <c r="E241" s="3" t="inlineStr">
        <is>
          <t>Full financial year ending 31 March in the column year. Not calendar-year generation; fuel-burn bridge still required.</t>
        </is>
      </c>
    </row>
    <row r="242" ht="42" customHeight="1">
      <c r="A242" s="3" t="inlineStr">
        <is>
          <t>N238</t>
        </is>
      </c>
      <c r="B242" s="3" t="inlineStr">
        <is>
          <t>Evidence</t>
        </is>
      </c>
      <c r="C242" s="3" t="inlineStr">
        <is>
          <t>E35</t>
        </is>
      </c>
      <c r="D242" s="3" t="inlineStr">
        <is>
          <t>ipp_ocgt</t>
        </is>
      </c>
      <c r="E242" s="3" t="inlineStr">
        <is>
          <t>Full financial year ending 31 March in the column year. Not calendar-year generation; fuel-burn bridge still required.</t>
        </is>
      </c>
    </row>
    <row r="243" ht="42" customHeight="1">
      <c r="A243" s="3" t="inlineStr">
        <is>
          <t>N239</t>
        </is>
      </c>
      <c r="B243" s="3" t="inlineStr">
        <is>
          <t>Evidence</t>
        </is>
      </c>
      <c r="C243" s="3" t="inlineStr">
        <is>
          <t>E36</t>
        </is>
      </c>
      <c r="D243" s="3" t="inlineStr">
        <is>
          <t>eskom_and_ipp_ocgt</t>
        </is>
      </c>
      <c r="E243" s="3" t="inlineStr">
        <is>
          <t>Full financial year ending 31 March in the column year. Not calendar-year generation; fuel-burn bridge still required.</t>
        </is>
      </c>
    </row>
    <row r="244" ht="42" customHeight="1">
      <c r="A244" s="3" t="inlineStr">
        <is>
          <t>N240</t>
        </is>
      </c>
      <c r="B244" s="3" t="inlineStr">
        <is>
          <t>Evidence</t>
        </is>
      </c>
      <c r="C244" s="3" t="inlineStr">
        <is>
          <t>E37</t>
        </is>
      </c>
      <c r="D244" s="3" t="inlineStr">
        <is>
          <t>acsa_passengers</t>
        </is>
      </c>
      <c r="E244" s="3" t="inlineStr">
        <is>
          <t>ACSA departures only; sums monthly total-flight rows without double counting flight categories. 2026 is Jan-Aug, not annualised. Latest: 2026-01 to 2026-08; 8 months; sum; not annualised.</t>
        </is>
      </c>
    </row>
    <row r="245" ht="42" customHeight="1">
      <c r="A245" s="3" t="inlineStr">
        <is>
          <t>N241</t>
        </is>
      </c>
      <c r="B245" s="3" t="inlineStr">
        <is>
          <t>Evidence</t>
        </is>
      </c>
      <c r="C245" s="3" t="inlineStr">
        <is>
          <t>E38</t>
        </is>
      </c>
      <c r="D245" s="3" t="inlineStr">
        <is>
          <t>acsa_aircraft_movements</t>
        </is>
      </c>
      <c r="E245" s="3" t="inlineStr">
        <is>
          <t>ACSA departures only; sums monthly total-flight rows without double counting flight categories. 2026 is Jan-Aug, not annualised. Latest: 2026-01 to 2026-08; 8 months; sum; not annualised.</t>
        </is>
      </c>
    </row>
    <row r="246" ht="42" customHeight="1">
      <c r="A246" s="3" t="inlineStr">
        <is>
          <t>N242</t>
        </is>
      </c>
      <c r="B246" s="3" t="inlineStr">
        <is>
          <t>Evidence</t>
        </is>
      </c>
      <c r="C246" s="3" t="inlineStr">
        <is>
          <t>U39</t>
        </is>
      </c>
      <c r="D246" s="3" t="inlineStr">
        <is>
          <t>Agriculture: 2021 agriculture/forestry diesel</t>
        </is>
      </c>
      <c r="E246" s="3" t="inlineStr">
        <is>
          <t>https://github.com/Africa-International-Advisors/liquid_fuels_model/blob/8c69f8333192483f19cd80911cb90fcd0943eb6b/assumptions/2026/timeseries/energy_balance_department.csv</t>
        </is>
      </c>
    </row>
    <row r="247" ht="42" customHeight="1">
      <c r="A247" s="3" t="inlineStr">
        <is>
          <t>N243</t>
        </is>
      </c>
      <c r="B247" s="3" t="inlineStr">
        <is>
          <t>Evidence</t>
        </is>
      </c>
      <c r="C247" s="3" t="inlineStr">
        <is>
          <t>E40</t>
        </is>
      </c>
      <c r="D247" s="3" t="inlineStr">
        <is>
          <t>Manufacturing: 2021 energy-balance industry total</t>
        </is>
      </c>
      <c r="E247" s="3" t="inlineStr">
        <is>
          <t>Parent industry total includes mining and construction. It is not manufacturing fuel demand.</t>
        </is>
      </c>
    </row>
    <row r="248" ht="42" customHeight="1">
      <c r="A248" s="3" t="inlineStr">
        <is>
          <t>N244</t>
        </is>
      </c>
      <c r="B248" s="3" t="inlineStr">
        <is>
          <t>Evidence</t>
        </is>
      </c>
      <c r="C248" s="3" t="inlineStr">
        <is>
          <t>U40</t>
        </is>
      </c>
      <c r="D248" s="3" t="inlineStr">
        <is>
          <t>Manufacturing: 2021 energy-balance industry total</t>
        </is>
      </c>
      <c r="E248" s="3" t="inlineStr">
        <is>
          <t>https://github.com/Africa-International-Advisors/liquid_fuels_model/blob/8c69f8333192483f19cd80911cb90fcd0943eb6b/assumptions/2026/timeseries/energy_balance_department.csv</t>
        </is>
      </c>
    </row>
    <row r="249" ht="42" customHeight="1">
      <c r="A249" s="3" t="inlineStr">
        <is>
          <t>N245</t>
        </is>
      </c>
      <c r="B249" s="3" t="inlineStr">
        <is>
          <t>Evidence</t>
        </is>
      </c>
      <c r="C249" s="3" t="inlineStr">
        <is>
          <t>E41</t>
        </is>
      </c>
      <c r="D249" s="3" t="inlineStr">
        <is>
          <t>Manufacturing: 2021 construction diesel</t>
        </is>
      </c>
      <c r="E249" s="3" t="inlineStr">
        <is>
          <t>Construction child of source industry total, shown separately to preserve scope.</t>
        </is>
      </c>
    </row>
    <row r="250" ht="42" customHeight="1">
      <c r="A250" s="3" t="inlineStr">
        <is>
          <t>N246</t>
        </is>
      </c>
      <c r="B250" s="3" t="inlineStr">
        <is>
          <t>Evidence</t>
        </is>
      </c>
      <c r="C250" s="3" t="inlineStr">
        <is>
          <t>U41</t>
        </is>
      </c>
      <c r="D250" s="3" t="inlineStr">
        <is>
          <t>Manufacturing: 2021 construction diesel</t>
        </is>
      </c>
      <c r="E250" s="3" t="inlineStr">
        <is>
          <t>https://github.com/Africa-International-Advisors/liquid_fuels_model/blob/8c69f8333192483f19cd80911cb90fcd0943eb6b/assumptions/2026/timeseries/energy_balance_department.csv</t>
        </is>
      </c>
    </row>
    <row r="251" ht="42" customHeight="1">
      <c r="A251" s="3" t="inlineStr">
        <is>
          <t>N247</t>
        </is>
      </c>
      <c r="B251" s="3" t="inlineStr">
        <is>
          <t>Evidence</t>
        </is>
      </c>
      <c r="C251" s="3" t="inlineStr">
        <is>
          <t>U42</t>
        </is>
      </c>
      <c r="D251" s="3" t="inlineStr">
        <is>
          <t>Mining: 2021 mining/quarrying diesel</t>
        </is>
      </c>
      <c r="E251" s="3" t="inlineStr">
        <is>
          <t>https://github.com/Africa-International-Advisors/liquid_fuels_model/blob/8c69f8333192483f19cd80911cb90fcd0943eb6b/assumptions/2026/timeseries/energy_balance_department.csv</t>
        </is>
      </c>
    </row>
    <row r="252" ht="42" customHeight="1">
      <c r="A252" s="3" t="inlineStr">
        <is>
          <t>N248</t>
        </is>
      </c>
      <c r="B252" s="3" t="inlineStr">
        <is>
          <t>Evidence</t>
        </is>
      </c>
      <c r="C252" s="3" t="inlineStr">
        <is>
          <t>U43</t>
        </is>
      </c>
      <c r="D252" s="3" t="inlineStr">
        <is>
          <t>Provincial: EC petrol / million L/year</t>
        </is>
      </c>
      <c r="E252" s="3" t="inlineStr">
        <is>
          <t>https://github.com/Africa-International-Advisors/liquid_fuels_model/blob/8c69f8333192483f19cd80911cb90fcd0943eb6b/assumptions/2026/timeseries/fuel_sales_department_by_province_quarterly.csv</t>
        </is>
      </c>
    </row>
    <row r="253" ht="42" customHeight="1">
      <c r="A253" s="3" t="inlineStr">
        <is>
          <t>N249</t>
        </is>
      </c>
      <c r="B253" s="3" t="inlineStr">
        <is>
          <t>Evidence</t>
        </is>
      </c>
      <c r="C253" s="3" t="inlineStr">
        <is>
          <t>U44</t>
        </is>
      </c>
      <c r="D253" s="3" t="inlineStr">
        <is>
          <t>Provincial: FS petrol / million L/year</t>
        </is>
      </c>
      <c r="E253" s="3" t="inlineStr">
        <is>
          <t>https://github.com/Africa-International-Advisors/liquid_fuels_model/blob/8c69f8333192483f19cd80911cb90fcd0943eb6b/assumptions/2026/timeseries/fuel_sales_department_by_province_quarterly.csv</t>
        </is>
      </c>
    </row>
    <row r="254" ht="42" customHeight="1">
      <c r="A254" s="3" t="inlineStr">
        <is>
          <t>N250</t>
        </is>
      </c>
      <c r="B254" s="3" t="inlineStr">
        <is>
          <t>Evidence</t>
        </is>
      </c>
      <c r="C254" s="3" t="inlineStr">
        <is>
          <t>U45</t>
        </is>
      </c>
      <c r="D254" s="3" t="inlineStr">
        <is>
          <t>Provincial: GP petrol / million L/year</t>
        </is>
      </c>
      <c r="E254" s="3" t="inlineStr">
        <is>
          <t>https://github.com/Africa-International-Advisors/liquid_fuels_model/blob/8c69f8333192483f19cd80911cb90fcd0943eb6b/assumptions/2026/timeseries/fuel_sales_department_by_province_quarterly.csv</t>
        </is>
      </c>
    </row>
    <row r="255" ht="42" customHeight="1">
      <c r="A255" s="3" t="inlineStr">
        <is>
          <t>N251</t>
        </is>
      </c>
      <c r="B255" s="3" t="inlineStr">
        <is>
          <t>Evidence</t>
        </is>
      </c>
      <c r="C255" s="3" t="inlineStr">
        <is>
          <t>U46</t>
        </is>
      </c>
      <c r="D255" s="3" t="inlineStr">
        <is>
          <t>Provincial: KZN petrol / million L/year</t>
        </is>
      </c>
      <c r="E255" s="3" t="inlineStr">
        <is>
          <t>https://github.com/Africa-International-Advisors/liquid_fuels_model/blob/8c69f8333192483f19cd80911cb90fcd0943eb6b/assumptions/2026/timeseries/fuel_sales_department_by_province_quarterly.csv</t>
        </is>
      </c>
    </row>
    <row r="256" ht="42" customHeight="1">
      <c r="A256" s="3" t="inlineStr">
        <is>
          <t>N252</t>
        </is>
      </c>
      <c r="B256" s="3" t="inlineStr">
        <is>
          <t>Evidence</t>
        </is>
      </c>
      <c r="C256" s="3" t="inlineStr">
        <is>
          <t>U47</t>
        </is>
      </c>
      <c r="D256" s="3" t="inlineStr">
        <is>
          <t>Provincial: LP petrol / million L/year</t>
        </is>
      </c>
      <c r="E256" s="3" t="inlineStr">
        <is>
          <t>https://github.com/Africa-International-Advisors/liquid_fuels_model/blob/8c69f8333192483f19cd80911cb90fcd0943eb6b/assumptions/2026/timeseries/fuel_sales_department_by_province_quarterly.csv</t>
        </is>
      </c>
    </row>
    <row r="257" ht="42" customHeight="1">
      <c r="A257" s="3" t="inlineStr">
        <is>
          <t>N253</t>
        </is>
      </c>
      <c r="B257" s="3" t="inlineStr">
        <is>
          <t>Evidence</t>
        </is>
      </c>
      <c r="C257" s="3" t="inlineStr">
        <is>
          <t>U48</t>
        </is>
      </c>
      <c r="D257" s="3" t="inlineStr">
        <is>
          <t>Provincial: MP petrol / million L/year</t>
        </is>
      </c>
      <c r="E257" s="3" t="inlineStr">
        <is>
          <t>https://github.com/Africa-International-Advisors/liquid_fuels_model/blob/8c69f8333192483f19cd80911cb90fcd0943eb6b/assumptions/2026/timeseries/fuel_sales_department_by_province_quarterly.csv</t>
        </is>
      </c>
    </row>
    <row r="258" ht="42" customHeight="1">
      <c r="A258" s="3" t="inlineStr">
        <is>
          <t>N254</t>
        </is>
      </c>
      <c r="B258" s="3" t="inlineStr">
        <is>
          <t>Evidence</t>
        </is>
      </c>
      <c r="C258" s="3" t="inlineStr">
        <is>
          <t>U49</t>
        </is>
      </c>
      <c r="D258" s="3" t="inlineStr">
        <is>
          <t>Provincial: NC petrol / million L/year</t>
        </is>
      </c>
      <c r="E258" s="3" t="inlineStr">
        <is>
          <t>https://github.com/Africa-International-Advisors/liquid_fuels_model/blob/8c69f8333192483f19cd80911cb90fcd0943eb6b/assumptions/2026/timeseries/fuel_sales_department_by_province_quarterly.csv</t>
        </is>
      </c>
    </row>
    <row r="259" ht="42" customHeight="1">
      <c r="A259" s="3" t="inlineStr">
        <is>
          <t>N255</t>
        </is>
      </c>
      <c r="B259" s="3" t="inlineStr">
        <is>
          <t>Evidence</t>
        </is>
      </c>
      <c r="C259" s="3" t="inlineStr">
        <is>
          <t>U50</t>
        </is>
      </c>
      <c r="D259" s="3" t="inlineStr">
        <is>
          <t>Provincial: NW petrol / million L/year</t>
        </is>
      </c>
      <c r="E259" s="3" t="inlineStr">
        <is>
          <t>https://github.com/Africa-International-Advisors/liquid_fuels_model/blob/8c69f8333192483f19cd80911cb90fcd0943eb6b/assumptions/2026/timeseries/fuel_sales_department_by_province_quarterly.csv</t>
        </is>
      </c>
    </row>
    <row r="260" ht="42" customHeight="1">
      <c r="A260" s="3" t="inlineStr">
        <is>
          <t>N256</t>
        </is>
      </c>
      <c r="B260" s="3" t="inlineStr">
        <is>
          <t>Evidence</t>
        </is>
      </c>
      <c r="C260" s="3" t="inlineStr">
        <is>
          <t>U51</t>
        </is>
      </c>
      <c r="D260" s="3" t="inlineStr">
        <is>
          <t>Provincial: WC petrol / million L/year</t>
        </is>
      </c>
      <c r="E260" s="3" t="inlineStr">
        <is>
          <t>https://github.com/Africa-International-Advisors/liquid_fuels_model/blob/8c69f8333192483f19cd80911cb90fcd0943eb6b/assumptions/2026/timeseries/fuel_sales_department_by_province_quarterly.csv</t>
        </is>
      </c>
    </row>
    <row r="261" ht="42" customHeight="1">
      <c r="A261" s="3" t="inlineStr">
        <is>
          <t>N257</t>
        </is>
      </c>
      <c r="B261" s="3" t="inlineStr">
        <is>
          <t>Evidence</t>
        </is>
      </c>
      <c r="C261" s="3" t="inlineStr">
        <is>
          <t>U52</t>
        </is>
      </c>
      <c r="D261" s="3" t="inlineStr">
        <is>
          <t>Provincial: EC diesel / million L/year</t>
        </is>
      </c>
      <c r="E261" s="3" t="inlineStr">
        <is>
          <t>https://github.com/Africa-International-Advisors/liquid_fuels_model/blob/8c69f8333192483f19cd80911cb90fcd0943eb6b/assumptions/2026/timeseries/fuel_sales_department_by_province_quarterly.csv</t>
        </is>
      </c>
    </row>
    <row r="262" ht="42" customHeight="1">
      <c r="A262" s="3" t="inlineStr">
        <is>
          <t>N258</t>
        </is>
      </c>
      <c r="B262" s="3" t="inlineStr">
        <is>
          <t>Evidence</t>
        </is>
      </c>
      <c r="C262" s="3" t="inlineStr">
        <is>
          <t>U53</t>
        </is>
      </c>
      <c r="D262" s="3" t="inlineStr">
        <is>
          <t>Provincial: FS diesel / million L/year</t>
        </is>
      </c>
      <c r="E262" s="3" t="inlineStr">
        <is>
          <t>https://github.com/Africa-International-Advisors/liquid_fuels_model/blob/8c69f8333192483f19cd80911cb90fcd0943eb6b/assumptions/2026/timeseries/fuel_sales_department_by_province_quarterly.csv</t>
        </is>
      </c>
    </row>
    <row r="263" ht="42" customHeight="1">
      <c r="A263" s="3" t="inlineStr">
        <is>
          <t>N259</t>
        </is>
      </c>
      <c r="B263" s="3" t="inlineStr">
        <is>
          <t>Evidence</t>
        </is>
      </c>
      <c r="C263" s="3" t="inlineStr">
        <is>
          <t>U54</t>
        </is>
      </c>
      <c r="D263" s="3" t="inlineStr">
        <is>
          <t>Provincial: GP diesel / million L/year</t>
        </is>
      </c>
      <c r="E263" s="3" t="inlineStr">
        <is>
          <t>https://github.com/Africa-International-Advisors/liquid_fuels_model/blob/8c69f8333192483f19cd80911cb90fcd0943eb6b/assumptions/2026/timeseries/fuel_sales_department_by_province_quarterly.csv</t>
        </is>
      </c>
    </row>
    <row r="264" ht="42" customHeight="1">
      <c r="A264" s="3" t="inlineStr">
        <is>
          <t>N260</t>
        </is>
      </c>
      <c r="B264" s="3" t="inlineStr">
        <is>
          <t>Evidence</t>
        </is>
      </c>
      <c r="C264" s="3" t="inlineStr">
        <is>
          <t>U55</t>
        </is>
      </c>
      <c r="D264" s="3" t="inlineStr">
        <is>
          <t>Provincial: KZN diesel / million L/year</t>
        </is>
      </c>
      <c r="E264" s="3" t="inlineStr">
        <is>
          <t>https://github.com/Africa-International-Advisors/liquid_fuels_model/blob/8c69f8333192483f19cd80911cb90fcd0943eb6b/assumptions/2026/timeseries/fuel_sales_department_by_province_quarterly.csv</t>
        </is>
      </c>
    </row>
    <row r="265" ht="42" customHeight="1">
      <c r="A265" s="3" t="inlineStr">
        <is>
          <t>N261</t>
        </is>
      </c>
      <c r="B265" s="3" t="inlineStr">
        <is>
          <t>Evidence</t>
        </is>
      </c>
      <c r="C265" s="3" t="inlineStr">
        <is>
          <t>U56</t>
        </is>
      </c>
      <c r="D265" s="3" t="inlineStr">
        <is>
          <t>Provincial: LP diesel / million L/year</t>
        </is>
      </c>
      <c r="E265" s="3" t="inlineStr">
        <is>
          <t>https://github.com/Africa-International-Advisors/liquid_fuels_model/blob/8c69f8333192483f19cd80911cb90fcd0943eb6b/assumptions/2026/timeseries/fuel_sales_department_by_province_quarterly.csv</t>
        </is>
      </c>
    </row>
    <row r="266" ht="42" customHeight="1">
      <c r="A266" s="3" t="inlineStr">
        <is>
          <t>N262</t>
        </is>
      </c>
      <c r="B266" s="3" t="inlineStr">
        <is>
          <t>Evidence</t>
        </is>
      </c>
      <c r="C266" s="3" t="inlineStr">
        <is>
          <t>U57</t>
        </is>
      </c>
      <c r="D266" s="3" t="inlineStr">
        <is>
          <t>Provincial: MP diesel / million L/year</t>
        </is>
      </c>
      <c r="E266" s="3" t="inlineStr">
        <is>
          <t>https://github.com/Africa-International-Advisors/liquid_fuels_model/blob/8c69f8333192483f19cd80911cb90fcd0943eb6b/assumptions/2026/timeseries/fuel_sales_department_by_province_quarterly.csv</t>
        </is>
      </c>
    </row>
    <row r="267" ht="42" customHeight="1">
      <c r="A267" s="3" t="inlineStr">
        <is>
          <t>N263</t>
        </is>
      </c>
      <c r="B267" s="3" t="inlineStr">
        <is>
          <t>Evidence</t>
        </is>
      </c>
      <c r="C267" s="3" t="inlineStr">
        <is>
          <t>U58</t>
        </is>
      </c>
      <c r="D267" s="3" t="inlineStr">
        <is>
          <t>Provincial: NC diesel / million L/year</t>
        </is>
      </c>
      <c r="E267" s="3" t="inlineStr">
        <is>
          <t>https://github.com/Africa-International-Advisors/liquid_fuels_model/blob/8c69f8333192483f19cd80911cb90fcd0943eb6b/assumptions/2026/timeseries/fuel_sales_department_by_province_quarterly.csv</t>
        </is>
      </c>
    </row>
    <row r="268" ht="42" customHeight="1">
      <c r="A268" s="3" t="inlineStr">
        <is>
          <t>N264</t>
        </is>
      </c>
      <c r="B268" s="3" t="inlineStr">
        <is>
          <t>Evidence</t>
        </is>
      </c>
      <c r="C268" s="3" t="inlineStr">
        <is>
          <t>U59</t>
        </is>
      </c>
      <c r="D268" s="3" t="inlineStr">
        <is>
          <t>Provincial: NW diesel / million L/year</t>
        </is>
      </c>
      <c r="E268" s="3" t="inlineStr">
        <is>
          <t>https://github.com/Africa-International-Advisors/liquid_fuels_model/blob/8c69f8333192483f19cd80911cb90fcd0943eb6b/assumptions/2026/timeseries/fuel_sales_department_by_province_quarterly.csv</t>
        </is>
      </c>
    </row>
    <row r="269" ht="42" customHeight="1">
      <c r="A269" s="3" t="inlineStr">
        <is>
          <t>N265</t>
        </is>
      </c>
      <c r="B269" s="3" t="inlineStr">
        <is>
          <t>Evidence</t>
        </is>
      </c>
      <c r="C269" s="3" t="inlineStr">
        <is>
          <t>U60</t>
        </is>
      </c>
      <c r="D269" s="3" t="inlineStr">
        <is>
          <t>Provincial: WC diesel / million L/year</t>
        </is>
      </c>
      <c r="E269" s="3" t="inlineStr">
        <is>
          <t>https://github.com/Africa-International-Advisors/liquid_fuels_model/blob/8c69f8333192483f19cd80911cb90fcd0943eb6b/assumptions/2026/timeseries/fuel_sales_department_by_province_quarterly.csv</t>
        </is>
      </c>
    </row>
    <row r="270" ht="42" customHeight="1">
      <c r="A270" s="3" t="inlineStr">
        <is>
          <t>N266</t>
        </is>
      </c>
      <c r="B270" s="3" t="inlineStr">
        <is>
          <t>Model run</t>
        </is>
      </c>
      <c r="C270" s="3" t="inlineStr">
        <is>
          <t>V5</t>
        </is>
      </c>
      <c r="D270" s="3" t="inlineStr">
        <is>
          <t>Petrol: GDP per capita</t>
        </is>
      </c>
      <c r="E270" s="3" t="inlineStr">
        <is>
          <t>Engine dependency is in Python; Excel links expose the recorded run.</t>
        </is>
      </c>
    </row>
    <row r="271" ht="42" customHeight="1">
      <c r="A271" s="3" t="inlineStr">
        <is>
          <t>N267</t>
        </is>
      </c>
      <c r="B271" s="3" t="inlineStr">
        <is>
          <t>Model run</t>
        </is>
      </c>
      <c r="C271" s="3" t="inlineStr">
        <is>
          <t>V6</t>
        </is>
      </c>
      <c r="D271" s="3" t="inlineStr">
        <is>
          <t>Petrol: New-sales regression slope</t>
        </is>
      </c>
      <c r="E271" s="3" t="inlineStr">
        <is>
          <t>Engine dependency is in Python; Excel links expose the recorded run.</t>
        </is>
      </c>
    </row>
    <row r="272" ht="42" customHeight="1">
      <c r="A272" s="3" t="inlineStr">
        <is>
          <t>N268</t>
        </is>
      </c>
      <c r="B272" s="3" t="inlineStr">
        <is>
          <t>Model run</t>
        </is>
      </c>
      <c r="C272" s="3" t="inlineStr">
        <is>
          <t>V7</t>
        </is>
      </c>
      <c r="D272" s="3" t="inlineStr">
        <is>
          <t>Petrol: New-sales regression intercept</t>
        </is>
      </c>
      <c r="E272" s="3" t="inlineStr">
        <is>
          <t>Engine dependency is in Python; Excel links expose the recorded run.</t>
        </is>
      </c>
    </row>
    <row r="273" ht="42" customHeight="1">
      <c r="A273" s="3" t="inlineStr">
        <is>
          <t>N269</t>
        </is>
      </c>
      <c r="B273" s="3" t="inlineStr">
        <is>
          <t>Model run</t>
        </is>
      </c>
      <c r="C273" s="3" t="inlineStr">
        <is>
          <t>V8</t>
        </is>
      </c>
      <c r="D273" s="3" t="inlineStr">
        <is>
          <t>Petrol: Passenger share of new sales</t>
        </is>
      </c>
      <c r="E273" s="3" t="inlineStr">
        <is>
          <t>Engine dependency is in Python; Excel links expose the recorded run.</t>
        </is>
      </c>
    </row>
    <row r="274" ht="42" customHeight="1">
      <c r="A274" s="3" t="inlineStr">
        <is>
          <t>N270</t>
        </is>
      </c>
      <c r="B274" s="3" t="inlineStr">
        <is>
          <t>Model run</t>
        </is>
      </c>
      <c r="C274" s="3" t="inlineStr">
        <is>
          <t>V9</t>
        </is>
      </c>
      <c r="D274" s="3" t="inlineStr">
        <is>
          <t>Petrol: Petrol share of passenger ICE sales</t>
        </is>
      </c>
      <c r="E274" s="3" t="inlineStr">
        <is>
          <t>Engine dependency is in Python; Excel links expose the recorded run.</t>
        </is>
      </c>
    </row>
    <row r="275" ht="42" customHeight="1">
      <c r="A275" s="3" t="inlineStr">
        <is>
          <t>N271</t>
        </is>
      </c>
      <c r="B275" s="3" t="inlineStr">
        <is>
          <t>Model run</t>
        </is>
      </c>
      <c r="C275" s="3" t="inlineStr">
        <is>
          <t>V10</t>
        </is>
      </c>
      <c r="D275" s="3" t="inlineStr">
        <is>
          <t>Petrol: Passenger annual mileage</t>
        </is>
      </c>
      <c r="E275" s="3" t="inlineStr">
        <is>
          <t>Engine dependency is in Python; Excel links expose the recorded run.</t>
        </is>
      </c>
    </row>
    <row r="276" ht="42" customHeight="1">
      <c r="A276" s="3" t="inlineStr">
        <is>
          <t>N272</t>
        </is>
      </c>
      <c r="B276" s="3" t="inlineStr">
        <is>
          <t>Model run</t>
        </is>
      </c>
      <c r="C276" s="3" t="inlineStr">
        <is>
          <t>V11</t>
        </is>
      </c>
      <c r="D276" s="3" t="inlineStr">
        <is>
          <t>Petrol: Passenger retirement rate</t>
        </is>
      </c>
      <c r="E276" s="3" t="inlineStr">
        <is>
          <t>Engine dependency is in Python; Excel links expose the recorded run.</t>
        </is>
      </c>
    </row>
    <row r="277" ht="42" customHeight="1">
      <c r="A277" s="3" t="inlineStr">
        <is>
          <t>N273</t>
        </is>
      </c>
      <c r="B277" s="3" t="inlineStr">
        <is>
          <t>Model run</t>
        </is>
      </c>
      <c r="C277" s="3" t="inlineStr">
        <is>
          <t>V12</t>
        </is>
      </c>
      <c r="D277" s="3" t="inlineStr">
        <is>
          <t>Petrol: Base new petrol vehicle consumption</t>
        </is>
      </c>
      <c r="E277" s="3" t="inlineStr">
        <is>
          <t>Engine dependency is in Python; Excel links expose the recorded run.</t>
        </is>
      </c>
    </row>
    <row r="278" ht="42" customHeight="1">
      <c r="A278" s="3" t="inlineStr">
        <is>
          <t>N274</t>
        </is>
      </c>
      <c r="B278" s="3" t="inlineStr">
        <is>
          <t>Model run</t>
        </is>
      </c>
      <c r="C278" s="3" t="inlineStr">
        <is>
          <t>E13</t>
        </is>
      </c>
      <c r="D278" s="3" t="inlineStr">
        <is>
          <t>Petrol: New-cohort efficiency gain</t>
        </is>
      </c>
      <c r="E278" s="3" t="inlineStr">
        <is>
          <t>Applied cumulatively to new cohorts; older cohorts retain their entry efficiency.</t>
        </is>
      </c>
    </row>
    <row r="279" ht="42" customHeight="1">
      <c r="A279" s="3" t="inlineStr">
        <is>
          <t>N275</t>
        </is>
      </c>
      <c r="B279" s="3" t="inlineStr">
        <is>
          <t>Model run</t>
        </is>
      </c>
      <c r="C279" s="3" t="inlineStr">
        <is>
          <t>V13</t>
        </is>
      </c>
      <c r="D279" s="3" t="inlineStr">
        <is>
          <t>Petrol: New-cohort efficiency gain</t>
        </is>
      </c>
      <c r="E279" s="3" t="inlineStr">
        <is>
          <t>Engine dependency is in Python; Excel links expose the recorded run.</t>
        </is>
      </c>
    </row>
    <row r="280" ht="42" customHeight="1">
      <c r="A280" s="3" t="inlineStr">
        <is>
          <t>N276</t>
        </is>
      </c>
      <c r="B280" s="3" t="inlineStr">
        <is>
          <t>Model run</t>
        </is>
      </c>
      <c r="C280" s="3" t="inlineStr">
        <is>
          <t>V14</t>
        </is>
      </c>
      <c r="D280" s="3" t="inlineStr">
        <is>
          <t>Petrol: EV curve ceiling</t>
        </is>
      </c>
      <c r="E280" s="3" t="inlineStr">
        <is>
          <t>Engine dependency is in Python; Excel links expose the recorded run.</t>
        </is>
      </c>
    </row>
    <row r="281" ht="42" customHeight="1">
      <c r="A281" s="3" t="inlineStr">
        <is>
          <t>N277</t>
        </is>
      </c>
      <c r="B281" s="3" t="inlineStr">
        <is>
          <t>Model run</t>
        </is>
      </c>
      <c r="C281" s="3" t="inlineStr">
        <is>
          <t>E15</t>
        </is>
      </c>
      <c r="D281" s="3" t="inlineStr">
        <is>
          <t>Petrol: Passenger petrol fleet</t>
        </is>
      </c>
      <c r="E281" s="3" t="inlineStr">
        <is>
          <t>Cohort stock from engine diagnostics. Opening stock is backfilled, not a verified registration total.</t>
        </is>
      </c>
    </row>
    <row r="282" ht="42" customHeight="1">
      <c r="A282" s="3" t="inlineStr">
        <is>
          <t>N278</t>
        </is>
      </c>
      <c r="B282" s="3" t="inlineStr">
        <is>
          <t>Model run</t>
        </is>
      </c>
      <c r="C282" s="3" t="inlineStr">
        <is>
          <t>V15</t>
        </is>
      </c>
      <c r="D282" s="3" t="inlineStr">
        <is>
          <t>Petrol: Passenger petrol fleet</t>
        </is>
      </c>
      <c r="E282" s="3" t="inlineStr">
        <is>
          <t>Engine dependency is in Python; Excel links expose the recorded run.</t>
        </is>
      </c>
    </row>
    <row r="283" ht="42" customHeight="1">
      <c r="A283" s="3" t="inlineStr">
        <is>
          <t>N279</t>
        </is>
      </c>
      <c r="B283" s="3" t="inlineStr">
        <is>
          <t>Model run</t>
        </is>
      </c>
      <c r="C283" s="3" t="inlineStr">
        <is>
          <t>V16</t>
        </is>
      </c>
      <c r="D283" s="3" t="inlineStr">
        <is>
          <t>Petrol: Passenger petrol vehicle-km</t>
        </is>
      </c>
      <c r="E283" s="3" t="inlineStr">
        <is>
          <t>Engine dependency is in Python; Excel links expose the recorded run.</t>
        </is>
      </c>
    </row>
    <row r="284" ht="42" customHeight="1">
      <c r="A284" s="3" t="inlineStr">
        <is>
          <t>N280</t>
        </is>
      </c>
      <c r="B284" s="3" t="inlineStr">
        <is>
          <t>Model run</t>
        </is>
      </c>
      <c r="C284" s="3" t="inlineStr">
        <is>
          <t>V17</t>
        </is>
      </c>
      <c r="D284" s="3" t="inlineStr">
        <is>
          <t>Petrol: Passenger petrol demand</t>
        </is>
      </c>
      <c r="E284" s="3" t="inlineStr">
        <is>
          <t>Engine dependency is in Python; Excel links expose the recorded run.</t>
        </is>
      </c>
    </row>
    <row r="285" ht="42" customHeight="1">
      <c r="A285" s="3" t="inlineStr">
        <is>
          <t>N281</t>
        </is>
      </c>
      <c r="B285" s="3" t="inlineStr">
        <is>
          <t>Model run</t>
        </is>
      </c>
      <c r="C285" s="3" t="inlineStr">
        <is>
          <t>V18</t>
        </is>
      </c>
      <c r="D285" s="3" t="inlineStr">
        <is>
          <t>Petrol: All road petrol demand</t>
        </is>
      </c>
      <c r="E285" s="3" t="inlineStr">
        <is>
          <t>Engine dependency is in Python; Excel links expose the recorded run.</t>
        </is>
      </c>
    </row>
    <row r="286" ht="42" customHeight="1">
      <c r="A286" s="3" t="inlineStr">
        <is>
          <t>N282</t>
        </is>
      </c>
      <c r="B286" s="3" t="inlineStr">
        <is>
          <t>Model run</t>
        </is>
      </c>
      <c r="C286" s="3" t="inlineStr">
        <is>
          <t>V19</t>
        </is>
      </c>
      <c r="D286" s="3" t="inlineStr">
        <is>
          <t>Freight: GDP per capita</t>
        </is>
      </c>
      <c r="E286" s="3" t="inlineStr">
        <is>
          <t>Engine dependency is in Python; Excel links expose the recorded run.</t>
        </is>
      </c>
    </row>
    <row r="287" ht="42" customHeight="1">
      <c r="A287" s="3" t="inlineStr">
        <is>
          <t>N283</t>
        </is>
      </c>
      <c r="B287" s="3" t="inlineStr">
        <is>
          <t>Model run</t>
        </is>
      </c>
      <c r="C287" s="3" t="inlineStr">
        <is>
          <t>V20</t>
        </is>
      </c>
      <c r="D287" s="3" t="inlineStr">
        <is>
          <t>Freight: HCV share of new vehicle sales</t>
        </is>
      </c>
      <c r="E287" s="3" t="inlineStr">
        <is>
          <t>Engine dependency is in Python; Excel links expose the recorded run.</t>
        </is>
      </c>
    </row>
    <row r="288" ht="42" customHeight="1">
      <c r="A288" s="3" t="inlineStr">
        <is>
          <t>N284</t>
        </is>
      </c>
      <c r="B288" s="3" t="inlineStr">
        <is>
          <t>Model run</t>
        </is>
      </c>
      <c r="C288" s="3" t="inlineStr">
        <is>
          <t>V21</t>
        </is>
      </c>
      <c r="D288" s="3" t="inlineStr">
        <is>
          <t>Freight: Diesel share of HCV ICE sales</t>
        </is>
      </c>
      <c r="E288" s="3" t="inlineStr">
        <is>
          <t>Engine dependency is in Python; Excel links expose the recorded run.</t>
        </is>
      </c>
    </row>
    <row r="289" ht="42" customHeight="1">
      <c r="A289" s="3" t="inlineStr">
        <is>
          <t>N285</t>
        </is>
      </c>
      <c r="B289" s="3" t="inlineStr">
        <is>
          <t>Model run</t>
        </is>
      </c>
      <c r="C289" s="3" t="inlineStr">
        <is>
          <t>V22</t>
        </is>
      </c>
      <c r="D289" s="3" t="inlineStr">
        <is>
          <t>Freight: Heavy-truck annual mileage</t>
        </is>
      </c>
      <c r="E289" s="3" t="inlineStr">
        <is>
          <t>Engine dependency is in Python; Excel links expose the recorded run.</t>
        </is>
      </c>
    </row>
    <row r="290" ht="42" customHeight="1">
      <c r="A290" s="3" t="inlineStr">
        <is>
          <t>N286</t>
        </is>
      </c>
      <c r="B290" s="3" t="inlineStr">
        <is>
          <t>Model run</t>
        </is>
      </c>
      <c r="C290" s="3" t="inlineStr">
        <is>
          <t>V23</t>
        </is>
      </c>
      <c r="D290" s="3" t="inlineStr">
        <is>
          <t>Freight: Heavy-truck retirement rate</t>
        </is>
      </c>
      <c r="E290" s="3" t="inlineStr">
        <is>
          <t>Engine dependency is in Python; Excel links expose the recorded run.</t>
        </is>
      </c>
    </row>
    <row r="291" ht="42" customHeight="1">
      <c r="A291" s="3" t="inlineStr">
        <is>
          <t>N287</t>
        </is>
      </c>
      <c r="B291" s="3" t="inlineStr">
        <is>
          <t>Model run</t>
        </is>
      </c>
      <c r="C291" s="3" t="inlineStr">
        <is>
          <t>V24</t>
        </is>
      </c>
      <c r="D291" s="3" t="inlineStr">
        <is>
          <t>Freight: Base new-truck consumption</t>
        </is>
      </c>
      <c r="E291" s="3" t="inlineStr">
        <is>
          <t>Engine dependency is in Python; Excel links expose the recorded run.</t>
        </is>
      </c>
    </row>
    <row r="292" ht="42" customHeight="1">
      <c r="A292" s="3" t="inlineStr">
        <is>
          <t>N288</t>
        </is>
      </c>
      <c r="B292" s="3" t="inlineStr">
        <is>
          <t>Model run</t>
        </is>
      </c>
      <c r="C292" s="3" t="inlineStr">
        <is>
          <t>V25</t>
        </is>
      </c>
      <c r="D292" s="3" t="inlineStr">
        <is>
          <t>Freight: New-cohort efficiency gain</t>
        </is>
      </c>
      <c r="E292" s="3" t="inlineStr">
        <is>
          <t>Engine dependency is in Python; Excel links expose the recorded run.</t>
        </is>
      </c>
    </row>
    <row r="293" ht="42" customHeight="1">
      <c r="A293" s="3" t="inlineStr">
        <is>
          <t>N289</t>
        </is>
      </c>
      <c r="B293" s="3" t="inlineStr">
        <is>
          <t>Model run</t>
        </is>
      </c>
      <c r="C293" s="3" t="inlineStr">
        <is>
          <t>V26</t>
        </is>
      </c>
      <c r="D293" s="3" t="inlineStr">
        <is>
          <t>Freight: Heavy-truck diesel fleet</t>
        </is>
      </c>
      <c r="E293" s="3" t="inlineStr">
        <is>
          <t>Engine dependency is in Python; Excel links expose the recorded run.</t>
        </is>
      </c>
    </row>
    <row r="294" ht="42" customHeight="1">
      <c r="A294" s="3" t="inlineStr">
        <is>
          <t>N290</t>
        </is>
      </c>
      <c r="B294" s="3" t="inlineStr">
        <is>
          <t>Model run</t>
        </is>
      </c>
      <c r="C294" s="3" t="inlineStr">
        <is>
          <t>V27</t>
        </is>
      </c>
      <c r="D294" s="3" t="inlineStr">
        <is>
          <t>Freight: Heavy-truck vehicle-km</t>
        </is>
      </c>
      <c r="E294" s="3" t="inlineStr">
        <is>
          <t>Engine dependency is in Python; Excel links expose the recorded run.</t>
        </is>
      </c>
    </row>
    <row r="295" ht="42" customHeight="1">
      <c r="A295" s="3" t="inlineStr">
        <is>
          <t>N291</t>
        </is>
      </c>
      <c r="B295" s="3" t="inlineStr">
        <is>
          <t>Model run</t>
        </is>
      </c>
      <c r="C295" s="3" t="inlineStr">
        <is>
          <t>V28</t>
        </is>
      </c>
      <c r="D295" s="3" t="inlineStr">
        <is>
          <t>Freight: Heavy-truck diesel demand</t>
        </is>
      </c>
      <c r="E295" s="3" t="inlineStr">
        <is>
          <t>Engine dependency is in Python; Excel links expose the recorded run.</t>
        </is>
      </c>
    </row>
    <row r="296" ht="42" customHeight="1">
      <c r="A296" s="3" t="inlineStr">
        <is>
          <t>N292</t>
        </is>
      </c>
      <c r="B296" s="3" t="inlineStr">
        <is>
          <t>Model run</t>
        </is>
      </c>
      <c r="C296" s="3" t="inlineStr">
        <is>
          <t>E29</t>
        </is>
      </c>
      <c r="D296" s="3" t="inlineStr">
        <is>
          <t>Freight: Current common EV share of new sales</t>
        </is>
      </c>
      <c r="E296" s="3" t="inlineStr">
        <is>
          <t>Existing engine curve applied to HCV as well as other classes. This is not a calibrated truck-specific forecast.</t>
        </is>
      </c>
    </row>
    <row r="297" ht="42" customHeight="1">
      <c r="A297" s="3" t="inlineStr">
        <is>
          <t>N293</t>
        </is>
      </c>
      <c r="B297" s="3" t="inlineStr">
        <is>
          <t>Model run</t>
        </is>
      </c>
      <c r="C297" s="3" t="inlineStr">
        <is>
          <t>V29</t>
        </is>
      </c>
      <c r="D297" s="3" t="inlineStr">
        <is>
          <t>Freight: Current common EV share of new sales</t>
        </is>
      </c>
      <c r="E297" s="3" t="inlineStr">
        <is>
          <t>Engine dependency is in Python; Excel links expose the recorded run.</t>
        </is>
      </c>
    </row>
    <row r="298" ht="42" customHeight="1">
      <c r="A298" s="3" t="inlineStr">
        <is>
          <t>N294</t>
        </is>
      </c>
      <c r="B298" s="3" t="inlineStr">
        <is>
          <t>Model run</t>
        </is>
      </c>
      <c r="C298" s="3" t="inlineStr">
        <is>
          <t>V30</t>
        </is>
      </c>
      <c r="D298" s="3" t="inlineStr">
        <is>
          <t>Agriculture: Base year</t>
        </is>
      </c>
      <c r="E298" s="3" t="inlineStr">
        <is>
          <t>Engine dependency is in Python; Excel links expose the recorded run.</t>
        </is>
      </c>
    </row>
    <row r="299" ht="42" customHeight="1">
      <c r="A299" s="3" t="inlineStr">
        <is>
          <t>N295</t>
        </is>
      </c>
      <c r="B299" s="3" t="inlineStr">
        <is>
          <t>Model run</t>
        </is>
      </c>
      <c r="C299" s="3" t="inlineStr">
        <is>
          <t>V31</t>
        </is>
      </c>
      <c r="D299" s="3" t="inlineStr">
        <is>
          <t>Agriculture: GDP/capita elasticity</t>
        </is>
      </c>
      <c r="E299" s="3" t="inlineStr">
        <is>
          <t>Engine dependency is in Python; Excel links expose the recorded run.</t>
        </is>
      </c>
    </row>
    <row r="300" ht="42" customHeight="1">
      <c r="A300" s="3" t="inlineStr">
        <is>
          <t>N296</t>
        </is>
      </c>
      <c r="B300" s="3" t="inlineStr">
        <is>
          <t>Model run</t>
        </is>
      </c>
      <c r="C300" s="3" t="inlineStr">
        <is>
          <t>V32</t>
        </is>
      </c>
      <c r="D300" s="3" t="inlineStr">
        <is>
          <t>Agriculture: GDP per capita</t>
        </is>
      </c>
      <c r="E300" s="3" t="inlineStr">
        <is>
          <t>Engine dependency is in Python; Excel links expose the recorded run.</t>
        </is>
      </c>
    </row>
    <row r="301" ht="42" customHeight="1">
      <c r="A301" s="3" t="inlineStr">
        <is>
          <t>N297</t>
        </is>
      </c>
      <c r="B301" s="3" t="inlineStr">
        <is>
          <t>Model run</t>
        </is>
      </c>
      <c r="C301" s="3" t="inlineStr">
        <is>
          <t>V33</t>
        </is>
      </c>
      <c r="D301" s="3" t="inlineStr">
        <is>
          <t>Agriculture: Agricultural diesel demand</t>
        </is>
      </c>
      <c r="E301" s="3" t="inlineStr">
        <is>
          <t>Engine dependency is in Python; Excel links expose the recorded run.</t>
        </is>
      </c>
    </row>
    <row r="302" ht="42" customHeight="1">
      <c r="A302" s="3" t="inlineStr">
        <is>
          <t>N298</t>
        </is>
      </c>
      <c r="B302" s="3" t="inlineStr">
        <is>
          <t>Model run</t>
        </is>
      </c>
      <c r="C302" s="3" t="inlineStr">
        <is>
          <t>V34</t>
        </is>
      </c>
      <c r="D302" s="3" t="inlineStr">
        <is>
          <t>Manufacturing: Combined baseline year</t>
        </is>
      </c>
      <c r="E302" s="3" t="inlineStr">
        <is>
          <t>Engine dependency is in Python; Excel links expose the recorded run.</t>
        </is>
      </c>
    </row>
    <row r="303" ht="42" customHeight="1">
      <c r="A303" s="3" t="inlineStr">
        <is>
          <t>N299</t>
        </is>
      </c>
      <c r="B303" s="3" t="inlineStr">
        <is>
          <t>Model run</t>
        </is>
      </c>
      <c r="C303" s="3" t="inlineStr">
        <is>
          <t>V35</t>
        </is>
      </c>
      <c r="D303" s="3" t="inlineStr">
        <is>
          <t>Manufacturing: Combined GDP/capita elasticity</t>
        </is>
      </c>
      <c r="E303" s="3" t="inlineStr">
        <is>
          <t>Engine dependency is in Python; Excel links expose the recorded run.</t>
        </is>
      </c>
    </row>
    <row r="304" ht="42" customHeight="1">
      <c r="A304" s="3" t="inlineStr">
        <is>
          <t>N300</t>
        </is>
      </c>
      <c r="B304" s="3" t="inlineStr">
        <is>
          <t>Model run</t>
        </is>
      </c>
      <c r="C304" s="3" t="inlineStr">
        <is>
          <t>E36</t>
        </is>
      </c>
      <c r="D304" s="3" t="inlineStr">
        <is>
          <t>Manufacturing: Combined industrial diesel</t>
        </is>
      </c>
      <c r="E304" s="3" t="inlineStr">
        <is>
          <t>Existing engine output shown ONCE as a reference for the future split; includes mining and construction.</t>
        </is>
      </c>
    </row>
    <row r="305" ht="42" customHeight="1">
      <c r="A305" s="3" t="inlineStr">
        <is>
          <t>N301</t>
        </is>
      </c>
      <c r="B305" s="3" t="inlineStr">
        <is>
          <t>Model run</t>
        </is>
      </c>
      <c r="C305" s="3" t="inlineStr">
        <is>
          <t>V36</t>
        </is>
      </c>
      <c r="D305" s="3" t="inlineStr">
        <is>
          <t>Manufacturing: Combined industrial diesel</t>
        </is>
      </c>
      <c r="E305" s="3" t="inlineStr">
        <is>
          <t>Engine dependency is in Python; Excel links expose the recorded run.</t>
        </is>
      </c>
    </row>
    <row r="306" ht="42" customHeight="1">
      <c r="A306" s="3" t="inlineStr">
        <is>
          <t>N302</t>
        </is>
      </c>
      <c r="B306" s="3" t="inlineStr">
        <is>
          <t>Model run</t>
        </is>
      </c>
      <c r="C306" s="3" t="inlineStr">
        <is>
          <t>U37</t>
        </is>
      </c>
      <c r="D306" s="3" t="inlineStr">
        <is>
          <t>Other demand: Current engine load factor</t>
        </is>
      </c>
      <c r="E306" s="3" t="inlineStr">
        <is>
          <t>https://github.com/Africa-International-Advisors/liquid_fuels_model/blob/8c69f8333192483f19cd80911cb90fcd0943eb6b/assumptions/2026/generation.yaml</t>
        </is>
      </c>
    </row>
    <row r="307" ht="42" customHeight="1">
      <c r="A307" s="3" t="inlineStr">
        <is>
          <t>N303</t>
        </is>
      </c>
      <c r="B307" s="3" t="inlineStr">
        <is>
          <t>Model run</t>
        </is>
      </c>
      <c r="C307" s="3" t="inlineStr">
        <is>
          <t>V37</t>
        </is>
      </c>
      <c r="D307" s="3" t="inlineStr">
        <is>
          <t>Other demand: Current engine load factor</t>
        </is>
      </c>
      <c r="E307" s="3" t="inlineStr">
        <is>
          <t>Engine dependency is in Python; Excel links expose the recorded run.</t>
        </is>
      </c>
    </row>
    <row r="308" ht="42" customHeight="1">
      <c r="A308" s="3" t="inlineStr">
        <is>
          <t>N304</t>
        </is>
      </c>
      <c r="B308" s="3" t="inlineStr">
        <is>
          <t>Model run</t>
        </is>
      </c>
      <c r="C308" s="3" t="inlineStr">
        <is>
          <t>U38</t>
        </is>
      </c>
      <c r="D308" s="3" t="inlineStr">
        <is>
          <t>Other demand: Current thermal efficiency</t>
        </is>
      </c>
      <c r="E308" s="3" t="inlineStr">
        <is>
          <t>https://github.com/Africa-International-Advisors/liquid_fuels_model/blob/8c69f8333192483f19cd80911cb90fcd0943eb6b/assumptions/2026/generation.yaml</t>
        </is>
      </c>
    </row>
    <row r="309" ht="42" customHeight="1">
      <c r="A309" s="3" t="inlineStr">
        <is>
          <t>N305</t>
        </is>
      </c>
      <c r="B309" s="3" t="inlineStr">
        <is>
          <t>Model run</t>
        </is>
      </c>
      <c r="C309" s="3" t="inlineStr">
        <is>
          <t>V38</t>
        </is>
      </c>
      <c r="D309" s="3" t="inlineStr">
        <is>
          <t>Other demand: Current thermal efficiency</t>
        </is>
      </c>
      <c r="E309" s="3" t="inlineStr">
        <is>
          <t>Engine dependency is in Python; Excel links expose the recorded run.</t>
        </is>
      </c>
    </row>
    <row r="310" ht="42" customHeight="1">
      <c r="A310" s="3" t="inlineStr">
        <is>
          <t>N306</t>
        </is>
      </c>
      <c r="B310" s="3" t="inlineStr">
        <is>
          <t>Model run</t>
        </is>
      </c>
      <c r="C310" s="3" t="inlineStr">
        <is>
          <t>U39</t>
        </is>
      </c>
      <c r="D310" s="3" t="inlineStr">
        <is>
          <t>Other demand: Diesel energy content</t>
        </is>
      </c>
      <c r="E310" s="3" t="inlineStr">
        <is>
          <t>https://github.com/Africa-International-Advisors/liquid_fuels_model/blob/8c69f8333192483f19cd80911cb90fcd0943eb6b/assumptions/2026/generation.yaml</t>
        </is>
      </c>
    </row>
    <row r="311" ht="42" customHeight="1">
      <c r="A311" s="3" t="inlineStr">
        <is>
          <t>N307</t>
        </is>
      </c>
      <c r="B311" s="3" t="inlineStr">
        <is>
          <t>Model run</t>
        </is>
      </c>
      <c r="C311" s="3" t="inlineStr">
        <is>
          <t>V39</t>
        </is>
      </c>
      <c r="D311" s="3" t="inlineStr">
        <is>
          <t>Other demand: Diesel energy content</t>
        </is>
      </c>
      <c r="E311" s="3" t="inlineStr">
        <is>
          <t>Engine dependency is in Python; Excel links expose the recorded run.</t>
        </is>
      </c>
    </row>
    <row r="312" ht="42" customHeight="1">
      <c r="A312" s="3" t="inlineStr">
        <is>
          <t>N308</t>
        </is>
      </c>
      <c r="B312" s="3" t="inlineStr">
        <is>
          <t>Model run</t>
        </is>
      </c>
      <c r="C312" s="3" t="inlineStr">
        <is>
          <t>E40</t>
        </is>
      </c>
      <c r="D312" s="3" t="inlineStr">
        <is>
          <t>Other demand: Current OCGT diesel demand</t>
        </is>
      </c>
      <c r="E312" s="3" t="inlineStr">
        <is>
          <t>Calendar-year model output; do not directly tie to FY generation without a bridge.</t>
        </is>
      </c>
    </row>
    <row r="313" ht="42" customHeight="1">
      <c r="A313" s="3" t="inlineStr">
        <is>
          <t>N309</t>
        </is>
      </c>
      <c r="B313" s="3" t="inlineStr">
        <is>
          <t>Model run</t>
        </is>
      </c>
      <c r="C313" s="3" t="inlineStr">
        <is>
          <t>U40</t>
        </is>
      </c>
      <c r="D313" s="3" t="inlineStr">
        <is>
          <t>Other demand: Current OCGT diesel demand</t>
        </is>
      </c>
      <c r="E313" s="3" t="inlineStr">
        <is>
          <t>https://github.com/Africa-International-Advisors/liquid_fuels_model/blob/8c69f8333192483f19cd80911cb90fcd0943eb6b/src/lfm/model/demand/generation.py</t>
        </is>
      </c>
    </row>
    <row r="314" ht="42" customHeight="1">
      <c r="A314" s="3" t="inlineStr">
        <is>
          <t>N310</t>
        </is>
      </c>
      <c r="B314" s="3" t="inlineStr">
        <is>
          <t>Model run</t>
        </is>
      </c>
      <c r="C314" s="3" t="inlineStr">
        <is>
          <t>V40</t>
        </is>
      </c>
      <c r="D314" s="3" t="inlineStr">
        <is>
          <t>Other demand: Current OCGT diesel demand</t>
        </is>
      </c>
      <c r="E314" s="3" t="inlineStr">
        <is>
          <t>Engine dependency is in Python; Excel links expose the recorded run.</t>
        </is>
      </c>
    </row>
    <row r="315" ht="42" customHeight="1">
      <c r="A315" s="3" t="inlineStr">
        <is>
          <t>N311</t>
        </is>
      </c>
      <c r="B315" s="3" t="inlineStr">
        <is>
          <t>Model run</t>
        </is>
      </c>
      <c r="C315" s="3" t="inlineStr">
        <is>
          <t>U41</t>
        </is>
      </c>
      <c r="D315" s="3" t="inlineStr">
        <is>
          <t>Other demand: Current engine passenger departures</t>
        </is>
      </c>
      <c r="E315" s="3" t="inlineStr">
        <is>
          <t>https://github.com/Africa-International-Advisors/liquid_fuels_model/blob/8c69f8333192483f19cd80911cb90fcd0943eb6b/assumptions/2026/aviation.yaml</t>
        </is>
      </c>
    </row>
    <row r="316" ht="42" customHeight="1">
      <c r="A316" s="3" t="inlineStr">
        <is>
          <t>N312</t>
        </is>
      </c>
      <c r="B316" s="3" t="inlineStr">
        <is>
          <t>Model run</t>
        </is>
      </c>
      <c r="C316" s="3" t="inlineStr">
        <is>
          <t>V41</t>
        </is>
      </c>
      <c r="D316" s="3" t="inlineStr">
        <is>
          <t>Other demand: Current engine passenger departures</t>
        </is>
      </c>
      <c r="E316" s="3" t="inlineStr">
        <is>
          <t>Engine dependency is in Python; Excel links expose the recorded run.</t>
        </is>
      </c>
    </row>
    <row r="317" ht="42" customHeight="1">
      <c r="A317" s="3" t="inlineStr">
        <is>
          <t>N313</t>
        </is>
      </c>
      <c r="B317" s="3" t="inlineStr">
        <is>
          <t>Model run</t>
        </is>
      </c>
      <c r="C317" s="3" t="inlineStr">
        <is>
          <t>U42</t>
        </is>
      </c>
      <c r="D317" s="3" t="inlineStr">
        <is>
          <t>Other demand: Current jet demand</t>
        </is>
      </c>
      <c r="E317" s="3" t="inlineStr">
        <is>
          <t>https://github.com/Africa-International-Advisors/liquid_fuels_model/blob/8c69f8333192483f19cd80911cb90fcd0943eb6b/src/lfm/model/demand/aviation.py</t>
        </is>
      </c>
    </row>
    <row r="318" ht="42" customHeight="1">
      <c r="A318" s="3" t="inlineStr">
        <is>
          <t>N314</t>
        </is>
      </c>
      <c r="B318" s="3" t="inlineStr">
        <is>
          <t>Model run</t>
        </is>
      </c>
      <c r="C318" s="3" t="inlineStr">
        <is>
          <t>V42</t>
        </is>
      </c>
      <c r="D318" s="3" t="inlineStr">
        <is>
          <t>Other demand: Current jet demand</t>
        </is>
      </c>
      <c r="E318" s="3" t="inlineStr">
        <is>
          <t>Engine dependency is in Python; Excel links expose the recorded run.</t>
        </is>
      </c>
    </row>
    <row r="319" ht="42" customHeight="1">
      <c r="A319" s="3" t="inlineStr">
        <is>
          <t>N315</t>
        </is>
      </c>
      <c r="B319" s="3" t="inlineStr">
        <is>
          <t>Model run</t>
        </is>
      </c>
      <c r="C319" s="3" t="inlineStr">
        <is>
          <t>E43</t>
        </is>
      </c>
      <c r="D319" s="3" t="inlineStr">
        <is>
          <t>Other demand: Legacy jet regression intercept</t>
        </is>
      </c>
      <c r="E319" s="3" t="inlineStr">
        <is>
          <t>Jet = intercept + GDP/capita coefficient × GDP/capita + passenger coefficient × departures.</t>
        </is>
      </c>
    </row>
    <row r="320" ht="42" customHeight="1">
      <c r="A320" s="3" t="inlineStr">
        <is>
          <t>N316</t>
        </is>
      </c>
      <c r="B320" s="3" t="inlineStr">
        <is>
          <t>Model run</t>
        </is>
      </c>
      <c r="C320" s="3" t="inlineStr">
        <is>
          <t>U43</t>
        </is>
      </c>
      <c r="D320" s="3" t="inlineStr">
        <is>
          <t>Other demand: Legacy jet regression intercept</t>
        </is>
      </c>
      <c r="E320" s="3" t="inlineStr">
        <is>
          <t>https://github.com/Africa-International-Advisors/liquid_fuels_model/blob/8c69f8333192483f19cd80911cb90fcd0943eb6b/assumptions/2026/aviation.yaml</t>
        </is>
      </c>
    </row>
    <row r="321" ht="42" customHeight="1">
      <c r="A321" s="3" t="inlineStr">
        <is>
          <t>N317</t>
        </is>
      </c>
      <c r="B321" s="3" t="inlineStr">
        <is>
          <t>Model run</t>
        </is>
      </c>
      <c r="C321" s="3" t="inlineStr">
        <is>
          <t>V43</t>
        </is>
      </c>
      <c r="D321" s="3" t="inlineStr">
        <is>
          <t>Other demand: Legacy jet regression intercept</t>
        </is>
      </c>
      <c r="E321" s="3" t="inlineStr">
        <is>
          <t>Engine dependency is in Python; Excel links expose the recorded run.</t>
        </is>
      </c>
    </row>
    <row r="322" ht="42" customHeight="1">
      <c r="A322" s="3" t="inlineStr">
        <is>
          <t>N318</t>
        </is>
      </c>
      <c r="B322" s="3" t="inlineStr">
        <is>
          <t>Model run</t>
        </is>
      </c>
      <c r="C322" s="3" t="inlineStr">
        <is>
          <t>U44</t>
        </is>
      </c>
      <c r="D322" s="3" t="inlineStr">
        <is>
          <t>Other demand: GDP/capita coefficient</t>
        </is>
      </c>
      <c r="E322" s="3" t="inlineStr">
        <is>
          <t>https://github.com/Africa-International-Advisors/liquid_fuels_model/blob/8c69f8333192483f19cd80911cb90fcd0943eb6b/assumptions/2026/aviation.yaml</t>
        </is>
      </c>
    </row>
    <row r="323" ht="42" customHeight="1">
      <c r="A323" s="3" t="inlineStr">
        <is>
          <t>N319</t>
        </is>
      </c>
      <c r="B323" s="3" t="inlineStr">
        <is>
          <t>Model run</t>
        </is>
      </c>
      <c r="C323" s="3" t="inlineStr">
        <is>
          <t>V44</t>
        </is>
      </c>
      <c r="D323" s="3" t="inlineStr">
        <is>
          <t>Other demand: GDP/capita coefficient</t>
        </is>
      </c>
      <c r="E323" s="3" t="inlineStr">
        <is>
          <t>Engine dependency is in Python; Excel links expose the recorded run.</t>
        </is>
      </c>
    </row>
    <row r="324" ht="42" customHeight="1">
      <c r="A324" s="3" t="inlineStr">
        <is>
          <t>N320</t>
        </is>
      </c>
      <c r="B324" s="3" t="inlineStr">
        <is>
          <t>Model run</t>
        </is>
      </c>
      <c r="C324" s="3" t="inlineStr">
        <is>
          <t>U45</t>
        </is>
      </c>
      <c r="D324" s="3" t="inlineStr">
        <is>
          <t>Other demand: Passenger coefficient</t>
        </is>
      </c>
      <c r="E324" s="3" t="inlineStr">
        <is>
          <t>https://github.com/Africa-International-Advisors/liquid_fuels_model/blob/8c69f8333192483f19cd80911cb90fcd0943eb6b/assumptions/2026/aviation.yaml</t>
        </is>
      </c>
    </row>
    <row r="325" ht="42" customHeight="1">
      <c r="A325" s="3" t="inlineStr">
        <is>
          <t>N321</t>
        </is>
      </c>
      <c r="B325" s="3" t="inlineStr">
        <is>
          <t>Model run</t>
        </is>
      </c>
      <c r="C325" s="3" t="inlineStr">
        <is>
          <t>V45</t>
        </is>
      </c>
      <c r="D325" s="3" t="inlineStr">
        <is>
          <t>Other demand: Passenger coefficient</t>
        </is>
      </c>
      <c r="E325" s="3" t="inlineStr">
        <is>
          <t>Engine dependency is in Python; Excel links expose the recorded run.</t>
        </is>
      </c>
    </row>
    <row r="326" ht="42" customHeight="1">
      <c r="A326" s="3" t="inlineStr">
        <is>
          <t>N322</t>
        </is>
      </c>
      <c r="B326" s="3" t="inlineStr">
        <is>
          <t>Model run</t>
        </is>
      </c>
      <c r="C326" s="3" t="inlineStr">
        <is>
          <t>U46</t>
        </is>
      </c>
      <c r="D326" s="3" t="inlineStr">
        <is>
          <t>Other demand: durban provisional port baseline</t>
        </is>
      </c>
      <c r="E326" s="3" t="inlineStr">
        <is>
          <t>https://github.com/Africa-International-Advisors/liquid_fuels_model/blob/8c69f8333192483f19cd80911cb90fcd0943eb6b/assumptions/2026/marine.yaml</t>
        </is>
      </c>
    </row>
    <row r="327" ht="42" customHeight="1">
      <c r="A327" s="3" t="inlineStr">
        <is>
          <t>N323</t>
        </is>
      </c>
      <c r="B327" s="3" t="inlineStr">
        <is>
          <t>Model run</t>
        </is>
      </c>
      <c r="C327" s="3" t="inlineStr">
        <is>
          <t>V46</t>
        </is>
      </c>
      <c r="D327" s="3" t="inlineStr">
        <is>
          <t>Other demand: durban provisional port baseline</t>
        </is>
      </c>
      <c r="E327" s="3" t="inlineStr">
        <is>
          <t>Engine dependency is in Python; Excel links expose the recorded run.</t>
        </is>
      </c>
    </row>
    <row r="328" ht="42" customHeight="1">
      <c r="A328" s="3" t="inlineStr">
        <is>
          <t>N324</t>
        </is>
      </c>
      <c r="B328" s="3" t="inlineStr">
        <is>
          <t>Model run</t>
        </is>
      </c>
      <c r="C328" s="3" t="inlineStr">
        <is>
          <t>U47</t>
        </is>
      </c>
      <c r="D328" s="3" t="inlineStr">
        <is>
          <t>Other demand: cape_town provisional port baseline</t>
        </is>
      </c>
      <c r="E328" s="3" t="inlineStr">
        <is>
          <t>https://github.com/Africa-International-Advisors/liquid_fuels_model/blob/8c69f8333192483f19cd80911cb90fcd0943eb6b/assumptions/2026/marine.yaml</t>
        </is>
      </c>
    </row>
    <row r="329" ht="42" customHeight="1">
      <c r="A329" s="3" t="inlineStr">
        <is>
          <t>N325</t>
        </is>
      </c>
      <c r="B329" s="3" t="inlineStr">
        <is>
          <t>Model run</t>
        </is>
      </c>
      <c r="C329" s="3" t="inlineStr">
        <is>
          <t>V47</t>
        </is>
      </c>
      <c r="D329" s="3" t="inlineStr">
        <is>
          <t>Other demand: cape_town provisional port baseline</t>
        </is>
      </c>
      <c r="E329" s="3" t="inlineStr">
        <is>
          <t>Engine dependency is in Python; Excel links expose the recorded run.</t>
        </is>
      </c>
    </row>
    <row r="330" ht="42" customHeight="1">
      <c r="A330" s="3" t="inlineStr">
        <is>
          <t>N326</t>
        </is>
      </c>
      <c r="B330" s="3" t="inlineStr">
        <is>
          <t>Model run</t>
        </is>
      </c>
      <c r="C330" s="3" t="inlineStr">
        <is>
          <t>U48</t>
        </is>
      </c>
      <c r="D330" s="3" t="inlineStr">
        <is>
          <t>Other demand: saldanha provisional port baseline</t>
        </is>
      </c>
      <c r="E330" s="3" t="inlineStr">
        <is>
          <t>https://github.com/Africa-International-Advisors/liquid_fuels_model/blob/8c69f8333192483f19cd80911cb90fcd0943eb6b/assumptions/2026/marine.yaml</t>
        </is>
      </c>
    </row>
    <row r="331" ht="42" customHeight="1">
      <c r="A331" s="3" t="inlineStr">
        <is>
          <t>N327</t>
        </is>
      </c>
      <c r="B331" s="3" t="inlineStr">
        <is>
          <t>Model run</t>
        </is>
      </c>
      <c r="C331" s="3" t="inlineStr">
        <is>
          <t>V48</t>
        </is>
      </c>
      <c r="D331" s="3" t="inlineStr">
        <is>
          <t>Other demand: saldanha provisional port baseline</t>
        </is>
      </c>
      <c r="E331" s="3" t="inlineStr">
        <is>
          <t>Engine dependency is in Python; Excel links expose the recorded run.</t>
        </is>
      </c>
    </row>
    <row r="332" ht="42" customHeight="1">
      <c r="A332" s="3" t="inlineStr">
        <is>
          <t>N328</t>
        </is>
      </c>
      <c r="B332" s="3" t="inlineStr">
        <is>
          <t>Model run</t>
        </is>
      </c>
      <c r="C332" s="3" t="inlineStr">
        <is>
          <t>U49</t>
        </is>
      </c>
      <c r="D332" s="3" t="inlineStr">
        <is>
          <t>Other demand: Marine GDP/capita elasticity</t>
        </is>
      </c>
      <c r="E332" s="3" t="inlineStr">
        <is>
          <t>https://github.com/Africa-International-Advisors/liquid_fuels_model/blob/8c69f8333192483f19cd80911cb90fcd0943eb6b/assumptions/2026/marine.yaml</t>
        </is>
      </c>
    </row>
    <row r="333" ht="42" customHeight="1">
      <c r="A333" s="3" t="inlineStr">
        <is>
          <t>N329</t>
        </is>
      </c>
      <c r="B333" s="3" t="inlineStr">
        <is>
          <t>Model run</t>
        </is>
      </c>
      <c r="C333" s="3" t="inlineStr">
        <is>
          <t>V49</t>
        </is>
      </c>
      <c r="D333" s="3" t="inlineStr">
        <is>
          <t>Other demand: Marine GDP/capita elasticity</t>
        </is>
      </c>
      <c r="E333" s="3" t="inlineStr">
        <is>
          <t>Engine dependency is in Python; Excel links expose the recorded run.</t>
        </is>
      </c>
    </row>
    <row r="334" ht="42" customHeight="1">
      <c r="A334" s="3" t="inlineStr">
        <is>
          <t>N330</t>
        </is>
      </c>
      <c r="B334" s="3" t="inlineStr">
        <is>
          <t>Model run</t>
        </is>
      </c>
      <c r="C334" s="3" t="inlineStr">
        <is>
          <t>U50</t>
        </is>
      </c>
      <c r="D334" s="3" t="inlineStr">
        <is>
          <t>Other demand: Marine fuel-oil share</t>
        </is>
      </c>
      <c r="E334" s="3" t="inlineStr">
        <is>
          <t>https://github.com/Africa-International-Advisors/liquid_fuels_model/blob/8c69f8333192483f19cd80911cb90fcd0943eb6b/assumptions/2026/marine.yaml</t>
        </is>
      </c>
    </row>
    <row r="335" ht="42" customHeight="1">
      <c r="A335" s="3" t="inlineStr">
        <is>
          <t>N331</t>
        </is>
      </c>
      <c r="B335" s="3" t="inlineStr">
        <is>
          <t>Model run</t>
        </is>
      </c>
      <c r="C335" s="3" t="inlineStr">
        <is>
          <t>V50</t>
        </is>
      </c>
      <c r="D335" s="3" t="inlineStr">
        <is>
          <t>Other demand: Marine fuel-oil share</t>
        </is>
      </c>
      <c r="E335" s="3" t="inlineStr">
        <is>
          <t>Engine dependency is in Python; Excel links expose the recorded run.</t>
        </is>
      </c>
    </row>
    <row r="336" ht="42" customHeight="1">
      <c r="A336" s="3" t="inlineStr">
        <is>
          <t>N332</t>
        </is>
      </c>
      <c r="B336" s="3" t="inlineStr">
        <is>
          <t>Model run</t>
        </is>
      </c>
      <c r="C336" s="3" t="inlineStr">
        <is>
          <t>U51</t>
        </is>
      </c>
      <c r="D336" s="3" t="inlineStr">
        <is>
          <t>Other demand: Marine diesel share</t>
        </is>
      </c>
      <c r="E336" s="3" t="inlineStr">
        <is>
          <t>https://github.com/Africa-International-Advisors/liquid_fuels_model/blob/8c69f8333192483f19cd80911cb90fcd0943eb6b/assumptions/2026/marine.yaml</t>
        </is>
      </c>
    </row>
    <row r="337" ht="42" customHeight="1">
      <c r="A337" s="3" t="inlineStr">
        <is>
          <t>N333</t>
        </is>
      </c>
      <c r="B337" s="3" t="inlineStr">
        <is>
          <t>Model run</t>
        </is>
      </c>
      <c r="C337" s="3" t="inlineStr">
        <is>
          <t>V51</t>
        </is>
      </c>
      <c r="D337" s="3" t="inlineStr">
        <is>
          <t>Other demand: Marine diesel share</t>
        </is>
      </c>
      <c r="E337" s="3" t="inlineStr">
        <is>
          <t>Engine dependency is in Python; Excel links expose the recorded run.</t>
        </is>
      </c>
    </row>
    <row r="338" ht="42" customHeight="1">
      <c r="A338" s="3" t="inlineStr">
        <is>
          <t>N334</t>
        </is>
      </c>
      <c r="B338" s="3" t="inlineStr">
        <is>
          <t>Model run</t>
        </is>
      </c>
      <c r="C338" s="3" t="inlineStr">
        <is>
          <t>U52</t>
        </is>
      </c>
      <c r="D338" s="3" t="inlineStr">
        <is>
          <t>Other demand: Marine diesel demand</t>
        </is>
      </c>
      <c r="E338" s="3" t="inlineStr">
        <is>
          <t>https://github.com/Africa-International-Advisors/liquid_fuels_model/blob/8c69f8333192483f19cd80911cb90fcd0943eb6b/src/lfm/model/demand/marine.py</t>
        </is>
      </c>
    </row>
    <row r="339" ht="42" customHeight="1">
      <c r="A339" s="3" t="inlineStr">
        <is>
          <t>N335</t>
        </is>
      </c>
      <c r="B339" s="3" t="inlineStr">
        <is>
          <t>Model run</t>
        </is>
      </c>
      <c r="C339" s="3" t="inlineStr">
        <is>
          <t>V52</t>
        </is>
      </c>
      <c r="D339" s="3" t="inlineStr">
        <is>
          <t>Other demand: Marine diesel demand</t>
        </is>
      </c>
      <c r="E339" s="3" t="inlineStr">
        <is>
          <t>Engine dependency is in Python; Excel links expose the recorded run.</t>
        </is>
      </c>
    </row>
    <row r="340" ht="42" customHeight="1">
      <c r="A340" s="3" t="inlineStr">
        <is>
          <t>N336</t>
        </is>
      </c>
      <c r="B340" s="3" t="inlineStr">
        <is>
          <t>Model run</t>
        </is>
      </c>
      <c r="C340" s="3" t="inlineStr">
        <is>
          <t>U53</t>
        </is>
      </c>
      <c r="D340" s="3" t="inlineStr">
        <is>
          <t>Other demand: Marine fuel-oil demand</t>
        </is>
      </c>
      <c r="E340" s="3" t="inlineStr">
        <is>
          <t>https://github.com/Africa-International-Advisors/liquid_fuels_model/blob/8c69f8333192483f19cd80911cb90fcd0943eb6b/src/lfm/model/demand/marine.py</t>
        </is>
      </c>
    </row>
    <row r="341" ht="42" customHeight="1">
      <c r="A341" s="3" t="inlineStr">
        <is>
          <t>N337</t>
        </is>
      </c>
      <c r="B341" s="3" t="inlineStr">
        <is>
          <t>Model run</t>
        </is>
      </c>
      <c r="C341" s="3" t="inlineStr">
        <is>
          <t>V53</t>
        </is>
      </c>
      <c r="D341" s="3" t="inlineStr">
        <is>
          <t>Other demand: Marine fuel-oil demand</t>
        </is>
      </c>
      <c r="E341" s="3" t="inlineStr">
        <is>
          <t>Engine dependency is in Python; Excel links expose the recorded run.</t>
        </is>
      </c>
    </row>
    <row r="342" ht="42" customHeight="1">
      <c r="A342" s="3" t="inlineStr">
        <is>
          <t>N338</t>
        </is>
      </c>
      <c r="B342" s="3" t="inlineStr">
        <is>
          <t>Model run</t>
        </is>
      </c>
      <c r="C342" s="3" t="inlineStr">
        <is>
          <t>E61</t>
        </is>
      </c>
      <c r="D342" s="3" t="inlineStr">
        <is>
          <t>Run provenance</t>
        </is>
      </c>
      <c r="E342" s="3" t="inlineStr">
        <is>
          <t>2026-10-07T10:48:46.852505+00:00; 8c69f8333192483f19cd80911cb90fcd0943eb6b; vintage 2026; high_demand. Input hashes: workshop_data.json. Engine inputs resolve before model calculation.</t>
        </is>
      </c>
    </row>
    <row r="343" ht="42" customHeight="1">
      <c r="A343" s="3" t="inlineStr">
        <is>
          <t>N339</t>
        </is>
      </c>
      <c r="B343" s="3" t="inlineStr">
        <is>
          <t>Model run</t>
        </is>
      </c>
      <c r="C343" s="3" t="inlineStr">
        <is>
          <t>E64</t>
        </is>
      </c>
      <c r="D343" s="3" t="inlineStr">
        <is>
          <t>Input snapshot manifest</t>
        </is>
      </c>
      <c r="E343" s="3" t="inlineStr">
        <is>
          <t>Paths and hashes identify the captured input files; source/assumption changes require rerun.</t>
        </is>
      </c>
    </row>
    <row r="344" ht="42" customHeight="1">
      <c r="A344" s="3" t="inlineStr">
        <is>
          <t>N340</t>
        </is>
      </c>
      <c r="B344" s="3" t="inlineStr">
        <is>
          <t>Model run</t>
        </is>
      </c>
      <c r="C344" s="3" t="inlineStr">
        <is>
          <t>A71</t>
        </is>
      </c>
      <c r="D344" s="3" t="inlineStr">
        <is>
          <t>assumptions/2026/infrastructure/storage_transnet_pipelines_depots.csv</t>
        </is>
      </c>
      <c r="E344" s="3" t="inlineStr">
        <is>
          <t>assumptions/2026/infrastructure/storage_transnet_pipelines_depots.csv</t>
        </is>
      </c>
    </row>
    <row r="345" ht="42" customHeight="1">
      <c r="A345" s="3" t="inlineStr">
        <is>
          <t>N341</t>
        </is>
      </c>
      <c r="B345" s="3" t="inlineStr">
        <is>
          <t>Model run</t>
        </is>
      </c>
      <c r="C345" s="3" t="inlineStr">
        <is>
          <t>A72</t>
        </is>
      </c>
      <c r="D345" s="3" t="inlineStr">
        <is>
          <t>assumptions/2026/infrastructure/storage_transnet_pipelines_depots.sources.yaml</t>
        </is>
      </c>
      <c r="E345" s="3" t="inlineStr">
        <is>
          <t>assumptions/2026/infrastructure/storage_transnet_pipelines_depots.sources.yaml</t>
        </is>
      </c>
    </row>
    <row r="346" ht="42" customHeight="1">
      <c r="A346" s="3" t="inlineStr">
        <is>
          <t>N342</t>
        </is>
      </c>
      <c r="B346" s="3" t="inlineStr">
        <is>
          <t>Model run</t>
        </is>
      </c>
      <c r="C346" s="3" t="inlineStr">
        <is>
          <t>A75</t>
        </is>
      </c>
      <c r="D346" s="3" t="inlineStr">
        <is>
          <t>assumptions/2026/reference/fleet_fuel_split_2023.csv</t>
        </is>
      </c>
      <c r="E346" s="3" t="inlineStr">
        <is>
          <t>assumptions/2026/reference/fleet_fuel_split_2023.csv</t>
        </is>
      </c>
    </row>
    <row r="347" ht="42" customHeight="1">
      <c r="A347" s="3" t="inlineStr">
        <is>
          <t>N343</t>
        </is>
      </c>
      <c r="B347" s="3" t="inlineStr">
        <is>
          <t>Model run</t>
        </is>
      </c>
      <c r="C347" s="3" t="inlineStr">
        <is>
          <t>A76</t>
        </is>
      </c>
      <c r="D347" s="3" t="inlineStr">
        <is>
          <t>assumptions/2026/reference/fleet_fuel_split_2023.sources.yaml</t>
        </is>
      </c>
      <c r="E347" s="3" t="inlineStr">
        <is>
          <t>assumptions/2026/reference/fleet_fuel_split_2023.sources.yaml</t>
        </is>
      </c>
    </row>
    <row r="348" ht="42" customHeight="1">
      <c r="A348" s="3" t="inlineStr">
        <is>
          <t>N344</t>
        </is>
      </c>
      <c r="B348" s="3" t="inlineStr">
        <is>
          <t>Model run</t>
        </is>
      </c>
      <c r="C348" s="3" t="inlineStr">
        <is>
          <t>A77</t>
        </is>
      </c>
      <c r="D348" s="3" t="inlineStr">
        <is>
          <t>assumptions/2026/reference/vehicle_parameters_stone2018.csv</t>
        </is>
      </c>
      <c r="E348" s="3" t="inlineStr">
        <is>
          <t>assumptions/2026/reference/vehicle_parameters_stone2018.csv</t>
        </is>
      </c>
    </row>
    <row r="349" ht="42" customHeight="1">
      <c r="A349" s="3" t="inlineStr">
        <is>
          <t>N345</t>
        </is>
      </c>
      <c r="B349" s="3" t="inlineStr">
        <is>
          <t>Model run</t>
        </is>
      </c>
      <c r="C349" s="3" t="inlineStr">
        <is>
          <t>A78</t>
        </is>
      </c>
      <c r="D349" s="3" t="inlineStr">
        <is>
          <t>assumptions/2026/reference/vehicle_parameters_stone2018.sources.yaml</t>
        </is>
      </c>
      <c r="E349" s="3" t="inlineStr">
        <is>
          <t>assumptions/2026/reference/vehicle_parameters_stone2018.sources.yaml</t>
        </is>
      </c>
    </row>
    <row r="350" ht="42" customHeight="1">
      <c r="A350" s="3" t="inlineStr">
        <is>
          <t>N346</t>
        </is>
      </c>
      <c r="B350" s="3" t="inlineStr">
        <is>
          <t>Model run</t>
        </is>
      </c>
      <c r="C350" s="3" t="inlineStr">
        <is>
          <t>A79</t>
        </is>
      </c>
      <c r="D350" s="3" t="inlineStr">
        <is>
          <t>assumptions/2026/reference/vehicle_population_by_fuel_dot2023.csv</t>
        </is>
      </c>
      <c r="E350" s="3" t="inlineStr">
        <is>
          <t>assumptions/2026/reference/vehicle_population_by_fuel_dot2023.csv</t>
        </is>
      </c>
    </row>
    <row r="351" ht="42" customHeight="1">
      <c r="A351" s="3" t="inlineStr">
        <is>
          <t>N347</t>
        </is>
      </c>
      <c r="B351" s="3" t="inlineStr">
        <is>
          <t>Model run</t>
        </is>
      </c>
      <c r="C351" s="3" t="inlineStr">
        <is>
          <t>A80</t>
        </is>
      </c>
      <c r="D351" s="3" t="inlineStr">
        <is>
          <t>assumptions/2026/reference/vehicle_population_by_fuel_dot2023.sources.yaml</t>
        </is>
      </c>
      <c r="E351" s="3" t="inlineStr">
        <is>
          <t>assumptions/2026/reference/vehicle_population_by_fuel_dot2023.sources.yaml</t>
        </is>
      </c>
    </row>
    <row r="352" ht="42" customHeight="1">
      <c r="A352" s="3" t="inlineStr">
        <is>
          <t>N348</t>
        </is>
      </c>
      <c r="B352" s="3" t="inlineStr">
        <is>
          <t>Model run</t>
        </is>
      </c>
      <c r="C352" s="3" t="inlineStr">
        <is>
          <t>A87</t>
        </is>
      </c>
      <c r="D352" s="3" t="inlineStr">
        <is>
          <t>assumptions/2026/timeseries/air_traffic_acsa_annual.csv</t>
        </is>
      </c>
      <c r="E352" s="3" t="inlineStr">
        <is>
          <t>assumptions/2026/timeseries/air_traffic_acsa_annual.csv</t>
        </is>
      </c>
    </row>
    <row r="353" ht="42" customHeight="1">
      <c r="A353" s="3" t="inlineStr">
        <is>
          <t>N349</t>
        </is>
      </c>
      <c r="B353" s="3" t="inlineStr">
        <is>
          <t>Model run</t>
        </is>
      </c>
      <c r="C353" s="3" t="inlineStr">
        <is>
          <t>A89</t>
        </is>
      </c>
      <c r="D353" s="3" t="inlineStr">
        <is>
          <t>assumptions/2026/timeseries/efficiency_improvement_diesel.csv</t>
        </is>
      </c>
      <c r="E353" s="3" t="inlineStr">
        <is>
          <t>assumptions/2026/timeseries/efficiency_improvement_diesel.csv</t>
        </is>
      </c>
    </row>
    <row r="354" ht="42" customHeight="1">
      <c r="A354" s="3" t="inlineStr">
        <is>
          <t>N350</t>
        </is>
      </c>
      <c r="B354" s="3" t="inlineStr">
        <is>
          <t>Model run</t>
        </is>
      </c>
      <c r="C354" s="3" t="inlineStr">
        <is>
          <t>A90</t>
        </is>
      </c>
      <c r="D354" s="3" t="inlineStr">
        <is>
          <t>assumptions/2026/timeseries/efficiency_improvement_gasoline.csv</t>
        </is>
      </c>
      <c r="E354" s="3" t="inlineStr">
        <is>
          <t>assumptions/2026/timeseries/efficiency_improvement_gasoline.csv</t>
        </is>
      </c>
    </row>
    <row r="355" ht="42" customHeight="1">
      <c r="A355" s="3" t="inlineStr">
        <is>
          <t>N351</t>
        </is>
      </c>
      <c r="B355" s="3" t="inlineStr">
        <is>
          <t>Model run</t>
        </is>
      </c>
      <c r="C355" s="3" t="inlineStr">
        <is>
          <t>A91</t>
        </is>
      </c>
      <c r="D355" s="3" t="inlineStr">
        <is>
          <t>assumptions/2026/timeseries/energy_balance_department.csv</t>
        </is>
      </c>
      <c r="E355" s="3" t="inlineStr">
        <is>
          <t>assumptions/2026/timeseries/energy_balance_department.csv</t>
        </is>
      </c>
    </row>
    <row r="356" ht="42" customHeight="1">
      <c r="A356" s="3" t="inlineStr">
        <is>
          <t>N352</t>
        </is>
      </c>
      <c r="B356" s="3" t="inlineStr">
        <is>
          <t>Model run</t>
        </is>
      </c>
      <c r="C356" s="3" t="inlineStr">
        <is>
          <t>A92</t>
        </is>
      </c>
      <c r="D356" s="3" t="inlineStr">
        <is>
          <t>assumptions/2026/timeseries/energy_department.sources.yaml</t>
        </is>
      </c>
      <c r="E356" s="3" t="inlineStr">
        <is>
          <t>assumptions/2026/timeseries/energy_department.sources.yaml</t>
        </is>
      </c>
    </row>
    <row r="357" ht="42" customHeight="1">
      <c r="A357" s="3" t="inlineStr">
        <is>
          <t>N353</t>
        </is>
      </c>
      <c r="B357" s="3" t="inlineStr">
        <is>
          <t>Model run</t>
        </is>
      </c>
      <c r="C357" s="3" t="inlineStr">
        <is>
          <t>A93</t>
        </is>
      </c>
      <c r="D357" s="3" t="inlineStr">
        <is>
          <t>assumptions/2026/timeseries/freight_payload_statssa_review.csv</t>
        </is>
      </c>
      <c r="E357" s="3" t="inlineStr">
        <is>
          <t>assumptions/2026/timeseries/freight_payload_statssa_review.csv</t>
        </is>
      </c>
    </row>
    <row r="358" ht="42" customHeight="1">
      <c r="A358" s="3" t="inlineStr">
        <is>
          <t>N354</t>
        </is>
      </c>
      <c r="B358" s="3" t="inlineStr">
        <is>
          <t>Model run</t>
        </is>
      </c>
      <c r="C358" s="3" t="inlineStr">
        <is>
          <t>A94</t>
        </is>
      </c>
      <c r="D358" s="3" t="inlineStr">
        <is>
          <t>assumptions/2026/timeseries/fuel_lever_design_2026_10_07.csv</t>
        </is>
      </c>
      <c r="E358" s="3" t="inlineStr">
        <is>
          <t>assumptions/2026/timeseries/fuel_lever_design_2026_10_07.csv</t>
        </is>
      </c>
    </row>
    <row r="359" ht="42" customHeight="1">
      <c r="A359" s="3" t="inlineStr">
        <is>
          <t>N355</t>
        </is>
      </c>
      <c r="B359" s="3" t="inlineStr">
        <is>
          <t>Model run</t>
        </is>
      </c>
      <c r="C359" s="3" t="inlineStr">
        <is>
          <t>A95</t>
        </is>
      </c>
      <c r="D359" s="3" t="inlineStr">
        <is>
          <t>assumptions/2026/timeseries/fuel_prices_department.csv</t>
        </is>
      </c>
      <c r="E359" s="3" t="inlineStr">
        <is>
          <t>assumptions/2026/timeseries/fuel_prices_department.csv</t>
        </is>
      </c>
    </row>
    <row r="360" ht="42" customHeight="1">
      <c r="A360" s="3" t="inlineStr">
        <is>
          <t>N356</t>
        </is>
      </c>
      <c r="B360" s="3" t="inlineStr">
        <is>
          <t>Model run</t>
        </is>
      </c>
      <c r="C360" s="3" t="inlineStr">
        <is>
          <t>A96</t>
        </is>
      </c>
      <c r="D360" s="3" t="inlineStr">
        <is>
          <t>assumptions/2026/timeseries/fuel_prices_department_annual.csv</t>
        </is>
      </c>
      <c r="E360" s="3" t="inlineStr">
        <is>
          <t>assumptions/2026/timeseries/fuel_prices_department_annual.csv</t>
        </is>
      </c>
    </row>
    <row r="361" ht="42" customHeight="1">
      <c r="A361" s="3" t="inlineStr">
        <is>
          <t>N357</t>
        </is>
      </c>
      <c r="B361" s="3" t="inlineStr">
        <is>
          <t>Model run</t>
        </is>
      </c>
      <c r="C361" s="3" t="inlineStr">
        <is>
          <t>A97</t>
        </is>
      </c>
      <c r="D361" s="3" t="inlineStr">
        <is>
          <t>assumptions/2026/timeseries/fuel_sales_department.csv</t>
        </is>
      </c>
      <c r="E361" s="3" t="inlineStr">
        <is>
          <t>assumptions/2026/timeseries/fuel_sales_department.csv</t>
        </is>
      </c>
    </row>
    <row r="362" ht="42" customHeight="1">
      <c r="A362" s="3" t="inlineStr">
        <is>
          <t>N358</t>
        </is>
      </c>
      <c r="B362" s="3" t="inlineStr">
        <is>
          <t>Model run</t>
        </is>
      </c>
      <c r="C362" s="3" t="inlineStr">
        <is>
          <t>A98</t>
        </is>
      </c>
      <c r="D362" s="3" t="inlineStr">
        <is>
          <t>assumptions/2026/timeseries/fuel_sales_department_by_province.csv</t>
        </is>
      </c>
      <c r="E362" s="3" t="inlineStr">
        <is>
          <t>assumptions/2026/timeseries/fuel_sales_department_by_province.csv</t>
        </is>
      </c>
    </row>
    <row r="363" ht="42" customHeight="1">
      <c r="A363" s="3" t="inlineStr">
        <is>
          <t>N359</t>
        </is>
      </c>
      <c r="B363" s="3" t="inlineStr">
        <is>
          <t>Model run</t>
        </is>
      </c>
      <c r="C363" s="3" t="inlineStr">
        <is>
          <t>A99</t>
        </is>
      </c>
      <c r="D363" s="3" t="inlineStr">
        <is>
          <t>assumptions/2026/timeseries/fuel_sales_department_by_province_quarterly.csv</t>
        </is>
      </c>
      <c r="E363" s="3" t="inlineStr">
        <is>
          <t>assumptions/2026/timeseries/fuel_sales_department_by_province_quarterly.csv</t>
        </is>
      </c>
    </row>
    <row r="364" ht="42" customHeight="1">
      <c r="A364" s="3" t="inlineStr">
        <is>
          <t>N360</t>
        </is>
      </c>
      <c r="B364" s="3" t="inlineStr">
        <is>
          <t>Model run</t>
        </is>
      </c>
      <c r="C364" s="3" t="inlineStr">
        <is>
          <t>A100</t>
        </is>
      </c>
      <c r="D364" s="3" t="inlineStr">
        <is>
          <t>assumptions/2026/timeseries/fuel_sales_department_quarterly.csv</t>
        </is>
      </c>
      <c r="E364" s="3" t="inlineStr">
        <is>
          <t>assumptions/2026/timeseries/fuel_sales_department_quarterly.csv</t>
        </is>
      </c>
    </row>
    <row r="365" ht="42" customHeight="1">
      <c r="A365" s="3" t="inlineStr">
        <is>
          <t>N361</t>
        </is>
      </c>
      <c r="B365" s="3" t="inlineStr">
        <is>
          <t>Model run</t>
        </is>
      </c>
      <c r="C365" s="3" t="inlineStr">
        <is>
          <t>A102</t>
        </is>
      </c>
      <c r="D365" s="3" t="inlineStr">
        <is>
          <t>assumptions/2026/timeseries/fuel_sales_fiasa.sources.yaml</t>
        </is>
      </c>
      <c r="E365" s="3" t="inlineStr">
        <is>
          <t>assumptions/2026/timeseries/fuel_sales_fiasa.sources.yaml</t>
        </is>
      </c>
    </row>
    <row r="366" ht="42" customHeight="1">
      <c r="A366" s="3" t="inlineStr">
        <is>
          <t>N362</t>
        </is>
      </c>
      <c r="B366" s="3" t="inlineStr">
        <is>
          <t>Model run</t>
        </is>
      </c>
      <c r="C366" s="3" t="inlineStr">
        <is>
          <t>A103</t>
        </is>
      </c>
      <c r="D366" s="3" t="inlineStr">
        <is>
          <t>assumptions/2026/timeseries/fuel_trade_department_review.csv</t>
        </is>
      </c>
      <c r="E366" s="3" t="inlineStr">
        <is>
          <t>assumptions/2026/timeseries/fuel_trade_department_review.csv</t>
        </is>
      </c>
    </row>
    <row r="367" ht="42" customHeight="1">
      <c r="A367" s="3" t="inlineStr">
        <is>
          <t>N363</t>
        </is>
      </c>
      <c r="B367" s="3" t="inlineStr">
        <is>
          <t>Model run</t>
        </is>
      </c>
      <c r="C367" s="3" t="inlineStr">
        <is>
          <t>A107</t>
        </is>
      </c>
      <c r="D367" s="3" t="inlineStr">
        <is>
          <t>assumptions/2026/timeseries/gdp_growth_treasury.csv</t>
        </is>
      </c>
      <c r="E367" s="3" t="inlineStr">
        <is>
          <t>assumptions/2026/timeseries/gdp_growth_treasury.csv</t>
        </is>
      </c>
    </row>
    <row r="368" ht="42" customHeight="1">
      <c r="A368" s="3" t="inlineStr">
        <is>
          <t>N364</t>
        </is>
      </c>
      <c r="B368" s="3" t="inlineStr">
        <is>
          <t>Model run</t>
        </is>
      </c>
      <c r="C368" s="3" t="inlineStr">
        <is>
          <t>A115</t>
        </is>
      </c>
      <c r="D368" s="3" t="inlineStr">
        <is>
          <t>assumptions/2026/timeseries/new_vehicle_market_naamsa.csv</t>
        </is>
      </c>
      <c r="E368" s="3" t="inlineStr">
        <is>
          <t>assumptions/2026/timeseries/new_vehicle_market_naamsa.csv</t>
        </is>
      </c>
    </row>
    <row r="369" ht="42" customHeight="1">
      <c r="A369" s="3" t="inlineStr">
        <is>
          <t>N365</t>
        </is>
      </c>
      <c r="B369" s="3" t="inlineStr">
        <is>
          <t>Model run</t>
        </is>
      </c>
      <c r="C369" s="3" t="inlineStr">
        <is>
          <t>A116</t>
        </is>
      </c>
      <c r="D369" s="3" t="inlineStr">
        <is>
          <t>assumptions/2026/timeseries/new_vehicle_registrations_natis.csv</t>
        </is>
      </c>
      <c r="E369" s="3" t="inlineStr">
        <is>
          <t>assumptions/2026/timeseries/new_vehicle_registrations_natis.csv</t>
        </is>
      </c>
    </row>
    <row r="370" ht="42" customHeight="1">
      <c r="A370" s="3" t="inlineStr">
        <is>
          <t>N366</t>
        </is>
      </c>
      <c r="B370" s="3" t="inlineStr">
        <is>
          <t>Model run</t>
        </is>
      </c>
      <c r="C370" s="3" t="inlineStr">
        <is>
          <t>A117</t>
        </is>
      </c>
      <c r="D370" s="3" t="inlineStr">
        <is>
          <t>assumptions/2026/timeseries/new_vehicle_registrations_natis_annual.csv</t>
        </is>
      </c>
      <c r="E370" s="3" t="inlineStr">
        <is>
          <t>assumptions/2026/timeseries/new_vehicle_registrations_natis_annual.csv</t>
        </is>
      </c>
    </row>
    <row r="371" ht="42" customHeight="1">
      <c r="A371" s="3" t="inlineStr">
        <is>
          <t>N367</t>
        </is>
      </c>
      <c r="B371" s="3" t="inlineStr">
        <is>
          <t>Model run</t>
        </is>
      </c>
      <c r="C371" s="3" t="inlineStr">
        <is>
          <t>A118</t>
        </is>
      </c>
      <c r="D371" s="3" t="inlineStr">
        <is>
          <t>assumptions/2026/timeseries/ocgt_generation_eskom.csv</t>
        </is>
      </c>
      <c r="E371" s="3" t="inlineStr">
        <is>
          <t>assumptions/2026/timeseries/ocgt_generation_eskom.csv</t>
        </is>
      </c>
    </row>
    <row r="372" ht="42" customHeight="1">
      <c r="A372" s="3" t="inlineStr">
        <is>
          <t>N368</t>
        </is>
      </c>
      <c r="B372" s="3" t="inlineStr">
        <is>
          <t>Model run</t>
        </is>
      </c>
      <c r="C372" s="3" t="inlineStr">
        <is>
          <t>A119</t>
        </is>
      </c>
      <c r="D372" s="3" t="inlineStr">
        <is>
          <t>assumptions/2026/timeseries/ocgt_generation_eskom.sources.yaml</t>
        </is>
      </c>
      <c r="E372" s="3" t="inlineStr">
        <is>
          <t>assumptions/2026/timeseries/ocgt_generation_eskom.sources.yaml</t>
        </is>
      </c>
    </row>
    <row r="373" ht="42" customHeight="1">
      <c r="A373" s="3" t="inlineStr">
        <is>
          <t>N369</t>
        </is>
      </c>
      <c r="B373" s="3" t="inlineStr">
        <is>
          <t>Model run</t>
        </is>
      </c>
      <c r="C373" s="3" t="inlineStr">
        <is>
          <t>A122</t>
        </is>
      </c>
      <c r="D373" s="3" t="inlineStr">
        <is>
          <t>assumptions/2026/timeseries/passenger_departures.csv</t>
        </is>
      </c>
      <c r="E373" s="3" t="inlineStr">
        <is>
          <t>assumptions/2026/timeseries/passenger_departures.csv</t>
        </is>
      </c>
    </row>
    <row r="374" ht="42" customHeight="1">
      <c r="A374" s="3" t="inlineStr">
        <is>
          <t>N370</t>
        </is>
      </c>
      <c r="B374" s="3" t="inlineStr">
        <is>
          <t>Model run</t>
        </is>
      </c>
      <c r="C374" s="3" t="inlineStr">
        <is>
          <t>A124</t>
        </is>
      </c>
      <c r="D374" s="3" t="inlineStr">
        <is>
          <t>assumptions/2026/timeseries/refinery_capacity_reported.csv</t>
        </is>
      </c>
      <c r="E374" s="3" t="inlineStr">
        <is>
          <t>assumptions/2026/timeseries/refinery_capacity_reported.csv</t>
        </is>
      </c>
    </row>
    <row r="375" ht="42" customHeight="1">
      <c r="A375" s="3" t="inlineStr">
        <is>
          <t>N371</t>
        </is>
      </c>
      <c r="B375" s="3" t="inlineStr">
        <is>
          <t>Model run</t>
        </is>
      </c>
      <c r="C375" s="3" t="inlineStr">
        <is>
          <t>A125</t>
        </is>
      </c>
      <c r="D375" s="3" t="inlineStr">
        <is>
          <t>assumptions/2026/timeseries/refinery_production.csv</t>
        </is>
      </c>
      <c r="E375" s="3" t="inlineStr">
        <is>
          <t>assumptions/2026/timeseries/refinery_production.csv</t>
        </is>
      </c>
    </row>
    <row r="376" ht="42" customHeight="1">
      <c r="A376" s="3" t="inlineStr">
        <is>
          <t>N372</t>
        </is>
      </c>
      <c r="B376" s="3" t="inlineStr">
        <is>
          <t>Model run</t>
        </is>
      </c>
      <c r="C376" s="3" t="inlineStr">
        <is>
          <t>A126</t>
        </is>
      </c>
      <c r="D376" s="3" t="inlineStr">
        <is>
          <t>assumptions/2026/timeseries/vehicle_population_natis.csv</t>
        </is>
      </c>
      <c r="E376" s="3" t="inlineStr">
        <is>
          <t>assumptions/2026/timeseries/vehicle_population_natis.csv</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M90"/>
  <sheetViews>
    <sheetView showGridLines="0" workbookViewId="0">
      <pane ySplit="4" topLeftCell="A5" activePane="bottomLeft" state="frozen"/>
      <selection activeCell="A1" sqref="A1"/>
    </sheetView>
  </sheetViews>
  <sheetFormatPr baseColWidth="8" defaultRowHeight="15"/>
  <cols>
    <col width="17.5" customWidth="1" min="1" max="1"/>
    <col width="26.25" customWidth="1" min="2" max="2"/>
    <col width="17.5" customWidth="1" min="3" max="3"/>
    <col width="8.75" customWidth="1" min="4" max="4"/>
    <col width="10" customWidth="1" min="5" max="5"/>
    <col width="10" customWidth="1" min="6" max="6"/>
    <col width="10" customWidth="1" min="7" max="7"/>
    <col width="23.1299991607666" customWidth="1" min="8" max="8"/>
    <col width="42.5" customWidth="1" min="9" max="9"/>
    <col width="38.75" customWidth="1" min="10" max="10"/>
    <col width="15.63000011444092" customWidth="1" min="11" max="11"/>
    <col width="28.75" customWidth="1" min="12" max="12"/>
    <col width="37.5" customWidth="1" min="13" max="13"/>
  </cols>
  <sheetData>
    <row r="1" ht="28" customHeight="1">
      <c r="A1" s="5" t="inlineStr">
        <is>
          <t>Demand input ranges</t>
        </is>
      </c>
      <c r="B1" s="3" t="n"/>
      <c r="C1" s="3" t="n"/>
      <c r="D1" s="3" t="n"/>
      <c r="E1" s="3" t="n"/>
      <c r="F1" s="3" t="n"/>
      <c r="G1" s="3" t="n"/>
      <c r="H1" s="3" t="n"/>
      <c r="I1" s="3" t="n"/>
      <c r="J1" s="3" t="n"/>
      <c r="K1" s="3" t="n"/>
      <c r="L1" s="3" t="n"/>
      <c r="M1" s="3" t="n"/>
    </row>
    <row r="2" ht="24" customHeight="1">
      <c r="A2" s="7" t="inlineStr">
        <is>
          <t>L/M/H orders each input; it does not order fuel demand. Existing values are proposals. Blanks require workshop decisions.</t>
        </is>
      </c>
      <c r="B2" s="3" t="n"/>
      <c r="C2" s="3" t="n"/>
      <c r="D2" s="3" t="n"/>
      <c r="E2" s="3" t="n"/>
      <c r="F2" s="3" t="n"/>
      <c r="G2" s="3" t="n"/>
      <c r="H2" s="3" t="n"/>
      <c r="I2" s="3" t="n"/>
      <c r="J2" s="3" t="n"/>
      <c r="K2" s="3" t="n"/>
      <c r="L2" s="3" t="n"/>
      <c r="M2" s="3" t="n"/>
    </row>
    <row r="3">
      <c r="A3" s="3" t="n"/>
      <c r="B3" s="3" t="n"/>
      <c r="C3" s="3" t="n"/>
      <c r="D3" s="3" t="n"/>
      <c r="E3" s="3" t="n"/>
      <c r="F3" s="3" t="n"/>
      <c r="G3" s="3" t="n"/>
      <c r="H3" s="3" t="n"/>
      <c r="I3" s="3" t="n"/>
      <c r="J3" s="3" t="n"/>
      <c r="K3" s="3" t="n"/>
      <c r="L3" s="3" t="n"/>
      <c r="M3" s="3" t="n"/>
    </row>
    <row r="4" ht="38" customHeight="1">
      <c r="A4" s="9" t="inlineStr">
        <is>
          <t>Fuel / segment</t>
        </is>
      </c>
      <c r="B4" s="9" t="inlineStr">
        <is>
          <t>Driver</t>
        </is>
      </c>
      <c r="C4" s="9" t="inlineStr">
        <is>
          <t>Unit</t>
        </is>
      </c>
      <c r="D4" s="9" t="inlineStr">
        <is>
          <t>Year</t>
        </is>
      </c>
      <c r="E4" s="9" t="inlineStr">
        <is>
          <t>Low</t>
        </is>
      </c>
      <c r="F4" s="9" t="inlineStr">
        <is>
          <t>Medium</t>
        </is>
      </c>
      <c r="G4" s="9" t="inlineStr">
        <is>
          <t>High</t>
        </is>
      </c>
      <c r="H4" s="9" t="inlineStr">
        <is>
          <t>Higher input means</t>
        </is>
      </c>
      <c r="I4" s="9" t="inlineStr">
        <is>
          <t>Basis / rationale</t>
        </is>
      </c>
      <c r="J4" s="9" t="inlineStr">
        <is>
          <t>Annual path and dependencies</t>
        </is>
      </c>
      <c r="K4" s="9" t="inlineStr">
        <is>
          <t>Accepted reference</t>
        </is>
      </c>
      <c r="L4" s="9" t="inlineStr">
        <is>
          <t>Decision / owner</t>
        </is>
      </c>
      <c r="M4" s="9" t="inlineStr">
        <is>
          <t>Source</t>
        </is>
      </c>
    </row>
    <row r="5" ht="100" customHeight="1">
      <c r="A5" s="3" t="inlineStr">
        <is>
          <t>diesel</t>
        </is>
      </c>
      <c r="B5" s="3" t="inlineStr">
        <is>
          <t>Freight activity 2024 = 100</t>
        </is>
      </c>
      <c r="C5" s="3" t="inlineStr">
        <is>
          <t>index_2024_100</t>
        </is>
      </c>
      <c r="D5" s="120" t="n">
        <v>2030</v>
      </c>
      <c r="E5" s="118" t="n">
        <v>95</v>
      </c>
      <c r="F5" s="118" t="n">
        <v>115</v>
      </c>
      <c r="G5" s="118" t="n">
        <v>135</v>
      </c>
      <c r="H5" s="3" t="inlineStr">
        <is>
          <t>More diesel</t>
        </is>
      </c>
      <c r="I5" s="3" t="inlineStr">
        <is>
          <t>2024 = 100 Observed proxy. Observed freight proxy, not fuel demand</t>
        </is>
      </c>
      <c r="J5" s="3" t="inlineStr">
        <is>
          <t>Authored flat / recovery / expansion tests. Apply before rail diversion; calibrate litres per activity unit. Annual path not agreed.</t>
        </is>
      </c>
      <c r="K5" s="10" t="n"/>
      <c r="L5" s="10" t="inlineStr">
        <is>
          <t>Proposed; Manish evidence, Nigel decision</t>
        </is>
      </c>
      <c r="M5" s="3" t="inlineStr">
        <is>
          <t>https://github.com/Africa-International-Advisors/liquid_fuels_model/blob/8c69f8333192483f19cd80911cb90fcd0943eb6b/assumptions/2026/timeseries/fuel_lever_design_2026_10_07.csv</t>
        </is>
      </c>
    </row>
    <row r="6" ht="100" customHeight="1">
      <c r="A6" s="3" t="inlineStr">
        <is>
          <t>diesel</t>
        </is>
      </c>
      <c r="B6" s="3" t="inlineStr">
        <is>
          <t>Freight activity 2024 = 100</t>
        </is>
      </c>
      <c r="C6" s="3" t="inlineStr">
        <is>
          <t>index_2024_100</t>
        </is>
      </c>
      <c r="D6" s="120" t="n">
        <v>2035</v>
      </c>
      <c r="E6" s="118" t="n">
        <v>95</v>
      </c>
      <c r="F6" s="118" t="n">
        <v>135</v>
      </c>
      <c r="G6" s="118" t="n">
        <v>175</v>
      </c>
      <c r="H6" s="3" t="inlineStr">
        <is>
          <t>More diesel</t>
        </is>
      </c>
      <c r="I6" s="3" t="inlineStr">
        <is>
          <t>2024 = 100 Observed proxy. Observed freight proxy, not fuel demand</t>
        </is>
      </c>
      <c r="J6" s="3" t="inlineStr">
        <is>
          <t>Authored flat / recovery / expansion tests. Apply before rail diversion; calibrate litres per activity unit. Annual path not agreed.</t>
        </is>
      </c>
      <c r="K6" s="10" t="n"/>
      <c r="L6" s="10" t="inlineStr">
        <is>
          <t>Proposed; Manish evidence, Nigel decision</t>
        </is>
      </c>
      <c r="M6" s="3" t="inlineStr">
        <is>
          <t>https://github.com/Africa-International-Advisors/liquid_fuels_model/blob/8c69f8333192483f19cd80911cb90fcd0943eb6b/assumptions/2026/timeseries/fuel_lever_design_2026_10_07.csv</t>
        </is>
      </c>
    </row>
    <row r="7" ht="100" customHeight="1">
      <c r="A7" s="3" t="inlineStr">
        <is>
          <t>diesel</t>
        </is>
      </c>
      <c r="B7" s="3" t="inlineStr">
        <is>
          <t>Road freight moved to rail % of reference road work</t>
        </is>
      </c>
      <c r="C7" s="3" t="inlineStr">
        <is>
          <t>%</t>
        </is>
      </c>
      <c r="D7" s="120" t="n">
        <v>2030</v>
      </c>
      <c r="E7" s="145" t="n">
        <v>0</v>
      </c>
      <c r="F7" s="145" t="n">
        <v>0.1</v>
      </c>
      <c r="G7" s="145" t="n">
        <v>0.2</v>
      </c>
      <c r="H7" s="3" t="inlineStr">
        <is>
          <t>Less road diesel</t>
        </is>
      </c>
      <c r="I7" s="3" t="inlineStr">
        <is>
          <t>No agreed diversion M is proposed. Authored modal-shift sensitivity; rail capacity unverified</t>
        </is>
      </c>
      <c r="J7" s="3" t="inlineStr">
        <is>
          <t>Higher diversion lowers road diesel. Avoid subtracting rail again if already embedded in the activity path. Annual path not agreed.</t>
        </is>
      </c>
      <c r="K7" s="10" t="n"/>
      <c r="L7" s="10" t="inlineStr">
        <is>
          <t>Proposed; Manish evidence, Nigel decision</t>
        </is>
      </c>
      <c r="M7" s="3" t="inlineStr">
        <is>
          <t>https://github.com/Africa-International-Advisors/liquid_fuels_model/blob/8c69f8333192483f19cd80911cb90fcd0943eb6b/assumptions/2026/timeseries/fuel_lever_design_2026_10_07.csv</t>
        </is>
      </c>
    </row>
    <row r="8" ht="100" customHeight="1">
      <c r="A8" s="3" t="inlineStr">
        <is>
          <t>diesel</t>
        </is>
      </c>
      <c r="B8" s="3" t="inlineStr">
        <is>
          <t>Road freight moved to rail % of reference road work</t>
        </is>
      </c>
      <c r="C8" s="3" t="inlineStr">
        <is>
          <t>%</t>
        </is>
      </c>
      <c r="D8" s="120" t="n">
        <v>2035</v>
      </c>
      <c r="E8" s="145" t="n">
        <v>0</v>
      </c>
      <c r="F8" s="145" t="n">
        <v>0.2</v>
      </c>
      <c r="G8" s="145" t="n">
        <v>0.35</v>
      </c>
      <c r="H8" s="3" t="inlineStr">
        <is>
          <t>Less road diesel</t>
        </is>
      </c>
      <c r="I8" s="3" t="inlineStr">
        <is>
          <t>No agreed diversion M is proposed. Authored modal-shift sensitivity; rail capacity unverified</t>
        </is>
      </c>
      <c r="J8" s="3" t="inlineStr">
        <is>
          <t>Higher diversion lowers road diesel. Avoid subtracting rail again if already embedded in the activity path. Annual path not agreed.</t>
        </is>
      </c>
      <c r="K8" s="10" t="n"/>
      <c r="L8" s="10" t="inlineStr">
        <is>
          <t>Proposed; Manish evidence, Nigel decision</t>
        </is>
      </c>
      <c r="M8" s="3" t="inlineStr">
        <is>
          <t>https://github.com/Africa-International-Advisors/liquid_fuels_model/blob/8c69f8333192483f19cd80911cb90fcd0943eb6b/assumptions/2026/timeseries/fuel_lever_design_2026_10_07.csv</t>
        </is>
      </c>
    </row>
    <row r="9" ht="100" customHeight="1">
      <c r="A9" s="3" t="inlineStr">
        <is>
          <t>diesel</t>
        </is>
      </c>
      <c r="B9" s="3" t="inlineStr">
        <is>
          <t>Diesel OCGT generation FY2024 = 100</t>
        </is>
      </c>
      <c r="C9" s="3" t="inlineStr">
        <is>
          <t>index_FY2024_100</t>
        </is>
      </c>
      <c r="D9" s="120" t="n">
        <v>2030</v>
      </c>
      <c r="E9" s="118" t="n">
        <v>10</v>
      </c>
      <c r="F9" s="118" t="n">
        <v>25</v>
      </c>
      <c r="G9" s="118" t="n">
        <v>60</v>
      </c>
      <c r="H9" s="3" t="inlineStr">
        <is>
          <t>More diesel</t>
        </is>
      </c>
      <c r="I9" s="3" t="inlineStr">
        <is>
          <t>FY2024 = 100 Latest trend is lower. Observed OCGT trend; all target-year indices authored</t>
        </is>
      </c>
      <c r="J9" s="3" t="inlineStr">
        <is>
          <t>Test grid recovery versus stress. Use one generation path; do not add a second load-shedding allowance. Annual path not agreed.</t>
        </is>
      </c>
      <c r="K9" s="10" t="n"/>
      <c r="L9" s="10" t="inlineStr">
        <is>
          <t>Proposed; Manish evidence, Nigel decision</t>
        </is>
      </c>
      <c r="M9" s="3" t="inlineStr">
        <is>
          <t>https://github.com/Africa-International-Advisors/liquid_fuels_model/blob/8c69f8333192483f19cd80911cb90fcd0943eb6b/assumptions/2026/timeseries/fuel_lever_design_2026_10_07.csv</t>
        </is>
      </c>
    </row>
    <row r="10" ht="100" customHeight="1">
      <c r="A10" s="3" t="inlineStr">
        <is>
          <t>diesel</t>
        </is>
      </c>
      <c r="B10" s="3" t="inlineStr">
        <is>
          <t>Diesel OCGT generation FY2024 = 100</t>
        </is>
      </c>
      <c r="C10" s="3" t="inlineStr">
        <is>
          <t>index_FY2024_100</t>
        </is>
      </c>
      <c r="D10" s="120" t="n">
        <v>2035</v>
      </c>
      <c r="E10" s="118" t="n">
        <v>5</v>
      </c>
      <c r="F10" s="118" t="n">
        <v>15</v>
      </c>
      <c r="G10" s="118" t="n">
        <v>50</v>
      </c>
      <c r="H10" s="3" t="inlineStr">
        <is>
          <t>More diesel</t>
        </is>
      </c>
      <c r="I10" s="3" t="inlineStr">
        <is>
          <t>FY2024 = 100 Latest trend is lower. Observed OCGT trend; all target-year indices authored</t>
        </is>
      </c>
      <c r="J10" s="3" t="inlineStr">
        <is>
          <t>Test grid recovery versus stress. Use one generation path; do not add a second load-shedding allowance. Annual path not agreed.</t>
        </is>
      </c>
      <c r="K10" s="10" t="n"/>
      <c r="L10" s="10" t="inlineStr">
        <is>
          <t>Proposed; Manish evidence, Nigel decision</t>
        </is>
      </c>
      <c r="M10" s="3" t="inlineStr">
        <is>
          <t>https://github.com/Africa-International-Advisors/liquid_fuels_model/blob/8c69f8333192483f19cd80911cb90fcd0943eb6b/assumptions/2026/timeseries/fuel_lever_design_2026_10_07.csv</t>
        </is>
      </c>
    </row>
    <row r="11" ht="100" customHeight="1">
      <c r="A11" s="3" t="inlineStr">
        <is>
          <t>diesel</t>
        </is>
      </c>
      <c r="B11" s="3" t="inlineStr">
        <is>
          <t>New-vehicle efficiency gain % per year</t>
        </is>
      </c>
      <c r="C11" s="3" t="inlineStr">
        <is>
          <t>% per year</t>
        </is>
      </c>
      <c r="D11" s="120" t="n">
        <v>2030</v>
      </c>
      <c r="E11" s="145" t="n">
        <v>0.005</v>
      </c>
      <c r="F11" s="145" t="n">
        <v>0.0075</v>
      </c>
      <c r="G11" s="145" t="n">
        <v>0.01</v>
      </c>
      <c r="H11" s="3" t="inlineStr">
        <is>
          <t>Less fuel</t>
        </is>
      </c>
      <c r="I11" s="3" t="inlineStr">
        <is>
          <t>Legacy: 0.5–1.0% New cohorts only. Registered diesel efficiency CSV; unreviewed</t>
        </is>
      </c>
      <c r="J11" s="3" t="inlineStr">
        <is>
          <t>Existing low/high input endpoints; M is a proposed midpoint. Higher gain lowers new-cohort fuel use. Annual path not agreed.</t>
        </is>
      </c>
      <c r="K11" s="10" t="n"/>
      <c r="L11" s="10" t="inlineStr">
        <is>
          <t>Proposed; Manish evidence, Nigel decision</t>
        </is>
      </c>
      <c r="M11" s="3" t="inlineStr">
        <is>
          <t>https://github.com/Africa-International-Advisors/liquid_fuels_model/blob/8c69f8333192483f19cd80911cb90fcd0943eb6b/assumptions/2026/timeseries/fuel_lever_design_2026_10_07.csv</t>
        </is>
      </c>
    </row>
    <row r="12" ht="100" customHeight="1">
      <c r="A12" s="3" t="inlineStr">
        <is>
          <t>diesel</t>
        </is>
      </c>
      <c r="B12" s="3" t="inlineStr">
        <is>
          <t>New-vehicle efficiency gain % per year</t>
        </is>
      </c>
      <c r="C12" s="3" t="inlineStr">
        <is>
          <t>% per year</t>
        </is>
      </c>
      <c r="D12" s="120" t="n">
        <v>2035</v>
      </c>
      <c r="E12" s="145" t="n">
        <v>0.005</v>
      </c>
      <c r="F12" s="145" t="n">
        <v>0.0075</v>
      </c>
      <c r="G12" s="145" t="n">
        <v>0.01</v>
      </c>
      <c r="H12" s="3" t="inlineStr">
        <is>
          <t>Less fuel</t>
        </is>
      </c>
      <c r="I12" s="3" t="inlineStr">
        <is>
          <t>Legacy: 0.5–1.0% New cohorts only. Registered diesel efficiency CSV; unreviewed</t>
        </is>
      </c>
      <c r="J12" s="3" t="inlineStr">
        <is>
          <t>Existing low/high input endpoints; M is a proposed midpoint. Higher gain lowers new-cohort fuel use. Annual path not agreed.</t>
        </is>
      </c>
      <c r="K12" s="10" t="n"/>
      <c r="L12" s="10" t="inlineStr">
        <is>
          <t>Proposed; Manish evidence, Nigel decision</t>
        </is>
      </c>
      <c r="M12" s="3" t="inlineStr">
        <is>
          <t>https://github.com/Africa-International-Advisors/liquid_fuels_model/blob/8c69f8333192483f19cd80911cb90fcd0943eb6b/assumptions/2026/timeseries/fuel_lever_design_2026_10_07.csv</t>
        </is>
      </c>
    </row>
    <row r="13" ht="100" customHeight="1">
      <c r="A13" s="3" t="inlineStr">
        <is>
          <t>jet</t>
        </is>
      </c>
      <c r="B13" s="3" t="inlineStr">
        <is>
          <t>Aircraft movements 2024 = 100</t>
        </is>
      </c>
      <c r="C13" s="3" t="inlineStr">
        <is>
          <t>index_2024_100</t>
        </is>
      </c>
      <c r="D13" s="120" t="n">
        <v>2030</v>
      </c>
      <c r="E13" s="118" t="n">
        <v>100</v>
      </c>
      <c r="F13" s="118" t="n">
        <v>120</v>
      </c>
      <c r="G13" s="118" t="n">
        <v>140</v>
      </c>
      <c r="H13" s="3" t="inlineStr">
        <is>
          <t>More jet</t>
        </is>
      </c>
      <c r="I13" s="3" t="inlineStr">
        <is>
          <t>2024 = 100 ACSA coverage only. Registered ACSA movement source; target indices authored</t>
        </is>
      </c>
      <c r="J13" s="3" t="inlineStr">
        <is>
          <t>Authored flat / recovery / expansion tests. Follow Manish's movement driver; re-fit against matched jet deliveries. Annual path not agreed.</t>
        </is>
      </c>
      <c r="K13" s="10" t="n"/>
      <c r="L13" s="10" t="inlineStr">
        <is>
          <t>Proposed; Manish evidence, Nigel decision</t>
        </is>
      </c>
      <c r="M13" s="3" t="inlineStr">
        <is>
          <t>https://github.com/Africa-International-Advisors/liquid_fuels_model/blob/8c69f8333192483f19cd80911cb90fcd0943eb6b/assumptions/2026/timeseries/fuel_lever_design_2026_10_07.csv</t>
        </is>
      </c>
    </row>
    <row r="14" ht="100" customHeight="1">
      <c r="A14" s="3" t="inlineStr">
        <is>
          <t>jet</t>
        </is>
      </c>
      <c r="B14" s="3" t="inlineStr">
        <is>
          <t>Aircraft movements 2024 = 100</t>
        </is>
      </c>
      <c r="C14" s="3" t="inlineStr">
        <is>
          <t>index_2024_100</t>
        </is>
      </c>
      <c r="D14" s="120" t="n">
        <v>2035</v>
      </c>
      <c r="E14" s="118" t="n">
        <v>100</v>
      </c>
      <c r="F14" s="118" t="n">
        <v>145</v>
      </c>
      <c r="G14" s="118" t="n">
        <v>190</v>
      </c>
      <c r="H14" s="3" t="inlineStr">
        <is>
          <t>More jet</t>
        </is>
      </c>
      <c r="I14" s="3" t="inlineStr">
        <is>
          <t>2024 = 100 ACSA coverage only. Registered ACSA movement source; target indices authored</t>
        </is>
      </c>
      <c r="J14" s="3" t="inlineStr">
        <is>
          <t>Authored flat / recovery / expansion tests. Follow Manish's movement driver; re-fit against matched jet deliveries. Annual path not agreed.</t>
        </is>
      </c>
      <c r="K14" s="10" t="n"/>
      <c r="L14" s="10" t="inlineStr">
        <is>
          <t>Proposed; Manish evidence, Nigel decision</t>
        </is>
      </c>
      <c r="M14" s="3" t="inlineStr">
        <is>
          <t>https://github.com/Africa-International-Advisors/liquid_fuels_model/blob/8c69f8333192483f19cd80911cb90fcd0943eb6b/assumptions/2026/timeseries/fuel_lever_design_2026_10_07.csv</t>
        </is>
      </c>
    </row>
    <row r="15" ht="100" customHeight="1">
      <c r="A15" s="3" t="inlineStr">
        <is>
          <t>jet</t>
        </is>
      </c>
      <c r="B15" s="3" t="inlineStr">
        <is>
          <t>Fuel burn per movement 2024 = 100</t>
        </is>
      </c>
      <c r="C15" s="3" t="inlineStr">
        <is>
          <t>index_2024_100</t>
        </is>
      </c>
      <c r="D15" s="120" t="n">
        <v>2030</v>
      </c>
      <c r="E15" s="118" t="n">
        <v>80</v>
      </c>
      <c r="F15" s="118" t="n">
        <v>90</v>
      </c>
      <c r="G15" s="118" t="n">
        <v>100</v>
      </c>
      <c r="H15" s="3" t="inlineStr">
        <is>
          <t>Confirm fuel effect</t>
        </is>
      </c>
      <c r="I15" s="3" t="inlineStr">
        <is>
          <t>2024 = 100 assumed Not yet measured. Authored intensity tests; ICAO supports mechanism, not these SA values</t>
        </is>
      </c>
      <c r="J15" s="3" t="inlineStr">
        <is>
          <t>Lower burn lowers litres. Separate aircraft efficiency from route length, aircraft size and international mix. Annual path not agreed.</t>
        </is>
      </c>
      <c r="K15" s="10" t="n"/>
      <c r="L15" s="10" t="inlineStr">
        <is>
          <t>Proposed; Manish evidence, Nigel decision</t>
        </is>
      </c>
      <c r="M15" s="3" t="inlineStr">
        <is>
          <t>https://github.com/Africa-International-Advisors/liquid_fuels_model/blob/8c69f8333192483f19cd80911cb90fcd0943eb6b/assumptions/2026/timeseries/fuel_lever_design_2026_10_07.csv</t>
        </is>
      </c>
    </row>
    <row r="16" ht="100" customHeight="1">
      <c r="A16" s="3" t="inlineStr">
        <is>
          <t>jet</t>
        </is>
      </c>
      <c r="B16" s="3" t="inlineStr">
        <is>
          <t>Fuel burn per movement 2024 = 100</t>
        </is>
      </c>
      <c r="C16" s="3" t="inlineStr">
        <is>
          <t>index_2024_100</t>
        </is>
      </c>
      <c r="D16" s="120" t="n">
        <v>2035</v>
      </c>
      <c r="E16" s="118" t="n">
        <v>65</v>
      </c>
      <c r="F16" s="118" t="n">
        <v>80</v>
      </c>
      <c r="G16" s="118" t="n">
        <v>100</v>
      </c>
      <c r="H16" s="3" t="inlineStr">
        <is>
          <t>Confirm fuel effect</t>
        </is>
      </c>
      <c r="I16" s="3" t="inlineStr">
        <is>
          <t>2024 = 100 assumed Not yet measured. Authored intensity tests; ICAO supports mechanism, not these SA values</t>
        </is>
      </c>
      <c r="J16" s="3" t="inlineStr">
        <is>
          <t>Lower burn lowers litres. Separate aircraft efficiency from route length, aircraft size and international mix. Annual path not agreed.</t>
        </is>
      </c>
      <c r="K16" s="10" t="n"/>
      <c r="L16" s="10" t="inlineStr">
        <is>
          <t>Proposed; Manish evidence, Nigel decision</t>
        </is>
      </c>
      <c r="M16" s="3" t="inlineStr">
        <is>
          <t>https://github.com/Africa-International-Advisors/liquid_fuels_model/blob/8c69f8333192483f19cd80911cb90fcd0943eb6b/assumptions/2026/timeseries/fuel_lever_design_2026_10_07.csv</t>
        </is>
      </c>
    </row>
    <row r="17" ht="100" customHeight="1">
      <c r="A17" s="3" t="inlineStr">
        <is>
          <t>jet</t>
        </is>
      </c>
      <c r="B17" s="3" t="inlineStr">
        <is>
          <t>SAF share of jet deliveries % by volume</t>
        </is>
      </c>
      <c r="C17" s="3" t="inlineStr">
        <is>
          <t>%</t>
        </is>
      </c>
      <c r="D17" s="120" t="n">
        <v>2030</v>
      </c>
      <c r="E17" s="145" t="n">
        <v>0</v>
      </c>
      <c r="F17" s="145" t="n">
        <v>0.02</v>
      </c>
      <c r="G17" s="145" t="n">
        <v>0.05</v>
      </c>
      <c r="H17" s="3" t="inlineStr">
        <is>
          <t>Confirm fuel effect</t>
        </is>
      </c>
      <c r="I17" s="3" t="inlineStr">
        <is>
          <t>SA blend baseline unknown Not a local mandate. Authored SA sensitivity; ICAO global framework only</t>
        </is>
      </c>
      <c r="J17" s="3" t="inlineStr">
        <is>
          <t>Changes fossil jet share, not total jet litres. Authored blend tests; ICAO's 5% emissions vision is not a volume target. Annual path not agreed.</t>
        </is>
      </c>
      <c r="K17" s="10" t="n"/>
      <c r="L17" s="10" t="inlineStr">
        <is>
          <t>Proposed; Manish evidence, Nigel decision</t>
        </is>
      </c>
      <c r="M17" s="3" t="inlineStr">
        <is>
          <t>https://github.com/Africa-International-Advisors/liquid_fuels_model/blob/8c69f8333192483f19cd80911cb90fcd0943eb6b/assumptions/2026/timeseries/fuel_lever_design_2026_10_07.csv</t>
        </is>
      </c>
    </row>
    <row r="18" ht="100" customHeight="1">
      <c r="A18" s="3" t="inlineStr">
        <is>
          <t>jet</t>
        </is>
      </c>
      <c r="B18" s="3" t="inlineStr">
        <is>
          <t>SAF share of jet deliveries % by volume</t>
        </is>
      </c>
      <c r="C18" s="3" t="inlineStr">
        <is>
          <t>%</t>
        </is>
      </c>
      <c r="D18" s="120" t="n">
        <v>2035</v>
      </c>
      <c r="E18" s="145" t="n">
        <v>0</v>
      </c>
      <c r="F18" s="145" t="n">
        <v>0.05</v>
      </c>
      <c r="G18" s="145" t="n">
        <v>0.1</v>
      </c>
      <c r="H18" s="3" t="inlineStr">
        <is>
          <t>Confirm fuel effect</t>
        </is>
      </c>
      <c r="I18" s="3" t="inlineStr">
        <is>
          <t>SA blend baseline unknown Not a local mandate. Authored SA sensitivity; ICAO global framework only</t>
        </is>
      </c>
      <c r="J18" s="3" t="inlineStr">
        <is>
          <t>Changes fossil jet share, not total jet litres. Authored blend tests; ICAO's 5% emissions vision is not a volume target. Annual path not agreed.</t>
        </is>
      </c>
      <c r="K18" s="10" t="n"/>
      <c r="L18" s="10" t="inlineStr">
        <is>
          <t>Proposed; Manish evidence, Nigel decision</t>
        </is>
      </c>
      <c r="M18" s="3" t="inlineStr">
        <is>
          <t>https://github.com/Africa-International-Advisors/liquid_fuels_model/blob/8c69f8333192483f19cd80911cb90fcd0943eb6b/assumptions/2026/timeseries/fuel_lever_design_2026_10_07.csv</t>
        </is>
      </c>
    </row>
    <row r="19" ht="100" customHeight="1">
      <c r="A19" s="3" t="inlineStr">
        <is>
          <t>petrol</t>
        </is>
      </c>
      <c r="B19" s="3" t="inlineStr">
        <is>
          <t>Passenger mileage km / vehicle / year</t>
        </is>
      </c>
      <c r="C19" s="3" t="inlineStr">
        <is>
          <t>km_per_vehicle_year</t>
        </is>
      </c>
      <c r="D19" s="120" t="n">
        <v>2030</v>
      </c>
      <c r="E19" s="118" t="n">
        <v>13600</v>
      </c>
      <c r="F19" s="118" t="n">
        <v>17000</v>
      </c>
      <c r="G19" s="118" t="n">
        <v>20400</v>
      </c>
      <c r="H19" s="3" t="inlineStr">
        <is>
          <t>More petrol</t>
        </is>
      </c>
      <c r="I19" s="3" t="inlineStr">
        <is>
          <t>Registered: 17,000 Provisional placeholder. Registered provisional passenger mileage</t>
        </is>
      </c>
      <c r="J19" s="3" t="inlineStr">
        <is>
          <t>Authored ±20% around the current mileage placeholder. Higher mileage raises petrol demand at a given fleet. Annual path not agreed.</t>
        </is>
      </c>
      <c r="K19" s="10" t="n"/>
      <c r="L19" s="10" t="inlineStr">
        <is>
          <t>Proposed; Manish evidence, Nigel decision</t>
        </is>
      </c>
      <c r="M19" s="3" t="inlineStr">
        <is>
          <t>https://github.com/Africa-International-Advisors/liquid_fuels_model/blob/8c69f8333192483f19cd80911cb90fcd0943eb6b/assumptions/2026/timeseries/fuel_lever_design_2026_10_07.csv</t>
        </is>
      </c>
    </row>
    <row r="20" ht="100" customHeight="1">
      <c r="A20" s="3" t="inlineStr">
        <is>
          <t>petrol</t>
        </is>
      </c>
      <c r="B20" s="3" t="inlineStr">
        <is>
          <t>Passenger mileage km / vehicle / year</t>
        </is>
      </c>
      <c r="C20" s="3" t="inlineStr">
        <is>
          <t>km_per_vehicle_year</t>
        </is>
      </c>
      <c r="D20" s="120" t="n">
        <v>2035</v>
      </c>
      <c r="E20" s="118" t="n">
        <v>13600</v>
      </c>
      <c r="F20" s="118" t="n">
        <v>17000</v>
      </c>
      <c r="G20" s="118" t="n">
        <v>20400</v>
      </c>
      <c r="H20" s="3" t="inlineStr">
        <is>
          <t>More petrol</t>
        </is>
      </c>
      <c r="I20" s="3" t="inlineStr">
        <is>
          <t>Registered: 17,000 Provisional placeholder. Registered provisional passenger mileage</t>
        </is>
      </c>
      <c r="J20" s="3" t="inlineStr">
        <is>
          <t>Authored ±20% around the current mileage placeholder. Higher mileage raises petrol demand at a given fleet. Annual path not agreed.</t>
        </is>
      </c>
      <c r="K20" s="10" t="n"/>
      <c r="L20" s="10" t="inlineStr">
        <is>
          <t>Proposed; Manish evidence, Nigel decision</t>
        </is>
      </c>
      <c r="M20" s="3" t="inlineStr">
        <is>
          <t>https://github.com/Africa-International-Advisors/liquid_fuels_model/blob/8c69f8333192483f19cd80911cb90fcd0943eb6b/assumptions/2026/timeseries/fuel_lever_design_2026_10_07.csv</t>
        </is>
      </c>
    </row>
    <row r="21" ht="100" customHeight="1">
      <c r="A21" s="3" t="inlineStr">
        <is>
          <t>petrol</t>
        </is>
      </c>
      <c r="B21" s="3" t="inlineStr">
        <is>
          <t>Real GDP growth % per year</t>
        </is>
      </c>
      <c r="C21" s="3" t="inlineStr">
        <is>
          <t>% per year</t>
        </is>
      </c>
      <c r="D21" s="120" t="n">
        <v>2030</v>
      </c>
      <c r="E21" s="145" t="n">
        <v>0.01</v>
      </c>
      <c r="F21" s="145" t="n">
        <v>0.02</v>
      </c>
      <c r="G21" s="145" t="n">
        <v>0.03</v>
      </c>
      <c r="H21" s="3" t="inlineStr">
        <is>
          <t>More sales via GDP/capita</t>
        </is>
      </c>
      <c r="I21" s="3" t="inlineStr">
        <is>
          <t>Team continuation: 2% Beyond official 2028. Registered macro proposal; outer range authored</t>
        </is>
      </c>
      <c r="J21" s="3" t="inlineStr">
        <is>
          <t>Bracket the 2% continuation proposal. Drives fleet additions through the fitted relationship, not a second fuel multiplier. Annual path not agreed.</t>
        </is>
      </c>
      <c r="K21" s="10" t="n"/>
      <c r="L21" s="10" t="inlineStr">
        <is>
          <t>Proposed; Manish evidence, Nigel decision</t>
        </is>
      </c>
      <c r="M21" s="3" t="inlineStr">
        <is>
          <t>https://github.com/Africa-International-Advisors/liquid_fuels_model/blob/8c69f8333192483f19cd80911cb90fcd0943eb6b/assumptions/2026/timeseries/fuel_lever_design_2026_10_07.csv</t>
        </is>
      </c>
    </row>
    <row r="22" ht="100" customHeight="1">
      <c r="A22" s="3" t="inlineStr">
        <is>
          <t>petrol</t>
        </is>
      </c>
      <c r="B22" s="3" t="inlineStr">
        <is>
          <t>Real GDP growth % per year</t>
        </is>
      </c>
      <c r="C22" s="3" t="inlineStr">
        <is>
          <t>% per year</t>
        </is>
      </c>
      <c r="D22" s="120" t="n">
        <v>2035</v>
      </c>
      <c r="E22" s="145" t="n">
        <v>0.01</v>
      </c>
      <c r="F22" s="145" t="n">
        <v>0.02</v>
      </c>
      <c r="G22" s="145" t="n">
        <v>0.03</v>
      </c>
      <c r="H22" s="3" t="inlineStr">
        <is>
          <t>More sales via GDP/capita</t>
        </is>
      </c>
      <c r="I22" s="3" t="inlineStr">
        <is>
          <t>Team continuation: 2% Beyond official 2028. Registered macro proposal; outer range authored</t>
        </is>
      </c>
      <c r="J22" s="3" t="inlineStr">
        <is>
          <t>Bracket the 2% continuation proposal. Drives fleet additions through the fitted relationship, not a second fuel multiplier. Annual path not agreed.</t>
        </is>
      </c>
      <c r="K22" s="10" t="n"/>
      <c r="L22" s="10" t="inlineStr">
        <is>
          <t>Proposed; Manish evidence, Nigel decision</t>
        </is>
      </c>
      <c r="M22" s="3" t="inlineStr">
        <is>
          <t>https://github.com/Africa-International-Advisors/liquid_fuels_model/blob/8c69f8333192483f19cd80911cb90fcd0943eb6b/assumptions/2026/timeseries/fuel_lever_design_2026_10_07.csv</t>
        </is>
      </c>
    </row>
    <row r="23" ht="100" customHeight="1">
      <c r="A23" s="3" t="inlineStr">
        <is>
          <t>petrol</t>
        </is>
      </c>
      <c r="B23" s="3" t="inlineStr">
        <is>
          <t>BEV share of new sales % of passenger sales</t>
        </is>
      </c>
      <c r="C23" s="3" t="inlineStr">
        <is>
          <t>%</t>
        </is>
      </c>
      <c r="D23" s="120" t="n">
        <v>2030</v>
      </c>
      <c r="E23" s="145" t="n">
        <v>0.05</v>
      </c>
      <c r="F23" s="145" t="n">
        <v>0.15</v>
      </c>
      <c r="G23" s="145" t="n">
        <v>0.3</v>
      </c>
      <c r="H23" s="3" t="inlineStr">
        <is>
          <t>Less petrol over fleet turnover</t>
        </is>
      </c>
      <c r="I23" s="3" t="inlineStr">
        <is>
          <t>Legacy uptake curves Sales/fleet basis to resolve. Authored replacement design, not values from legacy S-curves</t>
        </is>
      </c>
      <c r="J23" s="3" t="inlineStr">
        <is>
          <t>Authored sales-share tests. Higher BEV uptake lowers new ICE additions; total-fleet effect depends on survival. Annual path not agreed.</t>
        </is>
      </c>
      <c r="K23" s="10" t="n"/>
      <c r="L23" s="10" t="inlineStr">
        <is>
          <t>Proposed; Manish evidence, Nigel decision</t>
        </is>
      </c>
      <c r="M23" s="3" t="inlineStr">
        <is>
          <t>https://github.com/Africa-International-Advisors/liquid_fuels_model/blob/8c69f8333192483f19cd80911cb90fcd0943eb6b/assumptions/2026/timeseries/fuel_lever_design_2026_10_07.csv</t>
        </is>
      </c>
    </row>
    <row r="24" ht="100" customHeight="1">
      <c r="A24" s="3" t="inlineStr">
        <is>
          <t>petrol</t>
        </is>
      </c>
      <c r="B24" s="3" t="inlineStr">
        <is>
          <t>BEV share of new sales % of passenger sales</t>
        </is>
      </c>
      <c r="C24" s="3" t="inlineStr">
        <is>
          <t>%</t>
        </is>
      </c>
      <c r="D24" s="120" t="n">
        <v>2035</v>
      </c>
      <c r="E24" s="145" t="n">
        <v>0.15</v>
      </c>
      <c r="F24" s="145" t="n">
        <v>0.35</v>
      </c>
      <c r="G24" s="145" t="n">
        <v>0.6</v>
      </c>
      <c r="H24" s="3" t="inlineStr">
        <is>
          <t>Less petrol over fleet turnover</t>
        </is>
      </c>
      <c r="I24" s="3" t="inlineStr">
        <is>
          <t>Legacy uptake curves Sales/fleet basis to resolve. Authored replacement design, not values from legacy S-curves</t>
        </is>
      </c>
      <c r="J24" s="3" t="inlineStr">
        <is>
          <t>Authored sales-share tests. Higher BEV uptake lowers new ICE additions; total-fleet effect depends on survival. Annual path not agreed.</t>
        </is>
      </c>
      <c r="K24" s="10" t="n"/>
      <c r="L24" s="10" t="inlineStr">
        <is>
          <t>Proposed; Manish evidence, Nigel decision</t>
        </is>
      </c>
      <c r="M24" s="3" t="inlineStr">
        <is>
          <t>https://github.com/Africa-International-Advisors/liquid_fuels_model/blob/8c69f8333192483f19cd80911cb90fcd0943eb6b/assumptions/2026/timeseries/fuel_lever_design_2026_10_07.csv</t>
        </is>
      </c>
    </row>
    <row r="25" ht="100" customHeight="1">
      <c r="A25" s="3" t="inlineStr">
        <is>
          <t>petrol</t>
        </is>
      </c>
      <c r="B25" s="3" t="inlineStr">
        <is>
          <t>New-vehicle efficiency gain % per year</t>
        </is>
      </c>
      <c r="C25" s="3" t="inlineStr">
        <is>
          <t>% per year</t>
        </is>
      </c>
      <c r="D25" s="120" t="n">
        <v>2030</v>
      </c>
      <c r="E25" s="145" t="n">
        <v>0.01</v>
      </c>
      <c r="F25" s="145" t="n">
        <v>0.0125</v>
      </c>
      <c r="G25" s="145" t="n">
        <v>0.015</v>
      </c>
      <c r="H25" s="3" t="inlineStr">
        <is>
          <t>Less fuel</t>
        </is>
      </c>
      <c r="I25" s="3" t="inlineStr">
        <is>
          <t>Legacy: 1.0–1.5% New cohorts only. Registered gasoline efficiency CSV; unreviewed</t>
        </is>
      </c>
      <c r="J25" s="3" t="inlineStr">
        <is>
          <t>Existing low/high input endpoints; M is a proposed midpoint. Preserve each cohort's entry-year consumption. Annual path not agreed.</t>
        </is>
      </c>
      <c r="K25" s="10" t="n"/>
      <c r="L25" s="10" t="inlineStr">
        <is>
          <t>Proposed; Manish evidence, Nigel decision</t>
        </is>
      </c>
      <c r="M25" s="3" t="inlineStr">
        <is>
          <t>https://github.com/Africa-International-Advisors/liquid_fuels_model/blob/8c69f8333192483f19cd80911cb90fcd0943eb6b/assumptions/2026/timeseries/fuel_lever_design_2026_10_07.csv</t>
        </is>
      </c>
    </row>
    <row r="26" ht="100" customHeight="1">
      <c r="A26" s="3" t="inlineStr">
        <is>
          <t>petrol</t>
        </is>
      </c>
      <c r="B26" s="3" t="inlineStr">
        <is>
          <t>New-vehicle efficiency gain % per year</t>
        </is>
      </c>
      <c r="C26" s="3" t="inlineStr">
        <is>
          <t>% per year</t>
        </is>
      </c>
      <c r="D26" s="120" t="n">
        <v>2035</v>
      </c>
      <c r="E26" s="145" t="n">
        <v>0.01</v>
      </c>
      <c r="F26" s="145" t="n">
        <v>0.0125</v>
      </c>
      <c r="G26" s="145" t="n">
        <v>0.015</v>
      </c>
      <c r="H26" s="3" t="inlineStr">
        <is>
          <t>Less fuel</t>
        </is>
      </c>
      <c r="I26" s="3" t="inlineStr">
        <is>
          <t>Legacy: 1.0–1.5% New cohorts only. Registered gasoline efficiency CSV; unreviewed</t>
        </is>
      </c>
      <c r="J26" s="3" t="inlineStr">
        <is>
          <t>Existing low/high input endpoints; M is a proposed midpoint. Preserve each cohort's entry-year consumption. Annual path not agreed.</t>
        </is>
      </c>
      <c r="K26" s="10" t="n"/>
      <c r="L26" s="10" t="inlineStr">
        <is>
          <t>Proposed; Manish evidence, Nigel decision</t>
        </is>
      </c>
      <c r="M26" s="3" t="inlineStr">
        <is>
          <t>https://github.com/Africa-International-Advisors/liquid_fuels_model/blob/8c69f8333192483f19cd80911cb90fcd0943eb6b/assumptions/2026/timeseries/fuel_lever_design_2026_10_07.csv</t>
        </is>
      </c>
    </row>
    <row r="27" ht="100" customHeight="1">
      <c r="A27" s="3" t="inlineStr">
        <is>
          <t>Petrol</t>
        </is>
      </c>
      <c r="B27" s="3" t="inlineStr">
        <is>
          <t>Hybrid / PHEV new-sales shares</t>
        </is>
      </c>
      <c r="C27" s="3" t="inlineStr">
        <is>
          <t>%</t>
        </is>
      </c>
      <c r="D27" s="120" t="n">
        <v>2030</v>
      </c>
      <c r="E27" s="145" t="n"/>
      <c r="F27" s="145" t="n"/>
      <c r="G27" s="145" t="n"/>
      <c r="H27" s="3" t="inlineStr">
        <is>
          <t>Less fuel per km; not zero</t>
        </is>
      </c>
      <c r="I27" s="3" t="inlineStr">
        <is>
          <t>No numerical range proposed in this workbook.</t>
        </is>
      </c>
      <c r="J27" s="3" t="inlineStr">
        <is>
          <t>Separate drivetrains; shares reconcile; PHEV electric-distance fraction needed. Specify annual path.</t>
        </is>
      </c>
      <c r="K27" s="10" t="n"/>
      <c r="L27" s="10" t="inlineStr">
        <is>
          <t>Open; Manish evidence, Nigel decision</t>
        </is>
      </c>
      <c r="M27" s="3" t="inlineStr">
        <is>
          <t>https://github.com/Africa-International-Advisors/liquid_fuels_model/blob/8c69f8333192483f19cd80911cb90fcd0943eb6b/workstreams/WS0_governance/workplan/fuel_lever_review_2026-10-07.md</t>
        </is>
      </c>
    </row>
    <row r="28" ht="100" customHeight="1">
      <c r="A28" s="3" t="inlineStr">
        <is>
          <t>Petrol</t>
        </is>
      </c>
      <c r="B28" s="3" t="inlineStr">
        <is>
          <t>Hybrid / PHEV new-sales shares</t>
        </is>
      </c>
      <c r="C28" s="3" t="inlineStr">
        <is>
          <t>%</t>
        </is>
      </c>
      <c r="D28" s="120" t="n">
        <v>2035</v>
      </c>
      <c r="E28" s="145" t="n"/>
      <c r="F28" s="145" t="n"/>
      <c r="G28" s="145" t="n"/>
      <c r="H28" s="3" t="inlineStr">
        <is>
          <t>Less fuel per km; not zero</t>
        </is>
      </c>
      <c r="I28" s="3" t="inlineStr">
        <is>
          <t>No numerical range proposed in this workbook.</t>
        </is>
      </c>
      <c r="J28" s="3" t="inlineStr">
        <is>
          <t>Separate drivetrains; shares reconcile; PHEV electric-distance fraction needed. Specify annual path.</t>
        </is>
      </c>
      <c r="K28" s="10" t="n"/>
      <c r="L28" s="10" t="inlineStr">
        <is>
          <t>Open; Manish evidence, Nigel decision</t>
        </is>
      </c>
      <c r="M28" s="3" t="inlineStr">
        <is>
          <t>https://github.com/Africa-International-Advisors/liquid_fuels_model/blob/8c69f8333192483f19cd80911cb90fcd0943eb6b/workstreams/WS0_governance/workplan/fuel_lever_review_2026-10-07.md</t>
        </is>
      </c>
    </row>
    <row r="29" ht="100" customHeight="1">
      <c r="A29" s="3" t="inlineStr">
        <is>
          <t>Road vehicles</t>
        </is>
      </c>
      <c r="B29" s="3" t="inlineStr">
        <is>
          <t>Retirement / survival</t>
        </is>
      </c>
      <c r="C29" s="3" t="inlineStr">
        <is>
          <t>% per year</t>
        </is>
      </c>
      <c r="D29" s="120" t="n">
        <v>2030</v>
      </c>
      <c r="E29" s="145" t="n"/>
      <c r="F29" s="145" t="n"/>
      <c r="G29" s="145" t="n"/>
      <c r="H29" s="3" t="inlineStr">
        <is>
          <t>Depends on replacement and fleet mix</t>
        </is>
      </c>
      <c r="I29" s="3" t="inlineStr">
        <is>
          <t>No numerical range proposed in this workbook.</t>
        </is>
      </c>
      <c r="J29" s="3" t="inlineStr">
        <is>
          <t>Fit opening fleet and cohort survival; current flat rates are provisional. Specify annual path.</t>
        </is>
      </c>
      <c r="K29" s="10" t="n"/>
      <c r="L29" s="10" t="inlineStr">
        <is>
          <t>Open; Manish evidence, Nigel decision</t>
        </is>
      </c>
      <c r="M29" s="3" t="inlineStr">
        <is>
          <t>https://github.com/Africa-International-Advisors/liquid_fuels_model/blob/8c69f8333192483f19cd80911cb90fcd0943eb6b/workstreams/WS0_governance/workplan/fuel_lever_review_2026-10-07.md</t>
        </is>
      </c>
    </row>
    <row r="30" ht="100" customHeight="1">
      <c r="A30" s="3" t="inlineStr">
        <is>
          <t>Road vehicles</t>
        </is>
      </c>
      <c r="B30" s="3" t="inlineStr">
        <is>
          <t>Retirement / survival</t>
        </is>
      </c>
      <c r="C30" s="3" t="inlineStr">
        <is>
          <t>% per year</t>
        </is>
      </c>
      <c r="D30" s="120" t="n">
        <v>2035</v>
      </c>
      <c r="E30" s="145" t="n"/>
      <c r="F30" s="145" t="n"/>
      <c r="G30" s="145" t="n"/>
      <c r="H30" s="3" t="inlineStr">
        <is>
          <t>Depends on replacement and fleet mix</t>
        </is>
      </c>
      <c r="I30" s="3" t="inlineStr">
        <is>
          <t>No numerical range proposed in this workbook.</t>
        </is>
      </c>
      <c r="J30" s="3" t="inlineStr">
        <is>
          <t>Fit opening fleet and cohort survival; current flat rates are provisional. Specify annual path.</t>
        </is>
      </c>
      <c r="K30" s="10" t="n"/>
      <c r="L30" s="10" t="inlineStr">
        <is>
          <t>Open; Manish evidence, Nigel decision</t>
        </is>
      </c>
      <c r="M30" s="3" t="inlineStr">
        <is>
          <t>https://github.com/Africa-International-Advisors/liquid_fuels_model/blob/8c69f8333192483f19cd80911cb90fcd0943eb6b/workstreams/WS0_governance/workplan/fuel_lever_review_2026-10-07.md</t>
        </is>
      </c>
    </row>
    <row r="31" ht="100" customHeight="1">
      <c r="A31" s="3" t="inlineStr">
        <is>
          <t>Diesel freight</t>
        </is>
      </c>
      <c r="B31" s="3" t="inlineStr">
        <is>
          <t>Payload / empty running</t>
        </is>
      </c>
      <c r="C31" s="3" t="inlineStr">
        <is>
          <t>definition due</t>
        </is>
      </c>
      <c r="D31" s="120" t="n">
        <v>2030</v>
      </c>
      <c r="E31" s="118" t="n"/>
      <c r="F31" s="118" t="n"/>
      <c r="G31" s="118" t="n"/>
      <c r="H31" s="3" t="inlineStr">
        <is>
          <t>Depends on metric</t>
        </is>
      </c>
      <c r="I31" s="3" t="inlineStr">
        <is>
          <t>No numerical range proposed in this workbook.</t>
        </is>
      </c>
      <c r="J31" s="3" t="inlineStr">
        <is>
          <t>Choose tonne-km or fleet method; separate load factor from empty-running share. Specify annual path.</t>
        </is>
      </c>
      <c r="K31" s="10" t="n"/>
      <c r="L31" s="10" t="inlineStr">
        <is>
          <t>Open; Manish evidence, Nigel decision</t>
        </is>
      </c>
      <c r="M31" s="3" t="inlineStr">
        <is>
          <t>https://github.com/Africa-International-Advisors/liquid_fuels_model/blob/8c69f8333192483f19cd80911cb90fcd0943eb6b/workstreams/WS0_governance/workplan/fuel_lever_review_2026-10-07.md</t>
        </is>
      </c>
    </row>
    <row r="32" ht="100" customHeight="1">
      <c r="A32" s="3" t="inlineStr">
        <is>
          <t>Diesel freight</t>
        </is>
      </c>
      <c r="B32" s="3" t="inlineStr">
        <is>
          <t>Payload / empty running</t>
        </is>
      </c>
      <c r="C32" s="3" t="inlineStr">
        <is>
          <t>definition due</t>
        </is>
      </c>
      <c r="D32" s="120" t="n">
        <v>2035</v>
      </c>
      <c r="E32" s="118" t="n"/>
      <c r="F32" s="118" t="n"/>
      <c r="G32" s="118" t="n"/>
      <c r="H32" s="3" t="inlineStr">
        <is>
          <t>Depends on metric</t>
        </is>
      </c>
      <c r="I32" s="3" t="inlineStr">
        <is>
          <t>No numerical range proposed in this workbook.</t>
        </is>
      </c>
      <c r="J32" s="3" t="inlineStr">
        <is>
          <t>Choose tonne-km or fleet method; separate load factor from empty-running share. Specify annual path.</t>
        </is>
      </c>
      <c r="K32" s="10" t="n"/>
      <c r="L32" s="10" t="inlineStr">
        <is>
          <t>Open; Manish evidence, Nigel decision</t>
        </is>
      </c>
      <c r="M32" s="3" t="inlineStr">
        <is>
          <t>https://github.com/Africa-International-Advisors/liquid_fuels_model/blob/8c69f8333192483f19cd80911cb90fcd0943eb6b/workstreams/WS0_governance/workplan/fuel_lever_review_2026-10-07.md</t>
        </is>
      </c>
    </row>
    <row r="33" ht="100" customHeight="1">
      <c r="A33" s="3" t="inlineStr">
        <is>
          <t>Diesel agriculture</t>
        </is>
      </c>
      <c r="B33" s="3" t="inlineStr">
        <is>
          <t>Agricultural activity</t>
        </is>
      </c>
      <c r="C33" s="3" t="inlineStr">
        <is>
          <t>index, base = 100</t>
        </is>
      </c>
      <c r="D33" s="120" t="n">
        <v>2030</v>
      </c>
      <c r="E33" s="118" t="n"/>
      <c r="F33" s="118" t="n"/>
      <c r="G33" s="118" t="n"/>
      <c r="H33" s="3" t="inlineStr">
        <is>
          <t>More diesel</t>
        </is>
      </c>
      <c r="I33" s="3" t="inlineStr">
        <is>
          <t>No numerical range proposed in this workbook.</t>
        </is>
      </c>
      <c r="J33" s="3" t="inlineStr">
        <is>
          <t>Choose activity and baseline year; reconcile provincial/sector scope. Specify annual path.</t>
        </is>
      </c>
      <c r="K33" s="10" t="n"/>
      <c r="L33" s="10" t="inlineStr">
        <is>
          <t>Open; Manish evidence, Nigel decision</t>
        </is>
      </c>
      <c r="M33" s="3" t="inlineStr">
        <is>
          <t>https://github.com/Africa-International-Advisors/liquid_fuels_model/blob/8c69f8333192483f19cd80911cb90fcd0943eb6b/workstreams/WS0_governance/workplan/fuel_lever_review_2026-10-07.md</t>
        </is>
      </c>
    </row>
    <row r="34" ht="100" customHeight="1">
      <c r="A34" s="3" t="inlineStr">
        <is>
          <t>Diesel agriculture</t>
        </is>
      </c>
      <c r="B34" s="3" t="inlineStr">
        <is>
          <t>Agricultural activity</t>
        </is>
      </c>
      <c r="C34" s="3" t="inlineStr">
        <is>
          <t>index, base = 100</t>
        </is>
      </c>
      <c r="D34" s="120" t="n">
        <v>2035</v>
      </c>
      <c r="E34" s="118" t="n"/>
      <c r="F34" s="118" t="n"/>
      <c r="G34" s="118" t="n"/>
      <c r="H34" s="3" t="inlineStr">
        <is>
          <t>More diesel</t>
        </is>
      </c>
      <c r="I34" s="3" t="inlineStr">
        <is>
          <t>No numerical range proposed in this workbook.</t>
        </is>
      </c>
      <c r="J34" s="3" t="inlineStr">
        <is>
          <t>Choose activity and baseline year; reconcile provincial/sector scope. Specify annual path.</t>
        </is>
      </c>
      <c r="K34" s="10" t="n"/>
      <c r="L34" s="10" t="inlineStr">
        <is>
          <t>Open; Manish evidence, Nigel decision</t>
        </is>
      </c>
      <c r="M34" s="3" t="inlineStr">
        <is>
          <t>https://github.com/Africa-International-Advisors/liquid_fuels_model/blob/8c69f8333192483f19cd80911cb90fcd0943eb6b/workstreams/WS0_governance/workplan/fuel_lever_review_2026-10-07.md</t>
        </is>
      </c>
    </row>
    <row r="35" ht="100" customHeight="1">
      <c r="A35" s="3" t="inlineStr">
        <is>
          <t>Diesel agriculture</t>
        </is>
      </c>
      <c r="B35" s="3" t="inlineStr">
        <is>
          <t>Relative fuel intensity</t>
        </is>
      </c>
      <c r="C35" s="3" t="inlineStr">
        <is>
          <t>base = 1</t>
        </is>
      </c>
      <c r="D35" s="120" t="n">
        <v>2030</v>
      </c>
      <c r="E35" s="118" t="n"/>
      <c r="F35" s="118" t="n"/>
      <c r="G35" s="118" t="n"/>
      <c r="H35" s="3" t="inlineStr">
        <is>
          <t>More diesel</t>
        </is>
      </c>
      <c r="I35" s="3" t="inlineStr">
        <is>
          <t>No numerical range proposed in this workbook.</t>
        </is>
      </c>
      <c r="J35" s="3" t="inlineStr">
        <is>
          <t>Separate intensity changes from activity; avoid overlapping efficiency effects. Specify annual path.</t>
        </is>
      </c>
      <c r="K35" s="10" t="n"/>
      <c r="L35" s="10" t="inlineStr">
        <is>
          <t>Open; Manish evidence, Nigel decision</t>
        </is>
      </c>
      <c r="M35" s="3" t="inlineStr">
        <is>
          <t>https://github.com/Africa-International-Advisors/liquid_fuels_model/blob/8c69f8333192483f19cd80911cb90fcd0943eb6b/workstreams/WS0_governance/workplan/fuel_lever_review_2026-10-07.md</t>
        </is>
      </c>
    </row>
    <row r="36" ht="100" customHeight="1">
      <c r="A36" s="3" t="inlineStr">
        <is>
          <t>Diesel agriculture</t>
        </is>
      </c>
      <c r="B36" s="3" t="inlineStr">
        <is>
          <t>Relative fuel intensity</t>
        </is>
      </c>
      <c r="C36" s="3" t="inlineStr">
        <is>
          <t>base = 1</t>
        </is>
      </c>
      <c r="D36" s="120" t="n">
        <v>2035</v>
      </c>
      <c r="E36" s="118" t="n"/>
      <c r="F36" s="118" t="n"/>
      <c r="G36" s="118" t="n"/>
      <c r="H36" s="3" t="inlineStr">
        <is>
          <t>More diesel</t>
        </is>
      </c>
      <c r="I36" s="3" t="inlineStr">
        <is>
          <t>No numerical range proposed in this workbook.</t>
        </is>
      </c>
      <c r="J36" s="3" t="inlineStr">
        <is>
          <t>Separate intensity changes from activity; avoid overlapping efficiency effects. Specify annual path.</t>
        </is>
      </c>
      <c r="K36" s="10" t="n"/>
      <c r="L36" s="10" t="inlineStr">
        <is>
          <t>Open; Manish evidence, Nigel decision</t>
        </is>
      </c>
      <c r="M36" s="3" t="inlineStr">
        <is>
          <t>https://github.com/Africa-International-Advisors/liquid_fuels_model/blob/8c69f8333192483f19cd80911cb90fcd0943eb6b/workstreams/WS0_governance/workplan/fuel_lever_review_2026-10-07.md</t>
        </is>
      </c>
    </row>
    <row r="37" ht="100" customHeight="1">
      <c r="A37" s="3" t="inlineStr">
        <is>
          <t>Diesel manufacturing</t>
        </is>
      </c>
      <c r="B37" s="3" t="inlineStr">
        <is>
          <t>Sector activity</t>
        </is>
      </c>
      <c r="C37" s="3" t="inlineStr">
        <is>
          <t>index, base = 100</t>
        </is>
      </c>
      <c r="D37" s="120" t="n">
        <v>2030</v>
      </c>
      <c r="E37" s="118" t="n"/>
      <c r="F37" s="118" t="n"/>
      <c r="G37" s="118" t="n"/>
      <c r="H37" s="3" t="inlineStr">
        <is>
          <t>More diesel</t>
        </is>
      </c>
      <c r="I37" s="3" t="inlineStr">
        <is>
          <t>No numerical range proposed in this workbook.</t>
        </is>
      </c>
      <c r="J37" s="3" t="inlineStr">
        <is>
          <t>Manufacturing-specific activity and intensity; electrification separate unless already embedded. Reconcile baseline split. Specify annual path.</t>
        </is>
      </c>
      <c r="K37" s="10" t="n"/>
      <c r="L37" s="10" t="inlineStr">
        <is>
          <t>Open; Manish evidence, Nigel decision</t>
        </is>
      </c>
      <c r="M37" s="3" t="inlineStr">
        <is>
          <t>https://github.com/Africa-International-Advisors/liquid_fuels_model/blob/8c69f8333192483f19cd80911cb90fcd0943eb6b/workstreams/WS0_governance/workplan/fuel_lever_review_2026-10-07.md</t>
        </is>
      </c>
    </row>
    <row r="38" ht="100" customHeight="1">
      <c r="A38" s="3" t="inlineStr">
        <is>
          <t>Diesel manufacturing</t>
        </is>
      </c>
      <c r="B38" s="3" t="inlineStr">
        <is>
          <t>Sector activity</t>
        </is>
      </c>
      <c r="C38" s="3" t="inlineStr">
        <is>
          <t>index, base = 100</t>
        </is>
      </c>
      <c r="D38" s="120" t="n">
        <v>2035</v>
      </c>
      <c r="E38" s="118" t="n"/>
      <c r="F38" s="118" t="n"/>
      <c r="G38" s="118" t="n"/>
      <c r="H38" s="3" t="inlineStr">
        <is>
          <t>More diesel</t>
        </is>
      </c>
      <c r="I38" s="3" t="inlineStr">
        <is>
          <t>No numerical range proposed in this workbook.</t>
        </is>
      </c>
      <c r="J38" s="3" t="inlineStr">
        <is>
          <t>Manufacturing-specific activity and intensity; electrification separate unless already embedded. Reconcile baseline split. Specify annual path.</t>
        </is>
      </c>
      <c r="K38" s="10" t="n"/>
      <c r="L38" s="10" t="inlineStr">
        <is>
          <t>Open; Manish evidence, Nigel decision</t>
        </is>
      </c>
      <c r="M38" s="3" t="inlineStr">
        <is>
          <t>https://github.com/Africa-International-Advisors/liquid_fuels_model/blob/8c69f8333192483f19cd80911cb90fcd0943eb6b/workstreams/WS0_governance/workplan/fuel_lever_review_2026-10-07.md</t>
        </is>
      </c>
    </row>
    <row r="39" ht="100" customHeight="1">
      <c r="A39" s="3" t="inlineStr">
        <is>
          <t>Diesel manufacturing</t>
        </is>
      </c>
      <c r="B39" s="3" t="inlineStr">
        <is>
          <t>Relative sector fuel intensity</t>
        </is>
      </c>
      <c r="C39" s="3" t="inlineStr">
        <is>
          <t>base = 1</t>
        </is>
      </c>
      <c r="D39" s="120" t="n">
        <v>2030</v>
      </c>
      <c r="E39" s="118" t="n"/>
      <c r="F39" s="118" t="n"/>
      <c r="G39" s="118" t="n"/>
      <c r="H39" s="3" t="inlineStr">
        <is>
          <t>More diesel</t>
        </is>
      </c>
      <c r="I39" s="3" t="inlineStr">
        <is>
          <t>No numerical range proposed in this workbook.</t>
        </is>
      </c>
      <c r="J39" s="3" t="inlineStr">
        <is>
          <t>Manufacturing-specific activity and intensity; electrification separate unless already embedded. Reconcile baseline split. Specify annual path.</t>
        </is>
      </c>
      <c r="K39" s="10" t="n"/>
      <c r="L39" s="10" t="inlineStr">
        <is>
          <t>Open; Manish evidence, Nigel decision</t>
        </is>
      </c>
      <c r="M39" s="3" t="inlineStr">
        <is>
          <t>https://github.com/Africa-International-Advisors/liquid_fuels_model/blob/8c69f8333192483f19cd80911cb90fcd0943eb6b/workstreams/WS0_governance/workplan/fuel_lever_review_2026-10-07.md</t>
        </is>
      </c>
    </row>
    <row r="40" ht="100" customHeight="1">
      <c r="A40" s="3" t="inlineStr">
        <is>
          <t>Diesel manufacturing</t>
        </is>
      </c>
      <c r="B40" s="3" t="inlineStr">
        <is>
          <t>Relative sector fuel intensity</t>
        </is>
      </c>
      <c r="C40" s="3" t="inlineStr">
        <is>
          <t>base = 1</t>
        </is>
      </c>
      <c r="D40" s="120" t="n">
        <v>2035</v>
      </c>
      <c r="E40" s="118" t="n"/>
      <c r="F40" s="118" t="n"/>
      <c r="G40" s="118" t="n"/>
      <c r="H40" s="3" t="inlineStr">
        <is>
          <t>More diesel</t>
        </is>
      </c>
      <c r="I40" s="3" t="inlineStr">
        <is>
          <t>No numerical range proposed in this workbook.</t>
        </is>
      </c>
      <c r="J40" s="3" t="inlineStr">
        <is>
          <t>Manufacturing-specific activity and intensity; electrification separate unless already embedded. Reconcile baseline split. Specify annual path.</t>
        </is>
      </c>
      <c r="K40" s="10" t="n"/>
      <c r="L40" s="10" t="inlineStr">
        <is>
          <t>Open; Manish evidence, Nigel decision</t>
        </is>
      </c>
      <c r="M40" s="3" t="inlineStr">
        <is>
          <t>https://github.com/Africa-International-Advisors/liquid_fuels_model/blob/8c69f8333192483f19cd80911cb90fcd0943eb6b/workstreams/WS0_governance/workplan/fuel_lever_review_2026-10-07.md</t>
        </is>
      </c>
    </row>
    <row r="41" ht="100" customHeight="1">
      <c r="A41" s="3" t="inlineStr">
        <is>
          <t>Diesel private backup</t>
        </is>
      </c>
      <c r="B41" s="3" t="inlineStr">
        <is>
          <t>Generation / fuel burn</t>
        </is>
      </c>
      <c r="C41" s="3" t="inlineStr">
        <is>
          <t>definition due</t>
        </is>
      </c>
      <c r="D41" s="120" t="n">
        <v>2030</v>
      </c>
      <c r="E41" s="118" t="n"/>
      <c r="F41" s="118" t="n"/>
      <c r="G41" s="118" t="n"/>
      <c r="H41" s="3" t="inlineStr">
        <is>
          <t>More diesel</t>
        </is>
      </c>
      <c r="I41" s="3" t="inlineStr">
        <is>
          <t>No numerical range proposed in this workbook.</t>
        </is>
      </c>
      <c r="J41" s="3" t="inlineStr">
        <is>
          <t>Avoid overlap with grid OCGT and sector baselines. Specify annual path.</t>
        </is>
      </c>
      <c r="K41" s="10" t="n"/>
      <c r="L41" s="10" t="inlineStr">
        <is>
          <t>Open; Manish evidence, Nigel decision</t>
        </is>
      </c>
      <c r="M41" s="3" t="inlineStr">
        <is>
          <t>https://github.com/Africa-International-Advisors/liquid_fuels_model/blob/8c69f8333192483f19cd80911cb90fcd0943eb6b/workstreams/WS0_governance/workplan/fuel_lever_review_2026-10-07.md</t>
        </is>
      </c>
    </row>
    <row r="42" ht="100" customHeight="1">
      <c r="A42" s="3" t="inlineStr">
        <is>
          <t>Diesel private backup</t>
        </is>
      </c>
      <c r="B42" s="3" t="inlineStr">
        <is>
          <t>Generation / fuel burn</t>
        </is>
      </c>
      <c r="C42" s="3" t="inlineStr">
        <is>
          <t>definition due</t>
        </is>
      </c>
      <c r="D42" s="120" t="n">
        <v>2035</v>
      </c>
      <c r="E42" s="118" t="n"/>
      <c r="F42" s="118" t="n"/>
      <c r="G42" s="118" t="n"/>
      <c r="H42" s="3" t="inlineStr">
        <is>
          <t>More diesel</t>
        </is>
      </c>
      <c r="I42" s="3" t="inlineStr">
        <is>
          <t>No numerical range proposed in this workbook.</t>
        </is>
      </c>
      <c r="J42" s="3" t="inlineStr">
        <is>
          <t>Avoid overlap with grid OCGT and sector baselines. Specify annual path.</t>
        </is>
      </c>
      <c r="K42" s="10" t="n"/>
      <c r="L42" s="10" t="inlineStr">
        <is>
          <t>Open; Manish evidence, Nigel decision</t>
        </is>
      </c>
      <c r="M42" s="3" t="inlineStr">
        <is>
          <t>https://github.com/Africa-International-Advisors/liquid_fuels_model/blob/8c69f8333192483f19cd80911cb90fcd0943eb6b/workstreams/WS0_governance/workplan/fuel_lever_review_2026-10-07.md</t>
        </is>
      </c>
    </row>
    <row r="43" ht="100" customHeight="1">
      <c r="A43" s="3" t="inlineStr">
        <is>
          <t>Marine</t>
        </is>
      </c>
      <c r="B43" s="3" t="inlineStr">
        <is>
          <t>Activity / fuel intensity</t>
        </is>
      </c>
      <c r="C43" s="3" t="inlineStr">
        <is>
          <t>definition due</t>
        </is>
      </c>
      <c r="D43" s="120" t="n">
        <v>2030</v>
      </c>
      <c r="E43" s="118" t="n"/>
      <c r="F43" s="118" t="n"/>
      <c r="G43" s="118" t="n"/>
      <c r="H43" s="3" t="inlineStr">
        <is>
          <t>Depends on metric</t>
        </is>
      </c>
      <c r="I43" s="3" t="inlineStr">
        <is>
          <t>No numerical range proposed in this workbook.</t>
        </is>
      </c>
      <c r="J43" s="3" t="inlineStr">
        <is>
          <t>Separate product split, activity, efficiency and bunker coverage. Specify annual path.</t>
        </is>
      </c>
      <c r="K43" s="10" t="n"/>
      <c r="L43" s="10" t="inlineStr">
        <is>
          <t>Open; Manish evidence, Nigel decision</t>
        </is>
      </c>
      <c r="M43" s="3" t="inlineStr">
        <is>
          <t>https://github.com/Africa-International-Advisors/liquid_fuels_model/blob/8c69f8333192483f19cd80911cb90fcd0943eb6b/workstreams/WS0_governance/workplan/fuel_lever_review_2026-10-07.md</t>
        </is>
      </c>
    </row>
    <row r="44" ht="100" customHeight="1">
      <c r="A44" s="3" t="inlineStr">
        <is>
          <t>Marine</t>
        </is>
      </c>
      <c r="B44" s="3" t="inlineStr">
        <is>
          <t>Activity / fuel intensity</t>
        </is>
      </c>
      <c r="C44" s="3" t="inlineStr">
        <is>
          <t>definition due</t>
        </is>
      </c>
      <c r="D44" s="120" t="n">
        <v>2035</v>
      </c>
      <c r="E44" s="118" t="n"/>
      <c r="F44" s="118" t="n"/>
      <c r="G44" s="118" t="n"/>
      <c r="H44" s="3" t="inlineStr">
        <is>
          <t>Depends on metric</t>
        </is>
      </c>
      <c r="I44" s="3" t="inlineStr">
        <is>
          <t>No numerical range proposed in this workbook.</t>
        </is>
      </c>
      <c r="J44" s="3" t="inlineStr">
        <is>
          <t>Separate product split, activity, efficiency and bunker coverage. Specify annual path.</t>
        </is>
      </c>
      <c r="K44" s="10" t="n"/>
      <c r="L44" s="10" t="inlineStr">
        <is>
          <t>Open; Manish evidence, Nigel decision</t>
        </is>
      </c>
      <c r="M44" s="3" t="inlineStr">
        <is>
          <t>https://github.com/Africa-International-Advisors/liquid_fuels_model/blob/8c69f8333192483f19cd80911cb90fcd0943eb6b/workstreams/WS0_governance/workplan/fuel_lever_review_2026-10-07.md</t>
        </is>
      </c>
    </row>
    <row r="45" ht="52" customHeight="1">
      <c r="A45" s="3" t="n"/>
      <c r="B45" s="3" t="n"/>
      <c r="C45" s="3" t="n"/>
      <c r="D45" s="3" t="n"/>
      <c r="E45" s="3" t="n"/>
      <c r="F45" s="3" t="n"/>
      <c r="G45" s="3" t="n"/>
      <c r="H45" s="3" t="n"/>
      <c r="I45" s="3" t="n"/>
      <c r="J45" s="3" t="n"/>
      <c r="K45" s="3" t="n"/>
      <c r="L45" s="3" t="n"/>
      <c r="M45" s="3" t="n"/>
    </row>
    <row r="46" ht="100" customHeight="1">
      <c r="A46" s="56" t="inlineStr">
        <is>
          <t>Diesel freight</t>
        </is>
      </c>
      <c r="B46" s="57" t="inlineStr">
        <is>
          <t>Truck BEV new-sales share by duty cycle</t>
        </is>
      </c>
      <c r="C46" s="57" t="inlineStr">
        <is>
          <t>%</t>
        </is>
      </c>
      <c r="D46" s="146" t="n">
        <v>2030</v>
      </c>
      <c r="E46" s="147" t="n"/>
      <c r="F46" s="147" t="n"/>
      <c r="G46" s="147" t="n"/>
      <c r="H46" s="57" t="inlineStr">
        <is>
          <t>Less road diesel over fleet turnover</t>
        </is>
      </c>
      <c r="I46" s="57" t="inlineStr">
        <is>
          <t>No numerical brackets agreed.</t>
        </is>
      </c>
      <c r="J46" s="57" t="inlineStr">
        <is>
          <t>Separate delivery, regional and long haul; shares are new sales, not fleet or tonne-km. Annual path to agree.</t>
        </is>
      </c>
      <c r="K46" s="41" t="n"/>
      <c r="L46" s="41" t="inlineStr">
        <is>
          <t>Open; Manish evidence, Nigel decision</t>
        </is>
      </c>
      <c r="M46" s="57" t="inlineStr">
        <is>
          <t>Workshop proposal, 7 October 2026; no numerical assumption adopted.</t>
        </is>
      </c>
    </row>
    <row r="47" ht="100" customHeight="1">
      <c r="A47" s="57" t="inlineStr">
        <is>
          <t>Diesel freight</t>
        </is>
      </c>
      <c r="B47" s="57" t="inlineStr">
        <is>
          <t>Truck BEV new-sales share by duty cycle</t>
        </is>
      </c>
      <c r="C47" s="57" t="inlineStr">
        <is>
          <t>%</t>
        </is>
      </c>
      <c r="D47" s="146" t="n">
        <v>2035</v>
      </c>
      <c r="E47" s="147" t="n"/>
      <c r="F47" s="147" t="n"/>
      <c r="G47" s="147" t="n"/>
      <c r="H47" s="57" t="inlineStr">
        <is>
          <t>Less road diesel over fleet turnover</t>
        </is>
      </c>
      <c r="I47" s="57" t="inlineStr">
        <is>
          <t>No numerical brackets agreed.</t>
        </is>
      </c>
      <c r="J47" s="57" t="inlineStr">
        <is>
          <t>Separate delivery, regional and long haul; shares are new sales, not fleet or tonne-km. Annual path to agree.</t>
        </is>
      </c>
      <c r="K47" s="41" t="n"/>
      <c r="L47" s="41" t="inlineStr">
        <is>
          <t>Open; Manish evidence, Nigel decision</t>
        </is>
      </c>
      <c r="M47" s="57" t="inlineStr">
        <is>
          <t>Workshop proposal, 7 October 2026; no numerical assumption adopted.</t>
        </is>
      </c>
    </row>
    <row r="48" ht="100" customHeight="1">
      <c r="A48" s="57" t="inlineStr">
        <is>
          <t>Diesel freight</t>
        </is>
      </c>
      <c r="B48" s="57" t="inlineStr">
        <is>
          <t>Truck hybrid / PHEV shares</t>
        </is>
      </c>
      <c r="C48" s="57" t="inlineStr">
        <is>
          <t>%</t>
        </is>
      </c>
      <c r="D48" s="146" t="n">
        <v>2030</v>
      </c>
      <c r="E48" s="147" t="n"/>
      <c r="F48" s="147" t="n"/>
      <c r="G48" s="147" t="n"/>
      <c r="H48" s="57" t="inlineStr">
        <is>
          <t>Less diesel per km; not zero</t>
        </is>
      </c>
      <c r="I48" s="57" t="inlineStr">
        <is>
          <t>No numerical brackets agreed.</t>
        </is>
      </c>
      <c r="J48" s="57" t="inlineStr">
        <is>
          <t>Separate drivetrains and electric-distance fraction; shares reconcile with BEV and diesel. Annual path to agree.</t>
        </is>
      </c>
      <c r="K48" s="41" t="n"/>
      <c r="L48" s="41" t="inlineStr">
        <is>
          <t>Open; Manish evidence, Nigel decision</t>
        </is>
      </c>
      <c r="M48" s="57" t="inlineStr">
        <is>
          <t>Workshop proposal, 7 October 2026; no numerical assumption adopted.</t>
        </is>
      </c>
    </row>
    <row r="49" ht="100" customHeight="1">
      <c r="A49" s="57" t="inlineStr">
        <is>
          <t>Diesel freight</t>
        </is>
      </c>
      <c r="B49" s="57" t="inlineStr">
        <is>
          <t>Truck hybrid / PHEV shares</t>
        </is>
      </c>
      <c r="C49" s="57" t="inlineStr">
        <is>
          <t>%</t>
        </is>
      </c>
      <c r="D49" s="146" t="n">
        <v>2035</v>
      </c>
      <c r="E49" s="147" t="n"/>
      <c r="F49" s="147" t="n"/>
      <c r="G49" s="147" t="n"/>
      <c r="H49" s="57" t="inlineStr">
        <is>
          <t>Less diesel per km; not zero</t>
        </is>
      </c>
      <c r="I49" s="57" t="inlineStr">
        <is>
          <t>No numerical brackets agreed.</t>
        </is>
      </c>
      <c r="J49" s="57" t="inlineStr">
        <is>
          <t>Separate drivetrains and electric-distance fraction; shares reconcile with BEV and diesel. Annual path to agree.</t>
        </is>
      </c>
      <c r="K49" s="41" t="n"/>
      <c r="L49" s="41" t="inlineStr">
        <is>
          <t>Open; Manish evidence, Nigel decision</t>
        </is>
      </c>
      <c r="M49" s="57" t="inlineStr">
        <is>
          <t>Workshop proposal, 7 October 2026; no numerical assumption adopted.</t>
        </is>
      </c>
    </row>
    <row r="50" ht="100" customHeight="1">
      <c r="A50" s="57" t="inlineStr">
        <is>
          <t>Diesel freight</t>
        </is>
      </c>
      <c r="B50" s="57" t="inlineStr">
        <is>
          <t>Truck mileage by drivetrain</t>
        </is>
      </c>
      <c r="C50" s="57" t="inlineStr">
        <is>
          <t>km/vehicle/year</t>
        </is>
      </c>
      <c r="D50" s="146" t="n">
        <v>2030</v>
      </c>
      <c r="E50" s="148" t="n"/>
      <c r="F50" s="148" t="n"/>
      <c r="G50" s="148" t="n"/>
      <c r="H50" s="57" t="inlineStr">
        <is>
          <t>More work; fuel depends on drivetrain</t>
        </is>
      </c>
      <c r="I50" s="57" t="inlineStr">
        <is>
          <t>No numerical brackets agreed.</t>
        </is>
      </c>
      <c r="J50" s="57" t="inlineStr">
        <is>
          <t>Use fleet × mileage × payload to reconcile work shares; do not assume equal BEV and diesel utilisation. Annual path to agree.</t>
        </is>
      </c>
      <c r="K50" s="41" t="n"/>
      <c r="L50" s="41" t="inlineStr">
        <is>
          <t>Open; Manish evidence, Nigel decision</t>
        </is>
      </c>
      <c r="M50" s="57" t="inlineStr">
        <is>
          <t>Workshop proposal, 7 October 2026; no numerical assumption adopted.</t>
        </is>
      </c>
    </row>
    <row r="51" ht="100" customHeight="1">
      <c r="A51" s="57" t="inlineStr">
        <is>
          <t>Diesel freight</t>
        </is>
      </c>
      <c r="B51" s="57" t="inlineStr">
        <is>
          <t>Truck mileage by drivetrain</t>
        </is>
      </c>
      <c r="C51" s="57" t="inlineStr">
        <is>
          <t>km/vehicle/year</t>
        </is>
      </c>
      <c r="D51" s="146" t="n">
        <v>2035</v>
      </c>
      <c r="E51" s="148" t="n"/>
      <c r="F51" s="148" t="n"/>
      <c r="G51" s="148" t="n"/>
      <c r="H51" s="57" t="inlineStr">
        <is>
          <t>More work; fuel depends on drivetrain</t>
        </is>
      </c>
      <c r="I51" s="57" t="inlineStr">
        <is>
          <t>No numerical brackets agreed.</t>
        </is>
      </c>
      <c r="J51" s="57" t="inlineStr">
        <is>
          <t>Use fleet × mileage × payload to reconcile work shares; do not assume equal BEV and diesel utilisation. Annual path to agree.</t>
        </is>
      </c>
      <c r="K51" s="41" t="n"/>
      <c r="L51" s="41" t="inlineStr">
        <is>
          <t>Open; Manish evidence, Nigel decision</t>
        </is>
      </c>
      <c r="M51" s="57" t="inlineStr">
        <is>
          <t>Workshop proposal, 7 October 2026; no numerical assumption adopted.</t>
        </is>
      </c>
    </row>
    <row r="52" ht="100" customHeight="1">
      <c r="A52" s="57" t="inlineStr">
        <is>
          <t>Diesel freight</t>
        </is>
      </c>
      <c r="B52" s="57" t="inlineStr">
        <is>
          <t>Charging rollout and eligible duty cycles</t>
        </is>
      </c>
      <c r="C52" s="57" t="inlineStr">
        <is>
          <t>definition due</t>
        </is>
      </c>
      <c r="D52" s="146" t="n">
        <v>2030</v>
      </c>
      <c r="E52" s="148" t="n"/>
      <c r="F52" s="148" t="n"/>
      <c r="G52" s="148" t="n"/>
      <c r="H52" s="57" t="inlineStr">
        <is>
          <t>Constrains feasible uptake</t>
        </is>
      </c>
      <c r="I52" s="57" t="inlineStr">
        <is>
          <t>No numerical brackets agreed.</t>
        </is>
      </c>
      <c r="J52" s="57" t="inlineStr">
        <is>
          <t>Record route/depot access, dwell, grid power and timing. Not a second diesel reduction. Annual path to agree.</t>
        </is>
      </c>
      <c r="K52" s="41" t="n"/>
      <c r="L52" s="41" t="inlineStr">
        <is>
          <t>Open; Manish evidence, Nigel decision</t>
        </is>
      </c>
      <c r="M52" s="57" t="inlineStr">
        <is>
          <t>Workshop proposal, 7 October 2026; no numerical assumption adopted.</t>
        </is>
      </c>
    </row>
    <row r="53" ht="100" customHeight="1">
      <c r="A53" s="57" t="inlineStr">
        <is>
          <t>Diesel freight</t>
        </is>
      </c>
      <c r="B53" s="57" t="inlineStr">
        <is>
          <t>Charging rollout and eligible duty cycles</t>
        </is>
      </c>
      <c r="C53" s="57" t="inlineStr">
        <is>
          <t>definition due</t>
        </is>
      </c>
      <c r="D53" s="146" t="n">
        <v>2035</v>
      </c>
      <c r="E53" s="148" t="n"/>
      <c r="F53" s="148" t="n"/>
      <c r="G53" s="148" t="n"/>
      <c r="H53" s="57" t="inlineStr">
        <is>
          <t>Constrains feasible uptake</t>
        </is>
      </c>
      <c r="I53" s="57" t="inlineStr">
        <is>
          <t>No numerical brackets agreed.</t>
        </is>
      </c>
      <c r="J53" s="57" t="inlineStr">
        <is>
          <t>Record route/depot access, dwell, grid power and timing. Not a second diesel reduction. Annual path to agree.</t>
        </is>
      </c>
      <c r="K53" s="41" t="n"/>
      <c r="L53" s="41" t="inlineStr">
        <is>
          <t>Open; Manish evidence, Nigel decision</t>
        </is>
      </c>
      <c r="M53" s="57" t="inlineStr">
        <is>
          <t>Workshop proposal, 7 October 2026; no numerical assumption adopted.</t>
        </is>
      </c>
    </row>
    <row r="54" ht="100" customHeight="1">
      <c r="A54" s="57" t="inlineStr">
        <is>
          <t>Diesel manufacturing</t>
        </is>
      </c>
      <c r="B54" s="57" t="inlineStr">
        <is>
          <t>Remaining diesel fraction after electrification</t>
        </is>
      </c>
      <c r="C54" s="57" t="inlineStr">
        <is>
          <t>base year = 1</t>
        </is>
      </c>
      <c r="D54" s="146" t="n">
        <v>2030</v>
      </c>
      <c r="E54" s="148" t="n"/>
      <c r="F54" s="148" t="n"/>
      <c r="G54" s="148" t="n"/>
      <c r="H54" s="57" t="inlineStr">
        <is>
          <t>More diesel</t>
        </is>
      </c>
      <c r="I54" s="57" t="inlineStr">
        <is>
          <t>No numerical brackets agreed.</t>
        </is>
      </c>
      <c r="J54" s="57" t="inlineStr">
        <is>
          <t>Eligible manufacturing uses only; separate from efficiency and backup generation. Annual path to agree.</t>
        </is>
      </c>
      <c r="K54" s="41" t="n"/>
      <c r="L54" s="41" t="inlineStr">
        <is>
          <t>Open; Manish evidence, Nigel decision</t>
        </is>
      </c>
      <c r="M54" s="57" t="inlineStr">
        <is>
          <t>Workshop proposal, 7 October 2026; no numerical assumption adopted.</t>
        </is>
      </c>
    </row>
    <row r="55" ht="100" customHeight="1">
      <c r="A55" s="57" t="inlineStr">
        <is>
          <t>Diesel manufacturing</t>
        </is>
      </c>
      <c r="B55" s="57" t="inlineStr">
        <is>
          <t>Remaining diesel fraction after electrification</t>
        </is>
      </c>
      <c r="C55" s="57" t="inlineStr">
        <is>
          <t>base year = 1</t>
        </is>
      </c>
      <c r="D55" s="146" t="n">
        <v>2035</v>
      </c>
      <c r="E55" s="148" t="n"/>
      <c r="F55" s="148" t="n"/>
      <c r="G55" s="148" t="n"/>
      <c r="H55" s="57" t="inlineStr">
        <is>
          <t>More diesel</t>
        </is>
      </c>
      <c r="I55" s="57" t="inlineStr">
        <is>
          <t>No numerical brackets agreed.</t>
        </is>
      </c>
      <c r="J55" s="57" t="inlineStr">
        <is>
          <t>Eligible manufacturing uses only; separate from efficiency and backup generation. Annual path to agree.</t>
        </is>
      </c>
      <c r="K55" s="41" t="n"/>
      <c r="L55" s="41" t="inlineStr">
        <is>
          <t>Open; Manish evidence, Nigel decision</t>
        </is>
      </c>
      <c r="M55" s="57" t="inlineStr">
        <is>
          <t>Workshop proposal, 7 October 2026; no numerical assumption adopted.</t>
        </is>
      </c>
    </row>
    <row r="56" ht="100" customHeight="1">
      <c r="A56" s="57" t="inlineStr">
        <is>
          <t>Diesel mining</t>
        </is>
      </c>
      <c r="B56" s="57" t="inlineStr">
        <is>
          <t>Mining activity</t>
        </is>
      </c>
      <c r="C56" s="57" t="inlineStr">
        <is>
          <t>index, base = 100</t>
        </is>
      </c>
      <c r="D56" s="146" t="n">
        <v>2030</v>
      </c>
      <c r="E56" s="148" t="n"/>
      <c r="F56" s="148" t="n"/>
      <c r="G56" s="148" t="n"/>
      <c r="H56" s="57" t="inlineStr">
        <is>
          <t>More diesel</t>
        </is>
      </c>
      <c r="I56" s="57" t="inlineStr">
        <is>
          <t>No numerical brackets agreed.</t>
        </is>
      </c>
      <c r="J56" s="57" t="inlineStr">
        <is>
          <t>Commodity output or material moved by mine/subsector; specify matched base year. Annual path to agree.</t>
        </is>
      </c>
      <c r="K56" s="41" t="n"/>
      <c r="L56" s="41" t="inlineStr">
        <is>
          <t>Open; Manish evidence, Nigel decision</t>
        </is>
      </c>
      <c r="M56" s="57" t="inlineStr">
        <is>
          <t>Workshop proposal, 7 October 2026; no numerical assumption adopted.</t>
        </is>
      </c>
    </row>
    <row r="57" ht="100" customHeight="1">
      <c r="A57" s="57" t="inlineStr">
        <is>
          <t>Diesel mining</t>
        </is>
      </c>
      <c r="B57" s="57" t="inlineStr">
        <is>
          <t>Mining activity</t>
        </is>
      </c>
      <c r="C57" s="57" t="inlineStr">
        <is>
          <t>index, base = 100</t>
        </is>
      </c>
      <c r="D57" s="146" t="n">
        <v>2035</v>
      </c>
      <c r="E57" s="148" t="n"/>
      <c r="F57" s="148" t="n"/>
      <c r="G57" s="148" t="n"/>
      <c r="H57" s="57" t="inlineStr">
        <is>
          <t>More diesel</t>
        </is>
      </c>
      <c r="I57" s="57" t="inlineStr">
        <is>
          <t>No numerical brackets agreed.</t>
        </is>
      </c>
      <c r="J57" s="57" t="inlineStr">
        <is>
          <t>Commodity output or material moved by mine/subsector; specify matched base year. Annual path to agree.</t>
        </is>
      </c>
      <c r="K57" s="41" t="n"/>
      <c r="L57" s="41" t="inlineStr">
        <is>
          <t>Open; Manish evidence, Nigel decision</t>
        </is>
      </c>
      <c r="M57" s="57" t="inlineStr">
        <is>
          <t>Workshop proposal, 7 October 2026; no numerical assumption adopted.</t>
        </is>
      </c>
    </row>
    <row r="58" ht="100" customHeight="1">
      <c r="A58" s="57" t="inlineStr">
        <is>
          <t>Diesel mining</t>
        </is>
      </c>
      <c r="B58" s="57" t="inlineStr">
        <is>
          <t>Relative mining operating intensity</t>
        </is>
      </c>
      <c r="C58" s="57" t="inlineStr">
        <is>
          <t>base = 1</t>
        </is>
      </c>
      <c r="D58" s="146" t="n">
        <v>2030</v>
      </c>
      <c r="E58" s="148" t="n"/>
      <c r="F58" s="148" t="n"/>
      <c r="G58" s="148" t="n"/>
      <c r="H58" s="57" t="inlineStr">
        <is>
          <t>More diesel</t>
        </is>
      </c>
      <c r="I58" s="57" t="inlineStr">
        <is>
          <t>No numerical brackets agreed.</t>
        </is>
      </c>
      <c r="J58" s="57" t="inlineStr">
        <is>
          <t>Haul work, depth, grade and equipment mix; avoid overlap with activity and electrification. Annual path to agree.</t>
        </is>
      </c>
      <c r="K58" s="41" t="n"/>
      <c r="L58" s="41" t="inlineStr">
        <is>
          <t>Open; Manish evidence, Nigel decision</t>
        </is>
      </c>
      <c r="M58" s="57" t="inlineStr">
        <is>
          <t>Workshop proposal, 7 October 2026; no numerical assumption adopted.</t>
        </is>
      </c>
    </row>
    <row r="59" ht="100" customHeight="1">
      <c r="A59" s="57" t="inlineStr">
        <is>
          <t>Diesel mining</t>
        </is>
      </c>
      <c r="B59" s="57" t="inlineStr">
        <is>
          <t>Relative mining operating intensity</t>
        </is>
      </c>
      <c r="C59" s="57" t="inlineStr">
        <is>
          <t>base = 1</t>
        </is>
      </c>
      <c r="D59" s="146" t="n">
        <v>2035</v>
      </c>
      <c r="E59" s="148" t="n"/>
      <c r="F59" s="148" t="n"/>
      <c r="G59" s="148" t="n"/>
      <c r="H59" s="57" t="inlineStr">
        <is>
          <t>More diesel</t>
        </is>
      </c>
      <c r="I59" s="57" t="inlineStr">
        <is>
          <t>No numerical brackets agreed.</t>
        </is>
      </c>
      <c r="J59" s="57" t="inlineStr">
        <is>
          <t>Haul work, depth, grade and equipment mix; avoid overlap with activity and electrification. Annual path to agree.</t>
        </is>
      </c>
      <c r="K59" s="41" t="n"/>
      <c r="L59" s="41" t="inlineStr">
        <is>
          <t>Open; Manish evidence, Nigel decision</t>
        </is>
      </c>
      <c r="M59" s="57" t="inlineStr">
        <is>
          <t>Workshop proposal, 7 October 2026; no numerical assumption adopted.</t>
        </is>
      </c>
    </row>
    <row r="60" ht="100" customHeight="1">
      <c r="A60" s="57" t="inlineStr">
        <is>
          <t>Diesel mining</t>
        </is>
      </c>
      <c r="B60" s="57" t="inlineStr">
        <is>
          <t>Remaining diesel fraction after electrification</t>
        </is>
      </c>
      <c r="C60" s="57" t="inlineStr">
        <is>
          <t>base year = 1</t>
        </is>
      </c>
      <c r="D60" s="146" t="n">
        <v>2030</v>
      </c>
      <c r="E60" s="148" t="n"/>
      <c r="F60" s="148" t="n"/>
      <c r="G60" s="148" t="n"/>
      <c r="H60" s="57" t="inlineStr">
        <is>
          <t>More diesel</t>
        </is>
      </c>
      <c r="I60" s="57" t="inlineStr">
        <is>
          <t>No numerical brackets agreed.</t>
        </is>
      </c>
      <c r="J60" s="57" t="inlineStr">
        <is>
          <t>Mine-equipment-specific transition; do not borrow road-truck uptake. Annual path to agree.</t>
        </is>
      </c>
      <c r="K60" s="41" t="n"/>
      <c r="L60" s="41" t="inlineStr">
        <is>
          <t>Open; Manish evidence, Nigel decision</t>
        </is>
      </c>
      <c r="M60" s="57" t="inlineStr">
        <is>
          <t>Workshop proposal, 7 October 2026; no numerical assumption adopted.</t>
        </is>
      </c>
    </row>
    <row r="61" ht="100" customHeight="1">
      <c r="A61" s="57" t="inlineStr">
        <is>
          <t>Diesel mining</t>
        </is>
      </c>
      <c r="B61" s="57" t="inlineStr">
        <is>
          <t>Remaining diesel fraction after electrification</t>
        </is>
      </c>
      <c r="C61" s="57" t="inlineStr">
        <is>
          <t>base year = 1</t>
        </is>
      </c>
      <c r="D61" s="146" t="n">
        <v>2035</v>
      </c>
      <c r="E61" s="148" t="n"/>
      <c r="F61" s="148" t="n"/>
      <c r="G61" s="148" t="n"/>
      <c r="H61" s="57" t="inlineStr">
        <is>
          <t>More diesel</t>
        </is>
      </c>
      <c r="I61" s="57" t="inlineStr">
        <is>
          <t>No numerical brackets agreed.</t>
        </is>
      </c>
      <c r="J61" s="57" t="inlineStr">
        <is>
          <t>Mine-equipment-specific transition; do not borrow road-truck uptake. Annual path to agree.</t>
        </is>
      </c>
      <c r="K61" s="41" t="n"/>
      <c r="L61" s="41" t="inlineStr">
        <is>
          <t>Open; Manish evidence, Nigel decision</t>
        </is>
      </c>
      <c r="M61" s="57" t="inlineStr">
        <is>
          <t>Workshop proposal, 7 October 2026; no numerical assumption adopted.</t>
        </is>
      </c>
    </row>
    <row r="62" ht="52" customHeight="1">
      <c r="A62" s="3" t="n"/>
      <c r="B62" s="3" t="n"/>
      <c r="C62" s="3" t="n"/>
      <c r="D62" s="3" t="n"/>
      <c r="E62" s="3" t="n"/>
      <c r="F62" s="3" t="n"/>
      <c r="G62" s="3" t="n"/>
      <c r="H62" s="3" t="n"/>
      <c r="I62" s="3" t="n"/>
      <c r="J62" s="3" t="n"/>
      <c r="K62" s="3" t="n"/>
      <c r="L62" s="3" t="n"/>
      <c r="M62" s="3" t="n"/>
    </row>
    <row r="63" ht="100" customHeight="1">
      <c r="A63" s="37" t="inlineStr">
        <is>
          <t>Workshop rules</t>
        </is>
      </c>
      <c r="B63" s="37" t="n"/>
      <c r="C63" s="37" t="n"/>
      <c r="D63" s="37" t="n"/>
      <c r="E63" s="37" t="n"/>
      <c r="F63" s="37" t="n"/>
      <c r="G63" s="37" t="n"/>
      <c r="H63" s="37" t="n"/>
      <c r="I63" s="37" t="n"/>
      <c r="J63" s="37" t="n"/>
      <c r="K63" s="37" t="n"/>
      <c r="L63" s="37" t="n"/>
      <c r="M63" s="37" t="n"/>
    </row>
    <row r="64" ht="100" customHeight="1">
      <c r="A64" s="3" t="inlineStr">
        <is>
          <t>Scenario construction</t>
        </is>
      </c>
      <c r="B64" s="3" t="inlineStr">
        <is>
          <t>Select low / medium / high independently for each input. Do not select all highs and call it high demand.</t>
        </is>
      </c>
      <c r="C64" s="3" t="n"/>
      <c r="D64" s="3" t="n"/>
      <c r="E64" s="3" t="n"/>
      <c r="F64" s="3" t="n"/>
      <c r="G64" s="3" t="n"/>
      <c r="H64" s="3" t="n"/>
      <c r="I64" s="3" t="inlineStr">
        <is>
          <t>Medium is a proposed reference, not an approved baseline.</t>
        </is>
      </c>
      <c r="J64" s="3" t="inlineStr">
        <is>
          <t>Keep supply utilisation, yields and restarts on an independent supply axis.</t>
        </is>
      </c>
      <c r="K64" s="3" t="n"/>
      <c r="L64" s="3" t="inlineStr">
        <is>
          <t>Nigel / Henry</t>
        </is>
      </c>
      <c r="M64" s="3" t="n"/>
    </row>
    <row r="65" ht="100" customHeight="1">
      <c r="A65" s="3" t="inlineStr">
        <is>
          <t>Annual paths</t>
        </is>
      </c>
      <c r="B65" s="3" t="inlineStr">
        <is>
          <t>Endpoints do not define the intervening years.</t>
        </is>
      </c>
      <c r="C65" s="3" t="n"/>
      <c r="D65" s="3" t="n"/>
      <c r="E65" s="3" t="n"/>
      <c r="F65" s="3" t="n"/>
      <c r="G65" s="3" t="n"/>
      <c r="H65" s="3" t="n"/>
      <c r="I65" s="3" t="inlineStr">
        <is>
          <t>Agree opening observation, timing, ramp, constraints and post-2035 treatment.</t>
        </is>
      </c>
      <c r="J65" s="3" t="inlineStr">
        <is>
          <t>Reconcile provincial weighted adoption with a national target when one is imposed.</t>
        </is>
      </c>
      <c r="K65" s="3" t="n"/>
      <c r="L65" s="3" t="inlineStr">
        <is>
          <t>Manish / Nigel</t>
        </is>
      </c>
      <c r="M65" s="3" t="n"/>
    </row>
    <row r="66" ht="52" customHeight="1">
      <c r="A66" s="3" t="n"/>
      <c r="B66" s="3" t="n"/>
      <c r="C66" s="3" t="n"/>
      <c r="D66" s="3" t="n"/>
      <c r="E66" s="3" t="n"/>
      <c r="F66" s="3" t="n"/>
      <c r="G66" s="3" t="n"/>
      <c r="H66" s="3" t="n"/>
      <c r="I66" s="3" t="n"/>
      <c r="J66" s="3" t="n"/>
      <c r="K66" s="3" t="n"/>
      <c r="L66" s="3" t="n"/>
      <c r="M66" s="3" t="n"/>
    </row>
    <row r="67" ht="52" customHeight="1">
      <c r="A67" s="3" t="n"/>
      <c r="B67" s="3" t="n"/>
      <c r="C67" s="3" t="n"/>
      <c r="D67" s="3" t="n"/>
      <c r="E67" s="3" t="n"/>
      <c r="F67" s="3" t="n"/>
      <c r="G67" s="3" t="n"/>
      <c r="H67" s="3" t="n"/>
      <c r="I67" s="3" t="n"/>
      <c r="J67" s="3" t="n"/>
      <c r="K67" s="3" t="n"/>
      <c r="L67" s="3" t="n"/>
      <c r="M67" s="3" t="n"/>
    </row>
    <row r="68" ht="52" customHeight="1">
      <c r="A68" s="3" t="n"/>
      <c r="B68" s="3" t="n"/>
      <c r="C68" s="3" t="n"/>
      <c r="D68" s="3" t="n"/>
      <c r="E68" s="3" t="n"/>
      <c r="F68" s="3" t="n"/>
      <c r="G68" s="3" t="n"/>
      <c r="H68" s="3" t="n"/>
      <c r="I68" s="3" t="n"/>
      <c r="J68" s="3" t="n"/>
      <c r="K68" s="3" t="n"/>
      <c r="L68" s="3" t="n"/>
      <c r="M68" s="3" t="n"/>
    </row>
    <row r="69" ht="52" customHeight="1">
      <c r="A69" s="3" t="n"/>
      <c r="B69" s="3" t="n"/>
      <c r="C69" s="3" t="n"/>
      <c r="D69" s="3" t="n"/>
      <c r="E69" s="3" t="n"/>
      <c r="F69" s="3" t="n"/>
      <c r="G69" s="3" t="n"/>
      <c r="H69" s="3" t="n"/>
      <c r="I69" s="3" t="n"/>
      <c r="J69" s="3" t="n"/>
      <c r="K69" s="3" t="n"/>
      <c r="L69" s="3" t="n"/>
      <c r="M69" s="3" t="n"/>
    </row>
    <row r="70" ht="52" customHeight="1">
      <c r="A70" s="3" t="n"/>
      <c r="B70" s="3" t="n"/>
      <c r="C70" s="3" t="n"/>
      <c r="D70" s="3" t="n"/>
      <c r="E70" s="3" t="n"/>
      <c r="F70" s="3" t="n"/>
      <c r="G70" s="3" t="n"/>
      <c r="H70" s="3" t="n"/>
      <c r="I70" s="3" t="n"/>
      <c r="J70" s="3" t="n"/>
      <c r="K70" s="3" t="n"/>
      <c r="L70" s="3" t="n"/>
      <c r="M70" s="3" t="n"/>
    </row>
    <row r="71" ht="52" customHeight="1">
      <c r="A71" s="3" t="n"/>
      <c r="B71" s="3" t="n"/>
      <c r="C71" s="3" t="n"/>
      <c r="D71" s="3" t="n"/>
      <c r="E71" s="3" t="n"/>
      <c r="F71" s="3" t="n"/>
      <c r="G71" s="3" t="n"/>
      <c r="H71" s="3" t="n"/>
      <c r="I71" s="3" t="n"/>
      <c r="J71" s="3" t="n"/>
      <c r="K71" s="3" t="n"/>
      <c r="L71" s="3" t="n"/>
      <c r="M71" s="3" t="n"/>
    </row>
    <row r="72" ht="52" customHeight="1">
      <c r="A72" s="3" t="n"/>
      <c r="B72" s="3" t="n"/>
      <c r="C72" s="3" t="n"/>
      <c r="D72" s="3" t="n"/>
      <c r="E72" s="3" t="n"/>
      <c r="F72" s="3" t="n"/>
      <c r="G72" s="3" t="n"/>
      <c r="H72" s="3" t="n"/>
      <c r="I72" s="3" t="n"/>
      <c r="J72" s="3" t="n"/>
      <c r="K72" s="3" t="n"/>
      <c r="L72" s="3" t="n"/>
      <c r="M72" s="3" t="n"/>
    </row>
    <row r="73" ht="52" customHeight="1">
      <c r="A73" s="3" t="n"/>
      <c r="B73" s="3" t="n"/>
      <c r="C73" s="3" t="n"/>
      <c r="D73" s="3" t="n"/>
      <c r="E73" s="3" t="n"/>
      <c r="F73" s="3" t="n"/>
      <c r="G73" s="3" t="n"/>
      <c r="H73" s="3" t="n"/>
      <c r="I73" s="3" t="n"/>
      <c r="J73" s="3" t="n"/>
      <c r="K73" s="3" t="n"/>
      <c r="L73" s="3" t="n"/>
      <c r="M73" s="3" t="n"/>
    </row>
    <row r="74" ht="52" customHeight="1">
      <c r="A74" s="3" t="n"/>
      <c r="B74" s="3" t="n"/>
      <c r="C74" s="3" t="n"/>
      <c r="D74" s="3" t="n"/>
      <c r="E74" s="3" t="n"/>
      <c r="F74" s="3" t="n"/>
      <c r="G74" s="3" t="n"/>
      <c r="H74" s="3" t="n"/>
      <c r="I74" s="3" t="n"/>
      <c r="J74" s="3" t="n"/>
      <c r="K74" s="3" t="n"/>
      <c r="L74" s="3" t="n"/>
      <c r="M74" s="3" t="n"/>
    </row>
    <row r="75" ht="52" customHeight="1">
      <c r="A75" s="3" t="n"/>
      <c r="B75" s="3" t="n"/>
      <c r="C75" s="3" t="n"/>
      <c r="D75" s="3" t="n"/>
      <c r="E75" s="3" t="n"/>
      <c r="F75" s="3" t="n"/>
      <c r="G75" s="3" t="n"/>
      <c r="H75" s="3" t="n"/>
      <c r="I75" s="3" t="n"/>
      <c r="J75" s="3" t="n"/>
      <c r="K75" s="3" t="n"/>
      <c r="L75" s="3" t="n"/>
      <c r="M75" s="3" t="n"/>
    </row>
    <row r="76" ht="52" customHeight="1">
      <c r="A76" s="3" t="n"/>
      <c r="B76" s="3" t="n"/>
      <c r="C76" s="3" t="n"/>
      <c r="D76" s="3" t="n"/>
      <c r="E76" s="3" t="n"/>
      <c r="F76" s="3" t="n"/>
      <c r="G76" s="3" t="n"/>
      <c r="H76" s="3" t="n"/>
      <c r="I76" s="3" t="n"/>
      <c r="J76" s="3" t="n"/>
      <c r="K76" s="3" t="n"/>
      <c r="L76" s="3" t="n"/>
      <c r="M76" s="3" t="n"/>
    </row>
    <row r="77" ht="52" customHeight="1">
      <c r="A77" s="3" t="n"/>
      <c r="B77" s="3" t="n"/>
      <c r="C77" s="3" t="n"/>
      <c r="D77" s="3" t="n"/>
      <c r="E77" s="3" t="n"/>
      <c r="F77" s="3" t="n"/>
      <c r="G77" s="3" t="n"/>
      <c r="H77" s="3" t="n"/>
      <c r="I77" s="3" t="n"/>
      <c r="J77" s="3" t="n"/>
      <c r="K77" s="3" t="n"/>
      <c r="L77" s="3" t="n"/>
      <c r="M77" s="3" t="n"/>
    </row>
    <row r="78" ht="52" customHeight="1">
      <c r="A78" s="3" t="n"/>
      <c r="B78" s="3" t="n"/>
      <c r="C78" s="3" t="n"/>
      <c r="D78" s="3" t="n"/>
      <c r="E78" s="3" t="n"/>
      <c r="F78" s="3" t="n"/>
      <c r="G78" s="3" t="n"/>
      <c r="H78" s="3" t="n"/>
      <c r="I78" s="3" t="n"/>
      <c r="J78" s="3" t="n"/>
      <c r="K78" s="3" t="n"/>
      <c r="L78" s="3" t="n"/>
      <c r="M78" s="3" t="n"/>
    </row>
    <row r="79" ht="52" customHeight="1">
      <c r="A79" s="3" t="n"/>
      <c r="B79" s="3" t="n"/>
      <c r="C79" s="3" t="n"/>
      <c r="D79" s="3" t="n"/>
      <c r="E79" s="3" t="n"/>
      <c r="F79" s="3" t="n"/>
      <c r="G79" s="3" t="n"/>
      <c r="H79" s="3" t="n"/>
      <c r="I79" s="3" t="n"/>
      <c r="J79" s="3" t="n"/>
      <c r="K79" s="3" t="n"/>
      <c r="L79" s="3" t="n"/>
      <c r="M79" s="3" t="n"/>
    </row>
    <row r="80" ht="52" customHeight="1">
      <c r="A80" s="3" t="n"/>
      <c r="B80" s="3" t="n"/>
      <c r="C80" s="3" t="n"/>
      <c r="D80" s="3" t="n"/>
      <c r="E80" s="3" t="n"/>
      <c r="F80" s="3" t="n"/>
      <c r="G80" s="3" t="n"/>
      <c r="H80" s="3" t="n"/>
      <c r="I80" s="3" t="n"/>
      <c r="J80" s="3" t="n"/>
      <c r="K80" s="3" t="n"/>
      <c r="L80" s="3" t="n"/>
      <c r="M80" s="3" t="n"/>
    </row>
    <row r="81" ht="52" customHeight="1">
      <c r="A81" s="3" t="n"/>
      <c r="B81" s="3" t="n"/>
      <c r="C81" s="3" t="n"/>
      <c r="D81" s="3" t="n"/>
      <c r="E81" s="3" t="n"/>
      <c r="F81" s="3" t="n"/>
      <c r="G81" s="3" t="n"/>
      <c r="H81" s="3" t="n"/>
      <c r="I81" s="3" t="n"/>
      <c r="J81" s="3" t="n"/>
      <c r="K81" s="3" t="n"/>
      <c r="L81" s="3" t="n"/>
      <c r="M81" s="3" t="n"/>
    </row>
    <row r="82" ht="52" customHeight="1">
      <c r="A82" s="3" t="n"/>
      <c r="B82" s="3" t="n"/>
      <c r="C82" s="3" t="n"/>
      <c r="D82" s="3" t="n"/>
      <c r="E82" s="3" t="n"/>
      <c r="F82" s="3" t="n"/>
      <c r="G82" s="3" t="n"/>
      <c r="H82" s="3" t="n"/>
      <c r="I82" s="3" t="n"/>
      <c r="J82" s="3" t="n"/>
      <c r="K82" s="3" t="n"/>
      <c r="L82" s="3" t="n"/>
      <c r="M82" s="3" t="n"/>
    </row>
    <row r="83" ht="52" customHeight="1">
      <c r="A83" s="3" t="n"/>
      <c r="B83" s="3" t="n"/>
      <c r="C83" s="3" t="n"/>
      <c r="D83" s="3" t="n"/>
      <c r="E83" s="3" t="n"/>
      <c r="F83" s="3" t="n"/>
      <c r="G83" s="3" t="n"/>
      <c r="H83" s="3" t="n"/>
      <c r="I83" s="3" t="n"/>
      <c r="J83" s="3" t="n"/>
      <c r="K83" s="3" t="n"/>
      <c r="L83" s="3" t="n"/>
      <c r="M83" s="3" t="n"/>
    </row>
    <row r="84" ht="52" customHeight="1">
      <c r="A84" s="3" t="n"/>
      <c r="B84" s="3" t="n"/>
      <c r="C84" s="3" t="n"/>
      <c r="D84" s="3" t="n"/>
      <c r="E84" s="3" t="n"/>
      <c r="F84" s="3" t="n"/>
      <c r="G84" s="3" t="n"/>
      <c r="H84" s="3" t="n"/>
      <c r="I84" s="3" t="n"/>
      <c r="J84" s="3" t="n"/>
      <c r="K84" s="3" t="n"/>
      <c r="L84" s="3" t="n"/>
      <c r="M84" s="3" t="n"/>
    </row>
    <row r="85" ht="52" customHeight="1">
      <c r="A85" s="3" t="n"/>
      <c r="B85" s="3" t="n"/>
      <c r="C85" s="3" t="n"/>
      <c r="D85" s="3" t="n"/>
      <c r="E85" s="3" t="n"/>
      <c r="F85" s="3" t="n"/>
      <c r="G85" s="3" t="n"/>
      <c r="H85" s="3" t="n"/>
      <c r="I85" s="3" t="n"/>
      <c r="J85" s="3" t="n"/>
      <c r="K85" s="3" t="n"/>
      <c r="L85" s="3" t="n"/>
      <c r="M85" s="3" t="n"/>
    </row>
    <row r="86" ht="52" customHeight="1">
      <c r="A86" s="3" t="n"/>
      <c r="B86" s="3" t="n"/>
      <c r="C86" s="3" t="n"/>
      <c r="D86" s="3" t="n"/>
      <c r="E86" s="3" t="n"/>
      <c r="F86" s="3" t="n"/>
      <c r="G86" s="3" t="n"/>
      <c r="H86" s="3" t="n"/>
      <c r="I86" s="3" t="n"/>
      <c r="J86" s="3" t="n"/>
      <c r="K86" s="3" t="n"/>
      <c r="L86" s="3" t="n"/>
      <c r="M86" s="3" t="n"/>
    </row>
    <row r="87" ht="52" customHeight="1">
      <c r="A87" s="3" t="n"/>
      <c r="B87" s="3" t="n"/>
      <c r="C87" s="3" t="n"/>
      <c r="D87" s="3" t="n"/>
      <c r="E87" s="3" t="n"/>
      <c r="F87" s="3" t="n"/>
      <c r="G87" s="3" t="n"/>
      <c r="H87" s="3" t="n"/>
      <c r="I87" s="3" t="n"/>
      <c r="J87" s="3" t="n"/>
      <c r="K87" s="3" t="n"/>
      <c r="L87" s="3" t="n"/>
      <c r="M87" s="3" t="n"/>
    </row>
    <row r="88" ht="52" customHeight="1">
      <c r="A88" s="3" t="n"/>
      <c r="B88" s="3" t="n"/>
      <c r="C88" s="3" t="n"/>
      <c r="D88" s="3" t="n"/>
      <c r="E88" s="3" t="n"/>
      <c r="F88" s="3" t="n"/>
      <c r="G88" s="3" t="n"/>
      <c r="H88" s="3" t="n"/>
      <c r="I88" s="3" t="n"/>
      <c r="J88" s="3" t="n"/>
      <c r="K88" s="3" t="n"/>
      <c r="L88" s="3" t="n"/>
      <c r="M88" s="3" t="n"/>
    </row>
    <row r="89" ht="52" customHeight="1">
      <c r="A89" s="3" t="n"/>
      <c r="B89" s="3" t="n"/>
      <c r="C89" s="3" t="n"/>
      <c r="D89" s="3" t="n"/>
      <c r="E89" s="3" t="n"/>
      <c r="F89" s="3" t="n"/>
      <c r="G89" s="3" t="n"/>
      <c r="H89" s="3" t="n"/>
      <c r="I89" s="3" t="n"/>
      <c r="J89" s="3" t="n"/>
      <c r="K89" s="3" t="n"/>
      <c r="L89" s="3" t="n"/>
      <c r="M89" s="3" t="n"/>
    </row>
    <row r="90" ht="52" customHeight="1">
      <c r="A90" s="3" t="n"/>
      <c r="B90" s="3" t="n"/>
      <c r="C90" s="3" t="n"/>
      <c r="D90" s="3" t="n"/>
      <c r="E90" s="3" t="n"/>
      <c r="F90" s="3" t="n"/>
      <c r="G90" s="3" t="n"/>
      <c r="H90" s="3" t="n"/>
      <c r="I90" s="3" t="n"/>
      <c r="J90" s="3" t="n"/>
      <c r="K90" s="3" t="n"/>
      <c r="L90" s="3" t="n"/>
      <c r="M90" s="3" t="n"/>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V12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Historical baseline, 2012-2025</t>
        </is>
      </c>
    </row>
    <row r="2">
      <c r="A2" s="1" t="inlineStr">
        <is>
          <t>Layout follows the table drawn at the 7 October check-in. Observations are values from the registered inputs; totals and balances are formulas. Million litres a year, calendar years unless a row says otherwise.</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Department sales by province: petrol</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Gauteng petrol</t>
        </is>
      </c>
      <c r="B6" s="153" t="inlineStr">
        <is>
          <t>million L/year</t>
        </is>
      </c>
      <c r="C6" s="153" t="inlineStr">
        <is>
          <t>Observation to 2022; estimate after</t>
        </is>
      </c>
      <c r="D6" s="154" t="n"/>
      <c r="E6" s="152" t="inlineStr">
        <is>
          <t>District-level sales summed to province, 2013-2022. Shows where fuel was sold, not where it was used. 2023 (yellow, italic) holds ESTIMATES from section 6, not department data; 2024 and 2025 are blank.</t>
        </is>
      </c>
      <c r="F6" s="154" t="n"/>
      <c r="G6" s="154" t="n">
        <v>4171.983524</v>
      </c>
      <c r="H6" s="154" t="n">
        <v>3979.997125</v>
      </c>
      <c r="I6" s="154" t="n">
        <v>4119.366712</v>
      </c>
      <c r="J6" s="154" t="n">
        <v>4176.977822376999</v>
      </c>
      <c r="K6" s="154" t="n">
        <v>4088.405053397992</v>
      </c>
      <c r="L6" s="154" t="n">
        <v>3997.042005330989</v>
      </c>
      <c r="M6" s="154" t="n">
        <v>4076.24462588499</v>
      </c>
      <c r="N6" s="154" t="n">
        <v>3135.066820591998</v>
      </c>
      <c r="O6" s="154" t="n">
        <v>3440.817407428995</v>
      </c>
      <c r="P6" s="154" t="n">
        <v>3530.440256933996</v>
      </c>
      <c r="Q6" s="155">
        <f>IF(ISNUMBER(Q88),Q88,"")</f>
        <v/>
      </c>
      <c r="R6" s="155">
        <f>IF(ISNUMBER(R88),R88,"")</f>
        <v/>
      </c>
      <c r="S6" s="155">
        <f>IF(ISNUMBER(S88),S88,"")</f>
        <v/>
      </c>
      <c r="T6" s="152" t="inlineStr">
        <is>
          <t>2013-2022 observed; 2023-2025 estimated</t>
        </is>
      </c>
      <c r="U6" s="152" t="inlineStr">
        <is>
          <t>Department of Mineral and Petroleum Resources, sales volumes, district workbooks; estimates: see section 6</t>
        </is>
      </c>
      <c r="V6" s="152" t="inlineStr">
        <is>
          <t>Replace the estimates when the department publishes district data after 2023 quarter 1</t>
        </is>
      </c>
    </row>
    <row r="7">
      <c r="A7" s="152" t="inlineStr">
        <is>
          <t>KwaZulu-Natal petrol</t>
        </is>
      </c>
      <c r="B7" s="153" t="inlineStr">
        <is>
          <t>million L/year</t>
        </is>
      </c>
      <c r="C7" s="153" t="inlineStr">
        <is>
          <t>Observation to 2022; estimate after</t>
        </is>
      </c>
      <c r="D7" s="154" t="n"/>
      <c r="E7" s="152" t="inlineStr">
        <is>
          <t>District-level sales summed to province, 2013-2022. Shows where fuel was sold, not where it was used. 2023 (yellow, italic) holds ESTIMATES from section 6, not department data; 2024 and 2025 are blank.</t>
        </is>
      </c>
      <c r="F7" s="154" t="n"/>
      <c r="G7" s="154" t="n">
        <v>1812.811997</v>
      </c>
      <c r="H7" s="154" t="n">
        <v>1720.802481</v>
      </c>
      <c r="I7" s="154" t="n">
        <v>1787.55299</v>
      </c>
      <c r="J7" s="154" t="n">
        <v>1765.676202214999</v>
      </c>
      <c r="K7" s="154" t="n">
        <v>1725.656013445999</v>
      </c>
      <c r="L7" s="154" t="n">
        <v>1631.980330118998</v>
      </c>
      <c r="M7" s="154" t="n">
        <v>1678.493347827998</v>
      </c>
      <c r="N7" s="154" t="n">
        <v>1448.369960555999</v>
      </c>
      <c r="O7" s="154" t="n">
        <v>1549.922121068</v>
      </c>
      <c r="P7" s="154" t="n">
        <v>1498.937893394999</v>
      </c>
      <c r="Q7" s="155">
        <f>IF(ISNUMBER(Q89),Q89,"")</f>
        <v/>
      </c>
      <c r="R7" s="155">
        <f>IF(ISNUMBER(R89),R89,"")</f>
        <v/>
      </c>
      <c r="S7" s="155">
        <f>IF(ISNUMBER(S89),S89,"")</f>
        <v/>
      </c>
      <c r="T7" s="152" t="inlineStr">
        <is>
          <t>2013-2022 observed; 2023-2025 estimated</t>
        </is>
      </c>
      <c r="U7" s="152" t="inlineStr">
        <is>
          <t>Department of Mineral and Petroleum Resources, sales volumes, district workbooks; estimates: see section 6</t>
        </is>
      </c>
      <c r="V7" s="152" t="inlineStr">
        <is>
          <t>Replace the estimates when the department publishes district data after 2023 quarter 1</t>
        </is>
      </c>
    </row>
    <row r="8">
      <c r="A8" s="152" t="inlineStr">
        <is>
          <t>Western Cape petrol</t>
        </is>
      </c>
      <c r="B8" s="153" t="inlineStr">
        <is>
          <t>million L/year</t>
        </is>
      </c>
      <c r="C8" s="153" t="inlineStr">
        <is>
          <t>Observation to 2022; estimate after</t>
        </is>
      </c>
      <c r="D8" s="154" t="n"/>
      <c r="E8" s="152" t="inlineStr">
        <is>
          <t>District-level sales summed to province, 2013-2022. Shows where fuel was sold, not where it was used. 2023 (yellow, italic) holds ESTIMATES from section 6, not department data; 2024 and 2025 are blank.</t>
        </is>
      </c>
      <c r="F8" s="154" t="n"/>
      <c r="G8" s="154" t="n">
        <v>1723.881868</v>
      </c>
      <c r="H8" s="154" t="n">
        <v>1721.127181</v>
      </c>
      <c r="I8" s="154" t="n">
        <v>1745.448213</v>
      </c>
      <c r="J8" s="154" t="n">
        <v>1825.199833514999</v>
      </c>
      <c r="K8" s="154" t="n">
        <v>1773.042771191996</v>
      </c>
      <c r="L8" s="154" t="n">
        <v>1693.799014629997</v>
      </c>
      <c r="M8" s="154" t="n">
        <v>1657.998099955999</v>
      </c>
      <c r="N8" s="154" t="n">
        <v>1307.477143670998</v>
      </c>
      <c r="O8" s="154" t="n">
        <v>1401.742918922</v>
      </c>
      <c r="P8" s="154" t="n">
        <v>1431.005460082997</v>
      </c>
      <c r="Q8" s="155">
        <f>IF(ISNUMBER(Q90),Q90,"")</f>
        <v/>
      </c>
      <c r="R8" s="155">
        <f>IF(ISNUMBER(R90),R90,"")</f>
        <v/>
      </c>
      <c r="S8" s="155">
        <f>IF(ISNUMBER(S90),S90,"")</f>
        <v/>
      </c>
      <c r="T8" s="152" t="inlineStr">
        <is>
          <t>2013-2022 observed; 2023-2025 estimated</t>
        </is>
      </c>
      <c r="U8" s="152" t="inlineStr">
        <is>
          <t>Department of Mineral and Petroleum Resources, sales volumes, district workbooks; estimates: see section 6</t>
        </is>
      </c>
      <c r="V8" s="152" t="inlineStr">
        <is>
          <t>Replace the estimates when the department publishes district data after 2023 quarter 1</t>
        </is>
      </c>
    </row>
    <row r="9">
      <c r="A9" s="152" t="inlineStr">
        <is>
          <t>Eastern Cape petrol</t>
        </is>
      </c>
      <c r="B9" s="153" t="inlineStr">
        <is>
          <t>million L/year</t>
        </is>
      </c>
      <c r="C9" s="153" t="inlineStr">
        <is>
          <t>Observation to 2022; estimate after</t>
        </is>
      </c>
      <c r="D9" s="154" t="n"/>
      <c r="E9" s="152" t="inlineStr">
        <is>
          <t>District-level sales summed to province, 2013-2022. Shows where fuel was sold, not where it was used. 2023 (yellow, italic) holds ESTIMATES from section 6, not department data; 2024 and 2025 are blank.</t>
        </is>
      </c>
      <c r="F9" s="154" t="n"/>
      <c r="G9" s="154" t="n">
        <v>803.774683</v>
      </c>
      <c r="H9" s="154" t="n">
        <v>819.491591</v>
      </c>
      <c r="I9" s="154" t="n">
        <v>869.8724989999999</v>
      </c>
      <c r="J9" s="154" t="n">
        <v>857.7412373969998</v>
      </c>
      <c r="K9" s="154" t="n">
        <v>831.6881186979991</v>
      </c>
      <c r="L9" s="154" t="n">
        <v>809.7136954959999</v>
      </c>
      <c r="M9" s="154" t="n">
        <v>793.1127999850002</v>
      </c>
      <c r="N9" s="154" t="n">
        <v>678.8019054649999</v>
      </c>
      <c r="O9" s="154" t="n">
        <v>734.7899636659989</v>
      </c>
      <c r="P9" s="154" t="n">
        <v>703.132444716999</v>
      </c>
      <c r="Q9" s="155">
        <f>IF(ISNUMBER(Q91),Q91,"")</f>
        <v/>
      </c>
      <c r="R9" s="155">
        <f>IF(ISNUMBER(R91),R91,"")</f>
        <v/>
      </c>
      <c r="S9" s="155">
        <f>IF(ISNUMBER(S91),S91,"")</f>
        <v/>
      </c>
      <c r="T9" s="152" t="inlineStr">
        <is>
          <t>2013-2022 observed; 2023-2025 estimated</t>
        </is>
      </c>
      <c r="U9" s="152" t="inlineStr">
        <is>
          <t>Department of Mineral and Petroleum Resources, sales volumes, district workbooks; estimates: see section 6</t>
        </is>
      </c>
      <c r="V9" s="152" t="inlineStr">
        <is>
          <t>Replace the estimates when the department publishes district data after 2023 quarter 1</t>
        </is>
      </c>
    </row>
    <row r="10">
      <c r="A10" s="152" t="inlineStr">
        <is>
          <t>Mpumalanga petrol</t>
        </is>
      </c>
      <c r="B10" s="153" t="inlineStr">
        <is>
          <t>million L/year</t>
        </is>
      </c>
      <c r="C10" s="153" t="inlineStr">
        <is>
          <t>Observation to 2022; estimate after</t>
        </is>
      </c>
      <c r="D10" s="154" t="n"/>
      <c r="E10" s="152" t="inlineStr">
        <is>
          <t>District-level sales summed to province, 2013-2022. Shows where fuel was sold, not where it was used. 2023 (yellow, italic) holds ESTIMATES from section 6, not department data; 2024 and 2025 are blank.</t>
        </is>
      </c>
      <c r="F10" s="154" t="n"/>
      <c r="G10" s="154" t="n">
        <v>831.700207</v>
      </c>
      <c r="H10" s="154" t="n">
        <v>827.866839</v>
      </c>
      <c r="I10" s="154" t="n">
        <v>955.039003</v>
      </c>
      <c r="J10" s="154" t="n">
        <v>1029.394273387</v>
      </c>
      <c r="K10" s="154" t="n">
        <v>962.780173855999</v>
      </c>
      <c r="L10" s="154" t="n">
        <v>879.9551351020001</v>
      </c>
      <c r="M10" s="154" t="n">
        <v>801.5741130669999</v>
      </c>
      <c r="N10" s="154" t="n">
        <v>690.5111551299999</v>
      </c>
      <c r="O10" s="154" t="n">
        <v>661.62120883</v>
      </c>
      <c r="P10" s="154" t="n">
        <v>612.2656460789989</v>
      </c>
      <c r="Q10" s="155">
        <f>IF(ISNUMBER(Q92),Q92,"")</f>
        <v/>
      </c>
      <c r="R10" s="155">
        <f>IF(ISNUMBER(R92),R92,"")</f>
        <v/>
      </c>
      <c r="S10" s="155">
        <f>IF(ISNUMBER(S92),S92,"")</f>
        <v/>
      </c>
      <c r="T10" s="152" t="inlineStr">
        <is>
          <t>2013-2022 observed; 2023-2025 estimated</t>
        </is>
      </c>
      <c r="U10" s="152" t="inlineStr">
        <is>
          <t>Department of Mineral and Petroleum Resources, sales volumes, district workbooks; estimates: see section 6</t>
        </is>
      </c>
      <c r="V10" s="152" t="inlineStr">
        <is>
          <t>Replace the estimates when the department publishes district data after 2023 quarter 1</t>
        </is>
      </c>
    </row>
    <row r="11">
      <c r="A11" s="152" t="inlineStr">
        <is>
          <t>Free State petrol</t>
        </is>
      </c>
      <c r="B11" s="153" t="inlineStr">
        <is>
          <t>million L/year</t>
        </is>
      </c>
      <c r="C11" s="153" t="inlineStr">
        <is>
          <t>Observation to 2022; estimate after</t>
        </is>
      </c>
      <c r="D11" s="154" t="n"/>
      <c r="E11" s="152" t="inlineStr">
        <is>
          <t>District-level sales summed to province, 2013-2022. Shows where fuel was sold, not where it was used. 2023 (yellow, italic) holds ESTIMATES from section 6, not department data; 2024 and 2025 are blank.</t>
        </is>
      </c>
      <c r="F11" s="154" t="n"/>
      <c r="G11" s="154" t="n">
        <v>966.969476</v>
      </c>
      <c r="H11" s="154" t="n">
        <v>936.721229</v>
      </c>
      <c r="I11" s="154" t="n">
        <v>921.287592</v>
      </c>
      <c r="J11" s="154" t="n">
        <v>814.793779638</v>
      </c>
      <c r="K11" s="154" t="n">
        <v>813.970951595</v>
      </c>
      <c r="L11" s="154" t="n">
        <v>970.6248663350001</v>
      </c>
      <c r="M11" s="154" t="n">
        <v>824.69138896</v>
      </c>
      <c r="N11" s="154" t="n">
        <v>724.0952293349998</v>
      </c>
      <c r="O11" s="154" t="n">
        <v>694.6956084940001</v>
      </c>
      <c r="P11" s="154" t="n">
        <v>587.4580081820001</v>
      </c>
      <c r="Q11" s="155">
        <f>IF(ISNUMBER(Q93),Q93,"")</f>
        <v/>
      </c>
      <c r="R11" s="155">
        <f>IF(ISNUMBER(R93),R93,"")</f>
        <v/>
      </c>
      <c r="S11" s="155">
        <f>IF(ISNUMBER(S93),S93,"")</f>
        <v/>
      </c>
      <c r="T11" s="152" t="inlineStr">
        <is>
          <t>2013-2022 observed; 2023-2025 estimated</t>
        </is>
      </c>
      <c r="U11" s="152" t="inlineStr">
        <is>
          <t>Department of Mineral and Petroleum Resources, sales volumes, district workbooks; estimates: see section 6</t>
        </is>
      </c>
      <c r="V11" s="152" t="inlineStr">
        <is>
          <t>Replace the estimates when the department publishes district data after 2023 quarter 1</t>
        </is>
      </c>
    </row>
    <row r="12">
      <c r="A12" s="152" t="inlineStr">
        <is>
          <t>North West petrol</t>
        </is>
      </c>
      <c r="B12" s="153" t="inlineStr">
        <is>
          <t>million L/year</t>
        </is>
      </c>
      <c r="C12" s="153" t="inlineStr">
        <is>
          <t>Observation to 2022; estimate after</t>
        </is>
      </c>
      <c r="D12" s="154" t="n"/>
      <c r="E12" s="152" t="inlineStr">
        <is>
          <t>District-level sales summed to province, 2013-2022. Shows where fuel was sold, not where it was used. 2023 (yellow, italic) holds ESTIMATES from section 6, not department data; 2024 and 2025 are blank.</t>
        </is>
      </c>
      <c r="F12" s="154" t="n"/>
      <c r="G12" s="154" t="n">
        <v>603.840792</v>
      </c>
      <c r="H12" s="154" t="n">
        <v>521.00824</v>
      </c>
      <c r="I12" s="154" t="n">
        <v>529.806494</v>
      </c>
      <c r="J12" s="154" t="n">
        <v>514.437385502</v>
      </c>
      <c r="K12" s="154" t="n">
        <v>514.143216471999</v>
      </c>
      <c r="L12" s="154" t="n">
        <v>477.701288098997</v>
      </c>
      <c r="M12" s="154" t="n">
        <v>488.9077239649991</v>
      </c>
      <c r="N12" s="154" t="n">
        <v>411.781362114999</v>
      </c>
      <c r="O12" s="154" t="n">
        <v>445.2178577829989</v>
      </c>
      <c r="P12" s="154" t="n">
        <v>448.1562321239999</v>
      </c>
      <c r="Q12" s="155">
        <f>IF(ISNUMBER(Q94),Q94,"")</f>
        <v/>
      </c>
      <c r="R12" s="155">
        <f>IF(ISNUMBER(R94),R94,"")</f>
        <v/>
      </c>
      <c r="S12" s="155">
        <f>IF(ISNUMBER(S94),S94,"")</f>
        <v/>
      </c>
      <c r="T12" s="152" t="inlineStr">
        <is>
          <t>2013-2022 observed; 2023-2025 estimated</t>
        </is>
      </c>
      <c r="U12" s="152" t="inlineStr">
        <is>
          <t>Department of Mineral and Petroleum Resources, sales volumes, district workbooks; estimates: see section 6</t>
        </is>
      </c>
      <c r="V12" s="152" t="inlineStr">
        <is>
          <t>Replace the estimates when the department publishes district data after 2023 quarter 1</t>
        </is>
      </c>
    </row>
    <row r="13">
      <c r="A13" s="152" t="inlineStr">
        <is>
          <t>Limpopo petrol</t>
        </is>
      </c>
      <c r="B13" s="153" t="inlineStr">
        <is>
          <t>million L/year</t>
        </is>
      </c>
      <c r="C13" s="153" t="inlineStr">
        <is>
          <t>Observation to 2022; estimate after</t>
        </is>
      </c>
      <c r="D13" s="154" t="n"/>
      <c r="E13" s="152" t="inlineStr">
        <is>
          <t>District-level sales summed to province, 2013-2022. Shows where fuel was sold, not where it was used. 2023 (yellow, italic) holds ESTIMATES from section 6, not department data; 2024 and 2025 are blank.</t>
        </is>
      </c>
      <c r="F13" s="154" t="n"/>
      <c r="G13" s="154" t="n">
        <v>403.187827</v>
      </c>
      <c r="H13" s="154" t="n">
        <v>382.400652</v>
      </c>
      <c r="I13" s="154" t="n">
        <v>410.456596</v>
      </c>
      <c r="J13" s="154" t="n">
        <v>357.192487984</v>
      </c>
      <c r="K13" s="154" t="n">
        <v>355.7936672359999</v>
      </c>
      <c r="L13" s="154" t="n">
        <v>366.571940750999</v>
      </c>
      <c r="M13" s="154" t="n">
        <v>350.0576575879999</v>
      </c>
      <c r="N13" s="154" t="n">
        <v>276.512089095</v>
      </c>
      <c r="O13" s="154" t="n">
        <v>276.417064935999</v>
      </c>
      <c r="P13" s="154" t="n">
        <v>273.644045045999</v>
      </c>
      <c r="Q13" s="155">
        <f>IF(ISNUMBER(Q95),Q95,"")</f>
        <v/>
      </c>
      <c r="R13" s="155">
        <f>IF(ISNUMBER(R95),R95,"")</f>
        <v/>
      </c>
      <c r="S13" s="155">
        <f>IF(ISNUMBER(S95),S95,"")</f>
        <v/>
      </c>
      <c r="T13" s="152" t="inlineStr">
        <is>
          <t>2013-2022 observed; 2023-2025 estimated</t>
        </is>
      </c>
      <c r="U13" s="152" t="inlineStr">
        <is>
          <t>Department of Mineral and Petroleum Resources, sales volumes, district workbooks; estimates: see section 6</t>
        </is>
      </c>
      <c r="V13" s="152" t="inlineStr">
        <is>
          <t>Replace the estimates when the department publishes district data after 2023 quarter 1</t>
        </is>
      </c>
    </row>
    <row r="14">
      <c r="A14" s="152" t="inlineStr">
        <is>
          <t>Northern Cape petrol</t>
        </is>
      </c>
      <c r="B14" s="153" t="inlineStr">
        <is>
          <t>million L/year</t>
        </is>
      </c>
      <c r="C14" s="153" t="inlineStr">
        <is>
          <t>Observation to 2022; estimate after</t>
        </is>
      </c>
      <c r="D14" s="154" t="n"/>
      <c r="E14" s="152" t="inlineStr">
        <is>
          <t>District-level sales summed to province, 2013-2022. Shows where fuel was sold, not where it was used. 2023 (yellow, italic) holds ESTIMATES from section 6, not department data; 2024 and 2025 are blank.</t>
        </is>
      </c>
      <c r="F14" s="154" t="n"/>
      <c r="G14" s="154" t="n">
        <v>121.963655</v>
      </c>
      <c r="H14" s="154" t="n">
        <v>121.249527</v>
      </c>
      <c r="I14" s="154" t="n">
        <v>130.824373</v>
      </c>
      <c r="J14" s="154" t="n">
        <v>120.839444671</v>
      </c>
      <c r="K14" s="154" t="n">
        <v>108.331038477</v>
      </c>
      <c r="L14" s="154" t="n">
        <v>101.610966637</v>
      </c>
      <c r="M14" s="154" t="n">
        <v>102.128307828</v>
      </c>
      <c r="N14" s="154" t="n">
        <v>88.855295537</v>
      </c>
      <c r="O14" s="154" t="n">
        <v>96.36007655499999</v>
      </c>
      <c r="P14" s="154" t="n">
        <v>99.829929013</v>
      </c>
      <c r="Q14" s="155">
        <f>IF(ISNUMBER(Q96),Q96,"")</f>
        <v/>
      </c>
      <c r="R14" s="155">
        <f>IF(ISNUMBER(R96),R96,"")</f>
        <v/>
      </c>
      <c r="S14" s="155">
        <f>IF(ISNUMBER(S96),S96,"")</f>
        <v/>
      </c>
      <c r="T14" s="152" t="inlineStr">
        <is>
          <t>2013-2022 observed; 2023-2025 estimated</t>
        </is>
      </c>
      <c r="U14" s="152" t="inlineStr">
        <is>
          <t>Department of Mineral and Petroleum Resources, sales volumes, district workbooks; estimates: see section 6</t>
        </is>
      </c>
      <c r="V14" s="152" t="inlineStr">
        <is>
          <t>Replace the estimates when the department publishes district data after 2023 quarter 1</t>
        </is>
      </c>
    </row>
    <row r="15">
      <c r="A15" s="156" t="inlineStr">
        <is>
          <t>Sum of nine provinces, petrol</t>
        </is>
      </c>
      <c r="B15" s="157" t="inlineStr">
        <is>
          <t>million L/year</t>
        </is>
      </c>
      <c r="C15" s="157" t="inlineStr">
        <is>
          <t>Reporting formula</t>
        </is>
      </c>
      <c r="D15" s="158" t="n"/>
      <c r="E15" s="156" t="inlineStr">
        <is>
          <t>Sum of the nine rows above. From 2023 it sums estimates, which add to the national figure by construction.</t>
        </is>
      </c>
      <c r="F15" s="158">
        <f>IF(COUNT(F6:F14)&lt;9,"",SUM(F6:F14))</f>
        <v/>
      </c>
      <c r="G15" s="158">
        <f>IF(COUNT(G6:G14)&lt;9,"",SUM(G6:G14))</f>
        <v/>
      </c>
      <c r="H15" s="158">
        <f>IF(COUNT(H6:H14)&lt;9,"",SUM(H6:H14))</f>
        <v/>
      </c>
      <c r="I15" s="158">
        <f>IF(COUNT(I6:I14)&lt;9,"",SUM(I6:I14))</f>
        <v/>
      </c>
      <c r="J15" s="158">
        <f>IF(COUNT(J6:J14)&lt;9,"",SUM(J6:J14))</f>
        <v/>
      </c>
      <c r="K15" s="158">
        <f>IF(COUNT(K6:K14)&lt;9,"",SUM(K6:K14))</f>
        <v/>
      </c>
      <c r="L15" s="158">
        <f>IF(COUNT(L6:L14)&lt;9,"",SUM(L6:L14))</f>
        <v/>
      </c>
      <c r="M15" s="158">
        <f>IF(COUNT(M6:M14)&lt;9,"",SUM(M6:M14))</f>
        <v/>
      </c>
      <c r="N15" s="158">
        <f>IF(COUNT(N6:N14)&lt;9,"",SUM(N6:N14))</f>
        <v/>
      </c>
      <c r="O15" s="158">
        <f>IF(COUNT(O6:O14)&lt;9,"",SUM(O6:O14))</f>
        <v/>
      </c>
      <c r="P15" s="158">
        <f>IF(COUNT(P6:P14)&lt;9,"",SUM(P6:P14))</f>
        <v/>
      </c>
      <c r="Q15" s="158">
        <f>IF(COUNT(Q6:Q14)&lt;9,"",SUM(Q6:Q14))</f>
        <v/>
      </c>
      <c r="R15" s="158">
        <f>IF(COUNT(R6:R14)&lt;9,"",SUM(R6:R14))</f>
        <v/>
      </c>
      <c r="S15" s="158">
        <f>IF(COUNT(S6:S14)&lt;9,"",SUM(S6:S14))</f>
        <v/>
      </c>
      <c r="T15" s="156" t="inlineStr"/>
      <c r="U15" s="156" t="inlineStr"/>
      <c r="V15" s="156" t="inlineStr"/>
    </row>
    <row r="16">
      <c r="A16" s="152" t="inlineStr">
        <is>
          <t>Department national file, petrol</t>
        </is>
      </c>
      <c r="B16" s="153" t="inlineStr">
        <is>
          <t>million L/year</t>
        </is>
      </c>
      <c r="C16" s="153" t="inlineStr">
        <is>
          <t>Source observation</t>
        </is>
      </c>
      <c r="D16" s="154" t="n"/>
      <c r="E16" s="152" t="inlineStr">
        <is>
          <t>National annual workbook, years with four quarters reported.</t>
        </is>
      </c>
      <c r="F16" s="154" t="n">
        <v>12060.330013</v>
      </c>
      <c r="G16" s="154" t="n">
        <v>11439.925235</v>
      </c>
      <c r="H16" s="154" t="n">
        <v>10890.207679</v>
      </c>
      <c r="I16" s="154" t="n">
        <v>11475.709420318</v>
      </c>
      <c r="J16" s="154" t="n">
        <v>11462.252466686</v>
      </c>
      <c r="K16" s="154" t="n">
        <v>11174.08298037</v>
      </c>
      <c r="L16" s="154" t="n">
        <v>11141.630546702</v>
      </c>
      <c r="M16" s="154" t="n">
        <v>10773.208065062</v>
      </c>
      <c r="N16" s="154" t="n">
        <v>8761.470961496001</v>
      </c>
      <c r="O16" s="154" t="n">
        <v>9301.584227683001</v>
      </c>
      <c r="P16" s="154" t="n">
        <v>9184.869915572999</v>
      </c>
      <c r="Q16" s="154" t="n">
        <v>9036.950113492001</v>
      </c>
      <c r="R16" s="154" t="n"/>
      <c r="S16" s="154" t="n"/>
      <c r="T16" s="152" t="inlineStr">
        <is>
          <t>2012-2023; nothing published for 2024 or 2025</t>
        </is>
      </c>
      <c r="U16" s="152" t="inlineStr">
        <is>
          <t>Department of Mineral and Petroleum Resources, sales volumes, national workbooks</t>
        </is>
      </c>
      <c r="V16" s="152" t="inlineStr">
        <is>
          <t>Add 2024 and 2025 when the department publishes them</t>
        </is>
      </c>
    </row>
    <row r="17">
      <c r="A17" s="156" t="inlineStr">
        <is>
          <t>Provinces less national, petrol</t>
        </is>
      </c>
      <c r="B17" s="157" t="inlineStr">
        <is>
          <t>million L/year</t>
        </is>
      </c>
      <c r="C17" s="157" t="inlineStr">
        <is>
          <t>Reporting formula</t>
        </is>
      </c>
      <c r="D17" s="158" t="n"/>
      <c r="E17" s="156" t="inlineStr">
        <is>
          <t>Difference between the department's two files. 2013 and 2015 traced; 2014 and 2018 for decision. Zero from 2023 only because the estimates are shares of the national figure.</t>
        </is>
      </c>
      <c r="F17" s="158">
        <f>IF(COUNT(F15,F16)&lt;2,"",F15-F16)</f>
        <v/>
      </c>
      <c r="G17" s="158">
        <f>IF(COUNT(G15,G16)&lt;2,"",G15-G16)</f>
        <v/>
      </c>
      <c r="H17" s="158">
        <f>IF(COUNT(H15,H16)&lt;2,"",H15-H16)</f>
        <v/>
      </c>
      <c r="I17" s="158">
        <f>IF(COUNT(I15,I16)&lt;2,"",I15-I16)</f>
        <v/>
      </c>
      <c r="J17" s="158">
        <f>IF(COUNT(J15,J16)&lt;2,"",J15-J16)</f>
        <v/>
      </c>
      <c r="K17" s="158">
        <f>IF(COUNT(K15,K16)&lt;2,"",K15-K16)</f>
        <v/>
      </c>
      <c r="L17" s="158">
        <f>IF(COUNT(L15,L16)&lt;2,"",L15-L16)</f>
        <v/>
      </c>
      <c r="M17" s="158">
        <f>IF(COUNT(M15,M16)&lt;2,"",M15-M16)</f>
        <v/>
      </c>
      <c r="N17" s="158">
        <f>IF(COUNT(N15,N16)&lt;2,"",N15-N16)</f>
        <v/>
      </c>
      <c r="O17" s="158">
        <f>IF(COUNT(O15,O16)&lt;2,"",O15-O16)</f>
        <v/>
      </c>
      <c r="P17" s="158">
        <f>IF(COUNT(P15,P16)&lt;2,"",P15-P16)</f>
        <v/>
      </c>
      <c r="Q17" s="158">
        <f>IF(COUNT(Q15,Q16)&lt;2,"",Q15-Q16)</f>
        <v/>
      </c>
      <c r="R17" s="158">
        <f>IF(COUNT(R15,R16)&lt;2,"",R15-R16)</f>
        <v/>
      </c>
      <c r="S17" s="158">
        <f>IF(COUNT(S15,S16)&lt;2,"",S15-S16)</f>
        <v/>
      </c>
      <c r="T17" s="156" t="inlineStr"/>
      <c r="U17" s="156" t="inlineStr"/>
      <c r="V17" s="156" t="inlineStr">
        <is>
          <t>See integrity_flag_log_2026-10-06.md</t>
        </is>
      </c>
    </row>
    <row r="18">
      <c r="A18" s="159" t="inlineStr">
        <is>
          <t>Why 2024 and 2025 are blank, petrol</t>
        </is>
      </c>
      <c r="B18" s="160" t="inlineStr"/>
      <c r="C18" s="160" t="inlineStr">
        <is>
          <t>Note</t>
        </is>
      </c>
      <c r="D18" s="161" t="n"/>
      <c r="E18" s="159" t="inlineStr">
        <is>
          <t>The department's national petrol series ends at 2023, and FIASA is not used as a source. Without a national total there is nothing to apply the provincial shares to. The estimated shares are in section 6; the volumes fill in by formula once the department's figure is added to its sales row.</t>
        </is>
      </c>
      <c r="F18" s="161" t="n"/>
      <c r="G18" s="161" t="n"/>
      <c r="H18" s="161" t="n"/>
      <c r="I18" s="161" t="n"/>
      <c r="J18" s="161" t="n"/>
      <c r="K18" s="161" t="n"/>
      <c r="L18" s="161" t="n"/>
      <c r="M18" s="161" t="n"/>
      <c r="N18" s="161" t="n"/>
      <c r="O18" s="161" t="n"/>
      <c r="P18" s="161" t="n"/>
      <c r="Q18" s="161" t="n"/>
      <c r="R18" s="161" t="n"/>
      <c r="S18" s="161" t="n"/>
      <c r="T18" s="159" t="inlineStr">
        <is>
          <t>2024 and 2025 not estimated</t>
        </is>
      </c>
      <c r="U18" s="159" t="inlineStr"/>
      <c r="V18" s="159" t="inlineStr">
        <is>
          <t>Add the national figure when the department publishes it</t>
        </is>
      </c>
    </row>
    <row r="20">
      <c r="A20" s="151" t="inlineStr">
        <is>
          <t>1. Department sales by province: diesel</t>
        </is>
      </c>
      <c r="B20" s="151" t="n"/>
      <c r="C20" s="151" t="n"/>
      <c r="D20" s="151" t="n"/>
      <c r="E20" s="151" t="n"/>
      <c r="F20" s="151" t="n"/>
      <c r="G20" s="151" t="n"/>
      <c r="H20" s="151" t="n"/>
      <c r="I20" s="151" t="n"/>
      <c r="J20" s="151" t="n"/>
      <c r="K20" s="151" t="n"/>
      <c r="L20" s="151" t="n"/>
      <c r="M20" s="151" t="n"/>
      <c r="N20" s="151" t="n"/>
      <c r="O20" s="151" t="n"/>
      <c r="P20" s="151" t="n"/>
      <c r="Q20" s="151" t="n"/>
      <c r="R20" s="151" t="n"/>
      <c r="S20" s="151" t="n"/>
      <c r="T20" s="151" t="n"/>
      <c r="U20" s="151" t="n"/>
      <c r="V20" s="151" t="n"/>
    </row>
    <row r="21">
      <c r="A21" s="152" t="inlineStr">
        <is>
          <t>Gauteng diesel</t>
        </is>
      </c>
      <c r="B21" s="153" t="inlineStr">
        <is>
          <t>million L/year</t>
        </is>
      </c>
      <c r="C21" s="153" t="inlineStr">
        <is>
          <t>Observation to 2022; estimate after</t>
        </is>
      </c>
      <c r="D21" s="154" t="n"/>
      <c r="E21" s="152" t="inlineStr">
        <is>
          <t>District-level sales summed to province, 2013-2022. Shows where fuel was sold, not where it was used. 2023 (yellow, italic) holds ESTIMATES from section 6, not department data; 2024 and 2025 are blank.</t>
        </is>
      </c>
      <c r="F21" s="154" t="n"/>
      <c r="G21" s="154" t="n">
        <v>2785.429802</v>
      </c>
      <c r="H21" s="154" t="n">
        <v>3118.078004</v>
      </c>
      <c r="I21" s="154" t="n">
        <v>3160.426878</v>
      </c>
      <c r="J21" s="154" t="n">
        <v>2953.325706855998</v>
      </c>
      <c r="K21" s="154" t="n">
        <v>3125.523429546999</v>
      </c>
      <c r="L21" s="154" t="n">
        <v>3320.043256458996</v>
      </c>
      <c r="M21" s="154" t="n">
        <v>3565.209035882996</v>
      </c>
      <c r="N21" s="154" t="n">
        <v>2950.670842131997</v>
      </c>
      <c r="O21" s="154" t="n">
        <v>3205.191324365998</v>
      </c>
      <c r="P21" s="154" t="n">
        <v>3278.990501961999</v>
      </c>
      <c r="Q21" s="155">
        <f>IF(ISNUMBER(Q108),Q108,"")</f>
        <v/>
      </c>
      <c r="R21" s="155">
        <f>IF(ISNUMBER(R108),R108,"")</f>
        <v/>
      </c>
      <c r="S21" s="155">
        <f>IF(ISNUMBER(S108),S108,"")</f>
        <v/>
      </c>
      <c r="T21" s="152" t="inlineStr">
        <is>
          <t>2013-2022 observed; 2023-2025 estimated</t>
        </is>
      </c>
      <c r="U21" s="152" t="inlineStr">
        <is>
          <t>Department of Mineral and Petroleum Resources, sales volumes, district workbooks; estimates: see section 6</t>
        </is>
      </c>
      <c r="V21" s="152" t="inlineStr">
        <is>
          <t>Replace the estimates when the department publishes district data after 2023 quarter 1</t>
        </is>
      </c>
    </row>
    <row r="22">
      <c r="A22" s="152" t="inlineStr">
        <is>
          <t>KwaZulu-Natal diesel</t>
        </is>
      </c>
      <c r="B22" s="153" t="inlineStr">
        <is>
          <t>million L/year</t>
        </is>
      </c>
      <c r="C22" s="153" t="inlineStr">
        <is>
          <t>Observation to 2022; estimate after</t>
        </is>
      </c>
      <c r="D22" s="154" t="n"/>
      <c r="E22" s="152" t="inlineStr">
        <is>
          <t>District-level sales summed to province, 2013-2022. Shows where fuel was sold, not where it was used. 2023 (yellow, italic) holds ESTIMATES from section 6, not department data; 2024 and 2025 are blank.</t>
        </is>
      </c>
      <c r="F22" s="154" t="n"/>
      <c r="G22" s="154" t="n">
        <v>2252.156455</v>
      </c>
      <c r="H22" s="154" t="n">
        <v>2131.256221</v>
      </c>
      <c r="I22" s="154" t="n">
        <v>2125.006744</v>
      </c>
      <c r="J22" s="154" t="n">
        <v>2176.897259443</v>
      </c>
      <c r="K22" s="154" t="n">
        <v>2459.701383962</v>
      </c>
      <c r="L22" s="154" t="n">
        <v>2374.693964448</v>
      </c>
      <c r="M22" s="154" t="n">
        <v>2576.035405942</v>
      </c>
      <c r="N22" s="154" t="n">
        <v>2610.320287135</v>
      </c>
      <c r="O22" s="154" t="n">
        <v>2724.422486838</v>
      </c>
      <c r="P22" s="154" t="n">
        <v>2785.554802503</v>
      </c>
      <c r="Q22" s="155">
        <f>IF(ISNUMBER(Q109),Q109,"")</f>
        <v/>
      </c>
      <c r="R22" s="155">
        <f>IF(ISNUMBER(R109),R109,"")</f>
        <v/>
      </c>
      <c r="S22" s="155">
        <f>IF(ISNUMBER(S109),S109,"")</f>
        <v/>
      </c>
      <c r="T22" s="152" t="inlineStr">
        <is>
          <t>2013-2022 observed; 2023-2025 estimated</t>
        </is>
      </c>
      <c r="U22" s="152" t="inlineStr">
        <is>
          <t>Department of Mineral and Petroleum Resources, sales volumes, district workbooks; estimates: see section 6</t>
        </is>
      </c>
      <c r="V22" s="152" t="inlineStr">
        <is>
          <t>Replace the estimates when the department publishes district data after 2023 quarter 1</t>
        </is>
      </c>
    </row>
    <row r="23">
      <c r="A23" s="152" t="inlineStr">
        <is>
          <t>Western Cape diesel</t>
        </is>
      </c>
      <c r="B23" s="153" t="inlineStr">
        <is>
          <t>million L/year</t>
        </is>
      </c>
      <c r="C23" s="153" t="inlineStr">
        <is>
          <t>Observation to 2022; estimate after</t>
        </is>
      </c>
      <c r="D23" s="154" t="n"/>
      <c r="E23" s="152" t="inlineStr">
        <is>
          <t>District-level sales summed to province, 2013-2022. Shows where fuel was sold, not where it was used. 2023 (yellow, italic) holds ESTIMATES from section 6, not department data; 2024 and 2025 are blank.</t>
        </is>
      </c>
      <c r="F23" s="154" t="n"/>
      <c r="G23" s="154" t="n">
        <v>1987.532805</v>
      </c>
      <c r="H23" s="154" t="n">
        <v>2371.62726</v>
      </c>
      <c r="I23" s="154" t="n">
        <v>2951.017107</v>
      </c>
      <c r="J23" s="154" t="n">
        <v>1896.010479563</v>
      </c>
      <c r="K23" s="154" t="n">
        <v>1854.222386571999</v>
      </c>
      <c r="L23" s="154" t="n">
        <v>1849.560718467999</v>
      </c>
      <c r="M23" s="154" t="n">
        <v>2061.836736</v>
      </c>
      <c r="N23" s="154" t="n">
        <v>1849.409077413</v>
      </c>
      <c r="O23" s="154" t="n">
        <v>2608.371193924998</v>
      </c>
      <c r="P23" s="154" t="n">
        <v>2499.769547067</v>
      </c>
      <c r="Q23" s="155">
        <f>IF(ISNUMBER(Q110),Q110,"")</f>
        <v/>
      </c>
      <c r="R23" s="155">
        <f>IF(ISNUMBER(R110),R110,"")</f>
        <v/>
      </c>
      <c r="S23" s="155">
        <f>IF(ISNUMBER(S110),S110,"")</f>
        <v/>
      </c>
      <c r="T23" s="152" t="inlineStr">
        <is>
          <t>2013-2022 observed; 2023-2025 estimated</t>
        </is>
      </c>
      <c r="U23" s="152" t="inlineStr">
        <is>
          <t>Department of Mineral and Petroleum Resources, sales volumes, district workbooks; estimates: see section 6</t>
        </is>
      </c>
      <c r="V23" s="152" t="inlineStr">
        <is>
          <t>Replace the estimates when the department publishes district data after 2023 quarter 1</t>
        </is>
      </c>
    </row>
    <row r="24">
      <c r="A24" s="152" t="inlineStr">
        <is>
          <t>Eastern Cape diesel</t>
        </is>
      </c>
      <c r="B24" s="153" t="inlineStr">
        <is>
          <t>million L/year</t>
        </is>
      </c>
      <c r="C24" s="153" t="inlineStr">
        <is>
          <t>Observation to 2022; estimate after</t>
        </is>
      </c>
      <c r="D24" s="154" t="n"/>
      <c r="E24" s="152" t="inlineStr">
        <is>
          <t>District-level sales summed to province, 2013-2022. Shows where fuel was sold, not where it was used. 2023 (yellow, italic) holds ESTIMATES from section 6, not department data; 2024 and 2025 are blank.</t>
        </is>
      </c>
      <c r="F24" s="154" t="n"/>
      <c r="G24" s="154" t="n">
        <v>782.1488440000001</v>
      </c>
      <c r="H24" s="154" t="n">
        <v>807.224237</v>
      </c>
      <c r="I24" s="154" t="n">
        <v>929.269033</v>
      </c>
      <c r="J24" s="154" t="n">
        <v>928.1418288860002</v>
      </c>
      <c r="K24" s="154" t="n">
        <v>937.323412165999</v>
      </c>
      <c r="L24" s="154" t="n">
        <v>960.6054126530001</v>
      </c>
      <c r="M24" s="154" t="n">
        <v>999.0317762660002</v>
      </c>
      <c r="N24" s="154" t="n">
        <v>936.8169864540001</v>
      </c>
      <c r="O24" s="154" t="n">
        <v>1036.454764805</v>
      </c>
      <c r="P24" s="154" t="n">
        <v>1032.35218272</v>
      </c>
      <c r="Q24" s="155">
        <f>IF(ISNUMBER(Q111),Q111,"")</f>
        <v/>
      </c>
      <c r="R24" s="155">
        <f>IF(ISNUMBER(R111),R111,"")</f>
        <v/>
      </c>
      <c r="S24" s="155">
        <f>IF(ISNUMBER(S111),S111,"")</f>
        <v/>
      </c>
      <c r="T24" s="152" t="inlineStr">
        <is>
          <t>2013-2022 observed; 2023-2025 estimated</t>
        </is>
      </c>
      <c r="U24" s="152" t="inlineStr">
        <is>
          <t>Department of Mineral and Petroleum Resources, sales volumes, district workbooks; estimates: see section 6</t>
        </is>
      </c>
      <c r="V24" s="152" t="inlineStr">
        <is>
          <t>Replace the estimates when the department publishes district data after 2023 quarter 1</t>
        </is>
      </c>
    </row>
    <row r="25">
      <c r="A25" s="152" t="inlineStr">
        <is>
          <t>Mpumalanga diesel</t>
        </is>
      </c>
      <c r="B25" s="153" t="inlineStr">
        <is>
          <t>million L/year</t>
        </is>
      </c>
      <c r="C25" s="153" t="inlineStr">
        <is>
          <t>Observation to 2022; estimate after</t>
        </is>
      </c>
      <c r="D25" s="154" t="n"/>
      <c r="E25" s="152" t="inlineStr">
        <is>
          <t>District-level sales summed to province, 2013-2022. Shows where fuel was sold, not where it was used. 2023 (yellow, italic) holds ESTIMATES from section 6, not department data; 2024 and 2025 are blank.</t>
        </is>
      </c>
      <c r="F25" s="154" t="n"/>
      <c r="G25" s="154" t="n">
        <v>1488.831128</v>
      </c>
      <c r="H25" s="154" t="n">
        <v>1513.316515</v>
      </c>
      <c r="I25" s="154" t="n">
        <v>1499.329399</v>
      </c>
      <c r="J25" s="154" t="n">
        <v>1631.206634515</v>
      </c>
      <c r="K25" s="154" t="n">
        <v>1546.048578055</v>
      </c>
      <c r="L25" s="154" t="n">
        <v>1576.691392181</v>
      </c>
      <c r="M25" s="154" t="n">
        <v>1435.128292351999</v>
      </c>
      <c r="N25" s="154" t="n">
        <v>1307.424417362</v>
      </c>
      <c r="O25" s="154" t="n">
        <v>1275.609358918997</v>
      </c>
      <c r="P25" s="154" t="n">
        <v>1144.924075864997</v>
      </c>
      <c r="Q25" s="155">
        <f>IF(ISNUMBER(Q112),Q112,"")</f>
        <v/>
      </c>
      <c r="R25" s="155">
        <f>IF(ISNUMBER(R112),R112,"")</f>
        <v/>
      </c>
      <c r="S25" s="155">
        <f>IF(ISNUMBER(S112),S112,"")</f>
        <v/>
      </c>
      <c r="T25" s="152" t="inlineStr">
        <is>
          <t>2013-2022 observed; 2023-2025 estimated</t>
        </is>
      </c>
      <c r="U25" s="152" t="inlineStr">
        <is>
          <t>Department of Mineral and Petroleum Resources, sales volumes, district workbooks; estimates: see section 6</t>
        </is>
      </c>
      <c r="V25" s="152" t="inlineStr">
        <is>
          <t>Replace the estimates when the department publishes district data after 2023 quarter 1</t>
        </is>
      </c>
    </row>
    <row r="26">
      <c r="A26" s="152" t="inlineStr">
        <is>
          <t>Free State diesel</t>
        </is>
      </c>
      <c r="B26" s="153" t="inlineStr">
        <is>
          <t>million L/year</t>
        </is>
      </c>
      <c r="C26" s="153" t="inlineStr">
        <is>
          <t>Observation to 2022; estimate after</t>
        </is>
      </c>
      <c r="D26" s="154" t="n"/>
      <c r="E26" s="152" t="inlineStr">
        <is>
          <t>District-level sales summed to province, 2013-2022. Shows where fuel was sold, not where it was used. 2023 (yellow, italic) holds ESTIMATES from section 6, not department data; 2024 and 2025 are blank.</t>
        </is>
      </c>
      <c r="F26" s="154" t="n"/>
      <c r="G26" s="154" t="n">
        <v>1292.525069</v>
      </c>
      <c r="H26" s="154" t="n">
        <v>1249.179829</v>
      </c>
      <c r="I26" s="154" t="n">
        <v>1259.015189</v>
      </c>
      <c r="J26" s="154" t="n">
        <v>1124.907207231</v>
      </c>
      <c r="K26" s="154" t="n">
        <v>930.163930832</v>
      </c>
      <c r="L26" s="154" t="n">
        <v>1007.279195237</v>
      </c>
      <c r="M26" s="154" t="n">
        <v>1059.053904877</v>
      </c>
      <c r="N26" s="154" t="n">
        <v>1030.588800552</v>
      </c>
      <c r="O26" s="154" t="n">
        <v>1025.652327622999</v>
      </c>
      <c r="P26" s="154" t="n">
        <v>781.8611598310002</v>
      </c>
      <c r="Q26" s="155">
        <f>IF(ISNUMBER(Q113),Q113,"")</f>
        <v/>
      </c>
      <c r="R26" s="155">
        <f>IF(ISNUMBER(R113),R113,"")</f>
        <v/>
      </c>
      <c r="S26" s="155">
        <f>IF(ISNUMBER(S113),S113,"")</f>
        <v/>
      </c>
      <c r="T26" s="152" t="inlineStr">
        <is>
          <t>2013-2022 observed; 2023-2025 estimated</t>
        </is>
      </c>
      <c r="U26" s="152" t="inlineStr">
        <is>
          <t>Department of Mineral and Petroleum Resources, sales volumes, district workbooks; estimates: see section 6</t>
        </is>
      </c>
      <c r="V26" s="152" t="inlineStr">
        <is>
          <t>Replace the estimates when the department publishes district data after 2023 quarter 1</t>
        </is>
      </c>
    </row>
    <row r="27">
      <c r="A27" s="152" t="inlineStr">
        <is>
          <t>North West diesel</t>
        </is>
      </c>
      <c r="B27" s="153" t="inlineStr">
        <is>
          <t>million L/year</t>
        </is>
      </c>
      <c r="C27" s="153" t="inlineStr">
        <is>
          <t>Observation to 2022; estimate after</t>
        </is>
      </c>
      <c r="D27" s="154" t="n"/>
      <c r="E27" s="152" t="inlineStr">
        <is>
          <t>District-level sales summed to province, 2013-2022. Shows where fuel was sold, not where it was used. 2023 (yellow, italic) holds ESTIMATES from section 6, not department data; 2024 and 2025 are blank.</t>
        </is>
      </c>
      <c r="F27" s="154" t="n"/>
      <c r="G27" s="154" t="n">
        <v>662.591762</v>
      </c>
      <c r="H27" s="154" t="n">
        <v>637.2781210000001</v>
      </c>
      <c r="I27" s="154" t="n">
        <v>659.0079469999999</v>
      </c>
      <c r="J27" s="154" t="n">
        <v>650.4184553739999</v>
      </c>
      <c r="K27" s="154" t="n">
        <v>587.1623233729999</v>
      </c>
      <c r="L27" s="154" t="n">
        <v>514.025031385</v>
      </c>
      <c r="M27" s="154" t="n">
        <v>518.359393999</v>
      </c>
      <c r="N27" s="154" t="n">
        <v>436.165795866</v>
      </c>
      <c r="O27" s="154" t="n">
        <v>500.4056482319999</v>
      </c>
      <c r="P27" s="154" t="n">
        <v>619.906488913</v>
      </c>
      <c r="Q27" s="155">
        <f>IF(ISNUMBER(Q114),Q114,"")</f>
        <v/>
      </c>
      <c r="R27" s="155">
        <f>IF(ISNUMBER(R114),R114,"")</f>
        <v/>
      </c>
      <c r="S27" s="155">
        <f>IF(ISNUMBER(S114),S114,"")</f>
        <v/>
      </c>
      <c r="T27" s="152" t="inlineStr">
        <is>
          <t>2013-2022 observed; 2023-2025 estimated</t>
        </is>
      </c>
      <c r="U27" s="152" t="inlineStr">
        <is>
          <t>Department of Mineral and Petroleum Resources, sales volumes, district workbooks; estimates: see section 6</t>
        </is>
      </c>
      <c r="V27" s="152" t="inlineStr">
        <is>
          <t>Replace the estimates when the department publishes district data after 2023 quarter 1</t>
        </is>
      </c>
    </row>
    <row r="28">
      <c r="A28" s="152" t="inlineStr">
        <is>
          <t>Limpopo diesel</t>
        </is>
      </c>
      <c r="B28" s="153" t="inlineStr">
        <is>
          <t>million L/year</t>
        </is>
      </c>
      <c r="C28" s="153" t="inlineStr">
        <is>
          <t>Observation to 2022; estimate after</t>
        </is>
      </c>
      <c r="D28" s="154" t="n"/>
      <c r="E28" s="152" t="inlineStr">
        <is>
          <t>District-level sales summed to province, 2013-2022. Shows where fuel was sold, not where it was used. 2023 (yellow, italic) holds ESTIMATES from section 6, not department data; 2024 and 2025 are blank.</t>
        </is>
      </c>
      <c r="F28" s="154" t="n"/>
      <c r="G28" s="154" t="n">
        <v>424.483028</v>
      </c>
      <c r="H28" s="154" t="n">
        <v>408.41603</v>
      </c>
      <c r="I28" s="154" t="n">
        <v>371.279601</v>
      </c>
      <c r="J28" s="154" t="n">
        <v>309.226164304</v>
      </c>
      <c r="K28" s="154" t="n">
        <v>274.713980268</v>
      </c>
      <c r="L28" s="154" t="n">
        <v>295.60009792</v>
      </c>
      <c r="M28" s="154" t="n">
        <v>269.697983735</v>
      </c>
      <c r="N28" s="154" t="n">
        <v>216.1239956</v>
      </c>
      <c r="O28" s="154" t="n">
        <v>210.257732307</v>
      </c>
      <c r="P28" s="154" t="n">
        <v>221.987440248</v>
      </c>
      <c r="Q28" s="155">
        <f>IF(ISNUMBER(Q115),Q115,"")</f>
        <v/>
      </c>
      <c r="R28" s="155">
        <f>IF(ISNUMBER(R115),R115,"")</f>
        <v/>
      </c>
      <c r="S28" s="155">
        <f>IF(ISNUMBER(S115),S115,"")</f>
        <v/>
      </c>
      <c r="T28" s="152" t="inlineStr">
        <is>
          <t>2013-2022 observed; 2023-2025 estimated</t>
        </is>
      </c>
      <c r="U28" s="152" t="inlineStr">
        <is>
          <t>Department of Mineral and Petroleum Resources, sales volumes, district workbooks; estimates: see section 6</t>
        </is>
      </c>
      <c r="V28" s="152" t="inlineStr">
        <is>
          <t>Replace the estimates when the department publishes district data after 2023 quarter 1</t>
        </is>
      </c>
    </row>
    <row r="29">
      <c r="A29" s="152" t="inlineStr">
        <is>
          <t>Northern Cape diesel</t>
        </is>
      </c>
      <c r="B29" s="153" t="inlineStr">
        <is>
          <t>million L/year</t>
        </is>
      </c>
      <c r="C29" s="153" t="inlineStr">
        <is>
          <t>Observation to 2022; estimate after</t>
        </is>
      </c>
      <c r="D29" s="154" t="n"/>
      <c r="E29" s="152" t="inlineStr">
        <is>
          <t>District-level sales summed to province, 2013-2022. Shows where fuel was sold, not where it was used. 2023 (yellow, italic) holds ESTIMATES from section 6, not department data; 2024 and 2025 are blank.</t>
        </is>
      </c>
      <c r="F29" s="154" t="n"/>
      <c r="G29" s="154" t="n">
        <v>465.348224</v>
      </c>
      <c r="H29" s="154" t="n">
        <v>507.013669</v>
      </c>
      <c r="I29" s="154" t="n">
        <v>537.799461</v>
      </c>
      <c r="J29" s="154" t="n">
        <v>412.24030225</v>
      </c>
      <c r="K29" s="154" t="n">
        <v>430.290764414</v>
      </c>
      <c r="L29" s="154" t="n">
        <v>420.121363622</v>
      </c>
      <c r="M29" s="154" t="n">
        <v>424.278703163</v>
      </c>
      <c r="N29" s="154" t="n">
        <v>352.4375567820001</v>
      </c>
      <c r="O29" s="154" t="n">
        <v>358.653178157</v>
      </c>
      <c r="P29" s="154" t="n">
        <v>351.9801199100001</v>
      </c>
      <c r="Q29" s="155">
        <f>IF(ISNUMBER(Q116),Q116,"")</f>
        <v/>
      </c>
      <c r="R29" s="155">
        <f>IF(ISNUMBER(R116),R116,"")</f>
        <v/>
      </c>
      <c r="S29" s="155">
        <f>IF(ISNUMBER(S116),S116,"")</f>
        <v/>
      </c>
      <c r="T29" s="152" t="inlineStr">
        <is>
          <t>2013-2022 observed; 2023-2025 estimated</t>
        </is>
      </c>
      <c r="U29" s="152" t="inlineStr">
        <is>
          <t>Department of Mineral and Petroleum Resources, sales volumes, district workbooks; estimates: see section 6</t>
        </is>
      </c>
      <c r="V29" s="152" t="inlineStr">
        <is>
          <t>Replace the estimates when the department publishes district data after 2023 quarter 1</t>
        </is>
      </c>
    </row>
    <row r="30">
      <c r="A30" s="156" t="inlineStr">
        <is>
          <t>Sum of nine provinces, diesel</t>
        </is>
      </c>
      <c r="B30" s="157" t="inlineStr">
        <is>
          <t>million L/year</t>
        </is>
      </c>
      <c r="C30" s="157" t="inlineStr">
        <is>
          <t>Reporting formula</t>
        </is>
      </c>
      <c r="D30" s="158" t="n"/>
      <c r="E30" s="156" t="inlineStr">
        <is>
          <t>Sum of the nine rows above. From 2023 it sums estimates, which add to the national figure by construction.</t>
        </is>
      </c>
      <c r="F30" s="158">
        <f>IF(COUNT(F21:F29)&lt;9,"",SUM(F21:F29))</f>
        <v/>
      </c>
      <c r="G30" s="158">
        <f>IF(COUNT(G21:G29)&lt;9,"",SUM(G21:G29))</f>
        <v/>
      </c>
      <c r="H30" s="158">
        <f>IF(COUNT(H21:H29)&lt;9,"",SUM(H21:H29))</f>
        <v/>
      </c>
      <c r="I30" s="158">
        <f>IF(COUNT(I21:I29)&lt;9,"",SUM(I21:I29))</f>
        <v/>
      </c>
      <c r="J30" s="158">
        <f>IF(COUNT(J21:J29)&lt;9,"",SUM(J21:J29))</f>
        <v/>
      </c>
      <c r="K30" s="158">
        <f>IF(COUNT(K21:K29)&lt;9,"",SUM(K21:K29))</f>
        <v/>
      </c>
      <c r="L30" s="158">
        <f>IF(COUNT(L21:L29)&lt;9,"",SUM(L21:L29))</f>
        <v/>
      </c>
      <c r="M30" s="158">
        <f>IF(COUNT(M21:M29)&lt;9,"",SUM(M21:M29))</f>
        <v/>
      </c>
      <c r="N30" s="158">
        <f>IF(COUNT(N21:N29)&lt;9,"",SUM(N21:N29))</f>
        <v/>
      </c>
      <c r="O30" s="158">
        <f>IF(COUNT(O21:O29)&lt;9,"",SUM(O21:O29))</f>
        <v/>
      </c>
      <c r="P30" s="158">
        <f>IF(COUNT(P21:P29)&lt;9,"",SUM(P21:P29))</f>
        <v/>
      </c>
      <c r="Q30" s="158">
        <f>IF(COUNT(Q21:Q29)&lt;9,"",SUM(Q21:Q29))</f>
        <v/>
      </c>
      <c r="R30" s="158">
        <f>IF(COUNT(R21:R29)&lt;9,"",SUM(R21:R29))</f>
        <v/>
      </c>
      <c r="S30" s="158">
        <f>IF(COUNT(S21:S29)&lt;9,"",SUM(S21:S29))</f>
        <v/>
      </c>
      <c r="T30" s="156" t="inlineStr"/>
      <c r="U30" s="156" t="inlineStr"/>
      <c r="V30" s="156" t="inlineStr"/>
    </row>
    <row r="31">
      <c r="A31" s="152" t="inlineStr">
        <is>
          <t>Department national file, diesel</t>
        </is>
      </c>
      <c r="B31" s="153" t="inlineStr">
        <is>
          <t>million L/year</t>
        </is>
      </c>
      <c r="C31" s="153" t="inlineStr">
        <is>
          <t>Source observation</t>
        </is>
      </c>
      <c r="D31" s="154" t="n"/>
      <c r="E31" s="152" t="inlineStr">
        <is>
          <t>National annual workbook, years with four quarters reported.</t>
        </is>
      </c>
      <c r="F31" s="154" t="n">
        <v>11663.34068</v>
      </c>
      <c r="G31" s="154" t="n">
        <v>12141.281548</v>
      </c>
      <c r="H31" s="154" t="n">
        <v>12615.023359</v>
      </c>
      <c r="I31" s="154" t="n">
        <v>13520.13925195</v>
      </c>
      <c r="J31" s="154" t="n">
        <v>12082.374038422</v>
      </c>
      <c r="K31" s="154" t="n">
        <v>12147.245167189</v>
      </c>
      <c r="L31" s="154" t="n">
        <v>12538.744325998</v>
      </c>
      <c r="M31" s="154" t="n">
        <v>12908.631232217</v>
      </c>
      <c r="N31" s="154" t="n">
        <v>11689.957759296</v>
      </c>
      <c r="O31" s="154" t="n">
        <v>12945.782750435</v>
      </c>
      <c r="P31" s="154" t="n">
        <v>12717.326319019</v>
      </c>
      <c r="Q31" s="154" t="n">
        <v>12907.499965808</v>
      </c>
      <c r="R31" s="154" t="n"/>
      <c r="S31" s="154" t="n"/>
      <c r="T31" s="152" t="inlineStr">
        <is>
          <t>2012-2023; nothing published for 2024 or 2025</t>
        </is>
      </c>
      <c r="U31" s="152" t="inlineStr">
        <is>
          <t>Department of Mineral and Petroleum Resources, sales volumes, national workbooks</t>
        </is>
      </c>
      <c r="V31" s="152" t="inlineStr">
        <is>
          <t>Add 2024 and 2025 when the department publishes them</t>
        </is>
      </c>
    </row>
    <row r="32">
      <c r="A32" s="156" t="inlineStr">
        <is>
          <t>Provinces less national, diesel</t>
        </is>
      </c>
      <c r="B32" s="157" t="inlineStr">
        <is>
          <t>million L/year</t>
        </is>
      </c>
      <c r="C32" s="157" t="inlineStr">
        <is>
          <t>Reporting formula</t>
        </is>
      </c>
      <c r="D32" s="158" t="n"/>
      <c r="E32" s="156" t="inlineStr">
        <is>
          <t>Difference between the department's two files. 2013 and 2015 traced; 2014 and 2018 for decision. Zero from 2023 only because the estimates are shares of the national figure.</t>
        </is>
      </c>
      <c r="F32" s="158">
        <f>IF(COUNT(F30,F31)&lt;2,"",F30-F31)</f>
        <v/>
      </c>
      <c r="G32" s="158">
        <f>IF(COUNT(G30,G31)&lt;2,"",G30-G31)</f>
        <v/>
      </c>
      <c r="H32" s="158">
        <f>IF(COUNT(H30,H31)&lt;2,"",H30-H31)</f>
        <v/>
      </c>
      <c r="I32" s="158">
        <f>IF(COUNT(I30,I31)&lt;2,"",I30-I31)</f>
        <v/>
      </c>
      <c r="J32" s="158">
        <f>IF(COUNT(J30,J31)&lt;2,"",J30-J31)</f>
        <v/>
      </c>
      <c r="K32" s="158">
        <f>IF(COUNT(K30,K31)&lt;2,"",K30-K31)</f>
        <v/>
      </c>
      <c r="L32" s="158">
        <f>IF(COUNT(L30,L31)&lt;2,"",L30-L31)</f>
        <v/>
      </c>
      <c r="M32" s="158">
        <f>IF(COUNT(M30,M31)&lt;2,"",M30-M31)</f>
        <v/>
      </c>
      <c r="N32" s="158">
        <f>IF(COUNT(N30,N31)&lt;2,"",N30-N31)</f>
        <v/>
      </c>
      <c r="O32" s="158">
        <f>IF(COUNT(O30,O31)&lt;2,"",O30-O31)</f>
        <v/>
      </c>
      <c r="P32" s="158">
        <f>IF(COUNT(P30,P31)&lt;2,"",P30-P31)</f>
        <v/>
      </c>
      <c r="Q32" s="158">
        <f>IF(COUNT(Q30,Q31)&lt;2,"",Q30-Q31)</f>
        <v/>
      </c>
      <c r="R32" s="158">
        <f>IF(COUNT(R30,R31)&lt;2,"",R30-R31)</f>
        <v/>
      </c>
      <c r="S32" s="158">
        <f>IF(COUNT(S30,S31)&lt;2,"",S30-S31)</f>
        <v/>
      </c>
      <c r="T32" s="156" t="inlineStr"/>
      <c r="U32" s="156" t="inlineStr"/>
      <c r="V32" s="156" t="inlineStr">
        <is>
          <t>See integrity_flag_log_2026-10-06.md</t>
        </is>
      </c>
    </row>
    <row r="33">
      <c r="A33" s="159" t="inlineStr">
        <is>
          <t>Why 2024 and 2025 are blank, diesel</t>
        </is>
      </c>
      <c r="B33" s="160" t="inlineStr"/>
      <c r="C33" s="160" t="inlineStr">
        <is>
          <t>Note</t>
        </is>
      </c>
      <c r="D33" s="161" t="n"/>
      <c r="E33" s="159" t="inlineStr">
        <is>
          <t>The department's national diesel series ends at 2023, and FIASA is not used as a source. Without a national total there is nothing to apply the provincial shares to. The estimated shares are in section 6; the volumes fill in by formula once the department's figure is added to its sales row.</t>
        </is>
      </c>
      <c r="F33" s="161" t="n"/>
      <c r="G33" s="161" t="n"/>
      <c r="H33" s="161" t="n"/>
      <c r="I33" s="161" t="n"/>
      <c r="J33" s="161" t="n"/>
      <c r="K33" s="161" t="n"/>
      <c r="L33" s="161" t="n"/>
      <c r="M33" s="161" t="n"/>
      <c r="N33" s="161" t="n"/>
      <c r="O33" s="161" t="n"/>
      <c r="P33" s="161" t="n"/>
      <c r="Q33" s="161" t="n"/>
      <c r="R33" s="161" t="n"/>
      <c r="S33" s="161" t="n"/>
      <c r="T33" s="159" t="inlineStr">
        <is>
          <t>2024 and 2025 not estimated</t>
        </is>
      </c>
      <c r="U33" s="159" t="inlineStr"/>
      <c r="V33" s="159" t="inlineStr">
        <is>
          <t>Add the national figure when the department publishes it</t>
        </is>
      </c>
    </row>
    <row r="35">
      <c r="A35" s="151" t="inlineStr">
        <is>
          <t>2. Customs trade (SARS)</t>
        </is>
      </c>
      <c r="B35" s="151" t="n"/>
      <c r="C35" s="151" t="n"/>
      <c r="D35" s="151" t="n"/>
      <c r="E35" s="151" t="n"/>
      <c r="F35" s="151" t="n"/>
      <c r="G35" s="151" t="n"/>
      <c r="H35" s="151" t="n"/>
      <c r="I35" s="151" t="n"/>
      <c r="J35" s="151" t="n"/>
      <c r="K35" s="151" t="n"/>
      <c r="L35" s="151" t="n"/>
      <c r="M35" s="151" t="n"/>
      <c r="N35" s="151" t="n"/>
      <c r="O35" s="151" t="n"/>
      <c r="P35" s="151" t="n"/>
      <c r="Q35" s="151" t="n"/>
      <c r="R35" s="151" t="n"/>
      <c r="S35" s="151" t="n"/>
      <c r="T35" s="151" t="n"/>
      <c r="U35" s="151" t="n"/>
      <c r="V35" s="151" t="n"/>
    </row>
    <row r="36">
      <c r="A36" s="152" t="inlineStr">
        <is>
          <t>Imports, diesel</t>
        </is>
      </c>
      <c r="B36" s="153" t="inlineStr">
        <is>
          <t>million L/year</t>
        </is>
      </c>
      <c r="C36" s="153" t="inlineStr">
        <is>
          <t>Source observation</t>
        </is>
      </c>
      <c r="D36" s="154" t="n"/>
      <c r="E36" s="152" t="inlineStr">
        <is>
          <t>Complete years reported in litres. Before 2014 customs is in kilograms or mixed units and is not used.</t>
        </is>
      </c>
      <c r="F36" s="154" t="n"/>
      <c r="G36" s="154" t="n"/>
      <c r="H36" s="154" t="n">
        <v>4991.712326600001</v>
      </c>
      <c r="I36" s="154" t="n">
        <v>6450.779034560001</v>
      </c>
      <c r="J36" s="154" t="n">
        <v>4424.29496489</v>
      </c>
      <c r="K36" s="154" t="n">
        <v>6037.45991081</v>
      </c>
      <c r="L36" s="154" t="n">
        <v>5122.95948654</v>
      </c>
      <c r="M36" s="154" t="n">
        <v>5590.272108560001</v>
      </c>
      <c r="N36" s="154" t="n">
        <v>6814.98544784</v>
      </c>
      <c r="O36" s="154" t="n">
        <v>9761.395305739999</v>
      </c>
      <c r="P36" s="154" t="n">
        <v>11954.2565479</v>
      </c>
      <c r="Q36" s="154" t="n">
        <v>12870.03210067</v>
      </c>
      <c r="R36" s="154" t="n">
        <v>10792.54713405</v>
      </c>
      <c r="S36" s="154" t="n">
        <v>12248.72026207</v>
      </c>
      <c r="T36" s="152" t="inlineStr">
        <is>
          <t>2014-2025 (2026 to August, not shown)</t>
        </is>
      </c>
      <c r="U36" s="152" t="inlineStr">
        <is>
          <t>South African Revenue Service, trade statistics by tariff line</t>
        </is>
      </c>
      <c r="V36" s="152" t="inlineStr"/>
    </row>
    <row r="37">
      <c r="A37" s="152" t="inlineStr">
        <is>
          <t>Imports, petrol</t>
        </is>
      </c>
      <c r="B37" s="153" t="inlineStr">
        <is>
          <t>million L/year</t>
        </is>
      </c>
      <c r="C37" s="153" t="inlineStr">
        <is>
          <t>Source observation</t>
        </is>
      </c>
      <c r="D37" s="154" t="n"/>
      <c r="E37" s="152" t="inlineStr">
        <is>
          <t>Complete years reported in litres. Before 2014 customs is in kilograms or mixed units and is not used.</t>
        </is>
      </c>
      <c r="F37" s="154" t="n"/>
      <c r="G37" s="154" t="n"/>
      <c r="H37" s="154" t="n">
        <v>1150.19482187</v>
      </c>
      <c r="I37" s="154" t="n">
        <v>1869.64520821</v>
      </c>
      <c r="J37" s="154" t="n">
        <v>1395.6384761</v>
      </c>
      <c r="K37" s="154" t="n">
        <v>2114.15648464</v>
      </c>
      <c r="L37" s="154" t="n">
        <v>1829.7712635</v>
      </c>
      <c r="M37" s="154" t="n">
        <v>1477.38584109</v>
      </c>
      <c r="N37" s="154" t="n">
        <v>1719.67306448</v>
      </c>
      <c r="O37" s="154" t="n">
        <v>4008.61276378</v>
      </c>
      <c r="P37" s="154" t="n">
        <v>5455.26181472</v>
      </c>
      <c r="Q37" s="154" t="n">
        <v>4482.77476038</v>
      </c>
      <c r="R37" s="154" t="n">
        <v>4000.85443345</v>
      </c>
      <c r="S37" s="154" t="n">
        <v>4453.47117815</v>
      </c>
      <c r="T37" s="152" t="inlineStr">
        <is>
          <t>2014-2025 (2026 to August, not shown)</t>
        </is>
      </c>
      <c r="U37" s="152" t="inlineStr">
        <is>
          <t>South African Revenue Service, trade statistics by tariff line</t>
        </is>
      </c>
      <c r="V37" s="152" t="inlineStr"/>
    </row>
    <row r="38">
      <c r="A38" s="156" t="inlineStr">
        <is>
          <t>Imports, diesel and petrol</t>
        </is>
      </c>
      <c r="B38" s="157" t="inlineStr">
        <is>
          <t>million L/year</t>
        </is>
      </c>
      <c r="C38" s="157" t="inlineStr">
        <is>
          <t>Reporting formula</t>
        </is>
      </c>
      <c r="D38" s="158" t="n"/>
      <c r="E38" s="156" t="inlineStr">
        <is>
          <t>Sum of the two rows above.</t>
        </is>
      </c>
      <c r="F38" s="158">
        <f>IF(COUNT(F36,F37)&lt;2,"",F36+F37)</f>
        <v/>
      </c>
      <c r="G38" s="158">
        <f>IF(COUNT(G36,G37)&lt;2,"",G36+G37)</f>
        <v/>
      </c>
      <c r="H38" s="158">
        <f>IF(COUNT(H36,H37)&lt;2,"",H36+H37)</f>
        <v/>
      </c>
      <c r="I38" s="158">
        <f>IF(COUNT(I36,I37)&lt;2,"",I36+I37)</f>
        <v/>
      </c>
      <c r="J38" s="158">
        <f>IF(COUNT(J36,J37)&lt;2,"",J36+J37)</f>
        <v/>
      </c>
      <c r="K38" s="158">
        <f>IF(COUNT(K36,K37)&lt;2,"",K36+K37)</f>
        <v/>
      </c>
      <c r="L38" s="158">
        <f>IF(COUNT(L36,L37)&lt;2,"",L36+L37)</f>
        <v/>
      </c>
      <c r="M38" s="158">
        <f>IF(COUNT(M36,M37)&lt;2,"",M36+M37)</f>
        <v/>
      </c>
      <c r="N38" s="158">
        <f>IF(COUNT(N36,N37)&lt;2,"",N36+N37)</f>
        <v/>
      </c>
      <c r="O38" s="158">
        <f>IF(COUNT(O36,O37)&lt;2,"",O36+O37)</f>
        <v/>
      </c>
      <c r="P38" s="158">
        <f>IF(COUNT(P36,P37)&lt;2,"",P36+P37)</f>
        <v/>
      </c>
      <c r="Q38" s="158">
        <f>IF(COUNT(Q36,Q37)&lt;2,"",Q36+Q37)</f>
        <v/>
      </c>
      <c r="R38" s="158">
        <f>IF(COUNT(R36,R37)&lt;2,"",R36+R37)</f>
        <v/>
      </c>
      <c r="S38" s="158">
        <f>IF(COUNT(S36,S37)&lt;2,"",S36+S37)</f>
        <v/>
      </c>
      <c r="T38" s="156" t="inlineStr"/>
      <c r="U38" s="156" t="inlineStr"/>
      <c r="V38" s="156" t="inlineStr"/>
    </row>
    <row r="39">
      <c r="A39" s="152" t="inlineStr">
        <is>
          <t>Exports, diesel</t>
        </is>
      </c>
      <c r="B39" s="153" t="inlineStr">
        <is>
          <t>million L/year</t>
        </is>
      </c>
      <c r="C39" s="153" t="inlineStr">
        <is>
          <t>Source observation</t>
        </is>
      </c>
      <c r="D39" s="154" t="n"/>
      <c r="E39" s="152" t="inlineStr">
        <is>
          <t>Complete years reported in litres. Before 2014 customs is in kilograms or mixed units and is not used.</t>
        </is>
      </c>
      <c r="F39" s="154" t="n"/>
      <c r="G39" s="154" t="n"/>
      <c r="H39" s="154" t="n">
        <v>1493.76262809</v>
      </c>
      <c r="I39" s="154" t="n">
        <v>1612.85503972</v>
      </c>
      <c r="J39" s="154" t="n">
        <v>1885.60542996</v>
      </c>
      <c r="K39" s="154" t="n">
        <v>1782.67408028</v>
      </c>
      <c r="L39" s="154" t="n">
        <v>1582.07010837</v>
      </c>
      <c r="M39" s="154" t="n">
        <v>1741.3773122</v>
      </c>
      <c r="N39" s="154" t="n">
        <v>913.81452025</v>
      </c>
      <c r="O39" s="154" t="n">
        <v>893.4881057699999</v>
      </c>
      <c r="P39" s="154" t="n">
        <v>889.1990678200001</v>
      </c>
      <c r="Q39" s="154" t="n">
        <v>889.44590792</v>
      </c>
      <c r="R39" s="154" t="n">
        <v>795.83467852</v>
      </c>
      <c r="S39" s="154" t="n">
        <v>746.70021007</v>
      </c>
      <c r="T39" s="152" t="inlineStr">
        <is>
          <t>2014-2025 (2026 to August, not shown)</t>
        </is>
      </c>
      <c r="U39" s="152" t="inlineStr">
        <is>
          <t>South African Revenue Service, trade statistics by tariff line</t>
        </is>
      </c>
      <c r="V39" s="152" t="inlineStr"/>
    </row>
    <row r="40">
      <c r="A40" s="152" t="inlineStr">
        <is>
          <t>Exports, petrol</t>
        </is>
      </c>
      <c r="B40" s="153" t="inlineStr">
        <is>
          <t>million L/year</t>
        </is>
      </c>
      <c r="C40" s="153" t="inlineStr">
        <is>
          <t>Source observation</t>
        </is>
      </c>
      <c r="D40" s="154" t="n"/>
      <c r="E40" s="152" t="inlineStr">
        <is>
          <t>Complete years reported in litres. Before 2014 customs is in kilograms or mixed units and is not used.</t>
        </is>
      </c>
      <c r="F40" s="154" t="n"/>
      <c r="G40" s="154" t="n"/>
      <c r="H40" s="154" t="n">
        <v>989.515894</v>
      </c>
      <c r="I40" s="154" t="n">
        <v>1085.67044231</v>
      </c>
      <c r="J40" s="154" t="n">
        <v>1157.32879425</v>
      </c>
      <c r="K40" s="154" t="n">
        <v>1075.88615968</v>
      </c>
      <c r="L40" s="154" t="n">
        <v>1135.0502547</v>
      </c>
      <c r="M40" s="154" t="n">
        <v>1174.70177789</v>
      </c>
      <c r="N40" s="154" t="n">
        <v>1154.77907118</v>
      </c>
      <c r="O40" s="154" t="n">
        <v>1052.49514457</v>
      </c>
      <c r="P40" s="154" t="n">
        <v>854.61371378</v>
      </c>
      <c r="Q40" s="154" t="n">
        <v>994.01955902</v>
      </c>
      <c r="R40" s="154" t="n">
        <v>919.74501589</v>
      </c>
      <c r="S40" s="154" t="n">
        <v>801.762466</v>
      </c>
      <c r="T40" s="152" t="inlineStr">
        <is>
          <t>2014-2025 (2026 to August, not shown)</t>
        </is>
      </c>
      <c r="U40" s="152" t="inlineStr">
        <is>
          <t>South African Revenue Service, trade statistics by tariff line</t>
        </is>
      </c>
      <c r="V40" s="152" t="inlineStr"/>
    </row>
    <row r="41">
      <c r="A41" s="156" t="inlineStr">
        <is>
          <t>Exports, diesel and petrol</t>
        </is>
      </c>
      <c r="B41" s="157" t="inlineStr">
        <is>
          <t>million L/year</t>
        </is>
      </c>
      <c r="C41" s="157" t="inlineStr">
        <is>
          <t>Reporting formula</t>
        </is>
      </c>
      <c r="D41" s="158" t="n"/>
      <c r="E41" s="156" t="inlineStr">
        <is>
          <t>Sum of the two rows above.</t>
        </is>
      </c>
      <c r="F41" s="158">
        <f>IF(COUNT(F39,F40)&lt;2,"",F39+F40)</f>
        <v/>
      </c>
      <c r="G41" s="158">
        <f>IF(COUNT(G39,G40)&lt;2,"",G39+G40)</f>
        <v/>
      </c>
      <c r="H41" s="158">
        <f>IF(COUNT(H39,H40)&lt;2,"",H39+H40)</f>
        <v/>
      </c>
      <c r="I41" s="158">
        <f>IF(COUNT(I39,I40)&lt;2,"",I39+I40)</f>
        <v/>
      </c>
      <c r="J41" s="158">
        <f>IF(COUNT(J39,J40)&lt;2,"",J39+J40)</f>
        <v/>
      </c>
      <c r="K41" s="158">
        <f>IF(COUNT(K39,K40)&lt;2,"",K39+K40)</f>
        <v/>
      </c>
      <c r="L41" s="158">
        <f>IF(COUNT(L39,L40)&lt;2,"",L39+L40)</f>
        <v/>
      </c>
      <c r="M41" s="158">
        <f>IF(COUNT(M39,M40)&lt;2,"",M39+M40)</f>
        <v/>
      </c>
      <c r="N41" s="158">
        <f>IF(COUNT(N39,N40)&lt;2,"",N39+N40)</f>
        <v/>
      </c>
      <c r="O41" s="158">
        <f>IF(COUNT(O39,O40)&lt;2,"",O39+O40)</f>
        <v/>
      </c>
      <c r="P41" s="158">
        <f>IF(COUNT(P39,P40)&lt;2,"",P39+P40)</f>
        <v/>
      </c>
      <c r="Q41" s="158">
        <f>IF(COUNT(Q39,Q40)&lt;2,"",Q39+Q40)</f>
        <v/>
      </c>
      <c r="R41" s="158">
        <f>IF(COUNT(R39,R40)&lt;2,"",R39+R40)</f>
        <v/>
      </c>
      <c r="S41" s="158">
        <f>IF(COUNT(S39,S40)&lt;2,"",S39+S40)</f>
        <v/>
      </c>
      <c r="T41" s="156" t="inlineStr"/>
      <c r="U41" s="156" t="inlineStr"/>
      <c r="V41" s="156" t="inlineStr"/>
    </row>
    <row r="42">
      <c r="A42" s="156" t="inlineStr">
        <is>
          <t>Net imports, diesel</t>
        </is>
      </c>
      <c r="B42" s="157" t="inlineStr">
        <is>
          <t>million L/year</t>
        </is>
      </c>
      <c r="C42" s="157" t="inlineStr">
        <is>
          <t>Reporting formula</t>
        </is>
      </c>
      <c r="D42" s="158" t="n"/>
      <c r="E42" s="156" t="inlineStr">
        <is>
          <t>Imports less exports.</t>
        </is>
      </c>
      <c r="F42" s="158">
        <f>IF(COUNT(F36,F39)&lt;2,"",F36-F39)</f>
        <v/>
      </c>
      <c r="G42" s="158">
        <f>IF(COUNT(G36,G39)&lt;2,"",G36-G39)</f>
        <v/>
      </c>
      <c r="H42" s="158">
        <f>IF(COUNT(H36,H39)&lt;2,"",H36-H39)</f>
        <v/>
      </c>
      <c r="I42" s="158">
        <f>IF(COUNT(I36,I39)&lt;2,"",I36-I39)</f>
        <v/>
      </c>
      <c r="J42" s="158">
        <f>IF(COUNT(J36,J39)&lt;2,"",J36-J39)</f>
        <v/>
      </c>
      <c r="K42" s="158">
        <f>IF(COUNT(K36,K39)&lt;2,"",K36-K39)</f>
        <v/>
      </c>
      <c r="L42" s="158">
        <f>IF(COUNT(L36,L39)&lt;2,"",L36-L39)</f>
        <v/>
      </c>
      <c r="M42" s="158">
        <f>IF(COUNT(M36,M39)&lt;2,"",M36-M39)</f>
        <v/>
      </c>
      <c r="N42" s="158">
        <f>IF(COUNT(N36,N39)&lt;2,"",N36-N39)</f>
        <v/>
      </c>
      <c r="O42" s="158">
        <f>IF(COUNT(O36,O39)&lt;2,"",O36-O39)</f>
        <v/>
      </c>
      <c r="P42" s="158">
        <f>IF(COUNT(P36,P39)&lt;2,"",P36-P39)</f>
        <v/>
      </c>
      <c r="Q42" s="158">
        <f>IF(COUNT(Q36,Q39)&lt;2,"",Q36-Q39)</f>
        <v/>
      </c>
      <c r="R42" s="158">
        <f>IF(COUNT(R36,R39)&lt;2,"",R36-R39)</f>
        <v/>
      </c>
      <c r="S42" s="158">
        <f>IF(COUNT(S36,S39)&lt;2,"",S36-S39)</f>
        <v/>
      </c>
      <c r="T42" s="156" t="inlineStr"/>
      <c r="U42" s="156" t="inlineStr"/>
      <c r="V42" s="156" t="inlineStr"/>
    </row>
    <row r="43">
      <c r="A43" s="156" t="inlineStr">
        <is>
          <t>Net imports, petrol</t>
        </is>
      </c>
      <c r="B43" s="157" t="inlineStr">
        <is>
          <t>million L/year</t>
        </is>
      </c>
      <c r="C43" s="157" t="inlineStr">
        <is>
          <t>Reporting formula</t>
        </is>
      </c>
      <c r="D43" s="158" t="n"/>
      <c r="E43" s="156" t="inlineStr">
        <is>
          <t>Imports less exports.</t>
        </is>
      </c>
      <c r="F43" s="158">
        <f>IF(COUNT(F37,F40)&lt;2,"",F37-F40)</f>
        <v/>
      </c>
      <c r="G43" s="158">
        <f>IF(COUNT(G37,G40)&lt;2,"",G37-G40)</f>
        <v/>
      </c>
      <c r="H43" s="158">
        <f>IF(COUNT(H37,H40)&lt;2,"",H37-H40)</f>
        <v/>
      </c>
      <c r="I43" s="158">
        <f>IF(COUNT(I37,I40)&lt;2,"",I37-I40)</f>
        <v/>
      </c>
      <c r="J43" s="158">
        <f>IF(COUNT(J37,J40)&lt;2,"",J37-J40)</f>
        <v/>
      </c>
      <c r="K43" s="158">
        <f>IF(COUNT(K37,K40)&lt;2,"",K37-K40)</f>
        <v/>
      </c>
      <c r="L43" s="158">
        <f>IF(COUNT(L37,L40)&lt;2,"",L37-L40)</f>
        <v/>
      </c>
      <c r="M43" s="158">
        <f>IF(COUNT(M37,M40)&lt;2,"",M37-M40)</f>
        <v/>
      </c>
      <c r="N43" s="158">
        <f>IF(COUNT(N37,N40)&lt;2,"",N37-N40)</f>
        <v/>
      </c>
      <c r="O43" s="158">
        <f>IF(COUNT(O37,O40)&lt;2,"",O37-O40)</f>
        <v/>
      </c>
      <c r="P43" s="158">
        <f>IF(COUNT(P37,P40)&lt;2,"",P37-P40)</f>
        <v/>
      </c>
      <c r="Q43" s="158">
        <f>IF(COUNT(Q37,Q40)&lt;2,"",Q37-Q40)</f>
        <v/>
      </c>
      <c r="R43" s="158">
        <f>IF(COUNT(R37,R40)&lt;2,"",R37-R40)</f>
        <v/>
      </c>
      <c r="S43" s="158">
        <f>IF(COUNT(S37,S40)&lt;2,"",S37-S40)</f>
        <v/>
      </c>
      <c r="T43" s="156" t="inlineStr"/>
      <c r="U43" s="156" t="inlineStr"/>
      <c r="V43" s="156" t="inlineStr"/>
    </row>
    <row r="44">
      <c r="A44" s="156" t="inlineStr">
        <is>
          <t>Net imports, diesel and petrol</t>
        </is>
      </c>
      <c r="B44" s="157" t="inlineStr">
        <is>
          <t>million L/year</t>
        </is>
      </c>
      <c r="C44" s="157" t="inlineStr">
        <is>
          <t>Reporting formula</t>
        </is>
      </c>
      <c r="D44" s="158" t="n"/>
      <c r="E44" s="156" t="inlineStr">
        <is>
          <t>Imports less exports.</t>
        </is>
      </c>
      <c r="F44" s="158">
        <f>IF(COUNT(F38,F41)&lt;2,"",F38-F41)</f>
        <v/>
      </c>
      <c r="G44" s="158">
        <f>IF(COUNT(G38,G41)&lt;2,"",G38-G41)</f>
        <v/>
      </c>
      <c r="H44" s="158">
        <f>IF(COUNT(H38,H41)&lt;2,"",H38-H41)</f>
        <v/>
      </c>
      <c r="I44" s="158">
        <f>IF(COUNT(I38,I41)&lt;2,"",I38-I41)</f>
        <v/>
      </c>
      <c r="J44" s="158">
        <f>IF(COUNT(J38,J41)&lt;2,"",J38-J41)</f>
        <v/>
      </c>
      <c r="K44" s="158">
        <f>IF(COUNT(K38,K41)&lt;2,"",K38-K41)</f>
        <v/>
      </c>
      <c r="L44" s="158">
        <f>IF(COUNT(L38,L41)&lt;2,"",L38-L41)</f>
        <v/>
      </c>
      <c r="M44" s="158">
        <f>IF(COUNT(M38,M41)&lt;2,"",M38-M41)</f>
        <v/>
      </c>
      <c r="N44" s="158">
        <f>IF(COUNT(N38,N41)&lt;2,"",N38-N41)</f>
        <v/>
      </c>
      <c r="O44" s="158">
        <f>IF(COUNT(O38,O41)&lt;2,"",O38-O41)</f>
        <v/>
      </c>
      <c r="P44" s="158">
        <f>IF(COUNT(P38,P41)&lt;2,"",P38-P41)</f>
        <v/>
      </c>
      <c r="Q44" s="158">
        <f>IF(COUNT(Q38,Q41)&lt;2,"",Q38-Q41)</f>
        <v/>
      </c>
      <c r="R44" s="158">
        <f>IF(COUNT(R38,R41)&lt;2,"",R38-R41)</f>
        <v/>
      </c>
      <c r="S44" s="158">
        <f>IF(COUNT(S38,S41)&lt;2,"",S38-S41)</f>
        <v/>
      </c>
      <c r="T44" s="156" t="inlineStr"/>
      <c r="U44" s="156" t="inlineStr"/>
      <c r="V44" s="156" t="inlineStr"/>
    </row>
    <row r="45">
      <c r="A45" s="159" t="inlineStr">
        <is>
          <t>FIASA imports, diesel</t>
        </is>
      </c>
      <c r="B45" s="160" t="inlineStr">
        <is>
          <t>million L/year</t>
        </is>
      </c>
      <c r="C45" s="160" t="inlineStr">
        <is>
          <t>Comparison only</t>
        </is>
      </c>
      <c r="D45" s="161" t="n"/>
      <c r="E45" s="159" t="inlineStr">
        <is>
          <t>FIASA annual report, latest edition for each year. Not used in the balance.</t>
        </is>
      </c>
      <c r="F45" s="161" t="n">
        <v>3247</v>
      </c>
      <c r="G45" s="161" t="n">
        <v>4254</v>
      </c>
      <c r="H45" s="161" t="n">
        <v>4997</v>
      </c>
      <c r="I45" s="161" t="n">
        <v>6451</v>
      </c>
      <c r="J45" s="161" t="n">
        <v>4424</v>
      </c>
      <c r="K45" s="161" t="n">
        <v>6036</v>
      </c>
      <c r="L45" s="161" t="n">
        <v>6105</v>
      </c>
      <c r="M45" s="161" t="n">
        <v>5858</v>
      </c>
      <c r="N45" s="161" t="n">
        <v>6815</v>
      </c>
      <c r="O45" s="161" t="n">
        <v>9567</v>
      </c>
      <c r="P45" s="161" t="n">
        <v>11914</v>
      </c>
      <c r="Q45" s="161" t="n">
        <v>12794</v>
      </c>
      <c r="R45" s="161" t="n">
        <v>14793</v>
      </c>
      <c r="S45" s="161" t="n">
        <v>12249</v>
      </c>
      <c r="T45" s="159" t="inlineStr">
        <is>
          <t>2024 diesel imports is a suspected misprint (14,793 for 10,793)</t>
        </is>
      </c>
      <c r="U45" s="159" t="inlineStr">
        <is>
          <t>Fuels Industry Association of South Africa, annual reports</t>
        </is>
      </c>
      <c r="V45" s="159" t="inlineStr"/>
    </row>
    <row r="46">
      <c r="A46" s="159" t="inlineStr">
        <is>
          <t>FIASA imports, petrol</t>
        </is>
      </c>
      <c r="B46" s="160" t="inlineStr">
        <is>
          <t>million L/year</t>
        </is>
      </c>
      <c r="C46" s="160" t="inlineStr">
        <is>
          <t>Comparison only</t>
        </is>
      </c>
      <c r="D46" s="161" t="n"/>
      <c r="E46" s="159" t="inlineStr">
        <is>
          <t>FIASA annual report, latest edition for each year. Not used in the balance.</t>
        </is>
      </c>
      <c r="F46" s="161" t="n">
        <v>1827</v>
      </c>
      <c r="G46" s="161" t="n">
        <v>1509</v>
      </c>
      <c r="H46" s="161" t="n">
        <v>1150</v>
      </c>
      <c r="I46" s="161" t="n">
        <v>1870</v>
      </c>
      <c r="J46" s="161" t="n">
        <v>1396</v>
      </c>
      <c r="K46" s="161" t="n">
        <v>2114</v>
      </c>
      <c r="L46" s="161" t="n">
        <v>2195</v>
      </c>
      <c r="M46" s="161" t="n">
        <v>1477</v>
      </c>
      <c r="N46" s="161" t="n">
        <v>1720</v>
      </c>
      <c r="O46" s="161" t="n">
        <v>4009</v>
      </c>
      <c r="P46" s="161" t="n">
        <v>5455</v>
      </c>
      <c r="Q46" s="161" t="n">
        <v>4483</v>
      </c>
      <c r="R46" s="161" t="n">
        <v>4000</v>
      </c>
      <c r="S46" s="161" t="n">
        <v>4453</v>
      </c>
      <c r="T46" s="159" t="inlineStr"/>
      <c r="U46" s="159" t="inlineStr">
        <is>
          <t>Fuels Industry Association of South Africa, annual reports</t>
        </is>
      </c>
      <c r="V46" s="159" t="inlineStr"/>
    </row>
    <row r="47">
      <c r="A47" s="159" t="inlineStr">
        <is>
          <t>FIASA exports, diesel</t>
        </is>
      </c>
      <c r="B47" s="160" t="inlineStr">
        <is>
          <t>million L/year</t>
        </is>
      </c>
      <c r="C47" s="160" t="inlineStr">
        <is>
          <t>Comparison only</t>
        </is>
      </c>
      <c r="D47" s="161" t="n"/>
      <c r="E47" s="159" t="inlineStr">
        <is>
          <t>FIASA annual report, latest edition for each year. Not used in the balance.</t>
        </is>
      </c>
      <c r="F47" s="161" t="n">
        <v>929</v>
      </c>
      <c r="G47" s="161" t="n">
        <v>1620</v>
      </c>
      <c r="H47" s="161" t="n">
        <v>1493</v>
      </c>
      <c r="I47" s="161" t="n">
        <v>1625</v>
      </c>
      <c r="J47" s="161" t="n">
        <v>1887</v>
      </c>
      <c r="K47" s="161" t="n">
        <v>1784</v>
      </c>
      <c r="L47" s="161" t="n">
        <v>1838</v>
      </c>
      <c r="M47" s="161" t="n">
        <v>1786</v>
      </c>
      <c r="N47" s="161" t="n">
        <v>914</v>
      </c>
      <c r="O47" s="161" t="n">
        <v>895</v>
      </c>
      <c r="P47" s="161" t="n">
        <v>698</v>
      </c>
      <c r="Q47" s="161" t="n">
        <v>935</v>
      </c>
      <c r="R47" s="161" t="n">
        <v>821</v>
      </c>
      <c r="S47" s="161" t="n">
        <v>748</v>
      </c>
      <c r="T47" s="159" t="inlineStr"/>
      <c r="U47" s="159" t="inlineStr">
        <is>
          <t>Fuels Industry Association of South Africa, annual reports</t>
        </is>
      </c>
      <c r="V47" s="159" t="inlineStr"/>
    </row>
    <row r="48">
      <c r="A48" s="159" t="inlineStr">
        <is>
          <t>FIASA exports, petrol</t>
        </is>
      </c>
      <c r="B48" s="160" t="inlineStr">
        <is>
          <t>million L/year</t>
        </is>
      </c>
      <c r="C48" s="160" t="inlineStr">
        <is>
          <t>Comparison only</t>
        </is>
      </c>
      <c r="D48" s="161" t="n"/>
      <c r="E48" s="159" t="inlineStr">
        <is>
          <t>FIASA annual report, latest edition for each year. Not used in the balance.</t>
        </is>
      </c>
      <c r="F48" s="161" t="n">
        <v>444</v>
      </c>
      <c r="G48" s="161" t="n">
        <v>956</v>
      </c>
      <c r="H48" s="161" t="n">
        <v>989</v>
      </c>
      <c r="I48" s="161" t="n">
        <v>1086</v>
      </c>
      <c r="J48" s="161" t="n">
        <v>1159</v>
      </c>
      <c r="K48" s="161" t="n">
        <v>1082</v>
      </c>
      <c r="L48" s="161" t="n">
        <v>1321</v>
      </c>
      <c r="M48" s="161" t="n">
        <v>1179</v>
      </c>
      <c r="N48" s="161" t="n">
        <v>1155</v>
      </c>
      <c r="O48" s="161" t="n">
        <v>1054</v>
      </c>
      <c r="P48" s="161" t="n">
        <v>793</v>
      </c>
      <c r="Q48" s="161" t="n">
        <v>1018</v>
      </c>
      <c r="R48" s="161" t="n">
        <v>939</v>
      </c>
      <c r="S48" s="161" t="n">
        <v>802</v>
      </c>
      <c r="T48" s="159" t="inlineStr"/>
      <c r="U48" s="159" t="inlineStr">
        <is>
          <t>Fuels Industry Association of South Africa, annual reports</t>
        </is>
      </c>
      <c r="V48" s="159" t="inlineStr"/>
    </row>
    <row r="50">
      <c r="A50" s="151" t="inlineStr">
        <is>
          <t>3. Refinery production</t>
        </is>
      </c>
      <c r="B50" s="151" t="n"/>
      <c r="C50" s="151" t="n"/>
      <c r="D50" s="151" t="n"/>
      <c r="E50" s="151" t="n"/>
      <c r="F50" s="151" t="n"/>
      <c r="G50" s="151" t="n"/>
      <c r="H50" s="151" t="n"/>
      <c r="I50" s="151" t="n"/>
      <c r="J50" s="151" t="n"/>
      <c r="K50" s="151" t="n"/>
      <c r="L50" s="151" t="n"/>
      <c r="M50" s="151" t="n"/>
      <c r="N50" s="151" t="n"/>
      <c r="O50" s="151" t="n"/>
      <c r="P50" s="151" t="n"/>
      <c r="Q50" s="151" t="n"/>
      <c r="R50" s="151" t="n"/>
      <c r="S50" s="151" t="n"/>
      <c r="T50" s="151" t="n"/>
      <c r="U50" s="151" t="n"/>
      <c r="V50" s="151" t="n"/>
    </row>
    <row r="51">
      <c r="A51" s="152" t="inlineStr">
        <is>
          <t>Production reported, petrol</t>
        </is>
      </c>
      <c r="B51" s="153" t="inlineStr">
        <is>
          <t>million L/year</t>
        </is>
      </c>
      <c r="C51" s="153" t="inlineStr">
        <is>
          <t>Source observation</t>
        </is>
      </c>
      <c r="D51" s="154" t="n"/>
      <c r="E51" s="152" t="inlineStr">
        <is>
          <t>National production line of the department's energy balance.</t>
        </is>
      </c>
      <c r="F51" s="154" t="n">
        <v>9637.8138</v>
      </c>
      <c r="G51" s="154" t="n">
        <v>10480.187</v>
      </c>
      <c r="H51" s="154" t="n">
        <v>10828.16</v>
      </c>
      <c r="I51" s="154" t="n">
        <v>10457.813</v>
      </c>
      <c r="J51" s="154" t="n">
        <v>10393.066</v>
      </c>
      <c r="K51" s="154" t="n">
        <v>9434.440000000001</v>
      </c>
      <c r="L51" s="154" t="n">
        <v>9974.559999999999</v>
      </c>
      <c r="M51" s="154" t="n">
        <v>10424.467</v>
      </c>
      <c r="N51" s="154" t="n">
        <v>7895</v>
      </c>
      <c r="O51" s="154" t="n">
        <v>6351.306666663</v>
      </c>
      <c r="P51" s="154" t="n"/>
      <c r="Q51" s="154" t="n"/>
      <c r="R51" s="154" t="n"/>
      <c r="S51" s="154" t="n"/>
      <c r="T51" s="152" t="inlineStr">
        <is>
          <t>2012-2021; no balance published after 2021</t>
        </is>
      </c>
      <c r="U51" s="152" t="inlineStr">
        <is>
          <t>Department energy balances</t>
        </is>
      </c>
      <c r="V51" s="152" t="inlineStr"/>
    </row>
    <row r="52">
      <c r="A52" s="152" t="inlineStr">
        <is>
          <t>Refinery output reported to JODI, petrol</t>
        </is>
      </c>
      <c r="B52" s="153" t="inlineStr">
        <is>
          <t>million L/year</t>
        </is>
      </c>
      <c r="C52" s="153" t="inlineStr">
        <is>
          <t>Source observation</t>
        </is>
      </c>
      <c r="D52" s="154" t="n"/>
      <c r="E52" s="152" t="inlineStr">
        <is>
          <t>South Africa's monthly submissions to the JODI oil database, added over the calendar year.</t>
        </is>
      </c>
      <c r="F52" s="154" t="n"/>
      <c r="G52" s="154" t="n"/>
      <c r="H52" s="154" t="n"/>
      <c r="I52" s="154" t="n"/>
      <c r="J52" s="154" t="n"/>
      <c r="K52" s="154" t="n">
        <v>11731.6379</v>
      </c>
      <c r="L52" s="154" t="n">
        <v>11313.0354</v>
      </c>
      <c r="M52" s="154" t="n">
        <v>12109.8608</v>
      </c>
      <c r="N52" s="154" t="n">
        <v>8927.943300000001</v>
      </c>
      <c r="O52" s="154" t="n">
        <v>7124.3185</v>
      </c>
      <c r="P52" s="154" t="n">
        <v>6638.4163</v>
      </c>
      <c r="Q52" s="154" t="n">
        <v>8522.800800000001</v>
      </c>
      <c r="R52" s="154" t="n">
        <v>7341.0227</v>
      </c>
      <c r="S52" s="154" t="n"/>
      <c r="T52" s="152" t="inlineStr">
        <is>
          <t>2017-2024. 12-24% above the energy balance in 2017-2021; cause not established</t>
        </is>
      </c>
      <c r="U52" s="152" t="inlineStr">
        <is>
          <t>JODI oil database; lowest assessment code</t>
        </is>
      </c>
      <c r="V52" s="152" t="inlineStr">
        <is>
          <t>Nigel: accept as the production record for 2022-2024</t>
        </is>
      </c>
    </row>
    <row r="53">
      <c r="A53" s="156" t="inlineStr">
        <is>
          <t>Production used, petrol</t>
        </is>
      </c>
      <c r="B53" s="157" t="inlineStr">
        <is>
          <t>million L/year</t>
        </is>
      </c>
      <c r="C53" s="157" t="inlineStr">
        <is>
          <t>Reporting formula</t>
        </is>
      </c>
      <c r="D53" s="158" t="n"/>
      <c r="E53" s="156" t="inlineStr">
        <is>
          <t>Energy balance while published (to 2021); JODI refinery output after that.</t>
        </is>
      </c>
      <c r="F53" s="158">
        <f>IF(ISNUMBER(F51),F51,IF(ISNUMBER(F52),F52,""))</f>
        <v/>
      </c>
      <c r="G53" s="158">
        <f>IF(ISNUMBER(G51),G51,IF(ISNUMBER(G52),G52,""))</f>
        <v/>
      </c>
      <c r="H53" s="158">
        <f>IF(ISNUMBER(H51),H51,IF(ISNUMBER(H52),H52,""))</f>
        <v/>
      </c>
      <c r="I53" s="158">
        <f>IF(ISNUMBER(I51),I51,IF(ISNUMBER(I52),I52,""))</f>
        <v/>
      </c>
      <c r="J53" s="158">
        <f>IF(ISNUMBER(J51),J51,IF(ISNUMBER(J52),J52,""))</f>
        <v/>
      </c>
      <c r="K53" s="158">
        <f>IF(ISNUMBER(K51),K51,IF(ISNUMBER(K52),K52,""))</f>
        <v/>
      </c>
      <c r="L53" s="158">
        <f>IF(ISNUMBER(L51),L51,IF(ISNUMBER(L52),L52,""))</f>
        <v/>
      </c>
      <c r="M53" s="158">
        <f>IF(ISNUMBER(M51),M51,IF(ISNUMBER(M52),M52,""))</f>
        <v/>
      </c>
      <c r="N53" s="158">
        <f>IF(ISNUMBER(N51),N51,IF(ISNUMBER(N52),N52,""))</f>
        <v/>
      </c>
      <c r="O53" s="158">
        <f>IF(ISNUMBER(O51),O51,IF(ISNUMBER(O52),O52,""))</f>
        <v/>
      </c>
      <c r="P53" s="158">
        <f>IF(ISNUMBER(P51),P51,IF(ISNUMBER(P52),P52,""))</f>
        <v/>
      </c>
      <c r="Q53" s="158">
        <f>IF(ISNUMBER(Q51),Q51,IF(ISNUMBER(Q52),Q52,""))</f>
        <v/>
      </c>
      <c r="R53" s="158">
        <f>IF(ISNUMBER(R51),R51,IF(ISNUMBER(R52),R52,""))</f>
        <v/>
      </c>
      <c r="S53" s="158">
        <f>IF(ISNUMBER(S51),S51,IF(ISNUMBER(S52),S52,""))</f>
        <v/>
      </c>
      <c r="T53" s="156" t="inlineStr">
        <is>
          <t>Energy balance to 2021; JODI 2022-2024; level break at 2022 for petrol</t>
        </is>
      </c>
      <c r="U53" s="156" t="inlineStr"/>
      <c r="V53" s="156" t="inlineStr"/>
    </row>
    <row r="54">
      <c r="A54" s="152" t="inlineStr">
        <is>
          <t>Production reported, diesel</t>
        </is>
      </c>
      <c r="B54" s="153" t="inlineStr">
        <is>
          <t>million L/year</t>
        </is>
      </c>
      <c r="C54" s="153" t="inlineStr">
        <is>
          <t>Source observation</t>
        </is>
      </c>
      <c r="D54" s="154" t="n"/>
      <c r="E54" s="152" t="inlineStr">
        <is>
          <t>National production line of the department's energy balance.</t>
        </is>
      </c>
      <c r="F54" s="154" t="n">
        <v>9661.628000000001</v>
      </c>
      <c r="G54" s="154" t="n">
        <v>9380.035</v>
      </c>
      <c r="H54" s="154" t="n">
        <v>9587.74</v>
      </c>
      <c r="I54" s="154" t="n">
        <v>9368.482</v>
      </c>
      <c r="J54" s="154" t="n">
        <v>9014.190000000001</v>
      </c>
      <c r="K54" s="154" t="n">
        <v>7921.726</v>
      </c>
      <c r="L54" s="154" t="n">
        <v>8425.262000000001</v>
      </c>
      <c r="M54" s="154" t="n">
        <v>9080.357</v>
      </c>
      <c r="N54" s="154" t="n">
        <v>6447.8095</v>
      </c>
      <c r="O54" s="154" t="n">
        <v>5314.964285718001</v>
      </c>
      <c r="P54" s="154" t="n"/>
      <c r="Q54" s="154" t="n"/>
      <c r="R54" s="154" t="n"/>
      <c r="S54" s="154" t="n"/>
      <c r="T54" s="152" t="inlineStr">
        <is>
          <t>2012-2021; no balance published after 2021</t>
        </is>
      </c>
      <c r="U54" s="152" t="inlineStr">
        <is>
          <t>Department energy balances</t>
        </is>
      </c>
      <c r="V54" s="152" t="inlineStr"/>
    </row>
    <row r="55">
      <c r="A55" s="152" t="inlineStr">
        <is>
          <t>Refinery output reported to JODI, diesel</t>
        </is>
      </c>
      <c r="B55" s="153" t="inlineStr">
        <is>
          <t>million L/year</t>
        </is>
      </c>
      <c r="C55" s="153" t="inlineStr">
        <is>
          <t>Source observation</t>
        </is>
      </c>
      <c r="D55" s="154" t="n"/>
      <c r="E55" s="152" t="inlineStr">
        <is>
          <t>South Africa's monthly submissions to the JODI oil database, added over the calendar year.</t>
        </is>
      </c>
      <c r="F55" s="154" t="n"/>
      <c r="G55" s="154" t="n"/>
      <c r="H55" s="154" t="n"/>
      <c r="I55" s="154" t="n"/>
      <c r="J55" s="154" t="n"/>
      <c r="K55" s="154" t="n">
        <v>8062.9588</v>
      </c>
      <c r="L55" s="154" t="n">
        <v>8136.4744</v>
      </c>
      <c r="M55" s="154" t="n">
        <v>8889.4123</v>
      </c>
      <c r="N55" s="154" t="n">
        <v>6356.6947</v>
      </c>
      <c r="O55" s="154" t="n">
        <v>5295.4669</v>
      </c>
      <c r="P55" s="154" t="n">
        <v>4110.9234</v>
      </c>
      <c r="Q55" s="154" t="n">
        <v>5187.5654</v>
      </c>
      <c r="R55" s="154" t="n">
        <v>3892.7492</v>
      </c>
      <c r="S55" s="154" t="n"/>
      <c r="T55" s="152" t="inlineStr">
        <is>
          <t>2017-2024. Within 4% of the energy balance in 2017-2021</t>
        </is>
      </c>
      <c r="U55" s="152" t="inlineStr">
        <is>
          <t>JODI oil database; lowest assessment code</t>
        </is>
      </c>
      <c r="V55" s="152" t="inlineStr">
        <is>
          <t>Nigel: accept as the production record for 2022-2024</t>
        </is>
      </c>
    </row>
    <row r="56">
      <c r="A56" s="156" t="inlineStr">
        <is>
          <t>Production used, diesel</t>
        </is>
      </c>
      <c r="B56" s="157" t="inlineStr">
        <is>
          <t>million L/year</t>
        </is>
      </c>
      <c r="C56" s="157" t="inlineStr">
        <is>
          <t>Reporting formula</t>
        </is>
      </c>
      <c r="D56" s="158" t="n"/>
      <c r="E56" s="156" t="inlineStr">
        <is>
          <t>Energy balance while published (to 2021); JODI refinery output after that.</t>
        </is>
      </c>
      <c r="F56" s="158">
        <f>IF(ISNUMBER(F54),F54,IF(ISNUMBER(F55),F55,""))</f>
        <v/>
      </c>
      <c r="G56" s="158">
        <f>IF(ISNUMBER(G54),G54,IF(ISNUMBER(G55),G55,""))</f>
        <v/>
      </c>
      <c r="H56" s="158">
        <f>IF(ISNUMBER(H54),H54,IF(ISNUMBER(H55),H55,""))</f>
        <v/>
      </c>
      <c r="I56" s="158">
        <f>IF(ISNUMBER(I54),I54,IF(ISNUMBER(I55),I55,""))</f>
        <v/>
      </c>
      <c r="J56" s="158">
        <f>IF(ISNUMBER(J54),J54,IF(ISNUMBER(J55),J55,""))</f>
        <v/>
      </c>
      <c r="K56" s="158">
        <f>IF(ISNUMBER(K54),K54,IF(ISNUMBER(K55),K55,""))</f>
        <v/>
      </c>
      <c r="L56" s="158">
        <f>IF(ISNUMBER(L54),L54,IF(ISNUMBER(L55),L55,""))</f>
        <v/>
      </c>
      <c r="M56" s="158">
        <f>IF(ISNUMBER(M54),M54,IF(ISNUMBER(M55),M55,""))</f>
        <v/>
      </c>
      <c r="N56" s="158">
        <f>IF(ISNUMBER(N54),N54,IF(ISNUMBER(N55),N55,""))</f>
        <v/>
      </c>
      <c r="O56" s="158">
        <f>IF(ISNUMBER(O54),O54,IF(ISNUMBER(O55),O55,""))</f>
        <v/>
      </c>
      <c r="P56" s="158">
        <f>IF(ISNUMBER(P54),P54,IF(ISNUMBER(P55),P55,""))</f>
        <v/>
      </c>
      <c r="Q56" s="158">
        <f>IF(ISNUMBER(Q54),Q54,IF(ISNUMBER(Q55),Q55,""))</f>
        <v/>
      </c>
      <c r="R56" s="158">
        <f>IF(ISNUMBER(R54),R54,IF(ISNUMBER(R55),R55,""))</f>
        <v/>
      </c>
      <c r="S56" s="158">
        <f>IF(ISNUMBER(S54),S54,IF(ISNUMBER(S55),S55,""))</f>
        <v/>
      </c>
      <c r="T56" s="156" t="inlineStr">
        <is>
          <t>Energy balance to 2021; JODI 2022-2024</t>
        </is>
      </c>
      <c r="U56" s="156" t="inlineStr"/>
      <c r="V56" s="156" t="inlineStr"/>
    </row>
    <row r="57">
      <c r="A57" s="159" t="inlineStr">
        <is>
          <t>Secunda, all refined products</t>
        </is>
      </c>
      <c r="B57" s="160" t="inlineStr">
        <is>
          <t>million barrels</t>
        </is>
      </c>
      <c r="C57" s="160" t="inlineStr">
        <is>
          <t>Reported units; not converted</t>
        </is>
      </c>
      <c r="D57" s="161" t="n"/>
      <c r="E57" s="159" t="inlineStr">
        <is>
          <t>As reported by the operator; year to 30 June. All products together, so not comparable with the rows above without assumptions.</t>
        </is>
      </c>
      <c r="F57" s="161" t="n"/>
      <c r="G57" s="161" t="n"/>
      <c r="H57" s="161" t="n"/>
      <c r="I57" s="161" t="n"/>
      <c r="J57" s="161" t="n"/>
      <c r="K57" s="161" t="n"/>
      <c r="L57" s="161" t="n"/>
      <c r="M57" s="161" t="n"/>
      <c r="N57" s="161" t="n">
        <v>31.2</v>
      </c>
      <c r="O57" s="161" t="n">
        <v>32.1</v>
      </c>
      <c r="P57" s="161" t="n">
        <v>29.2</v>
      </c>
      <c r="Q57" s="161" t="n">
        <v>29.9</v>
      </c>
      <c r="R57" s="161" t="n">
        <v>29.1</v>
      </c>
      <c r="S57" s="161" t="n">
        <v>27.6</v>
      </c>
      <c r="T57" s="159" t="inlineStr">
        <is>
          <t>Operator reports; no split by product</t>
        </is>
      </c>
      <c r="U57" s="159" t="inlineStr">
        <is>
          <t>Sasol production metrics; Glencore annual reports</t>
        </is>
      </c>
      <c r="V57" s="159" t="inlineStr"/>
    </row>
    <row r="58">
      <c r="A58" s="159" t="inlineStr">
        <is>
          <t>Natref, Sasol's 63.64% share</t>
        </is>
      </c>
      <c r="B58" s="160" t="inlineStr">
        <is>
          <t>million barrels</t>
        </is>
      </c>
      <c r="C58" s="160" t="inlineStr">
        <is>
          <t>Reported units; not converted</t>
        </is>
      </c>
      <c r="D58" s="161" t="n"/>
      <c r="E58" s="159" t="inlineStr">
        <is>
          <t>As reported by the operator; year to 30 June. All products together, so not comparable with the rows above without assumptions.</t>
        </is>
      </c>
      <c r="F58" s="161" t="n"/>
      <c r="G58" s="161" t="n"/>
      <c r="H58" s="161" t="n"/>
      <c r="I58" s="161" t="n"/>
      <c r="J58" s="161" t="n"/>
      <c r="K58" s="161" t="n"/>
      <c r="L58" s="161" t="n"/>
      <c r="M58" s="161" t="n"/>
      <c r="N58" s="161" t="n">
        <v>16.8</v>
      </c>
      <c r="O58" s="161" t="n">
        <v>17.7</v>
      </c>
      <c r="P58" s="161" t="n">
        <v>18.9</v>
      </c>
      <c r="Q58" s="161" t="n">
        <v>17.2</v>
      </c>
      <c r="R58" s="161" t="n">
        <v>17.8</v>
      </c>
      <c r="S58" s="161" t="n">
        <v>14.7</v>
      </c>
      <c r="T58" s="159" t="inlineStr">
        <is>
          <t>Operator reports; no split by product</t>
        </is>
      </c>
      <c r="U58" s="159" t="inlineStr">
        <is>
          <t>Sasol production metrics; Glencore annual reports</t>
        </is>
      </c>
      <c r="V58" s="159" t="inlineStr"/>
    </row>
    <row r="59">
      <c r="A59" s="159" t="inlineStr">
        <is>
          <t>Astron (Cape Town), all refined products</t>
        </is>
      </c>
      <c r="B59" s="160" t="inlineStr">
        <is>
          <t>billion Btu</t>
        </is>
      </c>
      <c r="C59" s="160" t="inlineStr">
        <is>
          <t>Reported units; not converted</t>
        </is>
      </c>
      <c r="D59" s="161" t="n"/>
      <c r="E59" s="159" t="inlineStr">
        <is>
          <t>As reported by the operator; calendar year. All products together, so not comparable with the rows above without assumptions.</t>
        </is>
      </c>
      <c r="F59" s="161" t="n"/>
      <c r="G59" s="161" t="n"/>
      <c r="H59" s="161" t="n"/>
      <c r="I59" s="161" t="n"/>
      <c r="J59" s="161" t="n"/>
      <c r="K59" s="161" t="n"/>
      <c r="L59" s="161" t="n"/>
      <c r="M59" s="161" t="n"/>
      <c r="N59" s="161" t="n"/>
      <c r="O59" s="161" t="n"/>
      <c r="P59" s="161" t="n"/>
      <c r="Q59" s="161" t="n">
        <v>136665</v>
      </c>
      <c r="R59" s="161" t="n">
        <v>166204</v>
      </c>
      <c r="S59" s="161" t="n">
        <v>164365</v>
      </c>
      <c r="T59" s="159" t="inlineStr">
        <is>
          <t>Operator reports; no split by product</t>
        </is>
      </c>
      <c r="U59" s="159" t="inlineStr">
        <is>
          <t>Sasol production metrics; Glencore annual reports</t>
        </is>
      </c>
      <c r="V59" s="159" t="inlineStr"/>
    </row>
    <row r="61">
      <c r="A61" s="151" t="inlineStr">
        <is>
          <t>4. Balance: consumption = imports - exports + production + stock change</t>
        </is>
      </c>
      <c r="B61" s="151" t="n"/>
      <c r="C61" s="151" t="n"/>
      <c r="D61" s="151" t="n"/>
      <c r="E61" s="151" t="n"/>
      <c r="F61" s="151" t="n"/>
      <c r="G61" s="151" t="n"/>
      <c r="H61" s="151" t="n"/>
      <c r="I61" s="151" t="n"/>
      <c r="J61" s="151" t="n"/>
      <c r="K61" s="151" t="n"/>
      <c r="L61" s="151" t="n"/>
      <c r="M61" s="151" t="n"/>
      <c r="N61" s="151" t="n"/>
      <c r="O61" s="151" t="n"/>
      <c r="P61" s="151" t="n"/>
      <c r="Q61" s="151" t="n"/>
      <c r="R61" s="151" t="n"/>
      <c r="S61" s="151" t="n"/>
      <c r="T61" s="151" t="n"/>
      <c r="U61" s="151" t="n"/>
      <c r="V61" s="151" t="n"/>
    </row>
    <row r="62">
      <c r="A62" s="159" t="inlineStr">
        <is>
          <t>FIASA sales, petrol</t>
        </is>
      </c>
      <c r="B62" s="160" t="inlineStr">
        <is>
          <t>million L/year</t>
        </is>
      </c>
      <c r="C62" s="160" t="inlineStr">
        <is>
          <t>Comparison only</t>
        </is>
      </c>
      <c r="D62" s="161" t="n"/>
      <c r="E62" s="159" t="inlineStr">
        <is>
          <t>FIASA annual report, latest edition. Attributed by FIASA to the department.</t>
        </is>
      </c>
      <c r="F62" s="161" t="n">
        <v>11714</v>
      </c>
      <c r="G62" s="161" t="n">
        <v>11153</v>
      </c>
      <c r="H62" s="161" t="n">
        <v>11344</v>
      </c>
      <c r="I62" s="161" t="n">
        <v>12072</v>
      </c>
      <c r="J62" s="161" t="n">
        <v>10160</v>
      </c>
      <c r="K62" s="161" t="n">
        <v>11174</v>
      </c>
      <c r="L62" s="161" t="n">
        <v>11142</v>
      </c>
      <c r="M62" s="161" t="n">
        <v>10773</v>
      </c>
      <c r="N62" s="161" t="n">
        <v>8761</v>
      </c>
      <c r="O62" s="161" t="n">
        <v>9302</v>
      </c>
      <c r="P62" s="161" t="n">
        <v>9185</v>
      </c>
      <c r="Q62" s="161" t="n">
        <v>9037</v>
      </c>
      <c r="R62" s="161" t="n">
        <v>9029</v>
      </c>
      <c r="S62" s="161" t="n"/>
      <c r="T62" s="159" t="inlineStr">
        <is>
          <t>Not used. 2024 differs between FIASA's 2024 and 2025 editions</t>
        </is>
      </c>
      <c r="U62" s="159" t="inlineStr">
        <is>
          <t>Fuels Industry Association of South Africa, annual reports</t>
        </is>
      </c>
      <c r="V62" s="159" t="inlineStr"/>
    </row>
    <row r="63">
      <c r="A63" s="156" t="inlineStr">
        <is>
          <t>Sales used, petrol</t>
        </is>
      </c>
      <c r="B63" s="157" t="inlineStr">
        <is>
          <t>million L/year</t>
        </is>
      </c>
      <c r="C63" s="157" t="inlineStr">
        <is>
          <t>Reporting formula</t>
        </is>
      </c>
      <c r="D63" s="158" t="n"/>
      <c r="E63" s="156" t="inlineStr">
        <is>
          <t>Department national file. Blank where the department has not published.</t>
        </is>
      </c>
      <c r="F63" s="158">
        <f>IF(ISNUMBER(F16),F16,"")</f>
        <v/>
      </c>
      <c r="G63" s="158">
        <f>IF(ISNUMBER(G16),G16,"")</f>
        <v/>
      </c>
      <c r="H63" s="158">
        <f>IF(ISNUMBER(H16),H16,"")</f>
        <v/>
      </c>
      <c r="I63" s="158">
        <f>IF(ISNUMBER(I16),I16,"")</f>
        <v/>
      </c>
      <c r="J63" s="158">
        <f>IF(ISNUMBER(J16),J16,"")</f>
        <v/>
      </c>
      <c r="K63" s="158">
        <f>IF(ISNUMBER(K16),K16,"")</f>
        <v/>
      </c>
      <c r="L63" s="158">
        <f>IF(ISNUMBER(L16),L16,"")</f>
        <v/>
      </c>
      <c r="M63" s="158">
        <f>IF(ISNUMBER(M16),M16,"")</f>
        <v/>
      </c>
      <c r="N63" s="158">
        <f>IF(ISNUMBER(N16),N16,"")</f>
        <v/>
      </c>
      <c r="O63" s="158">
        <f>IF(ISNUMBER(O16),O16,"")</f>
        <v/>
      </c>
      <c r="P63" s="158">
        <f>IF(ISNUMBER(P16),P16,"")</f>
        <v/>
      </c>
      <c r="Q63" s="158">
        <f>IF(ISNUMBER(Q16),Q16,"")</f>
        <v/>
      </c>
      <c r="R63" s="158">
        <f>IF(ISNUMBER(R16),R16,"")</f>
        <v/>
      </c>
      <c r="S63" s="158">
        <f>IF(ISNUMBER(S16),S16,"")</f>
        <v/>
      </c>
      <c r="T63" s="156" t="inlineStr">
        <is>
          <t>Department to 2023; no figure for 2024 or 2025</t>
        </is>
      </c>
      <c r="U63" s="156" t="inlineStr"/>
      <c r="V63" s="156" t="inlineStr"/>
    </row>
    <row r="64">
      <c r="A64" s="156" t="inlineStr">
        <is>
          <t>Net imports used, petrol</t>
        </is>
      </c>
      <c r="B64" s="157" t="inlineStr">
        <is>
          <t>million L/year</t>
        </is>
      </c>
      <c r="C64" s="157" t="inlineStr">
        <is>
          <t>Reporting formula</t>
        </is>
      </c>
      <c r="D64" s="158" t="n"/>
      <c r="E64" s="156" t="inlineStr">
        <is>
          <t>SARS customs from 2014 (section 2).</t>
        </is>
      </c>
      <c r="F64" s="158">
        <f>IF(ISNUMBER(F43),F43,"")</f>
        <v/>
      </c>
      <c r="G64" s="158">
        <f>IF(ISNUMBER(G43),G43,"")</f>
        <v/>
      </c>
      <c r="H64" s="158">
        <f>IF(ISNUMBER(H43),H43,"")</f>
        <v/>
      </c>
      <c r="I64" s="158">
        <f>IF(ISNUMBER(I43),I43,"")</f>
        <v/>
      </c>
      <c r="J64" s="158">
        <f>IF(ISNUMBER(J43),J43,"")</f>
        <v/>
      </c>
      <c r="K64" s="158">
        <f>IF(ISNUMBER(K43),K43,"")</f>
        <v/>
      </c>
      <c r="L64" s="158">
        <f>IF(ISNUMBER(L43),L43,"")</f>
        <v/>
      </c>
      <c r="M64" s="158">
        <f>IF(ISNUMBER(M43),M43,"")</f>
        <v/>
      </c>
      <c r="N64" s="158">
        <f>IF(ISNUMBER(N43),N43,"")</f>
        <v/>
      </c>
      <c r="O64" s="158">
        <f>IF(ISNUMBER(O43),O43,"")</f>
        <v/>
      </c>
      <c r="P64" s="158">
        <f>IF(ISNUMBER(P43),P43,"")</f>
        <v/>
      </c>
      <c r="Q64" s="158">
        <f>IF(ISNUMBER(Q43),Q43,"")</f>
        <v/>
      </c>
      <c r="R64" s="158">
        <f>IF(ISNUMBER(R43),R43,"")</f>
        <v/>
      </c>
      <c r="S64" s="158">
        <f>IF(ISNUMBER(S43),S43,"")</f>
        <v/>
      </c>
      <c r="T64" s="156" t="inlineStr"/>
      <c r="U64" s="156" t="inlineStr"/>
      <c r="V64" s="156" t="inlineStr"/>
    </row>
    <row r="65">
      <c r="A65" s="156" t="inlineStr">
        <is>
          <t>Sales less net imports, petrol</t>
        </is>
      </c>
      <c r="B65" s="157" t="inlineStr">
        <is>
          <t>million L/year</t>
        </is>
      </c>
      <c r="C65" s="157" t="inlineStr">
        <is>
          <t>Reporting formula</t>
        </is>
      </c>
      <c r="D65" s="158" t="n"/>
      <c r="E65" s="156" t="inlineStr">
        <is>
          <t>What production, stock changes and gaps in sales coverage must together supply. Not a measurement of production.</t>
        </is>
      </c>
      <c r="F65" s="158">
        <f>IF(COUNT(F63,F64)&lt;2,"",F63-F64)</f>
        <v/>
      </c>
      <c r="G65" s="158">
        <f>IF(COUNT(G63,G64)&lt;2,"",G63-G64)</f>
        <v/>
      </c>
      <c r="H65" s="158">
        <f>IF(COUNT(H63,H64)&lt;2,"",H63-H64)</f>
        <v/>
      </c>
      <c r="I65" s="158">
        <f>IF(COUNT(I63,I64)&lt;2,"",I63-I64)</f>
        <v/>
      </c>
      <c r="J65" s="158">
        <f>IF(COUNT(J63,J64)&lt;2,"",J63-J64)</f>
        <v/>
      </c>
      <c r="K65" s="158">
        <f>IF(COUNT(K63,K64)&lt;2,"",K63-K64)</f>
        <v/>
      </c>
      <c r="L65" s="158">
        <f>IF(COUNT(L63,L64)&lt;2,"",L63-L64)</f>
        <v/>
      </c>
      <c r="M65" s="158">
        <f>IF(COUNT(M63,M64)&lt;2,"",M63-M64)</f>
        <v/>
      </c>
      <c r="N65" s="158">
        <f>IF(COUNT(N63,N64)&lt;2,"",N63-N64)</f>
        <v/>
      </c>
      <c r="O65" s="158">
        <f>IF(COUNT(O63,O64)&lt;2,"",O63-O64)</f>
        <v/>
      </c>
      <c r="P65" s="158">
        <f>IF(COUNT(P63,P64)&lt;2,"",P63-P64)</f>
        <v/>
      </c>
      <c r="Q65" s="158">
        <f>IF(COUNT(Q63,Q64)&lt;2,"",Q63-Q64)</f>
        <v/>
      </c>
      <c r="R65" s="158">
        <f>IF(COUNT(R63,R64)&lt;2,"",R63-R64)</f>
        <v/>
      </c>
      <c r="S65" s="158">
        <f>IF(COUNT(S63,S64)&lt;2,"",S63-S64)</f>
        <v/>
      </c>
      <c r="T65" s="156" t="inlineStr"/>
      <c r="U65" s="156" t="inlineStr"/>
      <c r="V65" s="156" t="inlineStr"/>
    </row>
    <row r="66">
      <c r="A66" s="156" t="inlineStr">
        <is>
          <t>Unexplained after reported production, petrol</t>
        </is>
      </c>
      <c r="B66" s="157" t="inlineStr">
        <is>
          <t>million L/year</t>
        </is>
      </c>
      <c r="C66" s="157" t="inlineStr">
        <is>
          <t>Reporting formula</t>
        </is>
      </c>
      <c r="D66" s="158" t="n"/>
      <c r="E66" s="156" t="inlineStr">
        <is>
          <t>Sales less net imports less reported production: stock change plus anything the sources do not cover.</t>
        </is>
      </c>
      <c r="F66" s="158">
        <f>IF(COUNT(F65,F53)&lt;2,"",F65-F53)</f>
        <v/>
      </c>
      <c r="G66" s="158">
        <f>IF(COUNT(G65,G53)&lt;2,"",G65-G53)</f>
        <v/>
      </c>
      <c r="H66" s="158">
        <f>IF(COUNT(H65,H53)&lt;2,"",H65-H53)</f>
        <v/>
      </c>
      <c r="I66" s="158">
        <f>IF(COUNT(I65,I53)&lt;2,"",I65-I53)</f>
        <v/>
      </c>
      <c r="J66" s="158">
        <f>IF(COUNT(J65,J53)&lt;2,"",J65-J53)</f>
        <v/>
      </c>
      <c r="K66" s="158">
        <f>IF(COUNT(K65,K53)&lt;2,"",K65-K53)</f>
        <v/>
      </c>
      <c r="L66" s="158">
        <f>IF(COUNT(L65,L53)&lt;2,"",L65-L53)</f>
        <v/>
      </c>
      <c r="M66" s="158">
        <f>IF(COUNT(M65,M53)&lt;2,"",M65-M53)</f>
        <v/>
      </c>
      <c r="N66" s="158">
        <f>IF(COUNT(N65,N53)&lt;2,"",N65-N53)</f>
        <v/>
      </c>
      <c r="O66" s="158">
        <f>IF(COUNT(O65,O53)&lt;2,"",O65-O53)</f>
        <v/>
      </c>
      <c r="P66" s="158">
        <f>IF(COUNT(P65,P53)&lt;2,"",P65-P53)</f>
        <v/>
      </c>
      <c r="Q66" s="158">
        <f>IF(COUNT(Q65,Q53)&lt;2,"",Q65-Q53)</f>
        <v/>
      </c>
      <c r="R66" s="158">
        <f>IF(COUNT(R65,R53)&lt;2,"",R65-R53)</f>
        <v/>
      </c>
      <c r="S66" s="158">
        <f>IF(COUNT(S65,S53)&lt;2,"",S65-S53)</f>
        <v/>
      </c>
      <c r="T66" s="156" t="inlineStr">
        <is>
          <t>To 2024. Negative means reported supply is above recorded sales</t>
        </is>
      </c>
      <c r="U66" s="156" t="inlineStr"/>
      <c r="V66" s="156" t="inlineStr">
        <is>
          <t>No usable stock series: JODI's stock change does not agree with its own closing stock</t>
        </is>
      </c>
    </row>
    <row r="67">
      <c r="A67" s="159" t="inlineStr">
        <is>
          <t>FIASA sales, diesel</t>
        </is>
      </c>
      <c r="B67" s="160" t="inlineStr">
        <is>
          <t>million L/year</t>
        </is>
      </c>
      <c r="C67" s="160" t="inlineStr">
        <is>
          <t>Comparison only</t>
        </is>
      </c>
      <c r="D67" s="161" t="n"/>
      <c r="E67" s="159" t="inlineStr">
        <is>
          <t>FIASA annual report, latest edition. Attributed by FIASA to the department.</t>
        </is>
      </c>
      <c r="F67" s="161" t="n">
        <v>11262</v>
      </c>
      <c r="G67" s="161" t="n">
        <v>11890</v>
      </c>
      <c r="H67" s="161" t="n">
        <v>13169</v>
      </c>
      <c r="I67" s="161" t="n">
        <v>14178</v>
      </c>
      <c r="J67" s="161" t="n">
        <v>10846</v>
      </c>
      <c r="K67" s="161" t="n">
        <v>12147</v>
      </c>
      <c r="L67" s="161" t="n">
        <v>12539</v>
      </c>
      <c r="M67" s="161" t="n">
        <v>12909</v>
      </c>
      <c r="N67" s="161" t="n">
        <v>11690</v>
      </c>
      <c r="O67" s="161" t="n">
        <v>12946</v>
      </c>
      <c r="P67" s="161" t="n">
        <v>12717</v>
      </c>
      <c r="Q67" s="161" t="n">
        <v>12907</v>
      </c>
      <c r="R67" s="161" t="n">
        <v>11734</v>
      </c>
      <c r="S67" s="161" t="n"/>
      <c r="T67" s="159" t="inlineStr">
        <is>
          <t>Not used. 2024 differs between FIASA's 2024 and 2025 editions</t>
        </is>
      </c>
      <c r="U67" s="159" t="inlineStr">
        <is>
          <t>Fuels Industry Association of South Africa, annual reports</t>
        </is>
      </c>
      <c r="V67" s="159" t="inlineStr"/>
    </row>
    <row r="68">
      <c r="A68" s="156" t="inlineStr">
        <is>
          <t>Sales used, diesel</t>
        </is>
      </c>
      <c r="B68" s="157" t="inlineStr">
        <is>
          <t>million L/year</t>
        </is>
      </c>
      <c r="C68" s="157" t="inlineStr">
        <is>
          <t>Reporting formula</t>
        </is>
      </c>
      <c r="D68" s="158" t="n"/>
      <c r="E68" s="156" t="inlineStr">
        <is>
          <t>Department national file. Blank where the department has not published.</t>
        </is>
      </c>
      <c r="F68" s="158">
        <f>IF(ISNUMBER(F31),F31,"")</f>
        <v/>
      </c>
      <c r="G68" s="158">
        <f>IF(ISNUMBER(G31),G31,"")</f>
        <v/>
      </c>
      <c r="H68" s="158">
        <f>IF(ISNUMBER(H31),H31,"")</f>
        <v/>
      </c>
      <c r="I68" s="158">
        <f>IF(ISNUMBER(I31),I31,"")</f>
        <v/>
      </c>
      <c r="J68" s="158">
        <f>IF(ISNUMBER(J31),J31,"")</f>
        <v/>
      </c>
      <c r="K68" s="158">
        <f>IF(ISNUMBER(K31),K31,"")</f>
        <v/>
      </c>
      <c r="L68" s="158">
        <f>IF(ISNUMBER(L31),L31,"")</f>
        <v/>
      </c>
      <c r="M68" s="158">
        <f>IF(ISNUMBER(M31),M31,"")</f>
        <v/>
      </c>
      <c r="N68" s="158">
        <f>IF(ISNUMBER(N31),N31,"")</f>
        <v/>
      </c>
      <c r="O68" s="158">
        <f>IF(ISNUMBER(O31),O31,"")</f>
        <v/>
      </c>
      <c r="P68" s="158">
        <f>IF(ISNUMBER(P31),P31,"")</f>
        <v/>
      </c>
      <c r="Q68" s="158">
        <f>IF(ISNUMBER(Q31),Q31,"")</f>
        <v/>
      </c>
      <c r="R68" s="158">
        <f>IF(ISNUMBER(R31),R31,"")</f>
        <v/>
      </c>
      <c r="S68" s="158">
        <f>IF(ISNUMBER(S31),S31,"")</f>
        <v/>
      </c>
      <c r="T68" s="156" t="inlineStr">
        <is>
          <t>Department to 2023; no figure for 2024 or 2025</t>
        </is>
      </c>
      <c r="U68" s="156" t="inlineStr"/>
      <c r="V68" s="156" t="inlineStr"/>
    </row>
    <row r="69">
      <c r="A69" s="156" t="inlineStr">
        <is>
          <t>Net imports used, diesel</t>
        </is>
      </c>
      <c r="B69" s="157" t="inlineStr">
        <is>
          <t>million L/year</t>
        </is>
      </c>
      <c r="C69" s="157" t="inlineStr">
        <is>
          <t>Reporting formula</t>
        </is>
      </c>
      <c r="D69" s="158" t="n"/>
      <c r="E69" s="156" t="inlineStr">
        <is>
          <t>SARS customs from 2014 (section 2).</t>
        </is>
      </c>
      <c r="F69" s="158">
        <f>IF(ISNUMBER(F42),F42,"")</f>
        <v/>
      </c>
      <c r="G69" s="158">
        <f>IF(ISNUMBER(G42),G42,"")</f>
        <v/>
      </c>
      <c r="H69" s="158">
        <f>IF(ISNUMBER(H42),H42,"")</f>
        <v/>
      </c>
      <c r="I69" s="158">
        <f>IF(ISNUMBER(I42),I42,"")</f>
        <v/>
      </c>
      <c r="J69" s="158">
        <f>IF(ISNUMBER(J42),J42,"")</f>
        <v/>
      </c>
      <c r="K69" s="158">
        <f>IF(ISNUMBER(K42),K42,"")</f>
        <v/>
      </c>
      <c r="L69" s="158">
        <f>IF(ISNUMBER(L42),L42,"")</f>
        <v/>
      </c>
      <c r="M69" s="158">
        <f>IF(ISNUMBER(M42),M42,"")</f>
        <v/>
      </c>
      <c r="N69" s="158">
        <f>IF(ISNUMBER(N42),N42,"")</f>
        <v/>
      </c>
      <c r="O69" s="158">
        <f>IF(ISNUMBER(O42),O42,"")</f>
        <v/>
      </c>
      <c r="P69" s="158">
        <f>IF(ISNUMBER(P42),P42,"")</f>
        <v/>
      </c>
      <c r="Q69" s="158">
        <f>IF(ISNUMBER(Q42),Q42,"")</f>
        <v/>
      </c>
      <c r="R69" s="158">
        <f>IF(ISNUMBER(R42),R42,"")</f>
        <v/>
      </c>
      <c r="S69" s="158">
        <f>IF(ISNUMBER(S42),S42,"")</f>
        <v/>
      </c>
      <c r="T69" s="156" t="inlineStr"/>
      <c r="U69" s="156" t="inlineStr"/>
      <c r="V69" s="156" t="inlineStr"/>
    </row>
    <row r="70">
      <c r="A70" s="156" t="inlineStr">
        <is>
          <t>Sales less net imports, diesel</t>
        </is>
      </c>
      <c r="B70" s="157" t="inlineStr">
        <is>
          <t>million L/year</t>
        </is>
      </c>
      <c r="C70" s="157" t="inlineStr">
        <is>
          <t>Reporting formula</t>
        </is>
      </c>
      <c r="D70" s="158" t="n"/>
      <c r="E70" s="156" t="inlineStr">
        <is>
          <t>What production, stock changes and gaps in sales coverage must together supply. Not a measurement of production.</t>
        </is>
      </c>
      <c r="F70" s="158">
        <f>IF(COUNT(F68,F69)&lt;2,"",F68-F69)</f>
        <v/>
      </c>
      <c r="G70" s="158">
        <f>IF(COUNT(G68,G69)&lt;2,"",G68-G69)</f>
        <v/>
      </c>
      <c r="H70" s="158">
        <f>IF(COUNT(H68,H69)&lt;2,"",H68-H69)</f>
        <v/>
      </c>
      <c r="I70" s="158">
        <f>IF(COUNT(I68,I69)&lt;2,"",I68-I69)</f>
        <v/>
      </c>
      <c r="J70" s="158">
        <f>IF(COUNT(J68,J69)&lt;2,"",J68-J69)</f>
        <v/>
      </c>
      <c r="K70" s="158">
        <f>IF(COUNT(K68,K69)&lt;2,"",K68-K69)</f>
        <v/>
      </c>
      <c r="L70" s="158">
        <f>IF(COUNT(L68,L69)&lt;2,"",L68-L69)</f>
        <v/>
      </c>
      <c r="M70" s="158">
        <f>IF(COUNT(M68,M69)&lt;2,"",M68-M69)</f>
        <v/>
      </c>
      <c r="N70" s="158">
        <f>IF(COUNT(N68,N69)&lt;2,"",N68-N69)</f>
        <v/>
      </c>
      <c r="O70" s="158">
        <f>IF(COUNT(O68,O69)&lt;2,"",O68-O69)</f>
        <v/>
      </c>
      <c r="P70" s="158">
        <f>IF(COUNT(P68,P69)&lt;2,"",P68-P69)</f>
        <v/>
      </c>
      <c r="Q70" s="158">
        <f>IF(COUNT(Q68,Q69)&lt;2,"",Q68-Q69)</f>
        <v/>
      </c>
      <c r="R70" s="158">
        <f>IF(COUNT(R68,R69)&lt;2,"",R68-R69)</f>
        <v/>
      </c>
      <c r="S70" s="158">
        <f>IF(COUNT(S68,S69)&lt;2,"",S68-S69)</f>
        <v/>
      </c>
      <c r="T70" s="156" t="inlineStr"/>
      <c r="U70" s="156" t="inlineStr"/>
      <c r="V70" s="156" t="inlineStr"/>
    </row>
    <row r="71">
      <c r="A71" s="156" t="inlineStr">
        <is>
          <t>Unexplained after reported production, diesel</t>
        </is>
      </c>
      <c r="B71" s="157" t="inlineStr">
        <is>
          <t>million L/year</t>
        </is>
      </c>
      <c r="C71" s="157" t="inlineStr">
        <is>
          <t>Reporting formula</t>
        </is>
      </c>
      <c r="D71" s="158" t="n"/>
      <c r="E71" s="156" t="inlineStr">
        <is>
          <t>Sales less net imports less reported production: stock change plus anything the sources do not cover.</t>
        </is>
      </c>
      <c r="F71" s="158">
        <f>IF(COUNT(F70,F56)&lt;2,"",F70-F56)</f>
        <v/>
      </c>
      <c r="G71" s="158">
        <f>IF(COUNT(G70,G56)&lt;2,"",G70-G56)</f>
        <v/>
      </c>
      <c r="H71" s="158">
        <f>IF(COUNT(H70,H56)&lt;2,"",H70-H56)</f>
        <v/>
      </c>
      <c r="I71" s="158">
        <f>IF(COUNT(I70,I56)&lt;2,"",I70-I56)</f>
        <v/>
      </c>
      <c r="J71" s="158">
        <f>IF(COUNT(J70,J56)&lt;2,"",J70-J56)</f>
        <v/>
      </c>
      <c r="K71" s="158">
        <f>IF(COUNT(K70,K56)&lt;2,"",K70-K56)</f>
        <v/>
      </c>
      <c r="L71" s="158">
        <f>IF(COUNT(L70,L56)&lt;2,"",L70-L56)</f>
        <v/>
      </c>
      <c r="M71" s="158">
        <f>IF(COUNT(M70,M56)&lt;2,"",M70-M56)</f>
        <v/>
      </c>
      <c r="N71" s="158">
        <f>IF(COUNT(N70,N56)&lt;2,"",N70-N56)</f>
        <v/>
      </c>
      <c r="O71" s="158">
        <f>IF(COUNT(O70,O56)&lt;2,"",O70-O56)</f>
        <v/>
      </c>
      <c r="P71" s="158">
        <f>IF(COUNT(P70,P56)&lt;2,"",P70-P56)</f>
        <v/>
      </c>
      <c r="Q71" s="158">
        <f>IF(COUNT(Q70,Q56)&lt;2,"",Q70-Q56)</f>
        <v/>
      </c>
      <c r="R71" s="158">
        <f>IF(COUNT(R70,R56)&lt;2,"",R70-R56)</f>
        <v/>
      </c>
      <c r="S71" s="158">
        <f>IF(COUNT(S70,S56)&lt;2,"",S70-S56)</f>
        <v/>
      </c>
      <c r="T71" s="156" t="inlineStr">
        <is>
          <t>To 2024. Negative means reported supply is above recorded sales</t>
        </is>
      </c>
      <c r="U71" s="156" t="inlineStr"/>
      <c r="V71" s="156" t="inlineStr">
        <is>
          <t>No usable stock series: JODI's stock change does not agree with its own closing stock</t>
        </is>
      </c>
    </row>
    <row r="73">
      <c r="A73" s="151" t="inlineStr">
        <is>
          <t>5. Independent count of litres: Road Accident Fund levy (new evidence, 7 October)</t>
        </is>
      </c>
      <c r="B73" s="151" t="n"/>
      <c r="C73" s="151" t="n"/>
      <c r="D73" s="151" t="n"/>
      <c r="E73" s="151" t="n"/>
      <c r="F73" s="151" t="n"/>
      <c r="G73" s="151" t="n"/>
      <c r="H73" s="151" t="n"/>
      <c r="I73" s="151" t="n"/>
      <c r="J73" s="151" t="n"/>
      <c r="K73" s="151" t="n"/>
      <c r="L73" s="151" t="n"/>
      <c r="M73" s="151" t="n"/>
      <c r="N73" s="151" t="n"/>
      <c r="O73" s="151" t="n"/>
      <c r="P73" s="151" t="n"/>
      <c r="Q73" s="151" t="n"/>
      <c r="R73" s="151" t="n"/>
      <c r="S73" s="151" t="n"/>
      <c r="T73" s="151" t="n"/>
      <c r="U73" s="151" t="n"/>
      <c r="V73" s="151" t="n"/>
    </row>
    <row r="74">
      <c r="A74" s="159" t="inlineStr">
        <is>
          <t>Litres levied, petrol and diesel</t>
        </is>
      </c>
      <c r="B74" s="160" t="inlineStr">
        <is>
          <t>million L/year</t>
        </is>
      </c>
      <c r="C74" s="160" t="inlineStr">
        <is>
          <t>Comparison only</t>
        </is>
      </c>
      <c r="D74" s="161" t="n"/>
      <c r="E74" s="159" t="inlineStr">
        <is>
          <t>Gross levies divided by 218 cents a litre. Fiscal year to 31 March of the following year, shown under the calendar year it mostly covers.</t>
        </is>
      </c>
      <c r="F74" s="161" t="n"/>
      <c r="G74" s="161" t="n"/>
      <c r="H74" s="161" t="n"/>
      <c r="I74" s="161" t="n"/>
      <c r="J74" s="161" t="n"/>
      <c r="K74" s="161" t="n"/>
      <c r="L74" s="161" t="n"/>
      <c r="M74" s="161" t="n"/>
      <c r="N74" s="161" t="n"/>
      <c r="O74" s="161" t="n"/>
      <c r="P74" s="161" t="n"/>
      <c r="Q74" s="161" t="n">
        <v>24246.16513761468</v>
      </c>
      <c r="R74" s="161" t="n">
        <v>24424.24541284404</v>
      </c>
      <c r="S74" s="161" t="n"/>
      <c r="T74" s="159" t="inlineStr">
        <is>
          <t>Both fuels together; accrual basis; not reconciled with SARS's statement</t>
        </is>
      </c>
      <c r="U74" s="159" t="inlineStr">
        <is>
          <t>Road Accident Fund Annual Report 2024/25, note 16 (p.183)</t>
        </is>
      </c>
      <c r="V74" s="159" t="inlineStr"/>
    </row>
    <row r="75">
      <c r="A75" s="156" t="inlineStr">
        <is>
          <t>Recorded sales used, petrol and diesel</t>
        </is>
      </c>
      <c r="B75" s="157" t="inlineStr">
        <is>
          <t>million L/year</t>
        </is>
      </c>
      <c r="C75" s="157" t="inlineStr">
        <is>
          <t>Reporting formula</t>
        </is>
      </c>
      <c r="D75" s="158" t="n"/>
      <c r="E75" s="156" t="inlineStr">
        <is>
          <t>Sum of the two 'sales used' rows.</t>
        </is>
      </c>
      <c r="F75" s="158">
        <f>IF(COUNT(F63,F68)&lt;2,"",F63+F68)</f>
        <v/>
      </c>
      <c r="G75" s="158">
        <f>IF(COUNT(G63,G68)&lt;2,"",G63+G68)</f>
        <v/>
      </c>
      <c r="H75" s="158">
        <f>IF(COUNT(H63,H68)&lt;2,"",H63+H68)</f>
        <v/>
      </c>
      <c r="I75" s="158">
        <f>IF(COUNT(I63,I68)&lt;2,"",I63+I68)</f>
        <v/>
      </c>
      <c r="J75" s="158">
        <f>IF(COUNT(J63,J68)&lt;2,"",J63+J68)</f>
        <v/>
      </c>
      <c r="K75" s="158">
        <f>IF(COUNT(K63,K68)&lt;2,"",K63+K68)</f>
        <v/>
      </c>
      <c r="L75" s="158">
        <f>IF(COUNT(L63,L68)&lt;2,"",L63+L68)</f>
        <v/>
      </c>
      <c r="M75" s="158">
        <f>IF(COUNT(M63,M68)&lt;2,"",M63+M68)</f>
        <v/>
      </c>
      <c r="N75" s="158">
        <f>IF(COUNT(N63,N68)&lt;2,"",N63+N68)</f>
        <v/>
      </c>
      <c r="O75" s="158">
        <f>IF(COUNT(O63,O68)&lt;2,"",O63+O68)</f>
        <v/>
      </c>
      <c r="P75" s="158">
        <f>IF(COUNT(P63,P68)&lt;2,"",P63+P68)</f>
        <v/>
      </c>
      <c r="Q75" s="158">
        <f>IF(COUNT(Q63,Q68)&lt;2,"",Q63+Q68)</f>
        <v/>
      </c>
      <c r="R75" s="158">
        <f>IF(COUNT(R63,R68)&lt;2,"",R63+R68)</f>
        <v/>
      </c>
      <c r="S75" s="158">
        <f>IF(COUNT(S63,S68)&lt;2,"",S63+S68)</f>
        <v/>
      </c>
      <c r="T75" s="156" t="inlineStr"/>
      <c r="U75" s="156" t="inlineStr"/>
      <c r="V75" s="156" t="inlineStr"/>
    </row>
    <row r="76">
      <c r="A76" s="156" t="inlineStr">
        <is>
          <t>Litres levied less recorded sales</t>
        </is>
      </c>
      <c r="B76" s="157" t="inlineStr">
        <is>
          <t>million L/year</t>
        </is>
      </c>
      <c r="C76" s="157" t="inlineStr">
        <is>
          <t>Reporting formula</t>
        </is>
      </c>
      <c r="D76" s="158" t="n"/>
      <c r="E76" s="156" t="inlineStr">
        <is>
          <t>An indication that recorded sales may undercount. A hypothesis to test; not added to demand.</t>
        </is>
      </c>
      <c r="F76" s="158">
        <f>IF(COUNT(F74,F75)&lt;2,"",F74-F75)</f>
        <v/>
      </c>
      <c r="G76" s="158">
        <f>IF(COUNT(G74,G75)&lt;2,"",G74-G75)</f>
        <v/>
      </c>
      <c r="H76" s="158">
        <f>IF(COUNT(H74,H75)&lt;2,"",H74-H75)</f>
        <v/>
      </c>
      <c r="I76" s="158">
        <f>IF(COUNT(I74,I75)&lt;2,"",I74-I75)</f>
        <v/>
      </c>
      <c r="J76" s="158">
        <f>IF(COUNT(J74,J75)&lt;2,"",J74-J75)</f>
        <v/>
      </c>
      <c r="K76" s="158">
        <f>IF(COUNT(K74,K75)&lt;2,"",K74-K75)</f>
        <v/>
      </c>
      <c r="L76" s="158">
        <f>IF(COUNT(L74,L75)&lt;2,"",L74-L75)</f>
        <v/>
      </c>
      <c r="M76" s="158">
        <f>IF(COUNT(M74,M75)&lt;2,"",M74-M75)</f>
        <v/>
      </c>
      <c r="N76" s="158">
        <f>IF(COUNT(N74,N75)&lt;2,"",N74-N75)</f>
        <v/>
      </c>
      <c r="O76" s="158">
        <f>IF(COUNT(O74,O75)&lt;2,"",O74-O75)</f>
        <v/>
      </c>
      <c r="P76" s="158">
        <f>IF(COUNT(P74,P75)&lt;2,"",P74-P75)</f>
        <v/>
      </c>
      <c r="Q76" s="158">
        <f>IF(COUNT(Q74,Q75)&lt;2,"",Q74-Q75)</f>
        <v/>
      </c>
      <c r="R76" s="158">
        <f>IF(COUNT(R74,R75)&lt;2,"",R74-R75)</f>
        <v/>
      </c>
      <c r="S76" s="158">
        <f>IF(COUNT(S74,S75)&lt;2,"",S74-S75)</f>
        <v/>
      </c>
      <c r="T76" s="156" t="inlineStr"/>
      <c r="U76" s="156" t="inlineStr"/>
      <c r="V76" s="156" t="inlineStr"/>
    </row>
    <row r="78">
      <c r="A78" s="151" t="inlineStr">
        <is>
          <t>6. Estimated sales by province, 2023-2025: petrol (estimates, not observations)</t>
        </is>
      </c>
      <c r="B78" s="151" t="n"/>
      <c r="C78" s="151" t="n"/>
      <c r="D78" s="151" t="n"/>
      <c r="E78" s="151" t="n"/>
      <c r="F78" s="151" t="n"/>
      <c r="G78" s="151" t="n"/>
      <c r="H78" s="151" t="n"/>
      <c r="I78" s="151" t="n"/>
      <c r="J78" s="151" t="n"/>
      <c r="K78" s="151" t="n"/>
      <c r="L78" s="151" t="n"/>
      <c r="M78" s="151" t="n"/>
      <c r="N78" s="151" t="n"/>
      <c r="O78" s="151" t="n"/>
      <c r="P78" s="151" t="n"/>
      <c r="Q78" s="151" t="n"/>
      <c r="R78" s="151" t="n"/>
      <c r="S78" s="151" t="n"/>
      <c r="T78" s="151" t="n"/>
      <c r="U78" s="151" t="n"/>
      <c r="V78" s="151" t="n"/>
    </row>
    <row r="79">
      <c r="A79" s="162" t="inlineStr">
        <is>
          <t>Gauteng share of petrol</t>
        </is>
      </c>
      <c r="B79" s="163" t="inlineStr">
        <is>
          <t>% of national</t>
        </is>
      </c>
      <c r="C79" s="163" t="inlineStr">
        <is>
          <t>Proposed estimate</t>
        </is>
      </c>
      <c r="D79" s="164" t="n"/>
      <c r="E79" s="162" t="inlineStr">
        <is>
          <t>2023: the province's share of quarter 1 2023 sales, as observed. 2024: the 2023 share moved with the province's share of real GDP. 2025: 2024 held.</t>
        </is>
      </c>
      <c r="F79" s="164" t="n"/>
      <c r="G79" s="164" t="n"/>
      <c r="H79" s="164" t="n"/>
      <c r="I79" s="164" t="n"/>
      <c r="J79" s="164" t="n"/>
      <c r="K79" s="164" t="n"/>
      <c r="L79" s="164" t="n"/>
      <c r="M79" s="164" t="n"/>
      <c r="N79" s="164" t="n"/>
      <c r="O79" s="164" t="n"/>
      <c r="P79" s="164" t="n"/>
      <c r="Q79" s="164" t="n">
        <v>38.29082808102595</v>
      </c>
      <c r="R79" s="164" t="n">
        <v>38.377262681276</v>
      </c>
      <c r="S79" s="164" t="n">
        <v>38.377262681276</v>
      </c>
      <c r="T79" s="162" t="inlineStr">
        <is>
          <t>Estimate</t>
        </is>
      </c>
      <c r="U79" s="162" t="inlineStr">
        <is>
          <t>Department district data, quarter 1 2023; Stats SA P0441.2</t>
        </is>
      </c>
      <c r="V79" s="162" t="inlineStr"/>
    </row>
    <row r="80">
      <c r="A80" s="162" t="inlineStr">
        <is>
          <t>KwaZulu-Natal share of petrol</t>
        </is>
      </c>
      <c r="B80" s="163" t="inlineStr">
        <is>
          <t>% of national</t>
        </is>
      </c>
      <c r="C80" s="163" t="inlineStr">
        <is>
          <t>Proposed estimate</t>
        </is>
      </c>
      <c r="D80" s="164" t="n"/>
      <c r="E80" s="162" t="inlineStr">
        <is>
          <t>2023: the province's share of quarter 1 2023 sales, as observed. 2024: the 2023 share moved with the province's share of real GDP. 2025: 2024 held.</t>
        </is>
      </c>
      <c r="F80" s="164" t="n"/>
      <c r="G80" s="164" t="n"/>
      <c r="H80" s="164" t="n"/>
      <c r="I80" s="164" t="n"/>
      <c r="J80" s="164" t="n"/>
      <c r="K80" s="164" t="n"/>
      <c r="L80" s="164" t="n"/>
      <c r="M80" s="164" t="n"/>
      <c r="N80" s="164" t="n"/>
      <c r="O80" s="164" t="n"/>
      <c r="P80" s="164" t="n"/>
      <c r="Q80" s="164" t="n">
        <v>16.13082894316334</v>
      </c>
      <c r="R80" s="164" t="n">
        <v>16.11326672611471</v>
      </c>
      <c r="S80" s="164" t="n">
        <v>16.11326672611471</v>
      </c>
      <c r="T80" s="162" t="inlineStr">
        <is>
          <t>Estimate</t>
        </is>
      </c>
      <c r="U80" s="162" t="inlineStr">
        <is>
          <t>Department district data, quarter 1 2023; Stats SA P0441.2</t>
        </is>
      </c>
      <c r="V80" s="162" t="inlineStr"/>
    </row>
    <row r="81">
      <c r="A81" s="162" t="inlineStr">
        <is>
          <t>Western Cape share of petrol</t>
        </is>
      </c>
      <c r="B81" s="163" t="inlineStr">
        <is>
          <t>% of national</t>
        </is>
      </c>
      <c r="C81" s="163" t="inlineStr">
        <is>
          <t>Proposed estimate</t>
        </is>
      </c>
      <c r="D81" s="164" t="n"/>
      <c r="E81" s="162" t="inlineStr">
        <is>
          <t>2023: the province's share of quarter 1 2023 sales, as observed. 2024: the 2023 share moved with the province's share of real GDP. 2025: 2024 held.</t>
        </is>
      </c>
      <c r="F81" s="164" t="n"/>
      <c r="G81" s="164" t="n"/>
      <c r="H81" s="164" t="n"/>
      <c r="I81" s="164" t="n"/>
      <c r="J81" s="164" t="n"/>
      <c r="K81" s="164" t="n"/>
      <c r="L81" s="164" t="n"/>
      <c r="M81" s="164" t="n"/>
      <c r="N81" s="164" t="n"/>
      <c r="O81" s="164" t="n"/>
      <c r="P81" s="164" t="n"/>
      <c r="Q81" s="164" t="n">
        <v>16.21627470314407</v>
      </c>
      <c r="R81" s="164" t="n">
        <v>16.24783009372781</v>
      </c>
      <c r="S81" s="164" t="n">
        <v>16.24783009372781</v>
      </c>
      <c r="T81" s="162" t="inlineStr">
        <is>
          <t>Estimate</t>
        </is>
      </c>
      <c r="U81" s="162" t="inlineStr">
        <is>
          <t>Department district data, quarter 1 2023; Stats SA P0441.2</t>
        </is>
      </c>
      <c r="V81" s="162" t="inlineStr"/>
    </row>
    <row r="82">
      <c r="A82" s="162" t="inlineStr">
        <is>
          <t>Eastern Cape share of petrol</t>
        </is>
      </c>
      <c r="B82" s="163" t="inlineStr">
        <is>
          <t>% of national</t>
        </is>
      </c>
      <c r="C82" s="163" t="inlineStr">
        <is>
          <t>Proposed estimate</t>
        </is>
      </c>
      <c r="D82" s="164" t="n"/>
      <c r="E82" s="162" t="inlineStr">
        <is>
          <t>2023: the province's share of quarter 1 2023 sales, as observed. 2024: the 2023 share moved with the province's share of real GDP. 2025: 2024 held.</t>
        </is>
      </c>
      <c r="F82" s="164" t="n"/>
      <c r="G82" s="164" t="n"/>
      <c r="H82" s="164" t="n"/>
      <c r="I82" s="164" t="n"/>
      <c r="J82" s="164" t="n"/>
      <c r="K82" s="164" t="n"/>
      <c r="L82" s="164" t="n"/>
      <c r="M82" s="164" t="n"/>
      <c r="N82" s="164" t="n"/>
      <c r="O82" s="164" t="n"/>
      <c r="P82" s="164" t="n"/>
      <c r="Q82" s="164" t="n">
        <v>7.511233012378306</v>
      </c>
      <c r="R82" s="164" t="n">
        <v>7.458565493679201</v>
      </c>
      <c r="S82" s="164" t="n">
        <v>7.458565493679201</v>
      </c>
      <c r="T82" s="162" t="inlineStr">
        <is>
          <t>Estimate</t>
        </is>
      </c>
      <c r="U82" s="162" t="inlineStr">
        <is>
          <t>Department district data, quarter 1 2023; Stats SA P0441.2</t>
        </is>
      </c>
      <c r="V82" s="162" t="inlineStr"/>
    </row>
    <row r="83">
      <c r="A83" s="162" t="inlineStr">
        <is>
          <t>Mpumalanga share of petrol</t>
        </is>
      </c>
      <c r="B83" s="163" t="inlineStr">
        <is>
          <t>% of national</t>
        </is>
      </c>
      <c r="C83" s="163" t="inlineStr">
        <is>
          <t>Proposed estimate</t>
        </is>
      </c>
      <c r="D83" s="164" t="n"/>
      <c r="E83" s="162" t="inlineStr">
        <is>
          <t>2023: the province's share of quarter 1 2023 sales, as observed. 2024: the 2023 share moved with the province's share of real GDP. 2025: 2024 held.</t>
        </is>
      </c>
      <c r="F83" s="164" t="n"/>
      <c r="G83" s="164" t="n"/>
      <c r="H83" s="164" t="n"/>
      <c r="I83" s="164" t="n"/>
      <c r="J83" s="164" t="n"/>
      <c r="K83" s="164" t="n"/>
      <c r="L83" s="164" t="n"/>
      <c r="M83" s="164" t="n"/>
      <c r="N83" s="164" t="n"/>
      <c r="O83" s="164" t="n"/>
      <c r="P83" s="164" t="n"/>
      <c r="Q83" s="164" t="n">
        <v>7.055371979667532</v>
      </c>
      <c r="R83" s="164" t="n">
        <v>7.040255181823918</v>
      </c>
      <c r="S83" s="164" t="n">
        <v>7.040255181823918</v>
      </c>
      <c r="T83" s="162" t="inlineStr">
        <is>
          <t>Estimate</t>
        </is>
      </c>
      <c r="U83" s="162" t="inlineStr">
        <is>
          <t>Department district data, quarter 1 2023; Stats SA P0441.2</t>
        </is>
      </c>
      <c r="V83" s="162" t="inlineStr"/>
    </row>
    <row r="84">
      <c r="A84" s="162" t="inlineStr">
        <is>
          <t>Free State share of petrol</t>
        </is>
      </c>
      <c r="B84" s="163" t="inlineStr">
        <is>
          <t>% of national</t>
        </is>
      </c>
      <c r="C84" s="163" t="inlineStr">
        <is>
          <t>Proposed estimate</t>
        </is>
      </c>
      <c r="D84" s="164" t="n"/>
      <c r="E84" s="162" t="inlineStr">
        <is>
          <t>2023: the province's share of quarter 1 2023 sales, as observed. 2024: the 2023 share moved with the province's share of real GDP. 2025: 2024 held.</t>
        </is>
      </c>
      <c r="F84" s="164" t="n"/>
      <c r="G84" s="164" t="n"/>
      <c r="H84" s="164" t="n"/>
      <c r="I84" s="164" t="n"/>
      <c r="J84" s="164" t="n"/>
      <c r="K84" s="164" t="n"/>
      <c r="L84" s="164" t="n"/>
      <c r="M84" s="164" t="n"/>
      <c r="N84" s="164" t="n"/>
      <c r="O84" s="164" t="n"/>
      <c r="P84" s="164" t="n"/>
      <c r="Q84" s="164" t="n">
        <v>5.932159079461925</v>
      </c>
      <c r="R84" s="164" t="n">
        <v>5.927995171497546</v>
      </c>
      <c r="S84" s="164" t="n">
        <v>5.927995171497546</v>
      </c>
      <c r="T84" s="162" t="inlineStr">
        <is>
          <t>Estimate</t>
        </is>
      </c>
      <c r="U84" s="162" t="inlineStr">
        <is>
          <t>Department district data, quarter 1 2023; Stats SA P0441.2</t>
        </is>
      </c>
      <c r="V84" s="162" t="inlineStr"/>
    </row>
    <row r="85">
      <c r="A85" s="162" t="inlineStr">
        <is>
          <t>North West share of petrol</t>
        </is>
      </c>
      <c r="B85" s="163" t="inlineStr">
        <is>
          <t>% of national</t>
        </is>
      </c>
      <c r="C85" s="163" t="inlineStr">
        <is>
          <t>Proposed estimate</t>
        </is>
      </c>
      <c r="D85" s="164" t="n"/>
      <c r="E85" s="162" t="inlineStr">
        <is>
          <t>2023: the province's share of quarter 1 2023 sales, as observed. 2024: the 2023 share moved with the province's share of real GDP. 2025: 2024 held.</t>
        </is>
      </c>
      <c r="F85" s="164" t="n"/>
      <c r="G85" s="164" t="n"/>
      <c r="H85" s="164" t="n"/>
      <c r="I85" s="164" t="n"/>
      <c r="J85" s="164" t="n"/>
      <c r="K85" s="164" t="n"/>
      <c r="L85" s="164" t="n"/>
      <c r="M85" s="164" t="n"/>
      <c r="N85" s="164" t="n"/>
      <c r="O85" s="164" t="n"/>
      <c r="P85" s="164" t="n"/>
      <c r="Q85" s="164" t="n">
        <v>4.766687274392559</v>
      </c>
      <c r="R85" s="164" t="n">
        <v>4.734315144837777</v>
      </c>
      <c r="S85" s="164" t="n">
        <v>4.734315144837777</v>
      </c>
      <c r="T85" s="162" t="inlineStr">
        <is>
          <t>Estimate</t>
        </is>
      </c>
      <c r="U85" s="162" t="inlineStr">
        <is>
          <t>Department district data, quarter 1 2023; Stats SA P0441.2</t>
        </is>
      </c>
      <c r="V85" s="162" t="inlineStr"/>
    </row>
    <row r="86">
      <c r="A86" s="162" t="inlineStr">
        <is>
          <t>Limpopo share of petrol</t>
        </is>
      </c>
      <c r="B86" s="163" t="inlineStr">
        <is>
          <t>% of national</t>
        </is>
      </c>
      <c r="C86" s="163" t="inlineStr">
        <is>
          <t>Proposed estimate</t>
        </is>
      </c>
      <c r="D86" s="164" t="n"/>
      <c r="E86" s="162" t="inlineStr">
        <is>
          <t>2023: the province's share of quarter 1 2023 sales, as observed. 2024: the 2023 share moved with the province's share of real GDP. 2025: 2024 held.</t>
        </is>
      </c>
      <c r="F86" s="164" t="n"/>
      <c r="G86" s="164" t="n"/>
      <c r="H86" s="164" t="n"/>
      <c r="I86" s="164" t="n"/>
      <c r="J86" s="164" t="n"/>
      <c r="K86" s="164" t="n"/>
      <c r="L86" s="164" t="n"/>
      <c r="M86" s="164" t="n"/>
      <c r="N86" s="164" t="n"/>
      <c r="O86" s="164" t="n"/>
      <c r="P86" s="164" t="n"/>
      <c r="Q86" s="164" t="n">
        <v>3.008852500759491</v>
      </c>
      <c r="R86" s="164" t="n">
        <v>3.01928993993442</v>
      </c>
      <c r="S86" s="164" t="n">
        <v>3.01928993993442</v>
      </c>
      <c r="T86" s="162" t="inlineStr">
        <is>
          <t>Estimate</t>
        </is>
      </c>
      <c r="U86" s="162" t="inlineStr">
        <is>
          <t>Department district data, quarter 1 2023; Stats SA P0441.2</t>
        </is>
      </c>
      <c r="V86" s="162" t="inlineStr"/>
    </row>
    <row r="87">
      <c r="A87" s="162" t="inlineStr">
        <is>
          <t>Northern Cape share of petrol</t>
        </is>
      </c>
      <c r="B87" s="163" t="inlineStr">
        <is>
          <t>% of national</t>
        </is>
      </c>
      <c r="C87" s="163" t="inlineStr">
        <is>
          <t>Proposed estimate</t>
        </is>
      </c>
      <c r="D87" s="164" t="n"/>
      <c r="E87" s="162" t="inlineStr">
        <is>
          <t>2023: the province's share of quarter 1 2023 sales, as observed. 2024: the 2023 share moved with the province's share of real GDP. 2025: 2024 held.</t>
        </is>
      </c>
      <c r="F87" s="164" t="n"/>
      <c r="G87" s="164" t="n"/>
      <c r="H87" s="164" t="n"/>
      <c r="I87" s="164" t="n"/>
      <c r="J87" s="164" t="n"/>
      <c r="K87" s="164" t="n"/>
      <c r="L87" s="164" t="n"/>
      <c r="M87" s="164" t="n"/>
      <c r="N87" s="164" t="n"/>
      <c r="O87" s="164" t="n"/>
      <c r="P87" s="164" t="n"/>
      <c r="Q87" s="164" t="n">
        <v>1.087764426006824</v>
      </c>
      <c r="R87" s="164" t="n">
        <v>1.081219567108614</v>
      </c>
      <c r="S87" s="164" t="n">
        <v>1.081219567108614</v>
      </c>
      <c r="T87" s="162" t="inlineStr">
        <is>
          <t>Estimate</t>
        </is>
      </c>
      <c r="U87" s="162" t="inlineStr">
        <is>
          <t>Department district data, quarter 1 2023; Stats SA P0441.2</t>
        </is>
      </c>
      <c r="V87" s="162" t="inlineStr"/>
    </row>
    <row r="88">
      <c r="A88" s="162" t="inlineStr">
        <is>
          <t>Gauteng petrol, estimated</t>
        </is>
      </c>
      <c r="B88" s="163" t="inlineStr">
        <is>
          <t>million L/year</t>
        </is>
      </c>
      <c r="C88" s="163" t="inlineStr">
        <is>
          <t>Proposed estimate</t>
        </is>
      </c>
      <c r="D88" s="165" t="n"/>
      <c r="E88" s="162" t="inlineStr">
        <is>
          <t>Estimated share times national sales used (section 4). Blank where no national figure exists.</t>
        </is>
      </c>
      <c r="F88" s="165" t="n"/>
      <c r="G88" s="165" t="n"/>
      <c r="H88" s="165" t="n"/>
      <c r="I88" s="165" t="n"/>
      <c r="J88" s="165" t="n"/>
      <c r="K88" s="165" t="n"/>
      <c r="L88" s="165" t="n"/>
      <c r="M88" s="165" t="n"/>
      <c r="N88" s="165" t="n"/>
      <c r="O88" s="165" t="n"/>
      <c r="P88" s="165" t="n"/>
      <c r="Q88" s="165">
        <f>IF(COUNT(Q79,Q63)&lt;2,"",Q79/100*Q63)</f>
        <v/>
      </c>
      <c r="R88" s="165">
        <f>IF(COUNT(R79,R63)&lt;2,"",R79/100*R63)</f>
        <v/>
      </c>
      <c r="S88" s="165">
        <f>IF(COUNT(S79,S63)&lt;2,"",S79/100*S63)</f>
        <v/>
      </c>
      <c r="T88" s="162" t="inlineStr">
        <is>
          <t>Estimate; 2023 only, the last year with a national total</t>
        </is>
      </c>
      <c r="U88" s="162" t="inlineStr"/>
      <c r="V88" s="162" t="inlineStr">
        <is>
          <t>Replace when the department publishes district data after 2023 quarter 1</t>
        </is>
      </c>
    </row>
    <row r="89">
      <c r="A89" s="162" t="inlineStr">
        <is>
          <t>KwaZulu-Natal petrol, estimated</t>
        </is>
      </c>
      <c r="B89" s="163" t="inlineStr">
        <is>
          <t>million L/year</t>
        </is>
      </c>
      <c r="C89" s="163" t="inlineStr">
        <is>
          <t>Proposed estimate</t>
        </is>
      </c>
      <c r="D89" s="165" t="n"/>
      <c r="E89" s="162" t="inlineStr">
        <is>
          <t>Estimated share times national sales used (section 4). Blank where no national figure exists.</t>
        </is>
      </c>
      <c r="F89" s="165" t="n"/>
      <c r="G89" s="165" t="n"/>
      <c r="H89" s="165" t="n"/>
      <c r="I89" s="165" t="n"/>
      <c r="J89" s="165" t="n"/>
      <c r="K89" s="165" t="n"/>
      <c r="L89" s="165" t="n"/>
      <c r="M89" s="165" t="n"/>
      <c r="N89" s="165" t="n"/>
      <c r="O89" s="165" t="n"/>
      <c r="P89" s="165" t="n"/>
      <c r="Q89" s="165">
        <f>IF(COUNT(Q80,Q63)&lt;2,"",Q80/100*Q63)</f>
        <v/>
      </c>
      <c r="R89" s="165">
        <f>IF(COUNT(R80,R63)&lt;2,"",R80/100*R63)</f>
        <v/>
      </c>
      <c r="S89" s="165">
        <f>IF(COUNT(S80,S63)&lt;2,"",S80/100*S63)</f>
        <v/>
      </c>
      <c r="T89" s="162" t="inlineStr">
        <is>
          <t>Estimate; 2023 only, the last year with a national total</t>
        </is>
      </c>
      <c r="U89" s="162" t="inlineStr"/>
      <c r="V89" s="162" t="inlineStr">
        <is>
          <t>Replace when the department publishes district data after 2023 quarter 1</t>
        </is>
      </c>
    </row>
    <row r="90">
      <c r="A90" s="162" t="inlineStr">
        <is>
          <t>Western Cape petrol, estimated</t>
        </is>
      </c>
      <c r="B90" s="163" t="inlineStr">
        <is>
          <t>million L/year</t>
        </is>
      </c>
      <c r="C90" s="163" t="inlineStr">
        <is>
          <t>Proposed estimate</t>
        </is>
      </c>
      <c r="D90" s="165" t="n"/>
      <c r="E90" s="162" t="inlineStr">
        <is>
          <t>Estimated share times national sales used (section 4). Blank where no national figure exists.</t>
        </is>
      </c>
      <c r="F90" s="165" t="n"/>
      <c r="G90" s="165" t="n"/>
      <c r="H90" s="165" t="n"/>
      <c r="I90" s="165" t="n"/>
      <c r="J90" s="165" t="n"/>
      <c r="K90" s="165" t="n"/>
      <c r="L90" s="165" t="n"/>
      <c r="M90" s="165" t="n"/>
      <c r="N90" s="165" t="n"/>
      <c r="O90" s="165" t="n"/>
      <c r="P90" s="165" t="n"/>
      <c r="Q90" s="165">
        <f>IF(COUNT(Q81,Q63)&lt;2,"",Q81/100*Q63)</f>
        <v/>
      </c>
      <c r="R90" s="165">
        <f>IF(COUNT(R81,R63)&lt;2,"",R81/100*R63)</f>
        <v/>
      </c>
      <c r="S90" s="165">
        <f>IF(COUNT(S81,S63)&lt;2,"",S81/100*S63)</f>
        <v/>
      </c>
      <c r="T90" s="162" t="inlineStr">
        <is>
          <t>Estimate; 2023 only, the last year with a national total</t>
        </is>
      </c>
      <c r="U90" s="162" t="inlineStr"/>
      <c r="V90" s="162" t="inlineStr">
        <is>
          <t>Replace when the department publishes district data after 2023 quarter 1</t>
        </is>
      </c>
    </row>
    <row r="91">
      <c r="A91" s="162" t="inlineStr">
        <is>
          <t>Eastern Cape petrol, estimated</t>
        </is>
      </c>
      <c r="B91" s="163" t="inlineStr">
        <is>
          <t>million L/year</t>
        </is>
      </c>
      <c r="C91" s="163" t="inlineStr">
        <is>
          <t>Proposed estimate</t>
        </is>
      </c>
      <c r="D91" s="165" t="n"/>
      <c r="E91" s="162" t="inlineStr">
        <is>
          <t>Estimated share times national sales used (section 4). Blank where no national figure exists.</t>
        </is>
      </c>
      <c r="F91" s="165" t="n"/>
      <c r="G91" s="165" t="n"/>
      <c r="H91" s="165" t="n"/>
      <c r="I91" s="165" t="n"/>
      <c r="J91" s="165" t="n"/>
      <c r="K91" s="165" t="n"/>
      <c r="L91" s="165" t="n"/>
      <c r="M91" s="165" t="n"/>
      <c r="N91" s="165" t="n"/>
      <c r="O91" s="165" t="n"/>
      <c r="P91" s="165" t="n"/>
      <c r="Q91" s="165">
        <f>IF(COUNT(Q82,Q63)&lt;2,"",Q82/100*Q63)</f>
        <v/>
      </c>
      <c r="R91" s="165">
        <f>IF(COUNT(R82,R63)&lt;2,"",R82/100*R63)</f>
        <v/>
      </c>
      <c r="S91" s="165">
        <f>IF(COUNT(S82,S63)&lt;2,"",S82/100*S63)</f>
        <v/>
      </c>
      <c r="T91" s="162" t="inlineStr">
        <is>
          <t>Estimate; 2023 only, the last year with a national total</t>
        </is>
      </c>
      <c r="U91" s="162" t="inlineStr"/>
      <c r="V91" s="162" t="inlineStr">
        <is>
          <t>Replace when the department publishes district data after 2023 quarter 1</t>
        </is>
      </c>
    </row>
    <row r="92">
      <c r="A92" s="162" t="inlineStr">
        <is>
          <t>Mpumalanga petrol, estimated</t>
        </is>
      </c>
      <c r="B92" s="163" t="inlineStr">
        <is>
          <t>million L/year</t>
        </is>
      </c>
      <c r="C92" s="163" t="inlineStr">
        <is>
          <t>Proposed estimate</t>
        </is>
      </c>
      <c r="D92" s="165" t="n"/>
      <c r="E92" s="162" t="inlineStr">
        <is>
          <t>Estimated share times national sales used (section 4). Blank where no national figure exists.</t>
        </is>
      </c>
      <c r="F92" s="165" t="n"/>
      <c r="G92" s="165" t="n"/>
      <c r="H92" s="165" t="n"/>
      <c r="I92" s="165" t="n"/>
      <c r="J92" s="165" t="n"/>
      <c r="K92" s="165" t="n"/>
      <c r="L92" s="165" t="n"/>
      <c r="M92" s="165" t="n"/>
      <c r="N92" s="165" t="n"/>
      <c r="O92" s="165" t="n"/>
      <c r="P92" s="165" t="n"/>
      <c r="Q92" s="165">
        <f>IF(COUNT(Q83,Q63)&lt;2,"",Q83/100*Q63)</f>
        <v/>
      </c>
      <c r="R92" s="165">
        <f>IF(COUNT(R83,R63)&lt;2,"",R83/100*R63)</f>
        <v/>
      </c>
      <c r="S92" s="165">
        <f>IF(COUNT(S83,S63)&lt;2,"",S83/100*S63)</f>
        <v/>
      </c>
      <c r="T92" s="162" t="inlineStr">
        <is>
          <t>Estimate; 2023 only, the last year with a national total</t>
        </is>
      </c>
      <c r="U92" s="162" t="inlineStr"/>
      <c r="V92" s="162" t="inlineStr">
        <is>
          <t>Replace when the department publishes district data after 2023 quarter 1</t>
        </is>
      </c>
    </row>
    <row r="93">
      <c r="A93" s="162" t="inlineStr">
        <is>
          <t>Free State petrol, estimated</t>
        </is>
      </c>
      <c r="B93" s="163" t="inlineStr">
        <is>
          <t>million L/year</t>
        </is>
      </c>
      <c r="C93" s="163" t="inlineStr">
        <is>
          <t>Proposed estimate</t>
        </is>
      </c>
      <c r="D93" s="165" t="n"/>
      <c r="E93" s="162" t="inlineStr">
        <is>
          <t>Estimated share times national sales used (section 4). Blank where no national figure exists.</t>
        </is>
      </c>
      <c r="F93" s="165" t="n"/>
      <c r="G93" s="165" t="n"/>
      <c r="H93" s="165" t="n"/>
      <c r="I93" s="165" t="n"/>
      <c r="J93" s="165" t="n"/>
      <c r="K93" s="165" t="n"/>
      <c r="L93" s="165" t="n"/>
      <c r="M93" s="165" t="n"/>
      <c r="N93" s="165" t="n"/>
      <c r="O93" s="165" t="n"/>
      <c r="P93" s="165" t="n"/>
      <c r="Q93" s="165">
        <f>IF(COUNT(Q84,Q63)&lt;2,"",Q84/100*Q63)</f>
        <v/>
      </c>
      <c r="R93" s="165">
        <f>IF(COUNT(R84,R63)&lt;2,"",R84/100*R63)</f>
        <v/>
      </c>
      <c r="S93" s="165">
        <f>IF(COUNT(S84,S63)&lt;2,"",S84/100*S63)</f>
        <v/>
      </c>
      <c r="T93" s="162" t="inlineStr">
        <is>
          <t>Estimate; 2023 only, the last year with a national total</t>
        </is>
      </c>
      <c r="U93" s="162" t="inlineStr"/>
      <c r="V93" s="162" t="inlineStr">
        <is>
          <t>Replace when the department publishes district data after 2023 quarter 1</t>
        </is>
      </c>
    </row>
    <row r="94">
      <c r="A94" s="162" t="inlineStr">
        <is>
          <t>North West petrol, estimated</t>
        </is>
      </c>
      <c r="B94" s="163" t="inlineStr">
        <is>
          <t>million L/year</t>
        </is>
      </c>
      <c r="C94" s="163" t="inlineStr">
        <is>
          <t>Proposed estimate</t>
        </is>
      </c>
      <c r="D94" s="165" t="n"/>
      <c r="E94" s="162" t="inlineStr">
        <is>
          <t>Estimated share times national sales used (section 4). Blank where no national figure exists.</t>
        </is>
      </c>
      <c r="F94" s="165" t="n"/>
      <c r="G94" s="165" t="n"/>
      <c r="H94" s="165" t="n"/>
      <c r="I94" s="165" t="n"/>
      <c r="J94" s="165" t="n"/>
      <c r="K94" s="165" t="n"/>
      <c r="L94" s="165" t="n"/>
      <c r="M94" s="165" t="n"/>
      <c r="N94" s="165" t="n"/>
      <c r="O94" s="165" t="n"/>
      <c r="P94" s="165" t="n"/>
      <c r="Q94" s="165">
        <f>IF(COUNT(Q85,Q63)&lt;2,"",Q85/100*Q63)</f>
        <v/>
      </c>
      <c r="R94" s="165">
        <f>IF(COUNT(R85,R63)&lt;2,"",R85/100*R63)</f>
        <v/>
      </c>
      <c r="S94" s="165">
        <f>IF(COUNT(S85,S63)&lt;2,"",S85/100*S63)</f>
        <v/>
      </c>
      <c r="T94" s="162" t="inlineStr">
        <is>
          <t>Estimate; 2023 only, the last year with a national total</t>
        </is>
      </c>
      <c r="U94" s="162" t="inlineStr"/>
      <c r="V94" s="162" t="inlineStr">
        <is>
          <t>Replace when the department publishes district data after 2023 quarter 1</t>
        </is>
      </c>
    </row>
    <row r="95">
      <c r="A95" s="162" t="inlineStr">
        <is>
          <t>Limpopo petrol, estimated</t>
        </is>
      </c>
      <c r="B95" s="163" t="inlineStr">
        <is>
          <t>million L/year</t>
        </is>
      </c>
      <c r="C95" s="163" t="inlineStr">
        <is>
          <t>Proposed estimate</t>
        </is>
      </c>
      <c r="D95" s="165" t="n"/>
      <c r="E95" s="162" t="inlineStr">
        <is>
          <t>Estimated share times national sales used (section 4). Blank where no national figure exists.</t>
        </is>
      </c>
      <c r="F95" s="165" t="n"/>
      <c r="G95" s="165" t="n"/>
      <c r="H95" s="165" t="n"/>
      <c r="I95" s="165" t="n"/>
      <c r="J95" s="165" t="n"/>
      <c r="K95" s="165" t="n"/>
      <c r="L95" s="165" t="n"/>
      <c r="M95" s="165" t="n"/>
      <c r="N95" s="165" t="n"/>
      <c r="O95" s="165" t="n"/>
      <c r="P95" s="165" t="n"/>
      <c r="Q95" s="165">
        <f>IF(COUNT(Q86,Q63)&lt;2,"",Q86/100*Q63)</f>
        <v/>
      </c>
      <c r="R95" s="165">
        <f>IF(COUNT(R86,R63)&lt;2,"",R86/100*R63)</f>
        <v/>
      </c>
      <c r="S95" s="165">
        <f>IF(COUNT(S86,S63)&lt;2,"",S86/100*S63)</f>
        <v/>
      </c>
      <c r="T95" s="162" t="inlineStr">
        <is>
          <t>Estimate; 2023 only, the last year with a national total</t>
        </is>
      </c>
      <c r="U95" s="162" t="inlineStr"/>
      <c r="V95" s="162" t="inlineStr">
        <is>
          <t>Replace when the department publishes district data after 2023 quarter 1</t>
        </is>
      </c>
    </row>
    <row r="96">
      <c r="A96" s="162" t="inlineStr">
        <is>
          <t>Northern Cape petrol, estimated</t>
        </is>
      </c>
      <c r="B96" s="163" t="inlineStr">
        <is>
          <t>million L/year</t>
        </is>
      </c>
      <c r="C96" s="163" t="inlineStr">
        <is>
          <t>Proposed estimate</t>
        </is>
      </c>
      <c r="D96" s="165" t="n"/>
      <c r="E96" s="162" t="inlineStr">
        <is>
          <t>Estimated share times national sales used (section 4). Blank where no national figure exists.</t>
        </is>
      </c>
      <c r="F96" s="165" t="n"/>
      <c r="G96" s="165" t="n"/>
      <c r="H96" s="165" t="n"/>
      <c r="I96" s="165" t="n"/>
      <c r="J96" s="165" t="n"/>
      <c r="K96" s="165" t="n"/>
      <c r="L96" s="165" t="n"/>
      <c r="M96" s="165" t="n"/>
      <c r="N96" s="165" t="n"/>
      <c r="O96" s="165" t="n"/>
      <c r="P96" s="165" t="n"/>
      <c r="Q96" s="165">
        <f>IF(COUNT(Q87,Q63)&lt;2,"",Q87/100*Q63)</f>
        <v/>
      </c>
      <c r="R96" s="165">
        <f>IF(COUNT(R87,R63)&lt;2,"",R87/100*R63)</f>
        <v/>
      </c>
      <c r="S96" s="165">
        <f>IF(COUNT(S87,S63)&lt;2,"",S87/100*S63)</f>
        <v/>
      </c>
      <c r="T96" s="162" t="inlineStr">
        <is>
          <t>Estimate; 2023 only, the last year with a national total</t>
        </is>
      </c>
      <c r="U96" s="162" t="inlineStr"/>
      <c r="V96" s="162" t="inlineStr">
        <is>
          <t>Replace when the department publishes district data after 2023 quarter 1</t>
        </is>
      </c>
    </row>
    <row r="98">
      <c r="A98" s="151" t="inlineStr">
        <is>
          <t>6. Estimated sales by province, 2023-2025: diesel (estimates, not observations)</t>
        </is>
      </c>
      <c r="B98" s="151" t="n"/>
      <c r="C98" s="151" t="n"/>
      <c r="D98" s="151" t="n"/>
      <c r="E98" s="151" t="n"/>
      <c r="F98" s="151" t="n"/>
      <c r="G98" s="151" t="n"/>
      <c r="H98" s="151" t="n"/>
      <c r="I98" s="151" t="n"/>
      <c r="J98" s="151" t="n"/>
      <c r="K98" s="151" t="n"/>
      <c r="L98" s="151" t="n"/>
      <c r="M98" s="151" t="n"/>
      <c r="N98" s="151" t="n"/>
      <c r="O98" s="151" t="n"/>
      <c r="P98" s="151" t="n"/>
      <c r="Q98" s="151" t="n"/>
      <c r="R98" s="151" t="n"/>
      <c r="S98" s="151" t="n"/>
      <c r="T98" s="151" t="n"/>
      <c r="U98" s="151" t="n"/>
      <c r="V98" s="151" t="n"/>
    </row>
    <row r="99">
      <c r="A99" s="162" t="inlineStr">
        <is>
          <t>Gauteng share of diesel</t>
        </is>
      </c>
      <c r="B99" s="163" t="inlineStr">
        <is>
          <t>% of national</t>
        </is>
      </c>
      <c r="C99" s="163" t="inlineStr">
        <is>
          <t>Proposed estimate</t>
        </is>
      </c>
      <c r="D99" s="164" t="n"/>
      <c r="E99" s="162" t="inlineStr">
        <is>
          <t>2023: the province's share of quarter 1 2023 sales, as observed. 2024: the 2023 share moved with the province's share of real GDP. 2025: 2024 held.</t>
        </is>
      </c>
      <c r="F99" s="164" t="n"/>
      <c r="G99" s="164" t="n"/>
      <c r="H99" s="164" t="n"/>
      <c r="I99" s="164" t="n"/>
      <c r="J99" s="164" t="n"/>
      <c r="K99" s="164" t="n"/>
      <c r="L99" s="164" t="n"/>
      <c r="M99" s="164" t="n"/>
      <c r="N99" s="164" t="n"/>
      <c r="O99" s="164" t="n"/>
      <c r="P99" s="164" t="n"/>
      <c r="Q99" s="164" t="n">
        <v>25.95571268012436</v>
      </c>
      <c r="R99" s="164" t="n">
        <v>26.02351192632266</v>
      </c>
      <c r="S99" s="164" t="n">
        <v>26.02351192632266</v>
      </c>
      <c r="T99" s="162" t="inlineStr">
        <is>
          <t>Estimate</t>
        </is>
      </c>
      <c r="U99" s="162" t="inlineStr">
        <is>
          <t>Department district data, quarter 1 2023; Stats SA P0441.2</t>
        </is>
      </c>
      <c r="V99" s="162" t="inlineStr"/>
    </row>
    <row r="100">
      <c r="A100" s="162" t="inlineStr">
        <is>
          <t>KwaZulu-Natal share of diesel</t>
        </is>
      </c>
      <c r="B100" s="163" t="inlineStr">
        <is>
          <t>% of national</t>
        </is>
      </c>
      <c r="C100" s="163" t="inlineStr">
        <is>
          <t>Proposed estimate</t>
        </is>
      </c>
      <c r="D100" s="164" t="n"/>
      <c r="E100" s="162" t="inlineStr">
        <is>
          <t>2023: the province's share of quarter 1 2023 sales, as observed. 2024: the 2023 share moved with the province's share of real GDP. 2025: 2024 held.</t>
        </is>
      </c>
      <c r="F100" s="164" t="n"/>
      <c r="G100" s="164" t="n"/>
      <c r="H100" s="164" t="n"/>
      <c r="I100" s="164" t="n"/>
      <c r="J100" s="164" t="n"/>
      <c r="K100" s="164" t="n"/>
      <c r="L100" s="164" t="n"/>
      <c r="M100" s="164" t="n"/>
      <c r="N100" s="164" t="n"/>
      <c r="O100" s="164" t="n"/>
      <c r="P100" s="164" t="n"/>
      <c r="Q100" s="164" t="n">
        <v>18.98574601235529</v>
      </c>
      <c r="R100" s="164" t="n">
        <v>18.97178908483028</v>
      </c>
      <c r="S100" s="164" t="n">
        <v>18.97178908483028</v>
      </c>
      <c r="T100" s="162" t="inlineStr">
        <is>
          <t>Estimate</t>
        </is>
      </c>
      <c r="U100" s="162" t="inlineStr">
        <is>
          <t>Department district data, quarter 1 2023; Stats SA P0441.2</t>
        </is>
      </c>
      <c r="V100" s="162" t="inlineStr"/>
    </row>
    <row r="101">
      <c r="A101" s="162" t="inlineStr">
        <is>
          <t>Western Cape share of diesel</t>
        </is>
      </c>
      <c r="B101" s="163" t="inlineStr">
        <is>
          <t>% of national</t>
        </is>
      </c>
      <c r="C101" s="163" t="inlineStr">
        <is>
          <t>Proposed estimate</t>
        </is>
      </c>
      <c r="D101" s="164" t="n"/>
      <c r="E101" s="162" t="inlineStr">
        <is>
          <t>2023: the province's share of quarter 1 2023 sales, as observed. 2024: the 2023 share moved with the province's share of real GDP. 2025: 2024 held.</t>
        </is>
      </c>
      <c r="F101" s="164" t="n"/>
      <c r="G101" s="164" t="n"/>
      <c r="H101" s="164" t="n"/>
      <c r="I101" s="164" t="n"/>
      <c r="J101" s="164" t="n"/>
      <c r="K101" s="164" t="n"/>
      <c r="L101" s="164" t="n"/>
      <c r="M101" s="164" t="n"/>
      <c r="N101" s="164" t="n"/>
      <c r="O101" s="164" t="n"/>
      <c r="P101" s="164" t="n"/>
      <c r="Q101" s="164" t="n">
        <v>23.48567896125875</v>
      </c>
      <c r="R101" s="164" t="n">
        <v>23.53970993881584</v>
      </c>
      <c r="S101" s="164" t="n">
        <v>23.53970993881584</v>
      </c>
      <c r="T101" s="162" t="inlineStr">
        <is>
          <t>Estimate</t>
        </is>
      </c>
      <c r="U101" s="162" t="inlineStr">
        <is>
          <t>Department district data, quarter 1 2023; Stats SA P0441.2</t>
        </is>
      </c>
      <c r="V101" s="162" t="inlineStr"/>
    </row>
    <row r="102">
      <c r="A102" s="162" t="inlineStr">
        <is>
          <t>Eastern Cape share of diesel</t>
        </is>
      </c>
      <c r="B102" s="163" t="inlineStr">
        <is>
          <t>% of national</t>
        </is>
      </c>
      <c r="C102" s="163" t="inlineStr">
        <is>
          <t>Proposed estimate</t>
        </is>
      </c>
      <c r="D102" s="164" t="n"/>
      <c r="E102" s="162" t="inlineStr">
        <is>
          <t>2023: the province's share of quarter 1 2023 sales, as observed. 2024: the 2023 share moved with the province's share of real GDP. 2025: 2024 held.</t>
        </is>
      </c>
      <c r="F102" s="164" t="n"/>
      <c r="G102" s="164" t="n"/>
      <c r="H102" s="164" t="n"/>
      <c r="I102" s="164" t="n"/>
      <c r="J102" s="164" t="n"/>
      <c r="K102" s="164" t="n"/>
      <c r="L102" s="164" t="n"/>
      <c r="M102" s="164" t="n"/>
      <c r="N102" s="164" t="n"/>
      <c r="O102" s="164" t="n"/>
      <c r="P102" s="164" t="n"/>
      <c r="Q102" s="164" t="n">
        <v>7.89067723132441</v>
      </c>
      <c r="R102" s="164" t="n">
        <v>7.83812278680507</v>
      </c>
      <c r="S102" s="164" t="n">
        <v>7.83812278680507</v>
      </c>
      <c r="T102" s="162" t="inlineStr">
        <is>
          <t>Estimate</t>
        </is>
      </c>
      <c r="U102" s="162" t="inlineStr">
        <is>
          <t>Department district data, quarter 1 2023; Stats SA P0441.2</t>
        </is>
      </c>
      <c r="V102" s="162" t="inlineStr"/>
    </row>
    <row r="103">
      <c r="A103" s="162" t="inlineStr">
        <is>
          <t>Mpumalanga share of diesel</t>
        </is>
      </c>
      <c r="B103" s="163" t="inlineStr">
        <is>
          <t>% of national</t>
        </is>
      </c>
      <c r="C103" s="163" t="inlineStr">
        <is>
          <t>Proposed estimate</t>
        </is>
      </c>
      <c r="D103" s="164" t="n"/>
      <c r="E103" s="162" t="inlineStr">
        <is>
          <t>2023: the province's share of quarter 1 2023 sales, as observed. 2024: the 2023 share moved with the province's share of real GDP. 2025: 2024 held.</t>
        </is>
      </c>
      <c r="F103" s="164" t="n"/>
      <c r="G103" s="164" t="n"/>
      <c r="H103" s="164" t="n"/>
      <c r="I103" s="164" t="n"/>
      <c r="J103" s="164" t="n"/>
      <c r="K103" s="164" t="n"/>
      <c r="L103" s="164" t="n"/>
      <c r="M103" s="164" t="n"/>
      <c r="N103" s="164" t="n"/>
      <c r="O103" s="164" t="n"/>
      <c r="P103" s="164" t="n"/>
      <c r="Q103" s="164" t="n">
        <v>9.154016030764375</v>
      </c>
      <c r="R103" s="164" t="n">
        <v>9.137636223166661</v>
      </c>
      <c r="S103" s="164" t="n">
        <v>9.137636223166661</v>
      </c>
      <c r="T103" s="162" t="inlineStr">
        <is>
          <t>Estimate</t>
        </is>
      </c>
      <c r="U103" s="162" t="inlineStr">
        <is>
          <t>Department district data, quarter 1 2023; Stats SA P0441.2</t>
        </is>
      </c>
      <c r="V103" s="162" t="inlineStr"/>
    </row>
    <row r="104">
      <c r="A104" s="162" t="inlineStr">
        <is>
          <t>Free State share of diesel</t>
        </is>
      </c>
      <c r="B104" s="163" t="inlineStr">
        <is>
          <t>% of national</t>
        </is>
      </c>
      <c r="C104" s="163" t="inlineStr">
        <is>
          <t>Proposed estimate</t>
        </is>
      </c>
      <c r="D104" s="164" t="n"/>
      <c r="E104" s="162" t="inlineStr">
        <is>
          <t>2023: the province's share of quarter 1 2023 sales, as observed. 2024: the 2023 share moved with the province's share of real GDP. 2025: 2024 held.</t>
        </is>
      </c>
      <c r="F104" s="164" t="n"/>
      <c r="G104" s="164" t="n"/>
      <c r="H104" s="164" t="n"/>
      <c r="I104" s="164" t="n"/>
      <c r="J104" s="164" t="n"/>
      <c r="K104" s="164" t="n"/>
      <c r="L104" s="164" t="n"/>
      <c r="M104" s="164" t="n"/>
      <c r="N104" s="164" t="n"/>
      <c r="O104" s="164" t="n"/>
      <c r="P104" s="164" t="n"/>
      <c r="Q104" s="164" t="n">
        <v>5.426397730797064</v>
      </c>
      <c r="R104" s="164" t="n">
        <v>5.42450839649958</v>
      </c>
      <c r="S104" s="164" t="n">
        <v>5.42450839649958</v>
      </c>
      <c r="T104" s="162" t="inlineStr">
        <is>
          <t>Estimate</t>
        </is>
      </c>
      <c r="U104" s="162" t="inlineStr">
        <is>
          <t>Department district data, quarter 1 2023; Stats SA P0441.2</t>
        </is>
      </c>
      <c r="V104" s="162" t="inlineStr"/>
    </row>
    <row r="105">
      <c r="A105" s="162" t="inlineStr">
        <is>
          <t>North West share of diesel</t>
        </is>
      </c>
      <c r="B105" s="163" t="inlineStr">
        <is>
          <t>% of national</t>
        </is>
      </c>
      <c r="C105" s="163" t="inlineStr">
        <is>
          <t>Proposed estimate</t>
        </is>
      </c>
      <c r="D105" s="164" t="n"/>
      <c r="E105" s="162" t="inlineStr">
        <is>
          <t>2023: the province's share of quarter 1 2023 sales, as observed. 2024: the 2023 share moved with the province's share of real GDP. 2025: 2024 held.</t>
        </is>
      </c>
      <c r="F105" s="164" t="n"/>
      <c r="G105" s="164" t="n"/>
      <c r="H105" s="164" t="n"/>
      <c r="I105" s="164" t="n"/>
      <c r="J105" s="164" t="n"/>
      <c r="K105" s="164" t="n"/>
      <c r="L105" s="164" t="n"/>
      <c r="M105" s="164" t="n"/>
      <c r="N105" s="164" t="n"/>
      <c r="O105" s="164" t="n"/>
      <c r="P105" s="164" t="n"/>
      <c r="Q105" s="164" t="n">
        <v>4.4050379640929</v>
      </c>
      <c r="R105" s="164" t="n">
        <v>4.376670684154155</v>
      </c>
      <c r="S105" s="164" t="n">
        <v>4.376670684154155</v>
      </c>
      <c r="T105" s="162" t="inlineStr">
        <is>
          <t>Estimate</t>
        </is>
      </c>
      <c r="U105" s="162" t="inlineStr">
        <is>
          <t>Department district data, quarter 1 2023; Stats SA P0441.2</t>
        </is>
      </c>
      <c r="V105" s="162" t="inlineStr"/>
    </row>
    <row r="106">
      <c r="A106" s="162" t="inlineStr">
        <is>
          <t>Limpopo share of diesel</t>
        </is>
      </c>
      <c r="B106" s="163" t="inlineStr">
        <is>
          <t>% of national</t>
        </is>
      </c>
      <c r="C106" s="163" t="inlineStr">
        <is>
          <t>Proposed estimate</t>
        </is>
      </c>
      <c r="D106" s="164" t="n"/>
      <c r="E106" s="162" t="inlineStr">
        <is>
          <t>2023: the province's share of quarter 1 2023 sales, as observed. 2024: the 2023 share moved with the province's share of real GDP. 2025: 2024 held.</t>
        </is>
      </c>
      <c r="F106" s="164" t="n"/>
      <c r="G106" s="164" t="n"/>
      <c r="H106" s="164" t="n"/>
      <c r="I106" s="164" t="n"/>
      <c r="J106" s="164" t="n"/>
      <c r="K106" s="164" t="n"/>
      <c r="L106" s="164" t="n"/>
      <c r="M106" s="164" t="n"/>
      <c r="N106" s="164" t="n"/>
      <c r="O106" s="164" t="n"/>
      <c r="P106" s="164" t="n"/>
      <c r="Q106" s="164" t="n">
        <v>1.888937215844854</v>
      </c>
      <c r="R106" s="164" t="n">
        <v>1.896160763259574</v>
      </c>
      <c r="S106" s="164" t="n">
        <v>1.896160763259574</v>
      </c>
      <c r="T106" s="162" t="inlineStr">
        <is>
          <t>Estimate</t>
        </is>
      </c>
      <c r="U106" s="162" t="inlineStr">
        <is>
          <t>Department district data, quarter 1 2023; Stats SA P0441.2</t>
        </is>
      </c>
      <c r="V106" s="162" t="inlineStr"/>
    </row>
    <row r="107">
      <c r="A107" s="162" t="inlineStr">
        <is>
          <t>Northern Cape share of diesel</t>
        </is>
      </c>
      <c r="B107" s="163" t="inlineStr">
        <is>
          <t>% of national</t>
        </is>
      </c>
      <c r="C107" s="163" t="inlineStr">
        <is>
          <t>Proposed estimate</t>
        </is>
      </c>
      <c r="D107" s="164" t="n"/>
      <c r="E107" s="162" t="inlineStr">
        <is>
          <t>2023: the province's share of quarter 1 2023 sales, as observed. 2024: the 2023 share moved with the province's share of real GDP. 2025: 2024 held.</t>
        </is>
      </c>
      <c r="F107" s="164" t="n"/>
      <c r="G107" s="164" t="n"/>
      <c r="H107" s="164" t="n"/>
      <c r="I107" s="164" t="n"/>
      <c r="J107" s="164" t="n"/>
      <c r="K107" s="164" t="n"/>
      <c r="L107" s="164" t="n"/>
      <c r="M107" s="164" t="n"/>
      <c r="N107" s="164" t="n"/>
      <c r="O107" s="164" t="n"/>
      <c r="P107" s="164" t="n"/>
      <c r="Q107" s="164" t="n">
        <v>2.807796173437997</v>
      </c>
      <c r="R107" s="164" t="n">
        <v>2.791890196146183</v>
      </c>
      <c r="S107" s="164" t="n">
        <v>2.791890196146183</v>
      </c>
      <c r="T107" s="162" t="inlineStr">
        <is>
          <t>Estimate</t>
        </is>
      </c>
      <c r="U107" s="162" t="inlineStr">
        <is>
          <t>Department district data, quarter 1 2023; Stats SA P0441.2</t>
        </is>
      </c>
      <c r="V107" s="162" t="inlineStr"/>
    </row>
    <row r="108">
      <c r="A108" s="162" t="inlineStr">
        <is>
          <t>Gauteng diesel, estimated</t>
        </is>
      </c>
      <c r="B108" s="163" t="inlineStr">
        <is>
          <t>million L/year</t>
        </is>
      </c>
      <c r="C108" s="163" t="inlineStr">
        <is>
          <t>Proposed estimate</t>
        </is>
      </c>
      <c r="D108" s="165" t="n"/>
      <c r="E108" s="162" t="inlineStr">
        <is>
          <t>Estimated share times national sales used (section 4). Blank where no national figure exists.</t>
        </is>
      </c>
      <c r="F108" s="165" t="n"/>
      <c r="G108" s="165" t="n"/>
      <c r="H108" s="165" t="n"/>
      <c r="I108" s="165" t="n"/>
      <c r="J108" s="165" t="n"/>
      <c r="K108" s="165" t="n"/>
      <c r="L108" s="165" t="n"/>
      <c r="M108" s="165" t="n"/>
      <c r="N108" s="165" t="n"/>
      <c r="O108" s="165" t="n"/>
      <c r="P108" s="165" t="n"/>
      <c r="Q108" s="165">
        <f>IF(COUNT(Q99,Q68)&lt;2,"",Q99/100*Q68)</f>
        <v/>
      </c>
      <c r="R108" s="165">
        <f>IF(COUNT(R99,R68)&lt;2,"",R99/100*R68)</f>
        <v/>
      </c>
      <c r="S108" s="165">
        <f>IF(COUNT(S99,S68)&lt;2,"",S99/100*S68)</f>
        <v/>
      </c>
      <c r="T108" s="162" t="inlineStr">
        <is>
          <t>Estimate; 2023 only, the last year with a national total</t>
        </is>
      </c>
      <c r="U108" s="162" t="inlineStr"/>
      <c r="V108" s="162" t="inlineStr">
        <is>
          <t>Replace when the department publishes district data after 2023 quarter 1</t>
        </is>
      </c>
    </row>
    <row r="109">
      <c r="A109" s="162" t="inlineStr">
        <is>
          <t>KwaZulu-Natal diesel, estimated</t>
        </is>
      </c>
      <c r="B109" s="163" t="inlineStr">
        <is>
          <t>million L/year</t>
        </is>
      </c>
      <c r="C109" s="163" t="inlineStr">
        <is>
          <t>Proposed estimate</t>
        </is>
      </c>
      <c r="D109" s="165" t="n"/>
      <c r="E109" s="162" t="inlineStr">
        <is>
          <t>Estimated share times national sales used (section 4). Blank where no national figure exists.</t>
        </is>
      </c>
      <c r="F109" s="165" t="n"/>
      <c r="G109" s="165" t="n"/>
      <c r="H109" s="165" t="n"/>
      <c r="I109" s="165" t="n"/>
      <c r="J109" s="165" t="n"/>
      <c r="K109" s="165" t="n"/>
      <c r="L109" s="165" t="n"/>
      <c r="M109" s="165" t="n"/>
      <c r="N109" s="165" t="n"/>
      <c r="O109" s="165" t="n"/>
      <c r="P109" s="165" t="n"/>
      <c r="Q109" s="165">
        <f>IF(COUNT(Q100,Q68)&lt;2,"",Q100/100*Q68)</f>
        <v/>
      </c>
      <c r="R109" s="165">
        <f>IF(COUNT(R100,R68)&lt;2,"",R100/100*R68)</f>
        <v/>
      </c>
      <c r="S109" s="165">
        <f>IF(COUNT(S100,S68)&lt;2,"",S100/100*S68)</f>
        <v/>
      </c>
      <c r="T109" s="162" t="inlineStr">
        <is>
          <t>Estimate; 2023 only, the last year with a national total</t>
        </is>
      </c>
      <c r="U109" s="162" t="inlineStr"/>
      <c r="V109" s="162" t="inlineStr">
        <is>
          <t>Replace when the department publishes district data after 2023 quarter 1</t>
        </is>
      </c>
    </row>
    <row r="110">
      <c r="A110" s="162" t="inlineStr">
        <is>
          <t>Western Cape diesel, estimated</t>
        </is>
      </c>
      <c r="B110" s="163" t="inlineStr">
        <is>
          <t>million L/year</t>
        </is>
      </c>
      <c r="C110" s="163" t="inlineStr">
        <is>
          <t>Proposed estimate</t>
        </is>
      </c>
      <c r="D110" s="165" t="n"/>
      <c r="E110" s="162" t="inlineStr">
        <is>
          <t>Estimated share times national sales used (section 4). Blank where no national figure exists.</t>
        </is>
      </c>
      <c r="F110" s="165" t="n"/>
      <c r="G110" s="165" t="n"/>
      <c r="H110" s="165" t="n"/>
      <c r="I110" s="165" t="n"/>
      <c r="J110" s="165" t="n"/>
      <c r="K110" s="165" t="n"/>
      <c r="L110" s="165" t="n"/>
      <c r="M110" s="165" t="n"/>
      <c r="N110" s="165" t="n"/>
      <c r="O110" s="165" t="n"/>
      <c r="P110" s="165" t="n"/>
      <c r="Q110" s="165">
        <f>IF(COUNT(Q101,Q68)&lt;2,"",Q101/100*Q68)</f>
        <v/>
      </c>
      <c r="R110" s="165">
        <f>IF(COUNT(R101,R68)&lt;2,"",R101/100*R68)</f>
        <v/>
      </c>
      <c r="S110" s="165">
        <f>IF(COUNT(S101,S68)&lt;2,"",S101/100*S68)</f>
        <v/>
      </c>
      <c r="T110" s="162" t="inlineStr">
        <is>
          <t>Estimate; 2023 only, the last year with a national total</t>
        </is>
      </c>
      <c r="U110" s="162" t="inlineStr"/>
      <c r="V110" s="162" t="inlineStr">
        <is>
          <t>Replace when the department publishes district data after 2023 quarter 1</t>
        </is>
      </c>
    </row>
    <row r="111">
      <c r="A111" s="162" t="inlineStr">
        <is>
          <t>Eastern Cape diesel, estimated</t>
        </is>
      </c>
      <c r="B111" s="163" t="inlineStr">
        <is>
          <t>million L/year</t>
        </is>
      </c>
      <c r="C111" s="163" t="inlineStr">
        <is>
          <t>Proposed estimate</t>
        </is>
      </c>
      <c r="D111" s="165" t="n"/>
      <c r="E111" s="162" t="inlineStr">
        <is>
          <t>Estimated share times national sales used (section 4). Blank where no national figure exists.</t>
        </is>
      </c>
      <c r="F111" s="165" t="n"/>
      <c r="G111" s="165" t="n"/>
      <c r="H111" s="165" t="n"/>
      <c r="I111" s="165" t="n"/>
      <c r="J111" s="165" t="n"/>
      <c r="K111" s="165" t="n"/>
      <c r="L111" s="165" t="n"/>
      <c r="M111" s="165" t="n"/>
      <c r="N111" s="165" t="n"/>
      <c r="O111" s="165" t="n"/>
      <c r="P111" s="165" t="n"/>
      <c r="Q111" s="165">
        <f>IF(COUNT(Q102,Q68)&lt;2,"",Q102/100*Q68)</f>
        <v/>
      </c>
      <c r="R111" s="165">
        <f>IF(COUNT(R102,R68)&lt;2,"",R102/100*R68)</f>
        <v/>
      </c>
      <c r="S111" s="165">
        <f>IF(COUNT(S102,S68)&lt;2,"",S102/100*S68)</f>
        <v/>
      </c>
      <c r="T111" s="162" t="inlineStr">
        <is>
          <t>Estimate; 2023 only, the last year with a national total</t>
        </is>
      </c>
      <c r="U111" s="162" t="inlineStr"/>
      <c r="V111" s="162" t="inlineStr">
        <is>
          <t>Replace when the department publishes district data after 2023 quarter 1</t>
        </is>
      </c>
    </row>
    <row r="112">
      <c r="A112" s="162" t="inlineStr">
        <is>
          <t>Mpumalanga diesel, estimated</t>
        </is>
      </c>
      <c r="B112" s="163" t="inlineStr">
        <is>
          <t>million L/year</t>
        </is>
      </c>
      <c r="C112" s="163" t="inlineStr">
        <is>
          <t>Proposed estimate</t>
        </is>
      </c>
      <c r="D112" s="165" t="n"/>
      <c r="E112" s="162" t="inlineStr">
        <is>
          <t>Estimated share times national sales used (section 4). Blank where no national figure exists.</t>
        </is>
      </c>
      <c r="F112" s="165" t="n"/>
      <c r="G112" s="165" t="n"/>
      <c r="H112" s="165" t="n"/>
      <c r="I112" s="165" t="n"/>
      <c r="J112" s="165" t="n"/>
      <c r="K112" s="165" t="n"/>
      <c r="L112" s="165" t="n"/>
      <c r="M112" s="165" t="n"/>
      <c r="N112" s="165" t="n"/>
      <c r="O112" s="165" t="n"/>
      <c r="P112" s="165" t="n"/>
      <c r="Q112" s="165">
        <f>IF(COUNT(Q103,Q68)&lt;2,"",Q103/100*Q68)</f>
        <v/>
      </c>
      <c r="R112" s="165">
        <f>IF(COUNT(R103,R68)&lt;2,"",R103/100*R68)</f>
        <v/>
      </c>
      <c r="S112" s="165">
        <f>IF(COUNT(S103,S68)&lt;2,"",S103/100*S68)</f>
        <v/>
      </c>
      <c r="T112" s="162" t="inlineStr">
        <is>
          <t>Estimate; 2023 only, the last year with a national total</t>
        </is>
      </c>
      <c r="U112" s="162" t="inlineStr"/>
      <c r="V112" s="162" t="inlineStr">
        <is>
          <t>Replace when the department publishes district data after 2023 quarter 1</t>
        </is>
      </c>
    </row>
    <row r="113">
      <c r="A113" s="162" t="inlineStr">
        <is>
          <t>Free State diesel, estimated</t>
        </is>
      </c>
      <c r="B113" s="163" t="inlineStr">
        <is>
          <t>million L/year</t>
        </is>
      </c>
      <c r="C113" s="163" t="inlineStr">
        <is>
          <t>Proposed estimate</t>
        </is>
      </c>
      <c r="D113" s="165" t="n"/>
      <c r="E113" s="162" t="inlineStr">
        <is>
          <t>Estimated share times national sales used (section 4). Blank where no national figure exists.</t>
        </is>
      </c>
      <c r="F113" s="165" t="n"/>
      <c r="G113" s="165" t="n"/>
      <c r="H113" s="165" t="n"/>
      <c r="I113" s="165" t="n"/>
      <c r="J113" s="165" t="n"/>
      <c r="K113" s="165" t="n"/>
      <c r="L113" s="165" t="n"/>
      <c r="M113" s="165" t="n"/>
      <c r="N113" s="165" t="n"/>
      <c r="O113" s="165" t="n"/>
      <c r="P113" s="165" t="n"/>
      <c r="Q113" s="165">
        <f>IF(COUNT(Q104,Q68)&lt;2,"",Q104/100*Q68)</f>
        <v/>
      </c>
      <c r="R113" s="165">
        <f>IF(COUNT(R104,R68)&lt;2,"",R104/100*R68)</f>
        <v/>
      </c>
      <c r="S113" s="165">
        <f>IF(COUNT(S104,S68)&lt;2,"",S104/100*S68)</f>
        <v/>
      </c>
      <c r="T113" s="162" t="inlineStr">
        <is>
          <t>Estimate; 2023 only, the last year with a national total</t>
        </is>
      </c>
      <c r="U113" s="162" t="inlineStr"/>
      <c r="V113" s="162" t="inlineStr">
        <is>
          <t>Replace when the department publishes district data after 2023 quarter 1</t>
        </is>
      </c>
    </row>
    <row r="114">
      <c r="A114" s="162" t="inlineStr">
        <is>
          <t>North West diesel, estimated</t>
        </is>
      </c>
      <c r="B114" s="163" t="inlineStr">
        <is>
          <t>million L/year</t>
        </is>
      </c>
      <c r="C114" s="163" t="inlineStr">
        <is>
          <t>Proposed estimate</t>
        </is>
      </c>
      <c r="D114" s="165" t="n"/>
      <c r="E114" s="162" t="inlineStr">
        <is>
          <t>Estimated share times national sales used (section 4). Blank where no national figure exists.</t>
        </is>
      </c>
      <c r="F114" s="165" t="n"/>
      <c r="G114" s="165" t="n"/>
      <c r="H114" s="165" t="n"/>
      <c r="I114" s="165" t="n"/>
      <c r="J114" s="165" t="n"/>
      <c r="K114" s="165" t="n"/>
      <c r="L114" s="165" t="n"/>
      <c r="M114" s="165" t="n"/>
      <c r="N114" s="165" t="n"/>
      <c r="O114" s="165" t="n"/>
      <c r="P114" s="165" t="n"/>
      <c r="Q114" s="165">
        <f>IF(COUNT(Q105,Q68)&lt;2,"",Q105/100*Q68)</f>
        <v/>
      </c>
      <c r="R114" s="165">
        <f>IF(COUNT(R105,R68)&lt;2,"",R105/100*R68)</f>
        <v/>
      </c>
      <c r="S114" s="165">
        <f>IF(COUNT(S105,S68)&lt;2,"",S105/100*S68)</f>
        <v/>
      </c>
      <c r="T114" s="162" t="inlineStr">
        <is>
          <t>Estimate; 2023 only, the last year with a national total</t>
        </is>
      </c>
      <c r="U114" s="162" t="inlineStr"/>
      <c r="V114" s="162" t="inlineStr">
        <is>
          <t>Replace when the department publishes district data after 2023 quarter 1</t>
        </is>
      </c>
    </row>
    <row r="115">
      <c r="A115" s="162" t="inlineStr">
        <is>
          <t>Limpopo diesel, estimated</t>
        </is>
      </c>
      <c r="B115" s="163" t="inlineStr">
        <is>
          <t>million L/year</t>
        </is>
      </c>
      <c r="C115" s="163" t="inlineStr">
        <is>
          <t>Proposed estimate</t>
        </is>
      </c>
      <c r="D115" s="165" t="n"/>
      <c r="E115" s="162" t="inlineStr">
        <is>
          <t>Estimated share times national sales used (section 4). Blank where no national figure exists.</t>
        </is>
      </c>
      <c r="F115" s="165" t="n"/>
      <c r="G115" s="165" t="n"/>
      <c r="H115" s="165" t="n"/>
      <c r="I115" s="165" t="n"/>
      <c r="J115" s="165" t="n"/>
      <c r="K115" s="165" t="n"/>
      <c r="L115" s="165" t="n"/>
      <c r="M115" s="165" t="n"/>
      <c r="N115" s="165" t="n"/>
      <c r="O115" s="165" t="n"/>
      <c r="P115" s="165" t="n"/>
      <c r="Q115" s="165">
        <f>IF(COUNT(Q106,Q68)&lt;2,"",Q106/100*Q68)</f>
        <v/>
      </c>
      <c r="R115" s="165">
        <f>IF(COUNT(R106,R68)&lt;2,"",R106/100*R68)</f>
        <v/>
      </c>
      <c r="S115" s="165">
        <f>IF(COUNT(S106,S68)&lt;2,"",S106/100*S68)</f>
        <v/>
      </c>
      <c r="T115" s="162" t="inlineStr">
        <is>
          <t>Estimate; 2023 only, the last year with a national total</t>
        </is>
      </c>
      <c r="U115" s="162" t="inlineStr"/>
      <c r="V115" s="162" t="inlineStr">
        <is>
          <t>Replace when the department publishes district data after 2023 quarter 1</t>
        </is>
      </c>
    </row>
    <row r="116">
      <c r="A116" s="162" t="inlineStr">
        <is>
          <t>Northern Cape diesel, estimated</t>
        </is>
      </c>
      <c r="B116" s="163" t="inlineStr">
        <is>
          <t>million L/year</t>
        </is>
      </c>
      <c r="C116" s="163" t="inlineStr">
        <is>
          <t>Proposed estimate</t>
        </is>
      </c>
      <c r="D116" s="165" t="n"/>
      <c r="E116" s="162" t="inlineStr">
        <is>
          <t>Estimated share times national sales used (section 4). Blank where no national figure exists.</t>
        </is>
      </c>
      <c r="F116" s="165" t="n"/>
      <c r="G116" s="165" t="n"/>
      <c r="H116" s="165" t="n"/>
      <c r="I116" s="165" t="n"/>
      <c r="J116" s="165" t="n"/>
      <c r="K116" s="165" t="n"/>
      <c r="L116" s="165" t="n"/>
      <c r="M116" s="165" t="n"/>
      <c r="N116" s="165" t="n"/>
      <c r="O116" s="165" t="n"/>
      <c r="P116" s="165" t="n"/>
      <c r="Q116" s="165">
        <f>IF(COUNT(Q107,Q68)&lt;2,"",Q107/100*Q68)</f>
        <v/>
      </c>
      <c r="R116" s="165">
        <f>IF(COUNT(R107,R68)&lt;2,"",R107/100*R68)</f>
        <v/>
      </c>
      <c r="S116" s="165">
        <f>IF(COUNT(S107,S68)&lt;2,"",S107/100*S68)</f>
        <v/>
      </c>
      <c r="T116" s="162" t="inlineStr">
        <is>
          <t>Estimate; 2023 only, the last year with a national total</t>
        </is>
      </c>
      <c r="U116" s="162" t="inlineStr"/>
      <c r="V116" s="162" t="inlineStr">
        <is>
          <t>Replace when the department publishes district data after 2023 quarter 1</t>
        </is>
      </c>
    </row>
    <row r="118">
      <c r="A118" s="151" t="inlineStr">
        <is>
          <t>7. Jet fuel: sales, trade, production and aircraft movements</t>
        </is>
      </c>
      <c r="B118" s="151" t="n"/>
      <c r="C118" s="151" t="n"/>
      <c r="D118" s="151" t="n"/>
      <c r="E118" s="151" t="n"/>
      <c r="F118" s="151" t="n"/>
      <c r="G118" s="151" t="n"/>
      <c r="H118" s="151" t="n"/>
      <c r="I118" s="151" t="n"/>
      <c r="J118" s="151" t="n"/>
      <c r="K118" s="151" t="n"/>
      <c r="L118" s="151" t="n"/>
      <c r="M118" s="151" t="n"/>
      <c r="N118" s="151" t="n"/>
      <c r="O118" s="151" t="n"/>
      <c r="P118" s="151" t="n"/>
      <c r="Q118" s="151" t="n"/>
      <c r="R118" s="151" t="n"/>
      <c r="S118" s="151" t="n"/>
      <c r="T118" s="151" t="n"/>
      <c r="U118" s="151" t="n"/>
      <c r="V118" s="151" t="n"/>
    </row>
    <row r="119">
      <c r="A119" s="152" t="inlineStr">
        <is>
          <t>Department national file, jet</t>
        </is>
      </c>
      <c r="B119" s="153" t="inlineStr">
        <is>
          <t>million L/year</t>
        </is>
      </c>
      <c r="C119" s="153" t="inlineStr">
        <is>
          <t>Source observation</t>
        </is>
      </c>
      <c r="D119" s="154" t="n"/>
      <c r="E119" s="152" t="inlineStr">
        <is>
          <t>National annual workbook, years with four quarters reported.</t>
        </is>
      </c>
      <c r="F119" s="154" t="n">
        <v>2431.08548</v>
      </c>
      <c r="G119" s="154" t="n">
        <v>2305.651372</v>
      </c>
      <c r="H119" s="154" t="n">
        <v>2293.018714</v>
      </c>
      <c r="I119" s="154" t="n">
        <v>2457.95129655</v>
      </c>
      <c r="J119" s="154" t="n">
        <v>2598.760123418</v>
      </c>
      <c r="K119" s="154" t="n">
        <v>2712.662668234242</v>
      </c>
      <c r="L119" s="154" t="n">
        <v>2346.059526818</v>
      </c>
      <c r="M119" s="154" t="n">
        <v>2438.852598017</v>
      </c>
      <c r="N119" s="154" t="n">
        <v>1090.817659253</v>
      </c>
      <c r="O119" s="154" t="n">
        <v>1047.881004178</v>
      </c>
      <c r="P119" s="154" t="n">
        <v>1478.149852603</v>
      </c>
      <c r="Q119" s="154" t="n">
        <v>1843.971762465</v>
      </c>
      <c r="R119" s="154" t="n"/>
      <c r="S119" s="154" t="n"/>
      <c r="T119" s="152" t="inlineStr">
        <is>
          <t>2012-2023</t>
        </is>
      </c>
      <c r="U119" s="152" t="inlineStr">
        <is>
          <t>Department of Mineral and Petroleum Resources, sales volumes, national workbooks</t>
        </is>
      </c>
      <c r="V119" s="152" t="inlineStr"/>
    </row>
    <row r="120">
      <c r="A120" s="159" t="inlineStr">
        <is>
          <t>FIASA sales, jet</t>
        </is>
      </c>
      <c r="B120" s="160" t="inlineStr">
        <is>
          <t>million L/year</t>
        </is>
      </c>
      <c r="C120" s="160" t="inlineStr">
        <is>
          <t>Comparison only</t>
        </is>
      </c>
      <c r="D120" s="161" t="n"/>
      <c r="E120" s="159" t="inlineStr">
        <is>
          <t>FIASA annual report, latest edition.</t>
        </is>
      </c>
      <c r="F120" s="161" t="n">
        <v>2367</v>
      </c>
      <c r="G120" s="161" t="n">
        <v>2223</v>
      </c>
      <c r="H120" s="161" t="n">
        <v>2197</v>
      </c>
      <c r="I120" s="161" t="n">
        <v>2441</v>
      </c>
      <c r="J120" s="161" t="n">
        <v>2121</v>
      </c>
      <c r="K120" s="161" t="n">
        <v>2713</v>
      </c>
      <c r="L120" s="161" t="n">
        <v>2346</v>
      </c>
      <c r="M120" s="161" t="n">
        <v>2439</v>
      </c>
      <c r="N120" s="161" t="n">
        <v>1091</v>
      </c>
      <c r="O120" s="161" t="n">
        <v>1048</v>
      </c>
      <c r="P120" s="161" t="n">
        <v>1478</v>
      </c>
      <c r="Q120" s="161" t="n">
        <v>1844</v>
      </c>
      <c r="R120" s="161" t="n">
        <v>1955</v>
      </c>
      <c r="S120" s="161" t="n"/>
      <c r="T120" s="159" t="inlineStr">
        <is>
          <t>Not used. 2024: 1,754 in FIASA's 2024 edition, 1,955 in its 2025 edition</t>
        </is>
      </c>
      <c r="U120" s="159" t="inlineStr">
        <is>
          <t>Fuels Industry Association of South Africa, annual reports</t>
        </is>
      </c>
      <c r="V120" s="159" t="inlineStr"/>
    </row>
    <row r="121">
      <c r="A121" s="156" t="inlineStr">
        <is>
          <t>Sales used, jet</t>
        </is>
      </c>
      <c r="B121" s="157" t="inlineStr">
        <is>
          <t>million L/year</t>
        </is>
      </c>
      <c r="C121" s="157" t="inlineStr">
        <is>
          <t>Reporting formula</t>
        </is>
      </c>
      <c r="D121" s="158" t="n"/>
      <c r="E121" s="156" t="inlineStr">
        <is>
          <t>Department national file. Blank where not published.</t>
        </is>
      </c>
      <c r="F121" s="158">
        <f>IF(ISNUMBER(F119),F119,"")</f>
        <v/>
      </c>
      <c r="G121" s="158">
        <f>IF(ISNUMBER(G119),G119,"")</f>
        <v/>
      </c>
      <c r="H121" s="158">
        <f>IF(ISNUMBER(H119),H119,"")</f>
        <v/>
      </c>
      <c r="I121" s="158">
        <f>IF(ISNUMBER(I119),I119,"")</f>
        <v/>
      </c>
      <c r="J121" s="158">
        <f>IF(ISNUMBER(J119),J119,"")</f>
        <v/>
      </c>
      <c r="K121" s="158">
        <f>IF(ISNUMBER(K119),K119,"")</f>
        <v/>
      </c>
      <c r="L121" s="158">
        <f>IF(ISNUMBER(L119),L119,"")</f>
        <v/>
      </c>
      <c r="M121" s="158">
        <f>IF(ISNUMBER(M119),M119,"")</f>
        <v/>
      </c>
      <c r="N121" s="158">
        <f>IF(ISNUMBER(N119),N119,"")</f>
        <v/>
      </c>
      <c r="O121" s="158">
        <f>IF(ISNUMBER(O119),O119,"")</f>
        <v/>
      </c>
      <c r="P121" s="158">
        <f>IF(ISNUMBER(P119),P119,"")</f>
        <v/>
      </c>
      <c r="Q121" s="158">
        <f>IF(ISNUMBER(Q119),Q119,"")</f>
        <v/>
      </c>
      <c r="R121" s="158">
        <f>IF(ISNUMBER(R119),R119,"")</f>
        <v/>
      </c>
      <c r="S121" s="158">
        <f>IF(ISNUMBER(S119),S119,"")</f>
        <v/>
      </c>
      <c r="T121" s="156" t="inlineStr"/>
      <c r="U121" s="156" t="inlineStr"/>
      <c r="V121" s="156" t="inlineStr"/>
    </row>
    <row r="122">
      <c r="A122" s="152" t="inlineStr">
        <is>
          <t>Imports, jet</t>
        </is>
      </c>
      <c r="B122" s="153" t="inlineStr">
        <is>
          <t>million L/year</t>
        </is>
      </c>
      <c r="C122" s="153" t="inlineStr">
        <is>
          <t>Source observation</t>
        </is>
      </c>
      <c r="D122" s="154" t="n"/>
      <c r="E122" s="152" t="inlineStr">
        <is>
          <t>Complete years reported in litres.</t>
        </is>
      </c>
      <c r="F122" s="154" t="n"/>
      <c r="G122" s="154" t="n"/>
      <c r="H122" s="154" t="n"/>
      <c r="I122" s="154" t="n"/>
      <c r="J122" s="154" t="n"/>
      <c r="K122" s="154" t="n">
        <v>418.603994</v>
      </c>
      <c r="L122" s="154" t="n">
        <v>341.60306375</v>
      </c>
      <c r="M122" s="154" t="n"/>
      <c r="N122" s="154" t="n">
        <v>587.4314575</v>
      </c>
      <c r="O122" s="154" t="n">
        <v>446.819487</v>
      </c>
      <c r="P122" s="154" t="n">
        <v>810.3529865</v>
      </c>
      <c r="Q122" s="154" t="n">
        <v>673.86142982</v>
      </c>
      <c r="R122" s="154" t="n">
        <v>718.0868890700001</v>
      </c>
      <c r="S122" s="154" t="n">
        <v>884.9844383200001</v>
      </c>
      <c r="T122" s="152" t="inlineStr">
        <is>
          <t>From 2014; 2019 blank because one month is missing</t>
        </is>
      </c>
      <c r="U122" s="152" t="inlineStr">
        <is>
          <t>South African Revenue Service, trade statistics by tariff line</t>
        </is>
      </c>
      <c r="V122" s="152" t="inlineStr"/>
    </row>
    <row r="123">
      <c r="A123" s="152" t="inlineStr">
        <is>
          <t>Exports, jet</t>
        </is>
      </c>
      <c r="B123" s="153" t="inlineStr">
        <is>
          <t>million L/year</t>
        </is>
      </c>
      <c r="C123" s="153" t="inlineStr">
        <is>
          <t>Source observation</t>
        </is>
      </c>
      <c r="D123" s="154" t="n"/>
      <c r="E123" s="152" t="inlineStr">
        <is>
          <t>Complete years reported in litres. Whether fuel loaded onto international flights is recorded as an export is not established.</t>
        </is>
      </c>
      <c r="F123" s="154" t="n"/>
      <c r="G123" s="154" t="n"/>
      <c r="H123" s="154" t="n">
        <v>114.794276</v>
      </c>
      <c r="I123" s="154" t="n">
        <v>821.0071333</v>
      </c>
      <c r="J123" s="154" t="n">
        <v>334.5899605</v>
      </c>
      <c r="K123" s="154" t="n">
        <v>348.7657881</v>
      </c>
      <c r="L123" s="154" t="n">
        <v>327.817396</v>
      </c>
      <c r="M123" s="154" t="n">
        <v>293.094467</v>
      </c>
      <c r="N123" s="154" t="n">
        <v>620.3165292</v>
      </c>
      <c r="O123" s="154" t="n">
        <v>98.7798698</v>
      </c>
      <c r="P123" s="154" t="n">
        <v>384.881163</v>
      </c>
      <c r="Q123" s="154" t="n">
        <v>451.76833507</v>
      </c>
      <c r="R123" s="154" t="n">
        <v>478.4344717</v>
      </c>
      <c r="S123" s="154" t="n">
        <v>471.98413936</v>
      </c>
      <c r="T123" s="152" t="inlineStr">
        <is>
          <t>From 2014</t>
        </is>
      </c>
      <c r="U123" s="152" t="inlineStr">
        <is>
          <t>South African Revenue Service, trade statistics by tariff line</t>
        </is>
      </c>
      <c r="V123" s="152" t="inlineStr"/>
    </row>
    <row r="124">
      <c r="A124" s="156" t="inlineStr">
        <is>
          <t>Net imports, jet</t>
        </is>
      </c>
      <c r="B124" s="157" t="inlineStr">
        <is>
          <t>million L/year</t>
        </is>
      </c>
      <c r="C124" s="157" t="inlineStr">
        <is>
          <t>Reporting formula</t>
        </is>
      </c>
      <c r="D124" s="158" t="n"/>
      <c r="E124" s="156" t="inlineStr">
        <is>
          <t>Imports less exports.</t>
        </is>
      </c>
      <c r="F124" s="158">
        <f>IF(COUNT(F122,F123)&lt;2,"",F122-F123)</f>
        <v/>
      </c>
      <c r="G124" s="158">
        <f>IF(COUNT(G122,G123)&lt;2,"",G122-G123)</f>
        <v/>
      </c>
      <c r="H124" s="158">
        <f>IF(COUNT(H122,H123)&lt;2,"",H122-H123)</f>
        <v/>
      </c>
      <c r="I124" s="158">
        <f>IF(COUNT(I122,I123)&lt;2,"",I122-I123)</f>
        <v/>
      </c>
      <c r="J124" s="158">
        <f>IF(COUNT(J122,J123)&lt;2,"",J122-J123)</f>
        <v/>
      </c>
      <c r="K124" s="158">
        <f>IF(COUNT(K122,K123)&lt;2,"",K122-K123)</f>
        <v/>
      </c>
      <c r="L124" s="158">
        <f>IF(COUNT(L122,L123)&lt;2,"",L122-L123)</f>
        <v/>
      </c>
      <c r="M124" s="158">
        <f>IF(COUNT(M122,M123)&lt;2,"",M122-M123)</f>
        <v/>
      </c>
      <c r="N124" s="158">
        <f>IF(COUNT(N122,N123)&lt;2,"",N122-N123)</f>
        <v/>
      </c>
      <c r="O124" s="158">
        <f>IF(COUNT(O122,O123)&lt;2,"",O122-O123)</f>
        <v/>
      </c>
      <c r="P124" s="158">
        <f>IF(COUNT(P122,P123)&lt;2,"",P122-P123)</f>
        <v/>
      </c>
      <c r="Q124" s="158">
        <f>IF(COUNT(Q122,Q123)&lt;2,"",Q122-Q123)</f>
        <v/>
      </c>
      <c r="R124" s="158">
        <f>IF(COUNT(R122,R123)&lt;2,"",R122-R123)</f>
        <v/>
      </c>
      <c r="S124" s="158">
        <f>IF(COUNT(S122,S123)&lt;2,"",S122-S123)</f>
        <v/>
      </c>
      <c r="T124" s="156" t="inlineStr"/>
      <c r="U124" s="156" t="inlineStr"/>
      <c r="V124" s="156" t="inlineStr"/>
    </row>
    <row r="125">
      <c r="A125" s="152" t="inlineStr">
        <is>
          <t>Production reported, jet</t>
        </is>
      </c>
      <c r="B125" s="153" t="inlineStr">
        <is>
          <t>million L/year</t>
        </is>
      </c>
      <c r="C125" s="153" t="inlineStr">
        <is>
          <t>Source observation</t>
        </is>
      </c>
      <c r="D125" s="154" t="n"/>
      <c r="E125" s="152" t="inlineStr">
        <is>
          <t>National production line of the energy balance.</t>
        </is>
      </c>
      <c r="F125" s="154" t="n">
        <v>1100.507375</v>
      </c>
      <c r="G125" s="154" t="n">
        <v>1762.443875</v>
      </c>
      <c r="H125" s="154" t="n">
        <v>1715.08725</v>
      </c>
      <c r="I125" s="154" t="n">
        <v>2967.27825</v>
      </c>
      <c r="J125" s="154" t="n">
        <v>3047.4005</v>
      </c>
      <c r="K125" s="154" t="n">
        <v>1518.965125</v>
      </c>
      <c r="L125" s="154" t="n">
        <v>1543.192125</v>
      </c>
      <c r="M125" s="154" t="n">
        <v>1089.709875</v>
      </c>
      <c r="N125" s="154" t="n">
        <v>962.755625</v>
      </c>
      <c r="O125" s="154" t="n">
        <v>861.3591022420001</v>
      </c>
      <c r="P125" s="154" t="n"/>
      <c r="Q125" s="154" t="n"/>
      <c r="R125" s="154" t="n"/>
      <c r="S125" s="154" t="n"/>
      <c r="T125" s="152" t="inlineStr">
        <is>
          <t>2012-2021</t>
        </is>
      </c>
      <c r="U125" s="152" t="inlineStr">
        <is>
          <t>Department energy balances</t>
        </is>
      </c>
      <c r="V125" s="152" t="inlineStr"/>
    </row>
    <row r="126">
      <c r="A126" s="156" t="inlineStr">
        <is>
          <t>Sales less net imports, jet</t>
        </is>
      </c>
      <c r="B126" s="157" t="inlineStr">
        <is>
          <t>million L/year</t>
        </is>
      </c>
      <c r="C126" s="157" t="inlineStr">
        <is>
          <t>Reporting formula</t>
        </is>
      </c>
      <c r="D126" s="158" t="n"/>
      <c r="E126" s="156" t="inlineStr">
        <is>
          <t>What production and stock changes must supply. Not a measurement of production.</t>
        </is>
      </c>
      <c r="F126" s="158">
        <f>IF(COUNT(F121,F124)&lt;2,"",F121-F124)</f>
        <v/>
      </c>
      <c r="G126" s="158">
        <f>IF(COUNT(G121,G124)&lt;2,"",G121-G124)</f>
        <v/>
      </c>
      <c r="H126" s="158">
        <f>IF(COUNT(H121,H124)&lt;2,"",H121-H124)</f>
        <v/>
      </c>
      <c r="I126" s="158">
        <f>IF(COUNT(I121,I124)&lt;2,"",I121-I124)</f>
        <v/>
      </c>
      <c r="J126" s="158">
        <f>IF(COUNT(J121,J124)&lt;2,"",J121-J124)</f>
        <v/>
      </c>
      <c r="K126" s="158">
        <f>IF(COUNT(K121,K124)&lt;2,"",K121-K124)</f>
        <v/>
      </c>
      <c r="L126" s="158">
        <f>IF(COUNT(L121,L124)&lt;2,"",L121-L124)</f>
        <v/>
      </c>
      <c r="M126" s="158">
        <f>IF(COUNT(M121,M124)&lt;2,"",M121-M124)</f>
        <v/>
      </c>
      <c r="N126" s="158">
        <f>IF(COUNT(N121,N124)&lt;2,"",N121-N124)</f>
        <v/>
      </c>
      <c r="O126" s="158">
        <f>IF(COUNT(O121,O124)&lt;2,"",O121-O124)</f>
        <v/>
      </c>
      <c r="P126" s="158">
        <f>IF(COUNT(P121,P124)&lt;2,"",P121-P124)</f>
        <v/>
      </c>
      <c r="Q126" s="158">
        <f>IF(COUNT(Q121,Q124)&lt;2,"",Q121-Q124)</f>
        <v/>
      </c>
      <c r="R126" s="158">
        <f>IF(COUNT(R121,R124)&lt;2,"",R121-R124)</f>
        <v/>
      </c>
      <c r="S126" s="158">
        <f>IF(COUNT(S121,S124)&lt;2,"",S121-S124)</f>
        <v/>
      </c>
      <c r="T126" s="156" t="inlineStr"/>
      <c r="U126" s="156" t="inlineStr"/>
      <c r="V126" s="156" t="inlineStr"/>
    </row>
    <row r="127">
      <c r="A127" s="156" t="inlineStr">
        <is>
          <t>Unexplained after reported production, jet</t>
        </is>
      </c>
      <c r="B127" s="157" t="inlineStr">
        <is>
          <t>million L/year</t>
        </is>
      </c>
      <c r="C127" s="157" t="inlineStr">
        <is>
          <t>Reporting formula</t>
        </is>
      </c>
      <c r="D127" s="158" t="n"/>
      <c r="E127" s="156" t="inlineStr">
        <is>
          <t>Sales less net imports less reported production.</t>
        </is>
      </c>
      <c r="F127" s="158">
        <f>IF(COUNT(F126,F125)&lt;2,"",F126-F125)</f>
        <v/>
      </c>
      <c r="G127" s="158">
        <f>IF(COUNT(G126,G125)&lt;2,"",G126-G125)</f>
        <v/>
      </c>
      <c r="H127" s="158">
        <f>IF(COUNT(H126,H125)&lt;2,"",H126-H125)</f>
        <v/>
      </c>
      <c r="I127" s="158">
        <f>IF(COUNT(I126,I125)&lt;2,"",I126-I125)</f>
        <v/>
      </c>
      <c r="J127" s="158">
        <f>IF(COUNT(J126,J125)&lt;2,"",J126-J125)</f>
        <v/>
      </c>
      <c r="K127" s="158">
        <f>IF(COUNT(K126,K125)&lt;2,"",K126-K125)</f>
        <v/>
      </c>
      <c r="L127" s="158">
        <f>IF(COUNT(L126,L125)&lt;2,"",L126-L125)</f>
        <v/>
      </c>
      <c r="M127" s="158">
        <f>IF(COUNT(M126,M125)&lt;2,"",M126-M125)</f>
        <v/>
      </c>
      <c r="N127" s="158">
        <f>IF(COUNT(N126,N125)&lt;2,"",N126-N125)</f>
        <v/>
      </c>
      <c r="O127" s="158">
        <f>IF(COUNT(O126,O125)&lt;2,"",O126-O125)</f>
        <v/>
      </c>
      <c r="P127" s="158">
        <f>IF(COUNT(P126,P125)&lt;2,"",P126-P125)</f>
        <v/>
      </c>
      <c r="Q127" s="158">
        <f>IF(COUNT(Q126,Q125)&lt;2,"",Q126-Q125)</f>
        <v/>
      </c>
      <c r="R127" s="158">
        <f>IF(COUNT(R126,R125)&lt;2,"",R126-R125)</f>
        <v/>
      </c>
      <c r="S127" s="158">
        <f>IF(COUNT(S126,S125)&lt;2,"",S126-S125)</f>
        <v/>
      </c>
      <c r="T127" s="156" t="inlineStr"/>
      <c r="U127" s="156" t="inlineStr"/>
      <c r="V127" s="156" t="inlineStr"/>
    </row>
    <row r="128">
      <c r="A128" s="152" t="inlineStr">
        <is>
          <t>Aircraft movements at ACSA airports</t>
        </is>
      </c>
      <c r="B128" s="153" t="inlineStr">
        <is>
          <t>movements/year</t>
        </is>
      </c>
      <c r="C128" s="153" t="inlineStr">
        <is>
          <t>Source observation</t>
        </is>
      </c>
      <c r="D128" s="166" t="n"/>
      <c r="E128" s="152" t="inlineStr">
        <is>
          <t>Arrivals and departures, all flight types, nine ACSA airports. Non-ACSA airports (Lanseria and others) are not covered.</t>
        </is>
      </c>
      <c r="F128" s="166" t="n"/>
      <c r="G128" s="166" t="n">
        <v>514106</v>
      </c>
      <c r="H128" s="166" t="n">
        <v>541048</v>
      </c>
      <c r="I128" s="166" t="n">
        <v>565516</v>
      </c>
      <c r="J128" s="166" t="n">
        <v>568527</v>
      </c>
      <c r="K128" s="166" t="n">
        <v>530912</v>
      </c>
      <c r="L128" s="166" t="n">
        <v>519847</v>
      </c>
      <c r="M128" s="166" t="n">
        <v>512467</v>
      </c>
      <c r="N128" s="166" t="n">
        <v>236675</v>
      </c>
      <c r="O128" s="166" t="n">
        <v>316436</v>
      </c>
      <c r="P128" s="166" t="n">
        <v>416058</v>
      </c>
      <c r="Q128" s="166" t="n">
        <v>451317</v>
      </c>
      <c r="R128" s="166" t="n">
        <v>456214</v>
      </c>
      <c r="S128" s="166" t="n">
        <v>462123</v>
      </c>
      <c r="T128" s="152" t="inlineStr">
        <is>
          <t>2013-2025</t>
        </is>
      </c>
      <c r="U128" s="152" t="inlineStr">
        <is>
          <t>Airports Company South Africa, traffic statistics</t>
        </is>
      </c>
      <c r="V128" s="152" t="inlineStr"/>
    </row>
    <row r="129">
      <c r="A129" s="156" t="inlineStr">
        <is>
          <t>Jet sold per aircraft movement</t>
        </is>
      </c>
      <c r="B129" s="157" t="inlineStr">
        <is>
          <t>litres/movement</t>
        </is>
      </c>
      <c r="C129" s="157" t="inlineStr">
        <is>
          <t>Reporting formula</t>
        </is>
      </c>
      <c r="D129" s="167" t="n"/>
      <c r="E129" s="156" t="inlineStr">
        <is>
          <t>Sales used divided by movements. 4,086 litres in 2023 against 4,759 in 2019; the reason for the fall is not established. Driver proposed for jet: movements times this intensity.</t>
        </is>
      </c>
      <c r="F129" s="167">
        <f>IF(COUNT(F121,F128)&lt;2,"",F121*1000000/F128)</f>
        <v/>
      </c>
      <c r="G129" s="167">
        <f>IF(COUNT(G121,G128)&lt;2,"",G121*1000000/G128)</f>
        <v/>
      </c>
      <c r="H129" s="167">
        <f>IF(COUNT(H121,H128)&lt;2,"",H121*1000000/H128)</f>
        <v/>
      </c>
      <c r="I129" s="167">
        <f>IF(COUNT(I121,I128)&lt;2,"",I121*1000000/I128)</f>
        <v/>
      </c>
      <c r="J129" s="167">
        <f>IF(COUNT(J121,J128)&lt;2,"",J121*1000000/J128)</f>
        <v/>
      </c>
      <c r="K129" s="167">
        <f>IF(COUNT(K121,K128)&lt;2,"",K121*1000000/K128)</f>
        <v/>
      </c>
      <c r="L129" s="167">
        <f>IF(COUNT(L121,L128)&lt;2,"",L121*1000000/L128)</f>
        <v/>
      </c>
      <c r="M129" s="167">
        <f>IF(COUNT(M121,M128)&lt;2,"",M121*1000000/M128)</f>
        <v/>
      </c>
      <c r="N129" s="167">
        <f>IF(COUNT(N121,N128)&lt;2,"",N121*1000000/N128)</f>
        <v/>
      </c>
      <c r="O129" s="167">
        <f>IF(COUNT(O121,O128)&lt;2,"",O121*1000000/O128)</f>
        <v/>
      </c>
      <c r="P129" s="167">
        <f>IF(COUNT(P121,P128)&lt;2,"",P121*1000000/P128)</f>
        <v/>
      </c>
      <c r="Q129" s="167">
        <f>IF(COUNT(Q121,Q128)&lt;2,"",Q121*1000000/Q128)</f>
        <v/>
      </c>
      <c r="R129" s="167">
        <f>IF(COUNT(R121,R128)&lt;2,"",R121*1000000/R128)</f>
        <v/>
      </c>
      <c r="S129" s="167">
        <f>IF(COUNT(S121,S128)&lt;2,"",S121*1000000/S128)</f>
        <v/>
      </c>
      <c r="T129" s="156" t="inlineStr"/>
      <c r="U129" s="156" t="inlineStr"/>
      <c r="V129" s="156" t="inlineStr">
        <is>
          <t>Cargo, aircraft mix and route length are not separated; no source held gives jet by airport</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V2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Mining, manufacturing and agriculture: diesel beside activity, 2012-2025</t>
        </is>
      </c>
    </row>
    <row r="2">
      <c r="A2" s="1" t="inlineStr">
        <is>
          <t>Diesel is from the department's energy balances (to 2021). The balance attributes fuel to the sector that bought it. Intensities and the indicative rows are formulas.</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Mining</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Mining and quarrying diesel, energy balance</t>
        </is>
      </c>
      <c r="B6" s="153" t="inlineStr">
        <is>
          <t>million L/year</t>
        </is>
      </c>
      <c r="C6" s="153" t="inlineStr">
        <is>
          <t>Source observation</t>
        </is>
      </c>
      <c r="D6" s="154" t="n"/>
      <c r="E6" s="152" t="inlineStr">
        <is>
          <t>Includes unregistered haul trucks and mines' road vehicles; the balance does not separate them.</t>
        </is>
      </c>
      <c r="F6" s="154" t="n">
        <v>1156.467375</v>
      </c>
      <c r="G6" s="154" t="n">
        <v>1197.295375</v>
      </c>
      <c r="H6" s="154" t="n">
        <v>1505.03225</v>
      </c>
      <c r="I6" s="154" t="n">
        <v>1818.3965</v>
      </c>
      <c r="J6" s="154" t="n">
        <v>1044.2530625</v>
      </c>
      <c r="K6" s="154" t="n">
        <v>1300.426</v>
      </c>
      <c r="L6" s="154" t="n">
        <v>1650.123</v>
      </c>
      <c r="M6" s="154" t="n">
        <v>1667.24925</v>
      </c>
      <c r="N6" s="154" t="n">
        <v>1263.40575</v>
      </c>
      <c r="O6" s="154" t="n">
        <v>1293.81342</v>
      </c>
      <c r="P6" s="154" t="n"/>
      <c r="Q6" s="154" t="n"/>
      <c r="R6" s="154" t="n"/>
      <c r="S6" s="154" t="n"/>
      <c r="T6" s="152" t="inlineStr">
        <is>
          <t>2012-2021</t>
        </is>
      </c>
      <c r="U6" s="152" t="inlineStr">
        <is>
          <t>Department energy balances, diesel</t>
        </is>
      </c>
      <c r="V6" s="152" t="inlineStr"/>
    </row>
    <row r="7">
      <c r="A7" s="152" t="inlineStr">
        <is>
          <t>Mining production volume</t>
        </is>
      </c>
      <c r="B7" s="153" t="inlineStr">
        <is>
          <t>index 2019=100</t>
        </is>
      </c>
      <c r="C7" s="153" t="inlineStr">
        <is>
          <t>Source observation</t>
        </is>
      </c>
      <c r="D7" s="154" t="n"/>
      <c r="E7" s="152" t="inlineStr">
        <is>
          <t>Annual mean of twelve monthly indices.</t>
        </is>
      </c>
      <c r="F7" s="154" t="n">
        <v>97.675</v>
      </c>
      <c r="G7" s="154" t="n">
        <v>101.075</v>
      </c>
      <c r="H7" s="154" t="n">
        <v>99.03333333333335</v>
      </c>
      <c r="I7" s="154" t="n">
        <v>102.2416666666667</v>
      </c>
      <c r="J7" s="154" t="n">
        <v>98.91666666666667</v>
      </c>
      <c r="K7" s="154" t="n">
        <v>102.5333333333333</v>
      </c>
      <c r="L7" s="154" t="n">
        <v>100.925</v>
      </c>
      <c r="M7" s="154" t="n">
        <v>99.98333333333333</v>
      </c>
      <c r="N7" s="154" t="n">
        <v>89.10000000000001</v>
      </c>
      <c r="O7" s="154" t="n">
        <v>100.875</v>
      </c>
      <c r="P7" s="154" t="n">
        <v>93.00833333333333</v>
      </c>
      <c r="Q7" s="154" t="n">
        <v>93.01666666666667</v>
      </c>
      <c r="R7" s="154" t="n">
        <v>93.53333333333335</v>
      </c>
      <c r="S7" s="154" t="n">
        <v>93.70833333333333</v>
      </c>
      <c r="T7" s="152" t="inlineStr">
        <is>
          <t>2012-2025</t>
        </is>
      </c>
      <c r="U7" s="152" t="inlineStr">
        <is>
          <t>Statistics South Africa P2041</t>
        </is>
      </c>
      <c r="V7" s="152" t="inlineStr"/>
    </row>
    <row r="8">
      <c r="A8" s="156" t="inlineStr">
        <is>
          <t>Diesel per unit of activity (million L per index point)</t>
        </is>
      </c>
      <c r="B8" s="157" t="inlineStr">
        <is>
          <t>million L per index point</t>
        </is>
      </c>
      <c r="C8" s="157" t="inlineStr">
        <is>
          <t>Reporting formula</t>
        </is>
      </c>
      <c r="D8" s="168" t="n"/>
      <c r="E8" s="156" t="inlineStr">
        <is>
          <t>Diesel divided by the activity measure, each year both exist.</t>
        </is>
      </c>
      <c r="F8" s="168">
        <f>IF(COUNT(F6,F7)&lt;2,"",F6/F7)</f>
        <v/>
      </c>
      <c r="G8" s="168">
        <f>IF(COUNT(G6,G7)&lt;2,"",G6/G7)</f>
        <v/>
      </c>
      <c r="H8" s="168">
        <f>IF(COUNT(H6,H7)&lt;2,"",H6/H7)</f>
        <v/>
      </c>
      <c r="I8" s="168">
        <f>IF(COUNT(I6,I7)&lt;2,"",I6/I7)</f>
        <v/>
      </c>
      <c r="J8" s="168">
        <f>IF(COUNT(J6,J7)&lt;2,"",J6/J7)</f>
        <v/>
      </c>
      <c r="K8" s="168">
        <f>IF(COUNT(K6,K7)&lt;2,"",K6/K7)</f>
        <v/>
      </c>
      <c r="L8" s="168">
        <f>IF(COUNT(L6,L7)&lt;2,"",L6/L7)</f>
        <v/>
      </c>
      <c r="M8" s="168">
        <f>IF(COUNT(M6,M7)&lt;2,"",M6/M7)</f>
        <v/>
      </c>
      <c r="N8" s="168">
        <f>IF(COUNT(N6,N7)&lt;2,"",N6/N7)</f>
        <v/>
      </c>
      <c r="O8" s="168">
        <f>IF(COUNT(O6,O7)&lt;2,"",O6/O7)</f>
        <v/>
      </c>
      <c r="P8" s="168">
        <f>IF(COUNT(P6,P7)&lt;2,"",P6/P7)</f>
        <v/>
      </c>
      <c r="Q8" s="168">
        <f>IF(COUNT(Q6,Q7)&lt;2,"",Q6/Q7)</f>
        <v/>
      </c>
      <c r="R8" s="168">
        <f>IF(COUNT(R6,R7)&lt;2,"",R6/R7)</f>
        <v/>
      </c>
      <c r="S8" s="168">
        <f>IF(COUNT(S6,S7)&lt;2,"",S6/S7)</f>
        <v/>
      </c>
      <c r="T8" s="156" t="inlineStr"/>
      <c r="U8" s="156" t="inlineStr"/>
      <c r="V8" s="156" t="inlineStr"/>
    </row>
    <row r="9">
      <c r="A9" s="162" t="inlineStr">
        <is>
          <t>Indicative diesel at observed activity (mining and quarrying diesel)</t>
        </is>
      </c>
      <c r="B9" s="163" t="inlineStr">
        <is>
          <t>million L/year</t>
        </is>
      </c>
      <c r="C9" s="163" t="inlineStr">
        <is>
          <t>Proposed estimate</t>
        </is>
      </c>
      <c r="D9" s="165">
        <f>AVERAGE(L8:O8)</f>
        <v/>
      </c>
      <c r="E9" s="162" t="inlineStr">
        <is>
          <t>Average 2018-2021 intensity (column D) times the activity measure. An indication for years without a balance; not an observation and not an accepted input.</t>
        </is>
      </c>
      <c r="F9" s="165">
        <f>IF(ISNUMBER(F7),$D$9*F7,"")</f>
        <v/>
      </c>
      <c r="G9" s="165">
        <f>IF(ISNUMBER(G7),$D$9*G7,"")</f>
        <v/>
      </c>
      <c r="H9" s="165">
        <f>IF(ISNUMBER(H7),$D$9*H7,"")</f>
        <v/>
      </c>
      <c r="I9" s="165">
        <f>IF(ISNUMBER(I7),$D$9*I7,"")</f>
        <v/>
      </c>
      <c r="J9" s="165">
        <f>IF(ISNUMBER(J7),$D$9*J7,"")</f>
        <v/>
      </c>
      <c r="K9" s="165">
        <f>IF(ISNUMBER(K7),$D$9*K7,"")</f>
        <v/>
      </c>
      <c r="L9" s="165">
        <f>IF(ISNUMBER(L7),$D$9*L7,"")</f>
        <v/>
      </c>
      <c r="M9" s="165">
        <f>IF(ISNUMBER(M7),$D$9*M7,"")</f>
        <v/>
      </c>
      <c r="N9" s="165">
        <f>IF(ISNUMBER(N7),$D$9*N7,"")</f>
        <v/>
      </c>
      <c r="O9" s="165">
        <f>IF(ISNUMBER(O7),$D$9*O7,"")</f>
        <v/>
      </c>
      <c r="P9" s="165">
        <f>IF(ISNUMBER(P7),$D$9*P7,"")</f>
        <v/>
      </c>
      <c r="Q9" s="165">
        <f>IF(ISNUMBER(Q7),$D$9*Q7,"")</f>
        <v/>
      </c>
      <c r="R9" s="165">
        <f>IF(ISNUMBER(R7),$D$9*R7,"")</f>
        <v/>
      </c>
      <c r="S9" s="165">
        <f>IF(ISNUMBER(S7),$D$9*S7,"")</f>
        <v/>
      </c>
      <c r="T9" s="162" t="inlineStr">
        <is>
          <t>Estimate for discussion</t>
        </is>
      </c>
      <c r="U9" s="162" t="inlineStr"/>
      <c r="V9" s="162" t="inlineStr">
        <is>
          <t>Agree base year, driver and whether intensity is held constant (Nigel)</t>
        </is>
      </c>
    </row>
    <row r="11">
      <c r="A11" s="151" t="inlineStr">
        <is>
          <t>Industry other than mining</t>
        </is>
      </c>
      <c r="B11" s="151" t="n"/>
      <c r="C11" s="151" t="n"/>
      <c r="D11" s="151" t="n"/>
      <c r="E11" s="151" t="n"/>
      <c r="F11" s="151" t="n"/>
      <c r="G11" s="151" t="n"/>
      <c r="H11" s="151" t="n"/>
      <c r="I11" s="151" t="n"/>
      <c r="J11" s="151" t="n"/>
      <c r="K11" s="151" t="n"/>
      <c r="L11" s="151" t="n"/>
      <c r="M11" s="151" t="n"/>
      <c r="N11" s="151" t="n"/>
      <c r="O11" s="151" t="n"/>
      <c r="P11" s="151" t="n"/>
      <c r="Q11" s="151" t="n"/>
      <c r="R11" s="151" t="n"/>
      <c r="S11" s="151" t="n"/>
      <c r="T11" s="151" t="n"/>
      <c r="U11" s="151" t="n"/>
      <c r="V11" s="151" t="n"/>
    </row>
    <row r="12">
      <c r="A12" s="152" t="inlineStr">
        <is>
          <t>Industry diesel, energy balance (parent line)</t>
        </is>
      </c>
      <c r="B12" s="153" t="inlineStr">
        <is>
          <t>million L/year</t>
        </is>
      </c>
      <c r="C12" s="153" t="inlineStr">
        <is>
          <t>Source observation</t>
        </is>
      </c>
      <c r="D12" s="154" t="n"/>
      <c r="E12" s="152" t="inlineStr">
        <is>
          <t>Parent 'industry' line: mining, construction, manufacturing sub-sectors and non-specified.</t>
        </is>
      </c>
      <c r="F12" s="154" t="n">
        <v>1369.137828125</v>
      </c>
      <c r="G12" s="154" t="n">
        <v>1400.165890625</v>
      </c>
      <c r="H12" s="154" t="n">
        <v>1639.750640625</v>
      </c>
      <c r="I12" s="154" t="n">
        <v>1933.1291796875</v>
      </c>
      <c r="J12" s="154" t="n">
        <v>1319.798182863236</v>
      </c>
      <c r="K12" s="154" t="n">
        <v>1543.83980682373</v>
      </c>
      <c r="L12" s="154" t="n">
        <v>1884.421682861328</v>
      </c>
      <c r="M12" s="154" t="n">
        <v>1897.990848388672</v>
      </c>
      <c r="N12" s="154" t="n">
        <v>1446.22069909668</v>
      </c>
      <c r="O12" s="154" t="n">
        <v>1499.13926</v>
      </c>
      <c r="P12" s="154" t="n"/>
      <c r="Q12" s="154" t="n"/>
      <c r="R12" s="154" t="n"/>
      <c r="S12" s="154" t="n"/>
      <c r="T12" s="152" t="inlineStr">
        <is>
          <t>2012-2021</t>
        </is>
      </c>
      <c r="U12" s="152" t="inlineStr">
        <is>
          <t>Department energy balances, diesel</t>
        </is>
      </c>
      <c r="V12" s="152" t="inlineStr"/>
    </row>
    <row r="13">
      <c r="A13" s="152" t="inlineStr">
        <is>
          <t>Construction diesel, energy balance</t>
        </is>
      </c>
      <c r="B13" s="153" t="inlineStr">
        <is>
          <t>million L/year</t>
        </is>
      </c>
      <c r="C13" s="153" t="inlineStr">
        <is>
          <t>Source observation</t>
        </is>
      </c>
      <c r="D13" s="154" t="n"/>
      <c r="E13" s="152" t="inlineStr">
        <is>
          <t>Reported construction line; too small to be all construction plant.</t>
        </is>
      </c>
      <c r="F13" s="154" t="n">
        <v>212.670453125</v>
      </c>
      <c r="G13" s="154" t="n">
        <v>202.870515625</v>
      </c>
      <c r="H13" s="154" t="n">
        <v>134.718390625</v>
      </c>
      <c r="I13" s="154" t="n">
        <v>114.7326796875</v>
      </c>
      <c r="J13" s="154" t="n">
        <v>138.693625</v>
      </c>
      <c r="K13" s="154" t="n">
        <v>124.4697890625</v>
      </c>
      <c r="L13" s="154" t="n">
        <v>74.592859375</v>
      </c>
      <c r="M13" s="154" t="n"/>
      <c r="N13" s="154" t="n">
        <v>42.84740625</v>
      </c>
      <c r="O13" s="154" t="n">
        <v>48.69243</v>
      </c>
      <c r="P13" s="154" t="n"/>
      <c r="Q13" s="154" t="n"/>
      <c r="R13" s="154" t="n"/>
      <c r="S13" s="154" t="n"/>
      <c r="T13" s="152" t="inlineStr">
        <is>
          <t>2012-2021; blank where not reported</t>
        </is>
      </c>
      <c r="U13" s="152" t="inlineStr">
        <is>
          <t>Department energy balances, diesel</t>
        </is>
      </c>
      <c r="V13" s="152" t="inlineStr"/>
    </row>
    <row r="15">
      <c r="A15" s="151" t="inlineStr">
        <is>
          <t>Manufacturing and non-specified industry</t>
        </is>
      </c>
      <c r="B15" s="151" t="n"/>
      <c r="C15" s="151" t="n"/>
      <c r="D15" s="151" t="n"/>
      <c r="E15" s="151" t="n"/>
      <c r="F15" s="151" t="n"/>
      <c r="G15" s="151" t="n"/>
      <c r="H15" s="151" t="n"/>
      <c r="I15" s="151" t="n"/>
      <c r="J15" s="151" t="n"/>
      <c r="K15" s="151" t="n"/>
      <c r="L15" s="151" t="n"/>
      <c r="M15" s="151" t="n"/>
      <c r="N15" s="151" t="n"/>
      <c r="O15" s="151" t="n"/>
      <c r="P15" s="151" t="n"/>
      <c r="Q15" s="151" t="n"/>
      <c r="R15" s="151" t="n"/>
      <c r="S15" s="151" t="n"/>
      <c r="T15" s="151" t="n"/>
      <c r="U15" s="151" t="n"/>
      <c r="V15" s="151" t="n"/>
    </row>
    <row r="16">
      <c r="A16" s="156" t="inlineStr">
        <is>
          <t>Manufacturing and other industry diesel, by difference</t>
        </is>
      </c>
      <c r="B16" s="157" t="inlineStr">
        <is>
          <t>million L/year</t>
        </is>
      </c>
      <c r="C16" s="157" t="inlineStr">
        <is>
          <t>Reporting formula</t>
        </is>
      </c>
      <c r="D16" s="158" t="n"/>
      <c r="E16" s="156" t="inlineStr">
        <is>
          <t>Industry less mining less construction. Small (0.1-0.3 bn litres), so it moves with reclassification in the balance more than with output.</t>
        </is>
      </c>
      <c r="F16" s="158">
        <f>IF(COUNT(F12,F6)&lt;2,"",F12-F6-IF(ISNUMBER(F13),F13,0))</f>
        <v/>
      </c>
      <c r="G16" s="158">
        <f>IF(COUNT(G12,G6)&lt;2,"",G12-G6-IF(ISNUMBER(G13),G13,0))</f>
        <v/>
      </c>
      <c r="H16" s="158">
        <f>IF(COUNT(H12,H6)&lt;2,"",H12-H6-IF(ISNUMBER(H13),H13,0))</f>
        <v/>
      </c>
      <c r="I16" s="158">
        <f>IF(COUNT(I12,I6)&lt;2,"",I12-I6-IF(ISNUMBER(I13),I13,0))</f>
        <v/>
      </c>
      <c r="J16" s="158">
        <f>IF(COUNT(J12,J6)&lt;2,"",J12-J6-IF(ISNUMBER(J13),J13,0))</f>
        <v/>
      </c>
      <c r="K16" s="158">
        <f>IF(COUNT(K12,K6)&lt;2,"",K12-K6-IF(ISNUMBER(K13),K13,0))</f>
        <v/>
      </c>
      <c r="L16" s="158">
        <f>IF(COUNT(L12,L6)&lt;2,"",L12-L6-IF(ISNUMBER(L13),L13,0))</f>
        <v/>
      </c>
      <c r="M16" s="158">
        <f>IF(COUNT(M12,M6)&lt;2,"",M12-M6-IF(ISNUMBER(M13),M13,0))</f>
        <v/>
      </c>
      <c r="N16" s="158">
        <f>IF(COUNT(N12,N6)&lt;2,"",N12-N6-IF(ISNUMBER(N13),N13,0))</f>
        <v/>
      </c>
      <c r="O16" s="158">
        <f>IF(COUNT(O12,O6)&lt;2,"",O12-O6-IF(ISNUMBER(O13),O13,0))</f>
        <v/>
      </c>
      <c r="P16" s="158">
        <f>IF(COUNT(P12,P6)&lt;2,"",P12-P6-IF(ISNUMBER(P13),P13,0))</f>
        <v/>
      </c>
      <c r="Q16" s="158">
        <f>IF(COUNT(Q12,Q6)&lt;2,"",Q12-Q6-IF(ISNUMBER(Q13),Q13,0))</f>
        <v/>
      </c>
      <c r="R16" s="158">
        <f>IF(COUNT(R12,R6)&lt;2,"",R12-R6-IF(ISNUMBER(R13),R13,0))</f>
        <v/>
      </c>
      <c r="S16" s="158">
        <f>IF(COUNT(S12,S6)&lt;2,"",S12-S6-IF(ISNUMBER(S13),S13,0))</f>
        <v/>
      </c>
      <c r="T16" s="156" t="inlineStr"/>
      <c r="U16" s="156" t="inlineStr"/>
      <c r="V16" s="156" t="inlineStr"/>
    </row>
    <row r="17">
      <c r="A17" s="152" t="inlineStr">
        <is>
          <t>Manufacturing production volume</t>
        </is>
      </c>
      <c r="B17" s="153" t="inlineStr">
        <is>
          <t>index 2019=100</t>
        </is>
      </c>
      <c r="C17" s="153" t="inlineStr">
        <is>
          <t>Source observation</t>
        </is>
      </c>
      <c r="D17" s="154" t="n"/>
      <c r="E17" s="152" t="inlineStr">
        <is>
          <t>Annual mean of twelve monthly indices.</t>
        </is>
      </c>
      <c r="F17" s="154" t="n">
        <v>98.71666666666665</v>
      </c>
      <c r="G17" s="154" t="n">
        <v>100.0083333333333</v>
      </c>
      <c r="H17" s="154" t="n">
        <v>100.1166666666667</v>
      </c>
      <c r="I17" s="154" t="n">
        <v>100.1</v>
      </c>
      <c r="J17" s="154" t="n">
        <v>100.8083333333333</v>
      </c>
      <c r="K17" s="154" t="n">
        <v>100.1333333333333</v>
      </c>
      <c r="L17" s="154" t="n">
        <v>101.1</v>
      </c>
      <c r="M17" s="154" t="n">
        <v>99.98333333333333</v>
      </c>
      <c r="N17" s="154" t="n">
        <v>87.66666666666667</v>
      </c>
      <c r="O17" s="154" t="n">
        <v>93.11666666666667</v>
      </c>
      <c r="P17" s="154" t="n">
        <v>93.14166666666667</v>
      </c>
      <c r="Q17" s="154" t="n">
        <v>93.71666666666665</v>
      </c>
      <c r="R17" s="154" t="n">
        <v>93.33333333333333</v>
      </c>
      <c r="S17" s="154" t="n">
        <v>92.14166666666667</v>
      </c>
      <c r="T17" s="152" t="inlineStr">
        <is>
          <t>2012-2025</t>
        </is>
      </c>
      <c r="U17" s="152" t="inlineStr">
        <is>
          <t>Statistics South Africa P3041.2</t>
        </is>
      </c>
      <c r="V17" s="152" t="inlineStr"/>
    </row>
    <row r="18">
      <c r="A18" s="156" t="inlineStr">
        <is>
          <t>Diesel per unit of activity (million L per index point)</t>
        </is>
      </c>
      <c r="B18" s="157" t="inlineStr">
        <is>
          <t>million L per index point</t>
        </is>
      </c>
      <c r="C18" s="157" t="inlineStr">
        <is>
          <t>Reporting formula</t>
        </is>
      </c>
      <c r="D18" s="168" t="n"/>
      <c r="E18" s="156" t="inlineStr">
        <is>
          <t>Diesel divided by the activity measure, each year both exist.</t>
        </is>
      </c>
      <c r="F18" s="168">
        <f>IF(COUNT(F16,F17)&lt;2,"",F16/F17)</f>
        <v/>
      </c>
      <c r="G18" s="168">
        <f>IF(COUNT(G16,G17)&lt;2,"",G16/G17)</f>
        <v/>
      </c>
      <c r="H18" s="168">
        <f>IF(COUNT(H16,H17)&lt;2,"",H16/H17)</f>
        <v/>
      </c>
      <c r="I18" s="168">
        <f>IF(COUNT(I16,I17)&lt;2,"",I16/I17)</f>
        <v/>
      </c>
      <c r="J18" s="168">
        <f>IF(COUNT(J16,J17)&lt;2,"",J16/J17)</f>
        <v/>
      </c>
      <c r="K18" s="168">
        <f>IF(COUNT(K16,K17)&lt;2,"",K16/K17)</f>
        <v/>
      </c>
      <c r="L18" s="168">
        <f>IF(COUNT(L16,L17)&lt;2,"",L16/L17)</f>
        <v/>
      </c>
      <c r="M18" s="168">
        <f>IF(COUNT(M16,M17)&lt;2,"",M16/M17)</f>
        <v/>
      </c>
      <c r="N18" s="168">
        <f>IF(COUNT(N16,N17)&lt;2,"",N16/N17)</f>
        <v/>
      </c>
      <c r="O18" s="168">
        <f>IF(COUNT(O16,O17)&lt;2,"",O16/O17)</f>
        <v/>
      </c>
      <c r="P18" s="168">
        <f>IF(COUNT(P16,P17)&lt;2,"",P16/P17)</f>
        <v/>
      </c>
      <c r="Q18" s="168">
        <f>IF(COUNT(Q16,Q17)&lt;2,"",Q16/Q17)</f>
        <v/>
      </c>
      <c r="R18" s="168">
        <f>IF(COUNT(R16,R17)&lt;2,"",R16/R17)</f>
        <v/>
      </c>
      <c r="S18" s="168">
        <f>IF(COUNT(S16,S17)&lt;2,"",S16/S17)</f>
        <v/>
      </c>
      <c r="T18" s="156" t="inlineStr"/>
      <c r="U18" s="156" t="inlineStr"/>
      <c r="V18" s="156" t="inlineStr"/>
    </row>
    <row r="19">
      <c r="A19" s="162" t="inlineStr">
        <is>
          <t>Indicative diesel at observed activity (manufacturing and other industry diesel)</t>
        </is>
      </c>
      <c r="B19" s="163" t="inlineStr">
        <is>
          <t>million L/year</t>
        </is>
      </c>
      <c r="C19" s="163" t="inlineStr">
        <is>
          <t>Proposed estimate</t>
        </is>
      </c>
      <c r="D19" s="165">
        <f>AVERAGE(L18:O18)</f>
        <v/>
      </c>
      <c r="E19" s="162" t="inlineStr">
        <is>
          <t>Average 2018-2021 intensity (column D) times the activity measure. An indication for years without a balance; not an observation and not an accepted input.</t>
        </is>
      </c>
      <c r="F19" s="165">
        <f>IF(ISNUMBER(F17),$D$19*F17,"")</f>
        <v/>
      </c>
      <c r="G19" s="165">
        <f>IF(ISNUMBER(G17),$D$19*G17,"")</f>
        <v/>
      </c>
      <c r="H19" s="165">
        <f>IF(ISNUMBER(H17),$D$19*H17,"")</f>
        <v/>
      </c>
      <c r="I19" s="165">
        <f>IF(ISNUMBER(I17),$D$19*I17,"")</f>
        <v/>
      </c>
      <c r="J19" s="165">
        <f>IF(ISNUMBER(J17),$D$19*J17,"")</f>
        <v/>
      </c>
      <c r="K19" s="165">
        <f>IF(ISNUMBER(K17),$D$19*K17,"")</f>
        <v/>
      </c>
      <c r="L19" s="165">
        <f>IF(ISNUMBER(L17),$D$19*L17,"")</f>
        <v/>
      </c>
      <c r="M19" s="165">
        <f>IF(ISNUMBER(M17),$D$19*M17,"")</f>
        <v/>
      </c>
      <c r="N19" s="165">
        <f>IF(ISNUMBER(N17),$D$19*N17,"")</f>
        <v/>
      </c>
      <c r="O19" s="165">
        <f>IF(ISNUMBER(O17),$D$19*O17,"")</f>
        <v/>
      </c>
      <c r="P19" s="165">
        <f>IF(ISNUMBER(P17),$D$19*P17,"")</f>
        <v/>
      </c>
      <c r="Q19" s="165">
        <f>IF(ISNUMBER(Q17),$D$19*Q17,"")</f>
        <v/>
      </c>
      <c r="R19" s="165">
        <f>IF(ISNUMBER(R17),$D$19*R17,"")</f>
        <v/>
      </c>
      <c r="S19" s="165">
        <f>IF(ISNUMBER(S17),$D$19*S17,"")</f>
        <v/>
      </c>
      <c r="T19" s="162" t="inlineStr">
        <is>
          <t>Estimate for discussion</t>
        </is>
      </c>
      <c r="U19" s="162" t="inlineStr"/>
      <c r="V19" s="162" t="inlineStr">
        <is>
          <t>Agree base year, driver and whether intensity is held constant (Nigel)</t>
        </is>
      </c>
    </row>
    <row r="21">
      <c r="A21" s="151" t="inlineStr">
        <is>
          <t>Agriculture</t>
        </is>
      </c>
      <c r="B21" s="151" t="n"/>
      <c r="C21" s="151" t="n"/>
      <c r="D21" s="151" t="n"/>
      <c r="E21" s="151" t="n"/>
      <c r="F21" s="151" t="n"/>
      <c r="G21" s="151" t="n"/>
      <c r="H21" s="151" t="n"/>
      <c r="I21" s="151" t="n"/>
      <c r="J21" s="151" t="n"/>
      <c r="K21" s="151" t="n"/>
      <c r="L21" s="151" t="n"/>
      <c r="M21" s="151" t="n"/>
      <c r="N21" s="151" t="n"/>
      <c r="O21" s="151" t="n"/>
      <c r="P21" s="151" t="n"/>
      <c r="Q21" s="151" t="n"/>
      <c r="R21" s="151" t="n"/>
      <c r="S21" s="151" t="n"/>
      <c r="T21" s="151" t="n"/>
      <c r="U21" s="151" t="n"/>
      <c r="V21" s="151" t="n"/>
    </row>
    <row r="22">
      <c r="A22" s="152" t="inlineStr">
        <is>
          <t>Agriculture and forestry diesel, energy balance</t>
        </is>
      </c>
      <c r="B22" s="153" t="inlineStr">
        <is>
          <t>million L/year</t>
        </is>
      </c>
      <c r="C22" s="153" t="inlineStr">
        <is>
          <t>Source observation</t>
        </is>
      </c>
      <c r="D22" s="154" t="n"/>
      <c r="E22" s="152" t="inlineStr">
        <is>
          <t>2016 and 2017 are about double the other years in the balance and look like reclassification.</t>
        </is>
      </c>
      <c r="F22" s="154" t="n">
        <v>942.647375</v>
      </c>
      <c r="G22" s="154" t="n">
        <v>1084.4325</v>
      </c>
      <c r="H22" s="154" t="n">
        <v>1092.49875</v>
      </c>
      <c r="I22" s="154" t="n">
        <v>1073.49425</v>
      </c>
      <c r="J22" s="154" t="n">
        <v>1887.278875</v>
      </c>
      <c r="K22" s="154" t="n">
        <v>1876.914</v>
      </c>
      <c r="L22" s="154" t="n">
        <v>899.8834375</v>
      </c>
      <c r="M22" s="154" t="n">
        <v>921.8486875</v>
      </c>
      <c r="N22" s="154" t="n">
        <v>1048.9635</v>
      </c>
      <c r="O22" s="154" t="n">
        <v>1058.39895</v>
      </c>
      <c r="P22" s="154" t="n"/>
      <c r="Q22" s="154" t="n"/>
      <c r="R22" s="154" t="n"/>
      <c r="S22" s="154" t="n"/>
      <c r="T22" s="152" t="inlineStr">
        <is>
          <t>2012-2021</t>
        </is>
      </c>
      <c r="U22" s="152" t="inlineStr">
        <is>
          <t>Department energy balances, diesel</t>
        </is>
      </c>
      <c r="V22" s="152" t="inlineStr"/>
    </row>
    <row r="23">
      <c r="A23" s="152" t="inlineStr">
        <is>
          <t>Agriculture, forestry and fishing real value added</t>
        </is>
      </c>
      <c r="B23" s="153" t="inlineStr">
        <is>
          <t>bn 2015 rand</t>
        </is>
      </c>
      <c r="C23" s="153" t="inlineStr">
        <is>
          <t>Source observation</t>
        </is>
      </c>
      <c r="D23" s="154" t="n"/>
      <c r="E23" s="152" t="inlineStr">
        <is>
          <t>Annual real value added.</t>
        </is>
      </c>
      <c r="F23" s="154" t="n">
        <v>88.41274191513145</v>
      </c>
      <c r="G23" s="154" t="n">
        <v>92.3735437952574</v>
      </c>
      <c r="H23" s="154" t="n">
        <v>102.4876916980824</v>
      </c>
      <c r="I23" s="154" t="n">
        <v>98.75956925138433</v>
      </c>
      <c r="J23" s="154" t="n">
        <v>93.67210531089499</v>
      </c>
      <c r="K23" s="154" t="n">
        <v>111.5450795375386</v>
      </c>
      <c r="L23" s="154" t="n">
        <v>112.0949257517988</v>
      </c>
      <c r="M23" s="154" t="n">
        <v>104.7847576991143</v>
      </c>
      <c r="N23" s="154" t="n">
        <v>122.8700990753462</v>
      </c>
      <c r="O23" s="154" t="n">
        <v>128.9830895613611</v>
      </c>
      <c r="P23" s="154" t="n">
        <v>131.7706421450265</v>
      </c>
      <c r="Q23" s="154" t="n">
        <v>125.7466421450265</v>
      </c>
      <c r="R23" s="154" t="n">
        <v>114.7916421450265</v>
      </c>
      <c r="S23" s="154" t="n">
        <v>134.7967469817132</v>
      </c>
      <c r="T23" s="152" t="inlineStr">
        <is>
          <t>2012-2025</t>
        </is>
      </c>
      <c r="U23" s="152" t="inlineStr">
        <is>
          <t>Statistics South Africa P0441</t>
        </is>
      </c>
      <c r="V23" s="152" t="inlineStr"/>
    </row>
    <row r="24">
      <c r="A24" s="156" t="inlineStr">
        <is>
          <t>Diesel per unit of activity (million L per bn rand)</t>
        </is>
      </c>
      <c r="B24" s="157" t="inlineStr">
        <is>
          <t>million L per bn rand</t>
        </is>
      </c>
      <c r="C24" s="157" t="inlineStr">
        <is>
          <t>Reporting formula</t>
        </is>
      </c>
      <c r="D24" s="168" t="n"/>
      <c r="E24" s="156" t="inlineStr">
        <is>
          <t>Diesel divided by the activity measure, each year both exist.</t>
        </is>
      </c>
      <c r="F24" s="168">
        <f>IF(COUNT(F22,F23)&lt;2,"",F22/F23)</f>
        <v/>
      </c>
      <c r="G24" s="168">
        <f>IF(COUNT(G22,G23)&lt;2,"",G22/G23)</f>
        <v/>
      </c>
      <c r="H24" s="168">
        <f>IF(COUNT(H22,H23)&lt;2,"",H22/H23)</f>
        <v/>
      </c>
      <c r="I24" s="168">
        <f>IF(COUNT(I22,I23)&lt;2,"",I22/I23)</f>
        <v/>
      </c>
      <c r="J24" s="168">
        <f>IF(COUNT(J22,J23)&lt;2,"",J22/J23)</f>
        <v/>
      </c>
      <c r="K24" s="168">
        <f>IF(COUNT(K22,K23)&lt;2,"",K22/K23)</f>
        <v/>
      </c>
      <c r="L24" s="168">
        <f>IF(COUNT(L22,L23)&lt;2,"",L22/L23)</f>
        <v/>
      </c>
      <c r="M24" s="168">
        <f>IF(COUNT(M22,M23)&lt;2,"",M22/M23)</f>
        <v/>
      </c>
      <c r="N24" s="168">
        <f>IF(COUNT(N22,N23)&lt;2,"",N22/N23)</f>
        <v/>
      </c>
      <c r="O24" s="168">
        <f>IF(COUNT(O22,O23)&lt;2,"",O22/O23)</f>
        <v/>
      </c>
      <c r="P24" s="168">
        <f>IF(COUNT(P22,P23)&lt;2,"",P22/P23)</f>
        <v/>
      </c>
      <c r="Q24" s="168">
        <f>IF(COUNT(Q22,Q23)&lt;2,"",Q22/Q23)</f>
        <v/>
      </c>
      <c r="R24" s="168">
        <f>IF(COUNT(R22,R23)&lt;2,"",R22/R23)</f>
        <v/>
      </c>
      <c r="S24" s="168">
        <f>IF(COUNT(S22,S23)&lt;2,"",S22/S23)</f>
        <v/>
      </c>
      <c r="T24" s="156" t="inlineStr"/>
      <c r="U24" s="156" t="inlineStr"/>
      <c r="V24" s="156" t="inlineStr"/>
    </row>
    <row r="25">
      <c r="A25" s="162" t="inlineStr">
        <is>
          <t>Indicative diesel at observed activity (agriculture and forestry diesel)</t>
        </is>
      </c>
      <c r="B25" s="163" t="inlineStr">
        <is>
          <t>million L/year</t>
        </is>
      </c>
      <c r="C25" s="163" t="inlineStr">
        <is>
          <t>Proposed estimate</t>
        </is>
      </c>
      <c r="D25" s="165">
        <f>AVERAGE(L24:O24)</f>
        <v/>
      </c>
      <c r="E25" s="162" t="inlineStr">
        <is>
          <t>Average 2018-2021 intensity (column D) times the activity measure. An indication for years without a balance; not an observation and not an accepted input.</t>
        </is>
      </c>
      <c r="F25" s="165">
        <f>IF(ISNUMBER(F23),$D$25*F23,"")</f>
        <v/>
      </c>
      <c r="G25" s="165">
        <f>IF(ISNUMBER(G23),$D$25*G23,"")</f>
        <v/>
      </c>
      <c r="H25" s="165">
        <f>IF(ISNUMBER(H23),$D$25*H23,"")</f>
        <v/>
      </c>
      <c r="I25" s="165">
        <f>IF(ISNUMBER(I23),$D$25*I23,"")</f>
        <v/>
      </c>
      <c r="J25" s="165">
        <f>IF(ISNUMBER(J23),$D$25*J23,"")</f>
        <v/>
      </c>
      <c r="K25" s="165">
        <f>IF(ISNUMBER(K23),$D$25*K23,"")</f>
        <v/>
      </c>
      <c r="L25" s="165">
        <f>IF(ISNUMBER(L23),$D$25*L23,"")</f>
        <v/>
      </c>
      <c r="M25" s="165">
        <f>IF(ISNUMBER(M23),$D$25*M23,"")</f>
        <v/>
      </c>
      <c r="N25" s="165">
        <f>IF(ISNUMBER(N23),$D$25*N23,"")</f>
        <v/>
      </c>
      <c r="O25" s="165">
        <f>IF(ISNUMBER(O23),$D$25*O23,"")</f>
        <v/>
      </c>
      <c r="P25" s="165">
        <f>IF(ISNUMBER(P23),$D$25*P23,"")</f>
        <v/>
      </c>
      <c r="Q25" s="165">
        <f>IF(ISNUMBER(Q23),$D$25*Q23,"")</f>
        <v/>
      </c>
      <c r="R25" s="165">
        <f>IF(ISNUMBER(R23),$D$25*R23,"")</f>
        <v/>
      </c>
      <c r="S25" s="165">
        <f>IF(ISNUMBER(S23),$D$25*S23,"")</f>
        <v/>
      </c>
      <c r="T25" s="162" t="inlineStr">
        <is>
          <t>Estimate for discussion</t>
        </is>
      </c>
      <c r="U25" s="162" t="inlineStr"/>
      <c r="V25" s="162" t="inlineStr">
        <is>
          <t>Agree base year, driver and whether intensity is held constant (Nigel)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V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Diesel by use: the six branches drawn at the 7 October check-in</t>
        </is>
      </c>
    </row>
    <row r="2">
      <c r="A2" s="1" t="inlineStr">
        <is>
          <t>Mining, manufacturing, agriculture and power are taken from sources; road diesel is what remains of recorded sales and is split with the shares of a published vehicle study (approach A). Million litres a year.</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Sales and the uses taken from sources</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6" t="inlineStr">
        <is>
          <t>Diesel sales used</t>
        </is>
      </c>
      <c r="B6" s="157" t="inlineStr">
        <is>
          <t>million L/year</t>
        </is>
      </c>
      <c r="C6" s="157" t="inlineStr">
        <is>
          <t>Reporting formula</t>
        </is>
      </c>
      <c r="D6" s="158" t="n"/>
      <c r="E6" s="156" t="inlineStr">
        <is>
          <t>From History: department national file, to 2023.</t>
        </is>
      </c>
      <c r="F6" s="158">
        <f>IF(ISNUMBER(History!F68),History!F68,"")</f>
        <v/>
      </c>
      <c r="G6" s="158">
        <f>IF(ISNUMBER(History!G68),History!G68,"")</f>
        <v/>
      </c>
      <c r="H6" s="158">
        <f>IF(ISNUMBER(History!H68),History!H68,"")</f>
        <v/>
      </c>
      <c r="I6" s="158">
        <f>IF(ISNUMBER(History!I68),History!I68,"")</f>
        <v/>
      </c>
      <c r="J6" s="158">
        <f>IF(ISNUMBER(History!J68),History!J68,"")</f>
        <v/>
      </c>
      <c r="K6" s="158">
        <f>IF(ISNUMBER(History!K68),History!K68,"")</f>
        <v/>
      </c>
      <c r="L6" s="158">
        <f>IF(ISNUMBER(History!L68),History!L68,"")</f>
        <v/>
      </c>
      <c r="M6" s="158">
        <f>IF(ISNUMBER(History!M68),History!M68,"")</f>
        <v/>
      </c>
      <c r="N6" s="158">
        <f>IF(ISNUMBER(History!N68),History!N68,"")</f>
        <v/>
      </c>
      <c r="O6" s="158">
        <f>IF(ISNUMBER(History!O68),History!O68,"")</f>
        <v/>
      </c>
      <c r="P6" s="158">
        <f>IF(ISNUMBER(History!P68),History!P68,"")</f>
        <v/>
      </c>
      <c r="Q6" s="158">
        <f>IF(ISNUMBER(History!Q68),History!Q68,"")</f>
        <v/>
      </c>
      <c r="R6" s="158">
        <f>IF(ISNUMBER(History!R68),History!R68,"")</f>
        <v/>
      </c>
      <c r="S6" s="158">
        <f>IF(ISNUMBER(History!S68),History!S68,"")</f>
        <v/>
      </c>
      <c r="T6" s="156" t="inlineStr">
        <is>
          <t>2012-2023</t>
        </is>
      </c>
      <c r="U6" s="156" t="inlineStr"/>
      <c r="V6" s="156" t="inlineStr"/>
    </row>
    <row r="7">
      <c r="A7" s="156" t="inlineStr">
        <is>
          <t>Mining</t>
        </is>
      </c>
      <c r="B7" s="157" t="inlineStr">
        <is>
          <t>million L/year</t>
        </is>
      </c>
      <c r="C7" s="157" t="inlineStr">
        <is>
          <t>Observation, then estimate</t>
        </is>
      </c>
      <c r="D7" s="158" t="n"/>
      <c r="E7" s="156" t="inlineStr">
        <is>
          <t>Energy balance to 2021; from 2022 the indicative figure on Sector history. Driver: mining production index.</t>
        </is>
      </c>
      <c r="F7" s="158">
        <f>IF(ISNUMBER('Sector history'!F6),'Sector history'!F6,IF(ISNUMBER('Sector history'!F9),'Sector history'!F9,""))</f>
        <v/>
      </c>
      <c r="G7" s="158">
        <f>IF(ISNUMBER('Sector history'!G6),'Sector history'!G6,IF(ISNUMBER('Sector history'!G9),'Sector history'!G9,""))</f>
        <v/>
      </c>
      <c r="H7" s="158">
        <f>IF(ISNUMBER('Sector history'!H6),'Sector history'!H6,IF(ISNUMBER('Sector history'!H9),'Sector history'!H9,""))</f>
        <v/>
      </c>
      <c r="I7" s="158">
        <f>IF(ISNUMBER('Sector history'!I6),'Sector history'!I6,IF(ISNUMBER('Sector history'!I9),'Sector history'!I9,""))</f>
        <v/>
      </c>
      <c r="J7" s="158">
        <f>IF(ISNUMBER('Sector history'!J6),'Sector history'!J6,IF(ISNUMBER('Sector history'!J9),'Sector history'!J9,""))</f>
        <v/>
      </c>
      <c r="K7" s="158">
        <f>IF(ISNUMBER('Sector history'!K6),'Sector history'!K6,IF(ISNUMBER('Sector history'!K9),'Sector history'!K9,""))</f>
        <v/>
      </c>
      <c r="L7" s="158">
        <f>IF(ISNUMBER('Sector history'!L6),'Sector history'!L6,IF(ISNUMBER('Sector history'!L9),'Sector history'!L9,""))</f>
        <v/>
      </c>
      <c r="M7" s="158">
        <f>IF(ISNUMBER('Sector history'!M6),'Sector history'!M6,IF(ISNUMBER('Sector history'!M9),'Sector history'!M9,""))</f>
        <v/>
      </c>
      <c r="N7" s="158">
        <f>IF(ISNUMBER('Sector history'!N6),'Sector history'!N6,IF(ISNUMBER('Sector history'!N9),'Sector history'!N9,""))</f>
        <v/>
      </c>
      <c r="O7" s="158">
        <f>IF(ISNUMBER('Sector history'!O6),'Sector history'!O6,IF(ISNUMBER('Sector history'!O9),'Sector history'!O9,""))</f>
        <v/>
      </c>
      <c r="P7" s="158">
        <f>IF(ISNUMBER('Sector history'!P6),'Sector history'!P6,IF(ISNUMBER('Sector history'!P9),'Sector history'!P9,""))</f>
        <v/>
      </c>
      <c r="Q7" s="158">
        <f>IF(ISNUMBER('Sector history'!Q6),'Sector history'!Q6,IF(ISNUMBER('Sector history'!Q9),'Sector history'!Q9,""))</f>
        <v/>
      </c>
      <c r="R7" s="158">
        <f>IF(ISNUMBER('Sector history'!R6),'Sector history'!R6,IF(ISNUMBER('Sector history'!R9),'Sector history'!R9,""))</f>
        <v/>
      </c>
      <c r="S7" s="158">
        <f>IF(ISNUMBER('Sector history'!S6),'Sector history'!S6,IF(ISNUMBER('Sector history'!S9),'Sector history'!S9,""))</f>
        <v/>
      </c>
      <c r="T7" s="156" t="inlineStr">
        <is>
          <t>Observed to 2021; estimated after</t>
        </is>
      </c>
      <c r="U7" s="156" t="inlineStr">
        <is>
          <t>Department energy balances; Stats SA P2041</t>
        </is>
      </c>
      <c r="V7" s="156" t="inlineStr"/>
    </row>
    <row r="8">
      <c r="A8" s="156" t="inlineStr">
        <is>
          <t>Manufacturing and other industry</t>
        </is>
      </c>
      <c r="B8" s="157" t="inlineStr">
        <is>
          <t>million L/year</t>
        </is>
      </c>
      <c r="C8" s="157" t="inlineStr">
        <is>
          <t>Observation, then estimate</t>
        </is>
      </c>
      <c r="D8" s="158" t="n"/>
      <c r="E8" s="156" t="inlineStr">
        <is>
          <t>Energy balance industry less mining and construction to 2021; indicative after. Driver: manufacturing production index.</t>
        </is>
      </c>
      <c r="F8" s="158">
        <f>IF(ISNUMBER('Sector history'!F16),'Sector history'!F16,IF(ISNUMBER('Sector history'!F19),'Sector history'!F19,""))</f>
        <v/>
      </c>
      <c r="G8" s="158">
        <f>IF(ISNUMBER('Sector history'!G16),'Sector history'!G16,IF(ISNUMBER('Sector history'!G19),'Sector history'!G19,""))</f>
        <v/>
      </c>
      <c r="H8" s="158">
        <f>IF(ISNUMBER('Sector history'!H16),'Sector history'!H16,IF(ISNUMBER('Sector history'!H19),'Sector history'!H19,""))</f>
        <v/>
      </c>
      <c r="I8" s="158">
        <f>IF(ISNUMBER('Sector history'!I16),'Sector history'!I16,IF(ISNUMBER('Sector history'!I19),'Sector history'!I19,""))</f>
        <v/>
      </c>
      <c r="J8" s="158">
        <f>IF(ISNUMBER('Sector history'!J16),'Sector history'!J16,IF(ISNUMBER('Sector history'!J19),'Sector history'!J19,""))</f>
        <v/>
      </c>
      <c r="K8" s="158">
        <f>IF(ISNUMBER('Sector history'!K16),'Sector history'!K16,IF(ISNUMBER('Sector history'!K19),'Sector history'!K19,""))</f>
        <v/>
      </c>
      <c r="L8" s="158">
        <f>IF(ISNUMBER('Sector history'!L16),'Sector history'!L16,IF(ISNUMBER('Sector history'!L19),'Sector history'!L19,""))</f>
        <v/>
      </c>
      <c r="M8" s="158">
        <f>IF(ISNUMBER('Sector history'!M16),'Sector history'!M16,IF(ISNUMBER('Sector history'!M19),'Sector history'!M19,""))</f>
        <v/>
      </c>
      <c r="N8" s="158">
        <f>IF(ISNUMBER('Sector history'!N16),'Sector history'!N16,IF(ISNUMBER('Sector history'!N19),'Sector history'!N19,""))</f>
        <v/>
      </c>
      <c r="O8" s="158">
        <f>IF(ISNUMBER('Sector history'!O16),'Sector history'!O16,IF(ISNUMBER('Sector history'!O19),'Sector history'!O19,""))</f>
        <v/>
      </c>
      <c r="P8" s="158">
        <f>IF(ISNUMBER('Sector history'!P16),'Sector history'!P16,IF(ISNUMBER('Sector history'!P19),'Sector history'!P19,""))</f>
        <v/>
      </c>
      <c r="Q8" s="158">
        <f>IF(ISNUMBER('Sector history'!Q16),'Sector history'!Q16,IF(ISNUMBER('Sector history'!Q19),'Sector history'!Q19,""))</f>
        <v/>
      </c>
      <c r="R8" s="158">
        <f>IF(ISNUMBER('Sector history'!R16),'Sector history'!R16,IF(ISNUMBER('Sector history'!R19),'Sector history'!R19,""))</f>
        <v/>
      </c>
      <c r="S8" s="158">
        <f>IF(ISNUMBER('Sector history'!S16),'Sector history'!S16,IF(ISNUMBER('Sector history'!S19),'Sector history'!S19,""))</f>
        <v/>
      </c>
      <c r="T8" s="156" t="inlineStr">
        <is>
          <t>Zero before 2016 in the balance</t>
        </is>
      </c>
      <c r="U8" s="156" t="inlineStr">
        <is>
          <t>Department energy balances; Stats SA P3041.2</t>
        </is>
      </c>
      <c r="V8" s="156" t="inlineStr"/>
    </row>
    <row r="9">
      <c r="A9" s="156" t="inlineStr">
        <is>
          <t>Agriculture</t>
        </is>
      </c>
      <c r="B9" s="157" t="inlineStr">
        <is>
          <t>million L/year</t>
        </is>
      </c>
      <c r="C9" s="157" t="inlineStr">
        <is>
          <t>Observation, then estimate</t>
        </is>
      </c>
      <c r="D9" s="158" t="n"/>
      <c r="E9" s="156" t="inlineStr">
        <is>
          <t>Energy balance to 2021; indicative after. Driver: agricultural real value added.</t>
        </is>
      </c>
      <c r="F9" s="158">
        <f>IF(ISNUMBER('Sector history'!F22),'Sector history'!F22,IF(ISNUMBER('Sector history'!F25),'Sector history'!F25,""))</f>
        <v/>
      </c>
      <c r="G9" s="158">
        <f>IF(ISNUMBER('Sector history'!G22),'Sector history'!G22,IF(ISNUMBER('Sector history'!G25),'Sector history'!G25,""))</f>
        <v/>
      </c>
      <c r="H9" s="158">
        <f>IF(ISNUMBER('Sector history'!H22),'Sector history'!H22,IF(ISNUMBER('Sector history'!H25),'Sector history'!H25,""))</f>
        <v/>
      </c>
      <c r="I9" s="158">
        <f>IF(ISNUMBER('Sector history'!I22),'Sector history'!I22,IF(ISNUMBER('Sector history'!I25),'Sector history'!I25,""))</f>
        <v/>
      </c>
      <c r="J9" s="158">
        <f>IF(ISNUMBER('Sector history'!J22),'Sector history'!J22,IF(ISNUMBER('Sector history'!J25),'Sector history'!J25,""))</f>
        <v/>
      </c>
      <c r="K9" s="158">
        <f>IF(ISNUMBER('Sector history'!K22),'Sector history'!K22,IF(ISNUMBER('Sector history'!K25),'Sector history'!K25,""))</f>
        <v/>
      </c>
      <c r="L9" s="158">
        <f>IF(ISNUMBER('Sector history'!L22),'Sector history'!L22,IF(ISNUMBER('Sector history'!L25),'Sector history'!L25,""))</f>
        <v/>
      </c>
      <c r="M9" s="158">
        <f>IF(ISNUMBER('Sector history'!M22),'Sector history'!M22,IF(ISNUMBER('Sector history'!M25),'Sector history'!M25,""))</f>
        <v/>
      </c>
      <c r="N9" s="158">
        <f>IF(ISNUMBER('Sector history'!N22),'Sector history'!N22,IF(ISNUMBER('Sector history'!N25),'Sector history'!N25,""))</f>
        <v/>
      </c>
      <c r="O9" s="158">
        <f>IF(ISNUMBER('Sector history'!O22),'Sector history'!O22,IF(ISNUMBER('Sector history'!O25),'Sector history'!O25,""))</f>
        <v/>
      </c>
      <c r="P9" s="158">
        <f>IF(ISNUMBER('Sector history'!P22),'Sector history'!P22,IF(ISNUMBER('Sector history'!P25),'Sector history'!P25,""))</f>
        <v/>
      </c>
      <c r="Q9" s="158">
        <f>IF(ISNUMBER('Sector history'!Q22),'Sector history'!Q22,IF(ISNUMBER('Sector history'!Q25),'Sector history'!Q25,""))</f>
        <v/>
      </c>
      <c r="R9" s="158">
        <f>IF(ISNUMBER('Sector history'!R22),'Sector history'!R22,IF(ISNUMBER('Sector history'!R25),'Sector history'!R25,""))</f>
        <v/>
      </c>
      <c r="S9" s="158">
        <f>IF(ISNUMBER('Sector history'!S22),'Sector history'!S22,IF(ISNUMBER('Sector history'!S25),'Sector history'!S25,""))</f>
        <v/>
      </c>
      <c r="T9" s="156" t="inlineStr">
        <is>
          <t>Observed to 2021; estimated after</t>
        </is>
      </c>
      <c r="U9" s="156" t="inlineStr">
        <is>
          <t>Department energy balances; Stats SA P0441</t>
        </is>
      </c>
      <c r="V9" s="156" t="inlineStr"/>
    </row>
    <row r="10">
      <c r="A10" s="152" t="inlineStr">
        <is>
          <t>Diesel power generation, Eskom and independent plants</t>
        </is>
      </c>
      <c r="B10" s="153" t="inlineStr">
        <is>
          <t>GWh</t>
        </is>
      </c>
      <c r="C10" s="153" t="inlineStr">
        <is>
          <t>Source observation</t>
        </is>
      </c>
      <c r="D10" s="166" t="n"/>
      <c r="E10" s="152" t="inlineStr">
        <is>
          <t>Year to 31 March of the following year, shown under the calendar year it mostly covers.</t>
        </is>
      </c>
      <c r="F10" s="166" t="n"/>
      <c r="G10" s="166" t="n"/>
      <c r="H10" s="166" t="n"/>
      <c r="I10" s="166" t="n"/>
      <c r="J10" s="166" t="n"/>
      <c r="K10" s="166" t="n"/>
      <c r="L10" s="166" t="n"/>
      <c r="M10" s="166" t="n"/>
      <c r="N10" s="166" t="n"/>
      <c r="O10" s="166" t="n"/>
      <c r="P10" s="166" t="n">
        <v>4116</v>
      </c>
      <c r="Q10" s="166" t="n">
        <v>5143</v>
      </c>
      <c r="R10" s="166" t="n">
        <v>2838</v>
      </c>
      <c r="S10" s="166" t="n">
        <v>1079</v>
      </c>
      <c r="T10" s="152" t="inlineStr">
        <is>
          <t>2022-2025</t>
        </is>
      </c>
      <c r="U10" s="152" t="inlineStr">
        <is>
          <t>Eskom</t>
        </is>
      </c>
      <c r="V10" s="152" t="inlineStr"/>
    </row>
    <row r="11">
      <c r="A11" s="152" t="inlineStr">
        <is>
          <t>Power generation diesel, energy balance</t>
        </is>
      </c>
      <c r="B11" s="153" t="inlineStr">
        <is>
          <t>million L/year</t>
        </is>
      </c>
      <c r="C11" s="153" t="inlineStr">
        <is>
          <t>Source observation</t>
        </is>
      </c>
      <c r="D11" s="154" t="n"/>
      <c r="E11" s="152" t="inlineStr">
        <is>
          <t>Electricity plants line of the energy balance.</t>
        </is>
      </c>
      <c r="F11" s="154" t="n"/>
      <c r="G11" s="154" t="n">
        <v>1148.5</v>
      </c>
      <c r="H11" s="154" t="n">
        <v>1178.599875</v>
      </c>
      <c r="I11" s="154" t="n">
        <v>1247.8</v>
      </c>
      <c r="J11" s="154" t="n">
        <v>1247.800125</v>
      </c>
      <c r="K11" s="154" t="n">
        <v>10</v>
      </c>
      <c r="L11" s="154" t="n">
        <v>10</v>
      </c>
      <c r="M11" s="154" t="n">
        <v>28.72419140625</v>
      </c>
      <c r="N11" s="154" t="n"/>
      <c r="O11" s="154" t="n"/>
      <c r="P11" s="154" t="n"/>
      <c r="Q11" s="154" t="n"/>
      <c r="R11" s="154" t="n"/>
      <c r="S11" s="154" t="n"/>
      <c r="T11" s="152" t="inlineStr">
        <is>
          <t>2012-2021; near zero from 2017</t>
        </is>
      </c>
      <c r="U11" s="152" t="inlineStr">
        <is>
          <t>Department energy balances</t>
        </is>
      </c>
      <c r="V11" s="152" t="inlineStr"/>
    </row>
    <row r="12">
      <c r="A12" s="156" t="inlineStr">
        <is>
          <t>Power</t>
        </is>
      </c>
      <c r="B12" s="157" t="inlineStr">
        <is>
          <t>million L/year</t>
        </is>
      </c>
      <c r="C12" s="157" t="inlineStr">
        <is>
          <t>Observation, then estimate</t>
        </is>
      </c>
      <c r="D12" s="168" t="n">
        <v>0.31</v>
      </c>
      <c r="E12" s="156" t="inlineStr">
        <is>
          <t>Energy balance to 2021; from 2022 generation times litres per kWh (column D). Driver: turbine output.</t>
        </is>
      </c>
      <c r="F12" s="168">
        <f>IF(ISNUMBER(F10),F10*$D$12,IF(ISNUMBER(F11),F11,""))</f>
        <v/>
      </c>
      <c r="G12" s="168">
        <f>IF(ISNUMBER(G10),G10*$D$12,IF(ISNUMBER(G11),G11,""))</f>
        <v/>
      </c>
      <c r="H12" s="168">
        <f>IF(ISNUMBER(H10),H10*$D$12,IF(ISNUMBER(H11),H11,""))</f>
        <v/>
      </c>
      <c r="I12" s="168">
        <f>IF(ISNUMBER(I10),I10*$D$12,IF(ISNUMBER(I11),I11,""))</f>
        <v/>
      </c>
      <c r="J12" s="168">
        <f>IF(ISNUMBER(J10),J10*$D$12,IF(ISNUMBER(J11),J11,""))</f>
        <v/>
      </c>
      <c r="K12" s="168">
        <f>IF(ISNUMBER(K10),K10*$D$12,IF(ISNUMBER(K11),K11,""))</f>
        <v/>
      </c>
      <c r="L12" s="168">
        <f>IF(ISNUMBER(L10),L10*$D$12,IF(ISNUMBER(L11),L11,""))</f>
        <v/>
      </c>
      <c r="M12" s="168">
        <f>IF(ISNUMBER(M10),M10*$D$12,IF(ISNUMBER(M11),M11,""))</f>
        <v/>
      </c>
      <c r="N12" s="168">
        <f>IF(ISNUMBER(N10),N10*$D$12,IF(ISNUMBER(N11),N11,""))</f>
        <v/>
      </c>
      <c r="O12" s="168">
        <f>IF(ISNUMBER(O10),O10*$D$12,IF(ISNUMBER(O11),O11,""))</f>
        <v/>
      </c>
      <c r="P12" s="168">
        <f>IF(ISNUMBER(P10),P10*$D$12,IF(ISNUMBER(P11),P11,""))</f>
        <v/>
      </c>
      <c r="Q12" s="168">
        <f>IF(ISNUMBER(Q10),Q10*$D$12,IF(ISNUMBER(Q11),Q11,""))</f>
        <v/>
      </c>
      <c r="R12" s="168">
        <f>IF(ISNUMBER(R10),R10*$D$12,IF(ISNUMBER(R11),R11,""))</f>
        <v/>
      </c>
      <c r="S12" s="168">
        <f>IF(ISNUMBER(S10),S10*$D$12,IF(ISNUMBER(S11),S11,""))</f>
        <v/>
      </c>
      <c r="T12" s="156" t="inlineStr">
        <is>
          <t>Estimated from 2022 at 0.31 litres per kWh</t>
        </is>
      </c>
      <c r="U12" s="156" t="inlineStr">
        <is>
          <t>Eskom; parliamentary replies on diesel burn</t>
        </is>
      </c>
      <c r="V12" s="156" t="inlineStr">
        <is>
          <t>The 0.31 factor is a proposal awaiting review</t>
        </is>
      </c>
    </row>
    <row r="14">
      <c r="A14" s="151" t="inlineStr">
        <is>
          <t>2. Road diesel, by difference</t>
        </is>
      </c>
      <c r="B14" s="151" t="n"/>
      <c r="C14" s="151" t="n"/>
      <c r="D14" s="151" t="n"/>
      <c r="E14" s="151" t="n"/>
      <c r="F14" s="151" t="n"/>
      <c r="G14" s="151" t="n"/>
      <c r="H14" s="151" t="n"/>
      <c r="I14" s="151" t="n"/>
      <c r="J14" s="151" t="n"/>
      <c r="K14" s="151" t="n"/>
      <c r="L14" s="151" t="n"/>
      <c r="M14" s="151" t="n"/>
      <c r="N14" s="151" t="n"/>
      <c r="O14" s="151" t="n"/>
      <c r="P14" s="151" t="n"/>
      <c r="Q14" s="151" t="n"/>
      <c r="R14" s="151" t="n"/>
      <c r="S14" s="151" t="n"/>
      <c r="T14" s="151" t="n"/>
      <c r="U14" s="151" t="n"/>
      <c r="V14" s="151" t="n"/>
    </row>
    <row r="15">
      <c r="A15" s="156" t="inlineStr">
        <is>
          <t>Road vehicles and uses not listed above</t>
        </is>
      </c>
      <c r="B15" s="157" t="inlineStr">
        <is>
          <t>million L/year</t>
        </is>
      </c>
      <c r="C15" s="157" t="inlineStr">
        <is>
          <t>Reporting formula</t>
        </is>
      </c>
      <c r="D15" s="158" t="n"/>
      <c r="E15" s="156" t="inlineStr">
        <is>
          <t>Sales less mining, manufacturing, agriculture and power. Includes rail, construction plant, private generators and ships' diesel, which no source separates.</t>
        </is>
      </c>
      <c r="F15" s="158">
        <f>IF(COUNT(F6,F7,F9)&lt;3,"",F6-F7-N(F8)-F9-N(F12))</f>
        <v/>
      </c>
      <c r="G15" s="158">
        <f>IF(COUNT(G6,G7,G9)&lt;3,"",G6-G7-N(G8)-G9-N(G12))</f>
        <v/>
      </c>
      <c r="H15" s="158">
        <f>IF(COUNT(H6,H7,H9)&lt;3,"",H6-H7-N(H8)-H9-N(H12))</f>
        <v/>
      </c>
      <c r="I15" s="158">
        <f>IF(COUNT(I6,I7,I9)&lt;3,"",I6-I7-N(I8)-I9-N(I12))</f>
        <v/>
      </c>
      <c r="J15" s="158">
        <f>IF(COUNT(J6,J7,J9)&lt;3,"",J6-J7-N(J8)-J9-N(J12))</f>
        <v/>
      </c>
      <c r="K15" s="158">
        <f>IF(COUNT(K6,K7,K9)&lt;3,"",K6-K7-N(K8)-K9-N(K12))</f>
        <v/>
      </c>
      <c r="L15" s="158">
        <f>IF(COUNT(L6,L7,L9)&lt;3,"",L6-L7-N(L8)-L9-N(L12))</f>
        <v/>
      </c>
      <c r="M15" s="158">
        <f>IF(COUNT(M6,M7,M9)&lt;3,"",M6-M7-N(M8)-M9-N(M12))</f>
        <v/>
      </c>
      <c r="N15" s="158">
        <f>IF(COUNT(N6,N7,N9)&lt;3,"",N6-N7-N(N8)-N9-N(N12))</f>
        <v/>
      </c>
      <c r="O15" s="158">
        <f>IF(COUNT(O6,O7,O9)&lt;3,"",O6-O7-N(O8)-O9-N(O12))</f>
        <v/>
      </c>
      <c r="P15" s="158">
        <f>IF(COUNT(P6,P7,P9)&lt;3,"",P6-P7-N(P8)-P9-N(P12))</f>
        <v/>
      </c>
      <c r="Q15" s="158">
        <f>IF(COUNT(Q6,Q7,Q9)&lt;3,"",Q6-Q7-N(Q8)-Q9-N(Q12))</f>
        <v/>
      </c>
      <c r="R15" s="158">
        <f>IF(COUNT(R6,R7,R9)&lt;3,"",R6-R7-N(R8)-R9-N(R12))</f>
        <v/>
      </c>
      <c r="S15" s="158">
        <f>IF(COUNT(S6,S7,S9)&lt;3,"",S6-S7-N(S8)-S9-N(S12))</f>
        <v/>
      </c>
      <c r="T15" s="156" t="inlineStr"/>
      <c r="U15" s="156" t="inlineStr"/>
      <c r="V15" s="156" t="inlineStr">
        <is>
          <t>The balance counts mining and farm diesel by buyer, so some of it is burned on public roads</t>
        </is>
      </c>
    </row>
    <row r="17">
      <c r="A17" s="151" t="inlineStr">
        <is>
          <t>3. Road diesel split by vehicle group (approach A: the study's shares held)</t>
        </is>
      </c>
      <c r="B17" s="151" t="n"/>
      <c r="C17" s="151" t="n"/>
      <c r="D17" s="151" t="n"/>
      <c r="E17" s="151" t="n"/>
      <c r="F17" s="151" t="n"/>
      <c r="G17" s="151" t="n"/>
      <c r="H17" s="151" t="n"/>
      <c r="I17" s="151" t="n"/>
      <c r="J17" s="151" t="n"/>
      <c r="K17" s="151" t="n"/>
      <c r="L17" s="151" t="n"/>
      <c r="M17" s="151" t="n"/>
      <c r="N17" s="151" t="n"/>
      <c r="O17" s="151" t="n"/>
      <c r="P17" s="151" t="n"/>
      <c r="Q17" s="151" t="n"/>
      <c r="R17" s="151" t="n"/>
      <c r="S17" s="151" t="n"/>
      <c r="T17" s="151" t="n"/>
      <c r="U17" s="151" t="n"/>
      <c r="V17" s="151" t="n"/>
    </row>
    <row r="18">
      <c r="A18" s="162" t="inlineStr">
        <is>
          <t>Heavy vehicles</t>
        </is>
      </c>
      <c r="B18" s="163" t="inlineStr">
        <is>
          <t>million L/year</t>
        </is>
      </c>
      <c r="C18" s="163" t="inlineStr">
        <is>
          <t>Proposed estimate</t>
        </is>
      </c>
      <c r="D18" s="165" t="n">
        <v>60.53064018906874</v>
      </c>
      <c r="E18" s="162" t="inlineStr">
        <is>
          <t>Road diesel times the group's share in the study (column D, %). Driver: freight activity, road-to-rail shift, electric share of new trucks.</t>
        </is>
      </c>
      <c r="F18" s="165">
        <f>IF(ISNUMBER(F15),F15*$D$18/100,"")</f>
        <v/>
      </c>
      <c r="G18" s="165">
        <f>IF(ISNUMBER(G15),G15*$D$18/100,"")</f>
        <v/>
      </c>
      <c r="H18" s="165">
        <f>IF(ISNUMBER(H15),H15*$D$18/100,"")</f>
        <v/>
      </c>
      <c r="I18" s="165">
        <f>IF(ISNUMBER(I15),I15*$D$18/100,"")</f>
        <v/>
      </c>
      <c r="J18" s="165">
        <f>IF(ISNUMBER(J15),J15*$D$18/100,"")</f>
        <v/>
      </c>
      <c r="K18" s="165">
        <f>IF(ISNUMBER(K15),K15*$D$18/100,"")</f>
        <v/>
      </c>
      <c r="L18" s="165">
        <f>IF(ISNUMBER(L15),L15*$D$18/100,"")</f>
        <v/>
      </c>
      <c r="M18" s="165">
        <f>IF(ISNUMBER(M15),M15*$D$18/100,"")</f>
        <v/>
      </c>
      <c r="N18" s="165">
        <f>IF(ISNUMBER(N15),N15*$D$18/100,"")</f>
        <v/>
      </c>
      <c r="O18" s="165">
        <f>IF(ISNUMBER(O15),O15*$D$18/100,"")</f>
        <v/>
      </c>
      <c r="P18" s="165">
        <f>IF(ISNUMBER(P15),P15*$D$18/100,"")</f>
        <v/>
      </c>
      <c r="Q18" s="165">
        <f>IF(ISNUMBER(Q15),Q15*$D$18/100,"")</f>
        <v/>
      </c>
      <c r="R18" s="165">
        <f>IF(ISNUMBER(R15),R15*$D$18/100,"")</f>
        <v/>
      </c>
      <c r="S18" s="165">
        <f>IF(ISNUMBER(S15),S15*$D$18/100,"")</f>
        <v/>
      </c>
      <c r="T18" s="162" t="inlineStr">
        <is>
          <t>Estimate; shares are for the 2010 fleet</t>
        </is>
      </c>
      <c r="U18" s="162" t="inlineStr">
        <is>
          <t>Stone et al. (2018), vehicles x distance x fuel use by class</t>
        </is>
      </c>
      <c r="V18" s="162" t="inlineStr">
        <is>
          <t>Diesel vehicles have doubled since 2010 while trucks grew about a quarter, so today's heavy share is probably lower</t>
        </is>
      </c>
    </row>
    <row r="19">
      <c r="A19" s="162" t="inlineStr">
        <is>
          <t>Light vehicles</t>
        </is>
      </c>
      <c r="B19" s="163" t="inlineStr">
        <is>
          <t>million L/year</t>
        </is>
      </c>
      <c r="C19" s="163" t="inlineStr">
        <is>
          <t>Proposed estimate</t>
        </is>
      </c>
      <c r="D19" s="165" t="n">
        <v>26.9915704235799</v>
      </c>
      <c r="E19" s="162" t="inlineStr">
        <is>
          <t>Road diesel times the group's share in the study (column D, %). Driver: fleet and distance, electric share of new sales.</t>
        </is>
      </c>
      <c r="F19" s="165">
        <f>IF(ISNUMBER(F15),F15*$D$19/100,"")</f>
        <v/>
      </c>
      <c r="G19" s="165">
        <f>IF(ISNUMBER(G15),G15*$D$19/100,"")</f>
        <v/>
      </c>
      <c r="H19" s="165">
        <f>IF(ISNUMBER(H15),H15*$D$19/100,"")</f>
        <v/>
      </c>
      <c r="I19" s="165">
        <f>IF(ISNUMBER(I15),I15*$D$19/100,"")</f>
        <v/>
      </c>
      <c r="J19" s="165">
        <f>IF(ISNUMBER(J15),J15*$D$19/100,"")</f>
        <v/>
      </c>
      <c r="K19" s="165">
        <f>IF(ISNUMBER(K15),K15*$D$19/100,"")</f>
        <v/>
      </c>
      <c r="L19" s="165">
        <f>IF(ISNUMBER(L15),L15*$D$19/100,"")</f>
        <v/>
      </c>
      <c r="M19" s="165">
        <f>IF(ISNUMBER(M15),M15*$D$19/100,"")</f>
        <v/>
      </c>
      <c r="N19" s="165">
        <f>IF(ISNUMBER(N15),N15*$D$19/100,"")</f>
        <v/>
      </c>
      <c r="O19" s="165">
        <f>IF(ISNUMBER(O15),O15*$D$19/100,"")</f>
        <v/>
      </c>
      <c r="P19" s="165">
        <f>IF(ISNUMBER(P15),P15*$D$19/100,"")</f>
        <v/>
      </c>
      <c r="Q19" s="165">
        <f>IF(ISNUMBER(Q15),Q15*$D$19/100,"")</f>
        <v/>
      </c>
      <c r="R19" s="165">
        <f>IF(ISNUMBER(R15),R15*$D$19/100,"")</f>
        <v/>
      </c>
      <c r="S19" s="165">
        <f>IF(ISNUMBER(S15),S15*$D$19/100,"")</f>
        <v/>
      </c>
      <c r="T19" s="162" t="inlineStr">
        <is>
          <t>Estimate; shares are for the 2010 fleet</t>
        </is>
      </c>
      <c r="U19" s="162" t="inlineStr">
        <is>
          <t>Stone et al. (2018), vehicles x distance x fuel use by class</t>
        </is>
      </c>
      <c r="V19" s="162" t="inlineStr">
        <is>
          <t>Diesel vehicles have doubled since 2010 while trucks grew about a quarter, so today's heavy share is probably lower</t>
        </is>
      </c>
    </row>
    <row r="20">
      <c r="A20" s="162" t="inlineStr">
        <is>
          <t>Passenger vehicles</t>
        </is>
      </c>
      <c r="B20" s="163" t="inlineStr">
        <is>
          <t>million L/year</t>
        </is>
      </c>
      <c r="C20" s="163" t="inlineStr">
        <is>
          <t>Proposed estimate</t>
        </is>
      </c>
      <c r="D20" s="165" t="n">
        <v>12.47778938735136</v>
      </c>
      <c r="E20" s="162" t="inlineStr">
        <is>
          <t>Road diesel times the group's share in the study (column D, %). Driver: fleet and distance, electric share of new sales.</t>
        </is>
      </c>
      <c r="F20" s="165">
        <f>IF(ISNUMBER(F15),F15*$D$20/100,"")</f>
        <v/>
      </c>
      <c r="G20" s="165">
        <f>IF(ISNUMBER(G15),G15*$D$20/100,"")</f>
        <v/>
      </c>
      <c r="H20" s="165">
        <f>IF(ISNUMBER(H15),H15*$D$20/100,"")</f>
        <v/>
      </c>
      <c r="I20" s="165">
        <f>IF(ISNUMBER(I15),I15*$D$20/100,"")</f>
        <v/>
      </c>
      <c r="J20" s="165">
        <f>IF(ISNUMBER(J15),J15*$D$20/100,"")</f>
        <v/>
      </c>
      <c r="K20" s="165">
        <f>IF(ISNUMBER(K15),K15*$D$20/100,"")</f>
        <v/>
      </c>
      <c r="L20" s="165">
        <f>IF(ISNUMBER(L15),L15*$D$20/100,"")</f>
        <v/>
      </c>
      <c r="M20" s="165">
        <f>IF(ISNUMBER(M15),M15*$D$20/100,"")</f>
        <v/>
      </c>
      <c r="N20" s="165">
        <f>IF(ISNUMBER(N15),N15*$D$20/100,"")</f>
        <v/>
      </c>
      <c r="O20" s="165">
        <f>IF(ISNUMBER(O15),O15*$D$20/100,"")</f>
        <v/>
      </c>
      <c r="P20" s="165">
        <f>IF(ISNUMBER(P15),P15*$D$20/100,"")</f>
        <v/>
      </c>
      <c r="Q20" s="165">
        <f>IF(ISNUMBER(Q15),Q15*$D$20/100,"")</f>
        <v/>
      </c>
      <c r="R20" s="165">
        <f>IF(ISNUMBER(R15),R15*$D$20/100,"")</f>
        <v/>
      </c>
      <c r="S20" s="165">
        <f>IF(ISNUMBER(S15),S15*$D$20/100,"")</f>
        <v/>
      </c>
      <c r="T20" s="162" t="inlineStr">
        <is>
          <t>Estimate; shares are for the 2010 fleet</t>
        </is>
      </c>
      <c r="U20" s="162" t="inlineStr">
        <is>
          <t>Stone et al. (2018), vehicles x distance x fuel use by class</t>
        </is>
      </c>
      <c r="V20" s="162" t="inlineStr">
        <is>
          <t>Diesel vehicles have doubled since 2010 while trucks grew about a quarter, so today's heavy share is probably lower</t>
        </is>
      </c>
    </row>
    <row r="22">
      <c r="A22" s="151" t="inlineStr">
        <is>
          <t>3b. Heavy vehicle diesel against road freight carried</t>
        </is>
      </c>
      <c r="B22" s="151" t="n"/>
      <c r="C22" s="151" t="n"/>
      <c r="D22" s="151" t="n"/>
      <c r="E22" s="151" t="n"/>
      <c r="F22" s="151" t="n"/>
      <c r="G22" s="151" t="n"/>
      <c r="H22" s="151" t="n"/>
      <c r="I22" s="151" t="n"/>
      <c r="J22" s="151" t="n"/>
      <c r="K22" s="151" t="n"/>
      <c r="L22" s="151" t="n"/>
      <c r="M22" s="151" t="n"/>
      <c r="N22" s="151" t="n"/>
      <c r="O22" s="151" t="n"/>
      <c r="P22" s="151" t="n"/>
      <c r="Q22" s="151" t="n"/>
      <c r="R22" s="151" t="n"/>
      <c r="S22" s="151" t="n"/>
      <c r="T22" s="151" t="n"/>
      <c r="U22" s="151" t="n"/>
      <c r="V22" s="151" t="n"/>
    </row>
    <row r="23">
      <c r="A23" s="152" t="inlineStr">
        <is>
          <t>Road freight payload</t>
        </is>
      </c>
      <c r="B23" s="153" t="inlineStr">
        <is>
          <t>million tonnes/year</t>
        </is>
      </c>
      <c r="C23" s="153" t="inlineStr">
        <is>
          <t>Source observation</t>
        </is>
      </c>
      <c r="D23" s="154" t="n"/>
      <c r="E23" s="152" t="inlineStr">
        <is>
          <t>Tonnes carried by road, calendar years. Tonnes, not tonne-kilometres.</t>
        </is>
      </c>
      <c r="F23" s="154" t="n">
        <v>707.34</v>
      </c>
      <c r="G23" s="154" t="n">
        <v>718.854</v>
      </c>
      <c r="H23" s="154" t="n">
        <v>770.188</v>
      </c>
      <c r="I23" s="154" t="n">
        <v>739.871</v>
      </c>
      <c r="J23" s="154" t="n">
        <v>767.23</v>
      </c>
      <c r="K23" s="154" t="n">
        <v>845.099</v>
      </c>
      <c r="L23" s="154" t="n">
        <v>921.112</v>
      </c>
      <c r="M23" s="154" t="n">
        <v>895.499</v>
      </c>
      <c r="N23" s="154" t="n">
        <v>789.109</v>
      </c>
      <c r="O23" s="154" t="n">
        <v>860.549</v>
      </c>
      <c r="P23" s="154" t="n">
        <v>1048.547</v>
      </c>
      <c r="Q23" s="154" t="n">
        <v>1060.419</v>
      </c>
      <c r="R23" s="154" t="n">
        <v>979.798</v>
      </c>
      <c r="S23" s="154" t="n">
        <v>975.176</v>
      </c>
      <c r="T23" s="152" t="inlineStr">
        <is>
          <t>2012-2025</t>
        </is>
      </c>
      <c r="U23" s="152" t="inlineStr">
        <is>
          <t>Statistics South Africa P7162</t>
        </is>
      </c>
      <c r="V23" s="152" t="inlineStr"/>
    </row>
    <row r="24">
      <c r="A24" s="156" t="inlineStr">
        <is>
          <t>Heavy vehicle diesel per tonne of road freight</t>
        </is>
      </c>
      <c r="B24" s="157" t="inlineStr">
        <is>
          <t>litres/tonne</t>
        </is>
      </c>
      <c r="C24" s="157" t="inlineStr">
        <is>
          <t>Reporting formula</t>
        </is>
      </c>
      <c r="D24" s="169" t="n"/>
      <c r="E24" s="156" t="inlineStr">
        <is>
          <t>Heavy vehicle diesel divided by road freight payload. This is the link from freight activity to litres: road freight grows or shifts to rail in tonnes, and diesel follows at this intensity.</t>
        </is>
      </c>
      <c r="F24" s="169">
        <f>IF(COUNT(F18,F23)&lt;2,"",F18/F23)</f>
        <v/>
      </c>
      <c r="G24" s="169">
        <f>IF(COUNT(G18,G23)&lt;2,"",G18/G23)</f>
        <v/>
      </c>
      <c r="H24" s="169">
        <f>IF(COUNT(H18,H23)&lt;2,"",H18/H23)</f>
        <v/>
      </c>
      <c r="I24" s="169">
        <f>IF(COUNT(I18,I23)&lt;2,"",I18/I23)</f>
        <v/>
      </c>
      <c r="J24" s="169">
        <f>IF(COUNT(J18,J23)&lt;2,"",J18/J23)</f>
        <v/>
      </c>
      <c r="K24" s="169">
        <f>IF(COUNT(K18,K23)&lt;2,"",K18/K23)</f>
        <v/>
      </c>
      <c r="L24" s="169">
        <f>IF(COUNT(L18,L23)&lt;2,"",L18/L23)</f>
        <v/>
      </c>
      <c r="M24" s="169">
        <f>IF(COUNT(M18,M23)&lt;2,"",M18/M23)</f>
        <v/>
      </c>
      <c r="N24" s="169">
        <f>IF(COUNT(N18,N23)&lt;2,"",N18/N23)</f>
        <v/>
      </c>
      <c r="O24" s="169">
        <f>IF(COUNT(O18,O23)&lt;2,"",O18/O23)</f>
        <v/>
      </c>
      <c r="P24" s="169">
        <f>IF(COUNT(P18,P23)&lt;2,"",P18/P23)</f>
        <v/>
      </c>
      <c r="Q24" s="169">
        <f>IF(COUNT(Q18,Q23)&lt;2,"",Q18/Q23)</f>
        <v/>
      </c>
      <c r="R24" s="169">
        <f>IF(COUNT(R18,R23)&lt;2,"",R18/R23)</f>
        <v/>
      </c>
      <c r="S24" s="169">
        <f>IF(COUNT(S18,S23)&lt;2,"",S18/S23)</f>
        <v/>
      </c>
      <c r="T24" s="156" t="inlineStr"/>
      <c r="U24" s="156" t="inlineStr"/>
      <c r="V24" s="156" t="inlineStr">
        <is>
          <t>A tonne-kilometre series would be better; only 2013 is published (221 bn)</t>
        </is>
      </c>
    </row>
    <row r="26">
      <c r="A26" s="151" t="inlineStr">
        <is>
          <t>4. Checks</t>
        </is>
      </c>
      <c r="B26" s="151" t="n"/>
      <c r="C26" s="151" t="n"/>
      <c r="D26" s="151" t="n"/>
      <c r="E26" s="151" t="n"/>
      <c r="F26" s="151" t="n"/>
      <c r="G26" s="151" t="n"/>
      <c r="H26" s="151" t="n"/>
      <c r="I26" s="151" t="n"/>
      <c r="J26" s="151" t="n"/>
      <c r="K26" s="151" t="n"/>
      <c r="L26" s="151" t="n"/>
      <c r="M26" s="151" t="n"/>
      <c r="N26" s="151" t="n"/>
      <c r="O26" s="151" t="n"/>
      <c r="P26" s="151" t="n"/>
      <c r="Q26" s="151" t="n"/>
      <c r="R26" s="151" t="n"/>
      <c r="S26" s="151" t="n"/>
      <c r="T26" s="151" t="n"/>
      <c r="U26" s="151" t="n"/>
      <c r="V26" s="151" t="n"/>
    </row>
    <row r="27">
      <c r="A27" s="156" t="inlineStr">
        <is>
          <t>Sum of the six branches</t>
        </is>
      </c>
      <c r="B27" s="157" t="inlineStr">
        <is>
          <t>million L/year</t>
        </is>
      </c>
      <c r="C27" s="157" t="inlineStr">
        <is>
          <t>Reporting formula</t>
        </is>
      </c>
      <c r="D27" s="158" t="n"/>
      <c r="E27" s="156" t="inlineStr">
        <is>
          <t>Should equal diesel sales used.</t>
        </is>
      </c>
      <c r="F27" s="158">
        <f>IF(ISNUMBER(F15),F7+N(F8)+F9+N(F12)+F18+F19+F20,"")</f>
        <v/>
      </c>
      <c r="G27" s="158">
        <f>IF(ISNUMBER(G15),G7+N(G8)+G9+N(G12)+G18+G19+G20,"")</f>
        <v/>
      </c>
      <c r="H27" s="158">
        <f>IF(ISNUMBER(H15),H7+N(H8)+H9+N(H12)+H18+H19+H20,"")</f>
        <v/>
      </c>
      <c r="I27" s="158">
        <f>IF(ISNUMBER(I15),I7+N(I8)+I9+N(I12)+I18+I19+I20,"")</f>
        <v/>
      </c>
      <c r="J27" s="158">
        <f>IF(ISNUMBER(J15),J7+N(J8)+J9+N(J12)+J18+J19+J20,"")</f>
        <v/>
      </c>
      <c r="K27" s="158">
        <f>IF(ISNUMBER(K15),K7+N(K8)+K9+N(K12)+K18+K19+K20,"")</f>
        <v/>
      </c>
      <c r="L27" s="158">
        <f>IF(ISNUMBER(L15),L7+N(L8)+L9+N(L12)+L18+L19+L20,"")</f>
        <v/>
      </c>
      <c r="M27" s="158">
        <f>IF(ISNUMBER(M15),M7+N(M8)+M9+N(M12)+M18+M19+M20,"")</f>
        <v/>
      </c>
      <c r="N27" s="158">
        <f>IF(ISNUMBER(N15),N7+N(N8)+N9+N(N12)+N18+N19+N20,"")</f>
        <v/>
      </c>
      <c r="O27" s="158">
        <f>IF(ISNUMBER(O15),O7+N(O8)+O9+N(O12)+O18+O19+O20,"")</f>
        <v/>
      </c>
      <c r="P27" s="158">
        <f>IF(ISNUMBER(P15),P7+N(P8)+P9+N(P12)+P18+P19+P20,"")</f>
        <v/>
      </c>
      <c r="Q27" s="158">
        <f>IF(ISNUMBER(Q15),Q7+N(Q8)+Q9+N(Q12)+Q18+Q19+Q20,"")</f>
        <v/>
      </c>
      <c r="R27" s="158">
        <f>IF(ISNUMBER(R15),R7+N(R8)+R9+N(R12)+R18+R19+R20,"")</f>
        <v/>
      </c>
      <c r="S27" s="158">
        <f>IF(ISNUMBER(S15),S7+N(S8)+S9+N(S12)+S18+S19+S20,"")</f>
        <v/>
      </c>
      <c r="T27" s="156" t="inlineStr"/>
      <c r="U27" s="156" t="inlineStr"/>
      <c r="V27" s="156" t="inlineStr"/>
    </row>
    <row r="28">
      <c r="A28" s="159" t="inlineStr">
        <is>
          <t>Fuel bought by road freight businesses</t>
        </is>
      </c>
      <c r="B28" s="160" t="inlineStr">
        <is>
          <t>million L/year</t>
        </is>
      </c>
      <c r="C28" s="160" t="inlineStr">
        <is>
          <t>Source observation, converted</t>
        </is>
      </c>
      <c r="D28" s="161" t="n"/>
      <c r="E28" s="159" t="inlineStr">
        <is>
          <t>Stats SA rand figure divided by the average inland wholesale diesel price over the survey year (R14.58 and R22.66 a litre). Hire-and-reward operators only; may include some petrol and lubricants.</t>
        </is>
      </c>
      <c r="F28" s="161" t="n"/>
      <c r="G28" s="161" t="n"/>
      <c r="H28" s="161" t="n"/>
      <c r="I28" s="161" t="n"/>
      <c r="J28" s="161" t="n"/>
      <c r="K28" s="161" t="n"/>
      <c r="L28" s="161" t="n"/>
      <c r="M28" s="161" t="n">
        <v>2855.120137544933</v>
      </c>
      <c r="N28" s="161" t="n"/>
      <c r="O28" s="161" t="n"/>
      <c r="P28" s="161" t="n"/>
      <c r="Q28" s="161" t="n">
        <v>3154.341754930314</v>
      </c>
      <c r="R28" s="161" t="n"/>
      <c r="S28" s="161" t="n"/>
      <c r="T28" s="159" t="inlineStr">
        <is>
          <t>2019 and 2023 only</t>
        </is>
      </c>
      <c r="U28" s="159" t="inlineStr">
        <is>
          <t>Stats SA, Transport and storage industry 2023 (Report 71-02-01), Table 20</t>
        </is>
      </c>
      <c r="V28" s="159" t="inlineStr"/>
    </row>
    <row r="29">
      <c r="A29" s="156" t="inlineStr">
        <is>
          <t>Heavy vehicles less the road freight figure</t>
        </is>
      </c>
      <c r="B29" s="157" t="inlineStr">
        <is>
          <t>million L/year</t>
        </is>
      </c>
      <c r="C29" s="157" t="inlineStr">
        <is>
          <t>Reporting formula</t>
        </is>
      </c>
      <c r="D29" s="158" t="n"/>
      <c r="E29" s="156" t="inlineStr">
        <is>
          <t>Should be positive: the survey leaves out trucks run by firms for their own goods.</t>
        </is>
      </c>
      <c r="F29" s="158">
        <f>IF(COUNT(F18,F28)&lt;2,"",F18-F28)</f>
        <v/>
      </c>
      <c r="G29" s="158">
        <f>IF(COUNT(G18,G28)&lt;2,"",G18-G28)</f>
        <v/>
      </c>
      <c r="H29" s="158">
        <f>IF(COUNT(H18,H28)&lt;2,"",H18-H28)</f>
        <v/>
      </c>
      <c r="I29" s="158">
        <f>IF(COUNT(I18,I28)&lt;2,"",I18-I28)</f>
        <v/>
      </c>
      <c r="J29" s="158">
        <f>IF(COUNT(J18,J28)&lt;2,"",J18-J28)</f>
        <v/>
      </c>
      <c r="K29" s="158">
        <f>IF(COUNT(K18,K28)&lt;2,"",K18-K28)</f>
        <v/>
      </c>
      <c r="L29" s="158">
        <f>IF(COUNT(L18,L28)&lt;2,"",L18-L28)</f>
        <v/>
      </c>
      <c r="M29" s="158">
        <f>IF(COUNT(M18,M28)&lt;2,"",M18-M28)</f>
        <v/>
      </c>
      <c r="N29" s="158">
        <f>IF(COUNT(N18,N28)&lt;2,"",N18-N28)</f>
        <v/>
      </c>
      <c r="O29" s="158">
        <f>IF(COUNT(O18,O28)&lt;2,"",O18-O28)</f>
        <v/>
      </c>
      <c r="P29" s="158">
        <f>IF(COUNT(P18,P28)&lt;2,"",P18-P28)</f>
        <v/>
      </c>
      <c r="Q29" s="158">
        <f>IF(COUNT(Q18,Q28)&lt;2,"",Q18-Q28)</f>
        <v/>
      </c>
      <c r="R29" s="158">
        <f>IF(COUNT(R18,R28)&lt;2,"",R18-R28)</f>
        <v/>
      </c>
      <c r="S29" s="158">
        <f>IF(COUNT(S18,S28)&lt;2,"",S18-S28)</f>
        <v/>
      </c>
      <c r="T29" s="156" t="inlineStr"/>
      <c r="U29" s="156" t="inlineStr"/>
      <c r="V29" s="156" t="inlineStr"/>
    </row>
    <row r="30">
      <c r="A30" s="159" t="inlineStr">
        <is>
          <t>Land freight share of diesel in a second study</t>
        </is>
      </c>
      <c r="B30" s="160" t="inlineStr">
        <is>
          <t>% of diesel demand</t>
        </is>
      </c>
      <c r="C30" s="160" t="inlineStr">
        <is>
          <t>Comparison only</t>
        </is>
      </c>
      <c r="D30" s="170" t="n">
        <v>60.5</v>
      </c>
      <c r="E30" s="159" t="inlineStr">
        <is>
          <t>Merven, Hartley and Ahjum (2019): land freight took 60.5% of domestic diesel demand in 2012. Same research group as the vehicle study.</t>
        </is>
      </c>
      <c r="F30" s="170" t="n"/>
      <c r="G30" s="170" t="n"/>
      <c r="H30" s="170" t="n"/>
      <c r="I30" s="170" t="n"/>
      <c r="J30" s="170" t="n"/>
      <c r="K30" s="170" t="n"/>
      <c r="L30" s="170" t="n"/>
      <c r="M30" s="170" t="n"/>
      <c r="N30" s="170" t="n"/>
      <c r="O30" s="170" t="n"/>
      <c r="P30" s="170" t="n"/>
      <c r="Q30" s="170" t="n"/>
      <c r="R30" s="170" t="n"/>
      <c r="S30" s="170" t="n"/>
      <c r="T30" s="159" t="inlineStr"/>
      <c r="U30" s="159" t="inlineStr">
        <is>
          <t>SA-TIED Working Paper 60, p.10</t>
        </is>
      </c>
      <c r="V30" s="159" t="inlineStr"/>
    </row>
    <row r="32">
      <c r="A32" s="151" t="inlineStr">
        <is>
          <t>5. Which classes of the study fall in each group</t>
        </is>
      </c>
      <c r="B32" s="151" t="n"/>
      <c r="C32" s="151" t="n"/>
      <c r="D32" s="151" t="n"/>
      <c r="E32" s="151" t="n"/>
      <c r="F32" s="151" t="n"/>
      <c r="G32" s="151" t="n"/>
      <c r="H32" s="151" t="n"/>
      <c r="I32" s="151" t="n"/>
      <c r="J32" s="151" t="n"/>
      <c r="K32" s="151" t="n"/>
      <c r="L32" s="151" t="n"/>
      <c r="M32" s="151" t="n"/>
      <c r="N32" s="151" t="n"/>
      <c r="O32" s="151" t="n"/>
      <c r="P32" s="151" t="n"/>
      <c r="Q32" s="151" t="n"/>
      <c r="R32" s="151" t="n"/>
      <c r="S32" s="151" t="n"/>
      <c r="T32" s="151" t="n"/>
      <c r="U32" s="151" t="n"/>
      <c r="V32" s="151" t="n"/>
    </row>
    <row r="33">
      <c r="A33" s="159" t="inlineStr">
        <is>
          <t>Heavy vehicles: classes</t>
        </is>
      </c>
      <c r="B33" s="160" t="inlineStr"/>
      <c r="C33" s="160" t="inlineStr">
        <is>
          <t>Note</t>
        </is>
      </c>
      <c r="D33" s="171" t="n">
        <v>4836.490501047</v>
      </c>
      <c r="E33" s="159" t="inlineStr">
        <is>
          <t>Diesel classes counted: HCV1Diesel, HCV2Diesel, HCV3Diesel, HCV4Diesel, HCV5Diesel, HCV6Diesel, HCV7Diesel, HCV8Diesel, HCV9Diesel. Other classes in the group, not diesel: HCV1Gasoline.</t>
        </is>
      </c>
      <c r="F33" s="171" t="n"/>
      <c r="G33" s="171" t="n"/>
      <c r="H33" s="171" t="n"/>
      <c r="I33" s="171" t="n"/>
      <c r="J33" s="171" t="n"/>
      <c r="K33" s="171" t="n"/>
      <c r="L33" s="171" t="n"/>
      <c r="M33" s="171" t="n"/>
      <c r="N33" s="171" t="n"/>
      <c r="O33" s="171" t="n"/>
      <c r="P33" s="171" t="n"/>
      <c r="Q33" s="171" t="n"/>
      <c r="R33" s="171" t="n"/>
      <c r="S33" s="171" t="n"/>
      <c r="T33" s="159" t="inlineStr">
        <is>
          <t>Column D is the group's diesel in the study, million litres, 2010 fleet</t>
        </is>
      </c>
      <c r="U33" s="159" t="inlineStr">
        <is>
          <t>assumptions/2026/reference/vehicle_parameters_stone2018.csv</t>
        </is>
      </c>
      <c r="V33" s="159" t="inlineStr"/>
    </row>
    <row r="34">
      <c r="A34" s="159" t="inlineStr">
        <is>
          <t>Light vehicles: classes</t>
        </is>
      </c>
      <c r="B34" s="160" t="inlineStr"/>
      <c r="C34" s="160" t="inlineStr">
        <is>
          <t>Note</t>
        </is>
      </c>
      <c r="D34" s="171" t="n">
        <v>2156.667657144</v>
      </c>
      <c r="E34" s="159" t="inlineStr">
        <is>
          <t>Diesel classes counted: LCVDiesel. Other classes in the group, not diesel: LCVGasoline.</t>
        </is>
      </c>
      <c r="F34" s="171" t="n"/>
      <c r="G34" s="171" t="n"/>
      <c r="H34" s="171" t="n"/>
      <c r="I34" s="171" t="n"/>
      <c r="J34" s="171" t="n"/>
      <c r="K34" s="171" t="n"/>
      <c r="L34" s="171" t="n"/>
      <c r="M34" s="171" t="n"/>
      <c r="N34" s="171" t="n"/>
      <c r="O34" s="171" t="n"/>
      <c r="P34" s="171" t="n"/>
      <c r="Q34" s="171" t="n"/>
      <c r="R34" s="171" t="n"/>
      <c r="S34" s="171" t="n"/>
      <c r="T34" s="159" t="inlineStr">
        <is>
          <t>Column D is the group's diesel in the study, million litres, 2010 fleet</t>
        </is>
      </c>
      <c r="U34" s="159" t="inlineStr">
        <is>
          <t>assumptions/2026/reference/vehicle_parameters_stone2018.csv</t>
        </is>
      </c>
      <c r="V34" s="159" t="inlineStr"/>
    </row>
    <row r="35">
      <c r="A35" s="159" t="inlineStr">
        <is>
          <t>Passenger vehicles: classes</t>
        </is>
      </c>
      <c r="B35" s="160" t="inlineStr"/>
      <c r="C35" s="160" t="inlineStr">
        <is>
          <t>Note</t>
        </is>
      </c>
      <c r="D35" s="171" t="n">
        <v>996.994409071</v>
      </c>
      <c r="E35" s="159" t="inlineStr">
        <is>
          <t>Diesel classes counted: CarDiesel, CarHybridDiesel, BusDiesel, MBTDiesel, SUVDiesel. Other classes in the group, not diesel: CarElectric, CarGasoline, CarHybridGasoline, MBTGasoline, MotoGasoline, SUVGasoline, SUVHybridGasoline.</t>
        </is>
      </c>
      <c r="F35" s="171" t="n"/>
      <c r="G35" s="171" t="n"/>
      <c r="H35" s="171" t="n"/>
      <c r="I35" s="171" t="n"/>
      <c r="J35" s="171" t="n"/>
      <c r="K35" s="171" t="n"/>
      <c r="L35" s="171" t="n"/>
      <c r="M35" s="171" t="n"/>
      <c r="N35" s="171" t="n"/>
      <c r="O35" s="171" t="n"/>
      <c r="P35" s="171" t="n"/>
      <c r="Q35" s="171" t="n"/>
      <c r="R35" s="171" t="n"/>
      <c r="S35" s="171" t="n"/>
      <c r="T35" s="159" t="inlineStr">
        <is>
          <t>Column D is the group's diesel in the study, million litres, 2010 fleet</t>
        </is>
      </c>
      <c r="U35" s="159" t="inlineStr">
        <is>
          <t>assumptions/2026/reference/vehicle_parameters_stone2018.csv</t>
        </is>
      </c>
      <c r="V35" s="159" t="inlineStr"/>
    </row>
    <row r="36">
      <c r="A36" s="159" t="inlineStr">
        <is>
          <t>Reading the class names</t>
        </is>
      </c>
      <c r="B36" s="160" t="inlineStr"/>
      <c r="C36" s="160" t="inlineStr">
        <is>
          <t>Note</t>
        </is>
      </c>
      <c r="D36" s="161" t="n"/>
      <c r="E36" s="159" t="inlineStr">
        <is>
          <t>Car and SUV are private passenger vehicles; Bus is buses; MBT is minibus taxis; Moto is motorcycles; LCV is light commercial vehicles (bakkies and vans); HCV1 to HCV9 are trucks in nine weight classes, lightest to heaviest.</t>
        </is>
      </c>
      <c r="F36" s="161" t="n"/>
      <c r="G36" s="161" t="n"/>
      <c r="H36" s="161" t="n"/>
      <c r="I36" s="161" t="n"/>
      <c r="J36" s="161" t="n"/>
      <c r="K36" s="161" t="n"/>
      <c r="L36" s="161" t="n"/>
      <c r="M36" s="161" t="n"/>
      <c r="N36" s="161" t="n"/>
      <c r="O36" s="161" t="n"/>
      <c r="P36" s="161" t="n"/>
      <c r="Q36" s="161" t="n"/>
      <c r="R36" s="161" t="n"/>
      <c r="S36" s="161" t="n"/>
      <c r="T36" s="159" t="inlineStr"/>
      <c r="U36" s="159" t="inlineStr"/>
      <c r="V36" s="159"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V7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Diesel for power: the fleet, the coal retirements and three cases</t>
        </is>
      </c>
    </row>
    <row r="2">
      <c r="A2" s="1" t="inlineStr">
        <is>
          <t>A block by station and year, as asked on 7 October. Capacities are from Eskom's fact sheet; retirement dates from Eskom and from reports of the environment minister's decisions. The three cases are scenarios: yellow rows are assumptions for Nigel and Henry to confirm.</t>
        </is>
      </c>
    </row>
    <row r="4">
      <c r="A4" s="150" t="inlineStr">
        <is>
          <t>Driver / output</t>
        </is>
      </c>
      <c r="B4" s="150" t="inlineStr">
        <is>
          <t>Unit</t>
        </is>
      </c>
      <c r="C4" s="150" t="inlineStr">
        <is>
          <t>Role</t>
        </is>
      </c>
      <c r="D4" s="150" t="inlineStr">
        <is>
          <t>Scalar / latest value</t>
        </is>
      </c>
      <c r="E4" s="150" t="inlineStr">
        <is>
          <t>Definition / period</t>
        </is>
      </c>
      <c r="F4" s="150" t="n">
        <v>2022</v>
      </c>
      <c r="G4" s="150" t="n">
        <v>2023</v>
      </c>
      <c r="H4" s="150" t="n">
        <v>2024</v>
      </c>
      <c r="I4" s="150" t="n">
        <v>2025</v>
      </c>
      <c r="J4" s="150" t="n">
        <v>2026</v>
      </c>
      <c r="K4" s="150" t="n">
        <v>2027</v>
      </c>
      <c r="L4" s="150" t="n">
        <v>2028</v>
      </c>
      <c r="M4" s="150" t="n">
        <v>2029</v>
      </c>
      <c r="N4" s="150" t="n">
        <v>2030</v>
      </c>
      <c r="O4" s="150" t="n">
        <v>2031</v>
      </c>
      <c r="P4" s="150" t="n">
        <v>2032</v>
      </c>
      <c r="Q4" s="150" t="n">
        <v>2033</v>
      </c>
      <c r="R4" s="150" t="n">
        <v>2034</v>
      </c>
      <c r="S4" s="150" t="n">
        <v>2035</v>
      </c>
      <c r="T4" s="150" t="inlineStr">
        <is>
          <t>Coverage / status</t>
        </is>
      </c>
      <c r="U4" s="150" t="inlineStr">
        <is>
          <t>Source</t>
        </is>
      </c>
      <c r="V4" s="150" t="inlineStr">
        <is>
          <t>Missing evidence / next action</t>
        </is>
      </c>
    </row>
    <row r="5">
      <c r="A5" s="151" t="inlineStr">
        <is>
          <t>Assumptions used below</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62" t="inlineStr">
        <is>
          <t>Diesel burned per kWh generated</t>
        </is>
      </c>
      <c r="B6" s="163" t="inlineStr">
        <is>
          <t>litres/kWh</t>
        </is>
      </c>
      <c r="C6" s="163" t="inlineStr">
        <is>
          <t>Assumption</t>
        </is>
      </c>
      <c r="D6" s="172" t="n">
        <v>0.31</v>
      </c>
      <c r="E6" s="162" t="inlineStr">
        <is>
          <t>Reported Eskom burn over generation in three years. A proposal awaiting review.</t>
        </is>
      </c>
      <c r="F6" s="172" t="n"/>
      <c r="G6" s="172" t="n"/>
      <c r="H6" s="172" t="n"/>
      <c r="I6" s="172" t="n"/>
      <c r="J6" s="172" t="n"/>
      <c r="K6" s="172" t="n"/>
      <c r="L6" s="172" t="n"/>
      <c r="M6" s="172" t="n"/>
      <c r="N6" s="172" t="n"/>
      <c r="O6" s="172" t="n"/>
      <c r="P6" s="172" t="n"/>
      <c r="Q6" s="172" t="n"/>
      <c r="R6" s="172" t="n"/>
      <c r="S6" s="172" t="n"/>
      <c r="T6" s="162" t="inlineStr"/>
      <c r="U6" s="162" t="inlineStr">
        <is>
          <t>Parliamentary replies on Eskom diesel burn; Eskom generation</t>
        </is>
      </c>
      <c r="V6" s="162" t="inlineStr">
        <is>
          <t>Nigel / Henry to confirm</t>
        </is>
      </c>
    </row>
    <row r="7">
      <c r="A7" s="162" t="inlineStr">
        <is>
          <t>Share of output on diesel when gas is available</t>
        </is>
      </c>
      <c r="B7" s="163" t="inlineStr">
        <is>
          <t>%</t>
        </is>
      </c>
      <c r="C7" s="163" t="inlineStr">
        <is>
          <t>Assumption</t>
        </is>
      </c>
      <c r="D7" s="173" t="n">
        <v>10</v>
      </c>
      <c r="E7" s="162" t="inlineStr">
        <is>
          <t>Diesel as the backup fuel of a station whose main fuel is gas. NO SOURCE: Eskom's tender says only that gas will be 'supplemented by diesel as and when it's required'.</t>
        </is>
      </c>
      <c r="F7" s="173" t="n"/>
      <c r="G7" s="173" t="n"/>
      <c r="H7" s="173" t="n"/>
      <c r="I7" s="173" t="n"/>
      <c r="J7" s="173" t="n"/>
      <c r="K7" s="173" t="n"/>
      <c r="L7" s="173" t="n"/>
      <c r="M7" s="173" t="n"/>
      <c r="N7" s="173" t="n"/>
      <c r="O7" s="173" t="n"/>
      <c r="P7" s="173" t="n"/>
      <c r="Q7" s="173" t="n"/>
      <c r="R7" s="173" t="n"/>
      <c r="S7" s="173" t="n"/>
      <c r="T7" s="162" t="inlineStr"/>
      <c r="U7" s="162" t="inlineStr"/>
      <c r="V7" s="162" t="inlineStr">
        <is>
          <t>Nigel / Henry to confirm</t>
        </is>
      </c>
    </row>
    <row r="8">
      <c r="A8" s="162" t="inlineStr">
        <is>
          <t>Load factor of a gas plant running on gas</t>
        </is>
      </c>
      <c r="B8" s="163" t="inlineStr">
        <is>
          <t>%</t>
        </is>
      </c>
      <c r="C8" s="163" t="inlineStr">
        <is>
          <t>Assumption</t>
        </is>
      </c>
      <c r="D8" s="173" t="n">
        <v>40</v>
      </c>
      <c r="E8" s="162" t="inlineStr">
        <is>
          <t>NO SOURCE. Eskom describes the gas it needs as dispatchable baseload, so well above a peaker.</t>
        </is>
      </c>
      <c r="F8" s="173" t="n"/>
      <c r="G8" s="173" t="n"/>
      <c r="H8" s="173" t="n"/>
      <c r="I8" s="173" t="n"/>
      <c r="J8" s="173" t="n"/>
      <c r="K8" s="173" t="n"/>
      <c r="L8" s="173" t="n"/>
      <c r="M8" s="173" t="n"/>
      <c r="N8" s="173" t="n"/>
      <c r="O8" s="173" t="n"/>
      <c r="P8" s="173" t="n"/>
      <c r="Q8" s="173" t="n"/>
      <c r="R8" s="173" t="n"/>
      <c r="S8" s="173" t="n"/>
      <c r="T8" s="162" t="inlineStr"/>
      <c r="U8" s="162" t="inlineStr"/>
      <c r="V8" s="162" t="inlineStr">
        <is>
          <t>Nigel / Henry to confirm</t>
        </is>
      </c>
    </row>
    <row r="10">
      <c r="A10" s="151" t="inlineStr">
        <is>
          <t>1. Stations that burn diesel today (installed capacity)</t>
        </is>
      </c>
      <c r="B10" s="151" t="n"/>
      <c r="C10" s="151" t="n"/>
      <c r="D10" s="151" t="n"/>
      <c r="E10" s="151" t="n"/>
      <c r="F10" s="151" t="n"/>
      <c r="G10" s="151" t="n"/>
      <c r="H10" s="151" t="n"/>
      <c r="I10" s="151" t="n"/>
      <c r="J10" s="151" t="n"/>
      <c r="K10" s="151" t="n"/>
      <c r="L10" s="151" t="n"/>
      <c r="M10" s="151" t="n"/>
      <c r="N10" s="151" t="n"/>
      <c r="O10" s="151" t="n"/>
      <c r="P10" s="151" t="n"/>
      <c r="Q10" s="151" t="n"/>
      <c r="R10" s="151" t="n"/>
      <c r="S10" s="151" t="n"/>
      <c r="T10" s="151" t="n"/>
      <c r="U10" s="151" t="n"/>
      <c r="V10" s="151" t="n"/>
    </row>
    <row r="11">
      <c r="A11" s="152" t="inlineStr">
        <is>
          <t>Ankerlig (Eskom)</t>
        </is>
      </c>
      <c r="B11" s="153" t="inlineStr">
        <is>
          <t>MW</t>
        </is>
      </c>
      <c r="C11" s="153" t="inlineStr">
        <is>
          <t>Source observation</t>
        </is>
      </c>
      <c r="D11" s="166" t="n"/>
      <c r="E11" s="152" t="inlineStr">
        <is>
          <t>Atlantis. Nine units. Eskom's peaking stations page gives 1 327 MW; the fact sheet figure is used. Whether the gas switch is on schedule is not established. Eskom sought a natural gas supply in 2023 and aimed to switch to gas by December 2027 with diesel as a supplement.</t>
        </is>
      </c>
      <c r="F11" s="166" t="n">
        <v>1338</v>
      </c>
      <c r="G11" s="166" t="n">
        <v>1338</v>
      </c>
      <c r="H11" s="166" t="n">
        <v>1338</v>
      </c>
      <c r="I11" s="166" t="n">
        <v>1338</v>
      </c>
      <c r="J11" s="166" t="n">
        <v>1338</v>
      </c>
      <c r="K11" s="166" t="n">
        <v>1338</v>
      </c>
      <c r="L11" s="166" t="n">
        <v>1338</v>
      </c>
      <c r="M11" s="166" t="n">
        <v>1338</v>
      </c>
      <c r="N11" s="166" t="n">
        <v>1338</v>
      </c>
      <c r="O11" s="166" t="n">
        <v>1338</v>
      </c>
      <c r="P11" s="166" t="n">
        <v>1338</v>
      </c>
      <c r="Q11" s="166" t="n">
        <v>1338</v>
      </c>
      <c r="R11" s="166" t="n">
        <v>1338</v>
      </c>
      <c r="S11" s="166" t="n">
        <v>1338</v>
      </c>
      <c r="T11" s="152" t="inlineStr">
        <is>
          <t>Installed capacity</t>
        </is>
      </c>
      <c r="U11" s="152" t="inlineStr">
        <is>
          <t>Capacity: Eskom fact sheet GX 0001 Rev 29 (July 2024). Fuel: Eskom peaking power stations page gives 'Fuel oil (Diesel)'. Gas tender: as reported by News24 on 12 June 2023</t>
        </is>
      </c>
      <c r="V11" s="152" t="inlineStr"/>
    </row>
    <row r="12">
      <c r="A12" s="152" t="inlineStr">
        <is>
          <t>Gourikwa (Eskom)</t>
        </is>
      </c>
      <c r="B12" s="153" t="inlineStr">
        <is>
          <t>MW</t>
        </is>
      </c>
      <c r="C12" s="153" t="inlineStr">
        <is>
          <t>Source observation</t>
        </is>
      </c>
      <c r="D12" s="166" t="n"/>
      <c r="E12" s="152" t="inlineStr">
        <is>
          <t>Mossel Bay. Five units. Eskom's peaking stations page gives 740 MW; the fact sheet figure is used. Same gas supply tender as Ankerlig.</t>
        </is>
      </c>
      <c r="F12" s="166" t="n">
        <v>746</v>
      </c>
      <c r="G12" s="166" t="n">
        <v>746</v>
      </c>
      <c r="H12" s="166" t="n">
        <v>746</v>
      </c>
      <c r="I12" s="166" t="n">
        <v>746</v>
      </c>
      <c r="J12" s="166" t="n">
        <v>746</v>
      </c>
      <c r="K12" s="166" t="n">
        <v>746</v>
      </c>
      <c r="L12" s="166" t="n">
        <v>746</v>
      </c>
      <c r="M12" s="166" t="n">
        <v>746</v>
      </c>
      <c r="N12" s="166" t="n">
        <v>746</v>
      </c>
      <c r="O12" s="166" t="n">
        <v>746</v>
      </c>
      <c r="P12" s="166" t="n">
        <v>746</v>
      </c>
      <c r="Q12" s="166" t="n">
        <v>746</v>
      </c>
      <c r="R12" s="166" t="n">
        <v>746</v>
      </c>
      <c r="S12" s="166" t="n">
        <v>746</v>
      </c>
      <c r="T12" s="152" t="inlineStr">
        <is>
          <t>Installed capacity</t>
        </is>
      </c>
      <c r="U12" s="152" t="inlineStr">
        <is>
          <t>Capacity: Eskom fact sheet GX 0001 Rev 29 (July 2024). Fuel: Eskom peaking power stations page gives 'Fuel oil (Diesel)'. Gas tender: as reported by News24 on 12 June 2023</t>
        </is>
      </c>
      <c r="V12" s="152" t="inlineStr"/>
    </row>
    <row r="13">
      <c r="A13" s="152" t="inlineStr">
        <is>
          <t>Avon (Independent producer)</t>
        </is>
      </c>
      <c r="B13" s="153" t="inlineStr">
        <is>
          <t>MW</t>
        </is>
      </c>
      <c r="C13" s="153" t="inlineStr">
        <is>
          <t>Source observation</t>
        </is>
      </c>
      <c r="D13" s="166" t="n"/>
      <c r="E13" s="152" t="inlineStr">
        <is>
          <t>KwaZulu-Natal near Durban. Four units. Owned by ENGIE Legend Power Solutions Mitsui and The Peaker Trust. Sells to Eskom under a 15-year power purchase agreement from commercial operation in July 2016 so the agreement ends in July 2031. Shown to its last full year; what follows is not established.</t>
        </is>
      </c>
      <c r="F13" s="166" t="n">
        <v>670</v>
      </c>
      <c r="G13" s="166" t="n">
        <v>670</v>
      </c>
      <c r="H13" s="166" t="n">
        <v>670</v>
      </c>
      <c r="I13" s="166" t="n">
        <v>670</v>
      </c>
      <c r="J13" s="166" t="n">
        <v>670</v>
      </c>
      <c r="K13" s="166" t="n">
        <v>670</v>
      </c>
      <c r="L13" s="166" t="n">
        <v>670</v>
      </c>
      <c r="M13" s="166" t="n">
        <v>670</v>
      </c>
      <c r="N13" s="166" t="n">
        <v>670</v>
      </c>
      <c r="O13" s="166" t="n">
        <v>670</v>
      </c>
      <c r="P13" s="166" t="n">
        <v>670</v>
      </c>
      <c r="Q13" s="166" t="n">
        <v>670</v>
      </c>
      <c r="R13" s="166" t="n">
        <v>670</v>
      </c>
      <c r="S13" s="166" t="n">
        <v>670</v>
      </c>
      <c r="T13" s="152" t="inlineStr">
        <is>
          <t>Installed capacity</t>
        </is>
      </c>
      <c r="U13" s="152" t="inlineStr">
        <is>
          <t>Capacity owners and agreement: African Energy 9 October 2015. Fuel: Global Energy Monitor citing an ENGIE brochure (diesel; able to run on gas)</t>
        </is>
      </c>
      <c r="V13" s="152" t="inlineStr"/>
    </row>
    <row r="14">
      <c r="A14" s="152" t="inlineStr">
        <is>
          <t>Dedisa (Independent producer)</t>
        </is>
      </c>
      <c r="B14" s="153" t="inlineStr">
        <is>
          <t>MW</t>
        </is>
      </c>
      <c r="C14" s="153" t="inlineStr">
        <is>
          <t>Source observation</t>
        </is>
      </c>
      <c r="D14" s="166" t="n"/>
      <c r="E14" s="152" t="inlineStr">
        <is>
          <t>Eastern Cape near Gqeberha. Same owners as Avon. Sells to Eskom under a 15-year power purchase agreement from commercial operation in October 2015 so the agreement ends in October 2030. Shown to its last full year; what follows is not established.</t>
        </is>
      </c>
      <c r="F14" s="166" t="n">
        <v>335</v>
      </c>
      <c r="G14" s="166" t="n">
        <v>335</v>
      </c>
      <c r="H14" s="166" t="n">
        <v>335</v>
      </c>
      <c r="I14" s="166" t="n">
        <v>335</v>
      </c>
      <c r="J14" s="166" t="n">
        <v>335</v>
      </c>
      <c r="K14" s="166" t="n">
        <v>335</v>
      </c>
      <c r="L14" s="166" t="n">
        <v>335</v>
      </c>
      <c r="M14" s="166" t="n">
        <v>335</v>
      </c>
      <c r="N14" s="166" t="n">
        <v>335</v>
      </c>
      <c r="O14" s="166" t="n">
        <v>335</v>
      </c>
      <c r="P14" s="166" t="n">
        <v>335</v>
      </c>
      <c r="Q14" s="166" t="n">
        <v>335</v>
      </c>
      <c r="R14" s="166" t="n">
        <v>335</v>
      </c>
      <c r="S14" s="166" t="n">
        <v>335</v>
      </c>
      <c r="T14" s="152" t="inlineStr">
        <is>
          <t>Installed capacity</t>
        </is>
      </c>
      <c r="U14" s="152" t="inlineStr">
        <is>
          <t>Capacity owners and agreement: African Energy 9 October 2015. Fuel: Global Energy Monitor citing an ENGIE brochure (diesel; able to run on gas)</t>
        </is>
      </c>
      <c r="V14" s="152" t="inlineStr"/>
    </row>
    <row r="15">
      <c r="A15" s="156" t="inlineStr">
        <is>
          <t>Diesel stations, total installed</t>
        </is>
      </c>
      <c r="B15" s="157" t="inlineStr">
        <is>
          <t>MW</t>
        </is>
      </c>
      <c r="C15" s="157" t="inlineStr">
        <is>
          <t>Reporting formula</t>
        </is>
      </c>
      <c r="D15" s="167" t="n"/>
      <c r="E15" s="156" t="inlineStr">
        <is>
          <t>Sum of the four stations.</t>
        </is>
      </c>
      <c r="F15" s="167">
        <f>SUM(F11:F14)</f>
        <v/>
      </c>
      <c r="G15" s="167">
        <f>SUM(G11:G14)</f>
        <v/>
      </c>
      <c r="H15" s="167">
        <f>SUM(H11:H14)</f>
        <v/>
      </c>
      <c r="I15" s="167">
        <f>SUM(I11:I14)</f>
        <v/>
      </c>
      <c r="J15" s="167">
        <f>SUM(J11:J14)</f>
        <v/>
      </c>
      <c r="K15" s="167">
        <f>SUM(K11:K14)</f>
        <v/>
      </c>
      <c r="L15" s="167">
        <f>SUM(L11:L14)</f>
        <v/>
      </c>
      <c r="M15" s="167">
        <f>SUM(M11:M14)</f>
        <v/>
      </c>
      <c r="N15" s="167">
        <f>SUM(N11:N14)</f>
        <v/>
      </c>
      <c r="O15" s="167">
        <f>SUM(O11:O14)</f>
        <v/>
      </c>
      <c r="P15" s="167">
        <f>SUM(P11:P14)</f>
        <v/>
      </c>
      <c r="Q15" s="167">
        <f>SUM(Q11:Q14)</f>
        <v/>
      </c>
      <c r="R15" s="167">
        <f>SUM(R11:R14)</f>
        <v/>
      </c>
      <c r="S15" s="167">
        <f>SUM(S11:S14)</f>
        <v/>
      </c>
      <c r="T15" s="156" t="inlineStr"/>
      <c r="U15" s="156" t="inlineStr"/>
      <c r="V15" s="156" t="inlineStr"/>
    </row>
    <row r="16">
      <c r="A16" s="159" t="inlineStr">
        <is>
          <t>Acacia (Eskom)</t>
        </is>
      </c>
      <c r="B16" s="160" t="inlineStr">
        <is>
          <t>MW</t>
        </is>
      </c>
      <c r="C16" s="160" t="inlineStr">
        <is>
          <t>Not counted</t>
        </is>
      </c>
      <c r="D16" s="171" t="n"/>
      <c r="E16" s="159" t="inlineStr">
        <is>
          <t>Cape Town. Three 57 MW units. Burns kerosene not diesel so it is left out of the diesel total.</t>
        </is>
      </c>
      <c r="F16" s="171" t="n">
        <v>171</v>
      </c>
      <c r="G16" s="171" t="n">
        <v>171</v>
      </c>
      <c r="H16" s="171" t="n">
        <v>171</v>
      </c>
      <c r="I16" s="171" t="n">
        <v>171</v>
      </c>
      <c r="J16" s="171" t="n">
        <v>171</v>
      </c>
      <c r="K16" s="171" t="n">
        <v>171</v>
      </c>
      <c r="L16" s="171" t="n">
        <v>171</v>
      </c>
      <c r="M16" s="171" t="n">
        <v>171</v>
      </c>
      <c r="N16" s="171" t="n">
        <v>171</v>
      </c>
      <c r="O16" s="171" t="n">
        <v>171</v>
      </c>
      <c r="P16" s="171" t="n">
        <v>171</v>
      </c>
      <c r="Q16" s="171" t="n">
        <v>171</v>
      </c>
      <c r="R16" s="171" t="n">
        <v>171</v>
      </c>
      <c r="S16" s="171" t="n">
        <v>171</v>
      </c>
      <c r="T16" s="159" t="inlineStr"/>
      <c r="U16" s="159" t="inlineStr">
        <is>
          <t>Eskom fact sheet GX 0001 Rev 29 (July 2024); Eskom peaking power stations page</t>
        </is>
      </c>
      <c r="V16" s="159" t="inlineStr"/>
    </row>
    <row r="17">
      <c r="A17" s="159" t="inlineStr">
        <is>
          <t>Port Rex (Eskom)</t>
        </is>
      </c>
      <c r="B17" s="160" t="inlineStr">
        <is>
          <t>MW</t>
        </is>
      </c>
      <c r="C17" s="160" t="inlineStr">
        <is>
          <t>Not counted</t>
        </is>
      </c>
      <c r="D17" s="171" t="n"/>
      <c r="E17" s="159" t="inlineStr">
        <is>
          <t>East London. Three 57 MW units. Burns kerosene not diesel so it is left out of the diesel total.</t>
        </is>
      </c>
      <c r="F17" s="171" t="n">
        <v>171</v>
      </c>
      <c r="G17" s="171" t="n">
        <v>171</v>
      </c>
      <c r="H17" s="171" t="n">
        <v>171</v>
      </c>
      <c r="I17" s="171" t="n">
        <v>171</v>
      </c>
      <c r="J17" s="171" t="n">
        <v>171</v>
      </c>
      <c r="K17" s="171" t="n">
        <v>171</v>
      </c>
      <c r="L17" s="171" t="n">
        <v>171</v>
      </c>
      <c r="M17" s="171" t="n">
        <v>171</v>
      </c>
      <c r="N17" s="171" t="n">
        <v>171</v>
      </c>
      <c r="O17" s="171" t="n">
        <v>171</v>
      </c>
      <c r="P17" s="171" t="n">
        <v>171</v>
      </c>
      <c r="Q17" s="171" t="n">
        <v>171</v>
      </c>
      <c r="R17" s="171" t="n">
        <v>171</v>
      </c>
      <c r="S17" s="171" t="n">
        <v>171</v>
      </c>
      <c r="T17" s="159" t="inlineStr"/>
      <c r="U17" s="159" t="inlineStr">
        <is>
          <t>Eskom fact sheet GX 0001 Rev 29 (July 2024); Eskom peaking power stations page</t>
        </is>
      </c>
      <c r="V17" s="159" t="inlineStr"/>
    </row>
    <row r="19">
      <c r="A19" s="151" t="inlineStr">
        <is>
          <t>2. What the peaking stations have generated and burned</t>
        </is>
      </c>
      <c r="B19" s="151" t="n"/>
      <c r="C19" s="151" t="n"/>
      <c r="D19" s="151" t="n"/>
      <c r="E19" s="151" t="n"/>
      <c r="F19" s="151" t="n"/>
      <c r="G19" s="151" t="n"/>
      <c r="H19" s="151" t="n"/>
      <c r="I19" s="151" t="n"/>
      <c r="J19" s="151" t="n"/>
      <c r="K19" s="151" t="n"/>
      <c r="L19" s="151" t="n"/>
      <c r="M19" s="151" t="n"/>
      <c r="N19" s="151" t="n"/>
      <c r="O19" s="151" t="n"/>
      <c r="P19" s="151" t="n"/>
      <c r="Q19" s="151" t="n"/>
      <c r="R19" s="151" t="n"/>
      <c r="S19" s="151" t="n"/>
      <c r="T19" s="151" t="n"/>
      <c r="U19" s="151" t="n"/>
      <c r="V19" s="151" t="n"/>
    </row>
    <row r="20">
      <c r="A20" s="152" t="inlineStr">
        <is>
          <t>Generation, Eskom and independent peaking stations</t>
        </is>
      </c>
      <c r="B20" s="153" t="inlineStr">
        <is>
          <t>GWh</t>
        </is>
      </c>
      <c r="C20" s="153" t="inlineStr">
        <is>
          <t>Source observation</t>
        </is>
      </c>
      <c r="D20" s="166" t="n"/>
      <c r="E20" s="152" t="inlineStr">
        <is>
          <t>Year to 31 March of the following year, shown under the calendar year it mostly covers. Includes the two kerosene stations.</t>
        </is>
      </c>
      <c r="F20" s="166" t="n">
        <v>4116</v>
      </c>
      <c r="G20" s="166" t="n">
        <v>5143</v>
      </c>
      <c r="H20" s="166" t="n">
        <v>2838</v>
      </c>
      <c r="I20" s="166" t="n">
        <v>1079</v>
      </c>
      <c r="J20" s="166" t="n"/>
      <c r="K20" s="166" t="n"/>
      <c r="L20" s="166" t="n"/>
      <c r="M20" s="166" t="n"/>
      <c r="N20" s="166" t="n"/>
      <c r="O20" s="166" t="n"/>
      <c r="P20" s="166" t="n"/>
      <c r="Q20" s="166" t="n"/>
      <c r="R20" s="166" t="n"/>
      <c r="S20" s="166" t="n"/>
      <c r="T20" s="152" t="inlineStr">
        <is>
          <t>2022-2025</t>
        </is>
      </c>
      <c r="U20" s="152" t="inlineStr">
        <is>
          <t>Eskom</t>
        </is>
      </c>
      <c r="V20" s="152" t="inlineStr"/>
    </row>
    <row r="21">
      <c r="A21" s="156" t="inlineStr">
        <is>
          <t>Observed load factor</t>
        </is>
      </c>
      <c r="B21" s="157" t="inlineStr">
        <is>
          <t>%</t>
        </is>
      </c>
      <c r="C21" s="157" t="inlineStr">
        <is>
          <t>Reporting formula</t>
        </is>
      </c>
      <c r="D21" s="174" t="n"/>
      <c r="E21" s="156" t="inlineStr">
        <is>
          <t>Generation divided by what all six stations would produce running all year.</t>
        </is>
      </c>
      <c r="F21" s="174">
        <f>IF(ISNUMBER(F20),F20/((F15+F16+F17)*8.76)*100,"")</f>
        <v/>
      </c>
      <c r="G21" s="174">
        <f>IF(ISNUMBER(G20),G20/((G15+G16+G17)*8.76)*100,"")</f>
        <v/>
      </c>
      <c r="H21" s="174">
        <f>IF(ISNUMBER(H20),H20/((H15+H16+H17)*8.76)*100,"")</f>
        <v/>
      </c>
      <c r="I21" s="174">
        <f>IF(ISNUMBER(I20),I20/((I15+I16+I17)*8.76)*100,"")</f>
        <v/>
      </c>
      <c r="J21" s="174">
        <f>IF(ISNUMBER(J20),J20/((J15+J16+J17)*8.76)*100,"")</f>
        <v/>
      </c>
      <c r="K21" s="174">
        <f>IF(ISNUMBER(K20),K20/((K15+K16+K17)*8.76)*100,"")</f>
        <v/>
      </c>
      <c r="L21" s="174">
        <f>IF(ISNUMBER(L20),L20/((L15+L16+L17)*8.76)*100,"")</f>
        <v/>
      </c>
      <c r="M21" s="174">
        <f>IF(ISNUMBER(M20),M20/((M15+M16+M17)*8.76)*100,"")</f>
        <v/>
      </c>
      <c r="N21" s="174">
        <f>IF(ISNUMBER(N20),N20/((N15+N16+N17)*8.76)*100,"")</f>
        <v/>
      </c>
      <c r="O21" s="174">
        <f>IF(ISNUMBER(O20),O20/((O15+O16+O17)*8.76)*100,"")</f>
        <v/>
      </c>
      <c r="P21" s="174">
        <f>IF(ISNUMBER(P20),P20/((P15+P16+P17)*8.76)*100,"")</f>
        <v/>
      </c>
      <c r="Q21" s="174">
        <f>IF(ISNUMBER(Q20),Q20/((Q15+Q16+Q17)*8.76)*100,"")</f>
        <v/>
      </c>
      <c r="R21" s="174">
        <f>IF(ISNUMBER(R20),R20/((R15+R16+R17)*8.76)*100,"")</f>
        <v/>
      </c>
      <c r="S21" s="174">
        <f>IF(ISNUMBER(S20),S20/((S15+S16+S17)*8.76)*100,"")</f>
        <v/>
      </c>
      <c r="T21" s="156" t="inlineStr"/>
      <c r="U21" s="156" t="inlineStr"/>
      <c r="V21" s="156" t="inlineStr"/>
    </row>
    <row r="22">
      <c r="A22" s="156" t="inlineStr">
        <is>
          <t>Diesel burned, estimated</t>
        </is>
      </c>
      <c r="B22" s="157" t="inlineStr">
        <is>
          <t>million L/year</t>
        </is>
      </c>
      <c r="C22" s="157" t="inlineStr">
        <is>
          <t>Reporting formula</t>
        </is>
      </c>
      <c r="D22" s="158" t="n"/>
      <c r="E22" s="156" t="inlineStr">
        <is>
          <t>Generation times litres per kWh.</t>
        </is>
      </c>
      <c r="F22" s="158">
        <f>IF(ISNUMBER(F20),F20*$D$6,"")</f>
        <v/>
      </c>
      <c r="G22" s="158">
        <f>IF(ISNUMBER(G20),G20*$D$6,"")</f>
        <v/>
      </c>
      <c r="H22" s="158">
        <f>IF(ISNUMBER(H20),H20*$D$6,"")</f>
        <v/>
      </c>
      <c r="I22" s="158">
        <f>IF(ISNUMBER(I20),I20*$D$6,"")</f>
        <v/>
      </c>
      <c r="J22" s="158">
        <f>IF(ISNUMBER(J20),J20*$D$6,"")</f>
        <v/>
      </c>
      <c r="K22" s="158">
        <f>IF(ISNUMBER(K20),K20*$D$6,"")</f>
        <v/>
      </c>
      <c r="L22" s="158">
        <f>IF(ISNUMBER(L20),L20*$D$6,"")</f>
        <v/>
      </c>
      <c r="M22" s="158">
        <f>IF(ISNUMBER(M20),M20*$D$6,"")</f>
        <v/>
      </c>
      <c r="N22" s="158">
        <f>IF(ISNUMBER(N20),N20*$D$6,"")</f>
        <v/>
      </c>
      <c r="O22" s="158">
        <f>IF(ISNUMBER(O20),O20*$D$6,"")</f>
        <v/>
      </c>
      <c r="P22" s="158">
        <f>IF(ISNUMBER(P20),P20*$D$6,"")</f>
        <v/>
      </c>
      <c r="Q22" s="158">
        <f>IF(ISNUMBER(Q20),Q20*$D$6,"")</f>
        <v/>
      </c>
      <c r="R22" s="158">
        <f>IF(ISNUMBER(R20),R20*$D$6,"")</f>
        <v/>
      </c>
      <c r="S22" s="158">
        <f>IF(ISNUMBER(S20),S20*$D$6,"")</f>
        <v/>
      </c>
      <c r="T22" s="156" t="inlineStr">
        <is>
          <t>Estimate; slightly high because some output is kerosene</t>
        </is>
      </c>
      <c r="U22" s="156" t="inlineStr"/>
      <c r="V22" s="156" t="inlineStr"/>
    </row>
    <row r="23">
      <c r="A23" s="159" t="inlineStr">
        <is>
          <t>Model today, high demand scenario</t>
        </is>
      </c>
      <c r="B23" s="160" t="inlineStr">
        <is>
          <t>million L/year</t>
        </is>
      </c>
      <c r="C23" s="160" t="inlineStr">
        <is>
          <t>Comparison only</t>
        </is>
      </c>
      <c r="D23" s="161" t="n"/>
      <c r="E23" s="159" t="inlineStr">
        <is>
          <t>The engine's power generation diesel on manish-branch. It runs six stations, two of them placeholders of 1,000 and 2,000 MW, at 55-70% load factor.</t>
        </is>
      </c>
      <c r="F23" s="161" t="n"/>
      <c r="G23" s="161" t="n"/>
      <c r="H23" s="161" t="n">
        <v>3581.094837</v>
      </c>
      <c r="I23" s="161" t="n"/>
      <c r="J23" s="161" t="n"/>
      <c r="K23" s="161" t="n"/>
      <c r="L23" s="161" t="n"/>
      <c r="M23" s="161" t="n"/>
      <c r="N23" s="161" t="n">
        <v>4594.513171</v>
      </c>
      <c r="O23" s="161" t="n"/>
      <c r="P23" s="161" t="n"/>
      <c r="Q23" s="161" t="n"/>
      <c r="R23" s="161" t="n"/>
      <c r="S23" s="161" t="n">
        <v>4594.513171</v>
      </c>
      <c r="T23" s="159" t="inlineStr">
        <is>
          <t>2024, 2030 and 2035 shown</t>
        </is>
      </c>
      <c r="U23" s="159" t="inlineStr">
        <is>
          <t>sector_baselines_2026-10-07.csv</t>
        </is>
      </c>
      <c r="V23" s="159" t="inlineStr"/>
    </row>
    <row r="24">
      <c r="A24" s="159" t="inlineStr">
        <is>
          <t>Model today, low demand scenario</t>
        </is>
      </c>
      <c r="B24" s="160" t="inlineStr">
        <is>
          <t>million L/year</t>
        </is>
      </c>
      <c r="C24" s="160" t="inlineStr">
        <is>
          <t>Comparison only</t>
        </is>
      </c>
      <c r="D24" s="161" t="n"/>
      <c r="E24" s="159" t="inlineStr">
        <is>
          <t>The engine's power generation diesel on manish-branch. It runs six stations, two of them placeholders of 1,000 and 2,000 MW, at 55-70% load factor.</t>
        </is>
      </c>
      <c r="F24" s="161" t="n"/>
      <c r="G24" s="161" t="n"/>
      <c r="H24" s="161" t="n">
        <v>3581.094837</v>
      </c>
      <c r="I24" s="161" t="n"/>
      <c r="J24" s="161" t="n"/>
      <c r="K24" s="161" t="n"/>
      <c r="L24" s="161" t="n"/>
      <c r="M24" s="161" t="n"/>
      <c r="N24" s="161" t="n">
        <v>1053.415718</v>
      </c>
      <c r="O24" s="161" t="n"/>
      <c r="P24" s="161" t="n"/>
      <c r="Q24" s="161" t="n"/>
      <c r="R24" s="161" t="n"/>
      <c r="S24" s="161" t="n">
        <v>1053.415718</v>
      </c>
      <c r="T24" s="159" t="inlineStr">
        <is>
          <t>2024, 2030 and 2035 shown</t>
        </is>
      </c>
      <c r="U24" s="159" t="inlineStr">
        <is>
          <t>sector_baselines_2026-10-07.csv</t>
        </is>
      </c>
      <c r="V24" s="159" t="inlineStr"/>
    </row>
    <row r="26">
      <c r="A26" s="151" t="inlineStr">
        <is>
          <t>3. Coal stations being retired: capacity still operating</t>
        </is>
      </c>
      <c r="B26" s="151" t="n"/>
      <c r="C26" s="151" t="n"/>
      <c r="D26" s="151" t="n"/>
      <c r="E26" s="151" t="n"/>
      <c r="F26" s="151" t="n"/>
      <c r="G26" s="151" t="n"/>
      <c r="H26" s="151" t="n"/>
      <c r="I26" s="151" t="n"/>
      <c r="J26" s="151" t="n"/>
      <c r="K26" s="151" t="n"/>
      <c r="L26" s="151" t="n"/>
      <c r="M26" s="151" t="n"/>
      <c r="N26" s="151" t="n"/>
      <c r="O26" s="151" t="n"/>
      <c r="P26" s="151" t="n"/>
      <c r="Q26" s="151" t="n"/>
      <c r="R26" s="151" t="n"/>
      <c r="S26" s="151" t="n"/>
      <c r="T26" s="151" t="n"/>
      <c r="U26" s="151" t="n"/>
      <c r="V26" s="151" t="n"/>
    </row>
    <row r="27">
      <c r="A27" s="152" t="inlineStr">
        <is>
          <t>Komati</t>
        </is>
      </c>
      <c r="B27" s="153" t="inlineStr">
        <is>
          <t>MW</t>
        </is>
      </c>
      <c r="C27" s="153" t="inlineStr">
        <is>
          <t>Source observation</t>
        </is>
      </c>
      <c r="D27" s="166" t="n"/>
      <c r="E27" s="152" t="inlineStr">
        <is>
          <t>Shut down from midday on 31 October 2022. To be converted to 150 MW of solar 70 MW of wind and 150 MW of batteries; no gas plant.</t>
        </is>
      </c>
      <c r="F27" s="166" t="n">
        <v>990</v>
      </c>
      <c r="G27" s="166" t="n">
        <v>0</v>
      </c>
      <c r="H27" s="166" t="n">
        <v>0</v>
      </c>
      <c r="I27" s="166" t="n">
        <v>0</v>
      </c>
      <c r="J27" s="166" t="n">
        <v>0</v>
      </c>
      <c r="K27" s="166" t="n">
        <v>0</v>
      </c>
      <c r="L27" s="166" t="n">
        <v>0</v>
      </c>
      <c r="M27" s="166" t="n">
        <v>0</v>
      </c>
      <c r="N27" s="166" t="n">
        <v>0</v>
      </c>
      <c r="O27" s="166" t="n">
        <v>0</v>
      </c>
      <c r="P27" s="166" t="n">
        <v>0</v>
      </c>
      <c r="Q27" s="166" t="n">
        <v>0</v>
      </c>
      <c r="R27" s="166" t="n">
        <v>0</v>
      </c>
      <c r="S27" s="166" t="n">
        <v>0</v>
      </c>
      <c r="T27" s="152" t="inlineStr">
        <is>
          <t>Capacity shown to the last full year of operation</t>
        </is>
      </c>
      <c r="U27" s="152" t="inlineStr">
        <is>
          <t>Capacity: Eskom fact sheet GX 0001 Rev 29. Shutdown: Eskom statement of 31 October 2022 (eskom.co.za)</t>
        </is>
      </c>
      <c r="V27" s="152" t="inlineStr"/>
    </row>
    <row r="28">
      <c r="A28" s="152" t="inlineStr">
        <is>
          <t>Camden</t>
        </is>
      </c>
      <c r="B28" s="153" t="inlineStr">
        <is>
          <t>MW</t>
        </is>
      </c>
      <c r="C28" s="153" t="inlineStr">
        <is>
          <t>Source observation</t>
        </is>
      </c>
      <c r="D28" s="166" t="n"/>
      <c r="E28" s="152" t="inlineStr">
        <is>
          <t>Exemption to operate until 31 March 2030. Eskom was to decide by end September 2026 between shutdown repowering and repurposing. No decision had been announced by 8 October 2026: Eskom's media statements to 7 October carry none and on 3 September its chief executive said only that shutdown repowering and repurposing 'must be informed by evidence'.</t>
        </is>
      </c>
      <c r="F28" s="166" t="n">
        <v>1561</v>
      </c>
      <c r="G28" s="166" t="n">
        <v>1561</v>
      </c>
      <c r="H28" s="166" t="n">
        <v>1561</v>
      </c>
      <c r="I28" s="166" t="n">
        <v>1561</v>
      </c>
      <c r="J28" s="166" t="n">
        <v>1561</v>
      </c>
      <c r="K28" s="166" t="n">
        <v>1561</v>
      </c>
      <c r="L28" s="166" t="n">
        <v>1561</v>
      </c>
      <c r="M28" s="166" t="n">
        <v>1561</v>
      </c>
      <c r="N28" s="166" t="n">
        <v>0</v>
      </c>
      <c r="O28" s="166" t="n">
        <v>0</v>
      </c>
      <c r="P28" s="166" t="n">
        <v>0</v>
      </c>
      <c r="Q28" s="166" t="n">
        <v>0</v>
      </c>
      <c r="R28" s="166" t="n">
        <v>0</v>
      </c>
      <c r="S28" s="166" t="n">
        <v>0</v>
      </c>
      <c r="T28" s="152" t="inlineStr">
        <is>
          <t>Capacity shown to the last full year of operation</t>
        </is>
      </c>
      <c r="U28" s="152" t="inlineStr">
        <is>
          <t>Capacity: Eskom fact sheet GX 0001 Rev 29. Dates: TechCentral 22 April 2026. Decision status: Eskom media statements page and Sunday Times 3 September 2026</t>
        </is>
      </c>
      <c r="V28" s="152" t="inlineStr"/>
    </row>
    <row r="29">
      <c r="A29" s="152" t="inlineStr">
        <is>
          <t>Grootvlei</t>
        </is>
      </c>
      <c r="B29" s="153" t="inlineStr">
        <is>
          <t>MW</t>
        </is>
      </c>
      <c r="C29" s="153" t="inlineStr">
        <is>
          <t>Source observation</t>
        </is>
      </c>
      <c r="D29" s="166" t="n"/>
      <c r="E29" s="152" t="inlineStr">
        <is>
          <t>Exemption to operate until 31 March 2030. Decision due end September 2026. No decision had been announced by 8 October 2026: Eskom's media statements to 7 October carry none and on 3 September its chief executive said only that shutdown repowering and repurposing 'must be informed by evidence'.</t>
        </is>
      </c>
      <c r="F29" s="166" t="n">
        <v>1180</v>
      </c>
      <c r="G29" s="166" t="n">
        <v>1180</v>
      </c>
      <c r="H29" s="166" t="n">
        <v>1180</v>
      </c>
      <c r="I29" s="166" t="n">
        <v>1180</v>
      </c>
      <c r="J29" s="166" t="n">
        <v>1180</v>
      </c>
      <c r="K29" s="166" t="n">
        <v>1180</v>
      </c>
      <c r="L29" s="166" t="n">
        <v>1180</v>
      </c>
      <c r="M29" s="166" t="n">
        <v>1180</v>
      </c>
      <c r="N29" s="166" t="n">
        <v>0</v>
      </c>
      <c r="O29" s="166" t="n">
        <v>0</v>
      </c>
      <c r="P29" s="166" t="n">
        <v>0</v>
      </c>
      <c r="Q29" s="166" t="n">
        <v>0</v>
      </c>
      <c r="R29" s="166" t="n">
        <v>0</v>
      </c>
      <c r="S29" s="166" t="n">
        <v>0</v>
      </c>
      <c r="T29" s="152" t="inlineStr">
        <is>
          <t>Capacity shown to the last full year of operation</t>
        </is>
      </c>
      <c r="U29" s="152" t="inlineStr">
        <is>
          <t>Capacity: Eskom fact sheet GX 0001 Rev 29. Dates: TechCentral 22 April 2026. Decision status: Eskom media statements page and Sunday Times 3 September 2026</t>
        </is>
      </c>
      <c r="V29" s="152" t="inlineStr"/>
    </row>
    <row r="30">
      <c r="A30" s="152" t="inlineStr">
        <is>
          <t>Hendrina</t>
        </is>
      </c>
      <c r="B30" s="153" t="inlineStr">
        <is>
          <t>MW</t>
        </is>
      </c>
      <c r="C30" s="153" t="inlineStr">
        <is>
          <t>Source observation</t>
        </is>
      </c>
      <c r="D30" s="166" t="n"/>
      <c r="E30" s="152" t="inlineStr">
        <is>
          <t>Exemption to operate until 31 March 2030. Decision due end September 2026. No decision had been announced by 8 October 2026: Eskom's media statements to 7 October carry none and on 3 September its chief executive said only that shutdown repowering and repurposing 'must be informed by evidence'.</t>
        </is>
      </c>
      <c r="F30" s="166" t="n">
        <v>1723</v>
      </c>
      <c r="G30" s="166" t="n">
        <v>1723</v>
      </c>
      <c r="H30" s="166" t="n">
        <v>1723</v>
      </c>
      <c r="I30" s="166" t="n">
        <v>1723</v>
      </c>
      <c r="J30" s="166" t="n">
        <v>1723</v>
      </c>
      <c r="K30" s="166" t="n">
        <v>1723</v>
      </c>
      <c r="L30" s="166" t="n">
        <v>1723</v>
      </c>
      <c r="M30" s="166" t="n">
        <v>1723</v>
      </c>
      <c r="N30" s="166" t="n">
        <v>0</v>
      </c>
      <c r="O30" s="166" t="n">
        <v>0</v>
      </c>
      <c r="P30" s="166" t="n">
        <v>0</v>
      </c>
      <c r="Q30" s="166" t="n">
        <v>0</v>
      </c>
      <c r="R30" s="166" t="n">
        <v>0</v>
      </c>
      <c r="S30" s="166" t="n">
        <v>0</v>
      </c>
      <c r="T30" s="152" t="inlineStr">
        <is>
          <t>Capacity shown to the last full year of operation</t>
        </is>
      </c>
      <c r="U30" s="152" t="inlineStr">
        <is>
          <t>Capacity: Eskom fact sheet GX 0001 Rev 29. Dates: TechCentral 22 April 2026. Decision status: Eskom media statements page and Sunday Times 3 September 2026</t>
        </is>
      </c>
      <c r="V30" s="152" t="inlineStr"/>
    </row>
    <row r="31">
      <c r="A31" s="152" t="inlineStr">
        <is>
          <t>Arnot</t>
        </is>
      </c>
      <c r="B31" s="153" t="inlineStr">
        <is>
          <t>MW</t>
        </is>
      </c>
      <c r="C31" s="153" t="inlineStr">
        <is>
          <t>Source observation</t>
        </is>
      </c>
      <c r="D31" s="166" t="n"/>
      <c r="E31" s="152" t="inlineStr">
        <is>
          <t>Exemption to operate until 31 March 2030. Decision due end September 2026. No decision had been announced by 8 October 2026: Eskom's media statements to 7 October carry none and on 3 September its chief executive said only that shutdown repowering and repurposing 'must be informed by evidence'.</t>
        </is>
      </c>
      <c r="F31" s="166" t="n">
        <v>2220</v>
      </c>
      <c r="G31" s="166" t="n">
        <v>2220</v>
      </c>
      <c r="H31" s="166" t="n">
        <v>2220</v>
      </c>
      <c r="I31" s="166" t="n">
        <v>2220</v>
      </c>
      <c r="J31" s="166" t="n">
        <v>2220</v>
      </c>
      <c r="K31" s="166" t="n">
        <v>2220</v>
      </c>
      <c r="L31" s="166" t="n">
        <v>2220</v>
      </c>
      <c r="M31" s="166" t="n">
        <v>2220</v>
      </c>
      <c r="N31" s="166" t="n">
        <v>0</v>
      </c>
      <c r="O31" s="166" t="n">
        <v>0</v>
      </c>
      <c r="P31" s="166" t="n">
        <v>0</v>
      </c>
      <c r="Q31" s="166" t="n">
        <v>0</v>
      </c>
      <c r="R31" s="166" t="n">
        <v>0</v>
      </c>
      <c r="S31" s="166" t="n">
        <v>0</v>
      </c>
      <c r="T31" s="152" t="inlineStr">
        <is>
          <t>Capacity shown to the last full year of operation</t>
        </is>
      </c>
      <c r="U31" s="152" t="inlineStr">
        <is>
          <t>Capacity: Eskom fact sheet GX 0001 Rev 29. Dates: TechCentral 22 April 2026. Decision status: Eskom media statements page and Sunday Times 3 September 2026</t>
        </is>
      </c>
      <c r="V31" s="152" t="inlineStr"/>
    </row>
    <row r="32">
      <c r="A32" s="152" t="inlineStr">
        <is>
          <t>Kriel</t>
        </is>
      </c>
      <c r="B32" s="153" t="inlineStr">
        <is>
          <t>MW</t>
        </is>
      </c>
      <c r="C32" s="153" t="inlineStr">
        <is>
          <t>Source observation</t>
        </is>
      </c>
      <c r="D32" s="166" t="n"/>
      <c r="E32" s="152" t="inlineStr">
        <is>
          <t>Exemption to operate until 31 March 2030. Decision due end September 2026. No decision had been announced by 8 October 2026: Eskom's media statements to 7 October carry none and on 3 September its chief executive said only that shutdown repowering and repurposing 'must be informed by evidence'.</t>
        </is>
      </c>
      <c r="F32" s="166" t="n">
        <v>2790</v>
      </c>
      <c r="G32" s="166" t="n">
        <v>2790</v>
      </c>
      <c r="H32" s="166" t="n">
        <v>2790</v>
      </c>
      <c r="I32" s="166" t="n">
        <v>2790</v>
      </c>
      <c r="J32" s="166" t="n">
        <v>2790</v>
      </c>
      <c r="K32" s="166" t="n">
        <v>2790</v>
      </c>
      <c r="L32" s="166" t="n">
        <v>2790</v>
      </c>
      <c r="M32" s="166" t="n">
        <v>2790</v>
      </c>
      <c r="N32" s="166" t="n">
        <v>0</v>
      </c>
      <c r="O32" s="166" t="n">
        <v>0</v>
      </c>
      <c r="P32" s="166" t="n">
        <v>0</v>
      </c>
      <c r="Q32" s="166" t="n">
        <v>0</v>
      </c>
      <c r="R32" s="166" t="n">
        <v>0</v>
      </c>
      <c r="S32" s="166" t="n">
        <v>0</v>
      </c>
      <c r="T32" s="152" t="inlineStr">
        <is>
          <t>Capacity shown to the last full year of operation</t>
        </is>
      </c>
      <c r="U32" s="152" t="inlineStr">
        <is>
          <t>Capacity: Eskom fact sheet GX 0001 Rev 29. Dates: TechCentral 22 April 2026. Decision status: Eskom media statements page and Sunday Times 3 September 2026</t>
        </is>
      </c>
      <c r="V32" s="152" t="inlineStr"/>
    </row>
    <row r="33">
      <c r="A33" s="152" t="inlineStr">
        <is>
          <t>Duvha</t>
        </is>
      </c>
      <c r="B33" s="153" t="inlineStr">
        <is>
          <t>MW</t>
        </is>
      </c>
      <c r="C33" s="153" t="inlineStr">
        <is>
          <t>Source observation</t>
        </is>
      </c>
      <c r="D33" s="166" t="n"/>
      <c r="E33" s="152" t="inlineStr">
        <is>
          <t>Planned shutdown on 21 February 2034; emissions exemption granted to that date.</t>
        </is>
      </c>
      <c r="F33" s="166" t="n">
        <v>3000</v>
      </c>
      <c r="G33" s="166" t="n">
        <v>3000</v>
      </c>
      <c r="H33" s="166" t="n">
        <v>3000</v>
      </c>
      <c r="I33" s="166" t="n">
        <v>3000</v>
      </c>
      <c r="J33" s="166" t="n">
        <v>3000</v>
      </c>
      <c r="K33" s="166" t="n">
        <v>3000</v>
      </c>
      <c r="L33" s="166" t="n">
        <v>3000</v>
      </c>
      <c r="M33" s="166" t="n">
        <v>3000</v>
      </c>
      <c r="N33" s="166" t="n">
        <v>3000</v>
      </c>
      <c r="O33" s="166" t="n">
        <v>3000</v>
      </c>
      <c r="P33" s="166" t="n">
        <v>3000</v>
      </c>
      <c r="Q33" s="166" t="n">
        <v>3000</v>
      </c>
      <c r="R33" s="166" t="n">
        <v>0</v>
      </c>
      <c r="S33" s="166" t="n">
        <v>0</v>
      </c>
      <c r="T33" s="152" t="inlineStr">
        <is>
          <t>Capacity shown to the last full year of operation</t>
        </is>
      </c>
      <c r="U33" s="152" t="inlineStr">
        <is>
          <t>Capacity: Eskom fact sheet GX 0001 Rev 29. Date: Mail &amp; Guardian 31 March 2025 reporting the environment minister's decision</t>
        </is>
      </c>
      <c r="V33" s="152" t="inlineStr"/>
    </row>
    <row r="34">
      <c r="A34" s="152" t="inlineStr">
        <is>
          <t>Matla</t>
        </is>
      </c>
      <c r="B34" s="153" t="inlineStr">
        <is>
          <t>MW</t>
        </is>
      </c>
      <c r="C34" s="153" t="inlineStr">
        <is>
          <t>Source observation</t>
        </is>
      </c>
      <c r="D34" s="166" t="n"/>
      <c r="E34" s="152" t="inlineStr">
        <is>
          <t>Planned shutdown on 20 July 2034; emissions exemption granted to that date.</t>
        </is>
      </c>
      <c r="F34" s="166" t="n">
        <v>3600</v>
      </c>
      <c r="G34" s="166" t="n">
        <v>3600</v>
      </c>
      <c r="H34" s="166" t="n">
        <v>3600</v>
      </c>
      <c r="I34" s="166" t="n">
        <v>3600</v>
      </c>
      <c r="J34" s="166" t="n">
        <v>3600</v>
      </c>
      <c r="K34" s="166" t="n">
        <v>3600</v>
      </c>
      <c r="L34" s="166" t="n">
        <v>3600</v>
      </c>
      <c r="M34" s="166" t="n">
        <v>3600</v>
      </c>
      <c r="N34" s="166" t="n">
        <v>3600</v>
      </c>
      <c r="O34" s="166" t="n">
        <v>3600</v>
      </c>
      <c r="P34" s="166" t="n">
        <v>3600</v>
      </c>
      <c r="Q34" s="166" t="n">
        <v>3600</v>
      </c>
      <c r="R34" s="166" t="n">
        <v>0</v>
      </c>
      <c r="S34" s="166" t="n">
        <v>0</v>
      </c>
      <c r="T34" s="152" t="inlineStr">
        <is>
          <t>Capacity shown to the last full year of operation</t>
        </is>
      </c>
      <c r="U34" s="152" t="inlineStr">
        <is>
          <t>Capacity: Eskom fact sheet GX 0001 Rev 29. Date: Mail &amp; Guardian 31 March 2025 reporting the environment minister's decision</t>
        </is>
      </c>
      <c r="V34" s="152" t="inlineStr"/>
    </row>
    <row r="35">
      <c r="A35" s="156" t="inlineStr">
        <is>
          <t>Coal capacity operating, these eight stations</t>
        </is>
      </c>
      <c r="B35" s="157" t="inlineStr">
        <is>
          <t>MW</t>
        </is>
      </c>
      <c r="C35" s="157" t="inlineStr">
        <is>
          <t>Reporting formula</t>
        </is>
      </c>
      <c r="D35" s="167" t="n"/>
      <c r="E35" s="156" t="inlineStr">
        <is>
          <t>Sum of the rows above.</t>
        </is>
      </c>
      <c r="F35" s="167">
        <f>SUM(F27:F34)</f>
        <v/>
      </c>
      <c r="G35" s="167">
        <f>SUM(G27:G34)</f>
        <v/>
      </c>
      <c r="H35" s="167">
        <f>SUM(H27:H34)</f>
        <v/>
      </c>
      <c r="I35" s="167">
        <f>SUM(I27:I34)</f>
        <v/>
      </c>
      <c r="J35" s="167">
        <f>SUM(J27:J34)</f>
        <v/>
      </c>
      <c r="K35" s="167">
        <f>SUM(K27:K34)</f>
        <v/>
      </c>
      <c r="L35" s="167">
        <f>SUM(L27:L34)</f>
        <v/>
      </c>
      <c r="M35" s="167">
        <f>SUM(M27:M34)</f>
        <v/>
      </c>
      <c r="N35" s="167">
        <f>SUM(N27:N34)</f>
        <v/>
      </c>
      <c r="O35" s="167">
        <f>SUM(O27:O34)</f>
        <v/>
      </c>
      <c r="P35" s="167">
        <f>SUM(P27:P34)</f>
        <v/>
      </c>
      <c r="Q35" s="167">
        <f>SUM(Q27:Q34)</f>
        <v/>
      </c>
      <c r="R35" s="167">
        <f>SUM(R27:R34)</f>
        <v/>
      </c>
      <c r="S35" s="167">
        <f>SUM(S27:S34)</f>
        <v/>
      </c>
      <c r="T35" s="156" t="inlineStr"/>
      <c r="U35" s="156" t="inlineStr"/>
      <c r="V35" s="156" t="inlineStr"/>
    </row>
    <row r="36">
      <c r="A36" s="156" t="inlineStr">
        <is>
          <t>Coal capacity retired since 2022</t>
        </is>
      </c>
      <c r="B36" s="157" t="inlineStr">
        <is>
          <t>MW</t>
        </is>
      </c>
      <c r="C36" s="157" t="inlineStr">
        <is>
          <t>Reporting formula</t>
        </is>
      </c>
      <c r="D36" s="167" t="n"/>
      <c r="E36" s="156" t="inlineStr">
        <is>
          <t>2022 total less this year's.</t>
        </is>
      </c>
      <c r="F36" s="167">
        <f>F35-F35</f>
        <v/>
      </c>
      <c r="G36" s="167">
        <f>F35-G35</f>
        <v/>
      </c>
      <c r="H36" s="167">
        <f>F35-H35</f>
        <v/>
      </c>
      <c r="I36" s="167">
        <f>F35-I35</f>
        <v/>
      </c>
      <c r="J36" s="167">
        <f>F35-J35</f>
        <v/>
      </c>
      <c r="K36" s="167">
        <f>F35-K35</f>
        <v/>
      </c>
      <c r="L36" s="167">
        <f>F35-L35</f>
        <v/>
      </c>
      <c r="M36" s="167">
        <f>F35-M35</f>
        <v/>
      </c>
      <c r="N36" s="167">
        <f>F35-N35</f>
        <v/>
      </c>
      <c r="O36" s="167">
        <f>F35-O35</f>
        <v/>
      </c>
      <c r="P36" s="167">
        <f>F35-P35</f>
        <v/>
      </c>
      <c r="Q36" s="167">
        <f>F35-Q35</f>
        <v/>
      </c>
      <c r="R36" s="167">
        <f>F35-R35</f>
        <v/>
      </c>
      <c r="S36" s="167">
        <f>F35-S35</f>
        <v/>
      </c>
      <c r="T36" s="156" t="inlineStr"/>
      <c r="U36" s="156" t="inlineStr"/>
      <c r="V36" s="156" t="inlineStr"/>
    </row>
    <row r="38">
      <c r="A38" s="151" t="inlineStr">
        <is>
          <t>4. Low case: Avon and Dedisa stop when their agreements end; Ankerlig and Gourikwa move to gas; no gas plant is built at a retired coal site; the peakers run as little as in the year to March 2026.</t>
        </is>
      </c>
      <c r="B38" s="151" t="n"/>
      <c r="C38" s="151" t="n"/>
      <c r="D38" s="151" t="n"/>
      <c r="E38" s="151" t="n"/>
      <c r="F38" s="151" t="n"/>
      <c r="G38" s="151" t="n"/>
      <c r="H38" s="151" t="n"/>
      <c r="I38" s="151" t="n"/>
      <c r="J38" s="151" t="n"/>
      <c r="K38" s="151" t="n"/>
      <c r="L38" s="151" t="n"/>
      <c r="M38" s="151" t="n"/>
      <c r="N38" s="151" t="n"/>
      <c r="O38" s="151" t="n"/>
      <c r="P38" s="151" t="n"/>
      <c r="Q38" s="151" t="n"/>
      <c r="R38" s="151" t="n"/>
      <c r="S38" s="151" t="n"/>
      <c r="T38" s="151" t="n"/>
      <c r="U38" s="151" t="n"/>
      <c r="V38" s="151" t="n"/>
    </row>
    <row r="39">
      <c r="A39" s="162" t="inlineStr">
        <is>
          <t>Avon and Dedisa available, low</t>
        </is>
      </c>
      <c r="B39" s="163" t="inlineStr">
        <is>
          <t>MW</t>
        </is>
      </c>
      <c r="C39" s="163" t="inlineStr">
        <is>
          <t>Scenario</t>
        </is>
      </c>
      <c r="D39" s="175" t="n"/>
      <c r="E39" s="162" t="inlineStr">
        <is>
          <t>Each to the last full year of its agreement (Dedisa 2029, Avon 2030), then zero.</t>
        </is>
      </c>
      <c r="F39" s="175" t="n">
        <v>1005</v>
      </c>
      <c r="G39" s="175" t="n">
        <v>1005</v>
      </c>
      <c r="H39" s="175" t="n">
        <v>1005</v>
      </c>
      <c r="I39" s="175" t="n">
        <v>1005</v>
      </c>
      <c r="J39" s="175" t="n">
        <v>1005</v>
      </c>
      <c r="K39" s="175" t="n">
        <v>1005</v>
      </c>
      <c r="L39" s="175" t="n">
        <v>1005</v>
      </c>
      <c r="M39" s="175" t="n">
        <v>1005</v>
      </c>
      <c r="N39" s="175" t="n">
        <v>670</v>
      </c>
      <c r="O39" s="175" t="n">
        <v>0</v>
      </c>
      <c r="P39" s="175" t="n">
        <v>0</v>
      </c>
      <c r="Q39" s="175" t="n">
        <v>0</v>
      </c>
      <c r="R39" s="175" t="n">
        <v>0</v>
      </c>
      <c r="S39" s="175" t="n">
        <v>0</v>
      </c>
      <c r="T39" s="162" t="inlineStr">
        <is>
          <t>What follows the agreements is not known</t>
        </is>
      </c>
      <c r="U39" s="162" t="inlineStr">
        <is>
          <t>African Energy, 9 October 2015 (15-year agreements)</t>
        </is>
      </c>
      <c r="V39" s="162" t="inlineStr">
        <is>
          <t>Nigel / Henry to confirm</t>
        </is>
      </c>
    </row>
    <row r="40">
      <c r="A40" s="162" t="inlineStr">
        <is>
          <t>Share of Ankerlig and Gourikwa output on diesel, low</t>
        </is>
      </c>
      <c r="B40" s="163" t="inlineStr">
        <is>
          <t>%</t>
        </is>
      </c>
      <c r="C40" s="163" t="inlineStr">
        <is>
          <t>Scenario</t>
        </is>
      </c>
      <c r="D40" s="173" t="n"/>
      <c r="E40" s="162" t="inlineStr">
        <is>
          <t>100% until Eskom's stated gas switch in December 2027, then the backup share.</t>
        </is>
      </c>
      <c r="F40" s="173">
        <f>100</f>
        <v/>
      </c>
      <c r="G40" s="173">
        <f>100</f>
        <v/>
      </c>
      <c r="H40" s="173">
        <f>100</f>
        <v/>
      </c>
      <c r="I40" s="173">
        <f>100</f>
        <v/>
      </c>
      <c r="J40" s="173">
        <f>100</f>
        <v/>
      </c>
      <c r="K40" s="173">
        <f>100</f>
        <v/>
      </c>
      <c r="L40" s="173">
        <f>$D$7</f>
        <v/>
      </c>
      <c r="M40" s="173">
        <f>$D$7</f>
        <v/>
      </c>
      <c r="N40" s="173">
        <f>$D$7</f>
        <v/>
      </c>
      <c r="O40" s="173">
        <f>$D$7</f>
        <v/>
      </c>
      <c r="P40" s="173">
        <f>$D$7</f>
        <v/>
      </c>
      <c r="Q40" s="173">
        <f>$D$7</f>
        <v/>
      </c>
      <c r="R40" s="173">
        <f>$D$7</f>
        <v/>
      </c>
      <c r="S40" s="173">
        <f>$D$7</f>
        <v/>
      </c>
      <c r="T40" s="162" t="inlineStr"/>
      <c r="U40" s="162" t="inlineStr">
        <is>
          <t>Eskom gas supply tender, as reported by News24, 12 June 2023</t>
        </is>
      </c>
      <c r="V40" s="162" t="inlineStr">
        <is>
          <t>Nigel / Henry to confirm</t>
        </is>
      </c>
    </row>
    <row r="41">
      <c r="A41" s="162" t="inlineStr">
        <is>
          <t>Gas turbines at the five coal sites, low</t>
        </is>
      </c>
      <c r="B41" s="163" t="inlineStr">
        <is>
          <t>MW</t>
        </is>
      </c>
      <c r="C41" s="163" t="inlineStr">
        <is>
          <t>Scenario</t>
        </is>
      </c>
      <c r="D41" s="175" t="n"/>
      <c r="E41" s="162" t="inlineStr">
        <is>
          <t>From 2030, when Camden, Grootvlei, Hendrina, Arnot and Kriel are due to stop. Which sites, and how large, is not decided; the national gas requirement is used as a stand-in.</t>
        </is>
      </c>
      <c r="F41" s="175" t="n">
        <v>0</v>
      </c>
      <c r="G41" s="175" t="n">
        <v>0</v>
      </c>
      <c r="H41" s="175" t="n">
        <v>0</v>
      </c>
      <c r="I41" s="175" t="n">
        <v>0</v>
      </c>
      <c r="J41" s="175" t="n">
        <v>0</v>
      </c>
      <c r="K41" s="175" t="n">
        <v>0</v>
      </c>
      <c r="L41" s="175" t="n">
        <v>0</v>
      </c>
      <c r="M41" s="175" t="n">
        <v>0</v>
      </c>
      <c r="N41" s="175" t="n">
        <v>0</v>
      </c>
      <c r="O41" s="175" t="n">
        <v>0</v>
      </c>
      <c r="P41" s="175" t="n">
        <v>0</v>
      </c>
      <c r="Q41" s="175" t="n">
        <v>0</v>
      </c>
      <c r="R41" s="175" t="n">
        <v>0</v>
      </c>
      <c r="S41" s="175" t="n">
        <v>0</v>
      </c>
      <c r="T41" s="162" t="inlineStr"/>
      <c r="U41" s="162" t="inlineStr">
        <is>
          <t>IRP 2025 gas requirement, as reported by TechCentral, 22 April 2026</t>
        </is>
      </c>
      <c r="V41" s="162" t="inlineStr">
        <is>
          <t>Nigel / Henry to confirm</t>
        </is>
      </c>
    </row>
    <row r="42">
      <c r="A42" s="162" t="inlineStr">
        <is>
          <t>Diesel at today's stations, low</t>
        </is>
      </c>
      <c r="B42" s="163" t="inlineStr">
        <is>
          <t>million L/year</t>
        </is>
      </c>
      <c r="C42" s="163" t="inlineStr">
        <is>
          <t>Proposed estimate</t>
        </is>
      </c>
      <c r="D42" s="165" t="n">
        <v>3.590017953416939</v>
      </c>
      <c r="E42" s="162" t="inlineStr">
        <is>
          <t>Load factor in column D (%), an observed figure for the whole peaking fleet. Avon and Dedisa wholly on diesel; Ankerlig and Gourikwa at the share above.</t>
        </is>
      </c>
      <c r="F42" s="165">
        <f>(F39+(F11+F12)*F40/100)*8.76*$D$42/100*$D$6</f>
        <v/>
      </c>
      <c r="G42" s="165">
        <f>(G39+(G11+G12)*G40/100)*8.76*$D$42/100*$D$6</f>
        <v/>
      </c>
      <c r="H42" s="165">
        <f>(H39+(H11+H12)*H40/100)*8.76*$D$42/100*$D$6</f>
        <v/>
      </c>
      <c r="I42" s="165">
        <f>(I39+(I11+I12)*I40/100)*8.76*$D$42/100*$D$6</f>
        <v/>
      </c>
      <c r="J42" s="165">
        <f>(J39+(J11+J12)*J40/100)*8.76*$D$42/100*$D$6</f>
        <v/>
      </c>
      <c r="K42" s="165">
        <f>(K39+(K11+K12)*K40/100)*8.76*$D$42/100*$D$6</f>
        <v/>
      </c>
      <c r="L42" s="165">
        <f>(L39+(L11+L12)*L40/100)*8.76*$D$42/100*$D$6</f>
        <v/>
      </c>
      <c r="M42" s="165">
        <f>(M39+(M11+M12)*M40/100)*8.76*$D$42/100*$D$6</f>
        <v/>
      </c>
      <c r="N42" s="165">
        <f>(N39+(N11+N12)*N40/100)*8.76*$D$42/100*$D$6</f>
        <v/>
      </c>
      <c r="O42" s="165">
        <f>(O39+(O11+O12)*O40/100)*8.76*$D$42/100*$D$6</f>
        <v/>
      </c>
      <c r="P42" s="165">
        <f>(P39+(P11+P12)*P40/100)*8.76*$D$42/100*$D$6</f>
        <v/>
      </c>
      <c r="Q42" s="165">
        <f>(Q39+(Q11+Q12)*Q40/100)*8.76*$D$42/100*$D$6</f>
        <v/>
      </c>
      <c r="R42" s="165">
        <f>(R39+(R11+R12)*R40/100)*8.76*$D$42/100*$D$6</f>
        <v/>
      </c>
      <c r="S42" s="165">
        <f>(S39+(S11+S12)*S40/100)*8.76*$D$42/100*$D$6</f>
        <v/>
      </c>
      <c r="T42" s="162" t="inlineStr">
        <is>
          <t>Estimate</t>
        </is>
      </c>
      <c r="U42" s="162" t="inlineStr"/>
      <c r="V42" s="162" t="inlineStr">
        <is>
          <t>Nigel / Henry to confirm: the load factor in column D</t>
        </is>
      </c>
    </row>
    <row r="43">
      <c r="A43" s="162" t="inlineStr">
        <is>
          <t>Diesel at the five coal sites, low</t>
        </is>
      </c>
      <c r="B43" s="163" t="inlineStr">
        <is>
          <t>million L/year</t>
        </is>
      </c>
      <c r="C43" s="163" t="inlineStr">
        <is>
          <t>Scenario</t>
        </is>
      </c>
      <c r="D43" s="165" t="n"/>
      <c r="E43" s="162" t="inlineStr">
        <is>
          <t>Gas turbine capacity times load factor times share of output on diesel times litres per kWh. Run on gas at the gas-plant load factor, with the backup share on diesel.</t>
        </is>
      </c>
      <c r="F43" s="165">
        <f>F41*8.76*0/100*0/100*$D$6</f>
        <v/>
      </c>
      <c r="G43" s="165">
        <f>G41*8.76*0/100*0/100*$D$6</f>
        <v/>
      </c>
      <c r="H43" s="165">
        <f>H41*8.76*0/100*0/100*$D$6</f>
        <v/>
      </c>
      <c r="I43" s="165">
        <f>I41*8.76*0/100*0/100*$D$6</f>
        <v/>
      </c>
      <c r="J43" s="165">
        <f>J41*8.76*0/100*0/100*$D$6</f>
        <v/>
      </c>
      <c r="K43" s="165">
        <f>K41*8.76*0/100*0/100*$D$6</f>
        <v/>
      </c>
      <c r="L43" s="165">
        <f>L41*8.76*0/100*0/100*$D$6</f>
        <v/>
      </c>
      <c r="M43" s="165">
        <f>M41*8.76*0/100*0/100*$D$6</f>
        <v/>
      </c>
      <c r="N43" s="165">
        <f>N41*8.76*0/100*0/100*$D$6</f>
        <v/>
      </c>
      <c r="O43" s="165">
        <f>O41*8.76*0/100*0/100*$D$6</f>
        <v/>
      </c>
      <c r="P43" s="165">
        <f>P41*8.76*0/100*0/100*$D$6</f>
        <v/>
      </c>
      <c r="Q43" s="165">
        <f>Q41*8.76*0/100*0/100*$D$6</f>
        <v/>
      </c>
      <c r="R43" s="165">
        <f>R41*8.76*0/100*0/100*$D$6</f>
        <v/>
      </c>
      <c r="S43" s="165">
        <f>S41*8.76*0/100*0/100*$D$6</f>
        <v/>
      </c>
      <c r="T43" s="162" t="inlineStr">
        <is>
          <t>Scenario</t>
        </is>
      </c>
      <c r="U43" s="162" t="inlineStr"/>
      <c r="V43" s="162" t="inlineStr">
        <is>
          <t>Nigel / Henry to confirm</t>
        </is>
      </c>
    </row>
    <row r="44">
      <c r="A44" s="162" t="inlineStr">
        <is>
          <t>Diesel for power, low case</t>
        </is>
      </c>
      <c r="B44" s="163" t="inlineStr">
        <is>
          <t>million L/year</t>
        </is>
      </c>
      <c r="C44" s="163" t="inlineStr">
        <is>
          <t>Proposed estimate</t>
        </is>
      </c>
      <c r="D44" s="165" t="n"/>
      <c r="E44" s="162" t="inlineStr">
        <is>
          <t>The two rows above added.</t>
        </is>
      </c>
      <c r="F44" s="165">
        <f>F42+F43</f>
        <v/>
      </c>
      <c r="G44" s="165">
        <f>G42+G43</f>
        <v/>
      </c>
      <c r="H44" s="165">
        <f>H42+H43</f>
        <v/>
      </c>
      <c r="I44" s="165">
        <f>I42+I43</f>
        <v/>
      </c>
      <c r="J44" s="165">
        <f>J42+J43</f>
        <v/>
      </c>
      <c r="K44" s="165">
        <f>K42+K43</f>
        <v/>
      </c>
      <c r="L44" s="165">
        <f>L42+L43</f>
        <v/>
      </c>
      <c r="M44" s="165">
        <f>M42+M43</f>
        <v/>
      </c>
      <c r="N44" s="165">
        <f>N42+N43</f>
        <v/>
      </c>
      <c r="O44" s="165">
        <f>O42+O43</f>
        <v/>
      </c>
      <c r="P44" s="165">
        <f>P42+P43</f>
        <v/>
      </c>
      <c r="Q44" s="165">
        <f>Q42+Q43</f>
        <v/>
      </c>
      <c r="R44" s="165">
        <f>R42+R43</f>
        <v/>
      </c>
      <c r="S44" s="165">
        <f>S42+S43</f>
        <v/>
      </c>
      <c r="T44" s="162" t="inlineStr"/>
      <c r="U44" s="162" t="inlineStr"/>
      <c r="V44" s="162" t="inlineStr"/>
    </row>
    <row r="46">
      <c r="A46" s="151" t="inlineStr">
        <is>
          <t>4. Medium case: Avon and Dedisa continue after their agreements; Ankerlig and Gourikwa move to gas; half the IRP 2025 gas requirement is built at the five coal sites and has gas, with diesel as backup; the peakers run as in the year to March 2025.</t>
        </is>
      </c>
      <c r="B46" s="151" t="n"/>
      <c r="C46" s="151" t="n"/>
      <c r="D46" s="151" t="n"/>
      <c r="E46" s="151" t="n"/>
      <c r="F46" s="151" t="n"/>
      <c r="G46" s="151" t="n"/>
      <c r="H46" s="151" t="n"/>
      <c r="I46" s="151" t="n"/>
      <c r="J46" s="151" t="n"/>
      <c r="K46" s="151" t="n"/>
      <c r="L46" s="151" t="n"/>
      <c r="M46" s="151" t="n"/>
      <c r="N46" s="151" t="n"/>
      <c r="O46" s="151" t="n"/>
      <c r="P46" s="151" t="n"/>
      <c r="Q46" s="151" t="n"/>
      <c r="R46" s="151" t="n"/>
      <c r="S46" s="151" t="n"/>
      <c r="T46" s="151" t="n"/>
      <c r="U46" s="151" t="n"/>
      <c r="V46" s="151" t="n"/>
    </row>
    <row r="47">
      <c r="A47" s="162" t="inlineStr">
        <is>
          <t>Avon and Dedisa available, medium</t>
        </is>
      </c>
      <c r="B47" s="163" t="inlineStr">
        <is>
          <t>MW</t>
        </is>
      </c>
      <c r="C47" s="163" t="inlineStr">
        <is>
          <t>Scenario</t>
        </is>
      </c>
      <c r="D47" s="175" t="n"/>
      <c r="E47" s="162" t="inlineStr">
        <is>
          <t>Both stations to 2035.</t>
        </is>
      </c>
      <c r="F47" s="175" t="n">
        <v>1005</v>
      </c>
      <c r="G47" s="175" t="n">
        <v>1005</v>
      </c>
      <c r="H47" s="175" t="n">
        <v>1005</v>
      </c>
      <c r="I47" s="175" t="n">
        <v>1005</v>
      </c>
      <c r="J47" s="175" t="n">
        <v>1005</v>
      </c>
      <c r="K47" s="175" t="n">
        <v>1005</v>
      </c>
      <c r="L47" s="175" t="n">
        <v>1005</v>
      </c>
      <c r="M47" s="175" t="n">
        <v>1005</v>
      </c>
      <c r="N47" s="175" t="n">
        <v>1005</v>
      </c>
      <c r="O47" s="175" t="n">
        <v>1005</v>
      </c>
      <c r="P47" s="175" t="n">
        <v>1005</v>
      </c>
      <c r="Q47" s="175" t="n">
        <v>1005</v>
      </c>
      <c r="R47" s="175" t="n">
        <v>1005</v>
      </c>
      <c r="S47" s="175" t="n">
        <v>1005</v>
      </c>
      <c r="T47" s="162" t="inlineStr">
        <is>
          <t>What follows the agreements is not known</t>
        </is>
      </c>
      <c r="U47" s="162" t="inlineStr">
        <is>
          <t>African Energy, 9 October 2015 (15-year agreements)</t>
        </is>
      </c>
      <c r="V47" s="162" t="inlineStr">
        <is>
          <t>Nigel / Henry to confirm</t>
        </is>
      </c>
    </row>
    <row r="48">
      <c r="A48" s="162" t="inlineStr">
        <is>
          <t>Share of Ankerlig and Gourikwa output on diesel, medium</t>
        </is>
      </c>
      <c r="B48" s="163" t="inlineStr">
        <is>
          <t>%</t>
        </is>
      </c>
      <c r="C48" s="163" t="inlineStr">
        <is>
          <t>Scenario</t>
        </is>
      </c>
      <c r="D48" s="173" t="n"/>
      <c r="E48" s="162" t="inlineStr">
        <is>
          <t>100% until Eskom's stated gas switch in December 2027, then the backup share.</t>
        </is>
      </c>
      <c r="F48" s="173">
        <f>100</f>
        <v/>
      </c>
      <c r="G48" s="173">
        <f>100</f>
        <v/>
      </c>
      <c r="H48" s="173">
        <f>100</f>
        <v/>
      </c>
      <c r="I48" s="173">
        <f>100</f>
        <v/>
      </c>
      <c r="J48" s="173">
        <f>100</f>
        <v/>
      </c>
      <c r="K48" s="173">
        <f>100</f>
        <v/>
      </c>
      <c r="L48" s="173">
        <f>$D$7</f>
        <v/>
      </c>
      <c r="M48" s="173">
        <f>$D$7</f>
        <v/>
      </c>
      <c r="N48" s="173">
        <f>$D$7</f>
        <v/>
      </c>
      <c r="O48" s="173">
        <f>$D$7</f>
        <v/>
      </c>
      <c r="P48" s="173">
        <f>$D$7</f>
        <v/>
      </c>
      <c r="Q48" s="173">
        <f>$D$7</f>
        <v/>
      </c>
      <c r="R48" s="173">
        <f>$D$7</f>
        <v/>
      </c>
      <c r="S48" s="173">
        <f>$D$7</f>
        <v/>
      </c>
      <c r="T48" s="162" t="inlineStr"/>
      <c r="U48" s="162" t="inlineStr">
        <is>
          <t>Eskom gas supply tender, as reported by News24, 12 June 2023</t>
        </is>
      </c>
      <c r="V48" s="162" t="inlineStr">
        <is>
          <t>Nigel / Henry to confirm</t>
        </is>
      </c>
    </row>
    <row r="49">
      <c r="A49" s="162" t="inlineStr">
        <is>
          <t>Gas turbines at the five coal sites, medium</t>
        </is>
      </c>
      <c r="B49" s="163" t="inlineStr">
        <is>
          <t>MW</t>
        </is>
      </c>
      <c r="C49" s="163" t="inlineStr">
        <is>
          <t>Scenario</t>
        </is>
      </c>
      <c r="D49" s="175" t="n"/>
      <c r="E49" s="162" t="inlineStr">
        <is>
          <t>From 2030, when Camden, Grootvlei, Hendrina, Arnot and Kriel are due to stop. Which sites, and how large, is not decided; the national gas requirement is used as a stand-in.</t>
        </is>
      </c>
      <c r="F49" s="175" t="n">
        <v>0</v>
      </c>
      <c r="G49" s="175" t="n">
        <v>0</v>
      </c>
      <c r="H49" s="175" t="n">
        <v>0</v>
      </c>
      <c r="I49" s="175" t="n">
        <v>0</v>
      </c>
      <c r="J49" s="175" t="n">
        <v>0</v>
      </c>
      <c r="K49" s="175" t="n">
        <v>0</v>
      </c>
      <c r="L49" s="175" t="n">
        <v>0</v>
      </c>
      <c r="M49" s="175" t="n">
        <v>0</v>
      </c>
      <c r="N49" s="175" t="n">
        <v>3000</v>
      </c>
      <c r="O49" s="175" t="n">
        <v>3000</v>
      </c>
      <c r="P49" s="175" t="n">
        <v>3000</v>
      </c>
      <c r="Q49" s="175" t="n">
        <v>3000</v>
      </c>
      <c r="R49" s="175" t="n">
        <v>3000</v>
      </c>
      <c r="S49" s="175" t="n">
        <v>3000</v>
      </c>
      <c r="T49" s="162" t="inlineStr"/>
      <c r="U49" s="162" t="inlineStr">
        <is>
          <t>IRP 2025 gas requirement, as reported by TechCentral, 22 April 2026</t>
        </is>
      </c>
      <c r="V49" s="162" t="inlineStr">
        <is>
          <t>Nigel / Henry to confirm</t>
        </is>
      </c>
    </row>
    <row r="50">
      <c r="A50" s="162" t="inlineStr">
        <is>
          <t>Diesel at today's stations, medium</t>
        </is>
      </c>
      <c r="B50" s="163" t="inlineStr">
        <is>
          <t>million L/year</t>
        </is>
      </c>
      <c r="C50" s="163" t="inlineStr">
        <is>
          <t>Proposed estimate</t>
        </is>
      </c>
      <c r="D50" s="165" t="n">
        <v>9.44251246691128</v>
      </c>
      <c r="E50" s="162" t="inlineStr">
        <is>
          <t>Load factor in column D (%), an observed figure for the whole peaking fleet. Avon and Dedisa wholly on diesel; Ankerlig and Gourikwa at the share above.</t>
        </is>
      </c>
      <c r="F50" s="165">
        <f>(F47+(F11+F12)*F48/100)*8.76*$D$50/100*$D$6</f>
        <v/>
      </c>
      <c r="G50" s="165">
        <f>(G47+(G11+G12)*G48/100)*8.76*$D$50/100*$D$6</f>
        <v/>
      </c>
      <c r="H50" s="165">
        <f>(H47+(H11+H12)*H48/100)*8.76*$D$50/100*$D$6</f>
        <v/>
      </c>
      <c r="I50" s="165">
        <f>(I47+(I11+I12)*I48/100)*8.76*$D$50/100*$D$6</f>
        <v/>
      </c>
      <c r="J50" s="165">
        <f>(J47+(J11+J12)*J48/100)*8.76*$D$50/100*$D$6</f>
        <v/>
      </c>
      <c r="K50" s="165">
        <f>(K47+(K11+K12)*K48/100)*8.76*$D$50/100*$D$6</f>
        <v/>
      </c>
      <c r="L50" s="165">
        <f>(L47+(L11+L12)*L48/100)*8.76*$D$50/100*$D$6</f>
        <v/>
      </c>
      <c r="M50" s="165">
        <f>(M47+(M11+M12)*M48/100)*8.76*$D$50/100*$D$6</f>
        <v/>
      </c>
      <c r="N50" s="165">
        <f>(N47+(N11+N12)*N48/100)*8.76*$D$50/100*$D$6</f>
        <v/>
      </c>
      <c r="O50" s="165">
        <f>(O47+(O11+O12)*O48/100)*8.76*$D$50/100*$D$6</f>
        <v/>
      </c>
      <c r="P50" s="165">
        <f>(P47+(P11+P12)*P48/100)*8.76*$D$50/100*$D$6</f>
        <v/>
      </c>
      <c r="Q50" s="165">
        <f>(Q47+(Q11+Q12)*Q48/100)*8.76*$D$50/100*$D$6</f>
        <v/>
      </c>
      <c r="R50" s="165">
        <f>(R47+(R11+R12)*R48/100)*8.76*$D$50/100*$D$6</f>
        <v/>
      </c>
      <c r="S50" s="165">
        <f>(S47+(S11+S12)*S48/100)*8.76*$D$50/100*$D$6</f>
        <v/>
      </c>
      <c r="T50" s="162" t="inlineStr">
        <is>
          <t>Estimate</t>
        </is>
      </c>
      <c r="U50" s="162" t="inlineStr"/>
      <c r="V50" s="162" t="inlineStr">
        <is>
          <t>Nigel / Henry to confirm: the load factor in column D</t>
        </is>
      </c>
    </row>
    <row r="51">
      <c r="A51" s="162" t="inlineStr">
        <is>
          <t>Diesel at the five coal sites, medium</t>
        </is>
      </c>
      <c r="B51" s="163" t="inlineStr">
        <is>
          <t>million L/year</t>
        </is>
      </c>
      <c r="C51" s="163" t="inlineStr">
        <is>
          <t>Scenario</t>
        </is>
      </c>
      <c r="D51" s="165" t="n"/>
      <c r="E51" s="162" t="inlineStr">
        <is>
          <t>Gas turbine capacity times load factor times share of output on diesel times litres per kWh. Run on gas at the gas-plant load factor, with the backup share on diesel.</t>
        </is>
      </c>
      <c r="F51" s="165">
        <f>F49*8.76*$D$8/100*$D$7/100*$D$6</f>
        <v/>
      </c>
      <c r="G51" s="165">
        <f>G49*8.76*$D$8/100*$D$7/100*$D$6</f>
        <v/>
      </c>
      <c r="H51" s="165">
        <f>H49*8.76*$D$8/100*$D$7/100*$D$6</f>
        <v/>
      </c>
      <c r="I51" s="165">
        <f>I49*8.76*$D$8/100*$D$7/100*$D$6</f>
        <v/>
      </c>
      <c r="J51" s="165">
        <f>J49*8.76*$D$8/100*$D$7/100*$D$6</f>
        <v/>
      </c>
      <c r="K51" s="165">
        <f>K49*8.76*$D$8/100*$D$7/100*$D$6</f>
        <v/>
      </c>
      <c r="L51" s="165">
        <f>L49*8.76*$D$8/100*$D$7/100*$D$6</f>
        <v/>
      </c>
      <c r="M51" s="165">
        <f>M49*8.76*$D$8/100*$D$7/100*$D$6</f>
        <v/>
      </c>
      <c r="N51" s="165">
        <f>N49*8.76*$D$8/100*$D$7/100*$D$6</f>
        <v/>
      </c>
      <c r="O51" s="165">
        <f>O49*8.76*$D$8/100*$D$7/100*$D$6</f>
        <v/>
      </c>
      <c r="P51" s="165">
        <f>P49*8.76*$D$8/100*$D$7/100*$D$6</f>
        <v/>
      </c>
      <c r="Q51" s="165">
        <f>Q49*8.76*$D$8/100*$D$7/100*$D$6</f>
        <v/>
      </c>
      <c r="R51" s="165">
        <f>R49*8.76*$D$8/100*$D$7/100*$D$6</f>
        <v/>
      </c>
      <c r="S51" s="165">
        <f>S49*8.76*$D$8/100*$D$7/100*$D$6</f>
        <v/>
      </c>
      <c r="T51" s="162" t="inlineStr">
        <is>
          <t>Scenario</t>
        </is>
      </c>
      <c r="U51" s="162" t="inlineStr"/>
      <c r="V51" s="162" t="inlineStr">
        <is>
          <t>Nigel / Henry to confirm</t>
        </is>
      </c>
    </row>
    <row r="52">
      <c r="A52" s="162" t="inlineStr">
        <is>
          <t>Diesel for power, medium case</t>
        </is>
      </c>
      <c r="B52" s="163" t="inlineStr">
        <is>
          <t>million L/year</t>
        </is>
      </c>
      <c r="C52" s="163" t="inlineStr">
        <is>
          <t>Proposed estimate</t>
        </is>
      </c>
      <c r="D52" s="165" t="n"/>
      <c r="E52" s="162" t="inlineStr">
        <is>
          <t>The two rows above added.</t>
        </is>
      </c>
      <c r="F52" s="165">
        <f>F50+F51</f>
        <v/>
      </c>
      <c r="G52" s="165">
        <f>G50+G51</f>
        <v/>
      </c>
      <c r="H52" s="165">
        <f>H50+H51</f>
        <v/>
      </c>
      <c r="I52" s="165">
        <f>I50+I51</f>
        <v/>
      </c>
      <c r="J52" s="165">
        <f>J50+J51</f>
        <v/>
      </c>
      <c r="K52" s="165">
        <f>K50+K51</f>
        <v/>
      </c>
      <c r="L52" s="165">
        <f>L50+L51</f>
        <v/>
      </c>
      <c r="M52" s="165">
        <f>M50+M51</f>
        <v/>
      </c>
      <c r="N52" s="165">
        <f>N50+N51</f>
        <v/>
      </c>
      <c r="O52" s="165">
        <f>O50+O51</f>
        <v/>
      </c>
      <c r="P52" s="165">
        <f>P50+P51</f>
        <v/>
      </c>
      <c r="Q52" s="165">
        <f>Q50+Q51</f>
        <v/>
      </c>
      <c r="R52" s="165">
        <f>R50+R51</f>
        <v/>
      </c>
      <c r="S52" s="165">
        <f>S50+S51</f>
        <v/>
      </c>
      <c r="T52" s="162" t="inlineStr"/>
      <c r="U52" s="162" t="inlineStr"/>
      <c r="V52" s="162" t="inlineStr"/>
    </row>
    <row r="54">
      <c r="A54" s="151" t="inlineStr">
        <is>
          <t>4. High case: Avon and Dedisa continue; gas does not arrive, so Ankerlig and Gourikwa stay on diesel and the gas turbines built at Camden, Grootvlei, Hendrina, Arnot and Kriel (all 6 GW of the IRP 2025 requirement) run as diesel peakers, as Ankerlig and Gourikwa do today; load factor as at the peak of load-shedding.</t>
        </is>
      </c>
      <c r="B54" s="151" t="n"/>
      <c r="C54" s="151" t="n"/>
      <c r="D54" s="151" t="n"/>
      <c r="E54" s="151" t="n"/>
      <c r="F54" s="151" t="n"/>
      <c r="G54" s="151" t="n"/>
      <c r="H54" s="151" t="n"/>
      <c r="I54" s="151" t="n"/>
      <c r="J54" s="151" t="n"/>
      <c r="K54" s="151" t="n"/>
      <c r="L54" s="151" t="n"/>
      <c r="M54" s="151" t="n"/>
      <c r="N54" s="151" t="n"/>
      <c r="O54" s="151" t="n"/>
      <c r="P54" s="151" t="n"/>
      <c r="Q54" s="151" t="n"/>
      <c r="R54" s="151" t="n"/>
      <c r="S54" s="151" t="n"/>
      <c r="T54" s="151" t="n"/>
      <c r="U54" s="151" t="n"/>
      <c r="V54" s="151" t="n"/>
    </row>
    <row r="55">
      <c r="A55" s="162" t="inlineStr">
        <is>
          <t>Avon and Dedisa available, high</t>
        </is>
      </c>
      <c r="B55" s="163" t="inlineStr">
        <is>
          <t>MW</t>
        </is>
      </c>
      <c r="C55" s="163" t="inlineStr">
        <is>
          <t>Scenario</t>
        </is>
      </c>
      <c r="D55" s="175" t="n"/>
      <c r="E55" s="162" t="inlineStr">
        <is>
          <t>Both stations to 2035.</t>
        </is>
      </c>
      <c r="F55" s="175" t="n">
        <v>1005</v>
      </c>
      <c r="G55" s="175" t="n">
        <v>1005</v>
      </c>
      <c r="H55" s="175" t="n">
        <v>1005</v>
      </c>
      <c r="I55" s="175" t="n">
        <v>1005</v>
      </c>
      <c r="J55" s="175" t="n">
        <v>1005</v>
      </c>
      <c r="K55" s="175" t="n">
        <v>1005</v>
      </c>
      <c r="L55" s="175" t="n">
        <v>1005</v>
      </c>
      <c r="M55" s="175" t="n">
        <v>1005</v>
      </c>
      <c r="N55" s="175" t="n">
        <v>1005</v>
      </c>
      <c r="O55" s="175" t="n">
        <v>1005</v>
      </c>
      <c r="P55" s="175" t="n">
        <v>1005</v>
      </c>
      <c r="Q55" s="175" t="n">
        <v>1005</v>
      </c>
      <c r="R55" s="175" t="n">
        <v>1005</v>
      </c>
      <c r="S55" s="175" t="n">
        <v>1005</v>
      </c>
      <c r="T55" s="162" t="inlineStr">
        <is>
          <t>What follows the agreements is not known</t>
        </is>
      </c>
      <c r="U55" s="162" t="inlineStr">
        <is>
          <t>African Energy, 9 October 2015 (15-year agreements)</t>
        </is>
      </c>
      <c r="V55" s="162" t="inlineStr">
        <is>
          <t>Nigel / Henry to confirm</t>
        </is>
      </c>
    </row>
    <row r="56">
      <c r="A56" s="162" t="inlineStr">
        <is>
          <t>Share of Ankerlig and Gourikwa output on diesel, high</t>
        </is>
      </c>
      <c r="B56" s="163" t="inlineStr">
        <is>
          <t>%</t>
        </is>
      </c>
      <c r="C56" s="163" t="inlineStr">
        <is>
          <t>Scenario</t>
        </is>
      </c>
      <c r="D56" s="173" t="n"/>
      <c r="E56" s="162" t="inlineStr">
        <is>
          <t>100% throughout: the gas supply does not arrive.</t>
        </is>
      </c>
      <c r="F56" s="173">
        <f>100</f>
        <v/>
      </c>
      <c r="G56" s="173">
        <f>100</f>
        <v/>
      </c>
      <c r="H56" s="173">
        <f>100</f>
        <v/>
      </c>
      <c r="I56" s="173">
        <f>100</f>
        <v/>
      </c>
      <c r="J56" s="173">
        <f>100</f>
        <v/>
      </c>
      <c r="K56" s="173">
        <f>100</f>
        <v/>
      </c>
      <c r="L56" s="173">
        <f>100</f>
        <v/>
      </c>
      <c r="M56" s="173">
        <f>100</f>
        <v/>
      </c>
      <c r="N56" s="173">
        <f>100</f>
        <v/>
      </c>
      <c r="O56" s="173">
        <f>100</f>
        <v/>
      </c>
      <c r="P56" s="173">
        <f>100</f>
        <v/>
      </c>
      <c r="Q56" s="173">
        <f>100</f>
        <v/>
      </c>
      <c r="R56" s="173">
        <f>100</f>
        <v/>
      </c>
      <c r="S56" s="173">
        <f>100</f>
        <v/>
      </c>
      <c r="T56" s="162" t="inlineStr"/>
      <c r="U56" s="162" t="inlineStr">
        <is>
          <t>Eskom gas supply tender, as reported by News24, 12 June 2023</t>
        </is>
      </c>
      <c r="V56" s="162" t="inlineStr">
        <is>
          <t>Nigel / Henry to confirm</t>
        </is>
      </c>
    </row>
    <row r="57">
      <c r="A57" s="162" t="inlineStr">
        <is>
          <t>Gas turbines at the five coal sites, high</t>
        </is>
      </c>
      <c r="B57" s="163" t="inlineStr">
        <is>
          <t>MW</t>
        </is>
      </c>
      <c r="C57" s="163" t="inlineStr">
        <is>
          <t>Scenario</t>
        </is>
      </c>
      <c r="D57" s="175" t="n"/>
      <c r="E57" s="162" t="inlineStr">
        <is>
          <t>From 2030, when Camden, Grootvlei, Hendrina, Arnot and Kriel are due to stop. Which sites, and how large, is not decided; the national gas requirement is used as a stand-in.</t>
        </is>
      </c>
      <c r="F57" s="175" t="n">
        <v>0</v>
      </c>
      <c r="G57" s="175" t="n">
        <v>0</v>
      </c>
      <c r="H57" s="175" t="n">
        <v>0</v>
      </c>
      <c r="I57" s="175" t="n">
        <v>0</v>
      </c>
      <c r="J57" s="175" t="n">
        <v>0</v>
      </c>
      <c r="K57" s="175" t="n">
        <v>0</v>
      </c>
      <c r="L57" s="175" t="n">
        <v>0</v>
      </c>
      <c r="M57" s="175" t="n">
        <v>0</v>
      </c>
      <c r="N57" s="175" t="n">
        <v>6000</v>
      </c>
      <c r="O57" s="175" t="n">
        <v>6000</v>
      </c>
      <c r="P57" s="175" t="n">
        <v>6000</v>
      </c>
      <c r="Q57" s="175" t="n">
        <v>6000</v>
      </c>
      <c r="R57" s="175" t="n">
        <v>6000</v>
      </c>
      <c r="S57" s="175" t="n">
        <v>6000</v>
      </c>
      <c r="T57" s="162" t="inlineStr"/>
      <c r="U57" s="162" t="inlineStr">
        <is>
          <t>IRP 2025 gas requirement, as reported by TechCentral, 22 April 2026</t>
        </is>
      </c>
      <c r="V57" s="162" t="inlineStr">
        <is>
          <t>Nigel / Henry to confirm</t>
        </is>
      </c>
    </row>
    <row r="58">
      <c r="A58" s="162" t="inlineStr">
        <is>
          <t>Diesel at today's stations, high</t>
        </is>
      </c>
      <c r="B58" s="163" t="inlineStr">
        <is>
          <t>million L/year</t>
        </is>
      </c>
      <c r="C58" s="163" t="inlineStr">
        <is>
          <t>Proposed estimate</t>
        </is>
      </c>
      <c r="D58" s="165" t="n">
        <v>17.1116425712913</v>
      </c>
      <c r="E58" s="162" t="inlineStr">
        <is>
          <t>Load factor in column D (%), an observed figure for the whole peaking fleet. Avon and Dedisa wholly on diesel; Ankerlig and Gourikwa at the share above.</t>
        </is>
      </c>
      <c r="F58" s="165">
        <f>(F55+(F11+F12)*F56/100)*8.76*$D$58/100*$D$6</f>
        <v/>
      </c>
      <c r="G58" s="165">
        <f>(G55+(G11+G12)*G56/100)*8.76*$D$58/100*$D$6</f>
        <v/>
      </c>
      <c r="H58" s="165">
        <f>(H55+(H11+H12)*H56/100)*8.76*$D$58/100*$D$6</f>
        <v/>
      </c>
      <c r="I58" s="165">
        <f>(I55+(I11+I12)*I56/100)*8.76*$D$58/100*$D$6</f>
        <v/>
      </c>
      <c r="J58" s="165">
        <f>(J55+(J11+J12)*J56/100)*8.76*$D$58/100*$D$6</f>
        <v/>
      </c>
      <c r="K58" s="165">
        <f>(K55+(K11+K12)*K56/100)*8.76*$D$58/100*$D$6</f>
        <v/>
      </c>
      <c r="L58" s="165">
        <f>(L55+(L11+L12)*L56/100)*8.76*$D$58/100*$D$6</f>
        <v/>
      </c>
      <c r="M58" s="165">
        <f>(M55+(M11+M12)*M56/100)*8.76*$D$58/100*$D$6</f>
        <v/>
      </c>
      <c r="N58" s="165">
        <f>(N55+(N11+N12)*N56/100)*8.76*$D$58/100*$D$6</f>
        <v/>
      </c>
      <c r="O58" s="165">
        <f>(O55+(O11+O12)*O56/100)*8.76*$D$58/100*$D$6</f>
        <v/>
      </c>
      <c r="P58" s="165">
        <f>(P55+(P11+P12)*P56/100)*8.76*$D$58/100*$D$6</f>
        <v/>
      </c>
      <c r="Q58" s="165">
        <f>(Q55+(Q11+Q12)*Q56/100)*8.76*$D$58/100*$D$6</f>
        <v/>
      </c>
      <c r="R58" s="165">
        <f>(R55+(R11+R12)*R56/100)*8.76*$D$58/100*$D$6</f>
        <v/>
      </c>
      <c r="S58" s="165">
        <f>(S55+(S11+S12)*S56/100)*8.76*$D$58/100*$D$6</f>
        <v/>
      </c>
      <c r="T58" s="162" t="inlineStr">
        <is>
          <t>Estimate</t>
        </is>
      </c>
      <c r="U58" s="162" t="inlineStr"/>
      <c r="V58" s="162" t="inlineStr">
        <is>
          <t>Nigel / Henry to confirm: the load factor in column D</t>
        </is>
      </c>
    </row>
    <row r="59">
      <c r="A59" s="162" t="inlineStr">
        <is>
          <t>Diesel at the five coal sites, high</t>
        </is>
      </c>
      <c r="B59" s="163" t="inlineStr">
        <is>
          <t>million L/year</t>
        </is>
      </c>
      <c r="C59" s="163" t="inlineStr">
        <is>
          <t>Scenario</t>
        </is>
      </c>
      <c r="D59" s="165" t="n"/>
      <c r="E59" s="162" t="inlineStr">
        <is>
          <t>Gas turbine capacity times load factor times share of output on diesel times litres per kWh. Run as diesel peakers at the load factor above.</t>
        </is>
      </c>
      <c r="F59" s="165">
        <f>F57*8.76*$D$58/100*100/100*$D$6</f>
        <v/>
      </c>
      <c r="G59" s="165">
        <f>G57*8.76*$D$58/100*100/100*$D$6</f>
        <v/>
      </c>
      <c r="H59" s="165">
        <f>H57*8.76*$D$58/100*100/100*$D$6</f>
        <v/>
      </c>
      <c r="I59" s="165">
        <f>I57*8.76*$D$58/100*100/100*$D$6</f>
        <v/>
      </c>
      <c r="J59" s="165">
        <f>J57*8.76*$D$58/100*100/100*$D$6</f>
        <v/>
      </c>
      <c r="K59" s="165">
        <f>K57*8.76*$D$58/100*100/100*$D$6</f>
        <v/>
      </c>
      <c r="L59" s="165">
        <f>L57*8.76*$D$58/100*100/100*$D$6</f>
        <v/>
      </c>
      <c r="M59" s="165">
        <f>M57*8.76*$D$58/100*100/100*$D$6</f>
        <v/>
      </c>
      <c r="N59" s="165">
        <f>N57*8.76*$D$58/100*100/100*$D$6</f>
        <v/>
      </c>
      <c r="O59" s="165">
        <f>O57*8.76*$D$58/100*100/100*$D$6</f>
        <v/>
      </c>
      <c r="P59" s="165">
        <f>P57*8.76*$D$58/100*100/100*$D$6</f>
        <v/>
      </c>
      <c r="Q59" s="165">
        <f>Q57*8.76*$D$58/100*100/100*$D$6</f>
        <v/>
      </c>
      <c r="R59" s="165">
        <f>R57*8.76*$D$58/100*100/100*$D$6</f>
        <v/>
      </c>
      <c r="S59" s="165">
        <f>S57*8.76*$D$58/100*100/100*$D$6</f>
        <v/>
      </c>
      <c r="T59" s="162" t="inlineStr">
        <is>
          <t>Scenario</t>
        </is>
      </c>
      <c r="U59" s="162" t="inlineStr"/>
      <c r="V59" s="162" t="inlineStr">
        <is>
          <t>Nigel / Henry to confirm</t>
        </is>
      </c>
    </row>
    <row r="60">
      <c r="A60" s="162" t="inlineStr">
        <is>
          <t>Diesel for power, high case</t>
        </is>
      </c>
      <c r="B60" s="163" t="inlineStr">
        <is>
          <t>million L/year</t>
        </is>
      </c>
      <c r="C60" s="163" t="inlineStr">
        <is>
          <t>Proposed estimate</t>
        </is>
      </c>
      <c r="D60" s="165" t="n"/>
      <c r="E60" s="162" t="inlineStr">
        <is>
          <t>The two rows above added.</t>
        </is>
      </c>
      <c r="F60" s="165">
        <f>F58+F59</f>
        <v/>
      </c>
      <c r="G60" s="165">
        <f>G58+G59</f>
        <v/>
      </c>
      <c r="H60" s="165">
        <f>H58+H59</f>
        <v/>
      </c>
      <c r="I60" s="165">
        <f>I58+I59</f>
        <v/>
      </c>
      <c r="J60" s="165">
        <f>J58+J59</f>
        <v/>
      </c>
      <c r="K60" s="165">
        <f>K58+K59</f>
        <v/>
      </c>
      <c r="L60" s="165">
        <f>L58+L59</f>
        <v/>
      </c>
      <c r="M60" s="165">
        <f>M58+M59</f>
        <v/>
      </c>
      <c r="N60" s="165">
        <f>N58+N59</f>
        <v/>
      </c>
      <c r="O60" s="165">
        <f>O58+O59</f>
        <v/>
      </c>
      <c r="P60" s="165">
        <f>P58+P59</f>
        <v/>
      </c>
      <c r="Q60" s="165">
        <f>Q58+Q59</f>
        <v/>
      </c>
      <c r="R60" s="165">
        <f>R58+R59</f>
        <v/>
      </c>
      <c r="S60" s="165">
        <f>S58+S59</f>
        <v/>
      </c>
      <c r="T60" s="162" t="inlineStr"/>
      <c r="U60" s="162" t="inlineStr"/>
      <c r="V60" s="162" t="inlineStr"/>
    </row>
    <row r="62">
      <c r="A62" s="151" t="inlineStr">
        <is>
          <t>5. Summary and ceiling</t>
        </is>
      </c>
      <c r="B62" s="151" t="n"/>
      <c r="C62" s="151" t="n"/>
      <c r="D62" s="151" t="n"/>
      <c r="E62" s="151" t="n"/>
      <c r="F62" s="151" t="n"/>
      <c r="G62" s="151" t="n"/>
      <c r="H62" s="151" t="n"/>
      <c r="I62" s="151" t="n"/>
      <c r="J62" s="151" t="n"/>
      <c r="K62" s="151" t="n"/>
      <c r="L62" s="151" t="n"/>
      <c r="M62" s="151" t="n"/>
      <c r="N62" s="151" t="n"/>
      <c r="O62" s="151" t="n"/>
      <c r="P62" s="151" t="n"/>
      <c r="Q62" s="151" t="n"/>
      <c r="R62" s="151" t="n"/>
      <c r="S62" s="151" t="n"/>
      <c r="T62" s="151" t="n"/>
      <c r="U62" s="151" t="n"/>
      <c r="V62" s="151" t="n"/>
    </row>
    <row r="63">
      <c r="A63" s="162" t="inlineStr">
        <is>
          <t>Low case</t>
        </is>
      </c>
      <c r="B63" s="163" t="inlineStr">
        <is>
          <t>million L/year</t>
        </is>
      </c>
      <c r="C63" s="163" t="inlineStr">
        <is>
          <t>Proposed estimate</t>
        </is>
      </c>
      <c r="D63" s="165" t="n"/>
      <c r="E63" s="162" t="inlineStr">
        <is>
          <t>Avon and Dedisa stop when their agreements end; Ankerlig and Gourikwa move to gas; no gas plant is built at a retired coal site; the peakers run as little as in the year to March 2026.</t>
        </is>
      </c>
      <c r="F63" s="165">
        <f>F44</f>
        <v/>
      </c>
      <c r="G63" s="165">
        <f>G44</f>
        <v/>
      </c>
      <c r="H63" s="165">
        <f>H44</f>
        <v/>
      </c>
      <c r="I63" s="165">
        <f>I44</f>
        <v/>
      </c>
      <c r="J63" s="165">
        <f>J44</f>
        <v/>
      </c>
      <c r="K63" s="165">
        <f>K44</f>
        <v/>
      </c>
      <c r="L63" s="165">
        <f>L44</f>
        <v/>
      </c>
      <c r="M63" s="165">
        <f>M44</f>
        <v/>
      </c>
      <c r="N63" s="165">
        <f>N44</f>
        <v/>
      </c>
      <c r="O63" s="165">
        <f>O44</f>
        <v/>
      </c>
      <c r="P63" s="165">
        <f>P44</f>
        <v/>
      </c>
      <c r="Q63" s="165">
        <f>Q44</f>
        <v/>
      </c>
      <c r="R63" s="165">
        <f>R44</f>
        <v/>
      </c>
      <c r="S63" s="165">
        <f>S44</f>
        <v/>
      </c>
      <c r="T63" s="162" t="inlineStr">
        <is>
          <t>Proposed; not agreed</t>
        </is>
      </c>
      <c r="U63" s="162" t="inlineStr"/>
      <c r="V63" s="162" t="inlineStr">
        <is>
          <t>Nigel / Henry to confirm</t>
        </is>
      </c>
    </row>
    <row r="64">
      <c r="A64" s="162" t="inlineStr">
        <is>
          <t>Medium case</t>
        </is>
      </c>
      <c r="B64" s="163" t="inlineStr">
        <is>
          <t>million L/year</t>
        </is>
      </c>
      <c r="C64" s="163" t="inlineStr">
        <is>
          <t>Proposed estimate</t>
        </is>
      </c>
      <c r="D64" s="165" t="n"/>
      <c r="E64" s="162" t="inlineStr">
        <is>
          <t>Avon and Dedisa continue after their agreements; Ankerlig and Gourikwa move to gas; half the IRP 2025 gas requirement is built at the five coal sites and has gas, with diesel as backup; the peakers run as in the year to March 2025.</t>
        </is>
      </c>
      <c r="F64" s="165">
        <f>F52</f>
        <v/>
      </c>
      <c r="G64" s="165">
        <f>G52</f>
        <v/>
      </c>
      <c r="H64" s="165">
        <f>H52</f>
        <v/>
      </c>
      <c r="I64" s="165">
        <f>I52</f>
        <v/>
      </c>
      <c r="J64" s="165">
        <f>J52</f>
        <v/>
      </c>
      <c r="K64" s="165">
        <f>K52</f>
        <v/>
      </c>
      <c r="L64" s="165">
        <f>L52</f>
        <v/>
      </c>
      <c r="M64" s="165">
        <f>M52</f>
        <v/>
      </c>
      <c r="N64" s="165">
        <f>N52</f>
        <v/>
      </c>
      <c r="O64" s="165">
        <f>O52</f>
        <v/>
      </c>
      <c r="P64" s="165">
        <f>P52</f>
        <v/>
      </c>
      <c r="Q64" s="165">
        <f>Q52</f>
        <v/>
      </c>
      <c r="R64" s="165">
        <f>R52</f>
        <v/>
      </c>
      <c r="S64" s="165">
        <f>S52</f>
        <v/>
      </c>
      <c r="T64" s="162" t="inlineStr">
        <is>
          <t>Proposed; not agreed</t>
        </is>
      </c>
      <c r="U64" s="162" t="inlineStr"/>
      <c r="V64" s="162" t="inlineStr">
        <is>
          <t>Nigel / Henry to confirm</t>
        </is>
      </c>
    </row>
    <row r="65">
      <c r="A65" s="162" t="inlineStr">
        <is>
          <t>High case</t>
        </is>
      </c>
      <c r="B65" s="163" t="inlineStr">
        <is>
          <t>million L/year</t>
        </is>
      </c>
      <c r="C65" s="163" t="inlineStr">
        <is>
          <t>Proposed estimate</t>
        </is>
      </c>
      <c r="D65" s="165" t="n"/>
      <c r="E65" s="162" t="inlineStr">
        <is>
          <t>Avon and Dedisa continue; gas does not arrive, so Ankerlig and Gourikwa stay on diesel and the gas turbines built at Camden, Grootvlei, Hendrina, Arnot and Kriel (all 6 GW of the IRP 2025 requirement) run as diesel peakers, as Ankerlig and Gourikwa do today; load factor as at the peak of load-shedding.</t>
        </is>
      </c>
      <c r="F65" s="165">
        <f>F60</f>
        <v/>
      </c>
      <c r="G65" s="165">
        <f>G60</f>
        <v/>
      </c>
      <c r="H65" s="165">
        <f>H60</f>
        <v/>
      </c>
      <c r="I65" s="165">
        <f>I60</f>
        <v/>
      </c>
      <c r="J65" s="165">
        <f>J60</f>
        <v/>
      </c>
      <c r="K65" s="165">
        <f>K60</f>
        <v/>
      </c>
      <c r="L65" s="165">
        <f>L60</f>
        <v/>
      </c>
      <c r="M65" s="165">
        <f>M60</f>
        <v/>
      </c>
      <c r="N65" s="165">
        <f>N60</f>
        <v/>
      </c>
      <c r="O65" s="165">
        <f>O60</f>
        <v/>
      </c>
      <c r="P65" s="165">
        <f>P60</f>
        <v/>
      </c>
      <c r="Q65" s="165">
        <f>Q60</f>
        <v/>
      </c>
      <c r="R65" s="165">
        <f>R60</f>
        <v/>
      </c>
      <c r="S65" s="165">
        <f>S60</f>
        <v/>
      </c>
      <c r="T65" s="162" t="inlineStr">
        <is>
          <t>Proposed; not agreed</t>
        </is>
      </c>
      <c r="U65" s="162" t="inlineStr"/>
      <c r="V65" s="162" t="inlineStr">
        <is>
          <t>Nigel / Henry to confirm</t>
        </is>
      </c>
    </row>
    <row r="66">
      <c r="A66" s="156" t="inlineStr">
        <is>
          <t>Ceiling: four stations and 6 GW of gas turbines on diesel all year</t>
        </is>
      </c>
      <c r="B66" s="157" t="inlineStr">
        <is>
          <t>million L/year</t>
        </is>
      </c>
      <c r="C66" s="157" t="inlineStr">
        <is>
          <t>Reporting formula</t>
        </is>
      </c>
      <c r="D66" s="158" t="n"/>
      <c r="E66" s="156" t="inlineStr">
        <is>
          <t>Capacity times 8,760 hours times litres per kWh. How much the fleet could consume; a physical limit, not a forecast.</t>
        </is>
      </c>
      <c r="F66" s="158">
        <f>(F15+0)*8.76*$D$6</f>
        <v/>
      </c>
      <c r="G66" s="158">
        <f>(G15+0)*8.76*$D$6</f>
        <v/>
      </c>
      <c r="H66" s="158">
        <f>(H15+0)*8.76*$D$6</f>
        <v/>
      </c>
      <c r="I66" s="158">
        <f>(I15+0)*8.76*$D$6</f>
        <v/>
      </c>
      <c r="J66" s="158">
        <f>(J15+0)*8.76*$D$6</f>
        <v/>
      </c>
      <c r="K66" s="158">
        <f>(K15+0)*8.76*$D$6</f>
        <v/>
      </c>
      <c r="L66" s="158">
        <f>(L15+0)*8.76*$D$6</f>
        <v/>
      </c>
      <c r="M66" s="158">
        <f>(M15+0)*8.76*$D$6</f>
        <v/>
      </c>
      <c r="N66" s="158">
        <f>(N15+6000)*8.76*$D$6</f>
        <v/>
      </c>
      <c r="O66" s="158">
        <f>(O15+6000)*8.76*$D$6</f>
        <v/>
      </c>
      <c r="P66" s="158">
        <f>(P15+6000)*8.76*$D$6</f>
        <v/>
      </c>
      <c r="Q66" s="158">
        <f>(Q15+6000)*8.76*$D$6</f>
        <v/>
      </c>
      <c r="R66" s="158">
        <f>(R15+6000)*8.76*$D$6</f>
        <v/>
      </c>
      <c r="S66" s="158">
        <f>(S15+6000)*8.76*$D$6</f>
        <v/>
      </c>
      <c r="T66" s="156" t="inlineStr"/>
      <c r="U66" s="156" t="inlineStr"/>
      <c r="V66" s="156" t="inlineStr"/>
    </row>
    <row r="67">
      <c r="A67" s="156" t="inlineStr">
        <is>
          <t>For reference: diesel burned, estimated</t>
        </is>
      </c>
      <c r="B67" s="157" t="inlineStr">
        <is>
          <t>million L/year</t>
        </is>
      </c>
      <c r="C67" s="157" t="inlineStr">
        <is>
          <t>Reporting formula</t>
        </is>
      </c>
      <c r="D67" s="158" t="n"/>
      <c r="E67" s="156" t="inlineStr">
        <is>
          <t>From section 2.</t>
        </is>
      </c>
      <c r="F67" s="158">
        <f>IF(ISNUMBER(F22),F22,"")</f>
        <v/>
      </c>
      <c r="G67" s="158">
        <f>IF(ISNUMBER(G22),G22,"")</f>
        <v/>
      </c>
      <c r="H67" s="158">
        <f>IF(ISNUMBER(H22),H22,"")</f>
        <v/>
      </c>
      <c r="I67" s="158">
        <f>IF(ISNUMBER(I22),I22,"")</f>
        <v/>
      </c>
      <c r="J67" s="158">
        <f>IF(ISNUMBER(J22),J22,"")</f>
        <v/>
      </c>
      <c r="K67" s="158">
        <f>IF(ISNUMBER(K22),K22,"")</f>
        <v/>
      </c>
      <c r="L67" s="158">
        <f>IF(ISNUMBER(L22),L22,"")</f>
        <v/>
      </c>
      <c r="M67" s="158">
        <f>IF(ISNUMBER(M22),M22,"")</f>
        <v/>
      </c>
      <c r="N67" s="158">
        <f>IF(ISNUMBER(N22),N22,"")</f>
        <v/>
      </c>
      <c r="O67" s="158">
        <f>IF(ISNUMBER(O22),O22,"")</f>
        <v/>
      </c>
      <c r="P67" s="158">
        <f>IF(ISNUMBER(P22),P22,"")</f>
        <v/>
      </c>
      <c r="Q67" s="158">
        <f>IF(ISNUMBER(Q22),Q22,"")</f>
        <v/>
      </c>
      <c r="R67" s="158">
        <f>IF(ISNUMBER(R22),R22,"")</f>
        <v/>
      </c>
      <c r="S67" s="158">
        <f>IF(ISNUMBER(S22),S22,"")</f>
        <v/>
      </c>
      <c r="T67" s="156" t="inlineStr"/>
      <c r="U67" s="156" t="inlineStr"/>
      <c r="V67" s="156" t="inlineStr"/>
    </row>
    <row r="69">
      <c r="A69" s="151" t="inlineStr">
        <is>
          <t>6. Not established</t>
        </is>
      </c>
      <c r="B69" s="151" t="n"/>
      <c r="C69" s="151" t="n"/>
      <c r="D69" s="151" t="n"/>
      <c r="E69" s="151" t="n"/>
      <c r="F69" s="151" t="n"/>
      <c r="G69" s="151" t="n"/>
      <c r="H69" s="151" t="n"/>
      <c r="I69" s="151" t="n"/>
      <c r="J69" s="151" t="n"/>
      <c r="K69" s="151" t="n"/>
      <c r="L69" s="151" t="n"/>
      <c r="M69" s="151" t="n"/>
      <c r="N69" s="151" t="n"/>
      <c r="O69" s="151" t="n"/>
      <c r="P69" s="151" t="n"/>
      <c r="Q69" s="151" t="n"/>
      <c r="R69" s="151" t="n"/>
      <c r="S69" s="151" t="n"/>
      <c r="T69" s="151" t="n"/>
      <c r="U69" s="151" t="n"/>
      <c r="V69" s="151" t="n"/>
    </row>
    <row r="70">
      <c r="A70" s="162" t="inlineStr">
        <is>
          <t>Eskom's decision on Camden, Grootvlei, Hendrina, Arnot and Kriel</t>
        </is>
      </c>
      <c r="B70" s="163" t="inlineStr"/>
      <c r="C70" s="163" t="inlineStr">
        <is>
          <t>Gap</t>
        </is>
      </c>
      <c r="D70" s="165" t="n"/>
      <c r="E70" s="162" t="inlineStr">
        <is>
          <t>Due by end September 2026. None had been announced by 8 October: Eskom's media statements to 7 October carry none. If the stations run past 31 March 2030, the gas turbines in the medium and high cases move later.</t>
        </is>
      </c>
      <c r="F70" s="165" t="n"/>
      <c r="G70" s="165" t="n"/>
      <c r="H70" s="165" t="n"/>
      <c r="I70" s="165" t="n"/>
      <c r="J70" s="165" t="n"/>
      <c r="K70" s="165" t="n"/>
      <c r="L70" s="165" t="n"/>
      <c r="M70" s="165" t="n"/>
      <c r="N70" s="165" t="n"/>
      <c r="O70" s="165" t="n"/>
      <c r="P70" s="165" t="n"/>
      <c r="Q70" s="165" t="n"/>
      <c r="R70" s="165" t="n"/>
      <c r="S70" s="165" t="n"/>
      <c r="T70" s="162" t="inlineStr">
        <is>
          <t>Open</t>
        </is>
      </c>
      <c r="U70" s="162" t="inlineStr"/>
      <c r="V70" s="162" t="inlineStr"/>
    </row>
    <row r="71">
      <c r="A71" s="162" t="inlineStr">
        <is>
          <t>Which sites get gas plants, how large, and whether gas reaches them</t>
        </is>
      </c>
      <c r="B71" s="163" t="inlineStr"/>
      <c r="C71" s="163" t="inlineStr">
        <is>
          <t>Gap</t>
        </is>
      </c>
      <c r="D71" s="165" t="n"/>
      <c r="E71" s="162" t="inlineStr">
        <is>
          <t>The medium and high cases use the national gas requirement as a stand-in.</t>
        </is>
      </c>
      <c r="F71" s="165" t="n"/>
      <c r="G71" s="165" t="n"/>
      <c r="H71" s="165" t="n"/>
      <c r="I71" s="165" t="n"/>
      <c r="J71" s="165" t="n"/>
      <c r="K71" s="165" t="n"/>
      <c r="L71" s="165" t="n"/>
      <c r="M71" s="165" t="n"/>
      <c r="N71" s="165" t="n"/>
      <c r="O71" s="165" t="n"/>
      <c r="P71" s="165" t="n"/>
      <c r="Q71" s="165" t="n"/>
      <c r="R71" s="165" t="n"/>
      <c r="S71" s="165" t="n"/>
      <c r="T71" s="162" t="inlineStr">
        <is>
          <t>Open</t>
        </is>
      </c>
      <c r="U71" s="162" t="inlineStr"/>
      <c r="V71" s="162" t="inlineStr"/>
    </row>
    <row r="72">
      <c r="A72" s="162" t="inlineStr">
        <is>
          <t>Whether Ankerlig and Gourikwa switch to gas on time</t>
        </is>
      </c>
      <c r="B72" s="163" t="inlineStr"/>
      <c r="C72" s="163" t="inlineStr">
        <is>
          <t>Gap</t>
        </is>
      </c>
      <c r="D72" s="165" t="n"/>
      <c r="E72" s="162" t="inlineStr">
        <is>
          <t>Eskom's stated target was December 2027.</t>
        </is>
      </c>
      <c r="F72" s="165" t="n"/>
      <c r="G72" s="165" t="n"/>
      <c r="H72" s="165" t="n"/>
      <c r="I72" s="165" t="n"/>
      <c r="J72" s="165" t="n"/>
      <c r="K72" s="165" t="n"/>
      <c r="L72" s="165" t="n"/>
      <c r="M72" s="165" t="n"/>
      <c r="N72" s="165" t="n"/>
      <c r="O72" s="165" t="n"/>
      <c r="P72" s="165" t="n"/>
      <c r="Q72" s="165" t="n"/>
      <c r="R72" s="165" t="n"/>
      <c r="S72" s="165" t="n"/>
      <c r="T72" s="162" t="inlineStr">
        <is>
          <t>Open</t>
        </is>
      </c>
      <c r="U72" s="162" t="inlineStr"/>
      <c r="V72" s="162" t="inlineStr"/>
    </row>
    <row r="73">
      <c r="A73" s="162" t="inlineStr">
        <is>
          <t>Avon and Dedisa after their agreements end</t>
        </is>
      </c>
      <c r="B73" s="163" t="inlineStr"/>
      <c r="C73" s="163" t="inlineStr">
        <is>
          <t>Gap</t>
        </is>
      </c>
      <c r="D73" s="165" t="n"/>
      <c r="E73" s="162" t="inlineStr">
        <is>
          <t>The 15-year agreements end in October 2030 and July 2031. Low ends them; medium and high continue them.</t>
        </is>
      </c>
      <c r="F73" s="165" t="n"/>
      <c r="G73" s="165" t="n"/>
      <c r="H73" s="165" t="n"/>
      <c r="I73" s="165" t="n"/>
      <c r="J73" s="165" t="n"/>
      <c r="K73" s="165" t="n"/>
      <c r="L73" s="165" t="n"/>
      <c r="M73" s="165" t="n"/>
      <c r="N73" s="165" t="n"/>
      <c r="O73" s="165" t="n"/>
      <c r="P73" s="165" t="n"/>
      <c r="Q73" s="165" t="n"/>
      <c r="R73" s="165" t="n"/>
      <c r="S73" s="165" t="n"/>
      <c r="T73" s="162" t="inlineStr">
        <is>
          <t>Open</t>
        </is>
      </c>
      <c r="U73" s="162" t="inlineStr"/>
      <c r="V73" s="162" t="inlineStr"/>
    </row>
    <row r="74">
      <c r="A74" s="162" t="inlineStr">
        <is>
          <t>Share of output on diesel when gas is available</t>
        </is>
      </c>
      <c r="B74" s="163" t="inlineStr"/>
      <c r="C74" s="163" t="inlineStr">
        <is>
          <t>Gap</t>
        </is>
      </c>
      <c r="D74" s="165" t="n"/>
      <c r="E74" s="162" t="inlineStr">
        <is>
          <t>No source; 10% is a placeholder.</t>
        </is>
      </c>
      <c r="F74" s="165" t="n"/>
      <c r="G74" s="165" t="n"/>
      <c r="H74" s="165" t="n"/>
      <c r="I74" s="165" t="n"/>
      <c r="J74" s="165" t="n"/>
      <c r="K74" s="165" t="n"/>
      <c r="L74" s="165" t="n"/>
      <c r="M74" s="165" t="n"/>
      <c r="N74" s="165" t="n"/>
      <c r="O74" s="165" t="n"/>
      <c r="P74" s="165" t="n"/>
      <c r="Q74" s="165" t="n"/>
      <c r="R74" s="165" t="n"/>
      <c r="S74" s="165" t="n"/>
      <c r="T74" s="162" t="inlineStr">
        <is>
          <t>Open</t>
        </is>
      </c>
      <c r="U74" s="162" t="inlineStr"/>
      <c r="V74" s="162" t="inlineStr"/>
    </row>
    <row r="75">
      <c r="A75" s="162" t="inlineStr">
        <is>
          <t>Private generators at firms and homes</t>
        </is>
      </c>
      <c r="B75" s="163" t="inlineStr"/>
      <c r="C75" s="163" t="inlineStr">
        <is>
          <t>Gap</t>
        </is>
      </c>
      <c r="D75" s="165" t="n"/>
      <c r="E75" s="162" t="inlineStr">
        <is>
          <t>Not in this block; no measured volume exists.</t>
        </is>
      </c>
      <c r="F75" s="165" t="n"/>
      <c r="G75" s="165" t="n"/>
      <c r="H75" s="165" t="n"/>
      <c r="I75" s="165" t="n"/>
      <c r="J75" s="165" t="n"/>
      <c r="K75" s="165" t="n"/>
      <c r="L75" s="165" t="n"/>
      <c r="M75" s="165" t="n"/>
      <c r="N75" s="165" t="n"/>
      <c r="O75" s="165" t="n"/>
      <c r="P75" s="165" t="n"/>
      <c r="Q75" s="165" t="n"/>
      <c r="R75" s="165" t="n"/>
      <c r="S75" s="165" t="n"/>
      <c r="T75" s="162" t="inlineStr">
        <is>
          <t>Open</t>
        </is>
      </c>
      <c r="U75" s="162" t="inlineStr"/>
      <c r="V75" s="16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V6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Vehicle block: what is observed beside what the model assumes</t>
        </is>
      </c>
    </row>
    <row r="2">
      <c r="A2" s="1" t="inlineStr">
        <is>
          <t>Stock, new sales, scrapping, drivetrain, fuel split and use. Observations are values from the registered inputs; the model's settings are in column D; shares, retirements and cross-checks are formulas.</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Registered vehicles at December</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Cars</t>
        </is>
      </c>
      <c r="B6" s="153" t="inlineStr">
        <is>
          <t>vehicles</t>
        </is>
      </c>
      <c r="C6" s="153" t="inlineStr">
        <is>
          <t>Source observation</t>
        </is>
      </c>
      <c r="D6" s="166" t="n"/>
      <c r="E6" s="152" t="inlineStr">
        <is>
          <t>Live (licensed) vehicles, all fuels together.</t>
        </is>
      </c>
      <c r="F6" s="166" t="n"/>
      <c r="G6" s="166" t="n"/>
      <c r="H6" s="166" t="n"/>
      <c r="I6" s="166" t="n"/>
      <c r="J6" s="166" t="n"/>
      <c r="K6" s="166" t="n"/>
      <c r="L6" s="166" t="n"/>
      <c r="M6" s="166" t="n"/>
      <c r="N6" s="166" t="n"/>
      <c r="O6" s="166" t="n">
        <v>7652077</v>
      </c>
      <c r="P6" s="166" t="n">
        <v>7685153</v>
      </c>
      <c r="Q6" s="166" t="n">
        <v>7794164</v>
      </c>
      <c r="R6" s="166" t="n">
        <v>7949275</v>
      </c>
      <c r="S6" s="166" t="n">
        <v>8184111</v>
      </c>
      <c r="T6" s="152" t="inlineStr">
        <is>
          <t>2021-2025</t>
        </is>
      </c>
      <c r="U6" s="152" t="inlineStr">
        <is>
          <t>NaTIS live vehicle population, December</t>
        </is>
      </c>
      <c r="V6" s="152" t="inlineStr">
        <is>
          <t>No split by fuel or by age in this source</t>
        </is>
      </c>
    </row>
    <row r="7">
      <c r="A7" s="152" t="inlineStr">
        <is>
          <t>Light commercial vehicles</t>
        </is>
      </c>
      <c r="B7" s="153" t="inlineStr">
        <is>
          <t>vehicles</t>
        </is>
      </c>
      <c r="C7" s="153" t="inlineStr">
        <is>
          <t>Source observation</t>
        </is>
      </c>
      <c r="D7" s="166" t="n"/>
      <c r="E7" s="152" t="inlineStr">
        <is>
          <t>Live (licensed) vehicles, all fuels together.</t>
        </is>
      </c>
      <c r="F7" s="166" t="n"/>
      <c r="G7" s="166" t="n"/>
      <c r="H7" s="166" t="n"/>
      <c r="I7" s="166" t="n"/>
      <c r="J7" s="166" t="n"/>
      <c r="K7" s="166" t="n"/>
      <c r="L7" s="166" t="n"/>
      <c r="M7" s="166" t="n"/>
      <c r="N7" s="166" t="n"/>
      <c r="O7" s="166" t="n">
        <v>2671314</v>
      </c>
      <c r="P7" s="166" t="n">
        <v>2658416</v>
      </c>
      <c r="Q7" s="166" t="n">
        <v>2689310</v>
      </c>
      <c r="R7" s="166" t="n">
        <v>2725606</v>
      </c>
      <c r="S7" s="166" t="n">
        <v>2776258</v>
      </c>
      <c r="T7" s="152" t="inlineStr">
        <is>
          <t>2021-2025</t>
        </is>
      </c>
      <c r="U7" s="152" t="inlineStr">
        <is>
          <t>NaTIS live vehicle population, December</t>
        </is>
      </c>
      <c r="V7" s="152" t="inlineStr">
        <is>
          <t>No split by fuel or by age in this source</t>
        </is>
      </c>
    </row>
    <row r="8">
      <c r="A8" s="152" t="inlineStr">
        <is>
          <t>Trucks</t>
        </is>
      </c>
      <c r="B8" s="153" t="inlineStr">
        <is>
          <t>vehicles</t>
        </is>
      </c>
      <c r="C8" s="153" t="inlineStr">
        <is>
          <t>Source observation</t>
        </is>
      </c>
      <c r="D8" s="166" t="n"/>
      <c r="E8" s="152" t="inlineStr">
        <is>
          <t>Live (licensed) vehicles, all fuels together.</t>
        </is>
      </c>
      <c r="F8" s="166" t="n"/>
      <c r="G8" s="166" t="n"/>
      <c r="H8" s="166" t="n"/>
      <c r="I8" s="166" t="n"/>
      <c r="J8" s="166" t="n"/>
      <c r="K8" s="166" t="n"/>
      <c r="L8" s="166" t="n"/>
      <c r="M8" s="166" t="n"/>
      <c r="N8" s="166" t="n"/>
      <c r="O8" s="166" t="n">
        <v>389112</v>
      </c>
      <c r="P8" s="166" t="n">
        <v>385845</v>
      </c>
      <c r="Q8" s="166" t="n">
        <v>392349</v>
      </c>
      <c r="R8" s="166" t="n">
        <v>398542</v>
      </c>
      <c r="S8" s="166" t="n">
        <v>404752</v>
      </c>
      <c r="T8" s="152" t="inlineStr">
        <is>
          <t>2021-2025</t>
        </is>
      </c>
      <c r="U8" s="152" t="inlineStr">
        <is>
          <t>NaTIS live vehicle population, December</t>
        </is>
      </c>
      <c r="V8" s="152" t="inlineStr">
        <is>
          <t>No split by fuel or by age in this source</t>
        </is>
      </c>
    </row>
    <row r="9">
      <c r="A9" s="152" t="inlineStr">
        <is>
          <t>Buses</t>
        </is>
      </c>
      <c r="B9" s="153" t="inlineStr">
        <is>
          <t>vehicles</t>
        </is>
      </c>
      <c r="C9" s="153" t="inlineStr">
        <is>
          <t>Source observation</t>
        </is>
      </c>
      <c r="D9" s="166" t="n"/>
      <c r="E9" s="152" t="inlineStr">
        <is>
          <t>Live (licensed) vehicles, all fuels together.</t>
        </is>
      </c>
      <c r="F9" s="166" t="n"/>
      <c r="G9" s="166" t="n"/>
      <c r="H9" s="166" t="n"/>
      <c r="I9" s="166" t="n"/>
      <c r="J9" s="166" t="n"/>
      <c r="K9" s="166" t="n"/>
      <c r="L9" s="166" t="n"/>
      <c r="M9" s="166" t="n"/>
      <c r="N9" s="166" t="n"/>
      <c r="O9" s="166" t="n">
        <v>64340</v>
      </c>
      <c r="P9" s="166" t="n">
        <v>64170</v>
      </c>
      <c r="Q9" s="166" t="n">
        <v>64982</v>
      </c>
      <c r="R9" s="166" t="n">
        <v>65792</v>
      </c>
      <c r="S9" s="166" t="n">
        <v>66249</v>
      </c>
      <c r="T9" s="152" t="inlineStr">
        <is>
          <t>2021-2025</t>
        </is>
      </c>
      <c r="U9" s="152" t="inlineStr">
        <is>
          <t>NaTIS live vehicle population, December</t>
        </is>
      </c>
      <c r="V9" s="152" t="inlineStr">
        <is>
          <t>No split by fuel or by age in this source</t>
        </is>
      </c>
    </row>
    <row r="10">
      <c r="A10" s="152" t="inlineStr">
        <is>
          <t>Minibuses</t>
        </is>
      </c>
      <c r="B10" s="153" t="inlineStr">
        <is>
          <t>vehicles</t>
        </is>
      </c>
      <c r="C10" s="153" t="inlineStr">
        <is>
          <t>Source observation</t>
        </is>
      </c>
      <c r="D10" s="166" t="n"/>
      <c r="E10" s="152" t="inlineStr">
        <is>
          <t>Live (licensed) vehicles, all fuels together.</t>
        </is>
      </c>
      <c r="F10" s="166" t="n"/>
      <c r="G10" s="166" t="n"/>
      <c r="H10" s="166" t="n"/>
      <c r="I10" s="166" t="n"/>
      <c r="J10" s="166" t="n"/>
      <c r="K10" s="166" t="n"/>
      <c r="L10" s="166" t="n"/>
      <c r="M10" s="166" t="n"/>
      <c r="N10" s="166" t="n"/>
      <c r="O10" s="166" t="n">
        <v>349671</v>
      </c>
      <c r="P10" s="166" t="n">
        <v>349335</v>
      </c>
      <c r="Q10" s="166" t="n">
        <v>355235</v>
      </c>
      <c r="R10" s="166" t="n">
        <v>355139</v>
      </c>
      <c r="S10" s="166" t="n">
        <v>355145</v>
      </c>
      <c r="T10" s="152" t="inlineStr">
        <is>
          <t>2021-2025</t>
        </is>
      </c>
      <c r="U10" s="152" t="inlineStr">
        <is>
          <t>NaTIS live vehicle population, December</t>
        </is>
      </c>
      <c r="V10" s="152" t="inlineStr">
        <is>
          <t>No split by fuel or by age in this source</t>
        </is>
      </c>
    </row>
    <row r="11">
      <c r="A11" s="152" t="inlineStr">
        <is>
          <t>Motorcycles</t>
        </is>
      </c>
      <c r="B11" s="153" t="inlineStr">
        <is>
          <t>vehicles</t>
        </is>
      </c>
      <c r="C11" s="153" t="inlineStr">
        <is>
          <t>Source observation</t>
        </is>
      </c>
      <c r="D11" s="166" t="n"/>
      <c r="E11" s="152" t="inlineStr">
        <is>
          <t>Live (licensed) vehicles, all fuels together.</t>
        </is>
      </c>
      <c r="F11" s="166" t="n"/>
      <c r="G11" s="166" t="n"/>
      <c r="H11" s="166" t="n"/>
      <c r="I11" s="166" t="n"/>
      <c r="J11" s="166" t="n"/>
      <c r="K11" s="166" t="n"/>
      <c r="L11" s="166" t="n"/>
      <c r="M11" s="166" t="n"/>
      <c r="N11" s="166" t="n"/>
      <c r="O11" s="166" t="n">
        <v>347631</v>
      </c>
      <c r="P11" s="166" t="n">
        <v>346153</v>
      </c>
      <c r="Q11" s="166" t="n">
        <v>349215</v>
      </c>
      <c r="R11" s="166" t="n">
        <v>358817</v>
      </c>
      <c r="S11" s="166" t="n">
        <v>372137</v>
      </c>
      <c r="T11" s="152" t="inlineStr">
        <is>
          <t>2021-2025</t>
        </is>
      </c>
      <c r="U11" s="152" t="inlineStr">
        <is>
          <t>NaTIS live vehicle population, December</t>
        </is>
      </c>
      <c r="V11" s="152" t="inlineStr">
        <is>
          <t>No split by fuel or by age in this source</t>
        </is>
      </c>
    </row>
    <row r="13">
      <c r="A13" s="151" t="inlineStr">
        <is>
          <t>2. New vehicle sales</t>
        </is>
      </c>
      <c r="B13" s="151" t="n"/>
      <c r="C13" s="151" t="n"/>
      <c r="D13" s="151" t="n"/>
      <c r="E13" s="151" t="n"/>
      <c r="F13" s="151" t="n"/>
      <c r="G13" s="151" t="n"/>
      <c r="H13" s="151" t="n"/>
      <c r="I13" s="151" t="n"/>
      <c r="J13" s="151" t="n"/>
      <c r="K13" s="151" t="n"/>
      <c r="L13" s="151" t="n"/>
      <c r="M13" s="151" t="n"/>
      <c r="N13" s="151" t="n"/>
      <c r="O13" s="151" t="n"/>
      <c r="P13" s="151" t="n"/>
      <c r="Q13" s="151" t="n"/>
      <c r="R13" s="151" t="n"/>
      <c r="S13" s="151" t="n"/>
      <c r="T13" s="151" t="n"/>
      <c r="U13" s="151" t="n"/>
      <c r="V13" s="151" t="n"/>
    </row>
    <row r="14">
      <c r="A14" s="152" t="inlineStr">
        <is>
          <t>Cars, new sales</t>
        </is>
      </c>
      <c r="B14" s="153" t="inlineStr">
        <is>
          <t>vehicles/year</t>
        </is>
      </c>
      <c r="C14" s="153" t="inlineStr">
        <is>
          <t>Source observation</t>
        </is>
      </c>
      <c r="D14" s="166" t="n"/>
      <c r="E14" s="152" t="inlineStr">
        <is>
          <t>Actual new sales, all drivetrains.</t>
        </is>
      </c>
      <c r="F14" s="166" t="n"/>
      <c r="G14" s="166" t="n"/>
      <c r="H14" s="166" t="n"/>
      <c r="I14" s="166" t="n">
        <v>412397</v>
      </c>
      <c r="J14" s="166" t="n">
        <v>361265</v>
      </c>
      <c r="K14" s="166" t="n">
        <v>368114</v>
      </c>
      <c r="L14" s="166" t="n">
        <v>365247</v>
      </c>
      <c r="M14" s="166" t="n">
        <v>355379</v>
      </c>
      <c r="N14" s="166" t="n">
        <v>246541</v>
      </c>
      <c r="O14" s="166" t="n">
        <v>304338</v>
      </c>
      <c r="P14" s="166" t="n">
        <v>363681</v>
      </c>
      <c r="Q14" s="166" t="n">
        <v>347377</v>
      </c>
      <c r="R14" s="166" t="n">
        <v>351553</v>
      </c>
      <c r="S14" s="166" t="n">
        <v>422463</v>
      </c>
      <c r="T14" s="152" t="inlineStr">
        <is>
          <t>2017-2025</t>
        </is>
      </c>
      <c r="U14" s="152" t="inlineStr">
        <is>
          <t>naamsa industry vehicle sales</t>
        </is>
      </c>
      <c r="V14" s="152" t="inlineStr"/>
    </row>
    <row r="15">
      <c r="A15" s="152" t="inlineStr">
        <is>
          <t>Light commercial vehicles, new sales</t>
        </is>
      </c>
      <c r="B15" s="153" t="inlineStr">
        <is>
          <t>vehicles/year</t>
        </is>
      </c>
      <c r="C15" s="153" t="inlineStr">
        <is>
          <t>Source observation</t>
        </is>
      </c>
      <c r="D15" s="166" t="n"/>
      <c r="E15" s="152" t="inlineStr">
        <is>
          <t>Actual new sales, all drivetrains.</t>
        </is>
      </c>
      <c r="F15" s="166" t="n"/>
      <c r="G15" s="166" t="n"/>
      <c r="H15" s="166" t="n"/>
      <c r="I15" s="166" t="n">
        <v>174812</v>
      </c>
      <c r="J15" s="166" t="n">
        <v>159316</v>
      </c>
      <c r="K15" s="166" t="n">
        <v>163317</v>
      </c>
      <c r="L15" s="166" t="n">
        <v>159525</v>
      </c>
      <c r="M15" s="166" t="n">
        <v>153221</v>
      </c>
      <c r="N15" s="166" t="n">
        <v>110912</v>
      </c>
      <c r="O15" s="166" t="n">
        <v>133078</v>
      </c>
      <c r="P15" s="166" t="n">
        <v>135711</v>
      </c>
      <c r="Q15" s="166" t="n">
        <v>151490</v>
      </c>
      <c r="R15" s="166" t="n">
        <v>133375</v>
      </c>
      <c r="S15" s="166" t="n">
        <v>143964</v>
      </c>
      <c r="T15" s="152" t="inlineStr">
        <is>
          <t>2017-2025</t>
        </is>
      </c>
      <c r="U15" s="152" t="inlineStr">
        <is>
          <t>naamsa industry vehicle sales</t>
        </is>
      </c>
      <c r="V15" s="152" t="inlineStr"/>
    </row>
    <row r="16">
      <c r="A16" s="152" t="inlineStr">
        <is>
          <t>Medium and heavy commercial vehicles, new sales</t>
        </is>
      </c>
      <c r="B16" s="153" t="inlineStr">
        <is>
          <t>vehicles/year</t>
        </is>
      </c>
      <c r="C16" s="153" t="inlineStr">
        <is>
          <t>Source observation</t>
        </is>
      </c>
      <c r="D16" s="166" t="n"/>
      <c r="E16" s="152" t="inlineStr">
        <is>
          <t>Actual new sales, all drivetrains.</t>
        </is>
      </c>
      <c r="F16" s="166" t="n"/>
      <c r="G16" s="166" t="n"/>
      <c r="H16" s="166" t="n"/>
      <c r="I16" s="166" t="n">
        <v>30441</v>
      </c>
      <c r="J16" s="166" t="n">
        <v>26972</v>
      </c>
      <c r="K16" s="166" t="n">
        <v>26272</v>
      </c>
      <c r="L16" s="166" t="n">
        <v>27449</v>
      </c>
      <c r="M16" s="166" t="n">
        <v>27891</v>
      </c>
      <c r="N16" s="166" t="n">
        <v>22614</v>
      </c>
      <c r="O16" s="166" t="n">
        <v>26906</v>
      </c>
      <c r="P16" s="166" t="n">
        <v>29942</v>
      </c>
      <c r="Q16" s="166" t="n">
        <v>32690</v>
      </c>
      <c r="R16" s="166" t="n">
        <v>31175</v>
      </c>
      <c r="S16" s="166" t="n">
        <v>30911</v>
      </c>
      <c r="T16" s="152" t="inlineStr">
        <is>
          <t>2017-2025</t>
        </is>
      </c>
      <c r="U16" s="152" t="inlineStr">
        <is>
          <t>naamsa industry vehicle sales</t>
        </is>
      </c>
      <c r="V16" s="152" t="inlineStr"/>
    </row>
    <row r="17">
      <c r="A17" s="152" t="inlineStr">
        <is>
          <t>All segments, new sales</t>
        </is>
      </c>
      <c r="B17" s="153" t="inlineStr">
        <is>
          <t>vehicles/year</t>
        </is>
      </c>
      <c r="C17" s="153" t="inlineStr">
        <is>
          <t>Source observation</t>
        </is>
      </c>
      <c r="D17" s="166" t="n"/>
      <c r="E17" s="152" t="inlineStr">
        <is>
          <t>Total market as reported.</t>
        </is>
      </c>
      <c r="F17" s="166" t="n"/>
      <c r="G17" s="166" t="n"/>
      <c r="H17" s="166" t="n"/>
      <c r="I17" s="166" t="n">
        <v>617650</v>
      </c>
      <c r="J17" s="166" t="n">
        <v>547552</v>
      </c>
      <c r="K17" s="166" t="n">
        <v>557719</v>
      </c>
      <c r="L17" s="166" t="n">
        <v>552221</v>
      </c>
      <c r="M17" s="166" t="n">
        <v>536486</v>
      </c>
      <c r="N17" s="166" t="n">
        <v>380065</v>
      </c>
      <c r="O17" s="166" t="n">
        <v>464322</v>
      </c>
      <c r="P17" s="166" t="n">
        <v>529335</v>
      </c>
      <c r="Q17" s="166" t="n">
        <v>531557</v>
      </c>
      <c r="R17" s="166" t="n">
        <v>516103</v>
      </c>
      <c r="S17" s="166" t="n">
        <v>597338</v>
      </c>
      <c r="T17" s="152" t="inlineStr">
        <is>
          <t>2017-2025</t>
        </is>
      </c>
      <c r="U17" s="152" t="inlineStr">
        <is>
          <t>naamsa industry vehicle sales</t>
        </is>
      </c>
      <c r="V17" s="152" t="inlineStr"/>
    </row>
    <row r="18">
      <c r="A18" s="156" t="inlineStr">
        <is>
          <t>Cars share of new sales</t>
        </is>
      </c>
      <c r="B18" s="157" t="inlineStr">
        <is>
          <t>%</t>
        </is>
      </c>
      <c r="C18" s="157" t="inlineStr">
        <is>
          <t>Reporting formula</t>
        </is>
      </c>
      <c r="D18" s="174" t="n">
        <v>78</v>
      </c>
      <c r="E18" s="156" t="inlineStr">
        <is>
          <t>Observed share. Column D is the model's fixed split of new vehicles.</t>
        </is>
      </c>
      <c r="F18" s="174">
        <f>IF(COUNT(F14,F17)&lt;2,"",F14/F17*100)</f>
        <v/>
      </c>
      <c r="G18" s="174">
        <f>IF(COUNT(G14,G17)&lt;2,"",G14/G17*100)</f>
        <v/>
      </c>
      <c r="H18" s="174">
        <f>IF(COUNT(H14,H17)&lt;2,"",H14/H17*100)</f>
        <v/>
      </c>
      <c r="I18" s="174">
        <f>IF(COUNT(I14,I17)&lt;2,"",I14/I17*100)</f>
        <v/>
      </c>
      <c r="J18" s="174">
        <f>IF(COUNT(J14,J17)&lt;2,"",J14/J17*100)</f>
        <v/>
      </c>
      <c r="K18" s="174">
        <f>IF(COUNT(K14,K17)&lt;2,"",K14/K17*100)</f>
        <v/>
      </c>
      <c r="L18" s="174">
        <f>IF(COUNT(L14,L17)&lt;2,"",L14/L17*100)</f>
        <v/>
      </c>
      <c r="M18" s="174">
        <f>IF(COUNT(M14,M17)&lt;2,"",M14/M17*100)</f>
        <v/>
      </c>
      <c r="N18" s="174">
        <f>IF(COUNT(N14,N17)&lt;2,"",N14/N17*100)</f>
        <v/>
      </c>
      <c r="O18" s="174">
        <f>IF(COUNT(O14,O17)&lt;2,"",O14/O17*100)</f>
        <v/>
      </c>
      <c r="P18" s="174">
        <f>IF(COUNT(P14,P17)&lt;2,"",P14/P17*100)</f>
        <v/>
      </c>
      <c r="Q18" s="174">
        <f>IF(COUNT(Q14,Q17)&lt;2,"",Q14/Q17*100)</f>
        <v/>
      </c>
      <c r="R18" s="174">
        <f>IF(COUNT(R14,R17)&lt;2,"",R14/R17*100)</f>
        <v/>
      </c>
      <c r="S18" s="174">
        <f>IF(COUNT(S14,S17)&lt;2,"",S14/S17*100)</f>
        <v/>
      </c>
      <c r="T18" s="156" t="inlineStr">
        <is>
          <t>Model setting in column D</t>
        </is>
      </c>
      <c r="U18" s="156" t="inlineStr">
        <is>
          <t>assumptions/2026/vehicles.yaml: new_vehicle_segment_split</t>
        </is>
      </c>
      <c r="V18" s="156" t="inlineStr"/>
    </row>
    <row r="19">
      <c r="A19" s="156" t="inlineStr">
        <is>
          <t>Light commercial share of new sales</t>
        </is>
      </c>
      <c r="B19" s="157" t="inlineStr">
        <is>
          <t>%</t>
        </is>
      </c>
      <c r="C19" s="157" t="inlineStr">
        <is>
          <t>Reporting formula</t>
        </is>
      </c>
      <c r="D19" s="174" t="n">
        <v>18</v>
      </c>
      <c r="E19" s="156" t="inlineStr">
        <is>
          <t>Observed share. Column D is the model's fixed split of new vehicles.</t>
        </is>
      </c>
      <c r="F19" s="174">
        <f>IF(COUNT(F15,F17)&lt;2,"",F15/F17*100)</f>
        <v/>
      </c>
      <c r="G19" s="174">
        <f>IF(COUNT(G15,G17)&lt;2,"",G15/G17*100)</f>
        <v/>
      </c>
      <c r="H19" s="174">
        <f>IF(COUNT(H15,H17)&lt;2,"",H15/H17*100)</f>
        <v/>
      </c>
      <c r="I19" s="174">
        <f>IF(COUNT(I15,I17)&lt;2,"",I15/I17*100)</f>
        <v/>
      </c>
      <c r="J19" s="174">
        <f>IF(COUNT(J15,J17)&lt;2,"",J15/J17*100)</f>
        <v/>
      </c>
      <c r="K19" s="174">
        <f>IF(COUNT(K15,K17)&lt;2,"",K15/K17*100)</f>
        <v/>
      </c>
      <c r="L19" s="174">
        <f>IF(COUNT(L15,L17)&lt;2,"",L15/L17*100)</f>
        <v/>
      </c>
      <c r="M19" s="174">
        <f>IF(COUNT(M15,M17)&lt;2,"",M15/M17*100)</f>
        <v/>
      </c>
      <c r="N19" s="174">
        <f>IF(COUNT(N15,N17)&lt;2,"",N15/N17*100)</f>
        <v/>
      </c>
      <c r="O19" s="174">
        <f>IF(COUNT(O15,O17)&lt;2,"",O15/O17*100)</f>
        <v/>
      </c>
      <c r="P19" s="174">
        <f>IF(COUNT(P15,P17)&lt;2,"",P15/P17*100)</f>
        <v/>
      </c>
      <c r="Q19" s="174">
        <f>IF(COUNT(Q15,Q17)&lt;2,"",Q15/Q17*100)</f>
        <v/>
      </c>
      <c r="R19" s="174">
        <f>IF(COUNT(R15,R17)&lt;2,"",R15/R17*100)</f>
        <v/>
      </c>
      <c r="S19" s="174">
        <f>IF(COUNT(S15,S17)&lt;2,"",S15/S17*100)</f>
        <v/>
      </c>
      <c r="T19" s="156" t="inlineStr">
        <is>
          <t>Model setting in column D</t>
        </is>
      </c>
      <c r="U19" s="156" t="inlineStr">
        <is>
          <t>assumptions/2026/vehicles.yaml: new_vehicle_segment_split</t>
        </is>
      </c>
      <c r="V19" s="156" t="inlineStr"/>
    </row>
    <row r="20">
      <c r="A20" s="156" t="inlineStr">
        <is>
          <t>Medium and heavy commercial share of new sales</t>
        </is>
      </c>
      <c r="B20" s="157" t="inlineStr">
        <is>
          <t>%</t>
        </is>
      </c>
      <c r="C20" s="157" t="inlineStr">
        <is>
          <t>Reporting formula</t>
        </is>
      </c>
      <c r="D20" s="174" t="n">
        <v>4</v>
      </c>
      <c r="E20" s="156" t="inlineStr">
        <is>
          <t>Observed share. Column D is the model's fixed split of new vehicles.</t>
        </is>
      </c>
      <c r="F20" s="174">
        <f>IF(COUNT(F16,F17)&lt;2,"",F16/F17*100)</f>
        <v/>
      </c>
      <c r="G20" s="174">
        <f>IF(COUNT(G16,G17)&lt;2,"",G16/G17*100)</f>
        <v/>
      </c>
      <c r="H20" s="174">
        <f>IF(COUNT(H16,H17)&lt;2,"",H16/H17*100)</f>
        <v/>
      </c>
      <c r="I20" s="174">
        <f>IF(COUNT(I16,I17)&lt;2,"",I16/I17*100)</f>
        <v/>
      </c>
      <c r="J20" s="174">
        <f>IF(COUNT(J16,J17)&lt;2,"",J16/J17*100)</f>
        <v/>
      </c>
      <c r="K20" s="174">
        <f>IF(COUNT(K16,K17)&lt;2,"",K16/K17*100)</f>
        <v/>
      </c>
      <c r="L20" s="174">
        <f>IF(COUNT(L16,L17)&lt;2,"",L16/L17*100)</f>
        <v/>
      </c>
      <c r="M20" s="174">
        <f>IF(COUNT(M16,M17)&lt;2,"",M16/M17*100)</f>
        <v/>
      </c>
      <c r="N20" s="174">
        <f>IF(COUNT(N16,N17)&lt;2,"",N16/N17*100)</f>
        <v/>
      </c>
      <c r="O20" s="174">
        <f>IF(COUNT(O16,O17)&lt;2,"",O16/O17*100)</f>
        <v/>
      </c>
      <c r="P20" s="174">
        <f>IF(COUNT(P16,P17)&lt;2,"",P16/P17*100)</f>
        <v/>
      </c>
      <c r="Q20" s="174">
        <f>IF(COUNT(Q16,Q17)&lt;2,"",Q16/Q17*100)</f>
        <v/>
      </c>
      <c r="R20" s="174">
        <f>IF(COUNT(R16,R17)&lt;2,"",R16/R17*100)</f>
        <v/>
      </c>
      <c r="S20" s="174">
        <f>IF(COUNT(S16,S17)&lt;2,"",S16/S17*100)</f>
        <v/>
      </c>
      <c r="T20" s="156" t="inlineStr">
        <is>
          <t>Model setting in column D</t>
        </is>
      </c>
      <c r="U20" s="156" t="inlineStr">
        <is>
          <t>assumptions/2026/vehicles.yaml: new_vehicle_segment_split</t>
        </is>
      </c>
      <c r="V20" s="156" t="inlineStr"/>
    </row>
    <row r="22">
      <c r="A22" s="151" t="inlineStr">
        <is>
          <t>3. Apparent retirements: last December's stock plus this year's sales less this December's stock</t>
        </is>
      </c>
      <c r="B22" s="151" t="n"/>
      <c r="C22" s="151" t="n"/>
      <c r="D22" s="151" t="n"/>
      <c r="E22" s="151" t="n"/>
      <c r="F22" s="151" t="n"/>
      <c r="G22" s="151" t="n"/>
      <c r="H22" s="151" t="n"/>
      <c r="I22" s="151" t="n"/>
      <c r="J22" s="151" t="n"/>
      <c r="K22" s="151" t="n"/>
      <c r="L22" s="151" t="n"/>
      <c r="M22" s="151" t="n"/>
      <c r="N22" s="151" t="n"/>
      <c r="O22" s="151" t="n"/>
      <c r="P22" s="151" t="n"/>
      <c r="Q22" s="151" t="n"/>
      <c r="R22" s="151" t="n"/>
      <c r="S22" s="151" t="n"/>
      <c r="T22" s="151" t="n"/>
      <c r="U22" s="151" t="n"/>
      <c r="V22" s="151" t="n"/>
    </row>
    <row r="23">
      <c r="A23" s="156" t="inlineStr">
        <is>
          <t>Cars retired</t>
        </is>
      </c>
      <c r="B23" s="157" t="inlineStr">
        <is>
          <t>vehicles/year</t>
        </is>
      </c>
      <c r="C23" s="157" t="inlineStr">
        <is>
          <t>Reporting formula</t>
        </is>
      </c>
      <c r="D23" s="167" t="n"/>
      <c r="E23" s="156" t="inlineStr">
        <is>
          <t>Includes deregistration, export and write-off; used imports and re-registration would lower it.</t>
        </is>
      </c>
      <c r="F23" s="167" t="n"/>
      <c r="G23" s="167">
        <f>IF(COUNT(F6,G6,G14)&lt;3,"",F6+G14-G6)</f>
        <v/>
      </c>
      <c r="H23" s="167">
        <f>IF(COUNT(G6,H6,H14)&lt;3,"",G6+H14-H6)</f>
        <v/>
      </c>
      <c r="I23" s="167">
        <f>IF(COUNT(H6,I6,I14)&lt;3,"",H6+I14-I6)</f>
        <v/>
      </c>
      <c r="J23" s="167">
        <f>IF(COUNT(I6,J6,J14)&lt;3,"",I6+J14-J6)</f>
        <v/>
      </c>
      <c r="K23" s="167">
        <f>IF(COUNT(J6,K6,K14)&lt;3,"",J6+K14-K6)</f>
        <v/>
      </c>
      <c r="L23" s="167">
        <f>IF(COUNT(K6,L6,L14)&lt;3,"",K6+L14-L6)</f>
        <v/>
      </c>
      <c r="M23" s="167">
        <f>IF(COUNT(L6,M6,M14)&lt;3,"",L6+M14-M6)</f>
        <v/>
      </c>
      <c r="N23" s="167">
        <f>IF(COUNT(M6,N6,N14)&lt;3,"",M6+N14-N6)</f>
        <v/>
      </c>
      <c r="O23" s="167">
        <f>IF(COUNT(N6,O6,O14)&lt;3,"",N6+O14-O6)</f>
        <v/>
      </c>
      <c r="P23" s="167">
        <f>IF(COUNT(O6,P6,P14)&lt;3,"",O6+P14-P6)</f>
        <v/>
      </c>
      <c r="Q23" s="167">
        <f>IF(COUNT(P6,Q6,Q14)&lt;3,"",P6+Q14-Q6)</f>
        <v/>
      </c>
      <c r="R23" s="167">
        <f>IF(COUNT(Q6,R6,R14)&lt;3,"",Q6+R14-R6)</f>
        <v/>
      </c>
      <c r="S23" s="167">
        <f>IF(COUNT(R6,S6,S14)&lt;3,"",R6+S14-S6)</f>
        <v/>
      </c>
      <c r="T23" s="156" t="inlineStr"/>
      <c r="U23" s="156" t="inlineStr"/>
      <c r="V23" s="156" t="inlineStr"/>
    </row>
    <row r="24">
      <c r="A24" s="156" t="inlineStr">
        <is>
          <t>Cars retirement rate</t>
        </is>
      </c>
      <c r="B24" s="157" t="inlineStr">
        <is>
          <t>% of last December's stock</t>
        </is>
      </c>
      <c r="C24" s="157" t="inlineStr">
        <is>
          <t>Reporting formula</t>
        </is>
      </c>
      <c r="D24" s="174" t="n">
        <v>4</v>
      </c>
      <c r="E24" s="156" t="inlineStr">
        <is>
          <t>Retired divided by last December's stock. Column D is the model's scrappage rate.</t>
        </is>
      </c>
      <c r="F24" s="174" t="n"/>
      <c r="G24" s="174">
        <f>IF(ISNUMBER(G23),G23/F6*100,"")</f>
        <v/>
      </c>
      <c r="H24" s="174">
        <f>IF(ISNUMBER(H23),H23/G6*100,"")</f>
        <v/>
      </c>
      <c r="I24" s="174">
        <f>IF(ISNUMBER(I23),I23/H6*100,"")</f>
        <v/>
      </c>
      <c r="J24" s="174">
        <f>IF(ISNUMBER(J23),J23/I6*100,"")</f>
        <v/>
      </c>
      <c r="K24" s="174">
        <f>IF(ISNUMBER(K23),K23/J6*100,"")</f>
        <v/>
      </c>
      <c r="L24" s="174">
        <f>IF(ISNUMBER(L23),L23/K6*100,"")</f>
        <v/>
      </c>
      <c r="M24" s="174">
        <f>IF(ISNUMBER(M23),M23/L6*100,"")</f>
        <v/>
      </c>
      <c r="N24" s="174">
        <f>IF(ISNUMBER(N23),N23/M6*100,"")</f>
        <v/>
      </c>
      <c r="O24" s="174">
        <f>IF(ISNUMBER(O23),O23/N6*100,"")</f>
        <v/>
      </c>
      <c r="P24" s="174">
        <f>IF(ISNUMBER(P23),P23/O6*100,"")</f>
        <v/>
      </c>
      <c r="Q24" s="174">
        <f>IF(ISNUMBER(Q23),Q23/P6*100,"")</f>
        <v/>
      </c>
      <c r="R24" s="174">
        <f>IF(ISNUMBER(R23),R23/Q6*100,"")</f>
        <v/>
      </c>
      <c r="S24" s="174">
        <f>IF(ISNUMBER(S23),S23/R6*100,"")</f>
        <v/>
      </c>
      <c r="T24" s="156" t="inlineStr">
        <is>
          <t>Model setting in column D</t>
        </is>
      </c>
      <c r="U24" s="156" t="inlineStr">
        <is>
          <t>assumptions/2026/vehicles.yaml: scrappage_rate</t>
        </is>
      </c>
      <c r="V24" s="156" t="inlineStr"/>
    </row>
    <row r="25">
      <c r="A25" s="156" t="inlineStr">
        <is>
          <t>Light commercial vehicles retired</t>
        </is>
      </c>
      <c r="B25" s="157" t="inlineStr">
        <is>
          <t>vehicles/year</t>
        </is>
      </c>
      <c r="C25" s="157" t="inlineStr">
        <is>
          <t>Reporting formula</t>
        </is>
      </c>
      <c r="D25" s="167" t="n"/>
      <c r="E25" s="156" t="inlineStr">
        <is>
          <t>Includes deregistration, export and write-off; used imports and re-registration would lower it.</t>
        </is>
      </c>
      <c r="F25" s="167" t="n"/>
      <c r="G25" s="167">
        <f>IF(COUNT(F7,G7,G15)&lt;3,"",F7+G15-G7)</f>
        <v/>
      </c>
      <c r="H25" s="167">
        <f>IF(COUNT(G7,H7,H15)&lt;3,"",G7+H15-H7)</f>
        <v/>
      </c>
      <c r="I25" s="167">
        <f>IF(COUNT(H7,I7,I15)&lt;3,"",H7+I15-I7)</f>
        <v/>
      </c>
      <c r="J25" s="167">
        <f>IF(COUNT(I7,J7,J15)&lt;3,"",I7+J15-J7)</f>
        <v/>
      </c>
      <c r="K25" s="167">
        <f>IF(COUNT(J7,K7,K15)&lt;3,"",J7+K15-K7)</f>
        <v/>
      </c>
      <c r="L25" s="167">
        <f>IF(COUNT(K7,L7,L15)&lt;3,"",K7+L15-L7)</f>
        <v/>
      </c>
      <c r="M25" s="167">
        <f>IF(COUNT(L7,M7,M15)&lt;3,"",L7+M15-M7)</f>
        <v/>
      </c>
      <c r="N25" s="167">
        <f>IF(COUNT(M7,N7,N15)&lt;3,"",M7+N15-N7)</f>
        <v/>
      </c>
      <c r="O25" s="167">
        <f>IF(COUNT(N7,O7,O15)&lt;3,"",N7+O15-O7)</f>
        <v/>
      </c>
      <c r="P25" s="167">
        <f>IF(COUNT(O7,P7,P15)&lt;3,"",O7+P15-P7)</f>
        <v/>
      </c>
      <c r="Q25" s="167">
        <f>IF(COUNT(P7,Q7,Q15)&lt;3,"",P7+Q15-Q7)</f>
        <v/>
      </c>
      <c r="R25" s="167">
        <f>IF(COUNT(Q7,R7,R15)&lt;3,"",Q7+R15-R7)</f>
        <v/>
      </c>
      <c r="S25" s="167">
        <f>IF(COUNT(R7,S7,S15)&lt;3,"",R7+S15-S7)</f>
        <v/>
      </c>
      <c r="T25" s="156" t="inlineStr"/>
      <c r="U25" s="156" t="inlineStr"/>
      <c r="V25" s="156" t="inlineStr"/>
    </row>
    <row r="26">
      <c r="A26" s="156" t="inlineStr">
        <is>
          <t>Light commercial vehicles retirement rate</t>
        </is>
      </c>
      <c r="B26" s="157" t="inlineStr">
        <is>
          <t>% of last December's stock</t>
        </is>
      </c>
      <c r="C26" s="157" t="inlineStr">
        <is>
          <t>Reporting formula</t>
        </is>
      </c>
      <c r="D26" s="174" t="n">
        <v>5</v>
      </c>
      <c r="E26" s="156" t="inlineStr">
        <is>
          <t>Retired divided by last December's stock. Column D is the model's scrappage rate.</t>
        </is>
      </c>
      <c r="F26" s="174" t="n"/>
      <c r="G26" s="174">
        <f>IF(ISNUMBER(G25),G25/F7*100,"")</f>
        <v/>
      </c>
      <c r="H26" s="174">
        <f>IF(ISNUMBER(H25),H25/G7*100,"")</f>
        <v/>
      </c>
      <c r="I26" s="174">
        <f>IF(ISNUMBER(I25),I25/H7*100,"")</f>
        <v/>
      </c>
      <c r="J26" s="174">
        <f>IF(ISNUMBER(J25),J25/I7*100,"")</f>
        <v/>
      </c>
      <c r="K26" s="174">
        <f>IF(ISNUMBER(K25),K25/J7*100,"")</f>
        <v/>
      </c>
      <c r="L26" s="174">
        <f>IF(ISNUMBER(L25),L25/K7*100,"")</f>
        <v/>
      </c>
      <c r="M26" s="174">
        <f>IF(ISNUMBER(M25),M25/L7*100,"")</f>
        <v/>
      </c>
      <c r="N26" s="174">
        <f>IF(ISNUMBER(N25),N25/M7*100,"")</f>
        <v/>
      </c>
      <c r="O26" s="174">
        <f>IF(ISNUMBER(O25),O25/N7*100,"")</f>
        <v/>
      </c>
      <c r="P26" s="174">
        <f>IF(ISNUMBER(P25),P25/O7*100,"")</f>
        <v/>
      </c>
      <c r="Q26" s="174">
        <f>IF(ISNUMBER(Q25),Q25/P7*100,"")</f>
        <v/>
      </c>
      <c r="R26" s="174">
        <f>IF(ISNUMBER(R25),R25/Q7*100,"")</f>
        <v/>
      </c>
      <c r="S26" s="174">
        <f>IF(ISNUMBER(S25),S25/R7*100,"")</f>
        <v/>
      </c>
      <c r="T26" s="156" t="inlineStr">
        <is>
          <t>Model setting in column D</t>
        </is>
      </c>
      <c r="U26" s="156" t="inlineStr">
        <is>
          <t>assumptions/2026/vehicles.yaml: scrappage_rate</t>
        </is>
      </c>
      <c r="V26" s="156" t="inlineStr"/>
    </row>
    <row r="27">
      <c r="A27" s="156" t="inlineStr">
        <is>
          <t>Trucks retired</t>
        </is>
      </c>
      <c r="B27" s="157" t="inlineStr">
        <is>
          <t>vehicles/year</t>
        </is>
      </c>
      <c r="C27" s="157" t="inlineStr">
        <is>
          <t>Reporting formula</t>
        </is>
      </c>
      <c r="D27" s="167" t="n"/>
      <c r="E27" s="156" t="inlineStr">
        <is>
          <t>Includes deregistration, export and write-off; used imports and re-registration would lower it.</t>
        </is>
      </c>
      <c r="F27" s="167" t="n"/>
      <c r="G27" s="167">
        <f>IF(COUNT(F8,G8,G16)&lt;3,"",F8+G16-G8)</f>
        <v/>
      </c>
      <c r="H27" s="167">
        <f>IF(COUNT(G8,H8,H16)&lt;3,"",G8+H16-H8)</f>
        <v/>
      </c>
      <c r="I27" s="167">
        <f>IF(COUNT(H8,I8,I16)&lt;3,"",H8+I16-I8)</f>
        <v/>
      </c>
      <c r="J27" s="167">
        <f>IF(COUNT(I8,J8,J16)&lt;3,"",I8+J16-J8)</f>
        <v/>
      </c>
      <c r="K27" s="167">
        <f>IF(COUNT(J8,K8,K16)&lt;3,"",J8+K16-K8)</f>
        <v/>
      </c>
      <c r="L27" s="167">
        <f>IF(COUNT(K8,L8,L16)&lt;3,"",K8+L16-L8)</f>
        <v/>
      </c>
      <c r="M27" s="167">
        <f>IF(COUNT(L8,M8,M16)&lt;3,"",L8+M16-M8)</f>
        <v/>
      </c>
      <c r="N27" s="167">
        <f>IF(COUNT(M8,N8,N16)&lt;3,"",M8+N16-N8)</f>
        <v/>
      </c>
      <c r="O27" s="167">
        <f>IF(COUNT(N8,O8,O16)&lt;3,"",N8+O16-O8)</f>
        <v/>
      </c>
      <c r="P27" s="167">
        <f>IF(COUNT(O8,P8,P16)&lt;3,"",O8+P16-P8)</f>
        <v/>
      </c>
      <c r="Q27" s="167">
        <f>IF(COUNT(P8,Q8,Q16)&lt;3,"",P8+Q16-Q8)</f>
        <v/>
      </c>
      <c r="R27" s="167">
        <f>IF(COUNT(Q8,R8,R16)&lt;3,"",Q8+R16-R8)</f>
        <v/>
      </c>
      <c r="S27" s="167">
        <f>IF(COUNT(R8,S8,S16)&lt;3,"",R8+S16-S8)</f>
        <v/>
      </c>
      <c r="T27" s="156" t="inlineStr"/>
      <c r="U27" s="156" t="inlineStr"/>
      <c r="V27" s="156" t="inlineStr"/>
    </row>
    <row r="28">
      <c r="A28" s="156" t="inlineStr">
        <is>
          <t>Trucks retirement rate</t>
        </is>
      </c>
      <c r="B28" s="157" t="inlineStr">
        <is>
          <t>% of last December's stock</t>
        </is>
      </c>
      <c r="C28" s="157" t="inlineStr">
        <is>
          <t>Reporting formula</t>
        </is>
      </c>
      <c r="D28" s="174" t="n">
        <v>6</v>
      </c>
      <c r="E28" s="156" t="inlineStr">
        <is>
          <t>Retired divided by last December's stock. Column D is the model's scrappage rate.</t>
        </is>
      </c>
      <c r="F28" s="174" t="n"/>
      <c r="G28" s="174">
        <f>IF(ISNUMBER(G27),G27/F8*100,"")</f>
        <v/>
      </c>
      <c r="H28" s="174">
        <f>IF(ISNUMBER(H27),H27/G8*100,"")</f>
        <v/>
      </c>
      <c r="I28" s="174">
        <f>IF(ISNUMBER(I27),I27/H8*100,"")</f>
        <v/>
      </c>
      <c r="J28" s="174">
        <f>IF(ISNUMBER(J27),J27/I8*100,"")</f>
        <v/>
      </c>
      <c r="K28" s="174">
        <f>IF(ISNUMBER(K27),K27/J8*100,"")</f>
        <v/>
      </c>
      <c r="L28" s="174">
        <f>IF(ISNUMBER(L27),L27/K8*100,"")</f>
        <v/>
      </c>
      <c r="M28" s="174">
        <f>IF(ISNUMBER(M27),M27/L8*100,"")</f>
        <v/>
      </c>
      <c r="N28" s="174">
        <f>IF(ISNUMBER(N27),N27/M8*100,"")</f>
        <v/>
      </c>
      <c r="O28" s="174">
        <f>IF(ISNUMBER(O27),O27/N8*100,"")</f>
        <v/>
      </c>
      <c r="P28" s="174">
        <f>IF(ISNUMBER(P27),P27/O8*100,"")</f>
        <v/>
      </c>
      <c r="Q28" s="174">
        <f>IF(ISNUMBER(Q27),Q27/P8*100,"")</f>
        <v/>
      </c>
      <c r="R28" s="174">
        <f>IF(ISNUMBER(R27),R27/Q8*100,"")</f>
        <v/>
      </c>
      <c r="S28" s="174">
        <f>IF(ISNUMBER(S27),S27/R8*100,"")</f>
        <v/>
      </c>
      <c r="T28" s="156" t="inlineStr">
        <is>
          <t>Model setting in column D</t>
        </is>
      </c>
      <c r="U28" s="156" t="inlineStr">
        <is>
          <t>assumptions/2026/vehicles.yaml: scrappage_rate</t>
        </is>
      </c>
      <c r="V28" s="156" t="inlineStr"/>
    </row>
    <row r="30">
      <c r="A30" s="151" t="inlineStr">
        <is>
          <t>4. Electrified new sales (all segments)</t>
        </is>
      </c>
      <c r="B30" s="151" t="n"/>
      <c r="C30" s="151" t="n"/>
      <c r="D30" s="151" t="n"/>
      <c r="E30" s="151" t="n"/>
      <c r="F30" s="151" t="n"/>
      <c r="G30" s="151" t="n"/>
      <c r="H30" s="151" t="n"/>
      <c r="I30" s="151" t="n"/>
      <c r="J30" s="151" t="n"/>
      <c r="K30" s="151" t="n"/>
      <c r="L30" s="151" t="n"/>
      <c r="M30" s="151" t="n"/>
      <c r="N30" s="151" t="n"/>
      <c r="O30" s="151" t="n"/>
      <c r="P30" s="151" t="n"/>
      <c r="Q30" s="151" t="n"/>
      <c r="R30" s="151" t="n"/>
      <c r="S30" s="151" t="n"/>
      <c r="T30" s="151" t="n"/>
      <c r="U30" s="151" t="n"/>
      <c r="V30" s="151" t="n"/>
    </row>
    <row r="31">
      <c r="A31" s="152" t="inlineStr">
        <is>
          <t>Battery electric, new sales</t>
        </is>
      </c>
      <c r="B31" s="153" t="inlineStr">
        <is>
          <t>vehicles/year</t>
        </is>
      </c>
      <c r="C31" s="153" t="inlineStr">
        <is>
          <t>Source observation</t>
        </is>
      </c>
      <c r="D31" s="166" t="n"/>
      <c r="E31" s="152" t="inlineStr">
        <is>
          <t>Total market, not passenger cars only.</t>
        </is>
      </c>
      <c r="F31" s="166" t="n"/>
      <c r="G31" s="166" t="n"/>
      <c r="H31" s="166" t="n"/>
      <c r="I31" s="166" t="n"/>
      <c r="J31" s="166" t="n"/>
      <c r="K31" s="166" t="n"/>
      <c r="L31" s="166" t="n"/>
      <c r="M31" s="166" t="n">
        <v>154</v>
      </c>
      <c r="N31" s="166" t="n">
        <v>92</v>
      </c>
      <c r="O31" s="166" t="n">
        <v>218</v>
      </c>
      <c r="P31" s="166" t="n">
        <v>502</v>
      </c>
      <c r="Q31" s="166" t="n">
        <v>929</v>
      </c>
      <c r="R31" s="166" t="n">
        <v>1257</v>
      </c>
      <c r="S31" s="166" t="n">
        <v>1088</v>
      </c>
      <c r="T31" s="152" t="inlineStr">
        <is>
          <t>2019-2025</t>
        </is>
      </c>
      <c r="U31" s="152" t="inlineStr">
        <is>
          <t>naamsa new-energy vehicle sales</t>
        </is>
      </c>
      <c r="V31" s="152" t="inlineStr"/>
    </row>
    <row r="32">
      <c r="A32" s="156" t="inlineStr">
        <is>
          <t>Battery electric share of new sales</t>
        </is>
      </c>
      <c r="B32" s="157" t="inlineStr">
        <is>
          <t>%</t>
        </is>
      </c>
      <c r="C32" s="157" t="inlineStr">
        <is>
          <t>Reporting formula</t>
        </is>
      </c>
      <c r="D32" s="169" t="n"/>
      <c r="E32" s="156" t="inlineStr">
        <is>
          <t>Share of all new vehicles sold in the year.</t>
        </is>
      </c>
      <c r="F32" s="169">
        <f>IF(COUNT(F31,F17)&lt;2,"",F31/F17*100)</f>
        <v/>
      </c>
      <c r="G32" s="169">
        <f>IF(COUNT(G31,G17)&lt;2,"",G31/G17*100)</f>
        <v/>
      </c>
      <c r="H32" s="169">
        <f>IF(COUNT(H31,H17)&lt;2,"",H31/H17*100)</f>
        <v/>
      </c>
      <c r="I32" s="169">
        <f>IF(COUNT(I31,I17)&lt;2,"",I31/I17*100)</f>
        <v/>
      </c>
      <c r="J32" s="169">
        <f>IF(COUNT(J31,J17)&lt;2,"",J31/J17*100)</f>
        <v/>
      </c>
      <c r="K32" s="169">
        <f>IF(COUNT(K31,K17)&lt;2,"",K31/K17*100)</f>
        <v/>
      </c>
      <c r="L32" s="169">
        <f>IF(COUNT(L31,L17)&lt;2,"",L31/L17*100)</f>
        <v/>
      </c>
      <c r="M32" s="169">
        <f>IF(COUNT(M31,M17)&lt;2,"",M31/M17*100)</f>
        <v/>
      </c>
      <c r="N32" s="169">
        <f>IF(COUNT(N31,N17)&lt;2,"",N31/N17*100)</f>
        <v/>
      </c>
      <c r="O32" s="169">
        <f>IF(COUNT(O31,O17)&lt;2,"",O31/O17*100)</f>
        <v/>
      </c>
      <c r="P32" s="169">
        <f>IF(COUNT(P31,P17)&lt;2,"",P31/P17*100)</f>
        <v/>
      </c>
      <c r="Q32" s="169">
        <f>IF(COUNT(Q31,Q17)&lt;2,"",Q31/Q17*100)</f>
        <v/>
      </c>
      <c r="R32" s="169">
        <f>IF(COUNT(R31,R17)&lt;2,"",R31/R17*100)</f>
        <v/>
      </c>
      <c r="S32" s="169">
        <f>IF(COUNT(S31,S17)&lt;2,"",S31/S17*100)</f>
        <v/>
      </c>
      <c r="T32" s="156" t="inlineStr"/>
      <c r="U32" s="156" t="inlineStr"/>
      <c r="V32" s="156" t="inlineStr">
        <is>
          <t>Share of the fleet is not observed after December 2023</t>
        </is>
      </c>
    </row>
    <row r="33">
      <c r="A33" s="152" t="inlineStr">
        <is>
          <t>Plug-in hybrid, new sales</t>
        </is>
      </c>
      <c r="B33" s="153" t="inlineStr">
        <is>
          <t>vehicles/year</t>
        </is>
      </c>
      <c r="C33" s="153" t="inlineStr">
        <is>
          <t>Source observation</t>
        </is>
      </c>
      <c r="D33" s="166" t="n"/>
      <c r="E33" s="152" t="inlineStr">
        <is>
          <t>Total market, not passenger cars only.</t>
        </is>
      </c>
      <c r="F33" s="166" t="n"/>
      <c r="G33" s="166" t="n"/>
      <c r="H33" s="166" t="n"/>
      <c r="I33" s="166" t="n"/>
      <c r="J33" s="166" t="n"/>
      <c r="K33" s="166" t="n"/>
      <c r="L33" s="166" t="n"/>
      <c r="M33" s="166" t="n">
        <v>72</v>
      </c>
      <c r="N33" s="166" t="n">
        <v>77</v>
      </c>
      <c r="O33" s="166" t="n">
        <v>51</v>
      </c>
      <c r="P33" s="166" t="n">
        <v>122</v>
      </c>
      <c r="Q33" s="166" t="n">
        <v>368</v>
      </c>
      <c r="R33" s="166" t="n">
        <v>738</v>
      </c>
      <c r="S33" s="166" t="n">
        <v>2810</v>
      </c>
      <c r="T33" s="152" t="inlineStr">
        <is>
          <t>2019-2025</t>
        </is>
      </c>
      <c r="U33" s="152" t="inlineStr">
        <is>
          <t>naamsa new-energy vehicle sales</t>
        </is>
      </c>
      <c r="V33" s="152" t="inlineStr"/>
    </row>
    <row r="34">
      <c r="A34" s="156" t="inlineStr">
        <is>
          <t>Plug-in hybrid share of new sales</t>
        </is>
      </c>
      <c r="B34" s="157" t="inlineStr">
        <is>
          <t>%</t>
        </is>
      </c>
      <c r="C34" s="157" t="inlineStr">
        <is>
          <t>Reporting formula</t>
        </is>
      </c>
      <c r="D34" s="169" t="n"/>
      <c r="E34" s="156" t="inlineStr">
        <is>
          <t>Share of all new vehicles sold in the year.</t>
        </is>
      </c>
      <c r="F34" s="169">
        <f>IF(COUNT(F33,F17)&lt;2,"",F33/F17*100)</f>
        <v/>
      </c>
      <c r="G34" s="169">
        <f>IF(COUNT(G33,G17)&lt;2,"",G33/G17*100)</f>
        <v/>
      </c>
      <c r="H34" s="169">
        <f>IF(COUNT(H33,H17)&lt;2,"",H33/H17*100)</f>
        <v/>
      </c>
      <c r="I34" s="169">
        <f>IF(COUNT(I33,I17)&lt;2,"",I33/I17*100)</f>
        <v/>
      </c>
      <c r="J34" s="169">
        <f>IF(COUNT(J33,J17)&lt;2,"",J33/J17*100)</f>
        <v/>
      </c>
      <c r="K34" s="169">
        <f>IF(COUNT(K33,K17)&lt;2,"",K33/K17*100)</f>
        <v/>
      </c>
      <c r="L34" s="169">
        <f>IF(COUNT(L33,L17)&lt;2,"",L33/L17*100)</f>
        <v/>
      </c>
      <c r="M34" s="169">
        <f>IF(COUNT(M33,M17)&lt;2,"",M33/M17*100)</f>
        <v/>
      </c>
      <c r="N34" s="169">
        <f>IF(COUNT(N33,N17)&lt;2,"",N33/N17*100)</f>
        <v/>
      </c>
      <c r="O34" s="169">
        <f>IF(COUNT(O33,O17)&lt;2,"",O33/O17*100)</f>
        <v/>
      </c>
      <c r="P34" s="169">
        <f>IF(COUNT(P33,P17)&lt;2,"",P33/P17*100)</f>
        <v/>
      </c>
      <c r="Q34" s="169">
        <f>IF(COUNT(Q33,Q17)&lt;2,"",Q33/Q17*100)</f>
        <v/>
      </c>
      <c r="R34" s="169">
        <f>IF(COUNT(R33,R17)&lt;2,"",R33/R17*100)</f>
        <v/>
      </c>
      <c r="S34" s="169">
        <f>IF(COUNT(S33,S17)&lt;2,"",S33/S17*100)</f>
        <v/>
      </c>
      <c r="T34" s="156" t="inlineStr"/>
      <c r="U34" s="156" t="inlineStr"/>
      <c r="V34" s="156" t="inlineStr">
        <is>
          <t>Share of the fleet is not observed after December 2023</t>
        </is>
      </c>
    </row>
    <row r="35">
      <c r="A35" s="152" t="inlineStr">
        <is>
          <t>Conventional hybrid, new sales</t>
        </is>
      </c>
      <c r="B35" s="153" t="inlineStr">
        <is>
          <t>vehicles/year</t>
        </is>
      </c>
      <c r="C35" s="153" t="inlineStr">
        <is>
          <t>Source observation</t>
        </is>
      </c>
      <c r="D35" s="166" t="n"/>
      <c r="E35" s="152" t="inlineStr">
        <is>
          <t>Total market, not passenger cars only.</t>
        </is>
      </c>
      <c r="F35" s="166" t="n"/>
      <c r="G35" s="166" t="n"/>
      <c r="H35" s="166" t="n"/>
      <c r="I35" s="166" t="n"/>
      <c r="J35" s="166" t="n"/>
      <c r="K35" s="166" t="n"/>
      <c r="L35" s="166" t="n"/>
      <c r="M35" s="166" t="n">
        <v>181</v>
      </c>
      <c r="N35" s="166" t="n">
        <v>155</v>
      </c>
      <c r="O35" s="166" t="n">
        <v>627</v>
      </c>
      <c r="P35" s="166" t="n">
        <v>4070</v>
      </c>
      <c r="Q35" s="166" t="n">
        <v>6485</v>
      </c>
      <c r="R35" s="166" t="n">
        <v>13616</v>
      </c>
      <c r="S35" s="166" t="n">
        <v>12818</v>
      </c>
      <c r="T35" s="152" t="inlineStr">
        <is>
          <t>2019-2025</t>
        </is>
      </c>
      <c r="U35" s="152" t="inlineStr">
        <is>
          <t>naamsa new-energy vehicle sales</t>
        </is>
      </c>
      <c r="V35" s="152" t="inlineStr"/>
    </row>
    <row r="36">
      <c r="A36" s="156" t="inlineStr">
        <is>
          <t>Conventional hybrid share of new sales</t>
        </is>
      </c>
      <c r="B36" s="157" t="inlineStr">
        <is>
          <t>%</t>
        </is>
      </c>
      <c r="C36" s="157" t="inlineStr">
        <is>
          <t>Reporting formula</t>
        </is>
      </c>
      <c r="D36" s="169" t="n"/>
      <c r="E36" s="156" t="inlineStr">
        <is>
          <t>Share of all new vehicles sold in the year.</t>
        </is>
      </c>
      <c r="F36" s="169">
        <f>IF(COUNT(F35,F17)&lt;2,"",F35/F17*100)</f>
        <v/>
      </c>
      <c r="G36" s="169">
        <f>IF(COUNT(G35,G17)&lt;2,"",G35/G17*100)</f>
        <v/>
      </c>
      <c r="H36" s="169">
        <f>IF(COUNT(H35,H17)&lt;2,"",H35/H17*100)</f>
        <v/>
      </c>
      <c r="I36" s="169">
        <f>IF(COUNT(I35,I17)&lt;2,"",I35/I17*100)</f>
        <v/>
      </c>
      <c r="J36" s="169">
        <f>IF(COUNT(J35,J17)&lt;2,"",J35/J17*100)</f>
        <v/>
      </c>
      <c r="K36" s="169">
        <f>IF(COUNT(K35,K17)&lt;2,"",K35/K17*100)</f>
        <v/>
      </c>
      <c r="L36" s="169">
        <f>IF(COUNT(L35,L17)&lt;2,"",L35/L17*100)</f>
        <v/>
      </c>
      <c r="M36" s="169">
        <f>IF(COUNT(M35,M17)&lt;2,"",M35/M17*100)</f>
        <v/>
      </c>
      <c r="N36" s="169">
        <f>IF(COUNT(N35,N17)&lt;2,"",N35/N17*100)</f>
        <v/>
      </c>
      <c r="O36" s="169">
        <f>IF(COUNT(O35,O17)&lt;2,"",O35/O17*100)</f>
        <v/>
      </c>
      <c r="P36" s="169">
        <f>IF(COUNT(P35,P17)&lt;2,"",P35/P17*100)</f>
        <v/>
      </c>
      <c r="Q36" s="169">
        <f>IF(COUNT(Q35,Q17)&lt;2,"",Q35/Q17*100)</f>
        <v/>
      </c>
      <c r="R36" s="169">
        <f>IF(COUNT(R35,R17)&lt;2,"",R35/R17*100)</f>
        <v/>
      </c>
      <c r="S36" s="169">
        <f>IF(COUNT(S35,S17)&lt;2,"",S35/S17*100)</f>
        <v/>
      </c>
      <c r="T36" s="156" t="inlineStr"/>
      <c r="U36" s="156" t="inlineStr"/>
      <c r="V36" s="156" t="inlineStr">
        <is>
          <t>Share of the fleet is not observed after December 2023</t>
        </is>
      </c>
    </row>
    <row r="38">
      <c r="A38" s="151" t="inlineStr">
        <is>
          <t>5. Fuel split of the registered fleet</t>
        </is>
      </c>
      <c r="B38" s="151" t="n"/>
      <c r="C38" s="151" t="n"/>
      <c r="D38" s="151" t="n"/>
      <c r="E38" s="151" t="n"/>
      <c r="F38" s="151" t="n"/>
      <c r="G38" s="151" t="n"/>
      <c r="H38" s="151" t="n"/>
      <c r="I38" s="151" t="n"/>
      <c r="J38" s="151" t="n"/>
      <c r="K38" s="151" t="n"/>
      <c r="L38" s="151" t="n"/>
      <c r="M38" s="151" t="n"/>
      <c r="N38" s="151" t="n"/>
      <c r="O38" s="151" t="n"/>
      <c r="P38" s="151" t="n"/>
      <c r="Q38" s="151" t="n"/>
      <c r="R38" s="151" t="n"/>
      <c r="S38" s="151" t="n"/>
      <c r="T38" s="151" t="n"/>
      <c r="U38" s="151" t="n"/>
      <c r="V38" s="151" t="n"/>
    </row>
    <row r="39">
      <c r="A39" s="152" t="inlineStr">
        <is>
          <t>Petrol vehicles registered</t>
        </is>
      </c>
      <c r="B39" s="153" t="inlineStr">
        <is>
          <t>vehicles</t>
        </is>
      </c>
      <c r="C39" s="153" t="inlineStr">
        <is>
          <t>Source observation</t>
        </is>
      </c>
      <c r="D39" s="166" t="n"/>
      <c r="E39" s="152" t="inlineStr">
        <is>
          <t>All classes, December 2023.</t>
        </is>
      </c>
      <c r="F39" s="166" t="n"/>
      <c r="G39" s="166" t="n"/>
      <c r="H39" s="166" t="n"/>
      <c r="I39" s="166" t="n"/>
      <c r="J39" s="166" t="n"/>
      <c r="K39" s="166" t="n"/>
      <c r="L39" s="166" t="n"/>
      <c r="M39" s="166" t="n"/>
      <c r="N39" s="166" t="n"/>
      <c r="O39" s="166" t="n"/>
      <c r="P39" s="166" t="n"/>
      <c r="Q39" s="166" t="n">
        <v>8555772</v>
      </c>
      <c r="R39" s="166" t="n"/>
      <c r="S39" s="166" t="n"/>
      <c r="T39" s="152" t="inlineStr">
        <is>
          <t>One date only</t>
        </is>
      </c>
      <c r="U39" s="152" t="inlineStr">
        <is>
          <t>Department of Transport, 2023</t>
        </is>
      </c>
      <c r="V39" s="152" t="inlineStr"/>
    </row>
    <row r="40">
      <c r="A40" s="152" t="inlineStr">
        <is>
          <t>Diesel vehicles registered</t>
        </is>
      </c>
      <c r="B40" s="153" t="inlineStr">
        <is>
          <t>vehicles</t>
        </is>
      </c>
      <c r="C40" s="153" t="inlineStr">
        <is>
          <t>Source observation</t>
        </is>
      </c>
      <c r="D40" s="166" t="n"/>
      <c r="E40" s="152" t="inlineStr">
        <is>
          <t>All classes, December 2023.</t>
        </is>
      </c>
      <c r="F40" s="166" t="n"/>
      <c r="G40" s="166" t="n"/>
      <c r="H40" s="166" t="n"/>
      <c r="I40" s="166" t="n"/>
      <c r="J40" s="166" t="n"/>
      <c r="K40" s="166" t="n"/>
      <c r="L40" s="166" t="n"/>
      <c r="M40" s="166" t="n"/>
      <c r="N40" s="166" t="n"/>
      <c r="O40" s="166" t="n"/>
      <c r="P40" s="166" t="n"/>
      <c r="Q40" s="166" t="n">
        <v>3335546</v>
      </c>
      <c r="R40" s="166" t="n"/>
      <c r="S40" s="166" t="n"/>
      <c r="T40" s="152" t="inlineStr">
        <is>
          <t>One date only</t>
        </is>
      </c>
      <c r="U40" s="152" t="inlineStr">
        <is>
          <t>Department of Transport, 2023</t>
        </is>
      </c>
      <c r="V40" s="152" t="inlineStr"/>
    </row>
    <row r="41">
      <c r="A41" s="152" t="inlineStr">
        <is>
          <t>Electric vehicles registered</t>
        </is>
      </c>
      <c r="B41" s="153" t="inlineStr">
        <is>
          <t>vehicles</t>
        </is>
      </c>
      <c r="C41" s="153" t="inlineStr">
        <is>
          <t>Source observation</t>
        </is>
      </c>
      <c r="D41" s="166" t="n"/>
      <c r="E41" s="152" t="inlineStr">
        <is>
          <t>All classes, December 2023.</t>
        </is>
      </c>
      <c r="F41" s="166" t="n"/>
      <c r="G41" s="166" t="n"/>
      <c r="H41" s="166" t="n"/>
      <c r="I41" s="166" t="n"/>
      <c r="J41" s="166" t="n"/>
      <c r="K41" s="166" t="n"/>
      <c r="L41" s="166" t="n"/>
      <c r="M41" s="166" t="n"/>
      <c r="N41" s="166" t="n"/>
      <c r="O41" s="166" t="n"/>
      <c r="P41" s="166" t="n"/>
      <c r="Q41" s="166" t="n">
        <v>4090</v>
      </c>
      <c r="R41" s="166" t="n"/>
      <c r="S41" s="166" t="n"/>
      <c r="T41" s="152" t="inlineStr">
        <is>
          <t>One date only</t>
        </is>
      </c>
      <c r="U41" s="152" t="inlineStr">
        <is>
          <t>Department of Transport, 2023</t>
        </is>
      </c>
      <c r="V41" s="152" t="inlineStr"/>
    </row>
    <row r="42">
      <c r="A42" s="156" t="inlineStr">
        <is>
          <t>Diesel vehicles implied by the model's split</t>
        </is>
      </c>
      <c r="B42" s="157" t="inlineStr">
        <is>
          <t>vehicles</t>
        </is>
      </c>
      <c r="C42" s="157" t="inlineStr">
        <is>
          <t>Reporting formula</t>
        </is>
      </c>
      <c r="D42" s="167" t="n"/>
      <c r="E42" s="156" t="inlineStr">
        <is>
          <t>Cars x 17% plus light commercial x 70% plus trucks and buses. The model's split is for new sales; applied here to stock as a test.</t>
        </is>
      </c>
      <c r="F42" s="167">
        <f>IF(COUNT(F6,F7)&lt;2,"",F6*0.17+F7*0.7+F8+F9)</f>
        <v/>
      </c>
      <c r="G42" s="167">
        <f>IF(COUNT(G6,G7)&lt;2,"",G6*0.17+G7*0.7+G8+G9)</f>
        <v/>
      </c>
      <c r="H42" s="167">
        <f>IF(COUNT(H6,H7)&lt;2,"",H6*0.17+H7*0.7+H8+H9)</f>
        <v/>
      </c>
      <c r="I42" s="167">
        <f>IF(COUNT(I6,I7)&lt;2,"",I6*0.17+I7*0.7+I8+I9)</f>
        <v/>
      </c>
      <c r="J42" s="167">
        <f>IF(COUNT(J6,J7)&lt;2,"",J6*0.17+J7*0.7+J8+J9)</f>
        <v/>
      </c>
      <c r="K42" s="167">
        <f>IF(COUNT(K6,K7)&lt;2,"",K6*0.17+K7*0.7+K8+K9)</f>
        <v/>
      </c>
      <c r="L42" s="167">
        <f>IF(COUNT(L6,L7)&lt;2,"",L6*0.17+L7*0.7+L8+L9)</f>
        <v/>
      </c>
      <c r="M42" s="167">
        <f>IF(COUNT(M6,M7)&lt;2,"",M6*0.17+M7*0.7+M8+M9)</f>
        <v/>
      </c>
      <c r="N42" s="167">
        <f>IF(COUNT(N6,N7)&lt;2,"",N6*0.17+N7*0.7+N8+N9)</f>
        <v/>
      </c>
      <c r="O42" s="167">
        <f>IF(COUNT(O6,O7)&lt;2,"",O6*0.17+O7*0.7+O8+O9)</f>
        <v/>
      </c>
      <c r="P42" s="167">
        <f>IF(COUNT(P6,P7)&lt;2,"",P6*0.17+P7*0.7+P8+P9)</f>
        <v/>
      </c>
      <c r="Q42" s="167">
        <f>IF(COUNT(Q6,Q7)&lt;2,"",Q6*0.17+Q7*0.7+Q8+Q9)</f>
        <v/>
      </c>
      <c r="R42" s="167">
        <f>IF(COUNT(R6,R7)&lt;2,"",R6*0.17+R7*0.7+R8+R9)</f>
        <v/>
      </c>
      <c r="S42" s="167">
        <f>IF(COUNT(S6,S7)&lt;2,"",S6*0.17+S7*0.7+S8+S9)</f>
        <v/>
      </c>
      <c r="T42" s="156" t="inlineStr"/>
      <c r="U42" s="156" t="inlineStr">
        <is>
          <t>assumptions/2026/vehicles.yaml: petrol_diesel_split</t>
        </is>
      </c>
      <c r="V42" s="156" t="inlineStr"/>
    </row>
    <row r="43">
      <c r="A43" s="156" t="inlineStr">
        <is>
          <t>Implied less registered diesel vehicles</t>
        </is>
      </c>
      <c r="B43" s="157" t="inlineStr">
        <is>
          <t>vehicles</t>
        </is>
      </c>
      <c r="C43" s="157" t="inlineStr">
        <is>
          <t>Reporting formula</t>
        </is>
      </c>
      <c r="D43" s="167" t="n"/>
      <c r="E43" s="156" t="inlineStr">
        <is>
          <t>Positive means the model's split puts more diesel vehicles on the road than are registered. Minibuses and motorcycles are left out of the implied figure.</t>
        </is>
      </c>
      <c r="F43" s="167">
        <f>IF(COUNT(F42,F40)&lt;2,"",F42-F40)</f>
        <v/>
      </c>
      <c r="G43" s="167">
        <f>IF(COUNT(G42,G40)&lt;2,"",G42-G40)</f>
        <v/>
      </c>
      <c r="H43" s="167">
        <f>IF(COUNT(H42,H40)&lt;2,"",H42-H40)</f>
        <v/>
      </c>
      <c r="I43" s="167">
        <f>IF(COUNT(I42,I40)&lt;2,"",I42-I40)</f>
        <v/>
      </c>
      <c r="J43" s="167">
        <f>IF(COUNT(J42,J40)&lt;2,"",J42-J40)</f>
        <v/>
      </c>
      <c r="K43" s="167">
        <f>IF(COUNT(K42,K40)&lt;2,"",K42-K40)</f>
        <v/>
      </c>
      <c r="L43" s="167">
        <f>IF(COUNT(L42,L40)&lt;2,"",L42-L40)</f>
        <v/>
      </c>
      <c r="M43" s="167">
        <f>IF(COUNT(M42,M40)&lt;2,"",M42-M40)</f>
        <v/>
      </c>
      <c r="N43" s="167">
        <f>IF(COUNT(N42,N40)&lt;2,"",N42-N40)</f>
        <v/>
      </c>
      <c r="O43" s="167">
        <f>IF(COUNT(O42,O40)&lt;2,"",O42-O40)</f>
        <v/>
      </c>
      <c r="P43" s="167">
        <f>IF(COUNT(P42,P40)&lt;2,"",P42-P40)</f>
        <v/>
      </c>
      <c r="Q43" s="167">
        <f>IF(COUNT(Q42,Q40)&lt;2,"",Q42-Q40)</f>
        <v/>
      </c>
      <c r="R43" s="167">
        <f>IF(COUNT(R42,R40)&lt;2,"",R42-R40)</f>
        <v/>
      </c>
      <c r="S43" s="167">
        <f>IF(COUNT(S42,S40)&lt;2,"",S42-S40)</f>
        <v/>
      </c>
      <c r="T43" s="156" t="inlineStr"/>
      <c r="U43" s="156" t="inlineStr"/>
      <c r="V43" s="156" t="inlineStr"/>
    </row>
    <row r="45">
      <c r="A45" s="151" t="inlineStr">
        <is>
          <t>6. Distance and fuel use: model settings beside the published study</t>
        </is>
      </c>
      <c r="B45" s="151" t="n"/>
      <c r="C45" s="151" t="n"/>
      <c r="D45" s="151" t="n"/>
      <c r="E45" s="151" t="n"/>
      <c r="F45" s="151" t="n"/>
      <c r="G45" s="151" t="n"/>
      <c r="H45" s="151" t="n"/>
      <c r="I45" s="151" t="n"/>
      <c r="J45" s="151" t="n"/>
      <c r="K45" s="151" t="n"/>
      <c r="L45" s="151" t="n"/>
      <c r="M45" s="151" t="n"/>
      <c r="N45" s="151" t="n"/>
      <c r="O45" s="151" t="n"/>
      <c r="P45" s="151" t="n"/>
      <c r="Q45" s="151" t="n"/>
      <c r="R45" s="151" t="n"/>
      <c r="S45" s="151" t="n"/>
      <c r="T45" s="151" t="n"/>
      <c r="U45" s="151" t="n"/>
      <c r="V45" s="151" t="n"/>
    </row>
    <row r="46">
      <c r="A46" s="159" t="inlineStr">
        <is>
          <t>Passenger cars, distance</t>
        </is>
      </c>
      <c r="B46" s="160" t="inlineStr">
        <is>
          <t>km/vehicle/year</t>
        </is>
      </c>
      <c r="C46" s="160" t="inlineStr">
        <is>
          <t>Model setting</t>
        </is>
      </c>
      <c r="D46" s="161" t="n">
        <v>17000</v>
      </c>
      <c r="E46" s="159" t="inlineStr">
        <is>
          <t>Column D is the model's value. The study gives 14,457.0 for CarGasoline (fleet average, 2014 base).</t>
        </is>
      </c>
      <c r="F46" s="161" t="n"/>
      <c r="G46" s="161" t="n"/>
      <c r="H46" s="161" t="n"/>
      <c r="I46" s="161" t="n"/>
      <c r="J46" s="161" t="n"/>
      <c r="K46" s="161" t="n"/>
      <c r="L46" s="161" t="n"/>
      <c r="M46" s="161" t="n"/>
      <c r="N46" s="161" t="n"/>
      <c r="O46" s="161" t="n"/>
      <c r="P46" s="161" t="n"/>
      <c r="Q46" s="161" t="n"/>
      <c r="R46" s="161" t="n"/>
      <c r="S46" s="161" t="n"/>
      <c r="T46" s="159" t="inlineStr">
        <is>
          <t>Model value is a placeholder with no source</t>
        </is>
      </c>
      <c r="U46" s="159" t="inlineStr">
        <is>
          <t>Stone et al. (2018); assumptions/2026/vehicles.yaml</t>
        </is>
      </c>
      <c r="V46" s="159" t="inlineStr">
        <is>
          <t>The heavy class in the study spans nine weight classes; HCV5 is shown as a mid-point</t>
        </is>
      </c>
    </row>
    <row r="47">
      <c r="A47" s="159" t="inlineStr">
        <is>
          <t>Light commercial, distance</t>
        </is>
      </c>
      <c r="B47" s="160" t="inlineStr">
        <is>
          <t>km/vehicle/year</t>
        </is>
      </c>
      <c r="C47" s="160" t="inlineStr">
        <is>
          <t>Model setting</t>
        </is>
      </c>
      <c r="D47" s="161" t="n">
        <v>28000</v>
      </c>
      <c r="E47" s="159" t="inlineStr">
        <is>
          <t>Column D is the model's value. The study gives 20,397.0 for LCVDiesel (fleet average, 2014 base).</t>
        </is>
      </c>
      <c r="F47" s="161" t="n"/>
      <c r="G47" s="161" t="n"/>
      <c r="H47" s="161" t="n"/>
      <c r="I47" s="161" t="n"/>
      <c r="J47" s="161" t="n"/>
      <c r="K47" s="161" t="n"/>
      <c r="L47" s="161" t="n"/>
      <c r="M47" s="161" t="n"/>
      <c r="N47" s="161" t="n"/>
      <c r="O47" s="161" t="n"/>
      <c r="P47" s="161" t="n"/>
      <c r="Q47" s="161" t="n"/>
      <c r="R47" s="161" t="n"/>
      <c r="S47" s="161" t="n"/>
      <c r="T47" s="159" t="inlineStr">
        <is>
          <t>Model value is a placeholder with no source</t>
        </is>
      </c>
      <c r="U47" s="159" t="inlineStr">
        <is>
          <t>Stone et al. (2018); assumptions/2026/vehicles.yaml</t>
        </is>
      </c>
      <c r="V47" s="159" t="inlineStr">
        <is>
          <t>The heavy class in the study spans nine weight classes; HCV5 is shown as a mid-point</t>
        </is>
      </c>
    </row>
    <row r="48">
      <c r="A48" s="159" t="inlineStr">
        <is>
          <t>Heavy commercial, distance</t>
        </is>
      </c>
      <c r="B48" s="160" t="inlineStr">
        <is>
          <t>km/vehicle/year</t>
        </is>
      </c>
      <c r="C48" s="160" t="inlineStr">
        <is>
          <t>Model setting</t>
        </is>
      </c>
      <c r="D48" s="161" t="n">
        <v>70000</v>
      </c>
      <c r="E48" s="159" t="inlineStr">
        <is>
          <t>Column D is the model's value. The study gives 62,461.0 for HCV5Diesel (fleet average, 2014 base).</t>
        </is>
      </c>
      <c r="F48" s="161" t="n"/>
      <c r="G48" s="161" t="n"/>
      <c r="H48" s="161" t="n"/>
      <c r="I48" s="161" t="n"/>
      <c r="J48" s="161" t="n"/>
      <c r="K48" s="161" t="n"/>
      <c r="L48" s="161" t="n"/>
      <c r="M48" s="161" t="n"/>
      <c r="N48" s="161" t="n"/>
      <c r="O48" s="161" t="n"/>
      <c r="P48" s="161" t="n"/>
      <c r="Q48" s="161" t="n"/>
      <c r="R48" s="161" t="n"/>
      <c r="S48" s="161" t="n"/>
      <c r="T48" s="159" t="inlineStr">
        <is>
          <t>Model value is a placeholder with no source</t>
        </is>
      </c>
      <c r="U48" s="159" t="inlineStr">
        <is>
          <t>Stone et al. (2018); assumptions/2026/vehicles.yaml</t>
        </is>
      </c>
      <c r="V48" s="159" t="inlineStr">
        <is>
          <t>The heavy class in the study spans nine weight classes; HCV5 is shown as a mid-point</t>
        </is>
      </c>
    </row>
    <row r="49">
      <c r="A49" s="159" t="inlineStr">
        <is>
          <t>Petrol cars, fuel use</t>
        </is>
      </c>
      <c r="B49" s="160" t="inlineStr">
        <is>
          <t>L/100 km</t>
        </is>
      </c>
      <c r="C49" s="160" t="inlineStr">
        <is>
          <t>Model setting</t>
        </is>
      </c>
      <c r="D49" s="161" t="n">
        <v>9.5</v>
      </c>
      <c r="E49" s="159" t="inlineStr">
        <is>
          <t>Column D is the model's value. The study gives 8.2 for CarGasoline (fleet average, 2014 base).</t>
        </is>
      </c>
      <c r="F49" s="161" t="n"/>
      <c r="G49" s="161" t="n"/>
      <c r="H49" s="161" t="n"/>
      <c r="I49" s="161" t="n"/>
      <c r="J49" s="161" t="n"/>
      <c r="K49" s="161" t="n"/>
      <c r="L49" s="161" t="n"/>
      <c r="M49" s="161" t="n"/>
      <c r="N49" s="161" t="n"/>
      <c r="O49" s="161" t="n"/>
      <c r="P49" s="161" t="n"/>
      <c r="Q49" s="161" t="n"/>
      <c r="R49" s="161" t="n"/>
      <c r="S49" s="161" t="n"/>
      <c r="T49" s="159" t="inlineStr">
        <is>
          <t>Model value is a placeholder with no source</t>
        </is>
      </c>
      <c r="U49" s="159" t="inlineStr">
        <is>
          <t>Stone et al. (2018); assumptions/2026/vehicles.yaml</t>
        </is>
      </c>
      <c r="V49" s="159" t="inlineStr">
        <is>
          <t>The heavy class in the study spans nine weight classes; HCV5 is shown as a mid-point</t>
        </is>
      </c>
    </row>
    <row r="50">
      <c r="A50" s="159" t="inlineStr">
        <is>
          <t>Diesel light commercial, fuel use</t>
        </is>
      </c>
      <c r="B50" s="160" t="inlineStr">
        <is>
          <t>L/100 km</t>
        </is>
      </c>
      <c r="C50" s="160" t="inlineStr">
        <is>
          <t>Model setting</t>
        </is>
      </c>
      <c r="D50" s="161" t="n">
        <v>9</v>
      </c>
      <c r="E50" s="159" t="inlineStr">
        <is>
          <t>Column D is the model's value. The study gives 12.4 for LCVDiesel (fleet average, 2014 base).</t>
        </is>
      </c>
      <c r="F50" s="161" t="n"/>
      <c r="G50" s="161" t="n"/>
      <c r="H50" s="161" t="n"/>
      <c r="I50" s="161" t="n"/>
      <c r="J50" s="161" t="n"/>
      <c r="K50" s="161" t="n"/>
      <c r="L50" s="161" t="n"/>
      <c r="M50" s="161" t="n"/>
      <c r="N50" s="161" t="n"/>
      <c r="O50" s="161" t="n"/>
      <c r="P50" s="161" t="n"/>
      <c r="Q50" s="161" t="n"/>
      <c r="R50" s="161" t="n"/>
      <c r="S50" s="161" t="n"/>
      <c r="T50" s="159" t="inlineStr">
        <is>
          <t>Model value is a placeholder with no source</t>
        </is>
      </c>
      <c r="U50" s="159" t="inlineStr">
        <is>
          <t>Stone et al. (2018); assumptions/2026/vehicles.yaml</t>
        </is>
      </c>
      <c r="V50" s="159" t="inlineStr">
        <is>
          <t>The heavy class in the study spans nine weight classes; HCV5 is shown as a mid-point</t>
        </is>
      </c>
    </row>
    <row r="51">
      <c r="A51" s="159" t="inlineStr">
        <is>
          <t>Heavy commercial, fuel use</t>
        </is>
      </c>
      <c r="B51" s="160" t="inlineStr">
        <is>
          <t>L/100 km</t>
        </is>
      </c>
      <c r="C51" s="160" t="inlineStr">
        <is>
          <t>Model setting</t>
        </is>
      </c>
      <c r="D51" s="161" t="n">
        <v>35</v>
      </c>
      <c r="E51" s="159" t="inlineStr">
        <is>
          <t>Column D is the model's value. The study gives 31.2 for HCV5Diesel (fleet average, 2014 base).</t>
        </is>
      </c>
      <c r="F51" s="161" t="n"/>
      <c r="G51" s="161" t="n"/>
      <c r="H51" s="161" t="n"/>
      <c r="I51" s="161" t="n"/>
      <c r="J51" s="161" t="n"/>
      <c r="K51" s="161" t="n"/>
      <c r="L51" s="161" t="n"/>
      <c r="M51" s="161" t="n"/>
      <c r="N51" s="161" t="n"/>
      <c r="O51" s="161" t="n"/>
      <c r="P51" s="161" t="n"/>
      <c r="Q51" s="161" t="n"/>
      <c r="R51" s="161" t="n"/>
      <c r="S51" s="161" t="n"/>
      <c r="T51" s="159" t="inlineStr">
        <is>
          <t>Model value is a placeholder with no source</t>
        </is>
      </c>
      <c r="U51" s="159" t="inlineStr">
        <is>
          <t>Stone et al. (2018); assumptions/2026/vehicles.yaml</t>
        </is>
      </c>
      <c r="V51" s="159" t="inlineStr">
        <is>
          <t>The heavy class in the study spans nine weight classes; HCV5 is shown as a mid-point</t>
        </is>
      </c>
    </row>
    <row r="52">
      <c r="A52" s="156" t="inlineStr">
        <is>
          <t>Petrol sold per registered petrol vehicle</t>
        </is>
      </c>
      <c r="B52" s="157" t="inlineStr">
        <is>
          <t>litres/vehicle/year</t>
        </is>
      </c>
      <c r="C52" s="157" t="inlineStr">
        <is>
          <t>Reporting formula</t>
        </is>
      </c>
      <c r="D52" s="167" t="n"/>
      <c r="E52" s="156" t="inlineStr">
        <is>
          <t>National petrol sales used (History) divided by registered petrol vehicles.</t>
        </is>
      </c>
      <c r="F52" s="167">
        <f>IF(COUNT(History!F63,F39)&lt;2,"",History!F63*1000000/F39)</f>
        <v/>
      </c>
      <c r="G52" s="167">
        <f>IF(COUNT(History!G63,G39)&lt;2,"",History!G63*1000000/G39)</f>
        <v/>
      </c>
      <c r="H52" s="167">
        <f>IF(COUNT(History!H63,H39)&lt;2,"",History!H63*1000000/H39)</f>
        <v/>
      </c>
      <c r="I52" s="167">
        <f>IF(COUNT(History!I63,I39)&lt;2,"",History!I63*1000000/I39)</f>
        <v/>
      </c>
      <c r="J52" s="167">
        <f>IF(COUNT(History!J63,J39)&lt;2,"",History!J63*1000000/J39)</f>
        <v/>
      </c>
      <c r="K52" s="167">
        <f>IF(COUNT(History!K63,K39)&lt;2,"",History!K63*1000000/K39)</f>
        <v/>
      </c>
      <c r="L52" s="167">
        <f>IF(COUNT(History!L63,L39)&lt;2,"",History!L63*1000000/L39)</f>
        <v/>
      </c>
      <c r="M52" s="167">
        <f>IF(COUNT(History!M63,M39)&lt;2,"",History!M63*1000000/M39)</f>
        <v/>
      </c>
      <c r="N52" s="167">
        <f>IF(COUNT(History!N63,N39)&lt;2,"",History!N63*1000000/N39)</f>
        <v/>
      </c>
      <c r="O52" s="167">
        <f>IF(COUNT(History!O63,O39)&lt;2,"",History!O63*1000000/O39)</f>
        <v/>
      </c>
      <c r="P52" s="167">
        <f>IF(COUNT(History!P63,P39)&lt;2,"",History!P63*1000000/P39)</f>
        <v/>
      </c>
      <c r="Q52" s="167">
        <f>IF(COUNT(History!Q63,Q39)&lt;2,"",History!Q63*1000000/Q39)</f>
        <v/>
      </c>
      <c r="R52" s="167">
        <f>IF(COUNT(History!R63,R39)&lt;2,"",History!R63*1000000/R39)</f>
        <v/>
      </c>
      <c r="S52" s="167">
        <f>IF(COUNT(History!S63,S39)&lt;2,"",History!S63*1000000/S39)</f>
        <v/>
      </c>
      <c r="T52" s="156" t="inlineStr"/>
      <c r="U52" s="156" t="inlineStr"/>
      <c r="V52" s="156" t="inlineStr"/>
    </row>
    <row r="53">
      <c r="A53" s="156" t="inlineStr">
        <is>
          <t>Distance implied by petrol sales</t>
        </is>
      </c>
      <c r="B53" s="157" t="inlineStr">
        <is>
          <t>km/vehicle/year</t>
        </is>
      </c>
      <c r="C53" s="157" t="inlineStr">
        <is>
          <t>Reporting formula</t>
        </is>
      </c>
      <c r="D53" s="167" t="n">
        <v>17000</v>
      </c>
      <c r="E53" s="156" t="inlineStr">
        <is>
          <t>Litres per vehicle divided by 8.2 L/100 km (the study's petrol car average). Column D is the model's passenger distance.</t>
        </is>
      </c>
      <c r="F53" s="167">
        <f>IF(ISNUMBER(F52),F52/8.2*100,"")</f>
        <v/>
      </c>
      <c r="G53" s="167">
        <f>IF(ISNUMBER(G52),G52/8.2*100,"")</f>
        <v/>
      </c>
      <c r="H53" s="167">
        <f>IF(ISNUMBER(H52),H52/8.2*100,"")</f>
        <v/>
      </c>
      <c r="I53" s="167">
        <f>IF(ISNUMBER(I52),I52/8.2*100,"")</f>
        <v/>
      </c>
      <c r="J53" s="167">
        <f>IF(ISNUMBER(J52),J52/8.2*100,"")</f>
        <v/>
      </c>
      <c r="K53" s="167">
        <f>IF(ISNUMBER(K52),K52/8.2*100,"")</f>
        <v/>
      </c>
      <c r="L53" s="167">
        <f>IF(ISNUMBER(L52),L52/8.2*100,"")</f>
        <v/>
      </c>
      <c r="M53" s="167">
        <f>IF(ISNUMBER(M52),M52/8.2*100,"")</f>
        <v/>
      </c>
      <c r="N53" s="167">
        <f>IF(ISNUMBER(N52),N52/8.2*100,"")</f>
        <v/>
      </c>
      <c r="O53" s="167">
        <f>IF(ISNUMBER(O52),O52/8.2*100,"")</f>
        <v/>
      </c>
      <c r="P53" s="167">
        <f>IF(ISNUMBER(P52),P52/8.2*100,"")</f>
        <v/>
      </c>
      <c r="Q53" s="167">
        <f>IF(ISNUMBER(Q52),Q52/8.2*100,"")</f>
        <v/>
      </c>
      <c r="R53" s="167">
        <f>IF(ISNUMBER(R52),R52/8.2*100,"")</f>
        <v/>
      </c>
      <c r="S53" s="167">
        <f>IF(ISNUMBER(S52),S52/8.2*100,"")</f>
        <v/>
      </c>
      <c r="T53" s="156" t="inlineStr"/>
      <c r="U53" s="156" t="inlineStr"/>
      <c r="V53" s="156" t="inlineStr">
        <is>
          <t>If the model's distance and fuel use both held, petrol sales would be far above what is recorded</t>
        </is>
      </c>
    </row>
    <row r="55">
      <c r="A55" s="151" t="inlineStr">
        <is>
          <t>7. Not available from any source held</t>
        </is>
      </c>
      <c r="B55" s="151" t="n"/>
      <c r="C55" s="151" t="n"/>
      <c r="D55" s="151" t="n"/>
      <c r="E55" s="151" t="n"/>
      <c r="F55" s="151" t="n"/>
      <c r="G55" s="151" t="n"/>
      <c r="H55" s="151" t="n"/>
      <c r="I55" s="151" t="n"/>
      <c r="J55" s="151" t="n"/>
      <c r="K55" s="151" t="n"/>
      <c r="L55" s="151" t="n"/>
      <c r="M55" s="151" t="n"/>
      <c r="N55" s="151" t="n"/>
      <c r="O55" s="151" t="n"/>
      <c r="P55" s="151" t="n"/>
      <c r="Q55" s="151" t="n"/>
      <c r="R55" s="151" t="n"/>
      <c r="S55" s="151" t="n"/>
      <c r="T55" s="151" t="n"/>
      <c r="U55" s="151" t="n"/>
      <c r="V55" s="151" t="n"/>
    </row>
    <row r="56">
      <c r="A56" s="162" t="inlineStr">
        <is>
          <t>Stock by age (year of first registration)</t>
        </is>
      </c>
      <c r="B56" s="163" t="inlineStr"/>
      <c r="C56" s="163" t="inlineStr">
        <is>
          <t>Missing input</t>
        </is>
      </c>
      <c r="D56" s="165" t="n"/>
      <c r="E56" s="162" t="inlineStr">
        <is>
          <t>Needed for the cohort calculation; NaTIS publishes totals by class only.</t>
        </is>
      </c>
      <c r="F56" s="165" t="n"/>
      <c r="G56" s="165" t="n"/>
      <c r="H56" s="165" t="n"/>
      <c r="I56" s="165" t="n"/>
      <c r="J56" s="165" t="n"/>
      <c r="K56" s="165" t="n"/>
      <c r="L56" s="165" t="n"/>
      <c r="M56" s="165" t="n"/>
      <c r="N56" s="165" t="n"/>
      <c r="O56" s="165" t="n"/>
      <c r="P56" s="165" t="n"/>
      <c r="Q56" s="165" t="n"/>
      <c r="R56" s="165" t="n"/>
      <c r="S56" s="165" t="n"/>
      <c r="T56" s="162" t="inlineStr">
        <is>
          <t>Gap</t>
        </is>
      </c>
      <c r="U56" s="162" t="inlineStr"/>
      <c r="V56" s="162" t="inlineStr">
        <is>
          <t>Source to be found or assumption agreed</t>
        </is>
      </c>
    </row>
    <row r="57">
      <c r="A57" s="162" t="inlineStr">
        <is>
          <t>Stock by fuel within each class</t>
        </is>
      </c>
      <c r="B57" s="163" t="inlineStr"/>
      <c r="C57" s="163" t="inlineStr">
        <is>
          <t>Missing input</t>
        </is>
      </c>
      <c r="D57" s="165" t="n"/>
      <c r="E57" s="162" t="inlineStr">
        <is>
          <t>Only an all-class fuel count exists, for December 2023.</t>
        </is>
      </c>
      <c r="F57" s="165" t="n"/>
      <c r="G57" s="165" t="n"/>
      <c r="H57" s="165" t="n"/>
      <c r="I57" s="165" t="n"/>
      <c r="J57" s="165" t="n"/>
      <c r="K57" s="165" t="n"/>
      <c r="L57" s="165" t="n"/>
      <c r="M57" s="165" t="n"/>
      <c r="N57" s="165" t="n"/>
      <c r="O57" s="165" t="n"/>
      <c r="P57" s="165" t="n"/>
      <c r="Q57" s="165" t="n"/>
      <c r="R57" s="165" t="n"/>
      <c r="S57" s="165" t="n"/>
      <c r="T57" s="162" t="inlineStr">
        <is>
          <t>Gap</t>
        </is>
      </c>
      <c r="U57" s="162" t="inlineStr"/>
      <c r="V57" s="162" t="inlineStr">
        <is>
          <t>Source to be found or assumption agreed</t>
        </is>
      </c>
    </row>
    <row r="58">
      <c r="A58" s="162" t="inlineStr">
        <is>
          <t>Electric and hybrid vehicles in the fleet by year</t>
        </is>
      </c>
      <c r="B58" s="163" t="inlineStr"/>
      <c r="C58" s="163" t="inlineStr">
        <is>
          <t>Missing input</t>
        </is>
      </c>
      <c r="D58" s="165" t="n"/>
      <c r="E58" s="162" t="inlineStr">
        <is>
          <t>Sales are known from 2019; stock only for December 2023.</t>
        </is>
      </c>
      <c r="F58" s="165" t="n"/>
      <c r="G58" s="165" t="n"/>
      <c r="H58" s="165" t="n"/>
      <c r="I58" s="165" t="n"/>
      <c r="J58" s="165" t="n"/>
      <c r="K58" s="165" t="n"/>
      <c r="L58" s="165" t="n"/>
      <c r="M58" s="165" t="n"/>
      <c r="N58" s="165" t="n"/>
      <c r="O58" s="165" t="n"/>
      <c r="P58" s="165" t="n"/>
      <c r="Q58" s="165" t="n"/>
      <c r="R58" s="165" t="n"/>
      <c r="S58" s="165" t="n"/>
      <c r="T58" s="162" t="inlineStr">
        <is>
          <t>Gap</t>
        </is>
      </c>
      <c r="U58" s="162" t="inlineStr"/>
      <c r="V58" s="162" t="inlineStr">
        <is>
          <t>Source to be found or assumption agreed</t>
        </is>
      </c>
    </row>
    <row r="59">
      <c r="A59" s="162" t="inlineStr">
        <is>
          <t>Distance driven after 2014</t>
        </is>
      </c>
      <c r="B59" s="163" t="inlineStr"/>
      <c r="C59" s="163" t="inlineStr">
        <is>
          <t>Missing input</t>
        </is>
      </c>
      <c r="D59" s="165" t="n"/>
      <c r="E59" s="162" t="inlineStr">
        <is>
          <t>The study's figures are a 2014 base; no later survey is held.</t>
        </is>
      </c>
      <c r="F59" s="165" t="n"/>
      <c r="G59" s="165" t="n"/>
      <c r="H59" s="165" t="n"/>
      <c r="I59" s="165" t="n"/>
      <c r="J59" s="165" t="n"/>
      <c r="K59" s="165" t="n"/>
      <c r="L59" s="165" t="n"/>
      <c r="M59" s="165" t="n"/>
      <c r="N59" s="165" t="n"/>
      <c r="O59" s="165" t="n"/>
      <c r="P59" s="165" t="n"/>
      <c r="Q59" s="165" t="n"/>
      <c r="R59" s="165" t="n"/>
      <c r="S59" s="165" t="n"/>
      <c r="T59" s="162" t="inlineStr">
        <is>
          <t>Gap</t>
        </is>
      </c>
      <c r="U59" s="162" t="inlineStr"/>
      <c r="V59" s="162" t="inlineStr">
        <is>
          <t>Source to be found or assumption agreed</t>
        </is>
      </c>
    </row>
    <row r="60">
      <c r="A60" s="162" t="inlineStr">
        <is>
          <t>Petrol and diesel split of new sales by segment</t>
        </is>
      </c>
      <c r="B60" s="163" t="inlineStr"/>
      <c r="C60" s="163" t="inlineStr">
        <is>
          <t>Missing input</t>
        </is>
      </c>
      <c r="D60" s="165" t="n"/>
      <c r="E60" s="162" t="inlineStr">
        <is>
          <t>naamsa reports drivetrain for the total market only.</t>
        </is>
      </c>
      <c r="F60" s="165" t="n"/>
      <c r="G60" s="165" t="n"/>
      <c r="H60" s="165" t="n"/>
      <c r="I60" s="165" t="n"/>
      <c r="J60" s="165" t="n"/>
      <c r="K60" s="165" t="n"/>
      <c r="L60" s="165" t="n"/>
      <c r="M60" s="165" t="n"/>
      <c r="N60" s="165" t="n"/>
      <c r="O60" s="165" t="n"/>
      <c r="P60" s="165" t="n"/>
      <c r="Q60" s="165" t="n"/>
      <c r="R60" s="165" t="n"/>
      <c r="S60" s="165" t="n"/>
      <c r="T60" s="162" t="inlineStr">
        <is>
          <t>Gap</t>
        </is>
      </c>
      <c r="U60" s="162" t="inlineStr"/>
      <c r="V60" s="162" t="inlineStr">
        <is>
          <t>Source to be found or assumption agreed</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K3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13" customWidth="1" min="4" max="4"/>
    <col width="44" customWidth="1" min="5" max="5"/>
    <col width="22" customWidth="1" min="6" max="6"/>
    <col width="22" customWidth="1" min="7" max="7"/>
    <col width="22" customWidth="1" min="8" max="8"/>
    <col width="22" customWidth="1" min="9" max="9"/>
    <col width="20" customWidth="1" min="10" max="10"/>
    <col width="110" customWidth="1" min="11" max="11"/>
  </cols>
  <sheetData>
    <row r="1">
      <c r="A1" s="149" t="inlineStr">
        <is>
          <t>Analyst response to the proposed low / medium / high inputs</t>
        </is>
      </c>
    </row>
    <row r="2">
      <c r="A2" s="1" t="inlineStr">
        <is>
          <t>The HML sheet is unchanged. Values are low / medium / high. Replacements and added levers are proposals for review; source: fuel_lever_response_2026-10-07.csv.</t>
        </is>
      </c>
    </row>
    <row r="4">
      <c r="A4" s="150" t="inlineStr">
        <is>
          <t>Fuel</t>
        </is>
      </c>
      <c r="B4" s="150" t="inlineStr">
        <is>
          <t>Lever</t>
        </is>
      </c>
      <c r="C4" s="150" t="inlineStr">
        <is>
          <t>Unit</t>
        </is>
      </c>
      <c r="D4" s="150" t="inlineStr">
        <is>
          <t>Baseline</t>
        </is>
      </c>
      <c r="E4" s="150" t="inlineStr">
        <is>
          <t>Baseline basis</t>
        </is>
      </c>
      <c r="F4" s="150" t="inlineStr">
        <is>
          <t>2030 proposed (Nigel)</t>
        </is>
      </c>
      <c r="G4" s="150" t="inlineStr">
        <is>
          <t>2030 analyst</t>
        </is>
      </c>
      <c r="H4" s="150" t="inlineStr">
        <is>
          <t>2035 proposed (Nigel)</t>
        </is>
      </c>
      <c r="I4" s="150" t="inlineStr">
        <is>
          <t>2035 analyst</t>
        </is>
      </c>
      <c r="J4" s="150" t="inlineStr">
        <is>
          <t>Result</t>
        </is>
      </c>
      <c r="K4" s="150" t="inlineStr">
        <is>
          <t>Evidence and rationale</t>
        </is>
      </c>
    </row>
    <row r="5">
      <c r="A5" s="176" t="inlineStr">
        <is>
          <t>diesel</t>
        </is>
      </c>
      <c r="B5" s="176" t="inlineStr">
        <is>
          <t>road_activity</t>
        </is>
      </c>
      <c r="C5" s="176" t="inlineStr">
        <is>
          <t>index_2024_100</t>
        </is>
      </c>
      <c r="D5" s="176" t="inlineStr">
        <is>
          <t>100</t>
        </is>
      </c>
      <c r="E5" s="176" t="inlineStr">
        <is>
          <t>road freight payload 980 Mt in 2024 (Stats SA P7162)</t>
        </is>
      </c>
      <c r="F5" s="176" t="inlineStr">
        <is>
          <t>95 / 115 / 135</t>
        </is>
      </c>
      <c r="G5" s="176" t="inlineStr">
        <is>
          <t>95 / 115 / 135</t>
        </is>
      </c>
      <c r="H5" s="176" t="inlineStr">
        <is>
          <t>95 / 135 / 175</t>
        </is>
      </c>
      <c r="I5" s="176" t="inlineStr">
        <is>
          <t>95 / 135 / 150</t>
        </is>
      </c>
      <c r="J5" s="176" t="inlineStr">
        <is>
          <t>replacement proposed</t>
        </is>
      </c>
      <c r="K5" s="176" t="inlineStr">
        <is>
          <t>2014-2024 growth 2.4% a year; fastest eleven years (2012-2023) 3.7%; 2025 is 99.5. The 2035 high of 175 needs 5.2% a year for eleven years, without precedent; 150 matches the fastest observed. In tonne-kilometres the only published road figure found is 221 bn for 2013 (Havenga et al. 2016, Logistics Barometer), an average haul of about 307 km against Stats SA's tonnes. No annual tonne-kilometre series exists, so the index stays on tonnes. Part of past growth was freight leaving rail, so this overlaps the rail lever.</t>
        </is>
      </c>
    </row>
    <row r="6">
      <c r="A6" s="176" t="inlineStr">
        <is>
          <t>diesel</t>
        </is>
      </c>
      <c r="B6" s="176" t="inlineStr">
        <is>
          <t>rail_diversion</t>
        </is>
      </c>
      <c r="C6" s="176" t="inlineStr">
        <is>
          <t>percent</t>
        </is>
      </c>
      <c r="D6" s="176" t="inlineStr">
        <is>
          <t>0</t>
        </is>
      </c>
      <c r="E6" s="176" t="inlineStr">
        <is>
          <t>rail 161 Mt and road 980 Mt in 2024 (Stats SA P7162)</t>
        </is>
      </c>
      <c r="F6" s="176" t="inlineStr">
        <is>
          <t>0 / 10 / 20</t>
        </is>
      </c>
      <c r="G6" s="176" t="inlineStr">
        <is>
          <t>0 / 3 / 9</t>
        </is>
      </c>
      <c r="H6" s="176" t="inlineStr">
        <is>
          <t>0 / 20 / 35</t>
        </is>
      </c>
      <c r="I6" s="176" t="inlineStr">
        <is>
          <t>0 / 7 / 13</t>
        </is>
      </c>
      <c r="J6" s="176" t="inlineStr">
        <is>
          <t>replacement proposed</t>
        </is>
      </c>
      <c r="K6" s="176" t="inlineStr">
        <is>
          <t>In tonnes, as a share of 2024 road tonnes: rail back to its 2020 level (190 Mt) is 3%; back to its 2017 peak (225 Mt) is 7%; the 250 Mt target for 2029/30 (Draft National Rail Master Plan, April 2026) is 9%; the market appetite of about 280 Mt reported with that plan is 12%. In tonne-kilometres: rail-friendly general freight was 47 bn in 2019 and rail carried 18 bn (Freight Logistics Roadmap, 2023, p.38); the 29 bn left on road is 13% of road tonne-kilometres (2013 base). Both routes put the ceiling at 12-13%, so the 2035 high is 13 and the proposed 20 and 35 exceed all rail-friendly freight. The 2030 medium of 10 is the full official target, not a middle case.</t>
        </is>
      </c>
    </row>
    <row r="7">
      <c r="A7" s="176" t="inlineStr">
        <is>
          <t>diesel</t>
        </is>
      </c>
      <c r="B7" s="176" t="inlineStr">
        <is>
          <t>ocgt_generation</t>
        </is>
      </c>
      <c r="C7" s="176" t="inlineStr">
        <is>
          <t>index_FY2024_100</t>
        </is>
      </c>
      <c r="D7" s="176" t="inlineStr">
        <is>
          <t>100</t>
        </is>
      </c>
      <c r="E7" s="176" t="inlineStr">
        <is>
          <t>Eskom and independent OCGT output 5,143 GWh, year to March 2024</t>
        </is>
      </c>
      <c r="F7" s="176" t="inlineStr">
        <is>
          <t>10 / 25 / 60</t>
        </is>
      </c>
      <c r="G7" s="176" t="inlineStr">
        <is>
          <t>10 / 25 / 60</t>
        </is>
      </c>
      <c r="H7" s="176" t="inlineStr">
        <is>
          <t>5 / 15 / 50</t>
        </is>
      </c>
      <c r="I7" s="176" t="inlineStr">
        <is>
          <t>5 / 15 / 50</t>
        </is>
      </c>
      <c r="J7" s="176" t="inlineStr">
        <is>
          <t>no change</t>
        </is>
      </c>
      <c r="K7" s="176" t="inlineStr">
        <is>
          <t>Year to March 2025 is 55 and year to March 2026 is 21 on this index, so the medium of 25 in 2030 holds today's level. Reported burn is 0.31 litres per kWh in three years. No change proposed.</t>
        </is>
      </c>
    </row>
    <row r="8">
      <c r="A8" s="176" t="inlineStr">
        <is>
          <t>diesel</t>
        </is>
      </c>
      <c r="B8" s="176" t="inlineStr">
        <is>
          <t>new_cohort_efficiency</t>
        </is>
      </c>
      <c r="C8" s="176" t="inlineStr">
        <is>
          <t>percent_per_year</t>
        </is>
      </c>
      <c r="D8" s="176" t="inlineStr">
        <is>
          <t>0.5 to 1.0</t>
        </is>
      </c>
      <c r="E8" s="176" t="inlineStr">
        <is>
          <t>registered diesel efficiency paths (low and high demand cases)</t>
        </is>
      </c>
      <c r="F8" s="176" t="inlineStr">
        <is>
          <t>0.5 / 0.75 / 1</t>
        </is>
      </c>
      <c r="G8" s="176" t="inlineStr">
        <is>
          <t>0.5 / 0.75 / 1</t>
        </is>
      </c>
      <c r="H8" s="176" t="inlineStr">
        <is>
          <t>0.5 / 0.75 / 1</t>
        </is>
      </c>
      <c r="I8" s="176" t="inlineStr">
        <is>
          <t>0.5 / 0.75 / 1</t>
        </is>
      </c>
      <c r="J8" s="176" t="inlineStr">
        <is>
          <t>no change</t>
        </is>
      </c>
      <c r="K8" s="176" t="inlineStr">
        <is>
          <t>Low and high equal the registered endpoints. Neither has a source. No change proposed.</t>
        </is>
      </c>
    </row>
    <row r="9">
      <c r="A9" s="176" t="inlineStr">
        <is>
          <t>diesel</t>
        </is>
      </c>
      <c r="B9" s="176" t="inlineStr">
        <is>
          <t>plant_utilisation</t>
        </is>
      </c>
      <c r="C9" s="176" t="inlineStr">
        <is>
          <t>percent</t>
        </is>
      </c>
      <c r="D9" s="176" t="inlineStr">
        <is>
          <t>67</t>
        </is>
      </c>
      <c r="E9" s="176" t="inlineStr">
        <is>
          <t>reported 2024 output over reported capacity, three plants; indicative</t>
        </is>
      </c>
      <c r="F9" s="176" t="inlineStr">
        <is>
          <t>60 / 75 / 90</t>
        </is>
      </c>
      <c r="G9" s="176" t="inlineStr">
        <is>
          <t>60 / 75 / 90</t>
        </is>
      </c>
      <c r="H9" s="176" t="inlineStr">
        <is>
          <t>60 / 75 / 90</t>
        </is>
      </c>
      <c r="I9" s="176" t="inlineStr">
        <is>
          <t>60 / 75 / 90</t>
        </is>
      </c>
      <c r="J9" s="176" t="inlineStr">
        <is>
          <t>no change</t>
        </is>
      </c>
      <c r="K9" s="176"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10">
      <c r="A10" s="176" t="inlineStr">
        <is>
          <t>diesel</t>
        </is>
      </c>
      <c r="B10" s="176" t="inlineStr">
        <is>
          <t>product_yield</t>
        </is>
      </c>
      <c r="C10" s="176" t="inlineStr">
        <is>
          <t>percent</t>
        </is>
      </c>
      <c r="D10" s="176" t="inlineStr">
        <is>
          <t>29</t>
        </is>
      </c>
      <c r="E10" s="176" t="inlineStr">
        <is>
          <t>diesel share of refinery output in 2024 (JODI; lowest reliability)</t>
        </is>
      </c>
      <c r="F10" s="176" t="inlineStr">
        <is>
          <t>20 / 25 / 30</t>
        </is>
      </c>
      <c r="G10" s="176" t="inlineStr">
        <is>
          <t>25 / 30 / 40</t>
        </is>
      </c>
      <c r="H10" s="176" t="inlineStr">
        <is>
          <t>20 / 25 / 30</t>
        </is>
      </c>
      <c r="I10" s="176" t="inlineStr">
        <is>
          <t>25 / 30 / 40</t>
        </is>
      </c>
      <c r="J10" s="176" t="inlineStr">
        <is>
          <t>replacement proposed</t>
        </is>
      </c>
      <c r="K10" s="176" t="inlineStr">
        <is>
          <t>Share of all refinery output: 31% in 2023 and 29% in 2024 (JODI). Before the Durban refineries closed, diesel was 40 to 42% of the five fuels in the 2017-2021 energy balances, which overstates its share of all output. The registered legacy yield is 25%. Replacement: legacy as the low, the recent observed share as the medium, the pre-closure share as the high. No plant-level slate is published.</t>
        </is>
      </c>
    </row>
    <row r="11">
      <c r="A11" s="176" t="inlineStr">
        <is>
          <t>diesel</t>
        </is>
      </c>
      <c r="B11" s="176" t="inlineStr">
        <is>
          <t>restart_capacity</t>
        </is>
      </c>
      <c r="C11" s="176" t="inlineStr">
        <is>
          <t>thousand_bbl_per_day</t>
        </is>
      </c>
      <c r="D11" s="176" t="inlineStr">
        <is>
          <t>0</t>
        </is>
      </c>
      <c r="E11" s="176" t="inlineStr">
        <is>
          <t>no committed addition</t>
        </is>
      </c>
      <c r="F11" s="176" t="inlineStr">
        <is>
          <t>0 / 0 / 0</t>
        </is>
      </c>
      <c r="G11" s="176" t="inlineStr">
        <is>
          <t>0 / 0 / 0</t>
        </is>
      </c>
      <c r="H11" s="176" t="inlineStr">
        <is>
          <t>0 / 0 / 400</t>
        </is>
      </c>
      <c r="I11" s="176" t="inlineStr">
        <is>
          <t>0 / 0 / 400</t>
        </is>
      </c>
      <c r="J11" s="176" t="inlineStr">
        <is>
          <t>no change</t>
        </is>
      </c>
      <c r="K11" s="176" t="inlineStr">
        <is>
          <t>Existing conditional illustration; no investment decision, timing or product slate is sourced.</t>
        </is>
      </c>
    </row>
    <row r="12">
      <c r="A12" s="176" t="inlineStr">
        <is>
          <t>jet</t>
        </is>
      </c>
      <c r="B12" s="176" t="inlineStr">
        <is>
          <t>aircraft_movements</t>
        </is>
      </c>
      <c r="C12" s="176" t="inlineStr">
        <is>
          <t>index_2024_100</t>
        </is>
      </c>
      <c r="D12" s="176" t="inlineStr">
        <is>
          <t>100</t>
        </is>
      </c>
      <c r="E12" s="176" t="inlineStr">
        <is>
          <t>456,214 movements at ACSA airports in 2024</t>
        </is>
      </c>
      <c r="F12" s="176" t="inlineStr">
        <is>
          <t>100 / 120 / 140</t>
        </is>
      </c>
      <c r="G12" s="176" t="inlineStr">
        <is>
          <t>100 / 110 / 125</t>
        </is>
      </c>
      <c r="H12" s="176" t="inlineStr">
        <is>
          <t>100 / 145 / 190</t>
        </is>
      </c>
      <c r="I12" s="176" t="inlineStr">
        <is>
          <t>100 / 120 / 140</t>
        </is>
      </c>
      <c r="J12" s="176" t="inlineStr">
        <is>
          <t>replacement proposed</t>
        </is>
      </c>
      <c r="K12" s="176" t="inlineStr">
        <is>
          <t>2019 was 112 and the peak, 2016, was 125 on this index; 2025 is 101.3. Movements fell 0.1% a year over 2013-2019. The proposed highs (140 and 190) are above every year on record. Replacement: medium returns to the 2019 level by 2030, high to the 2016 peak; 2035 extends each.</t>
        </is>
      </c>
    </row>
    <row r="13">
      <c r="A13" s="176" t="inlineStr">
        <is>
          <t>jet</t>
        </is>
      </c>
      <c r="B13" s="176" t="inlineStr">
        <is>
          <t>fuel_burn_per_movement</t>
        </is>
      </c>
      <c r="C13" s="176" t="inlineStr">
        <is>
          <t>index_2024_100</t>
        </is>
      </c>
      <c r="D13" s="176" t="inlineStr">
        <is>
          <t>100</t>
        </is>
      </c>
      <c r="E13" s="176" t="inlineStr">
        <is>
          <t>4,090 litres of jet sold per movement in 2024</t>
        </is>
      </c>
      <c r="F13" s="176" t="inlineStr">
        <is>
          <t>80 / 90 / 100</t>
        </is>
      </c>
      <c r="G13" s="176" t="inlineStr">
        <is>
          <t>80 / 90 / 113</t>
        </is>
      </c>
      <c r="H13" s="176" t="inlineStr">
        <is>
          <t>65 / 80 / 100</t>
        </is>
      </c>
      <c r="I13" s="176" t="inlineStr">
        <is>
          <t>65 / 80 / 113</t>
        </is>
      </c>
      <c r="J13" s="176" t="inlineStr">
        <is>
          <t>replacement proposed</t>
        </is>
      </c>
      <c r="K13" s="176" t="inlineStr">
        <is>
          <t>The 2013-2019 average was 4,608 litres, 113 on this index. Jet sales have recovered less than movements since 2020, for reasons not yet established (aircraft mix, fuel loaded abroad, or sales coverage). The proposed range only falls; the high case should allow a return to the earlier intensity.</t>
        </is>
      </c>
    </row>
    <row r="14">
      <c r="A14" s="176" t="inlineStr">
        <is>
          <t>jet</t>
        </is>
      </c>
      <c r="B14" s="176" t="inlineStr">
        <is>
          <t>saf_volume_share</t>
        </is>
      </c>
      <c r="C14" s="176" t="inlineStr">
        <is>
          <t>percent</t>
        </is>
      </c>
      <c r="D14" s="176" t="inlineStr">
        <is>
          <t>0</t>
        </is>
      </c>
      <c r="E14" s="176" t="inlineStr">
        <is>
          <t>no sustainable aviation fuel supply recorded in the sources held; unsourced</t>
        </is>
      </c>
      <c r="F14" s="176" t="inlineStr">
        <is>
          <t>0 / 2 / 5</t>
        </is>
      </c>
      <c r="G14" s="176" t="inlineStr">
        <is>
          <t>0 / 2 / 5</t>
        </is>
      </c>
      <c r="H14" s="176" t="inlineStr">
        <is>
          <t>0 / 5 / 10</t>
        </is>
      </c>
      <c r="I14" s="176" t="inlineStr">
        <is>
          <t>0 / 5 / 10</t>
        </is>
      </c>
      <c r="J14" s="176" t="inlineStr">
        <is>
          <t>no change</t>
        </is>
      </c>
      <c r="K14" s="176" t="inlineStr">
        <is>
          <t>No South African blend requirement is sourced. No change proposed.</t>
        </is>
      </c>
    </row>
    <row r="15">
      <c r="A15" s="176" t="inlineStr">
        <is>
          <t>jet</t>
        </is>
      </c>
      <c r="B15" s="176" t="inlineStr">
        <is>
          <t>plant_utilisation</t>
        </is>
      </c>
      <c r="C15" s="176" t="inlineStr">
        <is>
          <t>percent</t>
        </is>
      </c>
      <c r="D15" s="176" t="inlineStr">
        <is>
          <t>67</t>
        </is>
      </c>
      <c r="E15" s="176" t="inlineStr">
        <is>
          <t>reported 2024 output over reported capacity, three plants; indicative</t>
        </is>
      </c>
      <c r="F15" s="176" t="inlineStr">
        <is>
          <t>60 / 75 / 90</t>
        </is>
      </c>
      <c r="G15" s="176" t="inlineStr">
        <is>
          <t>60 / 75 / 90</t>
        </is>
      </c>
      <c r="H15" s="176" t="inlineStr">
        <is>
          <t>60 / 75 / 90</t>
        </is>
      </c>
      <c r="I15" s="176" t="inlineStr">
        <is>
          <t>60 / 75 / 90</t>
        </is>
      </c>
      <c r="J15" s="176" t="inlineStr">
        <is>
          <t>no change</t>
        </is>
      </c>
      <c r="K15" s="176"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16">
      <c r="A16" s="176" t="inlineStr">
        <is>
          <t>jet</t>
        </is>
      </c>
      <c r="B16" s="176" t="inlineStr">
        <is>
          <t>product_yield</t>
        </is>
      </c>
      <c r="C16" s="176" t="inlineStr">
        <is>
          <t>percent</t>
        </is>
      </c>
      <c r="D16" s="176" t="inlineStr">
        <is>
          <t>10</t>
        </is>
      </c>
      <c r="E16" s="176" t="inlineStr">
        <is>
          <t>registered legacy yield for capable plants</t>
        </is>
      </c>
      <c r="F16" s="176" t="inlineStr">
        <is>
          <t>5 / 10 / 15</t>
        </is>
      </c>
      <c r="G16" s="176" t="inlineStr">
        <is>
          <t>5 / 10 / 15</t>
        </is>
      </c>
      <c r="H16" s="176" t="inlineStr">
        <is>
          <t>5 / 10 / 15</t>
        </is>
      </c>
      <c r="I16" s="176" t="inlineStr">
        <is>
          <t>5 / 10 / 15</t>
        </is>
      </c>
      <c r="J16" s="176" t="inlineStr">
        <is>
          <t>no change</t>
        </is>
      </c>
      <c r="K16" s="176" t="inlineStr">
        <is>
          <t>Jet was 5 to 8% of the five fuels produced in the 2017-2021 energy balances, consistent with the range. No change proposed.</t>
        </is>
      </c>
    </row>
    <row r="17">
      <c r="A17" s="176" t="inlineStr">
        <is>
          <t>jet</t>
        </is>
      </c>
      <c r="B17" s="176" t="inlineStr">
        <is>
          <t>restart_capacity</t>
        </is>
      </c>
      <c r="C17" s="176" t="inlineStr">
        <is>
          <t>thousand_bbl_per_day</t>
        </is>
      </c>
      <c r="D17" s="176" t="inlineStr">
        <is>
          <t>0</t>
        </is>
      </c>
      <c r="E17" s="176" t="inlineStr">
        <is>
          <t>no committed addition</t>
        </is>
      </c>
      <c r="F17" s="176" t="inlineStr">
        <is>
          <t>0 / 0 / 0</t>
        </is>
      </c>
      <c r="G17" s="176" t="inlineStr">
        <is>
          <t>0 / 0 / 0</t>
        </is>
      </c>
      <c r="H17" s="176" t="inlineStr">
        <is>
          <t>0 / 0 / 400</t>
        </is>
      </c>
      <c r="I17" s="176" t="inlineStr">
        <is>
          <t>0 / 0 / 400</t>
        </is>
      </c>
      <c r="J17" s="176" t="inlineStr">
        <is>
          <t>no change</t>
        </is>
      </c>
      <c r="K17" s="176" t="inlineStr">
        <is>
          <t>Existing conditional illustration; no investment decision, timing or product slate is sourced.</t>
        </is>
      </c>
    </row>
    <row r="18">
      <c r="A18" s="176" t="inlineStr">
        <is>
          <t>petrol</t>
        </is>
      </c>
      <c r="B18" s="176" t="inlineStr">
        <is>
          <t>passenger_mileage</t>
        </is>
      </c>
      <c r="C18" s="176" t="inlineStr">
        <is>
          <t>km_per_vehicle_year</t>
        </is>
      </c>
      <c r="D18" s="176" t="inlineStr">
        <is>
          <t>17000</t>
        </is>
      </c>
      <c r="E18" s="176" t="inlineStr">
        <is>
          <t>registered placeholder; not an observation</t>
        </is>
      </c>
      <c r="F18" s="176" t="inlineStr">
        <is>
          <t>13600 / 17000 / 20400</t>
        </is>
      </c>
      <c r="G18" s="176" t="inlineStr">
        <is>
          <t>12900 / 14500 / 17000</t>
        </is>
      </c>
      <c r="H18" s="176" t="inlineStr">
        <is>
          <t>13600 / 17000 / 20400</t>
        </is>
      </c>
      <c r="I18" s="176" t="inlineStr">
        <is>
          <t>12900 / 14500 / 17000</t>
        </is>
      </c>
      <c r="J18" s="176" t="inlineStr">
        <is>
          <t>replacement proposed</t>
        </is>
      </c>
      <c r="K18" s="176" t="inlineStr">
        <is>
          <t>Stone et al. (2018) give 14,457 km a year for the petrol car fleet. 2023 petrol sales over 8.56 million registered petrol vehicles is 1,056 litres each, about 12,881 km at 8.2 litres per 100 km. The placeholder sits above both, so it is better treated as the high case.</t>
        </is>
      </c>
    </row>
    <row r="19">
      <c r="A19" s="176" t="inlineStr">
        <is>
          <t>petrol</t>
        </is>
      </c>
      <c r="B19" s="176" t="inlineStr">
        <is>
          <t>gdp_growth</t>
        </is>
      </c>
      <c r="C19" s="176" t="inlineStr">
        <is>
          <t>percent_per_year</t>
        </is>
      </c>
      <c r="D19" s="176" t="inlineStr">
        <is>
          <t>0.5</t>
        </is>
      </c>
      <c r="E19" s="176" t="inlineStr">
        <is>
          <t>real GDP growth in 2024 (Stats SA P0441)</t>
        </is>
      </c>
      <c r="F19" s="176" t="inlineStr">
        <is>
          <t>1 / 2 / 3</t>
        </is>
      </c>
      <c r="G19" s="176" t="inlineStr">
        <is>
          <t>0.7 / 1.6 / 2</t>
        </is>
      </c>
      <c r="H19" s="176" t="inlineStr">
        <is>
          <t>1 / 2 / 3</t>
        </is>
      </c>
      <c r="I19" s="176" t="inlineStr">
        <is>
          <t>0.7 / 1.6 / 2</t>
        </is>
      </c>
      <c r="J19" s="176" t="inlineStr">
        <is>
          <t>replacement proposed</t>
        </is>
      </c>
      <c r="K19" s="176" t="inlineStr">
        <is>
          <t>Average growth was 0.7% a year over 2014-2024 and 1.6% over 2010-2019. National Treasury forecasts 1.6% for 2026 rising to 2.0% in 2028. The model's registered cases are 1.0% and 1.6%. A medium of 2% equals the top of the official forecast; 3% has no recent precedent.</t>
        </is>
      </c>
    </row>
    <row r="20">
      <c r="A20" s="176" t="inlineStr">
        <is>
          <t>petrol</t>
        </is>
      </c>
      <c r="B20" s="176" t="inlineStr">
        <is>
          <t>bev_new_sales_share</t>
        </is>
      </c>
      <c r="C20" s="176" t="inlineStr">
        <is>
          <t>percent</t>
        </is>
      </c>
      <c r="D20" s="176" t="inlineStr">
        <is>
          <t>0.2</t>
        </is>
      </c>
      <c r="E20" s="176" t="inlineStr">
        <is>
          <t>1,088 battery electric vehicles sold in 2025, share of all new vehicles (naamsa)</t>
        </is>
      </c>
      <c r="F20" s="176" t="inlineStr">
        <is>
          <t>5 / 15 / 30</t>
        </is>
      </c>
      <c r="G20" s="176" t="inlineStr">
        <is>
          <t>0.5 / 4 / 20</t>
        </is>
      </c>
      <c r="H20" s="176" t="inlineStr">
        <is>
          <t>15 / 35 / 60</t>
        </is>
      </c>
      <c r="I20" s="176" t="inlineStr">
        <is>
          <t>2 / 15 / 40</t>
        </is>
      </c>
      <c r="J20" s="176" t="inlineStr">
        <is>
          <t>replacement proposed</t>
        </is>
      </c>
      <c r="K20" s="176" t="inlineStr">
        <is>
          <t>Battery electric sales fell from 1,257 in 2024 to 1,088 in 2025. No South African forecast was found; each case is tied to a market's observed 2025 share of new car sales (IEA, Global EV Outlook 2026). Low: South Africa stays under 1%, as in 2022-2025. Medium: India's share (nearly 4%) by 2030 and Indonesia's (15%) by 2035. High: Turkiye's path, from just over 1% in 2022 to over 20% in 2025, by 2030, and Vietnam's share (nearly 40%) by 2035. The IEA shares include plug-in hybrids, so they overstate battery electric alone. The proposed 2035 high of 60 is above every market cited.</t>
        </is>
      </c>
    </row>
    <row r="21">
      <c r="A21" s="176" t="inlineStr">
        <is>
          <t>petrol</t>
        </is>
      </c>
      <c r="B21" s="176" t="inlineStr">
        <is>
          <t>new_cohort_efficiency</t>
        </is>
      </c>
      <c r="C21" s="176" t="inlineStr">
        <is>
          <t>percent_per_year</t>
        </is>
      </c>
      <c r="D21" s="176" t="inlineStr">
        <is>
          <t>1.0 to 1.5</t>
        </is>
      </c>
      <c r="E21" s="176" t="inlineStr">
        <is>
          <t>registered petrol efficiency paths (low and high demand cases)</t>
        </is>
      </c>
      <c r="F21" s="176" t="inlineStr">
        <is>
          <t>1 / 1.25 / 1.5</t>
        </is>
      </c>
      <c r="G21" s="176" t="inlineStr">
        <is>
          <t>1 / 1.25 / 1.5</t>
        </is>
      </c>
      <c r="H21" s="176" t="inlineStr">
        <is>
          <t>1 / 1.25 / 1.5</t>
        </is>
      </c>
      <c r="I21" s="176" t="inlineStr">
        <is>
          <t>1 / 1.25 / 1.5</t>
        </is>
      </c>
      <c r="J21" s="176" t="inlineStr">
        <is>
          <t>no change</t>
        </is>
      </c>
      <c r="K21" s="176" t="inlineStr">
        <is>
          <t>Low and high equal the registered endpoints. Neither has a source. No change proposed.</t>
        </is>
      </c>
    </row>
    <row r="22">
      <c r="A22" s="176" t="inlineStr">
        <is>
          <t>petrol</t>
        </is>
      </c>
      <c r="B22" s="176" t="inlineStr">
        <is>
          <t>plant_utilisation</t>
        </is>
      </c>
      <c r="C22" s="176" t="inlineStr">
        <is>
          <t>percent</t>
        </is>
      </c>
      <c r="D22" s="176" t="inlineStr">
        <is>
          <t>67</t>
        </is>
      </c>
      <c r="E22" s="176" t="inlineStr">
        <is>
          <t>reported 2024 output over reported capacity, three plants; indicative</t>
        </is>
      </c>
      <c r="F22" s="176" t="inlineStr">
        <is>
          <t>60 / 75 / 90</t>
        </is>
      </c>
      <c r="G22" s="176" t="inlineStr">
        <is>
          <t>60 / 75 / 90</t>
        </is>
      </c>
      <c r="H22" s="176" t="inlineStr">
        <is>
          <t>60 / 75 / 90</t>
        </is>
      </c>
      <c r="I22" s="176" t="inlineStr">
        <is>
          <t>60 / 75 / 90</t>
        </is>
      </c>
      <c r="J22" s="176" t="inlineStr">
        <is>
          <t>no change</t>
        </is>
      </c>
      <c r="K22" s="176"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23">
      <c r="A23" s="176" t="inlineStr">
        <is>
          <t>petrol</t>
        </is>
      </c>
      <c r="B23" s="176" t="inlineStr">
        <is>
          <t>product_yield</t>
        </is>
      </c>
      <c r="C23" s="176" t="inlineStr">
        <is>
          <t>percent</t>
        </is>
      </c>
      <c r="D23" s="176" t="inlineStr">
        <is>
          <t>54</t>
        </is>
      </c>
      <c r="E23" s="176" t="inlineStr">
        <is>
          <t>petrol share of refinery output in 2024 (JODI; lowest reliability)</t>
        </is>
      </c>
      <c r="F23" s="176" t="inlineStr">
        <is>
          <t>35 / 45 / 55</t>
        </is>
      </c>
      <c r="G23" s="176" t="inlineStr">
        <is>
          <t>45 / 50 / 55</t>
        </is>
      </c>
      <c r="H23" s="176" t="inlineStr">
        <is>
          <t>35 / 45 / 55</t>
        </is>
      </c>
      <c r="I23" s="176" t="inlineStr">
        <is>
          <t>45 / 50 / 55</t>
        </is>
      </c>
      <c r="J23" s="176" t="inlineStr">
        <is>
          <t>replacement proposed</t>
        </is>
      </c>
      <c r="K23" s="176" t="inlineStr">
        <is>
          <t>Share of all refinery output: 51% in 2023 and 54% in 2024 (JODI). Petrol was 47 to 50% of the five fuels in the 2017-2021 energy balances. The registered legacy yield is 45%. Replacement: legacy as the low, 50 as the medium, the recent observed share as the high. Petrol and diesel yields must be chosen together; their highs cannot both hold.</t>
        </is>
      </c>
    </row>
    <row r="24">
      <c r="A24" s="176" t="inlineStr">
        <is>
          <t>petrol</t>
        </is>
      </c>
      <c r="B24" s="176" t="inlineStr">
        <is>
          <t>restart_capacity</t>
        </is>
      </c>
      <c r="C24" s="176" t="inlineStr">
        <is>
          <t>thousand_bbl_per_day</t>
        </is>
      </c>
      <c r="D24" s="176" t="inlineStr">
        <is>
          <t>0</t>
        </is>
      </c>
      <c r="E24" s="176" t="inlineStr">
        <is>
          <t>no committed addition</t>
        </is>
      </c>
      <c r="F24" s="176" t="inlineStr">
        <is>
          <t>0 / 0 / 0</t>
        </is>
      </c>
      <c r="G24" s="176" t="inlineStr">
        <is>
          <t>0 / 0 / 0</t>
        </is>
      </c>
      <c r="H24" s="176" t="inlineStr">
        <is>
          <t>0 / 0 / 400</t>
        </is>
      </c>
      <c r="I24" s="176" t="inlineStr">
        <is>
          <t>0 / 0 / 400</t>
        </is>
      </c>
      <c r="J24" s="176" t="inlineStr">
        <is>
          <t>no change</t>
        </is>
      </c>
      <c r="K24" s="176" t="inlineStr">
        <is>
          <t>Existing conditional illustration; no investment decision, timing or product slate is sourced.</t>
        </is>
      </c>
    </row>
    <row r="25">
      <c r="A25" s="176" t="inlineStr">
        <is>
          <t>diesel</t>
        </is>
      </c>
      <c r="B25" s="176" t="inlineStr">
        <is>
          <t>real_fuel_price</t>
        </is>
      </c>
      <c r="C25" s="176" t="inlineStr">
        <is>
          <t>index_2024_100</t>
        </is>
      </c>
      <c r="D25" s="176" t="inlineStr">
        <is>
          <t>100</t>
        </is>
      </c>
      <c r="E25" s="176" t="inlineStr">
        <is>
          <t>regulated inland price deflated by headline CPI, 2024 average</t>
        </is>
      </c>
      <c r="F25" s="176" t="inlineStr">
        <is>
          <t>- / - / -</t>
        </is>
      </c>
      <c r="G25" s="176" t="inlineStr">
        <is>
          <t>80 / 100 / 140</t>
        </is>
      </c>
      <c r="H25" s="176" t="inlineStr">
        <is>
          <t>- / - / -</t>
        </is>
      </c>
      <c r="I25" s="176" t="inlineStr">
        <is>
          <t>80 / 100 / 140</t>
        </is>
      </c>
      <c r="J25" s="176" t="inlineStr">
        <is>
          <t>added lever</t>
        </is>
      </c>
      <c r="K25" s="176" t="inlineStr">
        <is>
          <t>Annual range 2011-2025 is 76 to 120; October 2026 is 143. Low is the bottom of that range, medium a return to 2024, high October 2026 held. Boshoff (2012) puts the long-run response at -0.13, so the high case lowers demand by about 5%. One study; the model has no price response today.</t>
        </is>
      </c>
    </row>
    <row r="26">
      <c r="A26" s="176" t="inlineStr">
        <is>
          <t>diesel</t>
        </is>
      </c>
      <c r="B26" s="176" t="inlineStr">
        <is>
          <t>private_backup_generation</t>
        </is>
      </c>
      <c r="C26" s="176" t="inlineStr">
        <is>
          <t>bn_litres_per_year</t>
        </is>
      </c>
      <c r="D26" s="176" t="inlineStr">
        <is>
          <t>not measured</t>
        </is>
      </c>
      <c r="E26" s="176" t="inlineStr">
        <is>
          <t>no measured volume exists</t>
        </is>
      </c>
      <c r="F26" s="176" t="inlineStr">
        <is>
          <t>- / - / -</t>
        </is>
      </c>
      <c r="G26" s="176" t="inlineStr">
        <is>
          <t>0 / 0 / 0.5</t>
        </is>
      </c>
      <c r="H26" s="176" t="inlineStr">
        <is>
          <t>- / - / -</t>
        </is>
      </c>
      <c r="I26" s="176" t="inlineStr">
        <is>
          <t>0 / 0 / 0.5</t>
        </is>
      </c>
      <c r="J26" s="176" t="inlineStr">
        <is>
          <t>added lever</t>
        </is>
      </c>
      <c r="K26" s="176" t="inlineStr">
        <is>
          <t>Recorded diesel sales fell by 1.2 bn litres between 2023 and 2024 as load-shedding ended; grid turbines account for about 0.7 of that at 0.31 litres per kWh, leaving about 0.5 that may be private generators. Indicative only: other causes are not excluded. High is load-shedding returning at 2023 intensity. Move together with diesel power generation.</t>
        </is>
      </c>
    </row>
    <row r="27">
      <c r="A27" s="176" t="inlineStr">
        <is>
          <t>diesel</t>
        </is>
      </c>
      <c r="B27" s="176" t="inlineStr">
        <is>
          <t>electric_share_of_new_truck_sales</t>
        </is>
      </c>
      <c r="C27" s="176" t="inlineStr">
        <is>
          <t>percent</t>
        </is>
      </c>
      <c r="D27" s="176" t="inlineStr">
        <is>
          <t>not reported</t>
        </is>
      </c>
      <c r="E27" s="176" t="inlineStr">
        <is>
          <t>naamsa reports electrified sales for the whole market only; assumed close to zero</t>
        </is>
      </c>
      <c r="F27" s="176" t="inlineStr">
        <is>
          <t>- / - / -</t>
        </is>
      </c>
      <c r="G27" s="176" t="inlineStr">
        <is>
          <t>0 / 0.4 / 3</t>
        </is>
      </c>
      <c r="H27" s="176" t="inlineStr">
        <is>
          <t>- / - / -</t>
        </is>
      </c>
      <c r="I27" s="176" t="inlineStr">
        <is>
          <t>0 / 3 / 9</t>
        </is>
      </c>
      <c r="J27" s="176" t="inlineStr">
        <is>
          <t>added lever</t>
        </is>
      </c>
      <c r="K27" s="176" t="inlineStr">
        <is>
          <t>No South African figure exists for electric trucks sold or on the road. Benchmarks, share of new truck sales in 2025: Brazil 0.4% (ICCT); India about 800 trucks, well under 1%; Europe 3%; world 9%; China 25%, which is over 90% of all electric trucks sold (IEA, Global EV Outlook 2026). Brazil and India are the closest comparators: long hauls, little purchase support. Low stays at zero; medium reaches Brazil's 2025 share by 2030 and Europe's by 2035; high reaches Europe's by 2030 and the world average by 2035. China is not used. The effect on diesel is small within the horizon: about 6% of trucks are replaced a year, so the high case puts roughly 2.5% of the fleet on electricity by 2035.</t>
        </is>
      </c>
    </row>
    <row r="28">
      <c r="A28" s="176" t="inlineStr">
        <is>
          <t>diesel</t>
        </is>
      </c>
      <c r="B28" s="176" t="inlineStr">
        <is>
          <t>electric_share_of_new_light_commercial_sales</t>
        </is>
      </c>
      <c r="C28" s="176" t="inlineStr">
        <is>
          <t>percent</t>
        </is>
      </c>
      <c r="D28" s="176" t="inlineStr">
        <is>
          <t>not reported</t>
        </is>
      </c>
      <c r="E28" s="176" t="inlineStr">
        <is>
          <t>naamsa reports electrified sales for the whole market only; assumed close to zero</t>
        </is>
      </c>
      <c r="F28" s="176" t="inlineStr">
        <is>
          <t>- / - / -</t>
        </is>
      </c>
      <c r="G28" s="176" t="inlineStr">
        <is>
          <t>0 / 1 / 5</t>
        </is>
      </c>
      <c r="H28" s="176" t="inlineStr">
        <is>
          <t>- / - / -</t>
        </is>
      </c>
      <c r="I28" s="176" t="inlineStr">
        <is>
          <t>0 / 5 / 10</t>
        </is>
      </c>
      <c r="J28" s="176" t="inlineStr">
        <is>
          <t>added lever</t>
        </is>
      </c>
      <c r="K28" s="176" t="inlineStr">
        <is>
          <t>No South African figure by segment. Benchmarks, share of new light commercial sales in 2025: India 1%, Europe 10%, China 14% (IEA, Global EV Outlook 2026). Low stays at zero; medium reaches India's 2025 share by 2030 and half of Europe's by 2035; high reaches half of Europe's by 2030 and Europe's by 2035. Light commercial vehicles are mostly bakkies here, which differ from the vans that dominate electric sales elsewhere, so these are loose comparators.</t>
        </is>
      </c>
    </row>
    <row r="29">
      <c r="A29" s="176" t="inlineStr">
        <is>
          <t>petrol</t>
        </is>
      </c>
      <c r="B29" s="176" t="inlineStr">
        <is>
          <t>real_fuel_price</t>
        </is>
      </c>
      <c r="C29" s="176" t="inlineStr">
        <is>
          <t>index_2024_100</t>
        </is>
      </c>
      <c r="D29" s="176" t="inlineStr">
        <is>
          <t>100</t>
        </is>
      </c>
      <c r="E29" s="176" t="inlineStr">
        <is>
          <t>regulated inland price deflated by headline CPI, 2024 average</t>
        </is>
      </c>
      <c r="F29" s="176" t="inlineStr">
        <is>
          <t>- / - / -</t>
        </is>
      </c>
      <c r="G29" s="176" t="inlineStr">
        <is>
          <t>80 / 100 / 120</t>
        </is>
      </c>
      <c r="H29" s="176" t="inlineStr">
        <is>
          <t>- / - / -</t>
        </is>
      </c>
      <c r="I29" s="176" t="inlineStr">
        <is>
          <t>80 / 100 / 120</t>
        </is>
      </c>
      <c r="J29" s="176" t="inlineStr">
        <is>
          <t>added lever</t>
        </is>
      </c>
      <c r="K29" s="176" t="inlineStr">
        <is>
          <t>Annual range 2011-2025 is 79 to 109; October 2026 is 121. Low is the bottom of that range, medium a return to 2024, high October 2026 held. Boshoff (2012) puts the long-run response at -0.5, so the high case lowers demand by about 10%. One study; the model has no price response today.</t>
        </is>
      </c>
    </row>
    <row r="30">
      <c r="A30" s="176" t="inlineStr">
        <is>
          <t>petrol</t>
        </is>
      </c>
      <c r="B30" s="176" t="inlineStr">
        <is>
          <t>plug_in_hybrid_new_sales_share</t>
        </is>
      </c>
      <c r="C30" s="176" t="inlineStr">
        <is>
          <t>percent</t>
        </is>
      </c>
      <c r="D30" s="176" t="inlineStr">
        <is>
          <t>0.5</t>
        </is>
      </c>
      <c r="E30" s="176" t="inlineStr">
        <is>
          <t>share of all new vehicles in 2025 (naamsa)</t>
        </is>
      </c>
      <c r="F30" s="176" t="inlineStr">
        <is>
          <t>- / - / -</t>
        </is>
      </c>
      <c r="G30" s="176" t="inlineStr">
        <is>
          <t>0.5 / 1.2 / 2.1</t>
        </is>
      </c>
      <c r="H30" s="176" t="inlineStr">
        <is>
          <t>- / - / -</t>
        </is>
      </c>
      <c r="I30" s="176" t="inlineStr">
        <is>
          <t>0.5 / 2 / 3.7</t>
        </is>
      </c>
      <c r="J30" s="176" t="inlineStr">
        <is>
          <t>added lever</t>
        </is>
      </c>
      <c r="K30" s="176" t="inlineStr">
        <is>
          <t>Share rose from 0.02% in 2022 to 0.47% in 2025. Low holds 2025; medium adds the 2022-2025 average of 0.15 points a year; high adds the 2025 increase of 0.33 points a year. An extrapolation of South Africa's own sales, not a forecast. Enters through fuel use per kilometre; the share of distance on the battery is unsourced.</t>
        </is>
      </c>
    </row>
    <row r="31">
      <c r="A31" s="176" t="inlineStr">
        <is>
          <t>petrol</t>
        </is>
      </c>
      <c r="B31" s="176" t="inlineStr">
        <is>
          <t>conventional_hybrid_new_sales_share</t>
        </is>
      </c>
      <c r="C31" s="176" t="inlineStr">
        <is>
          <t>percent</t>
        </is>
      </c>
      <c r="D31" s="176" t="inlineStr">
        <is>
          <t>2.1</t>
        </is>
      </c>
      <c r="E31" s="176" t="inlineStr">
        <is>
          <t>share of all new vehicles in 2025 (naamsa)</t>
        </is>
      </c>
      <c r="F31" s="176" t="inlineStr">
        <is>
          <t>- / - / -</t>
        </is>
      </c>
      <c r="G31" s="176" t="inlineStr">
        <is>
          <t>2.1 / 4.4 / 6.7</t>
        </is>
      </c>
      <c r="H31" s="176" t="inlineStr">
        <is>
          <t>- / - / -</t>
        </is>
      </c>
      <c r="I31" s="176" t="inlineStr">
        <is>
          <t>2.1 / 6.7 / 11.3</t>
        </is>
      </c>
      <c r="J31" s="176" t="inlineStr">
        <is>
          <t>added lever</t>
        </is>
      </c>
      <c r="K31" s="176" t="inlineStr">
        <is>
          <t>Share rose from 0.77% in 2022 to 2.64% in 2024 and was 2.15% in 2025. Low holds 2025; medium adds the 2022-2025 average of 0.46 points a year; high adds twice that. An extrapolation of South Africa's own sales, not a forecast. Enters through fuel use per kilometre; the saving per vehicle is unsourced.</t>
        </is>
      </c>
    </row>
    <row r="32">
      <c r="A32" s="176" t="inlineStr">
        <is>
          <t>petrol</t>
        </is>
      </c>
      <c r="B32" s="176" t="inlineStr">
        <is>
          <t>rail_passenger_journeys</t>
        </is>
      </c>
      <c r="C32" s="176" t="inlineStr">
        <is>
          <t>million_per_year</t>
        </is>
      </c>
      <c r="D32" s="176" t="inlineStr">
        <is>
          <t>74</t>
        </is>
      </c>
      <c r="E32" s="176" t="inlineStr">
        <is>
          <t>rail passenger journeys in 2024 (Stats SA P7162)</t>
        </is>
      </c>
      <c r="F32" s="176" t="inlineStr">
        <is>
          <t>- / - / -</t>
        </is>
      </c>
      <c r="G32" s="176" t="inlineStr">
        <is>
          <t>100 / 180 / 320</t>
        </is>
      </c>
      <c r="H32" s="176" t="inlineStr">
        <is>
          <t>- / - / -</t>
        </is>
      </c>
      <c r="I32" s="176" t="inlineStr">
        <is>
          <t>100 / 250 / 320</t>
        </is>
      </c>
      <c r="J32" s="176" t="inlineStr">
        <is>
          <t>added lever</t>
        </is>
      </c>
      <c r="K32" s="176" t="inlineStr">
        <is>
          <t>Journeys were 317 million in 2017 and 175 in 2019, fell to 19 in 2022 and recovered to 103 in 2025. Low holds 2025; medium returns to 2019 by 2030 and to 2018 by 2035; high returns to 2017 by 2030 and holds. More rail journeys lower petrol use, but no survey covers the minibus taxi and car trips displaced, so the effect in litres cannot yet be stated.</t>
        </is>
      </c>
    </row>
    <row r="33">
      <c r="A33" s="176" t="inlineStr">
        <is>
          <t>throughput</t>
        </is>
      </c>
      <c r="B33" s="176" t="inlineStr">
        <is>
          <t>exports_to_neighbours</t>
        </is>
      </c>
      <c r="C33" s="176" t="inlineStr">
        <is>
          <t>bn_litres_per_year</t>
        </is>
      </c>
      <c r="D33" s="176" t="inlineStr">
        <is>
          <t>1.48</t>
        </is>
      </c>
      <c r="E33" s="176" t="inlineStr">
        <is>
          <t>petrol and diesel exported to nine neighbouring countries in 2024 (SARS customs)</t>
        </is>
      </c>
      <c r="F33" s="176" t="inlineStr">
        <is>
          <t>- / - / -</t>
        </is>
      </c>
      <c r="G33" s="176" t="inlineStr">
        <is>
          <t>0.7 / 1.4 / 1.7</t>
        </is>
      </c>
      <c r="H33" s="176" t="inlineStr">
        <is>
          <t>- / - / -</t>
        </is>
      </c>
      <c r="I33" s="176" t="inlineStr">
        <is>
          <t>0.7 / 1.4 / 1.7</t>
        </is>
      </c>
      <c r="J33" s="176" t="inlineStr">
        <is>
          <t>added lever</t>
        </is>
      </c>
      <c r="K33" s="176" t="inlineStr">
        <is>
          <t>2.66 bn litres in 2019, 1.73 in 2023 and 1.37 in 2025. Botswana took 1.05 in 2023 and 0.68 in 2025 and has said it is moving to Walvis Bay and Maputo. Low is 2025 with Botswana gone; medium holds 2025; high returns to 2023. This is throughput for South African terminals, not South African demand, and must not be added to it.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2" customWidth="1" min="3" max="3"/>
    <col width="70" customWidth="1" min="4" max="4"/>
    <col width="60" customWidth="1" min="5" max="5"/>
    <col width="28" customWidth="1" min="6" max="6"/>
  </cols>
  <sheetData>
    <row r="1">
      <c r="A1" s="149" t="inlineStr">
        <is>
          <t>Status against the 13 data gaps on the Data gaps sheet, 8 October 2026</t>
        </is>
      </c>
    </row>
    <row r="2">
      <c r="A2" s="1" t="inlineStr">
        <is>
          <t>The Data gaps sheet is unchanged. Statuses are the analyst's reading; closure is for the owner named there.</t>
        </is>
      </c>
    </row>
    <row r="4">
      <c r="A4" s="150" t="inlineStr">
        <is>
          <t>ID</t>
        </is>
      </c>
      <c r="B4" s="150" t="inlineStr">
        <is>
          <t>Demand component</t>
        </is>
      </c>
      <c r="C4" s="150" t="inlineStr">
        <is>
          <t>Status</t>
        </is>
      </c>
      <c r="D4" s="150" t="inlineStr">
        <is>
          <t>What has been added</t>
        </is>
      </c>
      <c r="E4" s="150" t="inlineStr">
        <is>
          <t>What is still missing</t>
        </is>
      </c>
      <c r="F4" s="150" t="inlineStr">
        <is>
          <t>Where to look</t>
        </is>
      </c>
    </row>
    <row r="5">
      <c r="A5" s="176" t="inlineStr">
        <is>
          <t>G01</t>
        </is>
      </c>
      <c r="B5" s="176" t="inlineStr">
        <is>
          <t>National fuel balance</t>
        </is>
      </c>
      <c r="C5" s="176" t="inlineStr">
        <is>
          <t>Narrowed</t>
        </is>
      </c>
      <c r="D5" s="176" t="inlineStr">
        <is>
          <t>Balance rebuilt on customs trade for 2014-2025; Road Accident Fund levy found as an independent count.</t>
        </is>
      </c>
      <c r="E5" s="176" t="inlineStr">
        <is>
          <t>2024 sales source; no 2025 sales figure; production after 2021 rests on JODI alone; no usable stock series.</t>
        </is>
      </c>
      <c r="F5" s="176" t="inlineStr">
        <is>
          <t>History, sections 2-5</t>
        </is>
      </c>
    </row>
    <row r="6">
      <c r="A6" s="176" t="inlineStr">
        <is>
          <t>G02</t>
        </is>
      </c>
      <c r="B6" s="176" t="inlineStr">
        <is>
          <t>Fleet and new sales</t>
        </is>
      </c>
      <c r="C6" s="176" t="inlineStr">
        <is>
          <t>Narrowed</t>
        </is>
      </c>
      <c r="D6" s="176" t="inlineStr">
        <is>
          <t>Registered vehicles by class 2021-2025, new sales 2017-2025 and apparent retirements lined up against the model.</t>
        </is>
      </c>
      <c r="E6" s="176" t="inlineStr">
        <is>
          <t>Stock by age and by fuel within each class is in no source held.</t>
        </is>
      </c>
      <c r="F6" s="176" t="inlineStr">
        <is>
          <t>Vehicle history</t>
        </is>
      </c>
    </row>
    <row r="7">
      <c r="A7" s="176" t="inlineStr">
        <is>
          <t>G03</t>
        </is>
      </c>
      <c r="B7" s="176" t="inlineStr">
        <is>
          <t>Passenger electrification</t>
        </is>
      </c>
      <c r="C7" s="176" t="inlineStr">
        <is>
          <t>Narrowed</t>
        </is>
      </c>
      <c r="D7" s="176" t="inlineStr">
        <is>
          <t>Battery electric, plug-in and conventional hybrid sales and shares, 2019-2025.</t>
        </is>
      </c>
      <c r="E7" s="176" t="inlineStr">
        <is>
          <t>Passenger-only denominators; electric vehicles in the fleet after 2023; fuel saved by hybrids.</t>
        </is>
      </c>
      <c r="F7" s="176" t="inlineStr">
        <is>
          <t>Vehicle history, section 4</t>
        </is>
      </c>
    </row>
    <row r="8">
      <c r="A8" s="176" t="inlineStr">
        <is>
          <t>G04</t>
        </is>
      </c>
      <c r="B8" s="176" t="inlineStr">
        <is>
          <t>Road freight activity</t>
        </is>
      </c>
      <c r="C8" s="176" t="inlineStr">
        <is>
          <t>Narrowed</t>
        </is>
      </c>
      <c r="D8" s="176" t="inlineStr">
        <is>
          <t>Heavy vehicle diesel is estimated for every year and set against road freight tonnes, giving litres per tonne. Stats SA fuel purchases by road freight firms give a floor of about 2.9 bn litres (2019) and 3.2 bn (2023).</t>
        </is>
      </c>
      <c r="E8" s="176" t="inlineStr">
        <is>
          <t>An annual tonne-kilometre series (only 2013 is published); distance, payload and empty running; light commercial freight scope.</t>
        </is>
      </c>
      <c r="F8" s="176" t="inlineStr">
        <is>
          <t>Diesel by use, sections 3, 3b and 4</t>
        </is>
      </c>
    </row>
    <row r="9">
      <c r="A9" s="176" t="inlineStr">
        <is>
          <t>G05</t>
        </is>
      </c>
      <c r="B9" s="176" t="inlineStr">
        <is>
          <t>Freight electrification</t>
        </is>
      </c>
      <c r="C9" s="176" t="inlineStr">
        <is>
          <t>Proposed</t>
        </is>
      </c>
      <c r="D9" s="176" t="inlineStr">
        <is>
          <t>No South African data on electric trucks exists, so the gap cannot be closed with observation. Benchmarks for 2025: Brazil 0.4% of new truck sales, India well under 1%, Europe 3%, world 9%, China 25%. Low / medium / high proposed from Brazil and Europe; even the high case electrifies about 2.5% of trucks by 2035.</t>
        </is>
      </c>
      <c r="E9" s="176" t="inlineStr">
        <is>
          <t>South African sales of electric trucks by size; duty cycles that could switch first; charging at depots.</t>
        </is>
      </c>
      <c r="F9" s="176" t="inlineStr">
        <is>
          <t>HML response</t>
        </is>
      </c>
    </row>
    <row r="10">
      <c r="A10" s="176" t="inlineStr">
        <is>
          <t>G06</t>
        </is>
      </c>
      <c r="B10" s="176" t="inlineStr">
        <is>
          <t>Manufacturing</t>
        </is>
      </c>
      <c r="C10" s="176" t="inlineStr">
        <is>
          <t>Narrowed</t>
        </is>
      </c>
      <c r="D10" s="176" t="inlineStr">
        <is>
          <t>Manufacturing and other industry diesel by difference, 2016-2021 (0.16-0.23 bn litres), with litres per index point.</t>
        </is>
      </c>
      <c r="E10" s="176" t="inlineStr">
        <is>
          <t>Sub-sector detail; the balance has no manufacturing lines before 2016.</t>
        </is>
      </c>
      <c r="F10" s="176" t="inlineStr">
        <is>
          <t>Sector history</t>
        </is>
      </c>
    </row>
    <row r="11">
      <c r="A11" s="176" t="inlineStr">
        <is>
          <t>G07</t>
        </is>
      </c>
      <c r="B11" s="176" t="inlineStr">
        <is>
          <t>Mining and construction</t>
        </is>
      </c>
      <c r="C11" s="176" t="inlineStr">
        <is>
          <t>Narrowed</t>
        </is>
      </c>
      <c r="D11" s="176" t="inlineStr">
        <is>
          <t>Mining diesel 2012-2021 with litres per index point (11-17 million); indicative 2022-2025.</t>
        </is>
      </c>
      <c r="E11" s="176" t="inlineStr">
        <is>
          <t>Observed fuel after 2021; site and commodity split; on-road boundary.</t>
        </is>
      </c>
      <c r="F11" s="176" t="inlineStr">
        <is>
          <t>Sector history</t>
        </is>
      </c>
    </row>
    <row r="12">
      <c r="A12" s="176" t="inlineStr">
        <is>
          <t>G08</t>
        </is>
      </c>
      <c r="B12" s="176" t="inlineStr">
        <is>
          <t>Agriculture</t>
        </is>
      </c>
      <c r="C12" s="176" t="inlineStr">
        <is>
          <t>Narrowed</t>
        </is>
      </c>
      <c r="D12" s="176" t="inlineStr">
        <is>
          <t>Agriculture diesel 2012-2021 with litres per rand of value added; indicative 2022-2025. Rebated diesel across all rebate sectors is 1.46 bn litres (year to March 2025).</t>
        </is>
      </c>
      <c r="E12" s="176" t="inlineStr">
        <is>
          <t>A fuel baseline after 2021; crop and irrigation activity.</t>
        </is>
      </c>
      <c r="F12" s="176" t="inlineStr">
        <is>
          <t>Sector history</t>
        </is>
      </c>
    </row>
    <row r="13">
      <c r="A13" s="176" t="inlineStr">
        <is>
          <t>G09</t>
        </is>
      </c>
      <c r="B13" s="176" t="inlineStr">
        <is>
          <t>Generation</t>
        </is>
      </c>
      <c r="C13" s="176" t="inlineStr">
        <is>
          <t>Narrowed</t>
        </is>
      </c>
      <c r="D13" s="176" t="inlineStr">
        <is>
          <t>Generation to the year ending March 2026; 0.31 litres per kWh in three reported years. The model's 2024 figure (3.58 bn litres) is at least 2 bn above reported burn.</t>
        </is>
      </c>
      <c r="E13" s="176" t="inlineStr">
        <is>
          <t>Matched fuel burn by calendar year; private backup generation has no measured volume.</t>
        </is>
      </c>
      <c r="F13" s="176" t="inlineStr">
        <is>
          <t>Diesel by use, section 1</t>
        </is>
      </c>
    </row>
    <row r="14">
      <c r="A14" s="176" t="inlineStr">
        <is>
          <t>G10</t>
        </is>
      </c>
      <c r="B14" s="176" t="inlineStr">
        <is>
          <t>Aviation</t>
        </is>
      </c>
      <c r="C14" s="176" t="inlineStr">
        <is>
          <t>Narrowed</t>
        </is>
      </c>
      <c r="D14" s="176" t="inlineStr">
        <is>
          <t>Jet sales, trade, production and aircraft movements lined up; jet sold per movement computed.</t>
        </is>
      </c>
      <c r="E14" s="176" t="inlineStr">
        <is>
          <t>Cargo, aircraft and route mix; airports outside ACSA; jet by airport.</t>
        </is>
      </c>
      <c r="F14" s="176" t="inlineStr">
        <is>
          <t>History, section 7</t>
        </is>
      </c>
    </row>
    <row r="15">
      <c r="A15" s="176" t="inlineStr">
        <is>
          <t>G11</t>
        </is>
      </c>
      <c r="B15" s="176" t="inlineStr">
        <is>
          <t>Provincial demand</t>
        </is>
      </c>
      <c r="C15" s="176" t="inlineStr">
        <is>
          <t>Narrowed</t>
        </is>
      </c>
      <c r="D15" s="176" t="inlineStr">
        <is>
          <t>2013-2022 observed; 2023 estimated with the best of six methods back-tested; 2024 blank (no national total).</t>
        </is>
      </c>
      <c r="E15" s="176" t="inlineStr">
        <is>
          <t>District data after 2023 quarter 1, which the department has not published; 2025 national total.</t>
        </is>
      </c>
      <c r="F15" s="176" t="inlineStr">
        <is>
          <t>History, sections 1 and 6</t>
        </is>
      </c>
    </row>
    <row r="16">
      <c r="A16" s="176" t="inlineStr">
        <is>
          <t>G12</t>
        </is>
      </c>
      <c r="B16" s="176" t="inlineStr">
        <is>
          <t>Marine and other coverage</t>
        </is>
      </c>
      <c r="C16" s="176" t="inlineStr">
        <is>
          <t>Open</t>
        </is>
      </c>
      <c r="D16" s="176" t="inlineStr">
        <is>
          <t>Nothing new. The model's marine placeholder equals the 2007 balance figure.</t>
        </is>
      </c>
      <c r="E16" s="176" t="inlineStr">
        <is>
          <t>Everything listed.</t>
        </is>
      </c>
      <c r="F16" s="176" t="inlineStr"/>
    </row>
    <row r="17">
      <c r="A17" s="176" t="inlineStr">
        <is>
          <t>G13</t>
        </is>
      </c>
      <c r="B17" s="176" t="inlineStr">
        <is>
          <t>Ranges and annual forecast paths</t>
        </is>
      </c>
      <c r="C17" s="176" t="inlineStr">
        <is>
          <t>Proposed</t>
        </is>
      </c>
      <c r="D17" s="176" t="inlineStr">
        <is>
          <t>Baseline, rationale and source for all 20 levers; 39 of 120 values with a proposed replacement; nine levers added.</t>
        </is>
      </c>
      <c r="E17" s="176" t="inlineStr">
        <is>
          <t>Agreement on the reference case and annual paths.</t>
        </is>
      </c>
      <c r="F17" s="176" t="inlineStr">
        <is>
          <t>HML response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85"/>
  <sheetViews>
    <sheetView workbookViewId="0">
      <selection activeCell="A1" sqref="A1"/>
    </sheetView>
  </sheetViews>
  <sheetFormatPr baseColWidth="8" defaultRowHeight="15"/>
  <cols>
    <col width="12" customWidth="1" min="1" max="1"/>
    <col width="40" customWidth="1" min="2" max="2"/>
    <col width="8" customWidth="1" min="3" max="3"/>
    <col width="18" customWidth="1" min="4" max="4"/>
    <col width="22" customWidth="1" min="5" max="5"/>
    <col width="14" customWidth="1" min="6" max="6"/>
    <col width="48" customWidth="1" min="7" max="7"/>
  </cols>
  <sheetData>
    <row r="1">
      <c r="A1" s="149" t="inlineStr">
        <is>
          <t>Checks on the workshop workbook, 7 October 2026</t>
        </is>
      </c>
    </row>
    <row r="2">
      <c r="A2" t="inlineStr">
        <is>
          <t>Each Evidence row that can be traced to a registered input is recomputed from that input. Differences above 0.05% are listed as 'differs'.</t>
        </is>
      </c>
    </row>
    <row r="4">
      <c r="A4" s="177" t="inlineStr">
        <is>
          <t>Evidence row</t>
        </is>
      </c>
      <c r="B4" s="177" t="inlineStr">
        <is>
          <t>Series</t>
        </is>
      </c>
      <c r="C4" s="177" t="inlineStr">
        <is>
          <t>Year</t>
        </is>
      </c>
      <c r="D4" s="177" t="inlineStr">
        <is>
          <t>Workbook value</t>
        </is>
      </c>
      <c r="E4" s="177" t="inlineStr">
        <is>
          <t>Recomputed from inputs</t>
        </is>
      </c>
      <c r="F4" s="177" t="inlineStr">
        <is>
          <t>Result</t>
        </is>
      </c>
      <c r="G4" s="177" t="inlineStr">
        <is>
          <t>Input file</t>
        </is>
      </c>
    </row>
    <row r="5">
      <c r="A5" s="1" t="inlineStr">
        <is>
          <t>F5</t>
        </is>
      </c>
      <c r="B5" s="1" t="inlineStr">
        <is>
          <t>sales_petrol</t>
        </is>
      </c>
      <c r="C5" s="1" t="n">
        <v>2022</v>
      </c>
      <c r="D5" s="178" t="n">
        <v>9185</v>
      </c>
      <c r="E5" s="178" t="n">
        <v>9185</v>
      </c>
      <c r="F5" s="1" t="inlineStr">
        <is>
          <t>matches</t>
        </is>
      </c>
      <c r="G5" s="1" t="inlineStr">
        <is>
          <t>fuel_sales_fiasa.csv</t>
        </is>
      </c>
    </row>
    <row r="6">
      <c r="A6" s="1" t="inlineStr">
        <is>
          <t>G5</t>
        </is>
      </c>
      <c r="B6" s="1" t="inlineStr">
        <is>
          <t>sales_petrol</t>
        </is>
      </c>
      <c r="C6" s="1" t="n">
        <v>2023</v>
      </c>
      <c r="D6" s="178" t="n">
        <v>9037</v>
      </c>
      <c r="E6" s="178" t="n">
        <v>9037</v>
      </c>
      <c r="F6" s="1" t="inlineStr">
        <is>
          <t>matches</t>
        </is>
      </c>
      <c r="G6" s="1" t="inlineStr">
        <is>
          <t>fuel_sales_fiasa.csv</t>
        </is>
      </c>
    </row>
    <row r="7">
      <c r="A7" s="1" t="inlineStr">
        <is>
          <t>H5</t>
        </is>
      </c>
      <c r="B7" s="1" t="inlineStr">
        <is>
          <t>sales_petrol</t>
        </is>
      </c>
      <c r="C7" s="1" t="n">
        <v>2024</v>
      </c>
      <c r="D7" s="178" t="n">
        <v>9029</v>
      </c>
      <c r="E7" s="178" t="n">
        <v>9029</v>
      </c>
      <c r="F7" s="1" t="inlineStr">
        <is>
          <t>matches</t>
        </is>
      </c>
      <c r="G7" s="1" t="inlineStr">
        <is>
          <t>fuel_sales_fiasa.csv</t>
        </is>
      </c>
    </row>
    <row r="8">
      <c r="A8" s="1" t="inlineStr">
        <is>
          <t>F6</t>
        </is>
      </c>
      <c r="B8" s="1" t="inlineStr">
        <is>
          <t>dept_petrol</t>
        </is>
      </c>
      <c r="C8" s="1" t="n">
        <v>2022</v>
      </c>
      <c r="D8" s="178" t="n">
        <v>9184.869915572999</v>
      </c>
      <c r="E8" s="178" t="n">
        <v>9184.869915572999</v>
      </c>
      <c r="F8" s="1" t="inlineStr">
        <is>
          <t>matches</t>
        </is>
      </c>
      <c r="G8" s="1" t="inlineStr">
        <is>
          <t>fuel_sales_department.csv</t>
        </is>
      </c>
    </row>
    <row r="9">
      <c r="A9" s="1" t="inlineStr">
        <is>
          <t>G6</t>
        </is>
      </c>
      <c r="B9" s="1" t="inlineStr">
        <is>
          <t>dept_petrol</t>
        </is>
      </c>
      <c r="C9" s="1" t="n">
        <v>2023</v>
      </c>
      <c r="D9" s="178" t="n">
        <v>9036.950113492001</v>
      </c>
      <c r="E9" s="178" t="n">
        <v>9036.950113492001</v>
      </c>
      <c r="F9" s="1" t="inlineStr">
        <is>
          <t>matches</t>
        </is>
      </c>
      <c r="G9" s="1" t="inlineStr">
        <is>
          <t>fuel_sales_department.csv</t>
        </is>
      </c>
    </row>
    <row r="10">
      <c r="A10" s="1" t="inlineStr">
        <is>
          <t>F7</t>
        </is>
      </c>
      <c r="B10" s="1" t="inlineStr">
        <is>
          <t>sales_diesel</t>
        </is>
      </c>
      <c r="C10" s="1" t="n">
        <v>2022</v>
      </c>
      <c r="D10" s="178" t="n">
        <v>12717</v>
      </c>
      <c r="E10" s="178" t="n">
        <v>12717</v>
      </c>
      <c r="F10" s="1" t="inlineStr">
        <is>
          <t>matches</t>
        </is>
      </c>
      <c r="G10" s="1" t="inlineStr">
        <is>
          <t>fuel_sales_fiasa.csv</t>
        </is>
      </c>
    </row>
    <row r="11">
      <c r="A11" s="1" t="inlineStr">
        <is>
          <t>G7</t>
        </is>
      </c>
      <c r="B11" s="1" t="inlineStr">
        <is>
          <t>sales_diesel</t>
        </is>
      </c>
      <c r="C11" s="1" t="n">
        <v>2023</v>
      </c>
      <c r="D11" s="178" t="n">
        <v>12907</v>
      </c>
      <c r="E11" s="178" t="n">
        <v>12907</v>
      </c>
      <c r="F11" s="1" t="inlineStr">
        <is>
          <t>matches</t>
        </is>
      </c>
      <c r="G11" s="1" t="inlineStr">
        <is>
          <t>fuel_sales_fiasa.csv</t>
        </is>
      </c>
    </row>
    <row r="12">
      <c r="A12" s="1" t="inlineStr">
        <is>
          <t>H7</t>
        </is>
      </c>
      <c r="B12" s="1" t="inlineStr">
        <is>
          <t>sales_diesel</t>
        </is>
      </c>
      <c r="C12" s="1" t="n">
        <v>2024</v>
      </c>
      <c r="D12" s="178" t="n">
        <v>11734</v>
      </c>
      <c r="E12" s="178" t="n">
        <v>11734</v>
      </c>
      <c r="F12" s="1" t="inlineStr">
        <is>
          <t>matches</t>
        </is>
      </c>
      <c r="G12" s="1" t="inlineStr">
        <is>
          <t>fuel_sales_fiasa.csv</t>
        </is>
      </c>
    </row>
    <row r="13">
      <c r="A13" s="1" t="inlineStr">
        <is>
          <t>F8</t>
        </is>
      </c>
      <c r="B13" s="1" t="inlineStr">
        <is>
          <t>dept_diesel</t>
        </is>
      </c>
      <c r="C13" s="1" t="n">
        <v>2022</v>
      </c>
      <c r="D13" s="178" t="n">
        <v>12717.326319019</v>
      </c>
      <c r="E13" s="178" t="n">
        <v>12717.326319019</v>
      </c>
      <c r="F13" s="1" t="inlineStr">
        <is>
          <t>matches</t>
        </is>
      </c>
      <c r="G13" s="1" t="inlineStr">
        <is>
          <t>fuel_sales_department.csv</t>
        </is>
      </c>
    </row>
    <row r="14">
      <c r="A14" s="1" t="inlineStr">
        <is>
          <t>G8</t>
        </is>
      </c>
      <c r="B14" s="1" t="inlineStr">
        <is>
          <t>dept_diesel</t>
        </is>
      </c>
      <c r="C14" s="1" t="n">
        <v>2023</v>
      </c>
      <c r="D14" s="178" t="n">
        <v>12907.499965808</v>
      </c>
      <c r="E14" s="178" t="n">
        <v>12907.499965808</v>
      </c>
      <c r="F14" s="1" t="inlineStr">
        <is>
          <t>matches</t>
        </is>
      </c>
      <c r="G14" s="1" t="inlineStr">
        <is>
          <t>fuel_sales_department.csv</t>
        </is>
      </c>
    </row>
    <row r="15">
      <c r="A15" s="1" t="inlineStr">
        <is>
          <t>F9</t>
        </is>
      </c>
      <c r="B15" s="1" t="inlineStr">
        <is>
          <t>sales_jet</t>
        </is>
      </c>
      <c r="C15" s="1" t="n">
        <v>2022</v>
      </c>
      <c r="D15" s="178" t="n">
        <v>1478</v>
      </c>
      <c r="E15" s="178" t="n">
        <v>1478</v>
      </c>
      <c r="F15" s="1" t="inlineStr">
        <is>
          <t>matches</t>
        </is>
      </c>
      <c r="G15" s="1" t="inlineStr">
        <is>
          <t>fuel_sales_fiasa.csv</t>
        </is>
      </c>
    </row>
    <row r="16">
      <c r="A16" s="1" t="inlineStr">
        <is>
          <t>G9</t>
        </is>
      </c>
      <c r="B16" s="1" t="inlineStr">
        <is>
          <t>sales_jet</t>
        </is>
      </c>
      <c r="C16" s="1" t="n">
        <v>2023</v>
      </c>
      <c r="D16" s="178" t="n">
        <v>1844</v>
      </c>
      <c r="E16" s="178" t="n">
        <v>1844</v>
      </c>
      <c r="F16" s="1" t="inlineStr">
        <is>
          <t>matches</t>
        </is>
      </c>
      <c r="G16" s="1" t="inlineStr">
        <is>
          <t>fuel_sales_fiasa.csv</t>
        </is>
      </c>
    </row>
    <row r="17">
      <c r="A17" s="1" t="inlineStr">
        <is>
          <t>H9</t>
        </is>
      </c>
      <c r="B17" s="1" t="inlineStr">
        <is>
          <t>sales_jet</t>
        </is>
      </c>
      <c r="C17" s="1" t="n">
        <v>2024</v>
      </c>
      <c r="D17" s="178" t="n">
        <v>1955</v>
      </c>
      <c r="E17" s="178" t="n">
        <v>1955</v>
      </c>
      <c r="F17" s="1" t="inlineStr">
        <is>
          <t>matches</t>
        </is>
      </c>
      <c r="G17" s="1" t="inlineStr">
        <is>
          <t>fuel_sales_fiasa.csv</t>
        </is>
      </c>
    </row>
    <row r="18">
      <c r="A18" s="1" t="inlineStr">
        <is>
          <t>F10</t>
        </is>
      </c>
      <c r="B18" s="1" t="inlineStr">
        <is>
          <t>dept_jet</t>
        </is>
      </c>
      <c r="C18" s="1" t="n">
        <v>2022</v>
      </c>
      <c r="D18" s="178" t="n">
        <v>1478.149852603</v>
      </c>
      <c r="E18" s="178" t="n">
        <v>1478.149852603</v>
      </c>
      <c r="F18" s="1" t="inlineStr">
        <is>
          <t>matches</t>
        </is>
      </c>
      <c r="G18" s="1" t="inlineStr">
        <is>
          <t>fuel_sales_department.csv</t>
        </is>
      </c>
    </row>
    <row r="19">
      <c r="A19" s="1" t="inlineStr">
        <is>
          <t>G10</t>
        </is>
      </c>
      <c r="B19" s="1" t="inlineStr">
        <is>
          <t>dept_jet</t>
        </is>
      </c>
      <c r="C19" s="1" t="n">
        <v>2023</v>
      </c>
      <c r="D19" s="178" t="n">
        <v>1843.971762465</v>
      </c>
      <c r="E19" s="178" t="n">
        <v>1843.971762465</v>
      </c>
      <c r="F19" s="1" t="inlineStr">
        <is>
          <t>matches</t>
        </is>
      </c>
      <c r="G19" s="1" t="inlineStr">
        <is>
          <t>fuel_sales_department.csv</t>
        </is>
      </c>
    </row>
    <row r="20">
      <c r="A20" s="1" t="inlineStr">
        <is>
          <t>F11</t>
        </is>
      </c>
      <c r="B20" s="1" t="inlineStr">
        <is>
          <t>sales_fuel_oil</t>
        </is>
      </c>
      <c r="C20" s="1" t="n">
        <v>2022</v>
      </c>
      <c r="D20" s="178" t="n">
        <v>594</v>
      </c>
      <c r="E20" s="178" t="n">
        <v>594</v>
      </c>
      <c r="F20" s="1" t="inlineStr">
        <is>
          <t>matches</t>
        </is>
      </c>
      <c r="G20" s="1" t="inlineStr">
        <is>
          <t>fuel_sales_fiasa.csv</t>
        </is>
      </c>
    </row>
    <row r="21">
      <c r="A21" s="1" t="inlineStr">
        <is>
          <t>G11</t>
        </is>
      </c>
      <c r="B21" s="1" t="inlineStr">
        <is>
          <t>sales_fuel_oil</t>
        </is>
      </c>
      <c r="C21" s="1" t="n">
        <v>2023</v>
      </c>
      <c r="D21" s="178" t="n">
        <v>658</v>
      </c>
      <c r="E21" s="178" t="n">
        <v>658</v>
      </c>
      <c r="F21" s="1" t="inlineStr">
        <is>
          <t>matches</t>
        </is>
      </c>
      <c r="G21" s="1" t="inlineStr">
        <is>
          <t>fuel_sales_fiasa.csv</t>
        </is>
      </c>
    </row>
    <row r="22">
      <c r="A22" s="1" t="inlineStr">
        <is>
          <t>H11</t>
        </is>
      </c>
      <c r="B22" s="1" t="inlineStr">
        <is>
          <t>sales_fuel_oil</t>
        </is>
      </c>
      <c r="C22" s="1" t="n">
        <v>2024</v>
      </c>
      <c r="D22" s="178" t="n">
        <v>441</v>
      </c>
      <c r="E22" s="178" t="n">
        <v>441</v>
      </c>
      <c r="F22" s="1" t="inlineStr">
        <is>
          <t>matches</t>
        </is>
      </c>
      <c r="G22" s="1" t="inlineStr">
        <is>
          <t>fuel_sales_fiasa.csv</t>
        </is>
      </c>
    </row>
    <row r="23">
      <c r="A23" s="1" t="inlineStr">
        <is>
          <t>F12</t>
        </is>
      </c>
      <c r="B23" s="1" t="inlineStr">
        <is>
          <t>dept_fuel_oil</t>
        </is>
      </c>
      <c r="C23" s="1" t="n">
        <v>2022</v>
      </c>
      <c r="D23" s="178" t="n">
        <v>594.0401649620001</v>
      </c>
      <c r="E23" s="178" t="n">
        <v>594.0401649620001</v>
      </c>
      <c r="F23" s="1" t="inlineStr">
        <is>
          <t>matches</t>
        </is>
      </c>
      <c r="G23" s="1" t="inlineStr">
        <is>
          <t>fuel_sales_department.csv</t>
        </is>
      </c>
    </row>
    <row r="24">
      <c r="A24" s="1" t="inlineStr">
        <is>
          <t>G12</t>
        </is>
      </c>
      <c r="B24" s="1" t="inlineStr">
        <is>
          <t>dept_fuel_oil</t>
        </is>
      </c>
      <c r="C24" s="1" t="n">
        <v>2023</v>
      </c>
      <c r="D24" s="178" t="n">
        <v>658.0930416160001</v>
      </c>
      <c r="E24" s="178" t="n">
        <v>658.0930416160001</v>
      </c>
      <c r="F24" s="1" t="inlineStr">
        <is>
          <t>matches</t>
        </is>
      </c>
      <c r="G24" s="1" t="inlineStr">
        <is>
          <t>fuel_sales_department.csv</t>
        </is>
      </c>
    </row>
    <row r="25">
      <c r="A25" s="1" t="inlineStr">
        <is>
          <t>F25</t>
        </is>
      </c>
      <c r="B25" s="1" t="inlineStr">
        <is>
          <t>macro_gdp_per_capita</t>
        </is>
      </c>
      <c r="C25" s="1" t="n">
        <v>2022</v>
      </c>
      <c r="D25" s="178" t="n">
        <v>76055.06748983047</v>
      </c>
      <c r="E25" s="178" t="n">
        <v>76055.06748983047</v>
      </c>
      <c r="F25" s="1" t="inlineStr">
        <is>
          <t>matches</t>
        </is>
      </c>
      <c r="G25" s="1" t="inlineStr">
        <is>
          <t>macro_statssa.csv</t>
        </is>
      </c>
    </row>
    <row r="26">
      <c r="A26" s="1" t="inlineStr">
        <is>
          <t>G25</t>
        </is>
      </c>
      <c r="B26" s="1" t="inlineStr">
        <is>
          <t>macro_gdp_per_capita</t>
        </is>
      </c>
      <c r="C26" s="1" t="n">
        <v>2023</v>
      </c>
      <c r="D26" s="178" t="n">
        <v>75781.52071231291</v>
      </c>
      <c r="E26" s="178" t="n">
        <v>75781.52071231291</v>
      </c>
      <c r="F26" s="1" t="inlineStr">
        <is>
          <t>matches</t>
        </is>
      </c>
      <c r="G26" s="1" t="inlineStr">
        <is>
          <t>macro_statssa.csv</t>
        </is>
      </c>
    </row>
    <row r="27">
      <c r="A27" s="1" t="inlineStr">
        <is>
          <t>H25</t>
        </is>
      </c>
      <c r="B27" s="1" t="inlineStr">
        <is>
          <t>macro_gdp_per_capita</t>
        </is>
      </c>
      <c r="C27" s="1" t="n">
        <v>2024</v>
      </c>
      <c r="D27" s="178" t="n">
        <v>75255.62912098455</v>
      </c>
      <c r="E27" s="178" t="n">
        <v>75255.62912098455</v>
      </c>
      <c r="F27" s="1" t="inlineStr">
        <is>
          <t>matches</t>
        </is>
      </c>
      <c r="G27" s="1" t="inlineStr">
        <is>
          <t>macro_statssa.csv</t>
        </is>
      </c>
    </row>
    <row r="28">
      <c r="A28" s="1" t="inlineStr">
        <is>
          <t>I25</t>
        </is>
      </c>
      <c r="B28" s="1" t="inlineStr">
        <is>
          <t>macro_gdp_per_capita</t>
        </is>
      </c>
      <c r="C28" s="1" t="n">
        <v>2025</v>
      </c>
      <c r="D28" s="178" t="n">
        <v>75149.98563223911</v>
      </c>
      <c r="E28" s="178" t="n">
        <v>75149.98563223911</v>
      </c>
      <c r="F28" s="1" t="inlineStr">
        <is>
          <t>matches</t>
        </is>
      </c>
      <c r="G28" s="1" t="inlineStr">
        <is>
          <t>macro_statssa.csv</t>
        </is>
      </c>
    </row>
    <row r="29">
      <c r="A29" s="1" t="inlineStr">
        <is>
          <t>F26</t>
        </is>
      </c>
      <c r="B29" s="1" t="inlineStr">
        <is>
          <t>macro_agriculture_forestry_and_fishing</t>
        </is>
      </c>
      <c r="C29" s="1" t="n">
        <v>2022</v>
      </c>
      <c r="D29" s="178" t="n">
        <v>131.7706421450265</v>
      </c>
      <c r="E29" s="178" t="n">
        <v>131.7706421450265</v>
      </c>
      <c r="F29" s="1" t="inlineStr">
        <is>
          <t>matches</t>
        </is>
      </c>
      <c r="G29" s="1" t="inlineStr">
        <is>
          <t>macro_statssa.csv</t>
        </is>
      </c>
    </row>
    <row r="30">
      <c r="A30" s="1" t="inlineStr">
        <is>
          <t>G26</t>
        </is>
      </c>
      <c r="B30" s="1" t="inlineStr">
        <is>
          <t>macro_agriculture_forestry_and_fishing</t>
        </is>
      </c>
      <c r="C30" s="1" t="n">
        <v>2023</v>
      </c>
      <c r="D30" s="178" t="n">
        <v>125.7466421450265</v>
      </c>
      <c r="E30" s="178" t="n">
        <v>125.7466421450265</v>
      </c>
      <c r="F30" s="1" t="inlineStr">
        <is>
          <t>matches</t>
        </is>
      </c>
      <c r="G30" s="1" t="inlineStr">
        <is>
          <t>macro_statssa.csv</t>
        </is>
      </c>
    </row>
    <row r="31">
      <c r="A31" s="1" t="inlineStr">
        <is>
          <t>H26</t>
        </is>
      </c>
      <c r="B31" s="1" t="inlineStr">
        <is>
          <t>macro_agriculture_forestry_and_fishing</t>
        </is>
      </c>
      <c r="C31" s="1" t="n">
        <v>2024</v>
      </c>
      <c r="D31" s="178" t="n">
        <v>114.7916421450265</v>
      </c>
      <c r="E31" s="178" t="n">
        <v>114.7916421450265</v>
      </c>
      <c r="F31" s="1" t="inlineStr">
        <is>
          <t>matches</t>
        </is>
      </c>
      <c r="G31" s="1" t="inlineStr">
        <is>
          <t>macro_statssa.csv</t>
        </is>
      </c>
    </row>
    <row r="32">
      <c r="A32" s="1" t="inlineStr">
        <is>
          <t>I26</t>
        </is>
      </c>
      <c r="B32" s="1" t="inlineStr">
        <is>
          <t>macro_agriculture_forestry_and_fishing</t>
        </is>
      </c>
      <c r="C32" s="1" t="n">
        <v>2025</v>
      </c>
      <c r="D32" s="178" t="n">
        <v>134.7967469817132</v>
      </c>
      <c r="E32" s="178" t="n">
        <v>134.7967469817132</v>
      </c>
      <c r="F32" s="1" t="inlineStr">
        <is>
          <t>matches</t>
        </is>
      </c>
      <c r="G32" s="1" t="inlineStr">
        <is>
          <t>macro_statssa.csv</t>
        </is>
      </c>
    </row>
    <row r="33">
      <c r="A33" s="1" t="inlineStr">
        <is>
          <t>F27</t>
        </is>
      </c>
      <c r="B33" s="1" t="inlineStr">
        <is>
          <t>macro_manufacturing</t>
        </is>
      </c>
      <c r="C33" s="1" t="n">
        <v>2022</v>
      </c>
      <c r="D33" s="178" t="n">
        <v>523.0907540648606</v>
      </c>
      <c r="E33" s="178" t="n">
        <v>523.0907540648606</v>
      </c>
      <c r="F33" s="1" t="inlineStr">
        <is>
          <t>matches</t>
        </is>
      </c>
      <c r="G33" s="1" t="inlineStr">
        <is>
          <t>macro_statssa.csv</t>
        </is>
      </c>
    </row>
    <row r="34">
      <c r="A34" s="1" t="inlineStr">
        <is>
          <t>G27</t>
        </is>
      </c>
      <c r="B34" s="1" t="inlineStr">
        <is>
          <t>macro_manufacturing</t>
        </is>
      </c>
      <c r="C34" s="1" t="n">
        <v>2023</v>
      </c>
      <c r="D34" s="178" t="n">
        <v>524.9937540648609</v>
      </c>
      <c r="E34" s="178" t="n">
        <v>524.9937540648609</v>
      </c>
      <c r="F34" s="1" t="inlineStr">
        <is>
          <t>matches</t>
        </is>
      </c>
      <c r="G34" s="1" t="inlineStr">
        <is>
          <t>macro_statssa.csv</t>
        </is>
      </c>
    </row>
    <row r="35">
      <c r="A35" s="1" t="inlineStr">
        <is>
          <t>H27</t>
        </is>
      </c>
      <c r="B35" s="1" t="inlineStr">
        <is>
          <t>macro_manufacturing</t>
        </is>
      </c>
      <c r="C35" s="1" t="n">
        <v>2024</v>
      </c>
      <c r="D35" s="178" t="n">
        <v>523.150754064861</v>
      </c>
      <c r="E35" s="178" t="n">
        <v>523.150754064861</v>
      </c>
      <c r="F35" s="1" t="inlineStr">
        <is>
          <t>matches</t>
        </is>
      </c>
      <c r="G35" s="1" t="inlineStr">
        <is>
          <t>macro_statssa.csv</t>
        </is>
      </c>
    </row>
    <row r="36">
      <c r="A36" s="1" t="inlineStr">
        <is>
          <t>I27</t>
        </is>
      </c>
      <c r="B36" s="1" t="inlineStr">
        <is>
          <t>macro_manufacturing</t>
        </is>
      </c>
      <c r="C36" s="1" t="n">
        <v>2025</v>
      </c>
      <c r="D36" s="178" t="n">
        <v>516.9856529750193</v>
      </c>
      <c r="E36" s="178" t="n">
        <v>516.9856529750193</v>
      </c>
      <c r="F36" s="1" t="inlineStr">
        <is>
          <t>matches</t>
        </is>
      </c>
      <c r="G36" s="1" t="inlineStr">
        <is>
          <t>macro_statssa.csv</t>
        </is>
      </c>
    </row>
    <row r="37">
      <c r="A37" s="1" t="inlineStr">
        <is>
          <t>F28</t>
        </is>
      </c>
      <c r="B37" s="1" t="inlineStr">
        <is>
          <t>macro_mining_and_quarrying</t>
        </is>
      </c>
      <c r="C37" s="1" t="n">
        <v>2022</v>
      </c>
      <c r="D37" s="178" t="n">
        <v>204.4529227196744</v>
      </c>
      <c r="E37" s="178" t="n">
        <v>204.4529227196744</v>
      </c>
      <c r="F37" s="1" t="inlineStr">
        <is>
          <t>matches</t>
        </is>
      </c>
      <c r="G37" s="1" t="inlineStr">
        <is>
          <t>macro_statssa.csv</t>
        </is>
      </c>
    </row>
    <row r="38">
      <c r="A38" s="1" t="inlineStr">
        <is>
          <t>G28</t>
        </is>
      </c>
      <c r="B38" s="1" t="inlineStr">
        <is>
          <t>macro_mining_and_quarrying</t>
        </is>
      </c>
      <c r="C38" s="1" t="n">
        <v>2023</v>
      </c>
      <c r="D38" s="178" t="n">
        <v>204.2286999662737</v>
      </c>
      <c r="E38" s="178" t="n">
        <v>204.2286999662738</v>
      </c>
      <c r="F38" s="1" t="inlineStr">
        <is>
          <t>matches</t>
        </is>
      </c>
      <c r="G38" s="1" t="inlineStr">
        <is>
          <t>macro_statssa.csv</t>
        </is>
      </c>
    </row>
    <row r="39">
      <c r="A39" s="1" t="inlineStr">
        <is>
          <t>H28</t>
        </is>
      </c>
      <c r="B39" s="1" t="inlineStr">
        <is>
          <t>macro_mining_and_quarrying</t>
        </is>
      </c>
      <c r="C39" s="1" t="n">
        <v>2024</v>
      </c>
      <c r="D39" s="178" t="n">
        <v>205.1258295918731</v>
      </c>
      <c r="E39" s="178" t="n">
        <v>205.1258295918731</v>
      </c>
      <c r="F39" s="1" t="inlineStr">
        <is>
          <t>matches</t>
        </is>
      </c>
      <c r="G39" s="1" t="inlineStr">
        <is>
          <t>macro_statssa.csv</t>
        </is>
      </c>
    </row>
    <row r="40">
      <c r="A40" s="1" t="inlineStr">
        <is>
          <t>I28</t>
        </is>
      </c>
      <c r="B40" s="1" t="inlineStr">
        <is>
          <t>macro_mining_and_quarrying</t>
        </is>
      </c>
      <c r="C40" s="1" t="n">
        <v>2025</v>
      </c>
      <c r="D40" s="178" t="n">
        <v>205.4648860142573</v>
      </c>
      <c r="E40" s="178" t="n">
        <v>205.4648860142574</v>
      </c>
      <c r="F40" s="1" t="inlineStr">
        <is>
          <t>matches</t>
        </is>
      </c>
      <c r="G40" s="1" t="inlineStr">
        <is>
          <t>macro_statssa.csv</t>
        </is>
      </c>
    </row>
    <row r="41">
      <c r="A41" s="1" t="inlineStr">
        <is>
          <t>F29</t>
        </is>
      </c>
      <c r="B41" s="1" t="inlineStr">
        <is>
          <t>macro_construction</t>
        </is>
      </c>
      <c r="C41" s="1" t="n">
        <v>2022</v>
      </c>
      <c r="D41" s="178" t="n">
        <v>110.0650907489087</v>
      </c>
      <c r="E41" s="178" t="n">
        <v>110.0650907489087</v>
      </c>
      <c r="F41" s="1" t="inlineStr">
        <is>
          <t>matches</t>
        </is>
      </c>
      <c r="G41" s="1" t="inlineStr">
        <is>
          <t>macro_statssa.csv</t>
        </is>
      </c>
    </row>
    <row r="42">
      <c r="A42" s="1" t="inlineStr">
        <is>
          <t>G29</t>
        </is>
      </c>
      <c r="B42" s="1" t="inlineStr">
        <is>
          <t>macro_construction</t>
        </is>
      </c>
      <c r="C42" s="1" t="n">
        <v>2023</v>
      </c>
      <c r="D42" s="178" t="n">
        <v>109.5650907489087</v>
      </c>
      <c r="E42" s="178" t="n">
        <v>109.5650907489087</v>
      </c>
      <c r="F42" s="1" t="inlineStr">
        <is>
          <t>matches</t>
        </is>
      </c>
      <c r="G42" s="1" t="inlineStr">
        <is>
          <t>macro_statssa.csv</t>
        </is>
      </c>
    </row>
    <row r="43">
      <c r="A43" s="1" t="inlineStr">
        <is>
          <t>H29</t>
        </is>
      </c>
      <c r="B43" s="1" t="inlineStr">
        <is>
          <t>macro_construction</t>
        </is>
      </c>
      <c r="C43" s="1" t="n">
        <v>2024</v>
      </c>
      <c r="D43" s="178" t="n">
        <v>103.6250907489087</v>
      </c>
      <c r="E43" s="178" t="n">
        <v>103.6250907489087</v>
      </c>
      <c r="F43" s="1" t="inlineStr">
        <is>
          <t>matches</t>
        </is>
      </c>
      <c r="G43" s="1" t="inlineStr">
        <is>
          <t>macro_statssa.csv</t>
        </is>
      </c>
    </row>
    <row r="44">
      <c r="A44" s="1" t="inlineStr">
        <is>
          <t>I29</t>
        </is>
      </c>
      <c r="B44" s="1" t="inlineStr">
        <is>
          <t>macro_construction</t>
        </is>
      </c>
      <c r="C44" s="1" t="n">
        <v>2025</v>
      </c>
      <c r="D44" s="178" t="n">
        <v>99.09852067977131</v>
      </c>
      <c r="E44" s="178" t="n">
        <v>99.09852067977131</v>
      </c>
      <c r="F44" s="1" t="inlineStr">
        <is>
          <t>matches</t>
        </is>
      </c>
      <c r="G44" s="1" t="inlineStr">
        <is>
          <t>macro_statssa.csv</t>
        </is>
      </c>
    </row>
    <row r="45">
      <c r="A45" s="1" t="inlineStr">
        <is>
          <t>F30</t>
        </is>
      </c>
      <c r="B45" s="1" t="inlineStr">
        <is>
          <t>manufacturing_volume_total</t>
        </is>
      </c>
      <c r="C45" s="1" t="n">
        <v>2022</v>
      </c>
      <c r="D45" s="178" t="n">
        <v>93.14166666666667</v>
      </c>
      <c r="E45" s="178" t="n">
        <v>93.14166666666667</v>
      </c>
      <c r="F45" s="1" t="inlineStr">
        <is>
          <t>matches</t>
        </is>
      </c>
      <c r="G45" s="1" t="inlineStr">
        <is>
          <t>activity_statssa_monthly.csv</t>
        </is>
      </c>
    </row>
    <row r="46">
      <c r="A46" s="1" t="inlineStr">
        <is>
          <t>G30</t>
        </is>
      </c>
      <c r="B46" s="1" t="inlineStr">
        <is>
          <t>manufacturing_volume_total</t>
        </is>
      </c>
      <c r="C46" s="1" t="n">
        <v>2023</v>
      </c>
      <c r="D46" s="178" t="n">
        <v>93.71666666666665</v>
      </c>
      <c r="E46" s="178" t="n">
        <v>93.71666666666665</v>
      </c>
      <c r="F46" s="1" t="inlineStr">
        <is>
          <t>matches</t>
        </is>
      </c>
      <c r="G46" s="1" t="inlineStr">
        <is>
          <t>activity_statssa_monthly.csv</t>
        </is>
      </c>
    </row>
    <row r="47">
      <c r="A47" s="1" t="inlineStr">
        <is>
          <t>H30</t>
        </is>
      </c>
      <c r="B47" s="1" t="inlineStr">
        <is>
          <t>manufacturing_volume_total</t>
        </is>
      </c>
      <c r="C47" s="1" t="n">
        <v>2024</v>
      </c>
      <c r="D47" s="178" t="n">
        <v>93.33333333333333</v>
      </c>
      <c r="E47" s="178" t="n">
        <v>93.33333333333333</v>
      </c>
      <c r="F47" s="1" t="inlineStr">
        <is>
          <t>matches</t>
        </is>
      </c>
      <c r="G47" s="1" t="inlineStr">
        <is>
          <t>activity_statssa_monthly.csv</t>
        </is>
      </c>
    </row>
    <row r="48">
      <c r="A48" s="1" t="inlineStr">
        <is>
          <t>I30</t>
        </is>
      </c>
      <c r="B48" s="1" t="inlineStr">
        <is>
          <t>manufacturing_volume_total</t>
        </is>
      </c>
      <c r="C48" s="1" t="n">
        <v>2025</v>
      </c>
      <c r="D48" s="178" t="n">
        <v>92.14166666666665</v>
      </c>
      <c r="E48" s="178" t="n">
        <v>92.14166666666667</v>
      </c>
      <c r="F48" s="1" t="inlineStr">
        <is>
          <t>matches</t>
        </is>
      </c>
      <c r="G48" s="1" t="inlineStr">
        <is>
          <t>activity_statssa_monthly.csv</t>
        </is>
      </c>
    </row>
    <row r="49">
      <c r="A49" s="1" t="inlineStr">
        <is>
          <t>F31</t>
        </is>
      </c>
      <c r="B49" s="1" t="inlineStr">
        <is>
          <t>mining_volume_total</t>
        </is>
      </c>
      <c r="C49" s="1" t="n">
        <v>2022</v>
      </c>
      <c r="D49" s="178" t="n">
        <v>93.00833333333334</v>
      </c>
      <c r="E49" s="178" t="n">
        <v>93.00833333333333</v>
      </c>
      <c r="F49" s="1" t="inlineStr">
        <is>
          <t>matches</t>
        </is>
      </c>
      <c r="G49" s="1" t="inlineStr">
        <is>
          <t>activity_statssa_monthly.csv</t>
        </is>
      </c>
    </row>
    <row r="50">
      <c r="A50" s="1" t="inlineStr">
        <is>
          <t>G31</t>
        </is>
      </c>
      <c r="B50" s="1" t="inlineStr">
        <is>
          <t>mining_volume_total</t>
        </is>
      </c>
      <c r="C50" s="1" t="n">
        <v>2023</v>
      </c>
      <c r="D50" s="178" t="n">
        <v>93.01666666666667</v>
      </c>
      <c r="E50" s="178" t="n">
        <v>93.01666666666667</v>
      </c>
      <c r="F50" s="1" t="inlineStr">
        <is>
          <t>matches</t>
        </is>
      </c>
      <c r="G50" s="1" t="inlineStr">
        <is>
          <t>activity_statssa_monthly.csv</t>
        </is>
      </c>
    </row>
    <row r="51">
      <c r="A51" s="1" t="inlineStr">
        <is>
          <t>H31</t>
        </is>
      </c>
      <c r="B51" s="1" t="inlineStr">
        <is>
          <t>mining_volume_total</t>
        </is>
      </c>
      <c r="C51" s="1" t="n">
        <v>2024</v>
      </c>
      <c r="D51" s="178" t="n">
        <v>93.53333333333332</v>
      </c>
      <c r="E51" s="178" t="n">
        <v>93.53333333333335</v>
      </c>
      <c r="F51" s="1" t="inlineStr">
        <is>
          <t>matches</t>
        </is>
      </c>
      <c r="G51" s="1" t="inlineStr">
        <is>
          <t>activity_statssa_monthly.csv</t>
        </is>
      </c>
    </row>
    <row r="52">
      <c r="A52" s="1" t="inlineStr">
        <is>
          <t>I31</t>
        </is>
      </c>
      <c r="B52" s="1" t="inlineStr">
        <is>
          <t>mining_volume_total</t>
        </is>
      </c>
      <c r="C52" s="1" t="n">
        <v>2025</v>
      </c>
      <c r="D52" s="178" t="n">
        <v>93.70833333333333</v>
      </c>
      <c r="E52" s="178" t="n">
        <v>93.70833333333333</v>
      </c>
      <c r="F52" s="1" t="inlineStr">
        <is>
          <t>matches</t>
        </is>
      </c>
      <c r="G52" s="1" t="inlineStr">
        <is>
          <t>activity_statssa_monthly.csv</t>
        </is>
      </c>
    </row>
    <row r="53">
      <c r="A53" s="1" t="inlineStr">
        <is>
          <t>F43</t>
        </is>
      </c>
      <c r="B53" s="1" t="inlineStr">
        <is>
          <t>Provincial: EC petrol / million L/year</t>
        </is>
      </c>
      <c r="C53" s="1" t="n">
        <v>2022</v>
      </c>
      <c r="D53" s="178" t="n">
        <v>703.1324447169991</v>
      </c>
      <c r="E53" s="178" t="n">
        <v>703.132444716999</v>
      </c>
      <c r="F53" s="1" t="inlineStr">
        <is>
          <t>matches</t>
        </is>
      </c>
      <c r="G53" s="1" t="inlineStr">
        <is>
          <t>fuel_sales_department_by_province.csv</t>
        </is>
      </c>
    </row>
    <row r="54">
      <c r="A54" s="1" t="inlineStr">
        <is>
          <t>F44</t>
        </is>
      </c>
      <c r="B54" s="1" t="inlineStr">
        <is>
          <t>Provincial: FS petrol / million L/year</t>
        </is>
      </c>
      <c r="C54" s="1" t="n">
        <v>2022</v>
      </c>
      <c r="D54" s="178" t="n">
        <v>587.4580081820001</v>
      </c>
      <c r="E54" s="178" t="n">
        <v>587.4580081820001</v>
      </c>
      <c r="F54" s="1" t="inlineStr">
        <is>
          <t>matches</t>
        </is>
      </c>
      <c r="G54" s="1" t="inlineStr">
        <is>
          <t>fuel_sales_department_by_province.csv</t>
        </is>
      </c>
    </row>
    <row r="55">
      <c r="A55" s="1" t="inlineStr">
        <is>
          <t>F45</t>
        </is>
      </c>
      <c r="B55" s="1" t="inlineStr">
        <is>
          <t>Provincial: GP petrol / million L/year</t>
        </is>
      </c>
      <c r="C55" s="1" t="n">
        <v>2022</v>
      </c>
      <c r="D55" s="178" t="n">
        <v>3530.440256933996</v>
      </c>
      <c r="E55" s="178" t="n">
        <v>3530.440256933996</v>
      </c>
      <c r="F55" s="1" t="inlineStr">
        <is>
          <t>matches</t>
        </is>
      </c>
      <c r="G55" s="1" t="inlineStr">
        <is>
          <t>fuel_sales_department_by_province.csv</t>
        </is>
      </c>
    </row>
    <row r="56">
      <c r="A56" s="1" t="inlineStr">
        <is>
          <t>F46</t>
        </is>
      </c>
      <c r="B56" s="1" t="inlineStr">
        <is>
          <t>Provincial: KZN petrol / million L/year</t>
        </is>
      </c>
      <c r="C56" s="1" t="n">
        <v>2022</v>
      </c>
      <c r="D56" s="178" t="n">
        <v>1498.937893394999</v>
      </c>
      <c r="E56" s="178" t="n">
        <v>1498.937893394999</v>
      </c>
      <c r="F56" s="1" t="inlineStr">
        <is>
          <t>matches</t>
        </is>
      </c>
      <c r="G56" s="1" t="inlineStr">
        <is>
          <t>fuel_sales_department_by_province.csv</t>
        </is>
      </c>
    </row>
    <row r="57">
      <c r="A57" s="1" t="inlineStr">
        <is>
          <t>F47</t>
        </is>
      </c>
      <c r="B57" s="1" t="inlineStr">
        <is>
          <t>Provincial: LP petrol / million L/year</t>
        </is>
      </c>
      <c r="C57" s="1" t="n">
        <v>2022</v>
      </c>
      <c r="D57" s="178" t="n">
        <v>273.644045045999</v>
      </c>
      <c r="E57" s="178" t="n">
        <v>273.644045045999</v>
      </c>
      <c r="F57" s="1" t="inlineStr">
        <is>
          <t>matches</t>
        </is>
      </c>
      <c r="G57" s="1" t="inlineStr">
        <is>
          <t>fuel_sales_department_by_province.csv</t>
        </is>
      </c>
    </row>
    <row r="58">
      <c r="A58" s="1" t="inlineStr">
        <is>
          <t>F48</t>
        </is>
      </c>
      <c r="B58" s="1" t="inlineStr">
        <is>
          <t>Provincial: MP petrol / million L/year</t>
        </is>
      </c>
      <c r="C58" s="1" t="n">
        <v>2022</v>
      </c>
      <c r="D58" s="178" t="n">
        <v>612.2656460789989</v>
      </c>
      <c r="E58" s="178" t="n">
        <v>612.2656460789989</v>
      </c>
      <c r="F58" s="1" t="inlineStr">
        <is>
          <t>matches</t>
        </is>
      </c>
      <c r="G58" s="1" t="inlineStr">
        <is>
          <t>fuel_sales_department_by_province.csv</t>
        </is>
      </c>
    </row>
    <row r="59">
      <c r="A59" s="1" t="inlineStr">
        <is>
          <t>F49</t>
        </is>
      </c>
      <c r="B59" s="1" t="inlineStr">
        <is>
          <t>Provincial: NC petrol / million L/year</t>
        </is>
      </c>
      <c r="C59" s="1" t="n">
        <v>2022</v>
      </c>
      <c r="D59" s="178" t="n">
        <v>99.82992901300001</v>
      </c>
      <c r="E59" s="178" t="n">
        <v>99.829929013</v>
      </c>
      <c r="F59" s="1" t="inlineStr">
        <is>
          <t>matches</t>
        </is>
      </c>
      <c r="G59" s="1" t="inlineStr">
        <is>
          <t>fuel_sales_department_by_province.csv</t>
        </is>
      </c>
    </row>
    <row r="60">
      <c r="A60" s="1" t="inlineStr">
        <is>
          <t>F50</t>
        </is>
      </c>
      <c r="B60" s="1" t="inlineStr">
        <is>
          <t>Provincial: NW petrol / million L/year</t>
        </is>
      </c>
      <c r="C60" s="1" t="n">
        <v>2022</v>
      </c>
      <c r="D60" s="178" t="n">
        <v>448.1562321239999</v>
      </c>
      <c r="E60" s="178" t="n">
        <v>448.1562321239999</v>
      </c>
      <c r="F60" s="1" t="inlineStr">
        <is>
          <t>matches</t>
        </is>
      </c>
      <c r="G60" s="1" t="inlineStr">
        <is>
          <t>fuel_sales_department_by_province.csv</t>
        </is>
      </c>
    </row>
    <row r="61">
      <c r="A61" s="1" t="inlineStr">
        <is>
          <t>F51</t>
        </is>
      </c>
      <c r="B61" s="1" t="inlineStr">
        <is>
          <t>Provincial: WC petrol / million L/year</t>
        </is>
      </c>
      <c r="C61" s="1" t="n">
        <v>2022</v>
      </c>
      <c r="D61" s="178" t="n">
        <v>1431.005460082997</v>
      </c>
      <c r="E61" s="178" t="n">
        <v>1431.005460082997</v>
      </c>
      <c r="F61" s="1" t="inlineStr">
        <is>
          <t>matches</t>
        </is>
      </c>
      <c r="G61" s="1" t="inlineStr">
        <is>
          <t>fuel_sales_department_by_province.csv</t>
        </is>
      </c>
    </row>
    <row r="62">
      <c r="A62" s="1" t="inlineStr">
        <is>
          <t>F52</t>
        </is>
      </c>
      <c r="B62" s="1" t="inlineStr">
        <is>
          <t>Provincial: EC diesel / million L/year</t>
        </is>
      </c>
      <c r="C62" s="1" t="n">
        <v>2022</v>
      </c>
      <c r="D62" s="178" t="n">
        <v>1032.35218272</v>
      </c>
      <c r="E62" s="178" t="n">
        <v>1032.35218272</v>
      </c>
      <c r="F62" s="1" t="inlineStr">
        <is>
          <t>matches</t>
        </is>
      </c>
      <c r="G62" s="1" t="inlineStr">
        <is>
          <t>fuel_sales_department_by_province.csv</t>
        </is>
      </c>
    </row>
    <row r="63">
      <c r="A63" s="1" t="inlineStr">
        <is>
          <t>F53</t>
        </is>
      </c>
      <c r="B63" s="1" t="inlineStr">
        <is>
          <t>Provincial: FS diesel / million L/year</t>
        </is>
      </c>
      <c r="C63" s="1" t="n">
        <v>2022</v>
      </c>
      <c r="D63" s="178" t="n">
        <v>781.8611598310002</v>
      </c>
      <c r="E63" s="178" t="n">
        <v>781.8611598310002</v>
      </c>
      <c r="F63" s="1" t="inlineStr">
        <is>
          <t>matches</t>
        </is>
      </c>
      <c r="G63" s="1" t="inlineStr">
        <is>
          <t>fuel_sales_department_by_province.csv</t>
        </is>
      </c>
    </row>
    <row r="64">
      <c r="A64" s="1" t="inlineStr">
        <is>
          <t>F54</t>
        </is>
      </c>
      <c r="B64" s="1" t="inlineStr">
        <is>
          <t>Provincial: GP diesel / million L/year</t>
        </is>
      </c>
      <c r="C64" s="1" t="n">
        <v>2022</v>
      </c>
      <c r="D64" s="178" t="n">
        <v>3278.990501961999</v>
      </c>
      <c r="E64" s="178" t="n">
        <v>3278.990501961999</v>
      </c>
      <c r="F64" s="1" t="inlineStr">
        <is>
          <t>matches</t>
        </is>
      </c>
      <c r="G64" s="1" t="inlineStr">
        <is>
          <t>fuel_sales_department_by_province.csv</t>
        </is>
      </c>
    </row>
    <row r="65">
      <c r="A65" s="1" t="inlineStr">
        <is>
          <t>F55</t>
        </is>
      </c>
      <c r="B65" s="1" t="inlineStr">
        <is>
          <t>Provincial: KZN diesel / million L/year</t>
        </is>
      </c>
      <c r="C65" s="1" t="n">
        <v>2022</v>
      </c>
      <c r="D65" s="178" t="n">
        <v>2785.554802503</v>
      </c>
      <c r="E65" s="178" t="n">
        <v>2785.554802503</v>
      </c>
      <c r="F65" s="1" t="inlineStr">
        <is>
          <t>matches</t>
        </is>
      </c>
      <c r="G65" s="1" t="inlineStr">
        <is>
          <t>fuel_sales_department_by_province.csv</t>
        </is>
      </c>
    </row>
    <row r="66">
      <c r="A66" s="1" t="inlineStr">
        <is>
          <t>F56</t>
        </is>
      </c>
      <c r="B66" s="1" t="inlineStr">
        <is>
          <t>Provincial: LP diesel / million L/year</t>
        </is>
      </c>
      <c r="C66" s="1" t="n">
        <v>2022</v>
      </c>
      <c r="D66" s="178" t="n">
        <v>221.987440248</v>
      </c>
      <c r="E66" s="178" t="n">
        <v>221.987440248</v>
      </c>
      <c r="F66" s="1" t="inlineStr">
        <is>
          <t>matches</t>
        </is>
      </c>
      <c r="G66" s="1" t="inlineStr">
        <is>
          <t>fuel_sales_department_by_province.csv</t>
        </is>
      </c>
    </row>
    <row r="67">
      <c r="A67" s="1" t="inlineStr">
        <is>
          <t>F57</t>
        </is>
      </c>
      <c r="B67" s="1" t="inlineStr">
        <is>
          <t>Provincial: MP diesel / million L/year</t>
        </is>
      </c>
      <c r="C67" s="1" t="n">
        <v>2022</v>
      </c>
      <c r="D67" s="178" t="n">
        <v>1144.924075864997</v>
      </c>
      <c r="E67" s="178" t="n">
        <v>1144.924075864997</v>
      </c>
      <c r="F67" s="1" t="inlineStr">
        <is>
          <t>matches</t>
        </is>
      </c>
      <c r="G67" s="1" t="inlineStr">
        <is>
          <t>fuel_sales_department_by_province.csv</t>
        </is>
      </c>
    </row>
    <row r="68">
      <c r="A68" s="1" t="inlineStr">
        <is>
          <t>F58</t>
        </is>
      </c>
      <c r="B68" s="1" t="inlineStr">
        <is>
          <t>Provincial: NC diesel / million L/year</t>
        </is>
      </c>
      <c r="C68" s="1" t="n">
        <v>2022</v>
      </c>
      <c r="D68" s="178" t="n">
        <v>351.9801199100001</v>
      </c>
      <c r="E68" s="178" t="n">
        <v>351.9801199100001</v>
      </c>
      <c r="F68" s="1" t="inlineStr">
        <is>
          <t>matches</t>
        </is>
      </c>
      <c r="G68" s="1" t="inlineStr">
        <is>
          <t>fuel_sales_department_by_province.csv</t>
        </is>
      </c>
    </row>
    <row r="69">
      <c r="A69" s="1" t="inlineStr">
        <is>
          <t>F59</t>
        </is>
      </c>
      <c r="B69" s="1" t="inlineStr">
        <is>
          <t>Provincial: NW diesel / million L/year</t>
        </is>
      </c>
      <c r="C69" s="1" t="n">
        <v>2022</v>
      </c>
      <c r="D69" s="178" t="n">
        <v>619.906488913</v>
      </c>
      <c r="E69" s="178" t="n">
        <v>619.906488913</v>
      </c>
      <c r="F69" s="1" t="inlineStr">
        <is>
          <t>matches</t>
        </is>
      </c>
      <c r="G69" s="1" t="inlineStr">
        <is>
          <t>fuel_sales_department_by_province.csv</t>
        </is>
      </c>
    </row>
    <row r="70">
      <c r="A70" s="1" t="inlineStr">
        <is>
          <t>F60</t>
        </is>
      </c>
      <c r="B70" s="1" t="inlineStr">
        <is>
          <t>Provincial: WC diesel / million L/year</t>
        </is>
      </c>
      <c r="C70" s="1" t="n">
        <v>2022</v>
      </c>
      <c r="D70" s="178" t="n">
        <v>2499.769547067</v>
      </c>
      <c r="E70" s="178" t="n">
        <v>2499.769547067</v>
      </c>
      <c r="F70" s="1" t="inlineStr">
        <is>
          <t>matches</t>
        </is>
      </c>
      <c r="G70" s="1" t="inlineStr">
        <is>
          <t>fuel_sales_department_by_province.csv</t>
        </is>
      </c>
    </row>
    <row r="72">
      <c r="A72" s="1" t="inlineStr">
        <is>
          <t>66 values recomputed; 0 differ.</t>
        </is>
      </c>
    </row>
    <row r="73">
      <c r="A73" s="1" t="inlineStr">
        <is>
          <t>Not recomputed: vehicle sales and stock, electric vehicle sales, freight, power and airport rows (vehicle block is next), and every 'Model run' row, which is a frozen engine run on main.</t>
        </is>
      </c>
    </row>
    <row r="74">
      <c r="A74" s="1" t="inlineStr">
        <is>
          <t>The model run in this workbook was made on main, where industry starts at 2.5 bn litres and agriculture at 0.7 (2024). manish-branch proposes 1.50 and 1.06 (2021 energy balance); see sector_baselines_2026-10-07.md.</t>
        </is>
      </c>
    </row>
    <row r="75">
      <c r="A75" s="1" t="inlineStr">
        <is>
          <t>Changes made in this copy:</t>
        </is>
      </c>
    </row>
    <row r="76">
      <c r="A76" s="1" t="inlineStr">
        <is>
          <t>Source selection!E5: petrol 2022 FIASA -&gt; Department (official series; the two agree to within rounding in these years).</t>
        </is>
      </c>
    </row>
    <row r="77">
      <c r="A77" s="1" t="inlineStr">
        <is>
          <t>Source selection!E6: petrol 2023 FIASA -&gt; Department (official series; the two agree to within rounding in these years).</t>
        </is>
      </c>
    </row>
    <row r="78">
      <c r="A78" s="1" t="inlineStr">
        <is>
          <t>Source selection!E10: diesel 2022 FIASA -&gt; Department (official series; the two agree to within rounding in these years).</t>
        </is>
      </c>
    </row>
    <row r="79">
      <c r="A79" s="1" t="inlineStr">
        <is>
          <t>Source selection!E11: diesel 2023 FIASA -&gt; Department (official series; the two agree to within rounding in these years).</t>
        </is>
      </c>
    </row>
    <row r="80">
      <c r="A80" s="1" t="inlineStr">
        <is>
          <t>Source selection!E15: jet 2022 FIASA -&gt; Department (official series; the two agree to within rounding in these years).</t>
        </is>
      </c>
    </row>
    <row r="81">
      <c r="A81" s="1" t="inlineStr">
        <is>
          <t>Source selection!E16: jet 2023 FIASA -&gt; Department (official series; the two agree to within rounding in these years).</t>
        </is>
      </c>
    </row>
    <row r="82">
      <c r="A82" s="1" t="inlineStr">
        <is>
          <t>Source selection!E20: fuel_oil 2022 FIASA -&gt; Department (official series; the two agree to within rounding in these years).</t>
        </is>
      </c>
    </row>
    <row r="83">
      <c r="A83" s="1" t="inlineStr">
        <is>
          <t>Source selection!E21: fuel_oil 2023 FIASA -&gt; Department (official series; the two agree to within rounding in these years).</t>
        </is>
      </c>
    </row>
    <row r="84">
      <c r="A84" s="1" t="inlineStr">
        <is>
          <t>Source selection: 2024 is still set to FIASA on Nigel's sheet, because the department has no 2024 figure to switch to. The added sheets do not use FIASA for any year. For Nigel to decide.</t>
        </is>
      </c>
    </row>
    <row r="85">
      <c r="A85" s="1" t="inlineStr">
        <is>
          <t>Sheets added: History, Sector history, Diesel by use, Power fleet, Vehicle history, HML response, Gap status, Checks, History sources. No other cell changed.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31"/>
  <sheetViews>
    <sheetView workbookViewId="0">
      <selection activeCell="A1" sqref="A1"/>
    </sheetView>
  </sheetViews>
  <sheetFormatPr baseColWidth="8" defaultRowHeight="15"/>
  <cols>
    <col width="44" customWidth="1" min="1" max="1"/>
    <col width="40" customWidth="1" min="2" max="2"/>
    <col width="52" customWidth="1" min="3" max="3"/>
    <col width="46" customWidth="1" min="4" max="4"/>
    <col width="40" customWidth="1" min="5" max="5"/>
    <col width="52" customWidth="1" min="6" max="6"/>
    <col width="46" customWidth="1" min="7" max="7"/>
    <col width="14" customWidth="1" min="8" max="8"/>
    <col width="60" customWidth="1" min="9" max="9"/>
  </cols>
  <sheetData>
    <row r="1">
      <c r="A1" s="149" t="inlineStr">
        <is>
          <t>Sources for the sheets added to the workshop workbook</t>
        </is>
      </c>
    </row>
    <row r="4">
      <c r="A4" s="177" t="inlineStr">
        <is>
          <t>Used for</t>
        </is>
      </c>
      <c r="B4" s="177" t="inlineStr">
        <is>
          <t>Publisher</t>
        </is>
      </c>
      <c r="C4" s="177" t="inlineStr">
        <is>
          <t>Link</t>
        </is>
      </c>
      <c r="D4" s="177" t="inlineStr">
        <is>
          <t>Original file</t>
        </is>
      </c>
      <c r="E4" s="177" t="inlineStr">
        <is>
          <t>Where the original is kept</t>
        </is>
      </c>
      <c r="F4" s="177" t="inlineStr">
        <is>
          <t>Extract in the repository</t>
        </is>
      </c>
      <c r="G4" s="177" t="inlineStr">
        <is>
          <t>Refresh command</t>
        </is>
      </c>
      <c r="H4" s="177" t="inlineStr">
        <is>
          <t>Periods</t>
        </is>
      </c>
      <c r="I4" s="177" t="inlineStr">
        <is>
          <t>Limits</t>
        </is>
      </c>
    </row>
    <row r="5">
      <c r="A5" s="176" t="inlineStr">
        <is>
          <t>History sections 1 and 4: national sales</t>
        </is>
      </c>
      <c r="B5" s="176" t="inlineStr">
        <is>
          <t>Department of Mineral and Petroleum Resources (energy department)</t>
        </is>
      </c>
      <c r="C5" s="176" t="inlineStr">
        <is>
          <t>https://www.dmpr.gov.za/Portals/0/Energy_Website/files/media/SA FUEL SALES VOLUME/</t>
        </is>
      </c>
      <c r="D5" s="176" t="inlineStr">
        <is>
          <t>&lt;year&gt;-...-FSV....xls(x), national annual workbooks 2005-2023</t>
        </is>
      </c>
      <c r="E5" s="176" t="inlineStr">
        <is>
          <t>local to Manish and Nigel; not on main</t>
        </is>
      </c>
      <c r="F5" s="176" t="inlineStr">
        <is>
          <t>assumptions/2026/timeseries/fuel_sales_department.csv</t>
        </is>
      </c>
      <c r="G5" s="176" t="inlineStr">
        <is>
          <t>python -m lfm.scripts.fetch_energy_dept --vintage 2026</t>
        </is>
      </c>
      <c r="H5" s="176" t="inlineStr">
        <is>
          <t>2005-2023</t>
        </is>
      </c>
      <c r="I5" s="176" t="inlineStr">
        <is>
          <t>2013 corrected on manish-branch (published sheet). Series ends 2023.</t>
        </is>
      </c>
    </row>
    <row r="6">
      <c r="A6" s="176" t="inlineStr">
        <is>
          <t>History section 1: sales by province</t>
        </is>
      </c>
      <c r="B6" s="176" t="inlineStr">
        <is>
          <t>Department of Mineral and Petroleum Resources (energy department)</t>
        </is>
      </c>
      <c r="C6" s="176" t="inlineStr">
        <is>
          <t>https://www.dmpr.gov.za/Portals/0/Energy_Website/files/media/SA FUEL SALES VOLUME/</t>
        </is>
      </c>
      <c r="D6" s="176" t="inlineStr">
        <is>
          <t>&lt;year&gt;-...-Magisterial-Districts-data.xlsx, quarterly sheets</t>
        </is>
      </c>
      <c r="E6" s="176" t="inlineStr">
        <is>
          <t>local to Manish and Nigel; not on main (2013 annual workbook on manish-branch)</t>
        </is>
      </c>
      <c r="F6" s="176" t="inlineStr">
        <is>
          <t>assumptions/2026/timeseries/fuel_sales_department_by_province.csv</t>
        </is>
      </c>
      <c r="G6" s="176" t="inlineStr">
        <is>
          <t>python -m lfm.scripts.fetch_energy_dept --vintage 2026</t>
        </is>
      </c>
      <c r="H6" s="176" t="inlineStr">
        <is>
          <t>2013-2022</t>
        </is>
      </c>
      <c r="I6" s="176" t="inlineStr">
        <is>
          <t>Ends 2022. 2018 understated about 1.8% (district Q1 sheet incomplete). 2014-Q3 differs from national file.</t>
        </is>
      </c>
    </row>
    <row r="7">
      <c r="A7" s="176" t="inlineStr">
        <is>
          <t>History section 2: imports and exports</t>
        </is>
      </c>
      <c r="B7" s="176" t="inlineStr">
        <is>
          <t>South African Revenue Service, trade statistics</t>
        </is>
      </c>
      <c r="C7" s="176" t="inlineStr">
        <is>
          <t>https://tools.sars.gov.za/tradestatsportal/data_download.aspx</t>
        </is>
      </c>
      <c r="D7" s="176" t="inlineStr">
        <is>
          <t>sars-&lt;imports|exports&gt;-chapter27-fuels-&lt;year&gt;.xlsx, 2010-2026</t>
        </is>
      </c>
      <c r="E7" s="176" t="inlineStr">
        <is>
          <t>on manish-branch (external/data/raw/sars/)</t>
        </is>
      </c>
      <c r="F7" s="176" t="inlineStr">
        <is>
          <t>assumptions/2026/timeseries/fuel_trade_sars.csv</t>
        </is>
      </c>
      <c r="G7" s="176" t="inlineStr">
        <is>
          <t>python -m lfm.scripts.fetch_sars --vintage 2026</t>
        </is>
      </c>
      <c r="H7" s="176" t="inlineStr">
        <is>
          <t>2010-2026</t>
        </is>
      </c>
      <c r="I7" s="176" t="inlineStr">
        <is>
          <t>Primary record of imports and exports from 2014. Kilograms to 2012, litres from 2014, both in 2013.</t>
        </is>
      </c>
    </row>
    <row r="8">
      <c r="A8" s="176" t="inlineStr">
        <is>
          <t>History section 2: FIASA comparison rows</t>
        </is>
      </c>
      <c r="B8" s="176" t="inlineStr">
        <is>
          <t>Fuels Industry Association of South Africa (from customs data)</t>
        </is>
      </c>
      <c r="C8" s="176" t="inlineStr">
        <is>
          <t>https://fuelsindustry.org.za/publications/annual-reports/</t>
        </is>
      </c>
      <c r="D8" s="176" t="inlineStr">
        <is>
          <t>annual-report-&lt;year&gt;.pdf; 2025 edition pp.47-49</t>
        </is>
      </c>
      <c r="E8" s="176" t="inlineStr">
        <is>
          <t>local to Manish and Nigel; not on main; 2025 edition on main</t>
        </is>
      </c>
      <c r="F8" s="176" t="inlineStr">
        <is>
          <t>assumptions/2026/timeseries/fuel_trade_fiasa.csv</t>
        </is>
      </c>
      <c r="G8" s="176" t="inlineStr">
        <is>
          <t>python -m lfm.scripts.fetch_fuel_sales --vintage 2026</t>
        </is>
      </c>
      <c r="H8" s="176" t="inlineStr">
        <is>
          <t>2009-2025</t>
        </is>
      </c>
      <c r="I8" s="176" t="inlineStr">
        <is>
          <t>Cross-check, and the record before 2014; SARS is primary from 2014. 'Kerosene' is jet plus paraffin. Its 2024 diesel import figure is 4.000 bn L above customs.</t>
        </is>
      </c>
    </row>
    <row r="9">
      <c r="A9" s="176" t="inlineStr">
        <is>
          <t>History section 4: FIASA comparison row</t>
        </is>
      </c>
      <c r="B9" s="176" t="inlineStr">
        <is>
          <t>Fuels Industry Association of South Africa</t>
        </is>
      </c>
      <c r="C9" s="176" t="inlineStr">
        <is>
          <t>https://fuelsindustry.org.za/publications/annual-reports/</t>
        </is>
      </c>
      <c r="D9" s="176" t="inlineStr">
        <is>
          <t>annual-report-&lt;year&gt;.pdf, 2021-2025 editions</t>
        </is>
      </c>
      <c r="E9" s="176" t="inlineStr">
        <is>
          <t>local to Manish and Nigel; not on main; 2025 edition on main</t>
        </is>
      </c>
      <c r="F9" s="176" t="inlineStr">
        <is>
          <t>assumptions/2026/timeseries/fuel_sales_fiasa.csv</t>
        </is>
      </c>
      <c r="G9" s="176" t="inlineStr">
        <is>
          <t>python -m lfm.scripts.fetch_fuel_sales --vintage 2026</t>
        </is>
      </c>
      <c r="H9" s="176" t="inlineStr">
        <is>
          <t>2009-2024</t>
        </is>
      </c>
      <c r="I9" s="176" t="inlineStr">
        <is>
          <t>Used for 2024 only. Its 2013 figures equal the department's superseded sheet.</t>
        </is>
      </c>
    </row>
    <row r="10">
      <c r="A10" s="176" t="inlineStr">
        <is>
          <t>History section 3 and Sector history: production and diesel by sector</t>
        </is>
      </c>
      <c r="B10" s="176" t="inlineStr">
        <is>
          <t>Department of Mineral and Petroleum Resources (energy department)</t>
        </is>
      </c>
      <c r="C10" s="176" t="inlineStr">
        <is>
          <t>https://www.dmpr.gov.za/Portals/0/Energy_Website/files/media/Energy_Balances.html</t>
        </is>
      </c>
      <c r="D10" s="176" t="inlineStr">
        <is>
          <t>&lt;year&gt;-Commodity-Flow-and-Energy-Balance.xlsx, 2007-2021</t>
        </is>
      </c>
      <c r="E10" s="176" t="inlineStr">
        <is>
          <t>local to Manish and Nigel; not on main</t>
        </is>
      </c>
      <c r="F10" s="176" t="inlineStr">
        <is>
          <t>assumptions/2026/timeseries/energy_balance_department.csv</t>
        </is>
      </c>
      <c r="G10" s="176" t="inlineStr">
        <is>
          <t>python -m lfm.scripts.fetch_energy_dept --vintage 2026</t>
        </is>
      </c>
      <c r="H10" s="176" t="inlineStr">
        <is>
          <t>2007-2021</t>
        </is>
      </c>
      <c r="I10" s="176" t="inlineStr">
        <is>
          <t>Ends 2021. Sector definitions shift in 2016. Fuel oil not extracted.</t>
        </is>
      </c>
    </row>
    <row r="11">
      <c r="A11" s="176" t="inlineStr">
        <is>
          <t>History section 3: refinery output reported to JODI</t>
        </is>
      </c>
      <c r="B11" s="176" t="inlineStr">
        <is>
          <t>JODI oil database (South Africa's submissions)</t>
        </is>
      </c>
      <c r="C11" s="176" t="inlineStr">
        <is>
          <t>https://www.jodidata.org/oil/database/data-downloads.aspx</t>
        </is>
      </c>
      <c r="D11" s="176" t="inlineStr">
        <is>
          <t>jodi-secondary-zaf-2017-2022.csv; jodi-secondary-zaf-2023-2025.csv</t>
        </is>
      </c>
      <c r="E11" s="176" t="inlineStr">
        <is>
          <t>on manish-branch (external/data/raw/jodi/)</t>
        </is>
      </c>
      <c r="F11" s="176" t="inlineStr">
        <is>
          <t>assumptions/2026/timeseries/oil_balance_jodi.csv</t>
        </is>
      </c>
      <c r="G11" s="176" t="inlineStr">
        <is>
          <t>python -m lfm.scripts.stage_jodi --vintage 2026</t>
        </is>
      </c>
      <c r="H11" s="176" t="inlineStr">
        <is>
          <t>2017-2024</t>
        </is>
      </c>
      <c r="I11" s="176" t="inlineStr">
        <is>
          <t>Lowest JODI assessment code throughout. Diesel refinery output agrees with the energy balance within 4% for 2017-2021; petrol is 12-24% higher. Imports, demand and stocks are not usable.</t>
        </is>
      </c>
    </row>
    <row r="12">
      <c r="A12" s="176" t="inlineStr">
        <is>
          <t>History section 3: operators' reported output</t>
        </is>
      </c>
      <c r="B12" s="176" t="inlineStr">
        <is>
          <t>Sasol (production and sales metrics); Glencore (annual reports)</t>
        </is>
      </c>
      <c r="C12" s="176" t="inlineStr">
        <is>
          <t>https://www.sasol.com/</t>
        </is>
      </c>
      <c r="D12" s="176" t="inlineStr">
        <is>
          <t>sasol-metrics-fy2022/2025/2026.pdf, p.4; GLEN-2023/2024/2025-Annual-Report.pdf</t>
        </is>
      </c>
      <c r="E12" s="176" t="inlineStr">
        <is>
          <t>Sasol files on manish-branch (external/data/raw/sasol/); Glencore reports by link only</t>
        </is>
      </c>
      <c r="F12" s="176" t="inlineStr">
        <is>
          <t>assumptions/2026/reference/refinery_output_operators.csv</t>
        </is>
      </c>
      <c r="G12" s="176" t="inlineStr">
        <is>
          <t>none</t>
        </is>
      </c>
      <c r="H12" s="176" t="inlineStr">
        <is>
          <t>2020-2026</t>
        </is>
      </c>
      <c r="I12" s="176" t="inlineStr">
        <is>
          <t>All refined products, no product split; fiscal and calendar years; Astron as energy content.</t>
        </is>
      </c>
    </row>
    <row r="13">
      <c r="A13" s="176" t="inlineStr">
        <is>
          <t>History section 5: litres levied</t>
        </is>
      </c>
      <c r="B13" s="176" t="inlineStr">
        <is>
          <t>Road Accident Fund</t>
        </is>
      </c>
      <c r="C13" s="176" t="inlineStr">
        <is>
          <t>https://static.pmg.org.za/RAF_Annual_Report_2025.pdf</t>
        </is>
      </c>
      <c r="D13" s="176" t="inlineStr">
        <is>
          <t>raf-annual-report-2024-25.pdf, note 16 (p.183)</t>
        </is>
      </c>
      <c r="E13" s="176" t="inlineStr">
        <is>
          <t>on manish-branch (external/data/raw/raf/)</t>
        </is>
      </c>
      <c r="F13" s="176" t="inlineStr">
        <is>
          <t>assumptions/2026/reference/fuel_levy_revenue_raf.csv</t>
        </is>
      </c>
      <c r="G13" s="176" t="inlineStr">
        <is>
          <t>none</t>
        </is>
      </c>
      <c r="H13" s="176" t="inlineStr">
        <is>
          <t>2024-2025</t>
        </is>
      </c>
      <c r="I13" s="176" t="inlineStr">
        <is>
          <t>Gross levies and diesel rebate in rand; litres derived in the balance note. Fiscal years; petrol and diesel together.</t>
        </is>
      </c>
    </row>
    <row r="14">
      <c r="A14" s="176" t="inlineStr">
        <is>
          <t>Sector history: mining and manufacturing volume indices</t>
        </is>
      </c>
      <c r="B14" s="176" t="inlineStr">
        <is>
          <t>Statistics South Africa (P2041 mining, P3041.2 manufacturing, P7162 land transport, P0141 CPI)</t>
        </is>
      </c>
      <c r="C14" s="176" t="inlineStr">
        <is>
          <t>https://www.statssa.gov.za/?page_id=1847</t>
        </is>
      </c>
      <c r="D14" s="176" t="inlineStr">
        <is>
          <t>release zips, July and August 2026</t>
        </is>
      </c>
      <c r="E14" s="176" t="inlineStr">
        <is>
          <t>on manish-branch (external/data/raw/statssa/)</t>
        </is>
      </c>
      <c r="F14" s="176" t="inlineStr">
        <is>
          <t>assumptions/2026/timeseries/activity_statssa_monthly.csv</t>
        </is>
      </c>
      <c r="G14" s="176" t="inlineStr">
        <is>
          <t>python -m lfm.scripts.fetch_statssa_monthly --vintage 2026</t>
        </is>
      </c>
      <c r="H14" s="176" t="inlineStr">
        <is>
          <t>1998-01-2026-08</t>
        </is>
      </c>
      <c r="I14" s="176" t="inlineStr">
        <is>
          <t>Activity measures, not fuel volumes. Not seasonally adjusted. Tonnes, not tonne-kilometres.</t>
        </is>
      </c>
    </row>
    <row r="15">
      <c r="A15" s="176" t="inlineStr">
        <is>
          <t>Sector history: agriculture real value added</t>
        </is>
      </c>
      <c r="B15" s="176" t="inlineStr">
        <is>
          <t>Statistics South Africa (P0441 GDP; P0302 mid-year population)</t>
        </is>
      </c>
      <c r="C15" s="176" t="inlineStr">
        <is>
          <t>https://www.statssa.gov.za/?page_id=1854&amp;PPN=P0441</t>
        </is>
      </c>
      <c r="D15" s="176" t="inlineStr">
        <is>
          <t>GDP P0441 - GDP Time series Q2 2026.xlsx (Annual sheet); Country projection ... (2002-2026).xlsx</t>
        </is>
      </c>
      <c r="E15" s="176" t="inlineStr">
        <is>
          <t>on manish-branch (external/data/raw/statssa/)</t>
        </is>
      </c>
      <c r="F15" s="176" t="inlineStr">
        <is>
          <t>assumptions/2026/timeseries/macro_statssa.csv</t>
        </is>
      </c>
      <c r="G15" s="176" t="inlineStr">
        <is>
          <t>python -m lfm.scripts.fetch_economy --vintage 2026</t>
        </is>
      </c>
      <c r="H15" s="176" t="inlineStr">
        <is>
          <t>1993-2050</t>
        </is>
      </c>
      <c r="I15" s="176" t="inlineStr">
        <is>
          <t>Manual placement each release. Years after 2026 are projections, not observations.</t>
        </is>
      </c>
    </row>
    <row r="16">
      <c r="A16" s="176" t="inlineStr">
        <is>
          <t>History section 7: aircraft movements</t>
        </is>
      </c>
      <c r="B16" s="176" t="inlineStr">
        <is>
          <t>Airports Company South Africa</t>
        </is>
      </c>
      <c r="C16" s="176" t="inlineStr">
        <is>
          <t>https://www.airports.co.za/StatisticsLib/</t>
        </is>
      </c>
      <c r="D16" s="176" t="inlineStr">
        <is>
          <t>derived from the monthly file</t>
        </is>
      </c>
      <c r="E16" s="176" t="inlineStr">
        <is>
          <t>derived</t>
        </is>
      </c>
      <c r="F16" s="176" t="inlineStr">
        <is>
          <t>assumptions/2026/timeseries/air_traffic_acsa_annual.csv</t>
        </is>
      </c>
      <c r="G16" s="176" t="inlineStr">
        <is>
          <t>python -m lfm.scripts.fetch_acsa --vintage 2026</t>
        </is>
      </c>
      <c r="H16" s="176" t="inlineStr">
        <is>
          <t>2013-2025</t>
        </is>
      </c>
      <c r="I16" s="176" t="inlineStr"/>
    </row>
    <row r="17">
      <c r="A17" s="176" t="inlineStr">
        <is>
          <t>History section 6: quarter 1 2023 provincial shares</t>
        </is>
      </c>
      <c r="B17" s="176" t="inlineStr">
        <is>
          <t>Department of Mineral and Petroleum Resources (energy department)</t>
        </is>
      </c>
      <c r="C17" s="176" t="inlineStr">
        <is>
          <t>https://www.dmpr.gov.za/Portals/0/Energy_Website/files/media/SA FUEL SALES VOLUME/</t>
        </is>
      </c>
      <c r="D17" s="176" t="inlineStr">
        <is>
          <t>same workbooks; source_file column names each one</t>
        </is>
      </c>
      <c r="E17" s="176" t="inlineStr">
        <is>
          <t>local to Manish and Nigel; not on main</t>
        </is>
      </c>
      <c r="F17" s="176" t="inlineStr">
        <is>
          <t>assumptions/2026/timeseries/fuel_sales_department_by_province_quarterly.csv</t>
        </is>
      </c>
      <c r="G17" s="176" t="inlineStr">
        <is>
          <t>python -m lfm.scripts.fetch_energy_dept --vintage 2026</t>
        </is>
      </c>
      <c r="H17" s="176" t="inlineStr">
        <is>
          <t>2013-Q1-2023-Q1</t>
        </is>
      </c>
      <c r="I17" s="176" t="inlineStr">
        <is>
          <t>26 province/product years have blank quarters in the source (none petrol or diesel).</t>
        </is>
      </c>
    </row>
    <row r="18">
      <c r="A18" s="176" t="inlineStr">
        <is>
          <t>History section 6: provincial GDP used to move the 2024 shares</t>
        </is>
      </c>
      <c r="B18" s="176" t="inlineStr">
        <is>
          <t>Statistics South Africa (P0441.2 Provincial GDP)</t>
        </is>
      </c>
      <c r="C18" s="176" t="inlineStr">
        <is>
          <t>https://www.statssa.gov.za/?page_id=1847</t>
        </is>
      </c>
      <c r="D18" s="176" t="inlineStr">
        <is>
          <t>P0441.2  Provincial Gross Domestic Product(2024).zip, Tables 2-10, block c</t>
        </is>
      </c>
      <c r="E18" s="176" t="inlineStr">
        <is>
          <t>on manish-branch (external/data/raw/statssa/)</t>
        </is>
      </c>
      <c r="F18" s="176" t="inlineStr">
        <is>
          <t>assumptions/2026/timeseries/gdp_by_province_statssa.csv</t>
        </is>
      </c>
      <c r="G18" s="176" t="inlineStr">
        <is>
          <t>python -m lfm.scripts.fetch_economy --vintage 2026</t>
        </is>
      </c>
      <c r="H18" s="176" t="inlineStr">
        <is>
          <t>2013-2024</t>
        </is>
      </c>
      <c r="I18" s="176" t="inlineStr">
        <is>
          <t>Annual, 2013-2024. Economic activity by province, not fuel litres.</t>
        </is>
      </c>
    </row>
    <row r="19">
      <c r="A19" s="176" t="inlineStr">
        <is>
          <t>Diesel by use and Power fleet: power generation</t>
        </is>
      </c>
      <c r="B19" s="176" t="inlineStr">
        <is>
          <t>Eskom integrated reports</t>
        </is>
      </c>
      <c r="C19" s="176" t="inlineStr">
        <is>
          <t>https://www.eskom.co.za/investors/integrated-results/</t>
        </is>
      </c>
      <c r="D19" s="176" t="inlineStr">
        <is>
          <t>integrated report PDFs, years to March 2022-2026</t>
        </is>
      </c>
      <c r="E19" s="176" t="inlineStr">
        <is>
          <t>local to Manish and Nigel; not on main</t>
        </is>
      </c>
      <c r="F19" s="176" t="inlineStr">
        <is>
          <t>assumptions/2026/timeseries/ocgt_generation_eskom.csv</t>
        </is>
      </c>
      <c r="G19" s="176" t="inlineStr">
        <is>
          <t>python -m lfm.scripts.fetch_eskom --vintage 2026</t>
        </is>
      </c>
      <c r="H19" s="176" t="inlineStr">
        <is>
          <t>2022-2026</t>
        </is>
      </c>
      <c r="I19" s="176" t="inlineStr">
        <is>
          <t>GWh for financial years; diesel litres not reported in the extract.</t>
        </is>
      </c>
    </row>
    <row r="20">
      <c r="A20" s="176" t="inlineStr">
        <is>
          <t>Power fleet: stations, capacities and retirement dates</t>
        </is>
      </c>
      <c r="B20" s="176" t="inlineStr">
        <is>
          <t>Eskom; press reports</t>
        </is>
      </c>
      <c r="C20" s="176" t="inlineStr">
        <is>
          <t>https://www.eskom.co.za/eskom-divisions/gx/peaking-power-stations/</t>
        </is>
      </c>
      <c r="D20" s="176" t="inlineStr">
        <is>
          <t>eskom-gx0001-generation-plant-mix-rev29.pdf</t>
        </is>
      </c>
      <c r="E20" s="176" t="inlineStr">
        <is>
          <t>on manish-branch (external/data/raw/eskom/)</t>
        </is>
      </c>
      <c r="F20" s="176" t="inlineStr">
        <is>
          <t>assumptions/2026/infrastructure/power_fleet_diesel.csv</t>
        </is>
      </c>
      <c r="G20" s="176" t="inlineStr">
        <is>
          <t>none</t>
        </is>
      </c>
      <c r="H20" s="176" t="inlineStr">
        <is>
          <t>-</t>
        </is>
      </c>
      <c r="I20" s="176" t="inlineStr">
        <is>
          <t>Diesel peaking stations and coal stations being retired, with capacities and dates. Three rows are marked to confirm.</t>
        </is>
      </c>
    </row>
    <row r="21">
      <c r="A21" s="176" t="inlineStr">
        <is>
          <t>Diesel by use: the 0.31 litres per kWh factor</t>
        </is>
      </c>
      <c r="B21" s="176" t="inlineStr">
        <is>
          <t>Parliament (replies by the Ministers of Public Enterprises and of Electricity and Energy)</t>
        </is>
      </c>
      <c r="C21" s="176" t="inlineStr">
        <is>
          <t>https://pmg.org.za/committee-question/30686/</t>
        </is>
      </c>
      <c r="D21" s="176" t="inlineStr">
        <is>
          <t>reply NW1980 (2025); press reports for 2022 and 2023</t>
        </is>
      </c>
      <c r="E21" s="176" t="inlineStr">
        <is>
          <t>by link only</t>
        </is>
      </c>
      <c r="F21" s="176" t="inlineStr">
        <is>
          <t>assumptions/2026/reference/ocgt_diesel_burn_reported.csv</t>
        </is>
      </c>
      <c r="G21" s="176" t="inlineStr">
        <is>
          <t>none</t>
        </is>
      </c>
      <c r="H21" s="176" t="inlineStr">
        <is>
          <t>2022-2025</t>
        </is>
      </c>
      <c r="I21" s="176" t="inlineStr">
        <is>
          <t>Three years; none for the year to March 2024. Implies 0.31 litres per kWh; not adopted in the model.</t>
        </is>
      </c>
    </row>
    <row r="22">
      <c r="A22" s="176" t="inlineStr">
        <is>
          <t>Diesel by use: price used to convert road freight fuel spending to litres</t>
        </is>
      </c>
      <c r="B22" s="176" t="inlineStr">
        <is>
          <t>Department of Mineral and Petroleum Resources (energy department)</t>
        </is>
      </c>
      <c r="C22" s="176" t="inlineStr">
        <is>
          <t>https://www.dmpr.gov.za/Portals/0/Energy_Website/files/media/</t>
        </is>
      </c>
      <c r="D22" s="176" t="inlineStr">
        <is>
          <t>fuel-price-history-&lt;year&gt;.pdf, 2011-2025; price-breakdown-&lt;year&gt;-&lt;month&gt;.pdf to February 2026; cef-daily-&lt;date&gt;.pdf from February 2026 (Central Energy Fund)</t>
        </is>
      </c>
      <c r="E22" s="176" t="inlineStr">
        <is>
          <t>local to Manish and Nigel; not on main</t>
        </is>
      </c>
      <c r="F22" s="176" t="inlineStr">
        <is>
          <t>assumptions/2026/timeseries/fuel_prices_department.csv</t>
        </is>
      </c>
      <c r="G22" s="176" t="inlineStr">
        <is>
          <t>python -m lfm.scripts.fetch_energy_dept --vintage 2026</t>
        </is>
      </c>
      <c r="H22" s="176" t="inlineStr">
        <is>
          <t>2011-01-2026-10</t>
        </is>
      </c>
      <c r="I22" s="176" t="inlineStr">
        <is>
          <t>Runs to October 2026. Department to February 2026, then CEF daily sheets, which give inland prices only: coastal diesel has no value from December 2025, coastal petrol and paraffin none from March 2026.</t>
        </is>
      </c>
    </row>
    <row r="23">
      <c r="A23" s="176" t="inlineStr">
        <is>
          <t>Diesel by use and Vehicle history: vehicle classes, distance and fuel use</t>
        </is>
      </c>
      <c r="B23" s="176" t="inlineStr">
        <is>
          <t>Stone, Merven, Maseela and Moonsamy (2018), J. Energy in Southern Africa 29(2), and supplement</t>
        </is>
      </c>
      <c r="C23" s="176" t="inlineStr">
        <is>
          <t>https://www.scielo.org.za/pdf/jesa/v29n2/06.pdf</t>
        </is>
      </c>
      <c r="D23" s="176" t="inlineStr">
        <is>
          <t>stone-2018-vehicle-parc-model-jesa-29-2.pdf; stone-2018-supplementary.pdf</t>
        </is>
      </c>
      <c r="E23" s="176" t="inlineStr">
        <is>
          <t>on manish-branch (external/data/raw/literature/)</t>
        </is>
      </c>
      <c r="F23" s="176" t="inlineStr">
        <is>
          <t>assumptions/2026/reference/vehicle_parameters_stone2018.csv</t>
        </is>
      </c>
      <c r="G23" s="176" t="inlineStr">
        <is>
          <t>none</t>
        </is>
      </c>
      <c r="H23" s="176" t="inlineStr">
        <is>
          <t>-</t>
        </is>
      </c>
      <c r="I23" s="176" t="inlineStr">
        <is>
          <t>Values are for 2014. Transcription not independently re-checked.</t>
        </is>
      </c>
    </row>
    <row r="24">
      <c r="A24" s="176" t="inlineStr">
        <is>
          <t>Vehicle history: registered vehicles by class</t>
        </is>
      </c>
      <c r="B24" s="176" t="inlineStr">
        <is>
          <t>NaTIS (Road Traffic Management Corporation)</t>
        </is>
      </c>
      <c r="C24" s="176" t="inlineStr">
        <is>
          <t>https://www.natis.gov.za/</t>
        </is>
      </c>
      <c r="D24" s="176" t="inlineStr">
        <is>
          <t>monthly live vehicle population PDFs</t>
        </is>
      </c>
      <c r="E24" s="176" t="inlineStr">
        <is>
          <t>local to Manish and Nigel; not on main</t>
        </is>
      </c>
      <c r="F24" s="176" t="inlineStr">
        <is>
          <t>assumptions/2026/timeseries/vehicle_population_natis.csv</t>
        </is>
      </c>
      <c r="G24" s="176" t="inlineStr">
        <is>
          <t>python -m lfm.scripts.fetch_natis --vintage 2026</t>
        </is>
      </c>
      <c r="H24" s="176" t="inlineStr">
        <is>
          <t>2021-02-2026-06</t>
        </is>
      </c>
      <c r="I24" s="176" t="inlineStr">
        <is>
          <t>All fuels together; no petrol/diesel split.</t>
        </is>
      </c>
    </row>
    <row r="25">
      <c r="A25" s="176" t="inlineStr">
        <is>
          <t>Vehicle history: new sales by segment</t>
        </is>
      </c>
      <c r="B25" s="176" t="inlineStr">
        <is>
          <t>naamsa, quarterly review of business conditions</t>
        </is>
      </c>
      <c r="C25" s="176" t="inlineStr">
        <is>
          <t>https://naamsa.net/quarterly-reviews/</t>
        </is>
      </c>
      <c r="D25" s="176" t="inlineStr">
        <is>
          <t>quarterly review PDFs</t>
        </is>
      </c>
      <c r="E25" s="176" t="inlineStr">
        <is>
          <t>local to Manish and Nigel; not on main</t>
        </is>
      </c>
      <c r="F25" s="176" t="inlineStr">
        <is>
          <t>assumptions/2026/timeseries/new_vehicle_market_naamsa.csv</t>
        </is>
      </c>
      <c r="G25" s="176" t="inlineStr">
        <is>
          <t>python -m lfm.scripts.fetch_naamsa --vintage 2026</t>
        </is>
      </c>
      <c r="H25" s="176" t="inlineStr">
        <is>
          <t>2015-2027</t>
        </is>
      </c>
      <c r="I25" s="176" t="inlineStr">
        <is>
          <t>2026-2027 are naamsa's own outlook, not observations.</t>
        </is>
      </c>
    </row>
    <row r="26">
      <c r="A26" s="176" t="inlineStr">
        <is>
          <t>Vehicle history: electrified new sales</t>
        </is>
      </c>
      <c r="B26" s="176" t="inlineStr">
        <is>
          <t>naamsa, quarterly review of business conditions</t>
        </is>
      </c>
      <c r="C26" s="176" t="inlineStr">
        <is>
          <t>https://naamsa.net/quarterly-reviews/</t>
        </is>
      </c>
      <c r="D26" s="176" t="inlineStr">
        <is>
          <t>quarterly review PDFs</t>
        </is>
      </c>
      <c r="E26" s="176" t="inlineStr">
        <is>
          <t>local to Manish and Nigel; not on main</t>
        </is>
      </c>
      <c r="F26" s="176" t="inlineStr">
        <is>
          <t>assumptions/2026/timeseries/nev_sales_naamsa.csv</t>
        </is>
      </c>
      <c r="G26" s="176" t="inlineStr">
        <is>
          <t>python -m lfm.scripts.fetch_naamsa --vintage 2026</t>
        </is>
      </c>
      <c r="H26" s="176" t="inlineStr">
        <is>
          <t>2019-2025</t>
        </is>
      </c>
      <c r="I26" s="176" t="inlineStr">
        <is>
          <t>New sales, not fleet. Audit logged parser warnings on the 5 October refresh.</t>
        </is>
      </c>
    </row>
    <row r="27">
      <c r="A27" s="176" t="inlineStr">
        <is>
          <t>Vehicle history: fuel split of the registered fleet</t>
        </is>
      </c>
      <c r="B27" s="176" t="inlineStr">
        <is>
          <t>Department of Transport, Transport Statistics Bulletin 2023, Table 2.8 (source: RTMC)</t>
        </is>
      </c>
      <c r="C27" s="176" t="inlineStr">
        <is>
          <t>https://www.transport.gov.za/wp-content/uploads/2023/02/Transport-Statistics-Bulletin-2023.pdf</t>
        </is>
      </c>
      <c r="D27" s="176" t="inlineStr">
        <is>
          <t>dot-transport-statistics-bulletin-2023.pdf, p.40</t>
        </is>
      </c>
      <c r="E27" s="176" t="inlineStr">
        <is>
          <t>on manish-branch (external/data/raw/literature/)</t>
        </is>
      </c>
      <c r="F27" s="176" t="inlineStr">
        <is>
          <t>assumptions/2026/reference/vehicle_population_by_fuel_dot2023.csv</t>
        </is>
      </c>
      <c r="G27" s="176" t="inlineStr">
        <is>
          <t>none</t>
        </is>
      </c>
      <c r="H27" s="176" t="inlineStr">
        <is>
          <t>2023-12-2023-12</t>
        </is>
      </c>
      <c r="I27" s="176" t="inlineStr">
        <is>
          <t>One date only (December 2023). No later edition found.</t>
        </is>
      </c>
    </row>
    <row r="28">
      <c r="A28" s="176" t="inlineStr">
        <is>
          <t>Diesel by use: fuel bought by road freight businesses</t>
        </is>
      </c>
      <c r="B28" s="176" t="inlineStr">
        <is>
          <t>Statistics South Africa</t>
        </is>
      </c>
      <c r="C28" s="176" t="inlineStr">
        <is>
          <t>https://www.statssa.gov.za/?page_id=1854&amp;PPN=Report-71-02-01</t>
        </is>
      </c>
      <c r="D28" s="176" t="inlineStr">
        <is>
          <t>Report-71-02-012023.pdf, Table 20 (p.33)</t>
        </is>
      </c>
      <c r="E28" s="176" t="inlineStr">
        <is>
          <t>on manish-branch (external/data/raw/statssa/statssa-transport-and-storage-industry-2023.pdf)</t>
        </is>
      </c>
      <c r="F28" s="176" t="inlineStr">
        <is>
          <t>typed into build_demand_baseline_workbook.py (ROAD_FREIGHT_FUEL_RAND)</t>
        </is>
      </c>
      <c r="G28" s="176" t="inlineStr">
        <is>
          <t>none</t>
        </is>
      </c>
      <c r="H28" s="176" t="inlineStr">
        <is>
          <t>2019, 2023</t>
        </is>
      </c>
      <c r="I28" s="176" t="inlineStr">
        <is>
          <t>Hire-and-reward operators only; 2023 preliminary</t>
        </is>
      </c>
    </row>
    <row r="29">
      <c r="A29" s="176" t="inlineStr">
        <is>
          <t>Diesel by use: land freight share of diesel</t>
        </is>
      </c>
      <c r="B29" s="176" t="inlineStr">
        <is>
          <t>Merven, Hartley and Ahjum (2019), SA-TIED Working Paper 60</t>
        </is>
      </c>
      <c r="C29" s="176" t="inlineStr">
        <is>
          <t>https://sa-tied.wider.unu.edu/sites/default/files/pdf/SATIED_WP60_Merven_Hartley_Ahjum_April_2019.pdf</t>
        </is>
      </c>
      <c r="D29" s="176" t="inlineStr">
        <is>
          <t>p.10</t>
        </is>
      </c>
      <c r="E29" s="176" t="inlineStr">
        <is>
          <t>on manish-branch (external/data/raw/literature/)</t>
        </is>
      </c>
      <c r="F29" s="176" t="inlineStr">
        <is>
          <t>quoted on the sheet</t>
        </is>
      </c>
      <c r="G29" s="176" t="inlineStr">
        <is>
          <t>none</t>
        </is>
      </c>
      <c r="H29" s="176" t="inlineStr">
        <is>
          <t>2012</t>
        </is>
      </c>
      <c r="I29" s="176" t="inlineStr">
        <is>
          <t>Modelled; same research group as the vehicle study</t>
        </is>
      </c>
    </row>
    <row r="30">
      <c r="A30" s="176" t="inlineStr">
        <is>
          <t>Vehicle history and Diesel by use: the model's settings</t>
        </is>
      </c>
      <c r="B30" s="176" t="inlineStr">
        <is>
          <t>AIA (Reatile workbook, March 2025)</t>
        </is>
      </c>
      <c r="C30" s="176" t="inlineStr"/>
      <c r="D30" s="176" t="inlineStr">
        <is>
          <t>assumptions/2026/vehicles.yaml</t>
        </is>
      </c>
      <c r="E30" s="176" t="inlineStr">
        <is>
          <t>in the repository</t>
        </is>
      </c>
      <c r="F30" s="176" t="inlineStr">
        <is>
          <t>assumptions/2026/vehicles.yaml</t>
        </is>
      </c>
      <c r="G30" s="176" t="inlineStr">
        <is>
          <t>none</t>
        </is>
      </c>
      <c r="H30" s="176" t="inlineStr"/>
      <c r="I30" s="176" t="inlineStr">
        <is>
          <t>Placeholders without a published source</t>
        </is>
      </c>
    </row>
    <row r="31">
      <c r="A31" s="176" t="inlineStr">
        <is>
          <t>HML response</t>
        </is>
      </c>
      <c r="B31" s="176" t="inlineStr">
        <is>
          <t>AIA (analyst), from the sources named in each row</t>
        </is>
      </c>
      <c r="C31" s="176" t="inlineStr"/>
      <c r="D31" s="176" t="inlineStr">
        <is>
          <t>workstreams/WS2_model_development/fuel_lever_response_2026-10-07.csv</t>
        </is>
      </c>
      <c r="E31" s="176" t="inlineStr">
        <is>
          <t>in the repository</t>
        </is>
      </c>
      <c r="F31" s="176" t="inlineStr">
        <is>
          <t>same file</t>
        </is>
      </c>
      <c r="G31" s="176" t="inlineStr">
        <is>
          <t>python -m lfm.scripts.build_fuel_lever_response --vintage 2026</t>
        </is>
      </c>
      <c r="H31" s="176" t="inlineStr">
        <is>
          <t>2030, 2035</t>
        </is>
      </c>
      <c r="I31" s="176" t="inlineStr">
        <is>
          <t>Proposals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2026-10-08T14:38:40Z</dcterms:created>
  <dcterms:modified xmlns:dcterms="http://purl.org/dc/terms/" xmlns:xsi="http://www.w3.org/2001/XMLSchema-instance" xsi:type="dcterms:W3CDTF">2026-10-08T14:38:42Z</dcterms:modified>
</cp:coreProperties>
</file>