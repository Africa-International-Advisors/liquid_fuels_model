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5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32 facts read from sources, 3 calculated, 6 not available (yellow). Each row gives its source. Petrol and diesel only: 26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2">
      <c r="A12" s="151" t="inlineStr">
        <is>
          <t>Pipeline cost</t>
        </is>
      </c>
      <c r="B12" s="151" t="n"/>
      <c r="C12" s="151" t="n"/>
      <c r="D12" s="151" t="n"/>
      <c r="E12" s="151" t="n"/>
      <c r="F12" s="151" t="n"/>
      <c r="G12" s="151" t="n"/>
      <c r="H12" s="151" t="n"/>
      <c r="I12" s="151" t="n"/>
    </row>
    <row r="13">
      <c r="A13" s="152" t="inlineStr">
        <is>
          <t>Effect of the tariff decision on the fuel price</t>
        </is>
      </c>
      <c r="B13" s="152" t="inlineStr">
        <is>
          <t>Durban to Johannesburg proxy</t>
        </is>
      </c>
      <c r="C13" s="152" t="inlineStr">
        <is>
          <t>+5.23; +3.80</t>
        </is>
      </c>
      <c r="D13" s="152" t="inlineStr">
        <is>
          <t>cents a litre</t>
        </is>
      </c>
      <c r="E13" s="152" t="inlineStr">
        <is>
          <t>2025/26; 2026/27</t>
        </is>
      </c>
      <c r="F13" s="152" t="inlineStr">
        <is>
          <t>observed</t>
        </is>
      </c>
      <c r="G13" s="152" t="inlineStr">
        <is>
          <t>NERSA media statement, 15 April 2025</t>
        </is>
      </c>
      <c r="H13" s="152" t="inlineStr">
        <is>
          <t>p.1</t>
        </is>
      </c>
      <c r="I13" s="152" t="inlineStr">
        <is>
          <t>This is the change, not the tariff. The tariff by route is in the reasons for decision, not yet obtained.</t>
        </is>
      </c>
    </row>
    <row r="14">
      <c r="A14" s="152" t="inlineStr">
        <is>
          <t>Pipeline tariff, Durban to Alrode</t>
        </is>
      </c>
      <c r="B14" s="152" t="inlineStr">
        <is>
          <t>Durban to Alrode (Johannesburg)</t>
        </is>
      </c>
      <c r="C14" s="152" t="inlineStr">
        <is>
          <t>61.74; 67.99</t>
        </is>
      </c>
      <c r="D14" s="152" t="inlineStr">
        <is>
          <t>cents a litre</t>
        </is>
      </c>
      <c r="E14" s="152" t="inlineStr">
        <is>
          <t>2023/24; 2024/25</t>
        </is>
      </c>
      <c r="F14" s="152" t="inlineStr">
        <is>
          <t>observed</t>
        </is>
      </c>
      <c r="G14" s="152" t="inlineStr">
        <is>
          <t>NERSA statement of 15 March 2024, as quoted by Engineering News</t>
        </is>
      </c>
      <c r="H14" s="152" t="inlineStr"/>
      <c r="I14" s="152" t="inlineStr">
        <is>
          <t>Read from a news report quoting the regulator word for word; NERSA's own statement was not located. A 10.13% increase.</t>
        </is>
      </c>
    </row>
    <row r="15">
      <c r="A15" s="156" t="inlineStr">
        <is>
          <t>Pipeline tariff, Durban to Alrode</t>
        </is>
      </c>
      <c r="B15" s="156" t="inlineStr">
        <is>
          <t>Durban to Alrode (Johannesburg)</t>
        </is>
      </c>
      <c r="C15" s="156" t="inlineStr">
        <is>
          <t>73.22; 77.02</t>
        </is>
      </c>
      <c r="D15" s="156" t="inlineStr">
        <is>
          <t>cents a litre</t>
        </is>
      </c>
      <c r="E15" s="156" t="inlineStr">
        <is>
          <t>2025/26; 2026/27</t>
        </is>
      </c>
      <c r="F15" s="156" t="inlineStr">
        <is>
          <t>inferred</t>
        </is>
      </c>
      <c r="G15" s="156" t="inlineStr">
        <is>
          <t>67.99 plus the increases of 5.23 and 3.80 in NERSA's statement of 15 April 2025</t>
        </is>
      </c>
      <c r="H15" s="156" t="inlineStr">
        <is>
          <t>p.1</t>
        </is>
      </c>
      <c r="I15" s="156" t="inlineStr">
        <is>
          <t>Assumes the stated effect on the fuel price is the change in this tariff, as it was in 2024/25. To confirm in the reasons for decision.</t>
        </is>
      </c>
    </row>
    <row r="16">
      <c r="A16" s="162" t="inlineStr">
        <is>
          <t>Tariff on routes other than Durban to Alrode</t>
        </is>
      </c>
      <c r="B16" s="162" t="inlineStr">
        <is>
          <t>Other inland routes</t>
        </is>
      </c>
      <c r="C16" s="162" t="inlineStr">
        <is>
          <t>Not available</t>
        </is>
      </c>
      <c r="D16" s="162" t="inlineStr">
        <is>
          <t>cents a litre</t>
        </is>
      </c>
      <c r="E16" s="162" t="inlineStr">
        <is>
          <t>2026/27</t>
        </is>
      </c>
      <c r="F16" s="162" t="inlineStr">
        <is>
          <t>not available</t>
        </is>
      </c>
      <c r="G16" s="162" t="inlineStr">
        <is>
          <t>NERSA reasons for decision (not obtained)</t>
        </is>
      </c>
      <c r="H16" s="162" t="inlineStr"/>
      <c r="I16" s="162" t="inlineStr">
        <is>
          <t>Needed to compare destinations other than Gauteng. In NERSA's reasons for decision, not located. Owner: Manish.</t>
        </is>
      </c>
    </row>
    <row r="18">
      <c r="A18" s="151" t="inlineStr">
        <is>
          <t>Delivered cost</t>
        </is>
      </c>
      <c r="B18" s="151" t="n"/>
      <c r="C18" s="151" t="n"/>
      <c r="D18" s="151" t="n"/>
      <c r="E18" s="151" t="n"/>
      <c r="F18" s="151" t="n"/>
      <c r="G18" s="151" t="n"/>
      <c r="H18" s="151" t="n"/>
      <c r="I18" s="151" t="n"/>
    </row>
    <row r="19">
      <c r="A19" s="152" t="inlineStr">
        <is>
          <t>Regulated price difference, inland less coast, diesel wholesale</t>
        </is>
      </c>
      <c r="B19" s="152" t="inlineStr">
        <is>
          <t>Gauteng less coast</t>
        </is>
      </c>
      <c r="C19" s="152" t="inlineStr">
        <is>
          <t>79.0; 83.3; 83.3</t>
        </is>
      </c>
      <c r="D19" s="152" t="inlineStr">
        <is>
          <t>cents a litre</t>
        </is>
      </c>
      <c r="E19" s="152" t="inlineStr">
        <is>
          <t>July 2024; July 2025; November 2025</t>
        </is>
      </c>
      <c r="F19" s="152" t="inlineStr">
        <is>
          <t>observed</t>
        </is>
      </c>
      <c r="G19" s="152" t="inlineStr">
        <is>
          <t>Department of Mineral and Petroleum Resources, regulated fuel prices</t>
        </is>
      </c>
      <c r="H19" s="152" t="inlineStr"/>
      <c r="I19" s="152" t="inlineStr">
        <is>
          <t>The regulated allowance for moving fuel inland, not an operator's actual cost. Coast series held ends November 2025.</t>
        </is>
      </c>
    </row>
    <row r="20">
      <c r="A20" s="152" t="inlineStr">
        <is>
          <t>Regulated transport differential, Gauteng (zone 9C)</t>
        </is>
      </c>
      <c r="B20" s="152" t="inlineStr">
        <is>
          <t>Coast to Gauteng</t>
        </is>
      </c>
      <c r="C20" s="152" t="inlineStr">
        <is>
          <t>33.1; 82.8; 91.1</t>
        </is>
      </c>
      <c r="D20" s="152" t="inlineStr">
        <is>
          <t>cents a litre</t>
        </is>
      </c>
      <c r="E20" s="152" t="inlineStr">
        <is>
          <t>April 2014; April 2024; April 2026</t>
        </is>
      </c>
      <c r="F20" s="152" t="inlineStr">
        <is>
          <t>observed</t>
        </is>
      </c>
      <c r="G20" s="152" t="inlineStr">
        <is>
          <t>Department zone lists (2014, 2024); Central Energy Fund price composition (2026)</t>
        </is>
      </c>
      <c r="H20" s="152" t="inlineStr">
        <is>
          <t>CEF p.3</t>
        </is>
      </c>
      <c r="I20" s="152" t="inlineStr">
        <is>
          <t>The regulated allowance for getting petrol and diesel to Gauteng, which the regulator ties to the pipeline tariff. Not a commercial rate.</t>
        </is>
      </c>
    </row>
    <row r="21">
      <c r="A21" s="152" t="inlineStr">
        <is>
          <t>Regulated transport differential, all zones</t>
        </is>
      </c>
      <c r="B21" s="152" t="inlineStr">
        <is>
          <t>Coast to each of 54 pricing zones</t>
        </is>
      </c>
      <c r="C21" s="152" t="inlineStr">
        <is>
          <t>3.8 to 179.6</t>
        </is>
      </c>
      <c r="D21" s="152" t="inlineStr">
        <is>
          <t>cents a litre</t>
        </is>
      </c>
      <c r="E21" s="152" t="inlineStr">
        <is>
          <t>April 2024</t>
        </is>
      </c>
      <c r="F21" s="152" t="inlineStr">
        <is>
          <t>observed</t>
        </is>
      </c>
      <c r="G21" s="152" t="inlineStr">
        <is>
          <t>Department diesel wholesale price list, effective 3 April 2024</t>
        </is>
      </c>
      <c r="H21" s="152" t="inlineStr">
        <is>
          <t>pp.1-2</t>
        </is>
      </c>
      <c r="I21" s="152" t="inlineStr">
        <is>
          <t>Lowest at the coast (zone 1A), highest in zone 17A. By zone on the DR04 transport cost sheet. The files do not say which mode serves each zone.</t>
        </is>
      </c>
    </row>
    <row r="22">
      <c r="A22" s="156" t="inlineStr">
        <is>
          <t>Regulated transport differential less the pipeline tariff, Gauteng</t>
        </is>
      </c>
      <c r="B22" s="156" t="inlineStr">
        <is>
          <t>Coast to Gauteng</t>
        </is>
      </c>
      <c r="C22" s="156" t="inlineStr">
        <is>
          <t>14.8</t>
        </is>
      </c>
      <c r="D22" s="156" t="inlineStr">
        <is>
          <t>cents a litre</t>
        </is>
      </c>
      <c r="E22" s="156" t="inlineStr">
        <is>
          <t>2024/25</t>
        </is>
      </c>
      <c r="F22" s="156" t="inlineStr">
        <is>
          <t>inferred</t>
        </is>
      </c>
      <c r="G22" s="156" t="inlineStr">
        <is>
          <t>82.8 (zone 9C, April 2024) less 67.99 (Durban to Alrode, 2024/25)</t>
        </is>
      </c>
      <c r="H22" s="156" t="inlineStr"/>
      <c r="I22" s="156" t="inlineStr">
        <is>
          <t>What the rest of the Gauteng differential covers is not established.</t>
        </is>
      </c>
    </row>
    <row r="23">
      <c r="A23" s="152" t="inlineStr">
        <is>
          <t>Regulated secondary distribution (depot to service station by road)</t>
        </is>
      </c>
      <c r="B23" s="152" t="inlineStr">
        <is>
          <t>All zones</t>
        </is>
      </c>
      <c r="C23" s="152" t="inlineStr">
        <is>
          <t>17.2; 19.1</t>
        </is>
      </c>
      <c r="D23" s="152" t="inlineStr">
        <is>
          <t>cents a litre</t>
        </is>
      </c>
      <c r="E23" s="152" t="inlineStr">
        <is>
          <t>April 2024; April 2026</t>
        </is>
      </c>
      <c r="F23" s="152" t="inlineStr">
        <is>
          <t>observed</t>
        </is>
      </c>
      <c r="G23" s="152" t="inlineStr">
        <is>
          <t>Department diesel margins (2024); Central Energy Fund price composition (2026)</t>
        </is>
      </c>
      <c r="H23" s="152" t="inlineStr">
        <is>
          <t>CEF p.3</t>
        </is>
      </c>
      <c r="I23" s="152" t="inlineStr">
        <is>
          <t>The only regulated road delivery element. One national figure; it does not vary by distance.</t>
        </is>
      </c>
    </row>
    <row r="24">
      <c r="A24" s="152" t="inlineStr">
        <is>
          <t>Regulated secondary storage</t>
        </is>
      </c>
      <c r="B24" s="152" t="inlineStr">
        <is>
          <t>All zones</t>
        </is>
      </c>
      <c r="C24" s="152" t="inlineStr">
        <is>
          <t>36.6; 39.0</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regulated allowance for depot storage, which is the service a terminal such as Lesedi sells. One national figure.</t>
        </is>
      </c>
    </row>
    <row r="25">
      <c r="A25" s="152" t="inlineStr">
        <is>
          <t>Road against pipeline, as stated by a haulier</t>
        </is>
      </c>
      <c r="B25" s="152" t="inlineStr">
        <is>
          <t>Durban to Gauteng</t>
        </is>
      </c>
      <c r="C25" s="152" t="inlineStr">
        <is>
          <t>Pipeline plus the last stretch by truck costs about a third more than trucking all the way</t>
        </is>
      </c>
      <c r="D25" s="152" t="inlineStr"/>
      <c r="E25" s="152" t="inlineStr">
        <is>
          <t>May 2025</t>
        </is>
      </c>
      <c r="F25" s="152" t="inlineStr">
        <is>
          <t>observed</t>
        </is>
      </c>
      <c r="G25" s="152" t="inlineStr">
        <is>
          <t>Bloomberg, 12 May 2025, quoting the managing director of a fuel haulier</t>
        </is>
      </c>
      <c r="H25" s="152" t="inlineStr"/>
      <c r="I25" s="152" t="inlineStr">
        <is>
          <t>One operator's statement, with no rate given. It implies road is competitive with the pipeline; it is not a measured cost.</t>
        </is>
      </c>
    </row>
    <row r="26">
      <c r="A26" s="162" t="inlineStr">
        <is>
          <t>Commercial road tanker rate, Durban to Gauteng</t>
        </is>
      </c>
      <c r="B26" s="162" t="inlineStr">
        <is>
          <t>Road</t>
        </is>
      </c>
      <c r="C26" s="162" t="inlineStr">
        <is>
          <t>Not available</t>
        </is>
      </c>
      <c r="D26" s="162" t="inlineStr">
        <is>
          <t>cents a litre</t>
        </is>
      </c>
      <c r="E26" s="162" t="inlineStr"/>
      <c r="F26" s="162" t="inlineStr">
        <is>
          <t>not available</t>
        </is>
      </c>
      <c r="G26" s="162" t="inlineStr">
        <is>
          <t>None public</t>
        </is>
      </c>
      <c r="H26" s="162" t="inlineStr"/>
      <c r="I26" s="162" t="inlineStr">
        <is>
          <t>Hauliers' rates are not published. The regulated differentials above are the nearest public figure. Needs Vopak or a haulier quote.</t>
        </is>
      </c>
    </row>
    <row r="27">
      <c r="A27" s="162" t="inlineStr">
        <is>
          <t>Rail rate, Durban to Gauteng</t>
        </is>
      </c>
      <c r="B27" s="162" t="inlineStr">
        <is>
          <t>Rail</t>
        </is>
      </c>
      <c r="C27" s="162" t="inlineStr">
        <is>
          <t>Not available</t>
        </is>
      </c>
      <c r="D27" s="162" t="inlineStr">
        <is>
          <t>cents a litre</t>
        </is>
      </c>
      <c r="E27" s="162" t="inlineStr"/>
      <c r="F27" s="162" t="inlineStr">
        <is>
          <t>not available</t>
        </is>
      </c>
      <c r="G27" s="162" t="inlineStr">
        <is>
          <t>None public</t>
        </is>
      </c>
      <c r="H27" s="162" t="inlineStr"/>
      <c r="I27" s="162" t="inlineStr">
        <is>
          <t>Transnet Freight Rail does not publish rates by commodity, and none was found for fuel. Needs Transnet or Vopak.</t>
        </is>
      </c>
    </row>
    <row r="29">
      <c r="A29" s="151" t="inlineStr">
        <is>
          <t>Port use</t>
        </is>
      </c>
      <c r="B29" s="151" t="n"/>
      <c r="C29" s="151" t="n"/>
      <c r="D29" s="151" t="n"/>
      <c r="E29" s="151" t="n"/>
      <c r="F29" s="151" t="n"/>
      <c r="G29" s="151" t="n"/>
      <c r="H29" s="151" t="n"/>
      <c r="I29" s="151" t="n"/>
    </row>
    <row r="30">
      <c r="A30" s="152" t="inlineStr">
        <is>
          <t>Petrol and diesel imports cleared</t>
        </is>
      </c>
      <c r="B30" s="152" t="inlineStr">
        <is>
          <t>Durban customs office</t>
        </is>
      </c>
      <c r="C30" s="152" t="inlineStr">
        <is>
          <t>11.84; 13.16</t>
        </is>
      </c>
      <c r="D30" s="152" t="inlineStr">
        <is>
          <t>billion litres</t>
        </is>
      </c>
      <c r="E30" s="152" t="inlineStr">
        <is>
          <t>2024; 2025</t>
        </is>
      </c>
      <c r="F30" s="152" t="inlineStr">
        <is>
          <t>observed</t>
        </is>
      </c>
      <c r="G30" s="152" t="inlineStr">
        <is>
          <t>SARS customs, by office</t>
        </is>
      </c>
      <c r="H30" s="152" t="inlineStr"/>
      <c r="I30" s="152" t="inlineStr">
        <is>
          <t>Customs office of clearance: the nearest public record of entry port, not a berth or terminal record.</t>
        </is>
      </c>
    </row>
    <row r="31">
      <c r="A31" s="152" t="inlineStr">
        <is>
          <t>Durban share of petrol and diesel imports</t>
        </is>
      </c>
      <c r="B31" s="152" t="inlineStr">
        <is>
          <t>Durban customs office</t>
        </is>
      </c>
      <c r="C31" s="152" t="inlineStr">
        <is>
          <t>80.0; 78.8</t>
        </is>
      </c>
      <c r="D31" s="152" t="inlineStr">
        <is>
          <t>%</t>
        </is>
      </c>
      <c r="E31" s="152" t="inlineStr">
        <is>
          <t>2024; 2025</t>
        </is>
      </c>
      <c r="F31" s="152" t="inlineStr">
        <is>
          <t>observed</t>
        </is>
      </c>
      <c r="G31" s="152" t="inlineStr">
        <is>
          <t>SARS customs, by office</t>
        </is>
      </c>
      <c r="H31" s="152" t="inlineStr"/>
      <c r="I31" s="152" t="inlineStr"/>
    </row>
    <row r="32">
      <c r="A32" s="152" t="inlineStr">
        <is>
          <t>Petrol and diesel imports cleared</t>
        </is>
      </c>
      <c r="B32" s="152" t="inlineStr">
        <is>
          <t>Richards Bay customs office</t>
        </is>
      </c>
      <c r="C32" s="152" t="inlineStr">
        <is>
          <t>0.39; 0.66</t>
        </is>
      </c>
      <c r="D32" s="152" t="inlineStr">
        <is>
          <t>billion litres</t>
        </is>
      </c>
      <c r="E32" s="152" t="inlineStr">
        <is>
          <t>2024; 2025</t>
        </is>
      </c>
      <c r="F32" s="152" t="inlineStr">
        <is>
          <t>observed</t>
        </is>
      </c>
      <c r="G32" s="152" t="inlineStr">
        <is>
          <t>SARS customs, by office</t>
        </is>
      </c>
      <c r="H32" s="152" t="inlineStr"/>
      <c r="I32" s="152" t="inlineStr"/>
    </row>
    <row r="33">
      <c r="A33" s="152" t="inlineStr">
        <is>
          <t>Petrol and diesel imports cleared</t>
        </is>
      </c>
      <c r="B33" s="152" t="inlineStr">
        <is>
          <t>Cape Town customs office</t>
        </is>
      </c>
      <c r="C33" s="152" t="inlineStr">
        <is>
          <t>1.09; 1.52</t>
        </is>
      </c>
      <c r="D33" s="152" t="inlineStr">
        <is>
          <t>billion litres</t>
        </is>
      </c>
      <c r="E33" s="152" t="inlineStr">
        <is>
          <t>2024; 2025</t>
        </is>
      </c>
      <c r="F33" s="152" t="inlineStr">
        <is>
          <t>observed</t>
        </is>
      </c>
      <c r="G33" s="152" t="inlineStr">
        <is>
          <t>SARS customs, by office</t>
        </is>
      </c>
      <c r="H33" s="152" t="inlineStr"/>
      <c r="I33" s="152" t="inlineStr"/>
    </row>
    <row r="34">
      <c r="A34" s="152" t="inlineStr">
        <is>
          <t>Petrol and diesel imports by road from Mozambique</t>
        </is>
      </c>
      <c r="B34" s="152" t="inlineStr">
        <is>
          <t>Komatipoort customs office</t>
        </is>
      </c>
      <c r="C34" s="152" t="inlineStr">
        <is>
          <t>0.19; 0.09</t>
        </is>
      </c>
      <c r="D34" s="152" t="inlineStr">
        <is>
          <t>billion litres</t>
        </is>
      </c>
      <c r="E34" s="152" t="inlineStr">
        <is>
          <t>2024; 2025</t>
        </is>
      </c>
      <c r="F34" s="152" t="inlineStr">
        <is>
          <t>observed</t>
        </is>
      </c>
      <c r="G34" s="152" t="inlineStr">
        <is>
          <t>SARS customs, by office</t>
        </is>
      </c>
      <c r="H34" s="152" t="inlineStr"/>
      <c r="I34" s="152" t="inlineStr">
        <is>
          <t>The only recorded entry from the Maputo and Matola side.</t>
        </is>
      </c>
    </row>
    <row r="36">
      <c r="A36" s="151" t="inlineStr">
        <is>
          <t>Port limit</t>
        </is>
      </c>
      <c r="B36" s="151" t="n"/>
      <c r="C36" s="151" t="n"/>
      <c r="D36" s="151" t="n"/>
      <c r="E36" s="151" t="n"/>
      <c r="F36" s="151" t="n"/>
      <c r="G36" s="151" t="n"/>
      <c r="H36" s="151" t="n"/>
      <c r="I36" s="151" t="n"/>
    </row>
    <row r="37">
      <c r="A37" s="152" t="inlineStr">
        <is>
          <t>Berths</t>
        </is>
      </c>
      <c r="B37" s="152" t="inlineStr">
        <is>
          <t>Durban</t>
        </is>
      </c>
      <c r="C37" s="152" t="inlineStr">
        <is>
          <t>58 berths, 41 in operation, of which 8 liquid bulk</t>
        </is>
      </c>
      <c r="D37" s="152" t="inlineStr"/>
      <c r="E37" s="152" t="inlineStr">
        <is>
          <t>as on the page, read 8 October 2026</t>
        </is>
      </c>
      <c r="F37" s="152" t="inlineStr">
        <is>
          <t>observed</t>
        </is>
      </c>
      <c r="G37" s="152" t="inlineStr">
        <is>
          <t>Transnet National Ports Authority, Our Ports page</t>
        </is>
      </c>
      <c r="H37" s="152" t="inlineStr">
        <is>
          <t>Port of Durban, Fast Fact</t>
        </is>
      </c>
      <c r="I37" s="152" t="inlineStr">
        <is>
          <t>No capacity in kilolitres is given on the page.</t>
        </is>
      </c>
    </row>
    <row r="38">
      <c r="A38" s="152" t="inlineStr">
        <is>
          <t>Berths</t>
        </is>
      </c>
      <c r="B38" s="152" t="inlineStr">
        <is>
          <t>Richards Bay</t>
        </is>
      </c>
      <c r="C38" s="152" t="inlineStr">
        <is>
          <t>22 berths, of which 2 liquid bulk</t>
        </is>
      </c>
      <c r="D38" s="152" t="inlineStr"/>
      <c r="E38" s="152" t="inlineStr">
        <is>
          <t>as on the page, read 8 October 2026</t>
        </is>
      </c>
      <c r="F38" s="152" t="inlineStr">
        <is>
          <t>observed</t>
        </is>
      </c>
      <c r="G38" s="152" t="inlineStr">
        <is>
          <t>Transnet National Ports Authority, Our Ports page</t>
        </is>
      </c>
      <c r="H38" s="152" t="inlineStr">
        <is>
          <t>Port of Richards Bay, Fast Fact</t>
        </is>
      </c>
      <c r="I38" s="152" t="inlineStr">
        <is>
          <t>No capacity in kilolitres is given on the page.</t>
        </is>
      </c>
    </row>
    <row r="39">
      <c r="A39" s="152" t="inlineStr">
        <is>
          <t>Planned berth changes at Island View</t>
        </is>
      </c>
      <c r="B39" s="152" t="inlineStr">
        <is>
          <t>Durban, Island View</t>
        </is>
      </c>
      <c r="C39" s="152" t="inlineStr">
        <is>
          <t>Berth 1 to be rebuilt (2026); Berth 3 to convert from dry bulk to liquid bulk (2026)</t>
        </is>
      </c>
      <c r="D39" s="152" t="inlineStr"/>
      <c r="E39" s="152" t="inlineStr">
        <is>
          <t>port framework plan 2022-2032</t>
        </is>
      </c>
      <c r="F39" s="152" t="inlineStr">
        <is>
          <t>observed</t>
        </is>
      </c>
      <c r="G39" s="152" t="inlineStr">
        <is>
          <t>Port authority tariff application slides, 2 September 2025</t>
        </is>
      </c>
      <c r="H39" s="152" t="inlineStr">
        <is>
          <t>PDF p.14</t>
        </is>
      </c>
      <c r="I39" s="152" t="inlineStr">
        <is>
          <t>Whether either is delivered is shown only by colour on the slide, which the text does not carry.</t>
        </is>
      </c>
    </row>
    <row r="40">
      <c r="A40" s="152" t="inlineStr">
        <is>
          <t>Planned liquid bulk berth at Richards Bay</t>
        </is>
      </c>
      <c r="B40" s="152" t="inlineStr">
        <is>
          <t>Richards Bay</t>
        </is>
      </c>
      <c r="C40" s="152" t="inlineStr">
        <is>
          <t>New liquid bulk berth 210 (2025); South Dunes liquid bulk development (2024)</t>
        </is>
      </c>
      <c r="D40" s="152" t="inlineStr"/>
      <c r="E40" s="152" t="inlineStr">
        <is>
          <t>port framework plan 2022-2032</t>
        </is>
      </c>
      <c r="F40" s="152" t="inlineStr">
        <is>
          <t>observed</t>
        </is>
      </c>
      <c r="G40" s="152" t="inlineStr">
        <is>
          <t>Port authority tariff application slides, 2 September 2025</t>
        </is>
      </c>
      <c r="H40" s="152" t="inlineStr">
        <is>
          <t>PDF pp.11-12</t>
        </is>
      </c>
      <c r="I40" s="152" t="inlineStr">
        <is>
          <t>Delivery status not readable from the text.</t>
        </is>
      </c>
    </row>
    <row r="42">
      <c r="A42" s="151" t="inlineStr">
        <is>
          <t>Access</t>
        </is>
      </c>
      <c r="B42" s="151" t="n"/>
      <c r="C42" s="151" t="n"/>
      <c r="D42" s="151" t="n"/>
      <c r="E42" s="151" t="n"/>
      <c r="F42" s="151" t="n"/>
      <c r="G42" s="151" t="n"/>
      <c r="H42" s="151" t="n"/>
      <c r="I42" s="151" t="n"/>
    </row>
    <row r="43">
      <c r="A43" s="152" t="inlineStr">
        <is>
          <t>Lesedi connection to the pipeline</t>
        </is>
      </c>
      <c r="B43" s="152" t="inlineStr">
        <is>
          <t>Vopak Lesedi, Jameson Park</t>
        </is>
      </c>
      <c r="C43" s="152" t="inlineStr">
        <is>
          <t>Four pipelines to the Transnet system at Jameson Park; intake from the Transnet pipeline</t>
        </is>
      </c>
      <c r="D43" s="152" t="inlineStr"/>
      <c r="E43" s="152" t="inlineStr">
        <is>
          <t>licence of 26 August 2020</t>
        </is>
      </c>
      <c r="F43" s="152" t="inlineStr">
        <is>
          <t>observed</t>
        </is>
      </c>
      <c r="G43" s="152" t="inlineStr">
        <is>
          <t>NERSA reasons for decision, Vopak licence amendment</t>
        </is>
      </c>
      <c r="H43" s="152" t="inlineStr">
        <is>
          <t>PDF p.6</t>
        </is>
      </c>
      <c r="I43" s="152" t="inlineStr"/>
    </row>
    <row r="44">
      <c r="A44" s="152" t="inlineStr">
        <is>
          <t>Lesedi dispatch</t>
        </is>
      </c>
      <c r="B44" s="152" t="inlineStr">
        <is>
          <t>Vopak Lesedi, Jameson Park</t>
        </is>
      </c>
      <c r="C44" s="152" t="inlineStr">
        <is>
          <t>8</t>
        </is>
      </c>
      <c r="D44" s="152" t="inlineStr">
        <is>
          <t>road loading bays</t>
        </is>
      </c>
      <c r="E44" s="152" t="inlineStr">
        <is>
          <t>2025</t>
        </is>
      </c>
      <c r="F44" s="152" t="inlineStr">
        <is>
          <t>observed</t>
        </is>
      </c>
      <c r="G44" s="152" t="inlineStr">
        <is>
          <t>NERSA reasons for decision, Vopak licence amendment</t>
        </is>
      </c>
      <c r="H44" s="152" t="inlineStr">
        <is>
          <t>PDF p.7</t>
        </is>
      </c>
      <c r="I44" s="152" t="inlineStr">
        <is>
          <t>Dispatch is by road only; no rail or outbound pipeline is mentioned.</t>
        </is>
      </c>
    </row>
    <row r="45">
      <c r="A45" s="152" t="inlineStr">
        <is>
          <t>Lesedi licensed capacity</t>
        </is>
      </c>
      <c r="B45" s="152" t="inlineStr">
        <is>
          <t>Vopak Lesedi, Jameson Park</t>
        </is>
      </c>
      <c r="C45" s="152" t="inlineStr">
        <is>
          <t>100000 rising to 140000</t>
        </is>
      </c>
      <c r="D45" s="152" t="inlineStr">
        <is>
          <t>m3</t>
        </is>
      </c>
      <c r="E45" s="152" t="inlineStr">
        <is>
          <t>2020; after the 2025 expansion</t>
        </is>
      </c>
      <c r="F45" s="152" t="inlineStr">
        <is>
          <t>observed</t>
        </is>
      </c>
      <c r="G45" s="152" t="inlineStr">
        <is>
          <t>NERSA reasons for decision, Vopak licence amendment</t>
        </is>
      </c>
      <c r="H45" s="152" t="inlineStr">
        <is>
          <t>PDF p.6</t>
        </is>
      </c>
      <c r="I45" s="152" t="inlineStr">
        <is>
          <t>Design capacity. Six tanks (three diesel, three petrol) plus two diesel tanks.</t>
        </is>
      </c>
    </row>
    <row r="46">
      <c r="A46" s="152" t="inlineStr">
        <is>
          <t>Who ships to Lesedi</t>
        </is>
      </c>
      <c r="B46" s="152" t="inlineStr">
        <is>
          <t>Durban to Jameson Park</t>
        </is>
      </c>
      <c r="C46" s="152" t="inlineStr">
        <is>
          <t>Lesedi's contracted customers are shippers on the Transnet pipeline from Durban, with one exception</t>
        </is>
      </c>
      <c r="D46" s="152" t="inlineStr"/>
      <c r="E46" s="152" t="inlineStr">
        <is>
          <t>2024/25</t>
        </is>
      </c>
      <c r="F46" s="152" t="inlineStr">
        <is>
          <t>observed</t>
        </is>
      </c>
      <c r="G46" s="152" t="inlineStr">
        <is>
          <t>NERSA reasons for decision, Vopak licence amendment</t>
        </is>
      </c>
      <c r="H46" s="152" t="inlineStr">
        <is>
          <t>PDF p.9</t>
        </is>
      </c>
      <c r="I46" s="152" t="inlineStr">
        <is>
          <t>Customer names are redacted.</t>
        </is>
      </c>
    </row>
    <row r="47">
      <c r="A47" s="152" t="inlineStr">
        <is>
          <t>Durban terminal receipt</t>
        </is>
      </c>
      <c r="B47" s="152" t="inlineStr">
        <is>
          <t>Vopak Terminal Durban, Island View</t>
        </is>
      </c>
      <c r="C47" s="152" t="inlineStr">
        <is>
          <t>By ship (own lines at jetties 1, 2 and 4; industry lines at berths 6, 7 and 8) and by pipeline transfer from neighbouring companies</t>
        </is>
      </c>
      <c r="D47" s="152" t="inlineStr"/>
      <c r="E47" s="152" t="inlineStr">
        <is>
          <t>undated allocation mechanism</t>
        </is>
      </c>
      <c r="F47" s="152" t="inlineStr">
        <is>
          <t>observed</t>
        </is>
      </c>
      <c r="G47" s="152" t="inlineStr">
        <is>
          <t>Vopak Terminal Durban allocation mechanism filed with NERSA</t>
        </is>
      </c>
      <c r="H47" s="152" t="inlineStr">
        <is>
          <t>p.5</t>
        </is>
      </c>
      <c r="I47" s="152" t="inlineStr">
        <is>
          <t>The document is old: it gives 18,091 m3 of petroleum storage, far below today's. Berth access needs confirming with Vopak.</t>
        </is>
      </c>
    </row>
    <row r="48">
      <c r="A48" s="152" t="inlineStr">
        <is>
          <t>Durban terminal dispatch</t>
        </is>
      </c>
      <c r="B48" s="152" t="inlineStr">
        <is>
          <t>Vopak Terminal Durban, Island View</t>
        </is>
      </c>
      <c r="C48" s="152" t="inlineStr">
        <is>
          <t>Mainly road; also ship or barge loading and pipeline transfer</t>
        </is>
      </c>
      <c r="D48" s="152" t="inlineStr"/>
      <c r="E48" s="152" t="inlineStr">
        <is>
          <t>undated allocation mechanism</t>
        </is>
      </c>
      <c r="F48" s="152" t="inlineStr">
        <is>
          <t>observed</t>
        </is>
      </c>
      <c r="G48" s="152" t="inlineStr">
        <is>
          <t>Vopak Terminal Durban allocation mechanism filed with NERSA</t>
        </is>
      </c>
      <c r="H48" s="152" t="inlineStr">
        <is>
          <t>pp.4, 6</t>
        </is>
      </c>
      <c r="I48" s="152" t="inlineStr">
        <is>
          <t>Whether Vopak Durban injects directly into the Transnet trunk line is not stated in this document.</t>
        </is>
      </c>
    </row>
    <row r="49">
      <c r="A49" s="152" t="inlineStr">
        <is>
          <t>Notice periods at Durban</t>
        </is>
      </c>
      <c r="B49" s="152" t="inlineStr">
        <is>
          <t>Vopak Terminal Durban</t>
        </is>
      </c>
      <c r="C49" s="152" t="inlineStr">
        <is>
          <t>Two weeks for a vessel; one week for a pipeline transfer; two days for road loading</t>
        </is>
      </c>
      <c r="D49" s="152" t="inlineStr"/>
      <c r="E49" s="152" t="inlineStr">
        <is>
          <t>undated allocation mechanism</t>
        </is>
      </c>
      <c r="F49" s="152" t="inlineStr">
        <is>
          <t>observed</t>
        </is>
      </c>
      <c r="G49" s="152" t="inlineStr">
        <is>
          <t>Vopak Terminal Durban allocation mechanism filed with NERSA</t>
        </is>
      </c>
      <c r="H49" s="152" t="inlineStr">
        <is>
          <t>p.3</t>
        </is>
      </c>
      <c r="I49" s="152" t="inlineStr">
        <is>
          <t>Old document; confirm with Vopak.</t>
        </is>
      </c>
    </row>
    <row r="51">
      <c r="A51" s="151" t="inlineStr">
        <is>
          <t>Competing routes</t>
        </is>
      </c>
      <c r="B51" s="151" t="n"/>
      <c r="C51" s="151" t="n"/>
      <c r="D51" s="151" t="n"/>
      <c r="E51" s="151" t="n"/>
      <c r="F51" s="151" t="n"/>
      <c r="G51" s="151" t="n"/>
      <c r="H51" s="151" t="n"/>
      <c r="I51" s="151" t="n"/>
    </row>
    <row r="52">
      <c r="A52" s="152" t="inlineStr">
        <is>
          <t>Diesel imported by road from Mozambique</t>
        </is>
      </c>
      <c r="B52" s="152" t="inlineStr">
        <is>
          <t>Maputo and Matola, through Komatipoort</t>
        </is>
      </c>
      <c r="C52" s="152" t="inlineStr">
        <is>
          <t>0.21; 0.21; 0.20; 0.27; 0.25; 0.19; 0.08</t>
        </is>
      </c>
      <c r="D52" s="152" t="inlineStr">
        <is>
          <t>billion litres</t>
        </is>
      </c>
      <c r="E52" s="152" t="inlineStr">
        <is>
          <t>2019; 2020; 2021; 2022; 2023; 2024; 2025</t>
        </is>
      </c>
      <c r="F52" s="152" t="inlineStr">
        <is>
          <t>observed</t>
        </is>
      </c>
      <c r="G52" s="152" t="inlineStr">
        <is>
          <t>SARS customs, by office</t>
        </is>
      </c>
      <c r="H52" s="152" t="inlineStr"/>
      <c r="I52" s="152" t="inlineStr">
        <is>
          <t>Falling since 2022. Diesel and petrol together were 0.5% of petrol and diesel imports in 2025.</t>
        </is>
      </c>
    </row>
    <row r="53">
      <c r="A53" s="152" t="inlineStr">
        <is>
          <t>Petrol imported by road from Mozambique</t>
        </is>
      </c>
      <c r="B53" s="152" t="inlineStr">
        <is>
          <t>Maputo and Matola, through Komatipoort</t>
        </is>
      </c>
      <c r="C53" s="152" t="inlineStr">
        <is>
          <t>0.039; 0.031; 0.039; 0.029; 0.000; 0.001; 0.004</t>
        </is>
      </c>
      <c r="D53" s="152" t="inlineStr">
        <is>
          <t>billion litres</t>
        </is>
      </c>
      <c r="E53" s="152" t="inlineStr">
        <is>
          <t>2019; 2020; 2021; 2022; 2023; 2024; 2025</t>
        </is>
      </c>
      <c r="F53" s="152" t="inlineStr">
        <is>
          <t>observed</t>
        </is>
      </c>
      <c r="G53" s="152" t="inlineStr">
        <is>
          <t>SARS customs, by office</t>
        </is>
      </c>
      <c r="H53" s="152" t="inlineStr"/>
      <c r="I53" s="152" t="inlineStr">
        <is>
          <t>Small and almost nil since 2023.</t>
        </is>
      </c>
    </row>
    <row r="54">
      <c r="A54" s="152" t="inlineStr">
        <is>
          <t>Petrol and diesel imported through Namibian and Botswanan border posts</t>
        </is>
      </c>
      <c r="B54" s="152" t="inlineStr">
        <is>
          <t>Walvis Bay and the Trans-Kalahari road</t>
        </is>
      </c>
      <c r="C54" s="152" t="inlineStr">
        <is>
          <t>0.00 in every year</t>
        </is>
      </c>
      <c r="D54" s="152" t="inlineStr">
        <is>
          <t>billion litres</t>
        </is>
      </c>
      <c r="E54" s="152" t="inlineStr">
        <is>
          <t>2019-2025</t>
        </is>
      </c>
      <c r="F54" s="152" t="inlineStr">
        <is>
          <t>observed</t>
        </is>
      </c>
      <c r="G54" s="152" t="inlineStr">
        <is>
          <t>SARS customs, by office</t>
        </is>
      </c>
      <c r="H54" s="152" t="inlineStr"/>
      <c r="I54" s="152" t="inlineStr">
        <is>
          <t>Nakop (Narogas), Kopfontein, Skilpadshek, Groblersbrug and Ramatlabama record none. The route is not used for supply into South Africa.</t>
        </is>
      </c>
    </row>
    <row r="55">
      <c r="A55" s="152" t="inlineStr">
        <is>
          <t>Diesel and petrol storage planned at Walvis Bay</t>
        </is>
      </c>
      <c r="B55" s="152" t="inlineStr">
        <is>
          <t>Walvis Bay, national fuel storage facility</t>
        </is>
      </c>
      <c r="C55" s="152" t="inlineStr">
        <is>
          <t>45 diesel; 20 petrol</t>
        </is>
      </c>
      <c r="D55" s="152" t="inlineStr">
        <is>
          <t>million litres</t>
        </is>
      </c>
      <c r="E55" s="152" t="inlineStr">
        <is>
          <t>as planned; news item undated</t>
        </is>
      </c>
      <c r="F55" s="152" t="inlineStr">
        <is>
          <t>observed</t>
        </is>
      </c>
      <c r="G55" s="152" t="inlineStr">
        <is>
          <t>Namibian Ports Authority news item</t>
        </is>
      </c>
      <c r="H55" s="152" t="inlineStr"/>
      <c r="I55" s="152" t="inlineStr">
        <is>
          <t>Of 75 million litres in all; the rest is fuel oil and aviation fuel. Built for Namibia's own supply. Current operating capacity not confirmed.</t>
        </is>
      </c>
    </row>
    <row r="56">
      <c r="A56" s="162" t="inlineStr">
        <is>
          <t>Petrol and diesel storage at Matola</t>
        </is>
      </c>
      <c r="B56" s="162" t="inlineStr">
        <is>
          <t>Maputo and Matola terminals</t>
        </is>
      </c>
      <c r="C56" s="162" t="inlineStr">
        <is>
          <t>Not available</t>
        </is>
      </c>
      <c r="D56" s="162" t="inlineStr">
        <is>
          <t>m3</t>
        </is>
      </c>
      <c r="E56" s="162" t="inlineStr"/>
      <c r="F56" s="162" t="inlineStr">
        <is>
          <t>not available</t>
        </is>
      </c>
      <c r="G56" s="162" t="inlineStr">
        <is>
          <t>None for petrol and diesel alone</t>
        </is>
      </c>
      <c r="H56" s="162" t="inlineStr"/>
      <c r="I56" s="162" t="inlineStr">
        <is>
          <t>A 2015 report gives one operator 275,500 m3 in Mozambique, but that includes bitumen, so it is not used. Capacity by product not found.</t>
        </is>
      </c>
    </row>
    <row r="57">
      <c r="A57" s="162" t="inlineStr">
        <is>
          <t>Road rate and border cost, Matola to Gauteng</t>
        </is>
      </c>
      <c r="B57" s="162" t="inlineStr">
        <is>
          <t>Maputo and Matola, through Komatipoort</t>
        </is>
      </c>
      <c r="C57" s="162" t="inlineStr">
        <is>
          <t>Not available</t>
        </is>
      </c>
      <c r="D57" s="162" t="inlineStr">
        <is>
          <t>cents a litre</t>
        </is>
      </c>
      <c r="E57" s="162" t="inlineStr"/>
      <c r="F57" s="162" t="inlineStr">
        <is>
          <t>not available</t>
        </is>
      </c>
      <c r="G57" s="162" t="inlineStr">
        <is>
          <t>None public</t>
        </is>
      </c>
      <c r="H57" s="162" t="inlineStr"/>
      <c r="I57" s="162" t="inlineStr">
        <is>
          <t>Needed for a matched delivered cost. Needs a haulier or Vopak.</t>
        </is>
      </c>
    </row>
    <row r="58">
      <c r="A58" s="162" t="inlineStr">
        <is>
          <t>Petrol and diesel supplied inland by Natref and Secunda</t>
        </is>
      </c>
      <c r="B58" s="162" t="inlineStr">
        <is>
          <t>Sasolburg and Secunda</t>
        </is>
      </c>
      <c r="C58" s="162" t="inlineStr">
        <is>
          <t>Not available</t>
        </is>
      </c>
      <c r="D58" s="162" t="inlineStr">
        <is>
          <t>billion litres</t>
        </is>
      </c>
      <c r="E58" s="162" t="inlineStr"/>
      <c r="F58" s="162" t="inlineStr">
        <is>
          <t>not started</t>
        </is>
      </c>
      <c r="G58" s="162" t="inlineStr">
        <is>
          <t>None found</t>
        </is>
      </c>
      <c r="H58" s="162" t="inlineStr"/>
      <c r="I58"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58C</t>
        </is>
      </c>
      <c r="B17" s="172" t="inlineStr">
        <is>
          <t>Mpumalanga, KwaZulu Natal</t>
        </is>
      </c>
      <c r="C17" s="190" t="n">
        <v>3</v>
      </c>
      <c r="D17" s="172" t="inlineStr">
        <is>
          <t>Piet Retief, Simdlangentsha, Wakkerstroom</t>
        </is>
      </c>
      <c r="E17" s="191" t="n">
        <v>35.4</v>
      </c>
      <c r="F17" s="191" t="n">
        <v>93.09999999999999</v>
      </c>
      <c r="G17" s="192">
        <f>IF(COUNT(E17,F17)&lt;2,"",F17-E17)</f>
        <v/>
      </c>
      <c r="H17" s="172" t="inlineStr">
        <is>
          <t>Department of Mineral and Petroleum Resources, zone lists effective 2 April 2014 and 3 April 2024</t>
        </is>
      </c>
    </row>
    <row r="18">
      <c r="A18" s="170" t="inlineStr">
        <is>
          <t>8C</t>
        </is>
      </c>
      <c r="B18" s="172" t="inlineStr">
        <is>
          <t>Mpumalanga, Free State</t>
        </is>
      </c>
      <c r="C18" s="190" t="n">
        <v>14</v>
      </c>
      <c r="D18" s="172" t="inlineStr">
        <is>
          <t>Amersfoort, Clocolan, Ermelo, Ficksburg, Frankfort, Heilbron</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64C</t>
        </is>
      </c>
      <c r="B33" s="172" t="inlineStr">
        <is>
          <t>Limpopo</t>
        </is>
      </c>
      <c r="C33" s="190" t="n">
        <v>2</v>
      </c>
      <c r="D33" s="172" t="inlineStr">
        <is>
          <t>Giyani, Malamulele</t>
        </is>
      </c>
      <c r="E33" s="191" t="n">
        <v>92.2</v>
      </c>
      <c r="F33" s="191" t="n">
        <v>175.8</v>
      </c>
      <c r="G33" s="192">
        <f>IF(COUNT(E33,F33)&lt;2,"",F33-E33)</f>
        <v/>
      </c>
      <c r="H33" s="172" t="inlineStr">
        <is>
          <t>Department of Mineral and Petroleum Resources, zone lists effective 2 April 2014 and 3 April 2024</t>
        </is>
      </c>
    </row>
    <row r="34">
      <c r="A34" s="170" t="inlineStr">
        <is>
          <t>14C</t>
        </is>
      </c>
      <c r="B34" s="172" t="inlineStr">
        <is>
          <t>Limpopo</t>
        </is>
      </c>
      <c r="C34" s="190" t="n">
        <v>3</v>
      </c>
      <c r="D34" s="172" t="inlineStr">
        <is>
          <t>Dzanani North (East of Musina), Musina (Messina) (East of 30o longitude), Mutale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19A</t>
        </is>
      </c>
      <c r="B62" s="172" t="inlineStr">
        <is>
          <t>Northern Cape</t>
        </is>
      </c>
      <c r="C62" s="190" t="n">
        <v>1</v>
      </c>
      <c r="D62" s="172" t="inlineStr">
        <is>
          <t>Gordonia (north of 27o30' latitude)</t>
        </is>
      </c>
      <c r="E62" s="191" t="n">
        <v>106.6</v>
      </c>
      <c r="F62" s="191" t="n">
        <v>167.3</v>
      </c>
      <c r="G62" s="192">
        <f>IF(COUNT(E62,F62)&lt;2,"",F62-E62)</f>
        <v/>
      </c>
      <c r="H62" s="172" t="inlineStr">
        <is>
          <t>Department of Mineral and Petroleum Resources, zone lists effective 2 April 2014 and 3 April 2024</t>
        </is>
      </c>
    </row>
    <row r="63">
      <c r="A63" s="170" t="inlineStr">
        <is>
          <t>69A</t>
        </is>
      </c>
      <c r="B63" s="172" t="inlineStr">
        <is>
          <t>Northern Cape</t>
        </is>
      </c>
      <c r="C63" s="190" t="n">
        <v>1</v>
      </c>
      <c r="D63" s="172" t="inlineStr">
        <is>
          <t>Kenhardt (west of 20o longitude)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42 facts read from sources, 10 calculated, 7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 shutdown</t>
        </is>
      </c>
      <c r="B15" s="152" t="inlineStr">
        <is>
          <t>Komati</t>
        </is>
      </c>
      <c r="C15" s="152" t="inlineStr">
        <is>
          <t>Shut down</t>
        </is>
      </c>
      <c r="D15" s="152" t="inlineStr"/>
      <c r="E15" s="152" t="inlineStr">
        <is>
          <t>October 2022</t>
        </is>
      </c>
      <c r="F15" s="152" t="inlineStr">
        <is>
          <t>observed</t>
        </is>
      </c>
      <c r="G15" s="152" t="inlineStr">
        <is>
          <t>Eskom, coal-fired power stations page</t>
        </is>
      </c>
      <c r="H15" s="152" t="inlineStr"/>
      <c r="I15" s="152" t="inlineStr">
        <is>
          <t>The last unit, unit 9.</t>
        </is>
      </c>
    </row>
    <row r="16">
      <c r="A16" s="152" t="inlineStr">
        <is>
          <t>Coal station shutdown</t>
        </is>
      </c>
      <c r="B16" s="152" t="inlineStr">
        <is>
          <t>Camden, Hendrina, Grootvlei, Arnot and Kriel</t>
        </is>
      </c>
      <c r="C16" s="152" t="inlineStr">
        <is>
          <t>Scheduled to shut down</t>
        </is>
      </c>
      <c r="D16" s="152" t="inlineStr"/>
      <c r="E16" s="152" t="inlineStr">
        <is>
          <t>by 31 March 2030</t>
        </is>
      </c>
      <c r="F16" s="152" t="inlineStr">
        <is>
          <t>observed</t>
        </is>
      </c>
      <c r="G16" s="152" t="inlineStr">
        <is>
          <t>Eskom Integrated Report 2025; system operator outlook</t>
        </is>
      </c>
      <c r="H16" s="152" t="inlineStr">
        <is>
          <t>Eskom PDF pp.32, 44; outlook PDF pp.17, 19</t>
        </is>
      </c>
      <c r="I16" s="152" t="inlineStr">
        <is>
          <t>Eskom: the four older stations 'will now continue operating until FY2030'. System operator: all five run to the end of 2028, then shut in phases from 2029.</t>
        </is>
      </c>
    </row>
    <row r="17">
      <c r="A17" s="152" t="inlineStr">
        <is>
          <t>Coal station shutdown</t>
        </is>
      </c>
      <c r="B17" s="152" t="inlineStr">
        <is>
          <t>Duvha</t>
        </is>
      </c>
      <c r="C17" s="152" t="inlineStr">
        <is>
          <t>Planned shutdown</t>
        </is>
      </c>
      <c r="D17" s="152" t="inlineStr"/>
      <c r="E17" s="152" t="inlineStr">
        <is>
          <t>February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Matla</t>
        </is>
      </c>
      <c r="C18" s="152" t="inlineStr">
        <is>
          <t>Planned shutdown</t>
        </is>
      </c>
      <c r="D18" s="152" t="inlineStr"/>
      <c r="E18" s="152" t="inlineStr">
        <is>
          <t>July 2034</t>
        </is>
      </c>
      <c r="F18" s="152" t="inlineStr">
        <is>
          <t>observed</t>
        </is>
      </c>
      <c r="G18" s="152" t="inlineStr">
        <is>
          <t>System operator, Medium-Term System Adequacy Outlook 2026-2030 (30 October 2025)</t>
        </is>
      </c>
      <c r="H18" s="152" t="inlineStr">
        <is>
          <t>PDF p.19</t>
        </is>
      </c>
      <c r="I18" s="152" t="inlineStr">
        <is>
          <t>Its emissions exemption runs to this date.</t>
        </is>
      </c>
    </row>
    <row r="19">
      <c r="A19" s="152" t="inlineStr">
        <is>
          <t>Coal station shutdown</t>
        </is>
      </c>
      <c r="B19" s="152" t="inlineStr">
        <is>
          <t>Tutuka</t>
        </is>
      </c>
      <c r="C19" s="152" t="inlineStr">
        <is>
          <t>Scheduled for closure under Eskom's Generation 2035 plan</t>
        </is>
      </c>
      <c r="D19" s="152" t="inlineStr"/>
      <c r="E19" s="152" t="inlineStr">
        <is>
          <t>by 2030</t>
        </is>
      </c>
      <c r="F19" s="152" t="inlineStr">
        <is>
          <t>observed</t>
        </is>
      </c>
      <c r="G19" s="152" t="inlineStr">
        <is>
          <t>Eskom, coal-fired power stations page</t>
        </is>
      </c>
      <c r="H19" s="152" t="inlineStr"/>
      <c r="I19" s="152" t="inlineStr">
        <is>
          <t>The system operator's outlook does not count Tutuka among the stations shutting by 2030, so this may be an older plan.</t>
        </is>
      </c>
    </row>
    <row r="20">
      <c r="A20" s="152" t="inlineStr">
        <is>
          <t>Coal station shutdown</t>
        </is>
      </c>
      <c r="B20" s="152" t="inlineStr">
        <is>
          <t>Kendal, Lethabo, Majuba, Matimba and Medupi</t>
        </is>
      </c>
      <c r="C20" s="152" t="inlineStr">
        <is>
          <t>Emissions exemption to 31 March 2030</t>
        </is>
      </c>
      <c r="D20" s="152" t="inlineStr"/>
      <c r="E20" s="152" t="inlineStr">
        <is>
          <t>no shutdown date given</t>
        </is>
      </c>
      <c r="F20" s="152" t="inlineStr">
        <is>
          <t>observed</t>
        </is>
      </c>
      <c r="G20" s="152" t="inlineStr">
        <is>
          <t>System operator, Medium-Term System Adequacy Outlook 2026-2030 (30 October 2025)</t>
        </is>
      </c>
      <c r="H20" s="152" t="inlineStr">
        <is>
          <t>PDF p.19</t>
        </is>
      </c>
      <c r="I20" s="152" t="inlineStr">
        <is>
          <t>An exemption, not a shutdown date. Eskom may apply for more.</t>
        </is>
      </c>
    </row>
    <row r="21">
      <c r="A21" s="152" t="inlineStr">
        <is>
          <t>Coal station shutdown</t>
        </is>
      </c>
      <c r="B21" s="152" t="inlineStr">
        <is>
          <t>Nine coal stations, about 22 GW</t>
        </is>
      </c>
      <c r="C21" s="152" t="inlineStr">
        <is>
          <t>To be shut down</t>
        </is>
      </c>
      <c r="D21" s="152" t="inlineStr"/>
      <c r="E21" s="152" t="inlineStr">
        <is>
          <t>by 2035</t>
        </is>
      </c>
      <c r="F21" s="152" t="inlineStr">
        <is>
          <t>observed</t>
        </is>
      </c>
      <c r="G21" s="152" t="inlineStr">
        <is>
          <t>Eskom, input on emission standards (24 November 2022)</t>
        </is>
      </c>
      <c r="H21" s="152" t="inlineStr">
        <is>
          <t>PDF p.12</t>
        </is>
      </c>
      <c r="I21" s="152" t="inlineStr">
        <is>
          <t>Eskom's 2035 plan as it stood in 2022, before the shutdowns were delayed.</t>
        </is>
      </c>
    </row>
    <row r="22">
      <c r="A22" s="156" t="inlineStr">
        <is>
          <t>Coal stations: last full year used on the Power fleet sheet</t>
        </is>
      </c>
      <c r="B22" s="156" t="inlineStr">
        <is>
          <t>Komati; Camden; Grootvlei; Hendrina; Arnot; Kriel; Duvha; Matla</t>
        </is>
      </c>
      <c r="C22" s="156" t="inlineStr">
        <is>
          <t>2022; 2029; 2029; 2029; 2029; 2029; 2033; 2033</t>
        </is>
      </c>
      <c r="D22" s="156" t="inlineStr">
        <is>
          <t>last full year</t>
        </is>
      </c>
      <c r="E22" s="156" t="inlineStr"/>
      <c r="F22" s="156" t="inlineStr">
        <is>
          <t>inferred</t>
        </is>
      </c>
      <c r="G22" s="156" t="inlineStr">
        <is>
          <t>Read from the shutdown dates above</t>
        </is>
      </c>
      <c r="H22" s="156" t="inlineStr"/>
      <c r="I22" s="156" t="inlineStr">
        <is>
          <t>Eskom's decision on five of them, due end September 2026, had not been announced by 8 October.</t>
        </is>
      </c>
    </row>
    <row r="23">
      <c r="A23" s="152" t="inlineStr">
        <is>
          <t>Independent diesel plants: contract end</t>
        </is>
      </c>
      <c r="B23" s="152" t="inlineStr">
        <is>
          <t>Dedisa and Avon (1.01 GW)</t>
        </is>
      </c>
      <c r="C23" s="152" t="inlineStr">
        <is>
          <t>Contracts expire</t>
        </is>
      </c>
      <c r="D23" s="152" t="inlineStr"/>
      <c r="E23" s="152" t="inlineStr">
        <is>
          <t>August and September 2030</t>
        </is>
      </c>
      <c r="F23" s="152" t="inlineStr">
        <is>
          <t>observed</t>
        </is>
      </c>
      <c r="G23" s="152" t="inlineStr">
        <is>
          <t>System operator, Medium-Term System Adequacy Outlook 2026-2030 (30 October 2025)</t>
        </is>
      </c>
      <c r="H23" s="152" t="inlineStr">
        <is>
          <t>PDF p.22</t>
        </is>
      </c>
      <c r="I23" s="152" t="inlineStr">
        <is>
          <t>The department's two diesel peaking plants.</t>
        </is>
      </c>
    </row>
    <row r="24">
      <c r="A24" s="152" t="inlineStr">
        <is>
          <t>Kerosene stations: shutdown</t>
        </is>
      </c>
      <c r="B24" s="152" t="inlineStr">
        <is>
          <t>Acacia and Port Rex (0.34 GW)</t>
        </is>
      </c>
      <c r="C24" s="152" t="inlineStr">
        <is>
          <t>Scheduled for shutdown</t>
        </is>
      </c>
      <c r="D24" s="152" t="inlineStr"/>
      <c r="E24" s="152" t="inlineStr">
        <is>
          <t>2030</t>
        </is>
      </c>
      <c r="F24" s="152" t="inlineStr">
        <is>
          <t>observed</t>
        </is>
      </c>
      <c r="G24" s="152" t="inlineStr">
        <is>
          <t>System operator, Medium-Term System Adequacy Outlook 2026-2030 (30 October 2025)</t>
        </is>
      </c>
      <c r="H24" s="152" t="inlineStr">
        <is>
          <t>PDF p.18</t>
        </is>
      </c>
      <c r="I24" s="152" t="inlineStr"/>
    </row>
    <row r="25">
      <c r="A25" s="152" t="inlineStr">
        <is>
          <t>New gas plant: commissioning</t>
        </is>
      </c>
      <c r="B25" s="152" t="inlineStr">
        <is>
          <t>Combined-cycle gas turbines: 3 GW Eskom, 3 GW independent (gas bid windows 1 and 2)</t>
        </is>
      </c>
      <c r="C25" s="152" t="inlineStr">
        <is>
          <t>6 GW</t>
        </is>
      </c>
      <c r="D25" s="152" t="inlineStr"/>
      <c r="E25" s="152" t="inlineStr">
        <is>
          <t>2030</t>
        </is>
      </c>
      <c r="F25" s="152" t="inlineStr">
        <is>
          <t>observed</t>
        </is>
      </c>
      <c r="G25" s="152" t="inlineStr">
        <is>
          <t>System operator, Medium-Term System Adequacy Outlook 2026-2030 (30 October 2025)</t>
        </is>
      </c>
      <c r="H25" s="152" t="inlineStr">
        <is>
          <t>PDF p.25</t>
        </is>
      </c>
      <c r="I25" s="152" t="inlineStr">
        <is>
          <t>Assumed, not in construction. The outlook studies a delay beyond 2030 as a risk.</t>
        </is>
      </c>
    </row>
    <row r="26">
      <c r="A26" s="152" t="inlineStr">
        <is>
          <t>Diesel turbine use expected by the system operator</t>
        </is>
      </c>
      <c r="B26" s="152" t="inlineStr">
        <is>
          <t>Diesel turbines (Ankerlig, Gourikwa, Dedisa, Avon)</t>
        </is>
      </c>
      <c r="C26" s="152" t="inlineStr">
        <is>
          <t>Minimal, below 6% in most cases; higher in 2029, and in 2030 if the gas plant is late</t>
        </is>
      </c>
      <c r="D26" s="152" t="inlineStr"/>
      <c r="E26" s="152" t="inlineStr">
        <is>
          <t>2026-2030</t>
        </is>
      </c>
      <c r="F26" s="152" t="inlineStr">
        <is>
          <t>observed</t>
        </is>
      </c>
      <c r="G26" s="152" t="inlineStr">
        <is>
          <t>System operator, Medium-Term System Adequacy Outlook 2026-2030 (30 October 2025)</t>
        </is>
      </c>
      <c r="H26" s="152" t="inlineStr">
        <is>
          <t>PDF p.35</t>
        </is>
      </c>
      <c r="I26" s="152" t="inlineStr">
        <is>
          <t>The system operator's own modelling.</t>
        </is>
      </c>
    </row>
    <row r="27">
      <c r="A27" s="152" t="inlineStr">
        <is>
          <t>Coal capacity shutting down</t>
        </is>
      </c>
      <c r="B27" s="152" t="inlineStr">
        <is>
          <t>Eskom coal fleet</t>
        </is>
      </c>
      <c r="C27" s="152" t="inlineStr">
        <is>
          <t>5.26; 3.14</t>
        </is>
      </c>
      <c r="D27" s="152" t="inlineStr">
        <is>
          <t>GW</t>
        </is>
      </c>
      <c r="E27" s="152" t="inlineStr">
        <is>
          <t>2029; 2030, by March</t>
        </is>
      </c>
      <c r="F27" s="152" t="inlineStr">
        <is>
          <t>observed</t>
        </is>
      </c>
      <c r="G27" s="152" t="inlineStr">
        <is>
          <t>System operator, Medium-Term System Adequacy Outlook 2026-2030 (30 October 2025)</t>
        </is>
      </c>
      <c r="H27" s="152" t="inlineStr">
        <is>
          <t>PDF p.18</t>
        </is>
      </c>
      <c r="I27" s="152" t="inlineStr">
        <is>
          <t>Camden, Hendrina, Arnot, Grootvlei and Kriel run to the end of 2028; phased shutdown from 2029. Eskom's coal fleet falls from 40.1 GW to 31.7 GW.</t>
        </is>
      </c>
    </row>
    <row r="28">
      <c r="A28" s="152" t="inlineStr">
        <is>
          <t>New gas plant, by project</t>
        </is>
      </c>
      <c r="B28" s="152" t="inlineStr">
        <is>
          <t>Eskom, Richards Bay combined-cycle plant (3,000 MW)</t>
        </is>
      </c>
      <c r="C28" s="152" t="inlineStr">
        <is>
          <t>Minister's determination: connect as soon as possible and not beyond 2028</t>
        </is>
      </c>
      <c r="D28" s="152" t="inlineStr"/>
      <c r="E28" s="152" t="inlineStr">
        <is>
          <t>not beyond 2028</t>
        </is>
      </c>
      <c r="F28" s="152" t="inlineStr">
        <is>
          <t>observed</t>
        </is>
      </c>
      <c r="G28" s="152" t="inlineStr">
        <is>
          <t>NERSA, reasons for decision on the 3,000 MW gas determination (November 2024)</t>
        </is>
      </c>
      <c r="H28" s="152" t="inlineStr">
        <is>
          <t>PDF pp.1, 11</t>
        </is>
      </c>
      <c r="I28" s="152" t="inlineStr">
        <is>
          <t>Eskom's feasibility study had all four units commissioned by the end of 2028 (p.49). The system operator now assumes 2030.</t>
        </is>
      </c>
    </row>
    <row r="29">
      <c r="A29" s="152" t="inlineStr">
        <is>
          <t>New gas plant, by project</t>
        </is>
      </c>
      <c r="B29" s="152" t="inlineStr">
        <is>
          <t>Independent producers, gas bid window 1 (2,000 MW)</t>
        </is>
      </c>
      <c r="C29" s="152" t="inlineStr">
        <is>
          <t>No bidder appointed; no commissioning date</t>
        </is>
      </c>
      <c r="D29" s="152" t="inlineStr"/>
      <c r="E29" s="152" t="inlineStr">
        <is>
          <t>request for proposals issued 14 December 2023</t>
        </is>
      </c>
      <c r="F29" s="152" t="inlineStr">
        <is>
          <t>observed</t>
        </is>
      </c>
      <c r="G29" s="152" t="inlineStr">
        <is>
          <t>Independent Power Producers Office, gas programme site</t>
        </is>
      </c>
      <c r="H29" s="152" t="inlineStr"/>
      <c r="I29" s="152" t="inlineStr">
        <is>
          <t>Sites anywhere in the country except Coega, which has a separate process.</t>
        </is>
      </c>
    </row>
    <row r="30">
      <c r="A30" s="162" t="inlineStr">
        <is>
          <t>New gas plant: firm commissioning date for any project</t>
        </is>
      </c>
      <c r="B30" s="162" t="inlineStr">
        <is>
          <t>Independent producers and Eskom</t>
        </is>
      </c>
      <c r="C30" s="162" t="inlineStr">
        <is>
          <t>Not available</t>
        </is>
      </c>
      <c r="D30" s="162" t="inlineStr"/>
      <c r="E30" s="162" t="inlineStr"/>
      <c r="F30" s="162" t="inlineStr">
        <is>
          <t>not available</t>
        </is>
      </c>
      <c r="G30" s="162" t="inlineStr">
        <is>
          <t>None exists</t>
        </is>
      </c>
      <c r="H30" s="162" t="inlineStr"/>
      <c r="I30" s="162" t="inlineStr">
        <is>
          <t>No gas project has a bidder appointed or is in construction, so no firm date exists to find.</t>
        </is>
      </c>
    </row>
    <row r="32">
      <c r="A32" s="151" t="inlineStr">
        <is>
          <t>Vehicle fleet</t>
        </is>
      </c>
      <c r="B32" s="151" t="n"/>
      <c r="C32" s="151" t="n"/>
      <c r="D32" s="151" t="n"/>
      <c r="E32" s="151" t="n"/>
      <c r="F32" s="151" t="n"/>
      <c r="G32" s="151" t="n"/>
      <c r="H32" s="151" t="n"/>
      <c r="I32" s="151" t="n"/>
    </row>
    <row r="33">
      <c r="A33" s="152" t="inlineStr">
        <is>
          <t>Registered vehicles by class</t>
        </is>
      </c>
      <c r="B33" s="152" t="inlineStr">
        <is>
          <t>South Africa</t>
        </is>
      </c>
      <c r="C33" s="152" t="inlineStr">
        <is>
          <t>cars 8,340,592; light commercial 2,816,547; trucks 409,049; buses 66,872; minibuses 356,997</t>
        </is>
      </c>
      <c r="D33" s="152" t="inlineStr">
        <is>
          <t>vehicles</t>
        </is>
      </c>
      <c r="E33" s="152" t="inlineStr">
        <is>
          <t>2026-06</t>
        </is>
      </c>
      <c r="F33" s="152" t="inlineStr">
        <is>
          <t>observed</t>
        </is>
      </c>
      <c r="G33" s="152" t="inlineStr">
        <is>
          <t>eNaTIS live vehicle population by class and province</t>
        </is>
      </c>
      <c r="H33" s="152" t="inlineStr"/>
      <c r="I33" s="152" t="inlineStr">
        <is>
          <t>By province on the DR07 fleet by province sheet. Monthly from February 2021.</t>
        </is>
      </c>
    </row>
    <row r="34">
      <c r="A34" s="156" t="inlineStr">
        <is>
          <t>Largest provinces, share of registered vehicles</t>
        </is>
      </c>
      <c r="B34" s="156" t="inlineStr">
        <is>
          <t>Gauteng; Western Cape; KwaZulu-Natal</t>
        </is>
      </c>
      <c r="C34" s="156" t="inlineStr">
        <is>
          <t>39.0; 16.3; 14.1</t>
        </is>
      </c>
      <c r="D34" s="156" t="inlineStr">
        <is>
          <t>%</t>
        </is>
      </c>
      <c r="E34" s="156" t="inlineStr">
        <is>
          <t>2026-06</t>
        </is>
      </c>
      <c r="F34" s="156" t="inlineStr">
        <is>
          <t>inferred</t>
        </is>
      </c>
      <c r="G34" s="156" t="inlineStr">
        <is>
          <t>Calculated from eNaTIS</t>
        </is>
      </c>
      <c r="H34" s="156" t="inlineStr"/>
      <c r="I34" s="156" t="inlineStr"/>
    </row>
    <row r="35">
      <c r="A35" s="152" t="inlineStr">
        <is>
          <t>Registered vehicles by fuel</t>
        </is>
      </c>
      <c r="B35" s="152" t="inlineStr">
        <is>
          <t>South Africa</t>
        </is>
      </c>
      <c r="C35" s="152" t="inlineStr">
        <is>
          <t>petrol 8,555,772; diesel 3,335,546</t>
        </is>
      </c>
      <c r="D35" s="152" t="inlineStr">
        <is>
          <t>vehicles</t>
        </is>
      </c>
      <c r="E35" s="152" t="inlineStr">
        <is>
          <t>December 2023</t>
        </is>
      </c>
      <c r="F35" s="152" t="inlineStr">
        <is>
          <t>observed</t>
        </is>
      </c>
      <c r="G35" s="152" t="inlineStr">
        <is>
          <t>Department of Transport, Transport Statistics Bulletin 2023</t>
        </is>
      </c>
      <c r="H35" s="152" t="inlineStr"/>
      <c r="I35" s="152" t="inlineStr">
        <is>
          <t>National only, and not split by class. No later edition found.</t>
        </is>
      </c>
    </row>
    <row r="36">
      <c r="A36" s="152" t="inlineStr">
        <is>
          <t>Diesel vehicles by province</t>
        </is>
      </c>
      <c r="B36" s="152" t="inlineStr">
        <is>
          <t>Gauteng; Western Cape; KwaZulu-Natal</t>
        </is>
      </c>
      <c r="C36" s="152" t="inlineStr">
        <is>
          <t>1,142,275; 507,006; 459,888</t>
        </is>
      </c>
      <c r="D36" s="152" t="inlineStr">
        <is>
          <t>vehicles</t>
        </is>
      </c>
      <c r="E36" s="152" t="inlineStr">
        <is>
          <t>December 2023</t>
        </is>
      </c>
      <c r="F36" s="152" t="inlineStr">
        <is>
          <t>observed</t>
        </is>
      </c>
      <c r="G36" s="152" t="inlineStr">
        <is>
          <t>Department of Transport, Transport Statistics Bulletin 2023, Table 2.8</t>
        </is>
      </c>
      <c r="H36" s="152" t="inlineStr">
        <is>
          <t>PDF p.40</t>
        </is>
      </c>
      <c r="I36" s="152" t="inlineStr">
        <is>
          <t>All nine provinces, petrol and diesel, are on the DR07 fleet by province sheet.</t>
        </is>
      </c>
    </row>
    <row r="37">
      <c r="A37" s="156" t="inlineStr">
        <is>
          <t>Diesel share of petrol and diesel vehicles, by province</t>
        </is>
      </c>
      <c r="B37" s="156" t="inlineStr">
        <is>
          <t>Highest; lowest</t>
        </is>
      </c>
      <c r="C37" s="156" t="inlineStr">
        <is>
          <t>Northern Cape 38.0; Gauteng 24.8</t>
        </is>
      </c>
      <c r="D37" s="156" t="inlineStr">
        <is>
          <t>%</t>
        </is>
      </c>
      <c r="E37" s="156" t="inlineStr">
        <is>
          <t>December 2023</t>
        </is>
      </c>
      <c r="F37" s="156" t="inlineStr">
        <is>
          <t>inferred</t>
        </is>
      </c>
      <c r="G37" s="156" t="inlineStr">
        <is>
          <t>Calculated from the bulletin</t>
        </is>
      </c>
      <c r="H37" s="156" t="inlineStr"/>
      <c r="I37" s="156" t="inlineStr"/>
    </row>
    <row r="38">
      <c r="A38" s="162" t="inlineStr">
        <is>
          <t>Vehicles by fuel within each class</t>
        </is>
      </c>
      <c r="B38" s="162" t="inlineStr">
        <is>
          <t>South Africa</t>
        </is>
      </c>
      <c r="C38" s="162" t="inlineStr">
        <is>
          <t>Not available</t>
        </is>
      </c>
      <c r="D38" s="162" t="inlineStr">
        <is>
          <t>vehicles</t>
        </is>
      </c>
      <c r="E38" s="162" t="inlineStr"/>
      <c r="F38" s="162" t="inlineStr">
        <is>
          <t>not available</t>
        </is>
      </c>
      <c r="G38" s="162" t="inlineStr">
        <is>
          <t>None found</t>
        </is>
      </c>
      <c r="H38" s="162" t="inlineStr"/>
      <c r="I38" s="162" t="inlineStr">
        <is>
          <t>The bulletin splits fuel by province and the register splits class by province; nothing published crosses fuel with class.</t>
        </is>
      </c>
    </row>
    <row r="39">
      <c r="A39" s="152" t="inlineStr">
        <is>
          <t>Average age of vehicles</t>
        </is>
      </c>
      <c r="B39" s="152" t="inlineStr">
        <is>
          <t>All vehicles and passenger vehicles</t>
        </is>
      </c>
      <c r="C39" s="152" t="inlineStr">
        <is>
          <t>10.5</t>
        </is>
      </c>
      <c r="D39" s="152" t="inlineStr">
        <is>
          <t>years</t>
        </is>
      </c>
      <c r="E39" s="152" t="inlineStr">
        <is>
          <t>2022</t>
        </is>
      </c>
      <c r="F39" s="152" t="inlineStr">
        <is>
          <t>observed</t>
        </is>
      </c>
      <c r="G39" s="152" t="inlineStr">
        <is>
          <t>Lightstone Auto Insights, April 2022</t>
        </is>
      </c>
      <c r="H39" s="152" t="inlineStr"/>
      <c r="I39" s="152" t="inlineStr">
        <is>
          <t>Ten years and six months, up from nine years and four months for passenger vehicles in 2014 and 2015.</t>
        </is>
      </c>
    </row>
    <row r="40">
      <c r="A40" s="162" t="inlineStr">
        <is>
          <t>Vehicles by year of age</t>
        </is>
      </c>
      <c r="B40" s="162" t="inlineStr">
        <is>
          <t>South Africa</t>
        </is>
      </c>
      <c r="C40" s="162" t="inlineStr">
        <is>
          <t>Not available</t>
        </is>
      </c>
      <c r="D40" s="162" t="inlineStr">
        <is>
          <t>vehicles</t>
        </is>
      </c>
      <c r="E40" s="162" t="inlineStr"/>
      <c r="F40" s="162" t="inlineStr">
        <is>
          <t>not available</t>
        </is>
      </c>
      <c r="G40" s="162" t="inlineStr">
        <is>
          <t>None published</t>
        </is>
      </c>
      <c r="H40" s="162" t="inlineStr"/>
      <c r="I40" s="162" t="inlineStr">
        <is>
          <t>Lightstone holds the age profile and sells it; the register does not publish it. Only apparent retirements can be calculated.</t>
        </is>
      </c>
    </row>
    <row r="42">
      <c r="A42" s="151" t="inlineStr">
        <is>
          <t>New vehicles and electric share</t>
        </is>
      </c>
      <c r="B42" s="151" t="n"/>
      <c r="C42" s="151" t="n"/>
      <c r="D42" s="151" t="n"/>
      <c r="E42" s="151" t="n"/>
      <c r="F42" s="151" t="n"/>
      <c r="G42" s="151" t="n"/>
      <c r="H42" s="151" t="n"/>
      <c r="I42" s="151" t="n"/>
    </row>
    <row r="43">
      <c r="A43" s="152" t="inlineStr">
        <is>
          <t>New vehicles sold, by segment</t>
        </is>
      </c>
      <c r="B43" s="152" t="inlineStr">
        <is>
          <t>South Africa</t>
        </is>
      </c>
      <c r="C43" s="152" t="inlineStr">
        <is>
          <t>cars 422,463; light commercial 143,964; medium and heavy commercial 30,911</t>
        </is>
      </c>
      <c r="D43" s="152" t="inlineStr">
        <is>
          <t>vehicles</t>
        </is>
      </c>
      <c r="E43" s="152" t="inlineStr">
        <is>
          <t>2025</t>
        </is>
      </c>
      <c r="F43" s="152" t="inlineStr">
        <is>
          <t>observed</t>
        </is>
      </c>
      <c r="G43" s="152" t="inlineStr">
        <is>
          <t>naamsa, industry vehicle sales</t>
        </is>
      </c>
      <c r="H43" s="152" t="inlineStr"/>
      <c r="I43" s="152" t="inlineStr"/>
    </row>
    <row r="44">
      <c r="A44" s="152" t="inlineStr">
        <is>
          <t>Electric and hybrid vehicles sold</t>
        </is>
      </c>
      <c r="B44" s="152" t="inlineStr">
        <is>
          <t>South Africa</t>
        </is>
      </c>
      <c r="C44" s="152" t="inlineStr">
        <is>
          <t>battery electric 1,088; plug-in hybrid 2,810; conventional hybrid 12,818</t>
        </is>
      </c>
      <c r="D44" s="152" t="inlineStr">
        <is>
          <t>vehicles</t>
        </is>
      </c>
      <c r="E44" s="152" t="inlineStr">
        <is>
          <t>2025</t>
        </is>
      </c>
      <c r="F44" s="152" t="inlineStr">
        <is>
          <t>observed</t>
        </is>
      </c>
      <c r="G44" s="152" t="inlineStr">
        <is>
          <t>naamsa, new energy vehicle sales</t>
        </is>
      </c>
      <c r="H44" s="152" t="inlineStr"/>
      <c r="I44" s="152" t="inlineStr"/>
    </row>
    <row r="45">
      <c r="A45" s="156" t="inlineStr">
        <is>
          <t>Share of new vehicles sold</t>
        </is>
      </c>
      <c r="B45" s="156" t="inlineStr">
        <is>
          <t>South Africa</t>
        </is>
      </c>
      <c r="C45" s="156" t="inlineStr">
        <is>
          <t>battery electric 0.18; plug-in hybrid 0.47; conventional hybrid 2.15</t>
        </is>
      </c>
      <c r="D45" s="156" t="inlineStr">
        <is>
          <t>%</t>
        </is>
      </c>
      <c r="E45" s="156" t="inlineStr">
        <is>
          <t>2025</t>
        </is>
      </c>
      <c r="F45" s="156" t="inlineStr">
        <is>
          <t>inferred</t>
        </is>
      </c>
      <c r="G45" s="156" t="inlineStr">
        <is>
          <t>Calculated from the two naamsa series</t>
        </is>
      </c>
      <c r="H45" s="156" t="inlineStr"/>
      <c r="I45" s="156" t="inlineStr">
        <is>
          <t>Battery electric sales fell from 2024 to 2025.</t>
        </is>
      </c>
    </row>
    <row r="46">
      <c r="A46" s="152" t="inlineStr">
        <is>
          <t>Diesel share of new light vehicles sold</t>
        </is>
      </c>
      <c r="B46" s="152" t="inlineStr">
        <is>
          <t>New light-duty vehicles</t>
        </is>
      </c>
      <c r="C46" s="152" t="inlineStr">
        <is>
          <t>35</t>
        </is>
      </c>
      <c r="D46" s="152" t="inlineStr">
        <is>
          <t>%</t>
        </is>
      </c>
      <c r="E46" s="152" t="inlineStr">
        <is>
          <t>2019</t>
        </is>
      </c>
      <c r="F46" s="152" t="inlineStr">
        <is>
          <t>observed</t>
        </is>
      </c>
      <c r="G46" s="152" t="inlineStr">
        <is>
          <t>IEA, Fuel economy in South Africa (Global Fuel Economy Initiative 2021)</t>
        </is>
      </c>
      <c r="H46" s="152" t="inlineStr"/>
      <c r="I46" s="152" t="inlineStr">
        <is>
          <t>No later figure found.</t>
        </is>
      </c>
    </row>
    <row r="47">
      <c r="A47" s="162" t="inlineStr">
        <is>
          <t>Electric trucks and electric light commercial vehicles sold</t>
        </is>
      </c>
      <c r="B47" s="162" t="inlineStr">
        <is>
          <t>South Africa</t>
        </is>
      </c>
      <c r="C47" s="162" t="inlineStr">
        <is>
          <t>Not available</t>
        </is>
      </c>
      <c r="D47" s="162" t="inlineStr">
        <is>
          <t>vehicles</t>
        </is>
      </c>
      <c r="E47" s="162" t="inlineStr"/>
      <c r="F47" s="162" t="inlineStr">
        <is>
          <t>not available</t>
        </is>
      </c>
      <c r="G47" s="162" t="inlineStr">
        <is>
          <t>None published</t>
        </is>
      </c>
      <c r="H47" s="162" t="inlineStr"/>
      <c r="I47" s="162" t="inlineStr">
        <is>
          <t>naamsa reports electric sales by drivetrain, not by segment (checked its fourth-quarter 2025 review). Benchmarks from other countries are on the HML response sheet.</t>
        </is>
      </c>
    </row>
    <row r="49">
      <c r="A49" s="151" t="inlineStr">
        <is>
          <t>Vehicle efficiency and distance</t>
        </is>
      </c>
      <c r="B49" s="151" t="n"/>
      <c r="C49" s="151" t="n"/>
      <c r="D49" s="151" t="n"/>
      <c r="E49" s="151" t="n"/>
      <c r="F49" s="151" t="n"/>
      <c r="G49" s="151" t="n"/>
      <c r="H49" s="151" t="n"/>
      <c r="I49" s="151" t="n"/>
    </row>
    <row r="50">
      <c r="A50" s="152" t="inlineStr">
        <is>
          <t>Fuel use and distance, petrol cars</t>
        </is>
      </c>
      <c r="B50" s="152" t="inlineStr">
        <is>
          <t>Petrol cars</t>
        </is>
      </c>
      <c r="C50" s="152" t="inlineStr">
        <is>
          <t>8.2 fleet average; 7.8 new; 14,457 km a year</t>
        </is>
      </c>
      <c r="D50" s="152" t="inlineStr">
        <is>
          <t>litres per 100 km; km</t>
        </is>
      </c>
      <c r="E50" s="152" t="inlineStr">
        <is>
          <t>2010 fleet</t>
        </is>
      </c>
      <c r="F50" s="152" t="inlineStr">
        <is>
          <t>observed</t>
        </is>
      </c>
      <c r="G50" s="152" t="inlineStr">
        <is>
          <t>Stone et al. (2018), vehicle parc model</t>
        </is>
      </c>
      <c r="H50" s="152" t="inlineStr"/>
      <c r="I50" s="152" t="inlineStr">
        <is>
          <t>One year only. All 24 vehicle types are in the file and on the Vehicle history sheet.</t>
        </is>
      </c>
    </row>
    <row r="51">
      <c r="A51" s="152" t="inlineStr">
        <is>
          <t>Fuel use and distance, diesel cars</t>
        </is>
      </c>
      <c r="B51" s="152" t="inlineStr">
        <is>
          <t>Diesel cars</t>
        </is>
      </c>
      <c r="C51" s="152" t="inlineStr">
        <is>
          <t>8.1 fleet average; 7.4 new; 16,748 km a year</t>
        </is>
      </c>
      <c r="D51" s="152" t="inlineStr">
        <is>
          <t>litres per 100 km; km</t>
        </is>
      </c>
      <c r="E51" s="152" t="inlineStr">
        <is>
          <t>2010 fleet</t>
        </is>
      </c>
      <c r="F51" s="152" t="inlineStr">
        <is>
          <t>observed</t>
        </is>
      </c>
      <c r="G51" s="152" t="inlineStr">
        <is>
          <t>Stone et al. (2018), vehicle parc model</t>
        </is>
      </c>
      <c r="H51" s="152" t="inlineStr"/>
      <c r="I51" s="152" t="inlineStr">
        <is>
          <t>One year only. All 24 vehicle types are in the file and on the Vehicle history sheet.</t>
        </is>
      </c>
    </row>
    <row r="52">
      <c r="A52" s="152" t="inlineStr">
        <is>
          <t>Fuel use of new light vehicles, by year</t>
        </is>
      </c>
      <c r="B52" s="152" t="inlineStr">
        <is>
          <t>New cars and light commercial vehicles</t>
        </is>
      </c>
      <c r="C52" s="152" t="inlineStr">
        <is>
          <t>8.8; 8.6; 7.8; 7.4</t>
        </is>
      </c>
      <c r="D52" s="152" t="inlineStr">
        <is>
          <t>litres of petrol equivalent per 100 km</t>
        </is>
      </c>
      <c r="E52" s="152" t="inlineStr">
        <is>
          <t>2005; 2010; 2015; 2019</t>
        </is>
      </c>
      <c r="F52" s="152" t="inlineStr">
        <is>
          <t>observed</t>
        </is>
      </c>
      <c r="G52" s="152" t="inlineStr">
        <is>
          <t>IEA and Global Fuel Economy Initiative (Working Paper 15, 2017; country page, 2021)</t>
        </is>
      </c>
      <c r="H52" s="152" t="inlineStr">
        <is>
          <t>PDF p.119</t>
        </is>
      </c>
      <c r="I52" s="152" t="inlineStr">
        <is>
          <t>Nine years between 2005 and 2019 are on the DR07 efficiency and rail sheet. Nothing after 2019 was found.</t>
        </is>
      </c>
    </row>
    <row r="53">
      <c r="A53" s="152" t="inlineStr">
        <is>
          <t>Fuel use of new light vehicles: average change</t>
        </is>
      </c>
      <c r="B53" s="152" t="inlineStr">
        <is>
          <t>New light-duty vehicles</t>
        </is>
      </c>
      <c r="C53" s="152" t="inlineStr">
        <is>
          <t>-1.3</t>
        </is>
      </c>
      <c r="D53" s="152" t="inlineStr">
        <is>
          <t>% a year</t>
        </is>
      </c>
      <c r="E53" s="152" t="inlineStr">
        <is>
          <t>2005-2019</t>
        </is>
      </c>
      <c r="F53" s="152" t="inlineStr">
        <is>
          <t>observed</t>
        </is>
      </c>
      <c r="G53" s="152" t="inlineStr">
        <is>
          <t>IEA, Fuel economy in South Africa (Global Fuel Economy Initiative 2021)</t>
        </is>
      </c>
      <c r="H53" s="152" t="inlineStr"/>
      <c r="I53" s="152" t="inlineStr">
        <is>
          <t>The model assumes 0.5 to 1.5% a year, so the observed rate sits inside the model's range.</t>
        </is>
      </c>
    </row>
    <row r="54">
      <c r="A54" s="152" t="inlineStr">
        <is>
          <t>Fuel use of new passenger cars</t>
        </is>
      </c>
      <c r="B54" s="152" t="inlineStr">
        <is>
          <t>New passenger cars</t>
        </is>
      </c>
      <c r="C54" s="152" t="inlineStr">
        <is>
          <t>6.3</t>
        </is>
      </c>
      <c r="D54" s="152" t="inlineStr">
        <is>
          <t>litres per 100 km</t>
        </is>
      </c>
      <c r="E54" s="152" t="inlineStr">
        <is>
          <t>2015</t>
        </is>
      </c>
      <c r="F54" s="152" t="inlineStr">
        <is>
          <t>observed</t>
        </is>
      </c>
      <c r="G54" s="152" t="inlineStr">
        <is>
          <t>ICCT white paper, South Africa's new passenger vehicle CO2 emission standards (January 2018)</t>
        </is>
      </c>
      <c r="H54" s="152" t="inlineStr">
        <is>
          <t>PDF p.5</t>
        </is>
      </c>
      <c r="I54" s="152" t="inlineStr">
        <is>
          <t>148 g CO2 per km on the older European test cycle, which reads lower than the worldwide cycle. From naamsa data.</t>
        </is>
      </c>
    </row>
    <row r="55">
      <c r="A55" s="152" t="inlineStr">
        <is>
          <t>Fuel use of trucks, lightest to heaviest class</t>
        </is>
      </c>
      <c r="B55" s="152" t="inlineStr">
        <is>
          <t>Diesel trucks (classes 1, 3, 6 and 9 of nine)</t>
        </is>
      </c>
      <c r="C55" s="152" t="inlineStr">
        <is>
          <t>17.3; 24.6; 44.9; 51.6</t>
        </is>
      </c>
      <c r="D55" s="152" t="inlineStr">
        <is>
          <t>litres per 100 km, fleet average</t>
        </is>
      </c>
      <c r="E55" s="152" t="inlineStr">
        <is>
          <t>2010 fleet</t>
        </is>
      </c>
      <c r="F55" s="152" t="inlineStr">
        <is>
          <t>observed</t>
        </is>
      </c>
      <c r="G55" s="152" t="inlineStr">
        <is>
          <t>Stone et al. (2018), vehicle parc model</t>
        </is>
      </c>
      <c r="H55" s="152" t="inlineStr"/>
      <c r="I55" s="152" t="inlineStr">
        <is>
          <t>One year only. Light commercial diesel vehicles use 12.4 and buses 32.6.</t>
        </is>
      </c>
    </row>
    <row r="56">
      <c r="A56" s="152" t="inlineStr">
        <is>
          <t>Fuel use of new light vehicles: figure in use</t>
        </is>
      </c>
      <c r="B56" s="152" t="inlineStr">
        <is>
          <t>New cars and light commercial vehicles</t>
        </is>
      </c>
      <c r="C56" s="152" t="inlineStr">
        <is>
          <t>7.4</t>
        </is>
      </c>
      <c r="D56" s="152" t="inlineStr">
        <is>
          <t>litres of petrol equivalent per 100 km</t>
        </is>
      </c>
      <c r="E56" s="152" t="inlineStr">
        <is>
          <t>2019, used for later years</t>
        </is>
      </c>
      <c r="F56" s="152" t="inlineStr">
        <is>
          <t>observed</t>
        </is>
      </c>
      <c r="G56" s="152" t="inlineStr">
        <is>
          <t>IEA, Fuel economy in South Africa (Global Fuel Economy Initiative 2021)</t>
        </is>
      </c>
      <c r="H56" s="152" t="inlineStr"/>
      <c r="I56" s="152" t="inlineStr">
        <is>
          <t>The latest published figure. Used as it stands for the years after 2019 (Manish, 8 October).</t>
        </is>
      </c>
    </row>
    <row r="57">
      <c r="A57" s="162" t="inlineStr">
        <is>
          <t>Fuel use of trucks, by year</t>
        </is>
      </c>
      <c r="B57" s="162" t="inlineStr">
        <is>
          <t>South Africa</t>
        </is>
      </c>
      <c r="C57" s="162" t="inlineStr">
        <is>
          <t>Not available</t>
        </is>
      </c>
      <c r="D57" s="162" t="inlineStr">
        <is>
          <t>litres per 100 km</t>
        </is>
      </c>
      <c r="E57" s="162" t="inlineStr"/>
      <c r="F57" s="162" t="inlineStr">
        <is>
          <t>not available</t>
        </is>
      </c>
      <c r="G57" s="162" t="inlineStr">
        <is>
          <t>None found</t>
        </is>
      </c>
      <c r="H57" s="162" t="inlineStr"/>
      <c r="I57" s="162" t="inlineStr">
        <is>
          <t>Only the 2010 fleet figures above exist. No truck series by year was found.</t>
        </is>
      </c>
    </row>
    <row r="58">
      <c r="A58" s="152" t="inlineStr">
        <is>
          <t>Efficiency gain assumed in the model</t>
        </is>
      </c>
      <c r="B58" s="152" t="inlineStr">
        <is>
          <t>New diesel and petrol vehicles</t>
        </is>
      </c>
      <c r="C58" s="152" t="inlineStr">
        <is>
          <t>diesel 0.5 (high demand); diesel 1.0 (low demand); petrol 1.0 (high demand); petrol 1.5 (low demand)</t>
        </is>
      </c>
      <c r="D58" s="152" t="inlineStr">
        <is>
          <t>% a year</t>
        </is>
      </c>
      <c r="E58" s="152" t="inlineStr">
        <is>
          <t>2030</t>
        </is>
      </c>
      <c r="F58" s="152" t="inlineStr">
        <is>
          <t>observed</t>
        </is>
      </c>
      <c r="G58" s="152" t="inlineStr">
        <is>
          <t>Reatile workbook (model input)</t>
        </is>
      </c>
      <c r="H58" s="152" t="inlineStr"/>
      <c r="I58" s="152" t="inlineStr">
        <is>
          <t>A model setting with no source behind it. Nothing was found to confirm or replace it.</t>
        </is>
      </c>
    </row>
    <row r="60">
      <c r="A60" s="151" t="inlineStr">
        <is>
          <t>Freight and rail</t>
        </is>
      </c>
      <c r="B60" s="151" t="n"/>
      <c r="C60" s="151" t="n"/>
      <c r="D60" s="151" t="n"/>
      <c r="E60" s="151" t="n"/>
      <c r="F60" s="151" t="n"/>
      <c r="G60" s="151" t="n"/>
      <c r="H60" s="151" t="n"/>
      <c r="I60" s="151" t="n"/>
    </row>
    <row r="61">
      <c r="A61" s="152" t="inlineStr">
        <is>
          <t>Freight carried by road</t>
        </is>
      </c>
      <c r="B61" s="152" t="inlineStr">
        <is>
          <t>South Africa</t>
        </is>
      </c>
      <c r="C61" s="152" t="inlineStr">
        <is>
          <t>980; 976</t>
        </is>
      </c>
      <c r="D61" s="152" t="inlineStr">
        <is>
          <t>million tonnes</t>
        </is>
      </c>
      <c r="E61" s="152" t="inlineStr">
        <is>
          <t>2024; 2025</t>
        </is>
      </c>
      <c r="F61" s="152" t="inlineStr">
        <is>
          <t>observed</t>
        </is>
      </c>
      <c r="G61" s="152" t="inlineStr">
        <is>
          <t>Statistics South Africa, Land transport survey (P7162), December 2025</t>
        </is>
      </c>
      <c r="H61" s="152" t="inlineStr">
        <is>
          <t>PDF p.7</t>
        </is>
      </c>
      <c r="I61" s="152" t="inlineStr">
        <is>
          <t>Tonnes, not tonne-kilometres.</t>
        </is>
      </c>
    </row>
    <row r="62">
      <c r="A62" s="152" t="inlineStr">
        <is>
          <t>Freight carried by rail</t>
        </is>
      </c>
      <c r="B62" s="152" t="inlineStr">
        <is>
          <t>South Africa</t>
        </is>
      </c>
      <c r="C62" s="152" t="inlineStr">
        <is>
          <t>161; 168</t>
        </is>
      </c>
      <c r="D62" s="152" t="inlineStr">
        <is>
          <t>million tonnes</t>
        </is>
      </c>
      <c r="E62" s="152" t="inlineStr">
        <is>
          <t>2024; 2025</t>
        </is>
      </c>
      <c r="F62" s="152" t="inlineStr">
        <is>
          <t>observed</t>
        </is>
      </c>
      <c r="G62" s="152" t="inlineStr">
        <is>
          <t>Statistics South Africa, Land transport survey (P7162), December 2025</t>
        </is>
      </c>
      <c r="H62" s="152" t="inlineStr">
        <is>
          <t>PDF p.7</t>
        </is>
      </c>
      <c r="I62" s="152" t="inlineStr">
        <is>
          <t>Tonnes, not tonne-kilometres.</t>
        </is>
      </c>
    </row>
    <row r="63">
      <c r="A63" s="156" t="inlineStr">
        <is>
          <t>Rail's share of road and rail tonnes</t>
        </is>
      </c>
      <c r="B63" s="156" t="inlineStr">
        <is>
          <t>South Africa</t>
        </is>
      </c>
      <c r="C63" s="156" t="inlineStr">
        <is>
          <t>14.1; 14.7</t>
        </is>
      </c>
      <c r="D63" s="156" t="inlineStr">
        <is>
          <t>%</t>
        </is>
      </c>
      <c r="E63" s="156" t="inlineStr">
        <is>
          <t>2024; 2025</t>
        </is>
      </c>
      <c r="F63" s="156" t="inlineStr">
        <is>
          <t>inferred</t>
        </is>
      </c>
      <c r="G63" s="156" t="inlineStr">
        <is>
          <t>Calculated from the survey</t>
        </is>
      </c>
      <c r="H63" s="156" t="inlineStr"/>
      <c r="I63" s="156" t="inlineStr"/>
    </row>
    <row r="64">
      <c r="A64" s="152" t="inlineStr">
        <is>
          <t>Freight carried by Transnet Freight Rail</t>
        </is>
      </c>
      <c r="B64" s="152" t="inlineStr">
        <is>
          <t>Transnet Freight Rail, all freight</t>
        </is>
      </c>
      <c r="C64" s="152" t="inlineStr">
        <is>
          <t>226.3; 215.1; 212.4; 183.3; 173.1; 149.5; 151.7; 160.1</t>
        </is>
      </c>
      <c r="D64" s="152" t="inlineStr">
        <is>
          <t>million tonnes</t>
        </is>
      </c>
      <c r="E64" s="152" t="inlineStr">
        <is>
          <t>years to March 2018; 2019; 2020; 2021; 2022; 2023; 2024; 2025</t>
        </is>
      </c>
      <c r="F64" s="152" t="inlineStr">
        <is>
          <t>observed</t>
        </is>
      </c>
      <c r="G64" s="152" t="inlineStr">
        <is>
          <t>Transnet annual results 2025, presentation</t>
        </is>
      </c>
      <c r="H64" s="152" t="inlineStr">
        <is>
          <t>PDF p.14</t>
        </is>
      </c>
      <c r="I64" s="152" t="inlineStr">
        <is>
          <t>Fell by a third from 2018 to 2023 and has risen since. Export iron ore, export coal and general freight together.</t>
        </is>
      </c>
    </row>
    <row r="65">
      <c r="A65" s="152" t="inlineStr">
        <is>
          <t>Transnet's rail target</t>
        </is>
      </c>
      <c r="B65" s="152" t="inlineStr">
        <is>
          <t>Transnet</t>
        </is>
      </c>
      <c r="C65" s="152" t="inlineStr">
        <is>
          <t>250</t>
        </is>
      </c>
      <c r="D65" s="152" t="inlineStr">
        <is>
          <t>million tonnes</t>
        </is>
      </c>
      <c r="E65" s="152" t="inlineStr">
        <is>
          <t>target</t>
        </is>
      </c>
      <c r="F65" s="152" t="inlineStr">
        <is>
          <t>observed</t>
        </is>
      </c>
      <c r="G65" s="152" t="inlineStr">
        <is>
          <t>Transnet annual results 2025, presentation</t>
        </is>
      </c>
      <c r="H65" s="152" t="inlineStr">
        <is>
          <t>PDF p.36</t>
        </is>
      </c>
      <c r="I65" s="152" t="inlineStr">
        <is>
          <t>Transnet 'aims to grow its capacity to handle 250 million tons'. The slide gives no year; Nigel cited 2030.</t>
        </is>
      </c>
    </row>
    <row r="66">
      <c r="A66" s="156" t="inlineStr">
        <is>
          <t>Extra rail freight if the target is met</t>
        </is>
      </c>
      <c r="B66" s="156" t="inlineStr">
        <is>
          <t>Transnet Freight Rail</t>
        </is>
      </c>
      <c r="C66" s="156" t="inlineStr">
        <is>
          <t>90</t>
        </is>
      </c>
      <c r="D66" s="156" t="inlineStr">
        <is>
          <t>million tonnes</t>
        </is>
      </c>
      <c r="E66" s="156" t="inlineStr">
        <is>
          <t>target less the year to March 2025</t>
        </is>
      </c>
      <c r="F66" s="156" t="inlineStr">
        <is>
          <t>inferred</t>
        </is>
      </c>
      <c r="G66" s="156" t="inlineStr">
        <is>
          <t>Calculated from the two rows above</t>
        </is>
      </c>
      <c r="H66" s="156" t="inlineStr"/>
      <c r="I66" s="156" t="inlineStr">
        <is>
          <t>About 9% of road freight tonnes. Not all of it would come from road.</t>
        </is>
      </c>
    </row>
    <row r="67">
      <c r="A67" s="152" t="inlineStr">
        <is>
          <t>Freight in tonne-kilometres</t>
        </is>
      </c>
      <c r="B67" s="152" t="inlineStr">
        <is>
          <t>All freight; rail-friendly freight; carried by rail</t>
        </is>
      </c>
      <c r="C67" s="152" t="inlineStr">
        <is>
          <t>446; 181; 141</t>
        </is>
      </c>
      <c r="D67" s="152" t="inlineStr">
        <is>
          <t>billion tonne-km</t>
        </is>
      </c>
      <c r="E67" s="152" t="inlineStr">
        <is>
          <t>2019</t>
        </is>
      </c>
      <c r="F67" s="152" t="inlineStr">
        <is>
          <t>observed</t>
        </is>
      </c>
      <c r="G67" s="152" t="inlineStr">
        <is>
          <t>Havenga et al., A proposed freight and passenger road-to-rail strategy for South Africa (SA-TIED)</t>
        </is>
      </c>
      <c r="H67" s="152" t="inlineStr">
        <is>
          <t>PDF pp.17, 25</t>
        </is>
      </c>
      <c r="I67" s="152" t="inlineStr">
        <is>
          <t>Line haul 305, last mile 132, pipelines and conveyors 9.</t>
        </is>
      </c>
    </row>
    <row r="68">
      <c r="A68" s="152" t="inlineStr">
        <is>
          <t>General freight that rail should carry but does not</t>
        </is>
      </c>
      <c r="B68" s="152" t="inlineStr">
        <is>
          <t>Rail-friendly general freight on road</t>
        </is>
      </c>
      <c r="C68" s="152" t="inlineStr">
        <is>
          <t>30</t>
        </is>
      </c>
      <c r="D68" s="152" t="inlineStr">
        <is>
          <t>billion tonne-km</t>
        </is>
      </c>
      <c r="E68" s="152" t="inlineStr">
        <is>
          <t>2019</t>
        </is>
      </c>
      <c r="F68" s="152" t="inlineStr">
        <is>
          <t>observed</t>
        </is>
      </c>
      <c r="G68" s="152" t="inlineStr">
        <is>
          <t>Havenga et al., A proposed freight and passenger road-to-rail strategy for South Africa (SA-TIED)</t>
        </is>
      </c>
      <c r="H68" s="152" t="inlineStr">
        <is>
          <t>PDF p.26</t>
        </is>
      </c>
      <c r="I68" s="152" t="inlineStr">
        <is>
          <t>As the source states it: rail should have carried 47 and carried 18. This is the freight that a road-to-rail shift would move.</t>
        </is>
      </c>
    </row>
    <row r="69">
      <c r="A69" s="162" t="inlineStr">
        <is>
          <t>Road freight in tonne-kilometres, by year</t>
        </is>
      </c>
      <c r="B69" s="162" t="inlineStr">
        <is>
          <t>South Africa</t>
        </is>
      </c>
      <c r="C69" s="162" t="inlineStr">
        <is>
          <t>Not available</t>
        </is>
      </c>
      <c r="D69" s="162" t="inlineStr">
        <is>
          <t>billion tonne-km</t>
        </is>
      </c>
      <c r="E69" s="162" t="inlineStr"/>
      <c r="F69" s="162" t="inlineStr">
        <is>
          <t>not available</t>
        </is>
      </c>
      <c r="G69" s="162" t="inlineStr">
        <is>
          <t>None published as numbers</t>
        </is>
      </c>
      <c r="H69" s="162" t="inlineStr"/>
      <c r="I69" s="162" t="inlineStr">
        <is>
          <t>The research group that models it (GAIN, Stellenbosch) shows yearly charts but publishes figures for single years only.</t>
        </is>
      </c>
    </row>
    <row r="70">
      <c r="A70" s="152" t="inlineStr">
        <is>
          <t>Fuel used by Transnet, all divisions</t>
        </is>
      </c>
      <c r="B70" s="152" t="inlineStr">
        <is>
          <t>Transnet, all divisions</t>
        </is>
      </c>
      <c r="C70" s="152" t="inlineStr">
        <is>
          <t>190; 199</t>
        </is>
      </c>
      <c r="D70" s="152" t="inlineStr">
        <is>
          <t>million litres</t>
        </is>
      </c>
      <c r="E70" s="152" t="inlineStr">
        <is>
          <t>years to March 2024; 2025</t>
        </is>
      </c>
      <c r="F70" s="152" t="inlineStr">
        <is>
          <t>observed</t>
        </is>
      </c>
      <c r="G70" s="152" t="inlineStr">
        <is>
          <t>Transnet Integrated Report 2025</t>
        </is>
      </c>
      <c r="H70" s="152" t="inlineStr">
        <is>
          <t>PDF p.73</t>
        </is>
      </c>
      <c r="I70" s="152" t="inlineStr">
        <is>
          <t>Up 4.37%, mainly an 8.49% rise in fuel for traction.</t>
        </is>
      </c>
    </row>
    <row r="71">
      <c r="A71" s="156" t="inlineStr">
        <is>
          <t>Diesel used by rail locomotives</t>
        </is>
      </c>
      <c r="B71" s="156" t="inlineStr">
        <is>
          <t>Transnet Freight Rail</t>
        </is>
      </c>
      <c r="C71" s="156" t="inlineStr">
        <is>
          <t>138</t>
        </is>
      </c>
      <c r="D71" s="156" t="inlineStr">
        <is>
          <t>million litres</t>
        </is>
      </c>
      <c r="E71" s="156" t="inlineStr">
        <is>
          <t>year to March 2025</t>
        </is>
      </c>
      <c r="F71" s="156" t="inlineStr">
        <is>
          <t>inferred</t>
        </is>
      </c>
      <c r="G71" s="156" t="inlineStr">
        <is>
          <t>199 million litres x 69.2% used for diesel traction (both from the Transnet report)</t>
        </is>
      </c>
      <c r="H71" s="156" t="inlineStr">
        <is>
          <t>PDF p.73</t>
        </is>
      </c>
      <c r="I71" s="156" t="inlineStr">
        <is>
          <t>About 1% of diesel sales. So freight moving to rail saves nearly all the road diesel it displaces. The rest is generators 13.8%, vehicle fleets 10.2%, marine diesel 6.7%, jet fuel 0.1%.</t>
        </is>
      </c>
    </row>
    <row r="73">
      <c r="A73" s="151" t="inlineStr">
        <is>
          <t>Sector activity</t>
        </is>
      </c>
      <c r="B73" s="151" t="n"/>
      <c r="C73" s="151" t="n"/>
      <c r="D73" s="151" t="n"/>
      <c r="E73" s="151" t="n"/>
      <c r="F73" s="151" t="n"/>
      <c r="G73" s="151" t="n"/>
      <c r="H73" s="151" t="n"/>
      <c r="I73" s="151" t="n"/>
    </row>
    <row r="74">
      <c r="A74" s="152" t="inlineStr">
        <is>
          <t>Mining, manufacturing and agriculture: activity and diesel per unit</t>
        </is>
      </c>
      <c r="B74" s="152" t="inlineStr">
        <is>
          <t>South Africa</t>
        </is>
      </c>
      <c r="C74" s="152" t="inlineStr">
        <is>
          <t>On the Sector history sheet</t>
        </is>
      </c>
      <c r="D74" s="152" t="inlineStr"/>
      <c r="E74" s="152" t="inlineStr">
        <is>
          <t>2012-2025</t>
        </is>
      </c>
      <c r="F74" s="152" t="inlineStr">
        <is>
          <t>observed</t>
        </is>
      </c>
      <c r="G74" s="152" t="inlineStr">
        <is>
          <t>Statistics South Africa (P2041, P3041.2, P0441); department energy balances</t>
        </is>
      </c>
      <c r="H74" s="152" t="inlineStr"/>
      <c r="I74"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40 facts read from sources, 8 calculated, 4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2" t="inlineStr">
        <is>
          <t>Capacity stated by the operator</t>
        </is>
      </c>
      <c r="B16" s="152" t="inlineStr">
        <is>
          <t>Secunda</t>
        </is>
      </c>
      <c r="C16" s="152" t="inlineStr">
        <is>
          <t>150,000</t>
        </is>
      </c>
      <c r="D16" s="152" t="inlineStr">
        <is>
          <t>barrels a day</t>
        </is>
      </c>
      <c r="E16" s="152" t="inlineStr">
        <is>
          <t>as stated April 2021</t>
        </is>
      </c>
      <c r="F16" s="152" t="inlineStr">
        <is>
          <t>observed</t>
        </is>
      </c>
      <c r="G16" s="152" t="inlineStr">
        <is>
          <t>Sasol Limited, Business Overview, April 2021</t>
        </is>
      </c>
      <c r="H16" s="152" t="inlineStr">
        <is>
          <t>PDF p.12</t>
        </is>
      </c>
      <c r="I16" s="152" t="inlineStr">
        <is>
          <t>Sasol: about 7.5 to 7.7 million tonnes a year, of which about 60% is energy products and 40% chemicals. Agrees with the department's table.</t>
        </is>
      </c>
    </row>
    <row r="17">
      <c r="A17" s="152" t="inlineStr">
        <is>
          <t>Capacity stated by the operator</t>
        </is>
      </c>
      <c r="B17" s="152" t="inlineStr">
        <is>
          <t>Natref</t>
        </is>
      </c>
      <c r="C17" s="152" t="inlineStr">
        <is>
          <t>108,500</t>
        </is>
      </c>
      <c r="D17" s="152" t="inlineStr">
        <is>
          <t>barrels a day</t>
        </is>
      </c>
      <c r="E17" s="152" t="inlineStr">
        <is>
          <t>as stated April 2021</t>
        </is>
      </c>
      <c r="F17" s="152" t="inlineStr">
        <is>
          <t>observed</t>
        </is>
      </c>
      <c r="G17" s="152" t="inlineStr">
        <is>
          <t>Sasol Limited, Business Overview, April 2021</t>
        </is>
      </c>
      <c r="H17" s="152" t="inlineStr">
        <is>
          <t>PDF p.12</t>
        </is>
      </c>
      <c r="I17" s="152" t="inlineStr">
        <is>
          <t>The department's table shows 108,000.</t>
        </is>
      </c>
    </row>
    <row r="18">
      <c r="A18" s="156" t="inlineStr">
        <is>
          <t>Capacity in operation</t>
        </is>
      </c>
      <c r="B18" s="156" t="inlineStr">
        <is>
          <t>Secunda, Natref and Astron Energy</t>
        </is>
      </c>
      <c r="C18" s="156" t="inlineStr">
        <is>
          <t>358,000</t>
        </is>
      </c>
      <c r="D18" s="156" t="inlineStr">
        <is>
          <t>barrels a day, crude equivalent</t>
        </is>
      </c>
      <c r="E18" s="156" t="inlineStr">
        <is>
          <t>2023 onward</t>
        </is>
      </c>
      <c r="F18" s="156" t="inlineStr">
        <is>
          <t>inferred</t>
        </is>
      </c>
      <c r="G18" s="156" t="inlineStr">
        <is>
          <t>Sum of the three plants operating</t>
        </is>
      </c>
      <c r="H18" s="156" t="inlineStr"/>
      <c r="I18" s="156" t="inlineStr">
        <is>
          <t>Half of the 718,000 published in 2021. Sapref is still listed at 180,000 by the department although it is not refining.</t>
        </is>
      </c>
    </row>
    <row r="20">
      <c r="A20" s="151" t="inlineStr">
        <is>
          <t>Status and dates</t>
        </is>
      </c>
      <c r="B20" s="151" t="n"/>
      <c r="C20" s="151" t="n"/>
      <c r="D20" s="151" t="n"/>
      <c r="E20" s="151" t="n"/>
      <c r="F20" s="151" t="n"/>
      <c r="G20" s="151" t="n"/>
      <c r="H20" s="151" t="n"/>
      <c r="I20" s="151" t="n"/>
    </row>
    <row r="21">
      <c r="A21" s="152" t="inlineStr">
        <is>
          <t>Status</t>
        </is>
      </c>
      <c r="B21" s="152" t="inlineStr">
        <is>
          <t>Astron Energy</t>
        </is>
      </c>
      <c r="C21" s="152" t="inlineStr">
        <is>
          <t>Restarted after a multi-year rebuild</t>
        </is>
      </c>
      <c r="D21" s="152" t="inlineStr"/>
      <c r="E21" s="152" t="inlineStr">
        <is>
          <t>early 2023</t>
        </is>
      </c>
      <c r="F21" s="152" t="inlineStr">
        <is>
          <t>observed</t>
        </is>
      </c>
      <c r="G21" s="152" t="inlineStr">
        <is>
          <t>Glencore Annual Report 2023</t>
        </is>
      </c>
      <c r="H21" s="152" t="inlineStr">
        <is>
          <t>PDF pp.101, 106</t>
        </is>
      </c>
      <c r="I21" s="152" t="inlineStr">
        <is>
          <t>It had not operated since a 2020 incident; the department's 2023 report still describes it as not operating.</t>
        </is>
      </c>
    </row>
    <row r="22">
      <c r="A22" s="152" t="inlineStr">
        <is>
          <t>Status</t>
        </is>
      </c>
      <c r="B22" s="152" t="inlineStr">
        <is>
          <t>Enref (Engen)</t>
        </is>
      </c>
      <c r="C22" s="152" t="inlineStr">
        <is>
          <t>Not operating after a major fire; capacity shown as nil</t>
        </is>
      </c>
      <c r="D22" s="152" t="inlineStr"/>
      <c r="E22" s="152" t="inlineStr">
        <is>
          <t>as at 2023</t>
        </is>
      </c>
      <c r="F22" s="152" t="inlineStr">
        <is>
          <t>observed</t>
        </is>
      </c>
      <c r="G22" s="152" t="inlineStr">
        <is>
          <t>Department of Mineral Resources and Energy, South African Energy Sector Report 2023</t>
        </is>
      </c>
      <c r="H22" s="152" t="inlineStr">
        <is>
          <t>PDF p.17</t>
        </is>
      </c>
      <c r="I22" s="152" t="inlineStr">
        <is>
          <t>The fire and the decision to close are dated in the two rows below.</t>
        </is>
      </c>
    </row>
    <row r="23">
      <c r="A23" s="152" t="inlineStr">
        <is>
          <t>Status</t>
        </is>
      </c>
      <c r="B23" s="152" t="inlineStr">
        <is>
          <t>PetroSA (Mossel Bay)</t>
        </is>
      </c>
      <c r="C23" s="152" t="inlineStr">
        <is>
          <t>Not operating: no feedstock</t>
        </is>
      </c>
      <c r="D23" s="152" t="inlineStr"/>
      <c r="E23" s="152" t="inlineStr">
        <is>
          <t>since December 2020</t>
        </is>
      </c>
      <c r="F23" s="152" t="inlineStr">
        <is>
          <t>observed</t>
        </is>
      </c>
      <c r="G23" s="152" t="inlineStr">
        <is>
          <t>PetroSA tender scope of work; department's 2023 report</t>
        </is>
      </c>
      <c r="H23" s="152" t="inlineStr">
        <is>
          <t>department PDF p.17</t>
        </is>
      </c>
      <c r="I23" s="152" t="inlineStr">
        <is>
          <t>PetroSA's tender proposes restarting the liquids refinery without the offshore gas sections.</t>
        </is>
      </c>
    </row>
    <row r="24">
      <c r="A24" s="152" t="inlineStr">
        <is>
          <t>Status</t>
        </is>
      </c>
      <c r="B24" s="152" t="inlineStr">
        <is>
          <t>Sapref</t>
        </is>
      </c>
      <c r="C24" s="152" t="inlineStr">
        <is>
          <t>Not refining; acquired by the Central Energy Fund</t>
        </is>
      </c>
      <c r="D24" s="152" t="inlineStr"/>
      <c r="E24" s="152" t="inlineStr">
        <is>
          <t>as at September 2026</t>
        </is>
      </c>
      <c r="F24" s="152" t="inlineStr">
        <is>
          <t>observed</t>
        </is>
      </c>
      <c r="G24" s="152" t="inlineStr">
        <is>
          <t>Central Energy Fund statements, September 2026</t>
        </is>
      </c>
      <c r="H24" s="152" t="inlineStr"/>
      <c r="I24" s="152" t="inlineStr">
        <is>
          <t>The two statements confirm the acquisition and that the site is not refining. The pause is dated in the Shell release below.</t>
        </is>
      </c>
    </row>
    <row r="25">
      <c r="A25" s="152" t="inlineStr">
        <is>
          <t>Status</t>
        </is>
      </c>
      <c r="B25" s="152" t="inlineStr">
        <is>
          <t>Natref</t>
        </is>
      </c>
      <c r="C25" s="152" t="inlineStr">
        <is>
          <t>A downstream unit outage alongside a planned shutdown</t>
        </is>
      </c>
      <c r="D25" s="152" t="inlineStr"/>
      <c r="E25" s="152" t="inlineStr">
        <is>
          <t>August to September 2026</t>
        </is>
      </c>
      <c r="F25" s="152" t="inlineStr">
        <is>
          <t>observed</t>
        </is>
      </c>
      <c r="G25" s="152" t="inlineStr">
        <is>
          <t>Sasol, Natref operational update, 1 September 2026</t>
        </is>
      </c>
      <c r="H25" s="152" t="inlineStr"/>
      <c r="I25" s="152" t="inlineStr">
        <is>
          <t>An operating risk, not a closure.</t>
        </is>
      </c>
    </row>
    <row r="26">
      <c r="A26" s="152" t="inlineStr">
        <is>
          <t>Status</t>
        </is>
      </c>
      <c r="B26" s="152" t="inlineStr">
        <is>
          <t>Three crude refineries</t>
        </is>
      </c>
      <c r="C26" s="152" t="inlineStr">
        <is>
          <t>Not in operation for the past two years</t>
        </is>
      </c>
      <c r="D26" s="152" t="inlineStr"/>
      <c r="E26" s="152" t="inlineStr">
        <is>
          <t>as at 2023</t>
        </is>
      </c>
      <c r="F26" s="152" t="inlineStr">
        <is>
          <t>observed</t>
        </is>
      </c>
      <c r="G26" s="152" t="inlineStr">
        <is>
          <t>Department of Mineral Resources and Energy, South African Energy Sector Report 2023</t>
        </is>
      </c>
      <c r="H26" s="152" t="inlineStr">
        <is>
          <t>PDF p.17</t>
        </is>
      </c>
      <c r="I26" s="152" t="inlineStr">
        <is>
          <t>The department's wording; it does not name them in that sentence.</t>
        </is>
      </c>
    </row>
    <row r="27">
      <c r="A27" s="152" t="inlineStr">
        <is>
          <t>Status</t>
        </is>
      </c>
      <c r="B27" s="152" t="inlineStr">
        <is>
          <t>Enref (Engen)</t>
        </is>
      </c>
      <c r="C27" s="152" t="inlineStr">
        <is>
          <t>Fire and explosion at 07:08 in Unit 44; the refinery was shut</t>
        </is>
      </c>
      <c r="D27" s="152" t="inlineStr"/>
      <c r="E27" s="152" t="inlineStr">
        <is>
          <t>4 December 2020</t>
        </is>
      </c>
      <c r="F27" s="152" t="inlineStr">
        <is>
          <t>observed</t>
        </is>
      </c>
      <c r="G27" s="152" t="inlineStr">
        <is>
          <t>Engen's account to Parliament's Portfolio Committee on Environment, Forestry and Fisheries, 8 December 2020 (Parliamentary Monitoring Group record)</t>
        </is>
      </c>
      <c r="H27" s="152" t="inlineStr"/>
      <c r="I27" s="152" t="inlineStr">
        <is>
          <t>It did not refine again: see the next row.</t>
        </is>
      </c>
    </row>
    <row r="28">
      <c r="A28" s="152" t="inlineStr">
        <is>
          <t>Status</t>
        </is>
      </c>
      <c r="B28" s="152" t="inlineStr">
        <is>
          <t>Enref (Engen)</t>
        </is>
      </c>
      <c r="C28" s="152" t="inlineStr">
        <is>
          <t>Engen announced it would shut the refinery and convert the site to an import terminal by the end of 2023</t>
        </is>
      </c>
      <c r="D28" s="152" t="inlineStr"/>
      <c r="E28" s="152" t="inlineStr">
        <is>
          <t>23 April 2021</t>
        </is>
      </c>
      <c r="F28" s="152" t="inlineStr">
        <is>
          <t>observed</t>
        </is>
      </c>
      <c r="G28" s="152" t="inlineStr">
        <is>
          <t>Engineering News, 23 April 2021, reporting Engen's statement</t>
        </is>
      </c>
      <c r="H28" s="152" t="inlineStr"/>
      <c r="I28" s="152" t="inlineStr">
        <is>
          <t>A press report of Engen's statement; the statement itself is not held. Engen gives nameplate capacity as 120,000 barrels a day, against 135,000 in the department's table.</t>
        </is>
      </c>
    </row>
    <row r="29">
      <c r="A29" s="152" t="inlineStr">
        <is>
          <t>Status</t>
        </is>
      </c>
      <c r="B29" s="152" t="inlineStr">
        <is>
          <t>Sapref</t>
        </is>
      </c>
      <c r="C29" s="152" t="inlineStr">
        <is>
          <t>Shell and bp announced a spend freeze and a pause of refinery operations no later than the end of March 2022, for an indefinite period</t>
        </is>
      </c>
      <c r="D29" s="152" t="inlineStr"/>
      <c r="E29" s="152" t="inlineStr">
        <is>
          <t>10 February 2022</t>
        </is>
      </c>
      <c r="F29" s="152" t="inlineStr">
        <is>
          <t>observed</t>
        </is>
      </c>
      <c r="G29" s="152" t="inlineStr">
        <is>
          <t>Shell South Africa media release, SAPREF to pause refinery operations</t>
        </is>
      </c>
      <c r="H29" s="152" t="inlineStr"/>
      <c r="I29" s="152" t="inlineStr">
        <is>
          <t>Gives the latest date for the pause, not the day the last unit stopped.</t>
        </is>
      </c>
    </row>
    <row r="31">
      <c r="A31" s="151" t="inlineStr">
        <is>
          <t>Output by plant</t>
        </is>
      </c>
      <c r="B31" s="151" t="n"/>
      <c r="C31" s="151" t="n"/>
      <c r="D31" s="151" t="n"/>
      <c r="E31" s="151" t="n"/>
      <c r="F31" s="151" t="n"/>
      <c r="G31" s="151" t="n"/>
      <c r="H31" s="151" t="n"/>
      <c r="I31" s="151" t="n"/>
    </row>
    <row r="32">
      <c r="A32" s="152" t="inlineStr">
        <is>
          <t>Output reported by the operator</t>
        </is>
      </c>
      <c r="B32" s="152" t="inlineStr">
        <is>
          <t>Secunda, all refined products</t>
        </is>
      </c>
      <c r="C32" s="152" t="inlineStr">
        <is>
          <t>31.2; 32.1; 29.2; 29.9; 29.1; 27.6; 30.6</t>
        </is>
      </c>
      <c r="D32" s="152" t="inlineStr">
        <is>
          <t>million barrels</t>
        </is>
      </c>
      <c r="E32" s="152" t="inlineStr">
        <is>
          <t>years to June 2020; 2021; 2022; 2023; 2024; 2025; 2026</t>
        </is>
      </c>
      <c r="F32" s="152" t="inlineStr">
        <is>
          <t>observed</t>
        </is>
      </c>
      <c r="G32" s="152" t="inlineStr">
        <is>
          <t>Sasol production and sales metrics</t>
        </is>
      </c>
      <c r="H32" s="152" t="inlineStr"/>
      <c r="I32" s="152" t="inlineStr">
        <is>
          <t>All products together. No operator reports petrol and diesel separately.</t>
        </is>
      </c>
    </row>
    <row r="33">
      <c r="A33" s="152" t="inlineStr">
        <is>
          <t>Output reported by the operator</t>
        </is>
      </c>
      <c r="B33" s="152" t="inlineStr">
        <is>
          <t>Natref, Sasol's share</t>
        </is>
      </c>
      <c r="C33" s="152" t="inlineStr">
        <is>
          <t>16.8; 17.7; 18.9; 17.2; 17.8; 14.7; 25.8</t>
        </is>
      </c>
      <c r="D33" s="152" t="inlineStr">
        <is>
          <t>million barrels</t>
        </is>
      </c>
      <c r="E33" s="152" t="inlineStr">
        <is>
          <t>years to June 2020; 2021; 2022; 2023; 2024; 2025; 2026</t>
        </is>
      </c>
      <c r="F33" s="152" t="inlineStr">
        <is>
          <t>observed</t>
        </is>
      </c>
      <c r="G33" s="152" t="inlineStr">
        <is>
          <t>Sasol production and sales metrics</t>
        </is>
      </c>
      <c r="H33" s="152" t="inlineStr"/>
      <c r="I33" s="152" t="inlineStr">
        <is>
          <t>All products together. No operator reports petrol and diesel separately. Sasol's 63.64% share only; the year to June 2026 includes output above that share.</t>
        </is>
      </c>
    </row>
    <row r="34">
      <c r="A34" s="152" t="inlineStr">
        <is>
          <t>Output reported by the operator</t>
        </is>
      </c>
      <c r="B34" s="152" t="inlineStr">
        <is>
          <t>Astron Energy, all refined products</t>
        </is>
      </c>
      <c r="C34" s="152" t="inlineStr">
        <is>
          <t>136,665; 166,204; 164,365</t>
        </is>
      </c>
      <c r="D34" s="152" t="inlineStr">
        <is>
          <t>billion Btu</t>
        </is>
      </c>
      <c r="E34" s="152" t="inlineStr">
        <is>
          <t>2023; 2024; 2025</t>
        </is>
      </c>
      <c r="F34" s="152" t="inlineStr">
        <is>
          <t>observed</t>
        </is>
      </c>
      <c r="G34" s="152" t="inlineStr">
        <is>
          <t>Glencore annual reports</t>
        </is>
      </c>
      <c r="H34" s="152" t="inlineStr"/>
      <c r="I34" s="152" t="inlineStr">
        <is>
          <t>All products together. No operator reports petrol and diesel separately. Reported as energy content, not volume.</t>
        </is>
      </c>
    </row>
    <row r="35">
      <c r="A35" s="152" t="inlineStr">
        <is>
          <t>Secunda fuels output</t>
        </is>
      </c>
      <c r="B35" s="152" t="inlineStr">
        <is>
          <t>Secunda, fuels (white and black products)</t>
        </is>
      </c>
      <c r="C35" s="152" t="inlineStr">
        <is>
          <t>3472</t>
        </is>
      </c>
      <c r="D35" s="152" t="inlineStr">
        <is>
          <t>thousand tonnes</t>
        </is>
      </c>
      <c r="E35" s="152" t="inlineStr">
        <is>
          <t>year to June 2024</t>
        </is>
      </c>
      <c r="F35" s="152" t="inlineStr">
        <is>
          <t>observed</t>
        </is>
      </c>
      <c r="G35" s="152" t="inlineStr">
        <is>
          <t>Sasol business performance metrics, 30 June 2026</t>
        </is>
      </c>
      <c r="H35" s="152" t="inlineStr">
        <is>
          <t>PDF p.4</t>
        </is>
      </c>
      <c r="I35" s="152" t="inlineStr">
        <is>
          <t>Of total Secunda production of 6,990, 6,721 and 7,260 thousand tonnes; the rest is chemicals and other products.</t>
        </is>
      </c>
    </row>
    <row r="36">
      <c r="A36" s="152" t="inlineStr">
        <is>
          <t>Secunda fuels output</t>
        </is>
      </c>
      <c r="B36" s="152" t="inlineStr">
        <is>
          <t>Secunda, fuels (white and black products)</t>
        </is>
      </c>
      <c r="C36" s="152" t="inlineStr">
        <is>
          <t>3293</t>
        </is>
      </c>
      <c r="D36" s="152" t="inlineStr">
        <is>
          <t>thousand tonnes</t>
        </is>
      </c>
      <c r="E36" s="152" t="inlineStr">
        <is>
          <t>year to June 2025</t>
        </is>
      </c>
      <c r="F36" s="152" t="inlineStr">
        <is>
          <t>observed</t>
        </is>
      </c>
      <c r="G36" s="152" t="inlineStr">
        <is>
          <t>Sasol business performance metrics, 30 June 2026</t>
        </is>
      </c>
      <c r="H36" s="152" t="inlineStr">
        <is>
          <t>PDF p.4</t>
        </is>
      </c>
      <c r="I36" s="152" t="inlineStr">
        <is>
          <t>Of total Secunda production of 6,990, 6,721 and 7,260 thousand tonnes; the rest is chemicals and other products.</t>
        </is>
      </c>
    </row>
    <row r="37">
      <c r="A37" s="152" t="inlineStr">
        <is>
          <t>Secunda fuels output</t>
        </is>
      </c>
      <c r="B37" s="152" t="inlineStr">
        <is>
          <t>Secunda, fuels (white and black products)</t>
        </is>
      </c>
      <c r="C37" s="152" t="inlineStr">
        <is>
          <t>3634</t>
        </is>
      </c>
      <c r="D37" s="152" t="inlineStr">
        <is>
          <t>thousand tonnes</t>
        </is>
      </c>
      <c r="E37" s="152" t="inlineStr">
        <is>
          <t>year to June 2026</t>
        </is>
      </c>
      <c r="F37" s="152" t="inlineStr">
        <is>
          <t>observed</t>
        </is>
      </c>
      <c r="G37" s="152" t="inlineStr">
        <is>
          <t>Sasol business performance metrics, 30 June 2026</t>
        </is>
      </c>
      <c r="H37" s="152" t="inlineStr">
        <is>
          <t>PDF p.4</t>
        </is>
      </c>
      <c r="I37" s="152" t="inlineStr">
        <is>
          <t>Of total Secunda production of 6,990, 6,721 and 7,260 thousand tonnes; the rest is chemicals and other products.</t>
        </is>
      </c>
    </row>
    <row r="38">
      <c r="A38" s="156" t="inlineStr">
        <is>
          <t>Petrol output, estimated</t>
        </is>
      </c>
      <c r="B38" s="156" t="inlineStr">
        <is>
          <t>Natref, whole refinery</t>
        </is>
      </c>
      <c r="C38" s="156" t="inlineStr">
        <is>
          <t>1.22 to 1.34; 1.28 to 1.41; 1.37 to 1.51; 1.25 to 1.38; 1.29 to 1.42; 1.06 to 1.18</t>
        </is>
      </c>
      <c r="D38" s="156" t="inlineStr">
        <is>
          <t>billion litres</t>
        </is>
      </c>
      <c r="E38" s="156" t="inlineStr">
        <is>
          <t>years to June 2020; 2021; 2022; 2023; 2024; 2025</t>
        </is>
      </c>
      <c r="F38" s="156" t="inlineStr">
        <is>
          <t>inferred</t>
        </is>
      </c>
      <c r="G38" s="156" t="inlineStr">
        <is>
          <t>Sasol's reported Natref production, scaled to the whole refinery, times Sasol's stated product split</t>
        </is>
      </c>
      <c r="H38" s="156" t="inlineStr"/>
      <c r="I38" s="156" t="inlineStr">
        <is>
          <t>An estimate: the split is a range Sasol stated in April 2021, applied to every year. The year to June 2026 is left out.</t>
        </is>
      </c>
    </row>
    <row r="39">
      <c r="A39" s="156" t="inlineStr">
        <is>
          <t>Diesel output, estimated</t>
        </is>
      </c>
      <c r="B39" s="156" t="inlineStr">
        <is>
          <t>Natref, whole refinery</t>
        </is>
      </c>
      <c r="C39" s="156" t="inlineStr">
        <is>
          <t>1.30 to 1.55; 1.37 to 1.64; 1.46 to 1.75; 1.33 to 1.59; 1.38 to 1.65; 1.14 to 1.36</t>
        </is>
      </c>
      <c r="D39" s="156" t="inlineStr">
        <is>
          <t>billion litres</t>
        </is>
      </c>
      <c r="E39" s="156" t="inlineStr">
        <is>
          <t>years to June 2020; 2021; 2022; 2023; 2024; 2025</t>
        </is>
      </c>
      <c r="F39" s="156" t="inlineStr">
        <is>
          <t>inferred</t>
        </is>
      </c>
      <c r="G39" s="156" t="inlineStr">
        <is>
          <t>Sasol's reported Natref production, scaled to the whole refinery, times Sasol's stated product split</t>
        </is>
      </c>
      <c r="H39" s="156" t="inlineStr"/>
      <c r="I39" s="156" t="inlineStr">
        <is>
          <t>An estimate: the split is a range Sasol stated in April 2021, applied to every year. The year to June 2026 is left out.</t>
        </is>
      </c>
    </row>
    <row r="40">
      <c r="A40" s="162" t="inlineStr">
        <is>
          <t>Petrol and diesel output by plant</t>
        </is>
      </c>
      <c r="B40" s="162" t="inlineStr">
        <is>
          <t>Secunda and Astron Energy</t>
        </is>
      </c>
      <c r="C40" s="162" t="inlineStr">
        <is>
          <t>Not available</t>
        </is>
      </c>
      <c r="D40" s="162" t="inlineStr">
        <is>
          <t>litres</t>
        </is>
      </c>
      <c r="E40" s="162" t="inlineStr"/>
      <c r="F40" s="162" t="inlineStr">
        <is>
          <t>not available</t>
        </is>
      </c>
      <c r="G40" s="162" t="inlineStr">
        <is>
          <t>None published</t>
        </is>
      </c>
      <c r="H40" s="162" t="inlineStr"/>
      <c r="I40" s="162" t="inlineStr">
        <is>
          <t>Sasol states Secunda's split (65% petrol, 35% diesel) but not the total it applies to. Glencore publishes no split for Astron. Needs the operators.</t>
        </is>
      </c>
    </row>
    <row r="41">
      <c r="A41" s="156" t="inlineStr">
        <is>
          <t>Output of Sapref, Enref and PetroSA</t>
        </is>
      </c>
      <c r="B41" s="156" t="inlineStr">
        <is>
          <t>Plants not operating</t>
        </is>
      </c>
      <c r="C41" s="156" t="inlineStr">
        <is>
          <t>0</t>
        </is>
      </c>
      <c r="D41" s="156" t="inlineStr"/>
      <c r="E41" s="156" t="inlineStr">
        <is>
          <t>while not operating</t>
        </is>
      </c>
      <c r="F41" s="156" t="inlineStr">
        <is>
          <t>inferred</t>
        </is>
      </c>
      <c r="G41" s="156" t="inlineStr">
        <is>
          <t>From the status rows</t>
        </is>
      </c>
      <c r="H41" s="156" t="inlineStr"/>
      <c r="I41" s="156" t="inlineStr">
        <is>
          <t>Enref since the fire of 4 December 2020; PetroSA since December 2020; Sapref since the pause at the end of March 2022.</t>
        </is>
      </c>
    </row>
    <row r="43">
      <c r="A43" s="151" t="inlineStr">
        <is>
          <t>National output by product</t>
        </is>
      </c>
      <c r="B43" s="151" t="n"/>
      <c r="C43" s="151" t="n"/>
      <c r="D43" s="151" t="n"/>
      <c r="E43" s="151" t="n"/>
      <c r="F43" s="151" t="n"/>
      <c r="G43" s="151" t="n"/>
      <c r="H43" s="151" t="n"/>
      <c r="I43" s="151" t="n"/>
    </row>
    <row r="44">
      <c r="A44" s="152" t="inlineStr">
        <is>
          <t>Petrol produced, all plants</t>
        </is>
      </c>
      <c r="B44" s="152" t="inlineStr">
        <is>
          <t>South Africa</t>
        </is>
      </c>
      <c r="C44" s="152" t="inlineStr">
        <is>
          <t>10.83; 10.46; 10.39; 9.43; 9.97; 10.42; 7.89; 6.35</t>
        </is>
      </c>
      <c r="D44" s="152" t="inlineStr">
        <is>
          <t>billion litres</t>
        </is>
      </c>
      <c r="E44" s="152" t="inlineStr">
        <is>
          <t>2014; 2015; 2016; 2017; 2018; 2019; 2020; 2021</t>
        </is>
      </c>
      <c r="F44" s="152" t="inlineStr">
        <is>
          <t>observed</t>
        </is>
      </c>
      <c r="G44" s="152" t="inlineStr">
        <is>
          <t>Department of Mineral and Petroleum Resources, energy balances</t>
        </is>
      </c>
      <c r="H44" s="152" t="inlineStr"/>
      <c r="I44" s="152" t="inlineStr">
        <is>
          <t>The only output by product. Ends at 2021, the last balance published.</t>
        </is>
      </c>
    </row>
    <row r="45">
      <c r="A45" s="152" t="inlineStr">
        <is>
          <t>Diesel produced, all plants</t>
        </is>
      </c>
      <c r="B45" s="152" t="inlineStr">
        <is>
          <t>South Africa</t>
        </is>
      </c>
      <c r="C45" s="152" t="inlineStr">
        <is>
          <t>9.59; 9.37; 9.01; 7.92; 8.43; 9.08; 6.45; 5.31</t>
        </is>
      </c>
      <c r="D45" s="152" t="inlineStr">
        <is>
          <t>billion litres</t>
        </is>
      </c>
      <c r="E45" s="152" t="inlineStr">
        <is>
          <t>2014; 2015; 2016; 2017; 2018; 2019; 2020; 2021</t>
        </is>
      </c>
      <c r="F45" s="152" t="inlineStr">
        <is>
          <t>observed</t>
        </is>
      </c>
      <c r="G45" s="152" t="inlineStr">
        <is>
          <t>Department of Mineral and Petroleum Resources, energy balances</t>
        </is>
      </c>
      <c r="H45" s="152" t="inlineStr"/>
      <c r="I45" s="152" t="inlineStr">
        <is>
          <t>The only output by product. Ends at 2021, the last balance published.</t>
        </is>
      </c>
    </row>
    <row r="46">
      <c r="A46" s="152" t="inlineStr">
        <is>
          <t>Petrol produced, United Nations series (not used)</t>
        </is>
      </c>
      <c r="B46" s="152" t="inlineStr">
        <is>
          <t>South Africa</t>
        </is>
      </c>
      <c r="C46" s="152" t="inlineStr">
        <is>
          <t>5,030; 3,491; 2,488; 1,323; 1,827</t>
        </is>
      </c>
      <c r="D46" s="152" t="inlineStr">
        <is>
          <t>thousand tonnes</t>
        </is>
      </c>
      <c r="E46" s="152" t="inlineStr">
        <is>
          <t>2019; 2020; 2021; 2022; 2023</t>
        </is>
      </c>
      <c r="F46" s="152" t="inlineStr">
        <is>
          <t>observed</t>
        </is>
      </c>
      <c r="G46" s="152" t="inlineStr">
        <is>
          <t>United Nations Statistics Division, Energy Statistics Database (retrieved 8 October 2026)</t>
        </is>
      </c>
      <c r="H46" s="152" t="inlineStr">
        <is>
          <t>transaction 013, production from refineries</t>
        </is>
      </c>
      <c r="I46" s="152" t="inlineStr">
        <is>
          <t>Comparison only, not used. It does not match the department in the years they share: set against the department's litres it implies 0.39 to 0.48 kg a litre, and petrol weighs about 0.75.</t>
        </is>
      </c>
    </row>
    <row r="47">
      <c r="A47" s="152" t="inlineStr">
        <is>
          <t>Diesel produced, United Nations series (not used)</t>
        </is>
      </c>
      <c r="B47" s="152" t="inlineStr">
        <is>
          <t>South Africa</t>
        </is>
      </c>
      <c r="C47" s="152" t="inlineStr">
        <is>
          <t>7,535; 4,676; 4,282; 2,383; 2,222</t>
        </is>
      </c>
      <c r="D47" s="152" t="inlineStr">
        <is>
          <t>thousand tonnes</t>
        </is>
      </c>
      <c r="E47" s="152" t="inlineStr">
        <is>
          <t>2019; 2020; 2021; 2022; 2023</t>
        </is>
      </c>
      <c r="F47" s="152" t="inlineStr">
        <is>
          <t>observed</t>
        </is>
      </c>
      <c r="G47" s="152" t="inlineStr">
        <is>
          <t>United Nations Statistics Division, Energy Statistics Database (retrieved 8 October 2026)</t>
        </is>
      </c>
      <c r="H47" s="152" t="inlineStr">
        <is>
          <t>transaction 013, production from refineries</t>
        </is>
      </c>
      <c r="I47" s="152" t="inlineStr">
        <is>
          <t>Comparison only, not used. Close to the department in 2019 and 2021 (0.83 and 0.81 kg a litre implied, against about 0.84) but low in 2020 (0.73). The petrol series from the same source does not match, so neither is relied on.</t>
        </is>
      </c>
    </row>
    <row r="48">
      <c r="A48" s="162" t="inlineStr">
        <is>
          <t>Petrol and diesel produced after 2021, on the department's basis</t>
        </is>
      </c>
      <c r="B48" s="162" t="inlineStr">
        <is>
          <t>South Africa</t>
        </is>
      </c>
      <c r="C48" s="162" t="inlineStr">
        <is>
          <t>Not available</t>
        </is>
      </c>
      <c r="D48" s="162" t="inlineStr">
        <is>
          <t>billion litres</t>
        </is>
      </c>
      <c r="E48" s="162" t="inlineStr">
        <is>
          <t>2022 onward</t>
        </is>
      </c>
      <c r="F48" s="162" t="inlineStr">
        <is>
          <t>not available</t>
        </is>
      </c>
      <c r="G48" s="162" t="inlineStr">
        <is>
          <t>None published</t>
        </is>
      </c>
      <c r="H48" s="162" t="inlineStr"/>
      <c r="I48" s="162" t="inlineStr">
        <is>
          <t>The department has published no balance after 2021. The United Nations series runs to 2023 but does not match the department in the years they share.</t>
        </is>
      </c>
    </row>
    <row r="50">
      <c r="A50" s="151" t="inlineStr">
        <is>
          <t>Yields</t>
        </is>
      </c>
      <c r="B50" s="151" t="n"/>
      <c r="C50" s="151" t="n"/>
      <c r="D50" s="151" t="n"/>
      <c r="E50" s="151" t="n"/>
      <c r="F50" s="151" t="n"/>
      <c r="G50" s="151" t="n"/>
      <c r="H50" s="151" t="n"/>
      <c r="I50" s="151" t="n"/>
    </row>
    <row r="51">
      <c r="A51" s="156" t="inlineStr">
        <is>
          <t>Petrol share of the four main fuels produced</t>
        </is>
      </c>
      <c r="B51" s="156" t="inlineStr">
        <is>
          <t>South Africa, all plants</t>
        </is>
      </c>
      <c r="C51" s="156" t="inlineStr">
        <is>
          <t>46.1; 44.8; 45.0; 48.1; 48.8; 49.5; 50.3; 50.6</t>
        </is>
      </c>
      <c r="D51" s="156" t="inlineStr">
        <is>
          <t>% of petrol, diesel, jet and paraffin</t>
        </is>
      </c>
      <c r="E51" s="156" t="inlineStr">
        <is>
          <t>2014; 2015; 2016; 2017; 2018; 2019; 2020; 2021</t>
        </is>
      </c>
      <c r="F51" s="156" t="inlineStr">
        <is>
          <t>inferred</t>
        </is>
      </c>
      <c r="G51" s="156" t="inlineStr">
        <is>
          <t>Calculated from the energy balances</t>
        </is>
      </c>
      <c r="H51" s="156" t="inlineStr"/>
      <c r="I51" s="156" t="inlineStr">
        <is>
          <t>A national mix, not a plant yield. It will have shifted since the Durban refineries closed.</t>
        </is>
      </c>
    </row>
    <row r="52">
      <c r="A52" s="156" t="inlineStr">
        <is>
          <t>Diesel share of the four main fuels produced</t>
        </is>
      </c>
      <c r="B52" s="156" t="inlineStr">
        <is>
          <t>South Africa, all plants</t>
        </is>
      </c>
      <c r="C52" s="156" t="inlineStr">
        <is>
          <t>40.8; 40.1; 39.0; 40.4; 41.2; 43.1; 41.1; 42.3</t>
        </is>
      </c>
      <c r="D52" s="156" t="inlineStr">
        <is>
          <t>% of petrol, diesel, jet and paraffin</t>
        </is>
      </c>
      <c r="E52" s="156" t="inlineStr">
        <is>
          <t>2014; 2015; 2016; 2017; 2018; 2019; 2020; 2021</t>
        </is>
      </c>
      <c r="F52" s="156" t="inlineStr">
        <is>
          <t>inferred</t>
        </is>
      </c>
      <c r="G52" s="156" t="inlineStr">
        <is>
          <t>Calculated from the energy balances</t>
        </is>
      </c>
      <c r="H52" s="156" t="inlineStr"/>
      <c r="I52" s="156" t="inlineStr">
        <is>
          <t>A national mix, not a plant yield. It will have shifted since the Durban refineries closed.</t>
        </is>
      </c>
    </row>
    <row r="53">
      <c r="A53" s="152" t="inlineStr">
        <is>
          <t>Natref white product yield</t>
        </is>
      </c>
      <c r="B53" s="152" t="inlineStr">
        <is>
          <t>Natref</t>
        </is>
      </c>
      <c r="C53" s="152" t="inlineStr">
        <is>
          <t>89.4; 88.5; 87.3; 88.1; 87.5</t>
        </is>
      </c>
      <c r="D53" s="152" t="inlineStr">
        <is>
          <t>% of crude processed</t>
        </is>
      </c>
      <c r="E53" s="152" t="inlineStr">
        <is>
          <t>years to June 2020; 2021; 2022; 2023; 2024</t>
        </is>
      </c>
      <c r="F53" s="152" t="inlineStr">
        <is>
          <t>observed</t>
        </is>
      </c>
      <c r="G53" s="152" t="inlineStr">
        <is>
          <t>Sasol production and sales metrics, June 2022 and June 2024</t>
        </is>
      </c>
      <c r="H53" s="152" t="inlineStr">
        <is>
          <t>2022 PDF p.4; 2024 PDF p.5</t>
        </is>
      </c>
      <c r="I53" s="152" t="inlineStr">
        <is>
          <t>White products are petrol, diesel, jet and other light products together. Total yield was 97 to 98%. Not reported in the 2025 and 2026 metrics.</t>
        </is>
      </c>
    </row>
    <row r="54">
      <c r="A54" s="152" t="inlineStr">
        <is>
          <t>Petrol share of output</t>
        </is>
      </c>
      <c r="B54" s="152" t="inlineStr">
        <is>
          <t>Natref</t>
        </is>
      </c>
      <c r="C54" s="152" t="inlineStr">
        <is>
          <t>29 to 32</t>
        </is>
      </c>
      <c r="D54" s="152" t="inlineStr">
        <is>
          <t>% of production</t>
        </is>
      </c>
      <c r="E54" s="152" t="inlineStr">
        <is>
          <t>as stated April 2021</t>
        </is>
      </c>
      <c r="F54" s="152" t="inlineStr">
        <is>
          <t>observed</t>
        </is>
      </c>
      <c r="G54" s="152" t="inlineStr">
        <is>
          <t>Sasol Limited, Business Overview, April 2021</t>
        </is>
      </c>
      <c r="H54" s="152" t="inlineStr">
        <is>
          <t>PDF p.12</t>
        </is>
      </c>
      <c r="I54" s="152" t="inlineStr">
        <is>
          <t>A stated range, not a yearly figure. Jet is 9 to 21% and black products 5 to 8%.</t>
        </is>
      </c>
    </row>
    <row r="55">
      <c r="A55" s="152" t="inlineStr">
        <is>
          <t>Diesel share of output</t>
        </is>
      </c>
      <c r="B55" s="152" t="inlineStr">
        <is>
          <t>Natref</t>
        </is>
      </c>
      <c r="C55" s="152" t="inlineStr">
        <is>
          <t>31 to 37</t>
        </is>
      </c>
      <c r="D55" s="152" t="inlineStr">
        <is>
          <t>% of production</t>
        </is>
      </c>
      <c r="E55" s="152" t="inlineStr">
        <is>
          <t>as stated April 2021</t>
        </is>
      </c>
      <c r="F55" s="152" t="inlineStr">
        <is>
          <t>observed</t>
        </is>
      </c>
      <c r="G55" s="152" t="inlineStr">
        <is>
          <t>Sasol Limited, Business Overview, April 2021</t>
        </is>
      </c>
      <c r="H55" s="152" t="inlineStr">
        <is>
          <t>PDF p.12</t>
        </is>
      </c>
      <c r="I55" s="152" t="inlineStr">
        <is>
          <t>A stated range, not a yearly figure. Jet is 9 to 21% and black products 5 to 8%.</t>
        </is>
      </c>
    </row>
    <row r="56">
      <c r="A56" s="152" t="inlineStr">
        <is>
          <t>Petrol share of output</t>
        </is>
      </c>
      <c r="B56" s="152" t="inlineStr">
        <is>
          <t>Secunda</t>
        </is>
      </c>
      <c r="C56" s="152" t="inlineStr">
        <is>
          <t>65</t>
        </is>
      </c>
      <c r="D56" s="152" t="inlineStr">
        <is>
          <t>% of petrol and diesel</t>
        </is>
      </c>
      <c r="E56" s="152" t="inlineStr">
        <is>
          <t>as stated April 2021</t>
        </is>
      </c>
      <c r="F56" s="152" t="inlineStr">
        <is>
          <t>observed</t>
        </is>
      </c>
      <c r="G56" s="152" t="inlineStr">
        <is>
          <t>Sasol Limited, Business Overview, April 2021</t>
        </is>
      </c>
      <c r="H56" s="152" t="inlineStr">
        <is>
          <t>PDF p.12</t>
        </is>
      </c>
      <c r="I56" s="152" t="inlineStr">
        <is>
          <t>Sasol states the split as approximately 65% petrol, 35% diesel and does not say which total it applies to, so no volume is calculated.</t>
        </is>
      </c>
    </row>
    <row r="57">
      <c r="A57" s="152" t="inlineStr">
        <is>
          <t>Diesel share of output</t>
        </is>
      </c>
      <c r="B57" s="152" t="inlineStr">
        <is>
          <t>Secunda</t>
        </is>
      </c>
      <c r="C57" s="152" t="inlineStr">
        <is>
          <t>35</t>
        </is>
      </c>
      <c r="D57" s="152" t="inlineStr">
        <is>
          <t>% of petrol and diesel</t>
        </is>
      </c>
      <c r="E57" s="152" t="inlineStr">
        <is>
          <t>as stated April 2021</t>
        </is>
      </c>
      <c r="F57" s="152" t="inlineStr">
        <is>
          <t>observed</t>
        </is>
      </c>
      <c r="G57" s="152" t="inlineStr">
        <is>
          <t>Sasol Limited, Business Overview, April 2021</t>
        </is>
      </c>
      <c r="H57" s="152" t="inlineStr">
        <is>
          <t>PDF p.12</t>
        </is>
      </c>
      <c r="I57" s="152" t="inlineStr">
        <is>
          <t>Sasol states the split as approximately 65% petrol, 35% diesel and does not say which total it applies to, so no volume is calculated.</t>
        </is>
      </c>
    </row>
    <row r="58">
      <c r="A58" s="162" t="inlineStr">
        <is>
          <t>Yield by plant</t>
        </is>
      </c>
      <c r="B58" s="162" t="inlineStr">
        <is>
          <t>Astron Energy</t>
        </is>
      </c>
      <c r="C58" s="162" t="inlineStr">
        <is>
          <t>Not available</t>
        </is>
      </c>
      <c r="D58" s="162" t="inlineStr">
        <is>
          <t>%</t>
        </is>
      </c>
      <c r="E58" s="162" t="inlineStr"/>
      <c r="F58" s="162" t="inlineStr">
        <is>
          <t>not available</t>
        </is>
      </c>
      <c r="G58" s="162" t="inlineStr">
        <is>
          <t>None published</t>
        </is>
      </c>
      <c r="H58" s="162" t="inlineStr"/>
      <c r="I58" s="162" t="inlineStr">
        <is>
          <t>Nothing found for Astron. Natref and Secunda are as Sasol stated them in 2021; no plant publishes a split by year.</t>
        </is>
      </c>
    </row>
    <row r="60">
      <c r="A60" s="151" t="inlineStr">
        <is>
          <t>Utilisation</t>
        </is>
      </c>
      <c r="B60" s="151" t="n"/>
      <c r="C60" s="151" t="n"/>
      <c r="D60" s="151" t="n"/>
      <c r="E60" s="151" t="n"/>
      <c r="F60" s="151" t="n"/>
      <c r="G60" s="151" t="n"/>
      <c r="H60" s="151" t="n"/>
      <c r="I60" s="151" t="n"/>
    </row>
    <row r="61">
      <c r="A61" s="156" t="inlineStr">
        <is>
          <t>Output as a share of published capacity</t>
        </is>
      </c>
      <c r="B61" s="156" t="inlineStr">
        <is>
          <t>Secunda</t>
        </is>
      </c>
      <c r="C61" s="156" t="inlineStr">
        <is>
          <t>57; 59; 53; 55; 53; 50; 56</t>
        </is>
      </c>
      <c r="D61" s="156" t="inlineStr">
        <is>
          <t>%</t>
        </is>
      </c>
      <c r="E61" s="156" t="inlineStr">
        <is>
          <t>years to June 2020; 2021; 2022; 2023; 2024; 2025; 2026</t>
        </is>
      </c>
      <c r="F61" s="156" t="inlineStr">
        <is>
          <t>inferred</t>
        </is>
      </c>
      <c r="G61" s="156" t="inlineStr">
        <is>
          <t>Reported output over published capacity</t>
        </is>
      </c>
      <c r="H61" s="156" t="inlineStr"/>
      <c r="I61" s="156" t="inlineStr">
        <is>
          <t>Capacity is crude equivalent and output is refined product, so this understates how hard the plant runs.</t>
        </is>
      </c>
    </row>
    <row r="62">
      <c r="A62" s="156" t="inlineStr">
        <is>
          <t>Output as a share of published capacity</t>
        </is>
      </c>
      <c r="B62" s="156" t="inlineStr">
        <is>
          <t>Natref</t>
        </is>
      </c>
      <c r="C62" s="156" t="inlineStr">
        <is>
          <t>67; 71; 75; 69; 71; 59</t>
        </is>
      </c>
      <c r="D62" s="156" t="inlineStr">
        <is>
          <t>%</t>
        </is>
      </c>
      <c r="E62" s="156" t="inlineStr">
        <is>
          <t>years to June 2020; 2021; 2022; 2023; 2024; 2025</t>
        </is>
      </c>
      <c r="F62" s="156" t="inlineStr">
        <is>
          <t>inferred</t>
        </is>
      </c>
      <c r="G62" s="156" t="inlineStr">
        <is>
          <t>Reported output over published capacity, Sasol's share scaled to the whole refinery</t>
        </is>
      </c>
      <c r="H62" s="156" t="inlineStr"/>
      <c r="I62" s="156" t="inlineStr">
        <is>
          <t>Capacity is crude equivalent and output is refined product, so this understates how hard the plant runs. The year to June 2026 is left out because Sasol's figure includes output above its share.</t>
        </is>
      </c>
    </row>
    <row r="63">
      <c r="A63" s="162" t="inlineStr">
        <is>
          <t>Output as a share of capacity</t>
        </is>
      </c>
      <c r="B63" s="162" t="inlineStr">
        <is>
          <t>Astron Energy</t>
        </is>
      </c>
      <c r="C63" s="162" t="inlineStr">
        <is>
          <t>Not available</t>
        </is>
      </c>
      <c r="D63" s="162" t="inlineStr">
        <is>
          <t>%</t>
        </is>
      </c>
      <c r="E63" s="162" t="inlineStr"/>
      <c r="F63" s="162" t="inlineStr">
        <is>
          <t>not available</t>
        </is>
      </c>
      <c r="G63" s="162" t="inlineStr">
        <is>
          <t>Not calculable</t>
        </is>
      </c>
      <c r="H63" s="162" t="inlineStr"/>
      <c r="I63" s="162" t="inlineStr">
        <is>
          <t>Glencore reports energy content, not barrels, and no throughput in barrels was found. Converting needs an assumed energy content per barrel.</t>
        </is>
      </c>
    </row>
    <row r="65">
      <c r="A65" s="151" t="inlineStr">
        <is>
          <t>Outlook</t>
        </is>
      </c>
      <c r="B65" s="151" t="n"/>
      <c r="C65" s="151" t="n"/>
      <c r="D65" s="151" t="n"/>
      <c r="E65" s="151" t="n"/>
      <c r="F65" s="151" t="n"/>
      <c r="G65" s="151" t="n"/>
      <c r="H65" s="151" t="n"/>
      <c r="I65" s="151" t="n"/>
    </row>
    <row r="66">
      <c r="A66" s="152" t="inlineStr">
        <is>
          <t>Outlook</t>
        </is>
      </c>
      <c r="B66" s="152" t="inlineStr">
        <is>
          <t>Sapref site (Central Energy Fund)</t>
        </is>
      </c>
      <c r="C66" s="152" t="inlineStr">
        <is>
          <t>Three phases: imports through existing tanks; a refinery of about 400,000 barrels a day; then 400,000 to 650,000</t>
        </is>
      </c>
      <c r="D66" s="152" t="inlineStr"/>
      <c r="E66" s="152" t="inlineStr">
        <is>
          <t>no dates given</t>
        </is>
      </c>
      <c r="F66" s="152" t="inlineStr">
        <is>
          <t>observed</t>
        </is>
      </c>
      <c r="G66" s="152" t="inlineStr">
        <is>
          <t>Central Energy Fund, roadmap statement of 10 September 2026</t>
        </is>
      </c>
      <c r="H66" s="152" t="inlineStr"/>
      <c r="I66" s="152" t="inlineStr">
        <is>
          <t>No investment decision, dates or product slate. Phase one is an import terminal in Durban, which competes with existing terminals.</t>
        </is>
      </c>
    </row>
    <row r="67">
      <c r="A67" s="152" t="inlineStr">
        <is>
          <t>Outlook</t>
        </is>
      </c>
      <c r="B67" s="152" t="inlineStr">
        <is>
          <t>Secunda</t>
        </is>
      </c>
      <c r="C67" s="152" t="inlineStr">
        <is>
          <t>Sasol finds it technically feasible to supply Secunda's methane-rich gas to outside customers as Mozambican gas declines</t>
        </is>
      </c>
      <c r="D67" s="152" t="inlineStr"/>
      <c r="E67" s="152" t="inlineStr">
        <is>
          <t>July 2028 to June 2030</t>
        </is>
      </c>
      <c r="F67" s="152" t="inlineStr">
        <is>
          <t>observed</t>
        </is>
      </c>
      <c r="G67" s="152" t="inlineStr">
        <is>
          <t>Sasol media release, 6 November 2025</t>
        </is>
      </c>
      <c r="H67" s="152" t="inlineStr"/>
      <c r="I67" s="152" t="inlineStr">
        <is>
          <t>No liquid fuels penalty is quantified. Depends on approvals and investment.</t>
        </is>
      </c>
    </row>
    <row r="68">
      <c r="A68" s="152" t="inlineStr">
        <is>
          <t>Outlook</t>
        </is>
      </c>
      <c r="B68" s="152" t="inlineStr">
        <is>
          <t>PetroSA (Mossel Bay)</t>
        </is>
      </c>
      <c r="C68" s="152" t="inlineStr">
        <is>
          <t>Tender to recommission the liquids refinery and adapt the terminal to import finished products</t>
        </is>
      </c>
      <c r="D68" s="152" t="inlineStr"/>
      <c r="E68" s="152" t="inlineStr">
        <is>
          <t>no dates given</t>
        </is>
      </c>
      <c r="F68" s="152" t="inlineStr">
        <is>
          <t>observed</t>
        </is>
      </c>
      <c r="G68" s="152" t="inlineStr">
        <is>
          <t>PetroSA tender scope of work</t>
        </is>
      </c>
      <c r="H68" s="152" t="inlineStr"/>
      <c r="I68" s="152" t="inlineStr">
        <is>
          <t>No restart date or output.</t>
        </is>
      </c>
    </row>
    <row r="69">
      <c r="A69" s="152" t="inlineStr">
        <is>
          <t>Outlook</t>
        </is>
      </c>
      <c r="B69" s="152" t="inlineStr">
        <is>
          <t>Secunda</t>
        </is>
      </c>
      <c r="C69" s="152" t="inlineStr">
        <is>
          <t>Production 8% up and above guidance; Natref 76% up using a co-owner's capacity</t>
        </is>
      </c>
      <c r="D69" s="152" t="inlineStr"/>
      <c r="E69" s="152" t="inlineStr">
        <is>
          <t>year to June 2026</t>
        </is>
      </c>
      <c r="F69" s="152" t="inlineStr">
        <is>
          <t>observed</t>
        </is>
      </c>
      <c r="G69" s="152" t="inlineStr">
        <is>
          <t>Sasol business performance metrics, 30 June 2026</t>
        </is>
      </c>
      <c r="H69" s="152" t="inlineStr">
        <is>
          <t>PDF p.4</t>
        </is>
      </c>
      <c r="I69"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2026-10-08T20:38:28Z</dcterms:created>
  <dcterms:modified xmlns:dcterms="http://purl.org/dc/terms/" xmlns:xsi="http://www.w3.org/2001/XMLSchema-instance" xsi:type="dcterms:W3CDTF">2026-10-08T20:38:32Z</dcterms:modified>
</cp:coreProperties>
</file>