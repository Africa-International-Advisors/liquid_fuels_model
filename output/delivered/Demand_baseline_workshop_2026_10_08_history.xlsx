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orkshop" sheetId="1" state="visible" r:id="rId1"/>
    <sheet xmlns:r="http://schemas.openxmlformats.org/officeDocument/2006/relationships" name="Baseline" sheetId="2" state="visible" r:id="rId2"/>
    <sheet xmlns:r="http://schemas.openxmlformats.org/officeDocument/2006/relationships" name="Source selection" sheetId="3" state="visible" r:id="rId3"/>
    <sheet xmlns:r="http://schemas.openxmlformats.org/officeDocument/2006/relationships" name="Methods" sheetId="4" state="visible" r:id="rId4"/>
    <sheet xmlns:r="http://schemas.openxmlformats.org/officeDocument/2006/relationships" name="Petrol" sheetId="5" state="visible" r:id="rId5"/>
    <sheet xmlns:r="http://schemas.openxmlformats.org/officeDocument/2006/relationships" name="Freight" sheetId="6" state="visible" r:id="rId6"/>
    <sheet xmlns:r="http://schemas.openxmlformats.org/officeDocument/2006/relationships" name="Agriculture" sheetId="7" state="visible" r:id="rId7"/>
    <sheet xmlns:r="http://schemas.openxmlformats.org/officeDocument/2006/relationships" name="Manufacturing" sheetId="8" state="visible" r:id="rId8"/>
    <sheet xmlns:r="http://schemas.openxmlformats.org/officeDocument/2006/relationships" name="Mining" sheetId="9" state="visible" r:id="rId9"/>
    <sheet xmlns:r="http://schemas.openxmlformats.org/officeDocument/2006/relationships" name="Other demand" sheetId="10" state="visible" r:id="rId10"/>
    <sheet xmlns:r="http://schemas.openxmlformats.org/officeDocument/2006/relationships" name="Provincial" sheetId="11" state="visible" r:id="rId11"/>
    <sheet xmlns:r="http://schemas.openxmlformats.org/officeDocument/2006/relationships" name="Evidence" sheetId="12" state="visible" r:id="rId12"/>
    <sheet xmlns:r="http://schemas.openxmlformats.org/officeDocument/2006/relationships" name="Model run" sheetId="13" state="visible" r:id="rId13"/>
    <sheet xmlns:r="http://schemas.openxmlformats.org/officeDocument/2006/relationships" name="Data gaps" sheetId="14" state="visible" r:id="rId14"/>
    <sheet xmlns:r="http://schemas.openxmlformats.org/officeDocument/2006/relationships" name="Notes" sheetId="15" state="visible" r:id="rId15"/>
    <sheet xmlns:r="http://schemas.openxmlformats.org/officeDocument/2006/relationships" name="HML" sheetId="16" state="visible" r:id="rId16"/>
    <sheet xmlns:r="http://schemas.openxmlformats.org/officeDocument/2006/relationships" name="History" sheetId="17" state="visible" r:id="rId17"/>
    <sheet xmlns:r="http://schemas.openxmlformats.org/officeDocument/2006/relationships" name="DR01 balance" sheetId="18" state="visible" r:id="rId18"/>
    <sheet xmlns:r="http://schemas.openxmlformats.org/officeDocument/2006/relationships" name="Sector history" sheetId="19" state="visible" r:id="rId19"/>
    <sheet xmlns:r="http://schemas.openxmlformats.org/officeDocument/2006/relationships" name="Diesel by use" sheetId="20" state="visible" r:id="rId20"/>
    <sheet xmlns:r="http://schemas.openxmlformats.org/officeDocument/2006/relationships" name="Demand by use" sheetId="21" state="visible" r:id="rId21"/>
    <sheet xmlns:r="http://schemas.openxmlformats.org/officeDocument/2006/relationships" name="DR04 routes" sheetId="22" state="visible" r:id="rId22"/>
    <sheet xmlns:r="http://schemas.openxmlformats.org/officeDocument/2006/relationships" name="DR04 entry points" sheetId="23" state="visible" r:id="rId23"/>
    <sheet xmlns:r="http://schemas.openxmlformats.org/officeDocument/2006/relationships" name="DR04 transport cost" sheetId="24" state="visible" r:id="rId24"/>
    <sheet xmlns:r="http://schemas.openxmlformats.org/officeDocument/2006/relationships" name="DR07 evidence" sheetId="25" state="visible" r:id="rId25"/>
    <sheet xmlns:r="http://schemas.openxmlformats.org/officeDocument/2006/relationships" name="DR07 power diesel" sheetId="26" state="visible" r:id="rId26"/>
    <sheet xmlns:r="http://schemas.openxmlformats.org/officeDocument/2006/relationships" name="DR07 fleet by province" sheetId="27" state="visible" r:id="rId27"/>
    <sheet xmlns:r="http://schemas.openxmlformats.org/officeDocument/2006/relationships" name="Power fleet" sheetId="28" state="visible" r:id="rId28"/>
    <sheet xmlns:r="http://schemas.openxmlformats.org/officeDocument/2006/relationships" name="Vehicle history" sheetId="29" state="visible" r:id="rId29"/>
    <sheet xmlns:r="http://schemas.openxmlformats.org/officeDocument/2006/relationships" name="HML response" sheetId="30" state="visible" r:id="rId30"/>
    <sheet xmlns:r="http://schemas.openxmlformats.org/officeDocument/2006/relationships" name="Gap status" sheetId="31" state="visible" r:id="rId31"/>
    <sheet xmlns:r="http://schemas.openxmlformats.org/officeDocument/2006/relationships" name="Checks" sheetId="32" state="visible" r:id="rId32"/>
    <sheet xmlns:r="http://schemas.openxmlformats.org/officeDocument/2006/relationships" name="History sources" sheetId="33" state="visible" r:id="rId33"/>
  </sheets>
  <definedNames/>
</workbook>
</file>

<file path=xl/styles.xml><?xml version="1.0" encoding="utf-8"?>
<styleSheet xmlns="http://schemas.openxmlformats.org/spreadsheetml/2006/main">
  <numFmts count="8">
    <numFmt numFmtId="164" formatCode="#,##0.0"/>
    <numFmt numFmtId="165" formatCode="0.0%"/>
    <numFmt numFmtId="166" formatCode="0.0000"/>
    <numFmt numFmtId="167" formatCode="#,##0.0000"/>
    <numFmt numFmtId="168" formatCode="0.0"/>
    <numFmt numFmtId="169" formatCode="[&gt;=0.005]0.00;[&lt;=-0.005]-0.00;0.00"/>
    <numFmt numFmtId="170" formatCode="0.000"/>
    <numFmt numFmtId="171" formatCode="#,##0.000"/>
  </numFmts>
  <fonts count="8">
    <font>
      <name val="Carlito"/>
      <sz val="11"/>
    </font>
    <font>
      <name val="Arial"/>
      <color rgb="FF243B53"/>
      <sz val="10"/>
    </font>
    <font>
      <name val="Arial"/>
      <b val="1"/>
      <color rgb="FF243B53"/>
      <sz val="15"/>
    </font>
    <font>
      <name val="Arial"/>
      <color rgb="FF526575"/>
      <sz val="10"/>
    </font>
    <font>
      <name val="Arial"/>
      <b val="1"/>
      <color rgb="FFFFFFFF"/>
      <sz val="10"/>
    </font>
    <font>
      <name val="Arial"/>
      <b val="1"/>
      <color rgb="FF243B53"/>
      <sz val="10"/>
    </font>
    <font>
      <name val="Arial"/>
      <b val="1"/>
      <color rgb="FF243B53"/>
      <sz val="16"/>
    </font>
    <font>
      <name val="Arial"/>
      <i val="1"/>
      <color rgb="FF243B53"/>
      <sz val="10"/>
    </font>
  </fonts>
  <fills count="21">
    <fill>
      <patternFill/>
    </fill>
    <fill>
      <patternFill patternType="gray125"/>
    </fill>
    <fill>
      <patternFill patternType="solid">
        <fgColor rgb="FF243B53"/>
      </patternFill>
    </fill>
    <fill>
      <patternFill patternType="solid">
        <fgColor rgb="FFFFF2CC"/>
      </patternFill>
    </fill>
    <fill>
      <patternFill patternType="solid">
        <fgColor rgb="FFEAF0F5"/>
      </patternFill>
    </fill>
    <fill>
      <patternFill patternType="solid">
        <fgColor rgb="FFEAF3ED"/>
      </patternFill>
    </fill>
    <fill>
      <patternFill patternType="solid">
        <fgColor rgb="FF243B53"/>
      </patternFill>
    </fill>
    <fill>
      <patternFill patternType="solid">
        <fgColor rgb="FFEAF0F5"/>
      </patternFill>
    </fill>
    <fill>
      <patternFill patternType="solid">
        <fgColor rgb="FFFFF2CC"/>
      </patternFill>
    </fill>
    <fill>
      <patternFill patternType="solid">
        <fgColor rgb="FFEAF3ED"/>
      </patternFill>
    </fill>
    <fill>
      <patternFill patternType="solid">
        <fgColor rgb="FFFFFFFF"/>
      </patternFill>
    </fill>
    <fill>
      <patternFill patternType="solid">
        <fgColor rgb="FF243B53"/>
      </patternFill>
    </fill>
    <fill>
      <patternFill patternType="solid">
        <fgColor rgb="FFEAF0F5"/>
      </patternFill>
    </fill>
    <fill>
      <patternFill patternType="solid">
        <fgColor rgb="FFEDF3FA"/>
      </patternFill>
    </fill>
    <fill>
      <patternFill patternType="solid">
        <fgColor rgb="FFEAF3ED"/>
      </patternFill>
    </fill>
    <fill>
      <patternFill patternType="solid">
        <fgColor rgb="FFFFF2CC"/>
      </patternFill>
    </fill>
    <fill>
      <patternFill patternType="solid">
        <fgColor rgb="FF243B53"/>
      </patternFill>
    </fill>
    <fill>
      <patternFill patternType="solid">
        <fgColor rgb="FFEAF3ED"/>
      </patternFill>
    </fill>
    <fill>
      <patternFill patternType="solid">
        <fgColor rgb="FFEDF3FA"/>
      </patternFill>
    </fill>
    <fill>
      <patternFill patternType="solid">
        <fgColor rgb="FF243B53"/>
      </patternFill>
    </fill>
    <fill>
      <patternFill patternType="solid">
        <fgColor rgb="FFF4F4F4"/>
      </patternFill>
    </fill>
  </fills>
  <borders count="1">
    <border/>
  </borders>
  <cellStyleXfs count="1">
    <xf numFmtId="0" fontId="0" fillId="0" borderId="0"/>
  </cellStyleXfs>
  <cellXfs count="203">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wrapText="1"/>
    </xf>
    <xf numFmtId="0" fontId="4"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5" fillId="4" borderId="0" applyAlignment="1" pivotButton="0" quotePrefix="0" xfId="0">
      <alignment vertical="center" wrapText="1"/>
    </xf>
    <xf numFmtId="164" fontId="1" fillId="0" borderId="0" applyAlignment="1" pivotButton="0" quotePrefix="0" xfId="0">
      <alignment vertical="center" wrapText="1"/>
    </xf>
    <xf numFmtId="165" fontId="1" fillId="0" borderId="0" applyAlignment="1" pivotButton="0" quotePrefix="0" xfId="0">
      <alignment vertical="center" wrapText="1"/>
    </xf>
    <xf numFmtId="3" fontId="1" fillId="0" borderId="0" applyAlignment="1" pivotButton="0" quotePrefix="0" xfId="0">
      <alignment vertical="center" wrapText="1"/>
    </xf>
    <xf numFmtId="0" fontId="1" fillId="5" borderId="0" applyAlignment="1" pivotButton="0" quotePrefix="0" xfId="0">
      <alignment vertical="center" wrapText="1"/>
    </xf>
    <xf numFmtId="3" fontId="1" fillId="5" borderId="0" applyAlignment="1" pivotButton="0" quotePrefix="0" xfId="0">
      <alignment vertical="center" wrapText="1"/>
    </xf>
    <xf numFmtId="164" fontId="1" fillId="5" borderId="0" applyAlignment="1" pivotButton="0" quotePrefix="0" xfId="0">
      <alignment vertical="center" wrapText="1"/>
    </xf>
    <xf numFmtId="164" fontId="1" fillId="3" borderId="0" applyAlignment="1" pivotButton="0" quotePrefix="0" xfId="0">
      <alignment vertical="center" wrapText="1"/>
    </xf>
    <xf numFmtId="1" fontId="1" fillId="0" borderId="0" applyAlignment="1" pivotButton="0" quotePrefix="0" xfId="0">
      <alignment vertical="center" wrapText="1"/>
    </xf>
    <xf numFmtId="165" fontId="1" fillId="3" borderId="0" applyAlignment="1" pivotButton="0" quotePrefix="0" xfId="0">
      <alignment vertical="center" wrapText="1"/>
    </xf>
    <xf numFmtId="165" fontId="1" fillId="4" borderId="0" applyAlignment="1" pivotButton="0" quotePrefix="0" xfId="0">
      <alignment vertical="center" wrapText="1"/>
    </xf>
    <xf numFmtId="164" fontId="1" fillId="4" borderId="0" applyAlignment="1" pivotButton="0" quotePrefix="0" xfId="0">
      <alignment vertical="center" wrapText="1"/>
    </xf>
    <xf numFmtId="10" fontId="1" fillId="3" borderId="0" applyAlignment="1" pivotButton="0" quotePrefix="0" xfId="0">
      <alignment vertical="center" wrapText="1"/>
    </xf>
    <xf numFmtId="0" fontId="1" fillId="4"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3" fontId="1" fillId="5" borderId="0" applyAlignment="1" pivotButton="0" quotePrefix="0" xfId="0">
      <alignment vertical="center"/>
    </xf>
    <xf numFmtId="164" fontId="1" fillId="5" borderId="0" applyAlignment="1" pivotButton="0" quotePrefix="0" xfId="0">
      <alignment vertical="center"/>
    </xf>
    <xf numFmtId="164" fontId="1" fillId="3" borderId="0" applyAlignment="1" pivotButton="0" quotePrefix="0" xfId="0">
      <alignment vertical="center"/>
    </xf>
    <xf numFmtId="3" fontId="1" fillId="0" borderId="0" applyAlignment="1" pivotButton="0" quotePrefix="0" xfId="0">
      <alignment vertical="center"/>
    </xf>
    <xf numFmtId="1" fontId="1" fillId="0" borderId="0" applyAlignment="1" pivotButton="0" quotePrefix="0" xfId="0">
      <alignment vertical="center"/>
    </xf>
    <xf numFmtId="166" fontId="1" fillId="0" borderId="0" applyAlignment="1" pivotButton="0" quotePrefix="0" xfId="0">
      <alignment vertical="center" wrapText="1"/>
    </xf>
    <xf numFmtId="0" fontId="1" fillId="0" borderId="0" applyAlignment="1" pivotButton="0" quotePrefix="0" xfId="0">
      <alignment wrapText="1"/>
    </xf>
    <xf numFmtId="0" fontId="1" fillId="6" borderId="0" applyAlignment="1" pivotButton="0" quotePrefix="0" xfId="0">
      <alignment vertical="center" wrapText="1"/>
    </xf>
    <xf numFmtId="0" fontId="4" fillId="6" borderId="0" applyAlignment="1" pivotButton="0" quotePrefix="0" xfId="0">
      <alignment vertical="center" wrapText="1"/>
    </xf>
    <xf numFmtId="0" fontId="1" fillId="7" borderId="0" applyAlignment="1" pivotButton="0" quotePrefix="0" xfId="0">
      <alignment vertical="center" wrapText="1"/>
    </xf>
    <xf numFmtId="0" fontId="1" fillId="7" borderId="0" applyAlignment="1" pivotButton="0" quotePrefix="0" xfId="0">
      <alignment vertical="center"/>
    </xf>
    <xf numFmtId="0" fontId="5" fillId="7" borderId="0" applyAlignment="1" pivotButton="0" quotePrefix="0" xfId="0">
      <alignment vertical="center" wrapText="1"/>
    </xf>
    <xf numFmtId="164" fontId="1" fillId="8" borderId="0" applyAlignment="1" pivotButton="0" quotePrefix="0" xfId="0">
      <alignment vertical="center" wrapText="1"/>
    </xf>
    <xf numFmtId="0" fontId="1" fillId="8" borderId="0" applyAlignment="1" pivotButton="0" quotePrefix="0" xfId="0">
      <alignment vertical="center" wrapText="1"/>
    </xf>
    <xf numFmtId="164" fontId="1" fillId="8" borderId="0" applyAlignment="1" pivotButton="0" quotePrefix="0" xfId="0">
      <alignment vertical="center"/>
    </xf>
    <xf numFmtId="1" fontId="1" fillId="8" borderId="0" applyAlignment="1" pivotButton="0" quotePrefix="0" xfId="0">
      <alignment vertical="center" wrapText="1"/>
    </xf>
    <xf numFmtId="1" fontId="1" fillId="8" borderId="0" applyAlignment="1" pivotButton="0" quotePrefix="0" xfId="0">
      <alignment vertical="center"/>
    </xf>
    <xf numFmtId="0" fontId="1" fillId="9" borderId="0" applyAlignment="1" pivotButton="0" quotePrefix="0" xfId="0">
      <alignment vertical="center" wrapText="1"/>
    </xf>
    <xf numFmtId="3" fontId="1" fillId="9" borderId="0" applyAlignment="1" pivotButton="0" quotePrefix="0" xfId="0">
      <alignment vertical="center" wrapText="1"/>
    </xf>
    <xf numFmtId="3" fontId="1" fillId="9" borderId="0" applyAlignment="1" pivotButton="0" quotePrefix="0" xfId="0">
      <alignment vertical="center"/>
    </xf>
    <xf numFmtId="164" fontId="1" fillId="9" borderId="0" applyAlignment="1" pivotButton="0" quotePrefix="0" xfId="0">
      <alignment vertical="center" wrapText="1"/>
    </xf>
    <xf numFmtId="164" fontId="1" fillId="9" borderId="0" applyAlignment="1" pivotButton="0" quotePrefix="0" xfId="0">
      <alignment vertical="center"/>
    </xf>
    <xf numFmtId="10" fontId="1" fillId="0" borderId="0" applyAlignment="1" pivotButton="0" quotePrefix="0" xfId="0">
      <alignment vertical="center" wrapText="1"/>
    </xf>
    <xf numFmtId="10" fontId="1" fillId="0" borderId="0" applyAlignment="1" pivotButton="0" quotePrefix="0" xfId="0">
      <alignment vertical="center"/>
    </xf>
    <xf numFmtId="10" fontId="1" fillId="9" borderId="0" applyAlignment="1" pivotButton="0" quotePrefix="0" xfId="0">
      <alignment vertical="center" wrapText="1"/>
    </xf>
    <xf numFmtId="10" fontId="1" fillId="9" borderId="0" applyAlignment="1" pivotButton="0" quotePrefix="0" xfId="0">
      <alignment vertical="center"/>
    </xf>
    <xf numFmtId="165" fontId="1" fillId="8" borderId="0" applyAlignment="1" pivotButton="0" quotePrefix="0" xfId="0">
      <alignment vertical="center" wrapText="1"/>
    </xf>
    <xf numFmtId="165" fontId="1" fillId="8" borderId="0" applyAlignment="1" pivotButton="0" quotePrefix="0" xfId="0">
      <alignment vertical="center"/>
    </xf>
    <xf numFmtId="0" fontId="5" fillId="10" borderId="0" applyAlignment="1" pivotButton="0" quotePrefix="0" xfId="0">
      <alignment vertical="center" wrapText="1"/>
    </xf>
    <xf numFmtId="0" fontId="1" fillId="10" borderId="0" applyAlignment="1" pivotButton="0" quotePrefix="0" xfId="0">
      <alignment vertical="center" wrapText="1"/>
    </xf>
    <xf numFmtId="1" fontId="1" fillId="10" borderId="0" applyAlignment="1" pivotButton="0" quotePrefix="0" xfId="0">
      <alignment vertical="center" wrapText="1"/>
    </xf>
    <xf numFmtId="10" fontId="1" fillId="8" borderId="0" applyAlignment="1" pivotButton="0" quotePrefix="0" xfId="0">
      <alignment vertical="center" wrapText="1"/>
    </xf>
    <xf numFmtId="0" fontId="1" fillId="11" borderId="0" applyAlignment="1" pivotButton="0" quotePrefix="0" xfId="0">
      <alignment vertical="center" wrapText="1"/>
    </xf>
    <xf numFmtId="0" fontId="4" fillId="11" borderId="0" applyAlignment="1" pivotButton="0" quotePrefix="0" xfId="0">
      <alignment vertical="center" wrapText="1"/>
    </xf>
    <xf numFmtId="0" fontId="1" fillId="12" borderId="0" applyAlignment="1" pivotButton="0" quotePrefix="0" xfId="0">
      <alignment vertical="center" wrapText="1"/>
    </xf>
    <xf numFmtId="0" fontId="1" fillId="12" borderId="0" applyAlignment="1" pivotButton="0" quotePrefix="0" xfId="0">
      <alignment vertical="center"/>
    </xf>
    <xf numFmtId="0" fontId="5" fillId="12" borderId="0" applyAlignment="1" pivotButton="0" quotePrefix="0" xfId="0">
      <alignment vertical="center" wrapText="1"/>
    </xf>
    <xf numFmtId="0" fontId="1" fillId="13" borderId="0" applyAlignment="1" pivotButton="0" quotePrefix="0" xfId="0">
      <alignment vertical="center" wrapText="1"/>
    </xf>
    <xf numFmtId="164" fontId="1" fillId="13" borderId="0" applyAlignment="1" pivotButton="0" quotePrefix="0" xfId="0">
      <alignment vertical="center" wrapText="1"/>
    </xf>
    <xf numFmtId="164" fontId="1" fillId="13" borderId="0" applyAlignment="1" pivotButton="0" quotePrefix="0" xfId="0">
      <alignment vertical="center"/>
    </xf>
    <xf numFmtId="0" fontId="1" fillId="14" borderId="0" applyAlignment="1" pivotButton="0" quotePrefix="0" xfId="0">
      <alignment vertical="center" wrapText="1"/>
    </xf>
    <xf numFmtId="164" fontId="1" fillId="14" borderId="0" applyAlignment="1" pivotButton="0" quotePrefix="0" xfId="0">
      <alignment vertical="center" wrapText="1"/>
    </xf>
    <xf numFmtId="164" fontId="1" fillId="14" borderId="0" applyAlignment="1" pivotButton="0" quotePrefix="0" xfId="0">
      <alignment vertical="center"/>
    </xf>
    <xf numFmtId="0" fontId="1" fillId="15" borderId="0" applyAlignment="1" pivotButton="0" quotePrefix="0" xfId="0">
      <alignment vertical="center" wrapText="1"/>
    </xf>
    <xf numFmtId="164" fontId="1" fillId="15" borderId="0" applyAlignment="1" pivotButton="0" quotePrefix="0" xfId="0">
      <alignment vertical="center" wrapText="1"/>
    </xf>
    <xf numFmtId="164" fontId="1" fillId="15" borderId="0" applyAlignment="1" pivotButton="0" quotePrefix="0" xfId="0">
      <alignment vertical="center"/>
    </xf>
    <xf numFmtId="10" fontId="1" fillId="14" borderId="0" applyAlignment="1" pivotButton="0" quotePrefix="0" xfId="0">
      <alignment vertical="center"/>
    </xf>
    <xf numFmtId="165" fontId="1" fillId="13" borderId="0" applyAlignment="1" pivotButton="0" quotePrefix="0" xfId="0">
      <alignment vertical="center"/>
    </xf>
    <xf numFmtId="165" fontId="1" fillId="13" borderId="0" applyAlignment="1" pivotButton="0" quotePrefix="0" xfId="0">
      <alignment vertical="center" wrapText="1"/>
    </xf>
    <xf numFmtId="0" fontId="0" fillId="11" borderId="0" pivotButton="0" quotePrefix="0" xfId="0"/>
    <xf numFmtId="0" fontId="4" fillId="11" borderId="0" pivotButton="0" quotePrefix="0" xfId="0"/>
    <xf numFmtId="0" fontId="4" fillId="11" borderId="0" applyAlignment="1" pivotButton="0" quotePrefix="0" xfId="0">
      <alignment wrapText="1"/>
    </xf>
    <xf numFmtId="0" fontId="6" fillId="0" borderId="0" applyAlignment="1" pivotButton="0" quotePrefix="0" xfId="0">
      <alignment vertical="center" wrapText="1"/>
    </xf>
    <xf numFmtId="0" fontId="6" fillId="0" borderId="0" applyAlignment="1" pivotButton="0" quotePrefix="0" xfId="0">
      <alignment vertical="center"/>
    </xf>
    <xf numFmtId="0" fontId="1" fillId="16" borderId="0" applyAlignment="1" pivotButton="0" quotePrefix="0" xfId="0">
      <alignment vertical="center" wrapText="1"/>
    </xf>
    <xf numFmtId="0" fontId="4" fillId="16" borderId="0" applyAlignment="1" pivotButton="0" quotePrefix="0" xfId="0">
      <alignment vertical="center" wrapText="1"/>
    </xf>
    <xf numFmtId="167" fontId="1" fillId="0" borderId="0" applyAlignment="1" pivotButton="0" quotePrefix="0" xfId="0">
      <alignment vertical="center" wrapText="1"/>
    </xf>
    <xf numFmtId="0" fontId="0" fillId="17" borderId="0" pivotButton="0" quotePrefix="0" xfId="0"/>
    <xf numFmtId="0" fontId="1" fillId="17" borderId="0" applyAlignment="1" pivotButton="0" quotePrefix="0" xfId="0">
      <alignment vertical="center" wrapText="1"/>
    </xf>
    <xf numFmtId="0" fontId="1" fillId="17" borderId="0" pivotButton="0" quotePrefix="0" xfId="0"/>
    <xf numFmtId="0" fontId="1" fillId="17" borderId="0" applyAlignment="1" pivotButton="0" quotePrefix="0" xfId="0">
      <alignment wrapText="1"/>
    </xf>
    <xf numFmtId="164" fontId="1" fillId="17" borderId="0" applyAlignment="1" pivotButton="0" quotePrefix="0" xfId="0">
      <alignment vertical="center" wrapText="1"/>
    </xf>
    <xf numFmtId="0" fontId="0" fillId="17" borderId="0" applyAlignment="1" pivotButton="0" quotePrefix="0" xfId="0">
      <alignment wrapText="1"/>
    </xf>
    <xf numFmtId="0" fontId="0" fillId="17" borderId="0" applyAlignment="1" pivotButton="0" quotePrefix="0" xfId="0">
      <alignment vertical="center" wrapText="1"/>
    </xf>
    <xf numFmtId="164" fontId="0" fillId="17" borderId="0" applyAlignment="1" pivotButton="0" quotePrefix="0" xfId="0">
      <alignment vertical="center" wrapText="1"/>
    </xf>
    <xf numFmtId="0" fontId="1" fillId="18" borderId="0" applyAlignment="1" pivotButton="0" quotePrefix="0" xfId="0">
      <alignment vertical="center" wrapText="1"/>
    </xf>
    <xf numFmtId="164" fontId="1" fillId="18" borderId="0" applyAlignment="1" pivotButton="0" quotePrefix="0" xfId="0">
      <alignment vertical="center" wrapText="1"/>
    </xf>
    <xf numFmtId="164" fontId="1" fillId="18" borderId="0" applyAlignment="1" pivotButton="0" quotePrefix="0" xfId="0">
      <alignment vertical="center"/>
    </xf>
    <xf numFmtId="167" fontId="1" fillId="17" borderId="0" applyAlignment="1" pivotButton="0" quotePrefix="0" xfId="0">
      <alignment vertical="center" wrapText="1"/>
    </xf>
    <xf numFmtId="164" fontId="1" fillId="17" borderId="0" applyAlignment="1" pivotButton="0" quotePrefix="0" xfId="0">
      <alignment vertical="center"/>
    </xf>
    <xf numFmtId="10" fontId="1" fillId="17" borderId="0" applyAlignment="1" pivotButton="0" quotePrefix="0" xfId="0">
      <alignment vertical="center" wrapText="1"/>
    </xf>
    <xf numFmtId="10" fontId="1" fillId="17" borderId="0" applyAlignment="1" pivotButton="0" quotePrefix="0" xfId="0">
      <alignment vertical="center"/>
    </xf>
    <xf numFmtId="10" fontId="1" fillId="5"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center" wrapText="1"/>
    </xf>
    <xf numFmtId="10" fontId="1" fillId="5" borderId="0" applyAlignment="1" pivotButton="0" quotePrefix="0" xfId="0">
      <alignment vertical="center"/>
    </xf>
    <xf numFmtId="0" fontId="0" fillId="0" borderId="0" applyAlignment="1" pivotButton="0" quotePrefix="0" xfId="0">
      <alignment vertical="center"/>
    </xf>
    <xf numFmtId="0" fontId="0" fillId="5" borderId="0" applyAlignment="1" pivotButton="0" quotePrefix="0" xfId="0">
      <alignment vertical="center" wrapText="1"/>
    </xf>
    <xf numFmtId="164" fontId="0" fillId="5" borderId="0" applyAlignment="1" pivotButton="0" quotePrefix="0" xfId="0">
      <alignment vertical="center" wrapText="1"/>
    </xf>
    <xf numFmtId="165" fontId="1" fillId="3" borderId="0" applyAlignment="1" pivotButton="0" quotePrefix="0" xfId="0">
      <alignment vertical="center"/>
    </xf>
    <xf numFmtId="164" fontId="0" fillId="5" borderId="0" applyAlignment="1" pivotButton="0" quotePrefix="0" xfId="0">
      <alignment vertical="center"/>
    </xf>
    <xf numFmtId="1" fontId="1" fillId="3" borderId="0" applyAlignment="1" pivotButton="0" quotePrefix="0" xfId="0">
      <alignment vertical="center" wrapText="1"/>
    </xf>
    <xf numFmtId="1" fontId="1" fillId="3" borderId="0" applyAlignment="1" pivotButton="0" quotePrefix="0" xfId="0">
      <alignment vertical="center"/>
    </xf>
    <xf numFmtId="167" fontId="1" fillId="5" borderId="0" applyAlignment="1" pivotButton="0" quotePrefix="0" xfId="0">
      <alignment vertical="center" wrapText="1"/>
    </xf>
    <xf numFmtId="0" fontId="1" fillId="19" borderId="0" applyAlignment="1" pivotButton="0" quotePrefix="0" xfId="0">
      <alignment vertical="center" wrapText="1"/>
    </xf>
    <xf numFmtId="0" fontId="4" fillId="19" borderId="0" applyAlignment="1" pivotButton="0" quotePrefix="0" xfId="0">
      <alignment vertical="center" wrapText="1"/>
    </xf>
    <xf numFmtId="164" fontId="1" fillId="13" borderId="0" applyAlignment="1" pivotButton="0" quotePrefix="0" xfId="0">
      <alignment vertical="center" wrapText="1"/>
    </xf>
    <xf numFmtId="164" fontId="1" fillId="13" borderId="0" applyAlignment="1" pivotButton="0" quotePrefix="0" xfId="0">
      <alignment vertical="center"/>
    </xf>
    <xf numFmtId="164" fontId="1" fillId="5" borderId="0" applyAlignment="1" pivotButton="0" quotePrefix="0" xfId="0">
      <alignment vertical="center" wrapText="1"/>
    </xf>
    <xf numFmtId="164" fontId="1" fillId="5" borderId="0" applyAlignment="1" pivotButton="0" quotePrefix="0" xfId="0">
      <alignment vertical="center"/>
    </xf>
    <xf numFmtId="164" fontId="1" fillId="3" borderId="0" applyAlignment="1" pivotButton="0" quotePrefix="0" xfId="0">
      <alignment vertical="center" wrapText="1"/>
    </xf>
    <xf numFmtId="164" fontId="1" fillId="3" borderId="0" applyAlignment="1" pivotButton="0" quotePrefix="0" xfId="0">
      <alignment vertical="center"/>
    </xf>
    <xf numFmtId="1" fontId="1" fillId="0" borderId="0" applyAlignment="1" pivotButton="0" quotePrefix="0" xfId="0">
      <alignment vertical="center" wrapText="1"/>
    </xf>
    <xf numFmtId="164" fontId="1" fillId="0" borderId="0" applyAlignment="1" pivotButton="0" quotePrefix="0" xfId="0">
      <alignment vertical="center" wrapText="1"/>
    </xf>
    <xf numFmtId="164" fontId="1" fillId="0" borderId="0" applyAlignment="1" pivotButton="0" quotePrefix="0" xfId="0">
      <alignment vertical="center"/>
    </xf>
    <xf numFmtId="166" fontId="1" fillId="0" borderId="0" applyAlignment="1" pivotButton="0" quotePrefix="0" xfId="0">
      <alignment vertical="center" wrapText="1"/>
    </xf>
    <xf numFmtId="165" fontId="1" fillId="0" borderId="0" applyAlignment="1" pivotButton="0" quotePrefix="0" xfId="0">
      <alignment vertical="center" wrapText="1"/>
    </xf>
    <xf numFmtId="165" fontId="1" fillId="0" borderId="0" applyAlignment="1" pivotButton="0" quotePrefix="0" xfId="0">
      <alignment vertical="center"/>
    </xf>
    <xf numFmtId="3" fontId="1" fillId="5" borderId="0" applyAlignment="1" pivotButton="0" quotePrefix="0" xfId="0">
      <alignment vertical="center" wrapText="1"/>
    </xf>
    <xf numFmtId="3" fontId="1" fillId="5" borderId="0" applyAlignment="1" pivotButton="0" quotePrefix="0" xfId="0">
      <alignment vertical="center"/>
    </xf>
    <xf numFmtId="10" fontId="1" fillId="5" borderId="0" applyAlignment="1" pivotButton="0" quotePrefix="0" xfId="0">
      <alignment vertical="center"/>
    </xf>
    <xf numFmtId="10" fontId="1" fillId="5" borderId="0" applyAlignment="1" pivotButton="0" quotePrefix="0" xfId="0">
      <alignment vertical="center" wrapText="1"/>
    </xf>
    <xf numFmtId="165" fontId="1" fillId="3" borderId="0" applyAlignment="1" pivotButton="0" quotePrefix="0" xfId="0">
      <alignment vertical="center" wrapText="1"/>
    </xf>
    <xf numFmtId="165" fontId="1" fillId="3" borderId="0" applyAlignment="1" pivotButton="0" quotePrefix="0" xfId="0">
      <alignment vertical="center"/>
    </xf>
    <xf numFmtId="164" fontId="0" fillId="5" borderId="0" applyAlignment="1" pivotButton="0" quotePrefix="0" xfId="0">
      <alignment vertical="center"/>
    </xf>
    <xf numFmtId="3" fontId="1" fillId="0" borderId="0" applyAlignment="1" pivotButton="0" quotePrefix="0" xfId="0">
      <alignment vertical="center" wrapText="1"/>
    </xf>
    <xf numFmtId="3" fontId="1" fillId="0" borderId="0" applyAlignment="1" pivotButton="0" quotePrefix="0" xfId="0">
      <alignment vertical="center"/>
    </xf>
    <xf numFmtId="1" fontId="1" fillId="0" borderId="0" applyAlignment="1" pivotButton="0" quotePrefix="0" xfId="0">
      <alignment vertical="center"/>
    </xf>
    <xf numFmtId="1" fontId="1" fillId="3" borderId="0" applyAlignment="1" pivotButton="0" quotePrefix="0" xfId="0">
      <alignment vertical="center" wrapText="1"/>
    </xf>
    <xf numFmtId="1" fontId="1" fillId="3" borderId="0" applyAlignment="1" pivotButton="0" quotePrefix="0" xfId="0">
      <alignment vertical="center"/>
    </xf>
    <xf numFmtId="165" fontId="1" fillId="13" borderId="0" applyAlignment="1" pivotButton="0" quotePrefix="0" xfId="0">
      <alignment vertical="center"/>
    </xf>
    <xf numFmtId="165" fontId="1" fillId="13" borderId="0" applyAlignment="1" pivotButton="0" quotePrefix="0" xfId="0">
      <alignment vertical="center" wrapText="1"/>
    </xf>
    <xf numFmtId="165" fontId="1" fillId="4" borderId="0" applyAlignment="1" pivotButton="0" quotePrefix="0" xfId="0">
      <alignment vertical="center" wrapText="1"/>
    </xf>
    <xf numFmtId="164" fontId="1" fillId="4" borderId="0" applyAlignment="1" pivotButton="0" quotePrefix="0" xfId="0">
      <alignment vertical="center" wrapText="1"/>
    </xf>
    <xf numFmtId="164" fontId="1" fillId="14" borderId="0" applyAlignment="1" pivotButton="0" quotePrefix="0" xfId="0">
      <alignment vertical="center" wrapText="1"/>
    </xf>
    <xf numFmtId="167" fontId="1" fillId="5" borderId="0" applyAlignment="1" pivotButton="0" quotePrefix="0" xfId="0">
      <alignment vertical="center" wrapText="1"/>
    </xf>
    <xf numFmtId="167" fontId="1" fillId="0" borderId="0" applyAlignment="1" pivotButton="0" quotePrefix="0" xfId="0">
      <alignment vertical="center" wrapText="1"/>
    </xf>
    <xf numFmtId="10" fontId="1" fillId="3" borderId="0" applyAlignment="1" pivotButton="0" quotePrefix="0" xfId="0">
      <alignment vertical="center" wrapText="1"/>
    </xf>
    <xf numFmtId="1" fontId="1" fillId="10" borderId="0" applyAlignment="1" pivotButton="0" quotePrefix="0" xfId="0">
      <alignment vertical="center" wrapText="1"/>
    </xf>
    <xf numFmtId="10" fontId="1" fillId="8" borderId="0" applyAlignment="1" pivotButton="0" quotePrefix="0" xfId="0">
      <alignment vertical="center" wrapText="1"/>
    </xf>
    <xf numFmtId="164" fontId="1" fillId="8" borderId="0" applyAlignment="1" pivotButton="0" quotePrefix="0" xfId="0">
      <alignment vertical="center" wrapText="1"/>
    </xf>
    <xf numFmtId="0" fontId="2" fillId="0" borderId="0" pivotButton="0" quotePrefix="0" xfId="0"/>
    <xf numFmtId="0" fontId="4" fillId="19" borderId="0" applyAlignment="1" pivotButton="0" quotePrefix="0" xfId="0">
      <alignment vertical="top" wrapText="1"/>
    </xf>
    <xf numFmtId="0" fontId="5" fillId="12" borderId="0" pivotButton="0" quotePrefix="0" xfId="0"/>
    <xf numFmtId="0" fontId="1" fillId="18" borderId="0" applyAlignment="1" pivotButton="0" quotePrefix="0" xfId="0">
      <alignment vertical="top" wrapText="1"/>
    </xf>
    <xf numFmtId="0" fontId="1" fillId="18" borderId="0" applyAlignment="1" pivotButton="0" quotePrefix="0" xfId="0">
      <alignment vertical="top"/>
    </xf>
    <xf numFmtId="164" fontId="1" fillId="18" borderId="0" applyAlignment="1" pivotButton="0" quotePrefix="0" xfId="0">
      <alignment vertical="top"/>
    </xf>
    <xf numFmtId="164" fontId="7" fillId="15" borderId="0" applyAlignment="1" pivotButton="0" quotePrefix="0" xfId="0">
      <alignment vertical="top"/>
    </xf>
    <xf numFmtId="0" fontId="1" fillId="10" borderId="0" applyAlignment="1" pivotButton="0" quotePrefix="0" xfId="0">
      <alignment vertical="top" wrapText="1"/>
    </xf>
    <xf numFmtId="0" fontId="1" fillId="10" borderId="0" applyAlignment="1" pivotButton="0" quotePrefix="0" xfId="0">
      <alignment vertical="top"/>
    </xf>
    <xf numFmtId="164" fontId="1" fillId="10" borderId="0" applyAlignment="1" pivotButton="0" quotePrefix="0" xfId="0">
      <alignment vertical="top"/>
    </xf>
    <xf numFmtId="0" fontId="1" fillId="20" borderId="0" applyAlignment="1" pivotButton="0" quotePrefix="0" xfId="0">
      <alignment vertical="top" wrapText="1"/>
    </xf>
    <xf numFmtId="0" fontId="1" fillId="20" borderId="0" applyAlignment="1" pivotButton="0" quotePrefix="0" xfId="0">
      <alignment vertical="top"/>
    </xf>
    <xf numFmtId="164" fontId="1" fillId="20" borderId="0" applyAlignment="1" pivotButton="0" quotePrefix="0" xfId="0">
      <alignment vertical="top"/>
    </xf>
    <xf numFmtId="0" fontId="1" fillId="15" borderId="0" applyAlignment="1" pivotButton="0" quotePrefix="0" xfId="0">
      <alignment vertical="top" wrapText="1"/>
    </xf>
    <xf numFmtId="0" fontId="1" fillId="15" borderId="0" applyAlignment="1" pivotButton="0" quotePrefix="0" xfId="0">
      <alignment vertical="top"/>
    </xf>
    <xf numFmtId="168" fontId="1" fillId="15" borderId="0" applyAlignment="1" pivotButton="0" quotePrefix="0" xfId="0">
      <alignment vertical="top"/>
    </xf>
    <xf numFmtId="164" fontId="1" fillId="15" borderId="0" applyAlignment="1" pivotButton="0" quotePrefix="0" xfId="0">
      <alignment vertical="top"/>
    </xf>
    <xf numFmtId="3" fontId="1" fillId="18" borderId="0" applyAlignment="1" pivotButton="0" quotePrefix="0" xfId="0">
      <alignment vertical="top"/>
    </xf>
    <xf numFmtId="3" fontId="1" fillId="10" borderId="0" applyAlignment="1" pivotButton="0" quotePrefix="0" xfId="0">
      <alignment vertical="top"/>
    </xf>
    <xf numFmtId="0" fontId="4" fillId="19" borderId="0" applyAlignment="1" pivotButton="0" quotePrefix="0" xfId="0">
      <alignment horizontal="left" vertical="top"/>
    </xf>
    <xf numFmtId="0" fontId="4" fillId="19" borderId="0" applyAlignment="1" pivotButton="0" quotePrefix="0" xfId="0">
      <alignment horizontal="right" vertical="top"/>
    </xf>
    <xf numFmtId="0" fontId="1" fillId="18" borderId="0" applyAlignment="1" pivotButton="0" quotePrefix="0" xfId="0">
      <alignment horizontal="left" vertical="top"/>
    </xf>
    <xf numFmtId="169" fontId="1" fillId="18" borderId="0" applyAlignment="1" pivotButton="0" quotePrefix="0" xfId="0">
      <alignment horizontal="right" vertical="top"/>
    </xf>
    <xf numFmtId="0" fontId="1" fillId="18" borderId="0" applyAlignment="1" pivotButton="0" quotePrefix="0" xfId="0">
      <alignment horizontal="left" vertical="top" wrapText="1"/>
    </xf>
    <xf numFmtId="0" fontId="5" fillId="10" borderId="0" applyAlignment="1" pivotButton="0" quotePrefix="0" xfId="0">
      <alignment horizontal="left" vertical="top"/>
    </xf>
    <xf numFmtId="169" fontId="1" fillId="10" borderId="0" applyAlignment="1" pivotButton="0" quotePrefix="0" xfId="0">
      <alignment horizontal="right" vertical="top"/>
    </xf>
    <xf numFmtId="0" fontId="1" fillId="10" borderId="0" applyAlignment="1" pivotButton="0" quotePrefix="0" xfId="0">
      <alignment horizontal="left" vertical="top" wrapText="1"/>
    </xf>
    <xf numFmtId="0" fontId="1" fillId="10" borderId="0" applyAlignment="1" pivotButton="0" quotePrefix="0" xfId="0">
      <alignment horizontal="left" vertical="top"/>
    </xf>
    <xf numFmtId="4" fontId="1" fillId="10" borderId="0" applyAlignment="1" pivotButton="0" quotePrefix="0" xfId="0">
      <alignment vertical="top"/>
    </xf>
    <xf numFmtId="2" fontId="1" fillId="10" borderId="0" applyAlignment="1" pivotButton="0" quotePrefix="0" xfId="0">
      <alignment vertical="top"/>
    </xf>
    <xf numFmtId="168" fontId="1" fillId="20" borderId="0" applyAlignment="1" pivotButton="0" quotePrefix="0" xfId="0">
      <alignment vertical="top"/>
    </xf>
    <xf numFmtId="3" fontId="1" fillId="20" borderId="0" applyAlignment="1" pivotButton="0" quotePrefix="0" xfId="0">
      <alignment vertical="top"/>
    </xf>
    <xf numFmtId="0" fontId="1" fillId="15" borderId="0" applyAlignment="1" pivotButton="0" quotePrefix="0" xfId="0">
      <alignment horizontal="left" vertical="top"/>
    </xf>
    <xf numFmtId="169" fontId="7" fillId="15" borderId="0" applyAlignment="1" pivotButton="0" quotePrefix="0" xfId="0">
      <alignment horizontal="right" vertical="top"/>
    </xf>
    <xf numFmtId="0" fontId="1" fillId="15" borderId="0" applyAlignment="1" pivotButton="0" quotePrefix="0" xfId="0">
      <alignment horizontal="left" vertical="top" wrapText="1"/>
    </xf>
    <xf numFmtId="9" fontId="1" fillId="10" borderId="0" applyAlignment="1" pivotButton="0" quotePrefix="0" xfId="0">
      <alignment horizontal="right" vertical="top"/>
    </xf>
    <xf numFmtId="0" fontId="4" fillId="19" borderId="0" pivotButton="0" quotePrefix="0" xfId="0"/>
    <xf numFmtId="2" fontId="1" fillId="18" borderId="0" applyAlignment="1" pivotButton="0" quotePrefix="0" xfId="0">
      <alignment horizontal="right" vertical="top"/>
    </xf>
    <xf numFmtId="2" fontId="7" fillId="18" borderId="0" applyAlignment="1" pivotButton="0" quotePrefix="0" xfId="0">
      <alignment horizontal="right" vertical="top"/>
    </xf>
    <xf numFmtId="2" fontId="1" fillId="15" borderId="0" applyAlignment="1" pivotButton="0" quotePrefix="0" xfId="0">
      <alignment horizontal="right" vertical="top"/>
    </xf>
    <xf numFmtId="0" fontId="5" fillId="18" borderId="0" applyAlignment="1" pivotButton="0" quotePrefix="0" xfId="0">
      <alignment horizontal="left" vertical="top"/>
    </xf>
    <xf numFmtId="0" fontId="1" fillId="18" borderId="0" applyAlignment="1" pivotButton="0" quotePrefix="0" xfId="0">
      <alignment horizontal="right" vertical="top"/>
    </xf>
    <xf numFmtId="168" fontId="1" fillId="18" borderId="0" applyAlignment="1" pivotButton="0" quotePrefix="0" xfId="0">
      <alignment horizontal="right" vertical="top"/>
    </xf>
    <xf numFmtId="168" fontId="1" fillId="10" borderId="0" applyAlignment="1" pivotButton="0" quotePrefix="0" xfId="0">
      <alignment horizontal="right" vertical="top"/>
    </xf>
    <xf numFmtId="3" fontId="1" fillId="18" borderId="0" applyAlignment="1" pivotButton="0" quotePrefix="0" xfId="0">
      <alignment horizontal="right" vertical="top"/>
    </xf>
    <xf numFmtId="170" fontId="1" fillId="10" borderId="0" applyAlignment="1" pivotButton="0" quotePrefix="0" xfId="0">
      <alignment horizontal="right" vertical="top"/>
    </xf>
    <xf numFmtId="165" fontId="1" fillId="10" borderId="0" applyAlignment="1" pivotButton="0" quotePrefix="0" xfId="0">
      <alignment horizontal="right" vertical="top"/>
    </xf>
    <xf numFmtId="3" fontId="1" fillId="10" borderId="0" applyAlignment="1" pivotButton="0" quotePrefix="0" xfId="0">
      <alignment horizontal="right" vertical="top"/>
    </xf>
    <xf numFmtId="2" fontId="1" fillId="15" borderId="0" applyAlignment="1" pivotButton="0" quotePrefix="0" xfId="0">
      <alignment vertical="top"/>
    </xf>
    <xf numFmtId="1" fontId="1" fillId="15" borderId="0" applyAlignment="1" pivotButton="0" quotePrefix="0" xfId="0">
      <alignment vertical="top"/>
    </xf>
    <xf numFmtId="168" fontId="1" fillId="10" borderId="0" applyAlignment="1" pivotButton="0" quotePrefix="0" xfId="0">
      <alignment vertical="top"/>
    </xf>
    <xf numFmtId="3" fontId="1" fillId="15" borderId="0" applyAlignment="1" pivotButton="0" quotePrefix="0" xfId="0">
      <alignment vertical="top"/>
    </xf>
    <xf numFmtId="0" fontId="1" fillId="0" borderId="0" applyAlignment="1" pivotButton="0" quotePrefix="0" xfId="0">
      <alignment vertical="top" wrapText="1"/>
    </xf>
    <xf numFmtId="171" fontId="1"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activeCell="A1" sqref="A1"/>
    </sheetView>
  </sheetViews>
  <sheetFormatPr baseColWidth="8" defaultRowHeight="15"/>
  <cols>
    <col width="21.8799991607666" customWidth="1" min="1" max="1"/>
    <col width="45" customWidth="1" min="2" max="2"/>
    <col width="41.25" customWidth="1" min="3" max="3"/>
    <col width="18.75" customWidth="1" min="4" max="4"/>
    <col width="37.5" customWidth="1" min="5" max="5"/>
    <col width="27.5" customWidth="1" min="6" max="6"/>
  </cols>
  <sheetData>
    <row r="1" ht="28" customHeight="1">
      <c r="A1" s="5" t="inlineStr">
        <is>
          <t>Demand forecasting workshop</t>
        </is>
      </c>
      <c r="B1" s="3" t="n"/>
      <c r="C1" s="3" t="n"/>
      <c r="D1" s="3" t="n"/>
      <c r="E1" s="3" t="n"/>
      <c r="F1" s="3" t="n"/>
    </row>
    <row r="2" ht="24" customHeight="1">
      <c r="A2" s="7" t="inlineStr">
        <is>
          <t>South Africa • 7 October 2026 • Proposed direction and provisional current-model examples</t>
        </is>
      </c>
      <c r="B2" s="3" t="n"/>
      <c r="C2" s="3" t="n"/>
      <c r="D2" s="3" t="n"/>
      <c r="E2" s="3" t="n"/>
      <c r="F2" s="3" t="n"/>
    </row>
    <row r="3">
      <c r="A3" s="3" t="n"/>
      <c r="B3" s="3" t="n"/>
      <c r="C3" s="3" t="n"/>
      <c r="D3" s="3" t="n"/>
      <c r="E3" s="3" t="n"/>
      <c r="F3" s="3" t="n"/>
    </row>
    <row r="4" ht="38" customHeight="1">
      <c r="A4" s="9" t="inlineStr">
        <is>
          <t>Discussion</t>
        </is>
      </c>
      <c r="B4" s="9" t="inlineStr">
        <is>
          <t>Starting position</t>
        </is>
      </c>
      <c r="C4" s="9" t="inlineStr">
        <is>
          <t>Decision to record</t>
        </is>
      </c>
      <c r="D4" s="9" t="inlineStr">
        <is>
          <t>Lead / reviewer</t>
        </is>
      </c>
      <c r="E4" s="9" t="inlineStr">
        <is>
          <t>Agreed decision</t>
        </is>
      </c>
      <c r="F4" s="9" t="inlineStr">
        <is>
          <t>Next action / date</t>
        </is>
      </c>
    </row>
    <row r="5" ht="52" customHeight="1">
      <c r="A5" s="3" t="inlineStr">
        <is>
          <t>Purpose</t>
        </is>
      </c>
      <c r="B5" s="3" t="inlineStr">
        <is>
          <t>Start with Baseline; follow formulas to sector blocks, Model run and Evidence.</t>
        </is>
      </c>
      <c r="C5" s="3" t="inlineStr">
        <is>
          <t>Source selection holds each historical comparator choice. FIASA is provisional; HML remains last.</t>
        </is>
      </c>
      <c r="D5" s="3" t="inlineStr">
        <is>
          <t>Nigel + Manish</t>
        </is>
      </c>
      <c r="E5" s="10" t="n"/>
      <c r="F5" s="10" t="n"/>
    </row>
    <row r="6" ht="52" customHeight="1">
      <c r="A6" s="3" t="inlineStr">
        <is>
          <t>1. Segment methods</t>
        </is>
      </c>
      <c r="B6" s="3" t="inlineStr">
        <is>
          <t>Methods sheet distinguishes the existing engine from the proposed method.</t>
        </is>
      </c>
      <c r="C6" s="3" t="inlineStr">
        <is>
          <t>Agree method, segment boundaries and missing components.</t>
        </is>
      </c>
      <c r="D6" s="3" t="inlineStr">
        <is>
          <t>Manish / Nigel</t>
        </is>
      </c>
      <c r="E6" s="10" t="n"/>
      <c r="F6" s="10" t="n"/>
    </row>
    <row r="7" ht="52" customHeight="1">
      <c r="A7" s="3" t="inlineStr">
        <is>
          <t>2. Geography</t>
        </is>
      </c>
      <c r="B7" s="3" t="inlineStr">
        <is>
          <t>Use national allocation where local evidence is weak; provincial calculations where defensible.</t>
        </is>
      </c>
      <c r="C7" s="3" t="inlineStr">
        <is>
          <t>Choose method by segment and define sales versus consumption location.</t>
        </is>
      </c>
      <c r="D7" s="3" t="inlineStr">
        <is>
          <t>Manish / Nigel</t>
        </is>
      </c>
      <c r="E7" s="10" t="n"/>
      <c r="F7" s="10" t="n"/>
    </row>
    <row r="8" ht="52" customHeight="1">
      <c r="A8" s="3" t="inlineStr">
        <is>
          <t>3. Worked examples</t>
        </is>
      </c>
      <c r="B8" s="3" t="inlineStr">
        <is>
          <t>Excel recalculates source choices, linked reporting totals, unit conversions and differences.</t>
        </is>
      </c>
      <c r="C8" s="3" t="inlineStr">
        <is>
          <t>Engine results are a frozen Python run. Input/scenario changes require a Python rerun and refreshed export.</t>
        </is>
      </c>
      <c r="D8" s="3" t="inlineStr">
        <is>
          <t>Manish / Nigel</t>
        </is>
      </c>
      <c r="E8" s="10" t="n"/>
      <c r="F8" s="10" t="n"/>
    </row>
    <row r="9" ht="52" customHeight="1">
      <c r="A9" s="3" t="inlineStr">
        <is>
          <t>4. Input ranges</t>
        </is>
      </c>
      <c r="B9" s="3" t="inlineStr">
        <is>
          <t>HML contains existing proposed demand ranges plus blank brackets for missing drivers.</t>
        </is>
      </c>
      <c r="C9" s="3" t="inlineStr">
        <is>
          <t>Agree low / medium / high inputs, reference case and annual paths.</t>
        </is>
      </c>
      <c r="D9" s="3" t="inlineStr">
        <is>
          <t>Nigel / Henry</t>
        </is>
      </c>
      <c r="E9" s="10" t="n"/>
      <c r="F9" s="10" t="n"/>
    </row>
    <row r="10" ht="52" customHeight="1">
      <c r="A10" s="3" t="inlineStr">
        <is>
          <t>5. Scenario combinations</t>
        </is>
      </c>
      <c r="B10" s="3" t="inlineStr">
        <is>
          <t>A higher input can raise or lower demand. Medium is not an approved baseline.</t>
        </is>
      </c>
      <c r="C10" s="3" t="inlineStr">
        <is>
          <t>Select compatible inputs; assess demand and supply independently.</t>
        </is>
      </c>
      <c r="D10" s="3" t="inlineStr">
        <is>
          <t>Nigel / Henry</t>
        </is>
      </c>
      <c r="E10" s="10" t="n"/>
      <c r="F10" s="10" t="n"/>
    </row>
    <row r="11" ht="52" customHeight="1">
      <c r="A11" s="3" t="inlineStr">
        <is>
          <t>6. Acceptance</t>
        </is>
      </c>
      <c r="B11" s="3" t="inlineStr">
        <is>
          <t>Review corrections before engine integration.</t>
        </is>
      </c>
      <c r="C11" s="3" t="inlineStr">
        <is>
          <t>Record evidence, decision, owner and next review trigger.</t>
        </is>
      </c>
      <c r="D11" s="3" t="inlineStr">
        <is>
          <t>Nigel</t>
        </is>
      </c>
      <c r="E11" s="10" t="n"/>
      <c r="F11" s="10" t="n"/>
    </row>
    <row r="12" ht="52" customHeight="1">
      <c r="A12" s="3" t="inlineStr">
        <is>
          <t>Example scope</t>
        </is>
      </c>
      <c r="B12" s="3" t="inlineStr">
        <is>
          <t>Current high_demand scenario, vintage 2026. This is one existing case, not the proposed medium case.</t>
        </is>
      </c>
      <c r="C12" s="3" t="inlineStr">
        <is>
          <t>2022–2023 model backcast; 2024–2035 model horizon. No row is observed merely because its year is historical.</t>
        </is>
      </c>
      <c r="D12" s="3" t="inlineStr">
        <is>
          <t>All readers</t>
        </is>
      </c>
      <c r="E12" s="10" t="n"/>
      <c r="F12" s="10" t="n"/>
    </row>
    <row r="13" ht="52" customHeight="1">
      <c r="A13" s="3" t="inlineStr">
        <is>
          <t>Editable cells</t>
        </is>
      </c>
      <c r="B13" s="3" t="inlineStr">
        <is>
          <t>Yellow = missing/discussion inputs; blue = staged observations; green = current model or reporting calculations.</t>
        </is>
      </c>
      <c r="C13" s="3" t="inlineStr">
        <is>
          <t>Full-year observations stay in year columns. D may contain a clearly dated latest YTD/snapshot or older anchor.</t>
        </is>
      </c>
      <c r="D13" s="3" t="inlineStr">
        <is>
          <t>All readers</t>
        </is>
      </c>
      <c r="E13" s="10" t="n"/>
      <c r="F13" s="10" t="n"/>
    </row>
    <row r="14" ht="52" customHeight="1">
      <c r="A14" s="3" t="inlineStr">
        <is>
          <t>Calculation boundary</t>
        </is>
      </c>
      <c r="B14" s="3" t="inlineStr">
        <is>
          <t>Demand figures are snapshots from the Python engine. Editing a discussion input does not rerun the engine.</t>
        </is>
      </c>
      <c r="C14" s="3" t="inlineStr">
        <is>
          <t>Only explicit reconciliation / allocation formulas recalculate in Excel.</t>
        </is>
      </c>
      <c r="D14" s="3" t="inlineStr">
        <is>
          <t>Manish</t>
        </is>
      </c>
      <c r="E14" s="10" t="n"/>
      <c r="F14" s="10" t="n"/>
    </row>
    <row r="15" ht="52" customHeight="1">
      <c r="A15" s="3" t="inlineStr">
        <is>
          <t>Provincial example</t>
        </is>
      </c>
      <c r="B15" s="3" t="inlineStr">
        <is>
          <t>2022 observed provincial petrol/diesel and Q1 2023 partial values are now shown below the allocation template.</t>
        </is>
      </c>
      <c r="C15" s="3" t="inlineStr">
        <is>
          <t>Sales location differs from consumption. No passenger allocation shares have been silently populated.</t>
        </is>
      </c>
      <c r="D15" s="3" t="inlineStr">
        <is>
          <t>Manish / Nigel</t>
        </is>
      </c>
      <c r="E15" s="10" t="n"/>
      <c r="F15" s="10" t="n"/>
    </row>
    <row r="16" ht="52" customHeight="1">
      <c r="A16" s="3" t="inlineStr">
        <is>
          <t>Sources and run</t>
        </is>
      </c>
      <c r="B16" s="3" t="inlineStr">
        <is>
          <t>Recorded engine run: 2026-10-07T10:48:46.852505+00:00; commit 8c69f8333192483f19cd80911cb90fcd0943eb6b; high_demand; vintage 2026.</t>
        </is>
      </c>
      <c r="C16" s="3" t="inlineStr">
        <is>
          <t>Input and evidence SHA256 hashes are retained in workshop_data.json; no new model assumptions adopted.</t>
        </is>
      </c>
      <c r="D16" s="3" t="inlineStr">
        <is>
          <t>2026 draft vintage</t>
        </is>
      </c>
      <c r="E16" s="10" t="n"/>
      <c r="F16" s="10" t="n"/>
    </row>
    <row r="17" ht="52" customHeight="1">
      <c r="A17" s="3" t="inlineStr">
        <is>
          <t>Acceptance boundary</t>
        </is>
      </c>
      <c r="B17" s="3" t="inlineStr">
        <is>
          <t>54 open exceptions at workbook preparation. Current inputs and outputs remain provisional.</t>
        </is>
      </c>
      <c r="C17" s="3" t="inlineStr">
        <is>
          <t>No source approval, peer-review completion or client acceptance is inferred.</t>
        </is>
      </c>
      <c r="D17" s="3" t="inlineStr">
        <is>
          <t>Nigel</t>
        </is>
      </c>
      <c r="E17" s="10" t="n"/>
      <c r="F17" s="10" t="n"/>
    </row>
    <row r="18" ht="52" customHeight="1">
      <c r="A18" s="3" t="n"/>
      <c r="B18" s="3" t="n"/>
      <c r="C18" s="3" t="n"/>
      <c r="D18" s="3" t="n"/>
      <c r="E18" s="3" t="n"/>
      <c r="F18" s="3" t="n"/>
    </row>
    <row r="19" ht="52" customHeight="1">
      <c r="A19" s="3" t="n"/>
      <c r="B19" s="3" t="n"/>
      <c r="C19" s="3" t="n"/>
      <c r="D19" s="3" t="n"/>
      <c r="E19" s="3" t="n"/>
      <c r="F19" s="3" t="n"/>
    </row>
    <row r="20" ht="52" customHeight="1">
      <c r="A20" s="3" t="n"/>
      <c r="B20" s="3" t="n"/>
      <c r="C20" s="3" t="n"/>
      <c r="D20" s="3" t="n"/>
      <c r="E20" s="3" t="n"/>
      <c r="F20" s="3" t="n"/>
    </row>
    <row r="21" ht="52" customHeight="1">
      <c r="A21" s="3" t="n"/>
      <c r="B21" s="3" t="n"/>
      <c r="C21" s="3" t="n"/>
      <c r="D21" s="3" t="n"/>
      <c r="E21" s="3" t="n"/>
      <c r="F21" s="3" t="n"/>
    </row>
    <row r="22" ht="52" customHeight="1">
      <c r="A22" s="3" t="n"/>
      <c r="B22" s="3" t="n"/>
      <c r="C22" s="3" t="n"/>
      <c r="D22" s="3" t="n"/>
      <c r="E22" s="3" t="n"/>
      <c r="F22" s="3" t="n"/>
    </row>
    <row r="23" ht="52" customHeight="1">
      <c r="A23" s="3" t="n"/>
      <c r="B23" s="3" t="n"/>
      <c r="C23" s="3" t="n"/>
      <c r="D23" s="3" t="n"/>
      <c r="E23" s="3" t="n"/>
      <c r="F23" s="3" t="n"/>
    </row>
    <row r="24" ht="52" customHeight="1">
      <c r="A24" s="3" t="n"/>
      <c r="B24" s="3" t="n"/>
      <c r="C24" s="3" t="n"/>
      <c r="D24" s="3" t="n"/>
      <c r="E24" s="3" t="n"/>
      <c r="F24"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47"/>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3.75" customWidth="1" min="6" max="6"/>
    <col width="13.75" customWidth="1" min="7" max="7"/>
    <col width="13.75" customWidth="1" min="8" max="8"/>
    <col width="13.75" customWidth="1" min="9" max="9"/>
    <col width="13.75" customWidth="1" min="10" max="10"/>
    <col width="13.75" customWidth="1" min="11" max="11"/>
    <col width="13.75" customWidth="1" min="12" max="12"/>
    <col width="13.75" customWidth="1" min="13" max="13"/>
    <col width="13.75" customWidth="1" min="14" max="14"/>
    <col width="13.75" customWidth="1" min="15" max="15"/>
    <col width="13.75" customWidth="1" min="16" max="16"/>
    <col width="13.75" customWidth="1" min="17" max="17"/>
    <col width="13.75" customWidth="1" min="18" max="18"/>
    <col width="13.75" customWidth="1" min="19" max="19"/>
    <col width="31.8799991607666" customWidth="1" min="20" max="20"/>
    <col width="36.25" customWidth="1" min="21" max="21"/>
    <col width="36.25" customWidth="1" min="22" max="22"/>
  </cols>
  <sheetData>
    <row r="1" ht="25" customHeight="1">
      <c r="A1" s="5" t="inlineStr">
        <is>
          <t>Demand baseline and reconciliation</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6" t="inlineStr">
        <is>
          <t>Linked demand comparison. Full definitions: Notes. Historical sources: Source selection.</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Petrol: national product comparison</t>
        </is>
      </c>
      <c r="B5" s="11" t="n"/>
      <c r="C5" s="11" t="n"/>
      <c r="D5" s="11" t="n"/>
      <c r="E5" s="11" t="n"/>
      <c r="F5" s="25" t="n"/>
      <c r="G5" s="25" t="n"/>
      <c r="H5" s="25" t="n"/>
      <c r="I5" s="25" t="n"/>
      <c r="J5" s="25" t="n"/>
      <c r="K5" s="25" t="n"/>
      <c r="L5" s="25" t="n"/>
      <c r="M5" s="25" t="n"/>
      <c r="N5" s="25" t="n"/>
      <c r="O5" s="25" t="n"/>
      <c r="P5" s="25" t="n"/>
      <c r="Q5" s="25" t="n"/>
      <c r="R5" s="25" t="n"/>
      <c r="S5" s="25" t="n"/>
      <c r="T5" s="11" t="n"/>
      <c r="U5" s="11" t="n"/>
      <c r="V5" s="11" t="n"/>
    </row>
    <row r="6" ht="30" customHeight="1">
      <c r="A6" s="65" t="inlineStr">
        <is>
          <t>Selected historical petrol sales</t>
        </is>
      </c>
      <c r="B6" s="65" t="inlineStr">
        <is>
          <t>million L/year</t>
        </is>
      </c>
      <c r="C6" s="65" t="inlineStr">
        <is>
          <t>Linked observation</t>
        </is>
      </c>
      <c r="D6" s="114" t="n"/>
      <c r="E6" s="65" t="inlineStr">
        <is>
          <t>Selected historical sales; see Source selection. [N001]</t>
        </is>
      </c>
      <c r="F6" s="115">
        <f>IF(ISNUMBER('Source selection'!F5),'Source selection'!F5,"")</f>
        <v/>
      </c>
      <c r="G6" s="115">
        <f>IF(ISNUMBER('Source selection'!F6),'Source selection'!F6,"")</f>
        <v/>
      </c>
      <c r="H6" s="115">
        <f>IF(ISNUMBER('Source selection'!F7),'Source selection'!F7,"")</f>
        <v/>
      </c>
      <c r="I6" s="115">
        <f>IF(ISNUMBER('Source selection'!F8),'Source selection'!F8,"")</f>
        <v/>
      </c>
      <c r="J6" s="115">
        <f>IF(ISNUMBER('Source selection'!F9),'Source selection'!F9,"")</f>
        <v/>
      </c>
      <c r="K6" s="115" t="n"/>
      <c r="L6" s="115" t="n"/>
      <c r="M6" s="115" t="n"/>
      <c r="N6" s="115" t="n"/>
      <c r="O6" s="115" t="n"/>
      <c r="P6" s="115" t="n"/>
      <c r="Q6" s="115" t="n"/>
      <c r="R6" s="115" t="n"/>
      <c r="S6" s="115" t="n"/>
      <c r="T6" s="3" t="inlineStr">
        <is>
          <t>Working comparator; not approved</t>
        </is>
      </c>
      <c r="U6" s="3" t="inlineStr">
        <is>
          <t>Source selection → Evidence</t>
        </is>
      </c>
      <c r="V6" s="3" t="inlineStr">
        <is>
          <t>Manish reconciles scope/revisions; Nigel accepts source.</t>
        </is>
      </c>
    </row>
    <row r="7" ht="30" customHeight="1">
      <c r="A7" s="65" t="inlineStr">
        <is>
          <t>Historical source / status</t>
        </is>
      </c>
      <c r="B7" s="65" t="inlineStr">
        <is>
          <t>text</t>
        </is>
      </c>
      <c r="C7" s="65" t="inlineStr">
        <is>
          <t>Selection status</t>
        </is>
      </c>
      <c r="D7" s="114" t="n"/>
      <c r="E7" s="65" t="inlineStr">
        <is>
          <t>Selected source, or unresolved when unavailable. [N002]</t>
        </is>
      </c>
      <c r="F7" s="115">
        <f>IF(ISNUMBER('Source selection'!F5),'Source selection'!E5,"Unresolved")</f>
        <v/>
      </c>
      <c r="G7" s="115">
        <f>IF(ISNUMBER('Source selection'!F6),'Source selection'!E6,"Unresolved")</f>
        <v/>
      </c>
      <c r="H7" s="115">
        <f>IF(ISNUMBER('Source selection'!F7),'Source selection'!E7,"Unresolved")</f>
        <v/>
      </c>
      <c r="I7" s="115">
        <f>IF(ISNUMBER('Source selection'!F8),'Source selection'!E8,"Unresolved")</f>
        <v/>
      </c>
      <c r="J7" s="115">
        <f>IF(ISNUMBER('Source selection'!F9),'Source selection'!E9,"Unresolved")</f>
        <v/>
      </c>
      <c r="K7" s="115" t="n"/>
      <c r="L7" s="115" t="n"/>
      <c r="M7" s="115" t="n"/>
      <c r="N7" s="115" t="n"/>
      <c r="O7" s="115" t="n"/>
      <c r="P7" s="115" t="n"/>
      <c r="Q7" s="115" t="n"/>
      <c r="R7" s="115" t="n"/>
      <c r="S7" s="115" t="n"/>
      <c r="T7" s="3" t="inlineStr">
        <is>
          <t>Not an additional demand series</t>
        </is>
      </c>
      <c r="U7" s="3" t="inlineStr">
        <is>
          <t>Source selection</t>
        </is>
      </c>
      <c r="V7" s="3" t="inlineStr">
        <is>
          <t>Review selected source before calibration.</t>
        </is>
      </c>
    </row>
    <row r="8" ht="30" customHeight="1">
      <c r="A8" s="16" t="inlineStr">
        <is>
          <t>Current model road petrol</t>
        </is>
      </c>
      <c r="B8" s="16" t="inlineStr">
        <is>
          <t>million L/year</t>
        </is>
      </c>
      <c r="C8" s="16" t="inlineStr">
        <is>
          <t>Model output</t>
        </is>
      </c>
      <c r="D8" s="116" t="n"/>
      <c r="E8" s="16" t="inlineStr">
        <is>
          <t>Passenger + LCV petrol. All-grade sales comparison. [N003]</t>
        </is>
      </c>
      <c r="F8" s="117">
        <f>IF(ISNUMBER('Petrol'!F23),'Petrol'!F23/1000000,"")</f>
        <v/>
      </c>
      <c r="G8" s="117">
        <f>IF(ISNUMBER('Petrol'!G23),'Petrol'!G23/1000000,"")</f>
        <v/>
      </c>
      <c r="H8" s="117">
        <f>IF(ISNUMBER('Petrol'!H23),'Petrol'!H23/1000000,"")</f>
        <v/>
      </c>
      <c r="I8" s="117">
        <f>IF(ISNUMBER('Petrol'!I23),'Petrol'!I23/1000000,"")</f>
        <v/>
      </c>
      <c r="J8" s="117">
        <f>IF(ISNUMBER('Petrol'!J23),'Petrol'!J23/1000000,"")</f>
        <v/>
      </c>
      <c r="K8" s="117">
        <f>IF(ISNUMBER('Petrol'!K23),'Petrol'!K23/1000000,"")</f>
        <v/>
      </c>
      <c r="L8" s="117">
        <f>IF(ISNUMBER('Petrol'!L23),'Petrol'!L23/1000000,"")</f>
        <v/>
      </c>
      <c r="M8" s="117">
        <f>IF(ISNUMBER('Petrol'!M23),'Petrol'!M23/1000000,"")</f>
        <v/>
      </c>
      <c r="N8" s="117">
        <f>IF(ISNUMBER('Petrol'!N23),'Petrol'!N23/1000000,"")</f>
        <v/>
      </c>
      <c r="O8" s="117">
        <f>IF(ISNUMBER('Petrol'!O23),'Petrol'!O23/1000000,"")</f>
        <v/>
      </c>
      <c r="P8" s="117">
        <f>IF(ISNUMBER('Petrol'!P23),'Petrol'!P23/1000000,"")</f>
        <v/>
      </c>
      <c r="Q8" s="117">
        <f>IF(ISNUMBER('Petrol'!Q23),'Petrol'!Q23/1000000,"")</f>
        <v/>
      </c>
      <c r="R8" s="117">
        <f>IF(ISNUMBER('Petrol'!R23),'Petrol'!R23/1000000,"")</f>
        <v/>
      </c>
      <c r="S8" s="117">
        <f>IF(ISNUMBER('Petrol'!S23),'Petrol'!S23/1000000,"")</f>
        <v/>
      </c>
      <c r="T8" s="3" t="inlineStr">
        <is>
          <t>2026 vintage; current high_demand case; provisional.</t>
        </is>
      </c>
      <c r="U8" s="3" t="inlineStr">
        <is>
          <t>Petrol row 23 → Model run → Python engine</t>
        </is>
      </c>
      <c r="V8" s="3" t="inlineStr">
        <is>
          <t>Validate inputs and reconcile against observed data.</t>
        </is>
      </c>
    </row>
    <row r="9" ht="30" customHeight="1">
      <c r="A9" s="16" t="inlineStr">
        <is>
          <t>Model less selected historical sales</t>
        </is>
      </c>
      <c r="B9" s="16" t="inlineStr">
        <is>
          <t>million L/year</t>
        </is>
      </c>
      <c r="C9" s="16" t="inlineStr">
        <is>
          <t>Reporting formula</t>
        </is>
      </c>
      <c r="D9" s="116" t="n"/>
      <c r="E9" s="16" t="inlineStr">
        <is>
          <t>Model minus selected sales; scope requires reconciliation. [N004]</t>
        </is>
      </c>
      <c r="F9" s="117">
        <f>IF(COUNT(F6,F8)&lt;2,"",F8-F6)</f>
        <v/>
      </c>
      <c r="G9" s="117">
        <f>IF(COUNT(G6,G8)&lt;2,"",G8-G6)</f>
        <v/>
      </c>
      <c r="H9" s="117">
        <f>IF(COUNT(H6,H8)&lt;2,"",H8-H6)</f>
        <v/>
      </c>
      <c r="I9" s="117">
        <f>IF(COUNT(I6,I8)&lt;2,"",I8-I6)</f>
        <v/>
      </c>
      <c r="J9" s="117">
        <f>IF(COUNT(J6,J8)&lt;2,"",J8-J6)</f>
        <v/>
      </c>
      <c r="K9" s="117">
        <f>IF(COUNT(K6,K8)&lt;2,"",K8-K6)</f>
        <v/>
      </c>
      <c r="L9" s="117">
        <f>IF(COUNT(L6,L8)&lt;2,"",L8-L6)</f>
        <v/>
      </c>
      <c r="M9" s="117">
        <f>IF(COUNT(M6,M8)&lt;2,"",M8-M6)</f>
        <v/>
      </c>
      <c r="N9" s="117">
        <f>IF(COUNT(N6,N8)&lt;2,"",N8-N6)</f>
        <v/>
      </c>
      <c r="O9" s="117">
        <f>IF(COUNT(O6,O8)&lt;2,"",O8-O6)</f>
        <v/>
      </c>
      <c r="P9" s="117">
        <f>IF(COUNT(P6,P8)&lt;2,"",P8-P6)</f>
        <v/>
      </c>
      <c r="Q9" s="117">
        <f>IF(COUNT(Q6,Q8)&lt;2,"",Q8-Q6)</f>
        <v/>
      </c>
      <c r="R9" s="117">
        <f>IF(COUNT(R6,R8)&lt;2,"",R8-R6)</f>
        <v/>
      </c>
      <c r="S9" s="117">
        <f>IF(COUNT(S6,S8)&lt;2,"",S8-S6)</f>
        <v/>
      </c>
      <c r="T9" s="3" t="inlineStr">
        <is>
          <t>Only where both values exist.</t>
        </is>
      </c>
      <c r="U9" s="3" t="str"/>
      <c r="V9" s="3" t="inlineStr">
        <is>
          <t>G01: reconcile grade/segment scope.</t>
        </is>
      </c>
    </row>
    <row r="10" ht="8" customHeight="1">
      <c r="A10" s="3" t="n"/>
      <c r="B10" s="3" t="n"/>
      <c r="C10" s="3" t="n"/>
      <c r="D10" s="3" t="n"/>
      <c r="E10" s="3" t="n"/>
      <c r="F10" s="6" t="n"/>
      <c r="G10" s="6" t="n"/>
      <c r="H10" s="6" t="n"/>
      <c r="I10" s="6" t="n"/>
      <c r="J10" s="6" t="n"/>
      <c r="K10" s="6" t="n"/>
      <c r="L10" s="6" t="n"/>
      <c r="M10" s="6" t="n"/>
      <c r="N10" s="6" t="n"/>
      <c r="O10" s="6" t="n"/>
      <c r="P10" s="6" t="n"/>
      <c r="Q10" s="6" t="n"/>
      <c r="R10" s="6" t="n"/>
      <c r="S10" s="6" t="n"/>
      <c r="T10" s="3" t="n"/>
      <c r="U10" s="3" t="n"/>
      <c r="V10" s="3" t="n"/>
    </row>
    <row r="11" ht="28" customHeight="1">
      <c r="A11" s="12" t="inlineStr">
        <is>
          <t>Diesel: segments and national product comparison</t>
        </is>
      </c>
      <c r="B11" s="11" t="n"/>
      <c r="C11" s="11" t="n"/>
      <c r="D11" s="11" t="n"/>
      <c r="E11" s="11" t="n"/>
      <c r="F11" s="25" t="n"/>
      <c r="G11" s="25" t="n"/>
      <c r="H11" s="25" t="n"/>
      <c r="I11" s="25" t="n"/>
      <c r="J11" s="25" t="n"/>
      <c r="K11" s="25" t="n"/>
      <c r="L11" s="25" t="n"/>
      <c r="M11" s="25" t="n"/>
      <c r="N11" s="25" t="n"/>
      <c r="O11" s="25" t="n"/>
      <c r="P11" s="25" t="n"/>
      <c r="Q11" s="25" t="n"/>
      <c r="R11" s="25" t="n"/>
      <c r="S11" s="25" t="n"/>
      <c r="T11" s="11" t="n"/>
      <c r="U11" s="11" t="n"/>
      <c r="V11" s="11" t="n"/>
    </row>
    <row r="12" ht="30" customHeight="1">
      <c r="A12" s="65" t="inlineStr">
        <is>
          <t>Selected historical diesel sales</t>
        </is>
      </c>
      <c r="B12" s="65" t="inlineStr">
        <is>
          <t>million L/year</t>
        </is>
      </c>
      <c r="C12" s="65" t="inlineStr">
        <is>
          <t>Linked observation</t>
        </is>
      </c>
      <c r="D12" s="114" t="n"/>
      <c r="E12" s="65" t="inlineStr">
        <is>
          <t>Selected historical sales; see Source selection. [N005]</t>
        </is>
      </c>
      <c r="F12" s="115">
        <f>IF(ISNUMBER('Source selection'!F10),'Source selection'!F10,"")</f>
        <v/>
      </c>
      <c r="G12" s="115">
        <f>IF(ISNUMBER('Source selection'!F11),'Source selection'!F11,"")</f>
        <v/>
      </c>
      <c r="H12" s="115">
        <f>IF(ISNUMBER('Source selection'!F12),'Source selection'!F12,"")</f>
        <v/>
      </c>
      <c r="I12" s="115">
        <f>IF(ISNUMBER('Source selection'!F13),'Source selection'!F13,"")</f>
        <v/>
      </c>
      <c r="J12" s="115">
        <f>IF(ISNUMBER('Source selection'!F14),'Source selection'!F14,"")</f>
        <v/>
      </c>
      <c r="K12" s="115" t="n"/>
      <c r="L12" s="115" t="n"/>
      <c r="M12" s="115" t="n"/>
      <c r="N12" s="115" t="n"/>
      <c r="O12" s="115" t="n"/>
      <c r="P12" s="115" t="n"/>
      <c r="Q12" s="115" t="n"/>
      <c r="R12" s="115" t="n"/>
      <c r="S12" s="115" t="n"/>
      <c r="T12" s="3" t="inlineStr">
        <is>
          <t>Working comparator; not approved</t>
        </is>
      </c>
      <c r="U12" s="3" t="inlineStr">
        <is>
          <t>Source selection → Evidence</t>
        </is>
      </c>
      <c r="V12" s="3" t="inlineStr">
        <is>
          <t>Manish reconciles scope/revisions; Nigel accepts source.</t>
        </is>
      </c>
    </row>
    <row r="13" ht="30" customHeight="1">
      <c r="A13" s="65" t="inlineStr">
        <is>
          <t>Historical source / status</t>
        </is>
      </c>
      <c r="B13" s="65" t="inlineStr">
        <is>
          <t>text</t>
        </is>
      </c>
      <c r="C13" s="65" t="inlineStr">
        <is>
          <t>Selection status</t>
        </is>
      </c>
      <c r="D13" s="114" t="n"/>
      <c r="E13" s="65" t="inlineStr">
        <is>
          <t>Selected source, or unresolved when unavailable. [N006]</t>
        </is>
      </c>
      <c r="F13" s="115">
        <f>IF(ISNUMBER('Source selection'!F10),'Source selection'!E10,"Unresolved")</f>
        <v/>
      </c>
      <c r="G13" s="115">
        <f>IF(ISNUMBER('Source selection'!F11),'Source selection'!E11,"Unresolved")</f>
        <v/>
      </c>
      <c r="H13" s="115">
        <f>IF(ISNUMBER('Source selection'!F12),'Source selection'!E12,"Unresolved")</f>
        <v/>
      </c>
      <c r="I13" s="115">
        <f>IF(ISNUMBER('Source selection'!F13),'Source selection'!E13,"Unresolved")</f>
        <v/>
      </c>
      <c r="J13" s="115">
        <f>IF(ISNUMBER('Source selection'!F14),'Source selection'!E14,"Unresolved")</f>
        <v/>
      </c>
      <c r="K13" s="115" t="n"/>
      <c r="L13" s="115" t="n"/>
      <c r="M13" s="115" t="n"/>
      <c r="N13" s="115" t="n"/>
      <c r="O13" s="115" t="n"/>
      <c r="P13" s="115" t="n"/>
      <c r="Q13" s="115" t="n"/>
      <c r="R13" s="115" t="n"/>
      <c r="S13" s="115" t="n"/>
      <c r="T13" s="3" t="inlineStr">
        <is>
          <t>Not an additional demand series</t>
        </is>
      </c>
      <c r="U13" s="3" t="inlineStr">
        <is>
          <t>Source selection</t>
        </is>
      </c>
      <c r="V13" s="3" t="inlineStr">
        <is>
          <t>Review selected source before calibration.</t>
        </is>
      </c>
    </row>
    <row r="14" ht="30" customHeight="1">
      <c r="A14" s="16" t="inlineStr">
        <is>
          <t>All road diesel</t>
        </is>
      </c>
      <c r="B14" s="16" t="inlineStr">
        <is>
          <t>million L/year</t>
        </is>
      </c>
      <c r="C14" s="16" t="inlineStr">
        <is>
          <t>Model output</t>
        </is>
      </c>
      <c r="D14" s="116" t="n"/>
      <c r="E14" s="16" t="inlineStr">
        <is>
          <t>Passenger + LCV + HCV diesel. [N007]</t>
        </is>
      </c>
      <c r="F14" s="117">
        <f>IF(ISNUMBER('Freight'!F57),'Freight'!F57/1,"")</f>
        <v/>
      </c>
      <c r="G14" s="117">
        <f>IF(ISNUMBER('Freight'!G57),'Freight'!G57/1,"")</f>
        <v/>
      </c>
      <c r="H14" s="117">
        <f>IF(ISNUMBER('Freight'!H57),'Freight'!H57/1,"")</f>
        <v/>
      </c>
      <c r="I14" s="117">
        <f>IF(ISNUMBER('Freight'!I57),'Freight'!I57/1,"")</f>
        <v/>
      </c>
      <c r="J14" s="117">
        <f>IF(ISNUMBER('Freight'!J57),'Freight'!J57/1,"")</f>
        <v/>
      </c>
      <c r="K14" s="117">
        <f>IF(ISNUMBER('Freight'!K57),'Freight'!K57/1,"")</f>
        <v/>
      </c>
      <c r="L14" s="117">
        <f>IF(ISNUMBER('Freight'!L57),'Freight'!L57/1,"")</f>
        <v/>
      </c>
      <c r="M14" s="117">
        <f>IF(ISNUMBER('Freight'!M57),'Freight'!M57/1,"")</f>
        <v/>
      </c>
      <c r="N14" s="117">
        <f>IF(ISNUMBER('Freight'!N57),'Freight'!N57/1,"")</f>
        <v/>
      </c>
      <c r="O14" s="117">
        <f>IF(ISNUMBER('Freight'!O57),'Freight'!O57/1,"")</f>
        <v/>
      </c>
      <c r="P14" s="117">
        <f>IF(ISNUMBER('Freight'!P57),'Freight'!P57/1,"")</f>
        <v/>
      </c>
      <c r="Q14" s="117">
        <f>IF(ISNUMBER('Freight'!Q57),'Freight'!Q57/1,"")</f>
        <v/>
      </c>
      <c r="R14" s="117">
        <f>IF(ISNUMBER('Freight'!R57),'Freight'!R57/1,"")</f>
        <v/>
      </c>
      <c r="S14" s="117">
        <f>IF(ISNUMBER('Freight'!S57),'Freight'!S57/1,"")</f>
        <v/>
      </c>
      <c r="T14" s="3" t="inlineStr">
        <is>
          <t>2026 vintage; current high_demand case; provisional.</t>
        </is>
      </c>
      <c r="U14" s="3" t="inlineStr">
        <is>
          <t>Freight row 57 → Model run → Python engine</t>
        </is>
      </c>
      <c r="V14" s="3" t="inlineStr">
        <is>
          <t>Validate inputs and reconcile against observed data.</t>
        </is>
      </c>
    </row>
    <row r="15" ht="30" customHeight="1">
      <c r="A15" s="16" t="inlineStr">
        <is>
          <t>Grid OCGT diesel</t>
        </is>
      </c>
      <c r="B15" s="16" t="inlineStr">
        <is>
          <t>million L/year</t>
        </is>
      </c>
      <c r="C15" s="16" t="inlineStr">
        <is>
          <t>Model output</t>
        </is>
      </c>
      <c r="D15" s="116" t="n"/>
      <c r="E15" s="16" t="inlineStr">
        <is>
          <t>Grid OCGT model. Private backup not calibrated. [N008]</t>
        </is>
      </c>
      <c r="F15" s="117">
        <f>IF(ISNUMBER('Other demand'!F12),'Other demand'!F12/1,"")</f>
        <v/>
      </c>
      <c r="G15" s="117">
        <f>IF(ISNUMBER('Other demand'!G12),'Other demand'!G12/1,"")</f>
        <v/>
      </c>
      <c r="H15" s="117">
        <f>IF(ISNUMBER('Other demand'!H12),'Other demand'!H12/1,"")</f>
        <v/>
      </c>
      <c r="I15" s="117">
        <f>IF(ISNUMBER('Other demand'!I12),'Other demand'!I12/1,"")</f>
        <v/>
      </c>
      <c r="J15" s="117">
        <f>IF(ISNUMBER('Other demand'!J12),'Other demand'!J12/1,"")</f>
        <v/>
      </c>
      <c r="K15" s="117">
        <f>IF(ISNUMBER('Other demand'!K12),'Other demand'!K12/1,"")</f>
        <v/>
      </c>
      <c r="L15" s="117">
        <f>IF(ISNUMBER('Other demand'!L12),'Other demand'!L12/1,"")</f>
        <v/>
      </c>
      <c r="M15" s="117">
        <f>IF(ISNUMBER('Other demand'!M12),'Other demand'!M12/1,"")</f>
        <v/>
      </c>
      <c r="N15" s="117">
        <f>IF(ISNUMBER('Other demand'!N12),'Other demand'!N12/1,"")</f>
        <v/>
      </c>
      <c r="O15" s="117">
        <f>IF(ISNUMBER('Other demand'!O12),'Other demand'!O12/1,"")</f>
        <v/>
      </c>
      <c r="P15" s="117">
        <f>IF(ISNUMBER('Other demand'!P12),'Other demand'!P12/1,"")</f>
        <v/>
      </c>
      <c r="Q15" s="117">
        <f>IF(ISNUMBER('Other demand'!Q12),'Other demand'!Q12/1,"")</f>
        <v/>
      </c>
      <c r="R15" s="117">
        <f>IF(ISNUMBER('Other demand'!R12),'Other demand'!R12/1,"")</f>
        <v/>
      </c>
      <c r="S15" s="117">
        <f>IF(ISNUMBER('Other demand'!S12),'Other demand'!S12/1,"")</f>
        <v/>
      </c>
      <c r="T15" s="3" t="inlineStr">
        <is>
          <t>2026 vintage; current high_demand case; provisional.</t>
        </is>
      </c>
      <c r="U15" s="3" t="inlineStr">
        <is>
          <t>Other demand row 12 → Model run → Python engine</t>
        </is>
      </c>
      <c r="V15" s="3" t="inlineStr">
        <is>
          <t>Validate inputs and reconcile against observed data.</t>
        </is>
      </c>
    </row>
    <row r="16" ht="30" customHeight="1">
      <c r="A16" s="16" t="inlineStr">
        <is>
          <t>Agricultural diesel</t>
        </is>
      </c>
      <c r="B16" s="16" t="inlineStr">
        <is>
          <t>million L/year</t>
        </is>
      </c>
      <c r="C16" s="16" t="inlineStr">
        <is>
          <t>Model output</t>
        </is>
      </c>
      <c r="D16" s="116" t="n"/>
      <c r="E16" s="16" t="inlineStr">
        <is>
          <t>GDP/capita method; provisional 2024 fuel baseline. [N009]</t>
        </is>
      </c>
      <c r="F16" s="117">
        <f>IF(ISNUMBER('Agriculture'!F13),'Agriculture'!F13/1,"")</f>
        <v/>
      </c>
      <c r="G16" s="117">
        <f>IF(ISNUMBER('Agriculture'!G13),'Agriculture'!G13/1,"")</f>
        <v/>
      </c>
      <c r="H16" s="117">
        <f>IF(ISNUMBER('Agriculture'!H13),'Agriculture'!H13/1,"")</f>
        <v/>
      </c>
      <c r="I16" s="117">
        <f>IF(ISNUMBER('Agriculture'!I13),'Agriculture'!I13/1,"")</f>
        <v/>
      </c>
      <c r="J16" s="117">
        <f>IF(ISNUMBER('Agriculture'!J13),'Agriculture'!J13/1,"")</f>
        <v/>
      </c>
      <c r="K16" s="117">
        <f>IF(ISNUMBER('Agriculture'!K13),'Agriculture'!K13/1,"")</f>
        <v/>
      </c>
      <c r="L16" s="117">
        <f>IF(ISNUMBER('Agriculture'!L13),'Agriculture'!L13/1,"")</f>
        <v/>
      </c>
      <c r="M16" s="117">
        <f>IF(ISNUMBER('Agriculture'!M13),'Agriculture'!M13/1,"")</f>
        <v/>
      </c>
      <c r="N16" s="117">
        <f>IF(ISNUMBER('Agriculture'!N13),'Agriculture'!N13/1,"")</f>
        <v/>
      </c>
      <c r="O16" s="117">
        <f>IF(ISNUMBER('Agriculture'!O13),'Agriculture'!O13/1,"")</f>
        <v/>
      </c>
      <c r="P16" s="117">
        <f>IF(ISNUMBER('Agriculture'!P13),'Agriculture'!P13/1,"")</f>
        <v/>
      </c>
      <c r="Q16" s="117">
        <f>IF(ISNUMBER('Agriculture'!Q13),'Agriculture'!Q13/1,"")</f>
        <v/>
      </c>
      <c r="R16" s="117">
        <f>IF(ISNUMBER('Agriculture'!R13),'Agriculture'!R13/1,"")</f>
        <v/>
      </c>
      <c r="S16" s="117">
        <f>IF(ISNUMBER('Agriculture'!S13),'Agriculture'!S13/1,"")</f>
        <v/>
      </c>
      <c r="T16" s="3" t="inlineStr">
        <is>
          <t>2026 vintage; current high_demand case; provisional.</t>
        </is>
      </c>
      <c r="U16" s="3" t="inlineStr">
        <is>
          <t>Agriculture row 13 → Model run → Python engine</t>
        </is>
      </c>
      <c r="V16" s="3" t="inlineStr">
        <is>
          <t>Validate inputs and reconcile against observed data.</t>
        </is>
      </c>
    </row>
    <row r="17" ht="30" customHeight="1">
      <c r="A17" s="16" t="inlineStr">
        <is>
          <t>Combined industrial diesel</t>
        </is>
      </c>
      <c r="B17" s="16" t="inlineStr">
        <is>
          <t>million L/year</t>
        </is>
      </c>
      <c r="C17" s="16" t="inlineStr">
        <is>
          <t>Model output</t>
        </is>
      </c>
      <c r="D17" s="116" t="n"/>
      <c r="E17" s="16" t="inlineStr">
        <is>
          <t>Manufacturing + mining + construction combined. [N010]</t>
        </is>
      </c>
      <c r="F17" s="117">
        <f>IF(ISNUMBER('Manufacturing'!F24),'Manufacturing'!F24/1,"")</f>
        <v/>
      </c>
      <c r="G17" s="117">
        <f>IF(ISNUMBER('Manufacturing'!G24),'Manufacturing'!G24/1,"")</f>
        <v/>
      </c>
      <c r="H17" s="117">
        <f>IF(ISNUMBER('Manufacturing'!H24),'Manufacturing'!H24/1,"")</f>
        <v/>
      </c>
      <c r="I17" s="117">
        <f>IF(ISNUMBER('Manufacturing'!I24),'Manufacturing'!I24/1,"")</f>
        <v/>
      </c>
      <c r="J17" s="117">
        <f>IF(ISNUMBER('Manufacturing'!J24),'Manufacturing'!J24/1,"")</f>
        <v/>
      </c>
      <c r="K17" s="117">
        <f>IF(ISNUMBER('Manufacturing'!K24),'Manufacturing'!K24/1,"")</f>
        <v/>
      </c>
      <c r="L17" s="117">
        <f>IF(ISNUMBER('Manufacturing'!L24),'Manufacturing'!L24/1,"")</f>
        <v/>
      </c>
      <c r="M17" s="117">
        <f>IF(ISNUMBER('Manufacturing'!M24),'Manufacturing'!M24/1,"")</f>
        <v/>
      </c>
      <c r="N17" s="117">
        <f>IF(ISNUMBER('Manufacturing'!N24),'Manufacturing'!N24/1,"")</f>
        <v/>
      </c>
      <c r="O17" s="117">
        <f>IF(ISNUMBER('Manufacturing'!O24),'Manufacturing'!O24/1,"")</f>
        <v/>
      </c>
      <c r="P17" s="117">
        <f>IF(ISNUMBER('Manufacturing'!P24),'Manufacturing'!P24/1,"")</f>
        <v/>
      </c>
      <c r="Q17" s="117">
        <f>IF(ISNUMBER('Manufacturing'!Q24),'Manufacturing'!Q24/1,"")</f>
        <v/>
      </c>
      <c r="R17" s="117">
        <f>IF(ISNUMBER('Manufacturing'!R24),'Manufacturing'!R24/1,"")</f>
        <v/>
      </c>
      <c r="S17" s="117">
        <f>IF(ISNUMBER('Manufacturing'!S24),'Manufacturing'!S24/1,"")</f>
        <v/>
      </c>
      <c r="T17" s="3" t="inlineStr">
        <is>
          <t>2026 vintage; current high_demand case; provisional.</t>
        </is>
      </c>
      <c r="U17" s="3" t="inlineStr">
        <is>
          <t>Manufacturing row 24 → Model run → Python engine</t>
        </is>
      </c>
      <c r="V17" s="3" t="inlineStr">
        <is>
          <t>Validate inputs and reconcile against observed data.</t>
        </is>
      </c>
    </row>
    <row r="18" ht="30" customHeight="1">
      <c r="A18" s="16" t="inlineStr">
        <is>
          <t>Marine diesel</t>
        </is>
      </c>
      <c r="B18" s="16" t="inlineStr">
        <is>
          <t>million L/year</t>
        </is>
      </c>
      <c r="C18" s="16" t="inlineStr">
        <is>
          <t>Model output</t>
        </is>
      </c>
      <c r="D18" s="116" t="n"/>
      <c r="E18" s="16" t="inlineStr">
        <is>
          <t>Marine diesel; 2022–23 model history unavailable. [N011]</t>
        </is>
      </c>
      <c r="F18" s="117">
        <f>IF(ISNUMBER('Other demand'!F34),'Other demand'!F34/1,"")</f>
        <v/>
      </c>
      <c r="G18" s="117">
        <f>IF(ISNUMBER('Other demand'!G34),'Other demand'!G34/1,"")</f>
        <v/>
      </c>
      <c r="H18" s="117">
        <f>IF(ISNUMBER('Other demand'!H34),'Other demand'!H34/1,"")</f>
        <v/>
      </c>
      <c r="I18" s="117">
        <f>IF(ISNUMBER('Other demand'!I34),'Other demand'!I34/1,"")</f>
        <v/>
      </c>
      <c r="J18" s="117">
        <f>IF(ISNUMBER('Other demand'!J34),'Other demand'!J34/1,"")</f>
        <v/>
      </c>
      <c r="K18" s="117">
        <f>IF(ISNUMBER('Other demand'!K34),'Other demand'!K34/1,"")</f>
        <v/>
      </c>
      <c r="L18" s="117">
        <f>IF(ISNUMBER('Other demand'!L34),'Other demand'!L34/1,"")</f>
        <v/>
      </c>
      <c r="M18" s="117">
        <f>IF(ISNUMBER('Other demand'!M34),'Other demand'!M34/1,"")</f>
        <v/>
      </c>
      <c r="N18" s="117">
        <f>IF(ISNUMBER('Other demand'!N34),'Other demand'!N34/1,"")</f>
        <v/>
      </c>
      <c r="O18" s="117">
        <f>IF(ISNUMBER('Other demand'!O34),'Other demand'!O34/1,"")</f>
        <v/>
      </c>
      <c r="P18" s="117">
        <f>IF(ISNUMBER('Other demand'!P34),'Other demand'!P34/1,"")</f>
        <v/>
      </c>
      <c r="Q18" s="117">
        <f>IF(ISNUMBER('Other demand'!Q34),'Other demand'!Q34/1,"")</f>
        <v/>
      </c>
      <c r="R18" s="117">
        <f>IF(ISNUMBER('Other demand'!R34),'Other demand'!R34/1,"")</f>
        <v/>
      </c>
      <c r="S18" s="117">
        <f>IF(ISNUMBER('Other demand'!S34),'Other demand'!S34/1,"")</f>
        <v/>
      </c>
      <c r="T18" s="3" t="inlineStr">
        <is>
          <t>2026 vintage; current high_demand case; provisional.</t>
        </is>
      </c>
      <c r="U18" s="3" t="inlineStr">
        <is>
          <t>Other demand row 34 → Model run → Python engine</t>
        </is>
      </c>
      <c r="V18" s="3" t="inlineStr">
        <is>
          <t>Validate inputs and reconcile against observed data.</t>
        </is>
      </c>
    </row>
    <row r="19" ht="30" customHeight="1">
      <c r="A19" s="16" t="inlineStr">
        <is>
          <t>Total model diesel</t>
        </is>
      </c>
      <c r="B19" s="16" t="inlineStr">
        <is>
          <t>million L/year</t>
        </is>
      </c>
      <c r="C19" s="16" t="inlineStr">
        <is>
          <t>Reporting formula</t>
        </is>
      </c>
      <c r="D19" s="116" t="n"/>
      <c r="E19" s="16" t="inlineStr">
        <is>
          <t>Sum road, OCGT, agriculture, industry and marine. [N012]</t>
        </is>
      </c>
      <c r="F19" s="117">
        <f>IF(COUNT(F14:F18)&lt;5,"",SUM(F14:F18))</f>
        <v/>
      </c>
      <c r="G19" s="117">
        <f>IF(COUNT(G14:G18)&lt;5,"",SUM(G14:G18))</f>
        <v/>
      </c>
      <c r="H19" s="117">
        <f>IF(COUNT(H14:H18)&lt;5,"",SUM(H14:H18))</f>
        <v/>
      </c>
      <c r="I19" s="117">
        <f>IF(COUNT(I14:I18)&lt;5,"",SUM(I14:I18))</f>
        <v/>
      </c>
      <c r="J19" s="117">
        <f>IF(COUNT(J14:J18)&lt;5,"",SUM(J14:J18))</f>
        <v/>
      </c>
      <c r="K19" s="117">
        <f>IF(COUNT(K14:K18)&lt;5,"",SUM(K14:K18))</f>
        <v/>
      </c>
      <c r="L19" s="117">
        <f>IF(COUNT(L14:L18)&lt;5,"",SUM(L14:L18))</f>
        <v/>
      </c>
      <c r="M19" s="117">
        <f>IF(COUNT(M14:M18)&lt;5,"",SUM(M14:M18))</f>
        <v/>
      </c>
      <c r="N19" s="117">
        <f>IF(COUNT(N14:N18)&lt;5,"",SUM(N14:N18))</f>
        <v/>
      </c>
      <c r="O19" s="117">
        <f>IF(COUNT(O14:O18)&lt;5,"",SUM(O14:O18))</f>
        <v/>
      </c>
      <c r="P19" s="117">
        <f>IF(COUNT(P14:P18)&lt;5,"",SUM(P14:P18))</f>
        <v/>
      </c>
      <c r="Q19" s="117">
        <f>IF(COUNT(Q14:Q18)&lt;5,"",SUM(Q14:Q18))</f>
        <v/>
      </c>
      <c r="R19" s="117">
        <f>IF(COUNT(R14:R18)&lt;5,"",SUM(R14:R18))</f>
        <v/>
      </c>
      <c r="S19" s="117">
        <f>IF(COUNT(S14:S18)&lt;5,"",SUM(S14:S18))</f>
        <v/>
      </c>
      <c r="T19" s="3" t="inlineStr">
        <is>
          <t>Blank if any component is missing.</t>
        </is>
      </c>
      <c r="U19" s="3" t="str"/>
      <c r="V19" s="3" t="inlineStr">
        <is>
          <t>G01/G12: reconcile domestic sales and bunkers.</t>
        </is>
      </c>
    </row>
    <row r="20" ht="30" customHeight="1">
      <c r="A20" s="16" t="inlineStr">
        <is>
          <t>Model less selected historical sales</t>
        </is>
      </c>
      <c r="B20" s="16" t="inlineStr">
        <is>
          <t>million L/year</t>
        </is>
      </c>
      <c r="C20" s="16" t="inlineStr">
        <is>
          <t>Reporting formula</t>
        </is>
      </c>
      <c r="D20" s="116" t="n"/>
      <c r="E20" s="16" t="inlineStr">
        <is>
          <t>Model minus selected sales; scope requires reconciliation. [N013]</t>
        </is>
      </c>
      <c r="F20" s="117">
        <f>IF(COUNT(F12,F19)&lt;2,"",F19-F12)</f>
        <v/>
      </c>
      <c r="G20" s="117">
        <f>IF(COUNT(G12,G19)&lt;2,"",G19-G12)</f>
        <v/>
      </c>
      <c r="H20" s="117">
        <f>IF(COUNT(H12,H19)&lt;2,"",H19-H12)</f>
        <v/>
      </c>
      <c r="I20" s="117">
        <f>IF(COUNT(I12,I19)&lt;2,"",I19-I12)</f>
        <v/>
      </c>
      <c r="J20" s="117">
        <f>IF(COUNT(J12,J19)&lt;2,"",J19-J12)</f>
        <v/>
      </c>
      <c r="K20" s="117">
        <f>IF(COUNT(K12,K19)&lt;2,"",K19-K12)</f>
        <v/>
      </c>
      <c r="L20" s="117">
        <f>IF(COUNT(L12,L19)&lt;2,"",L19-L12)</f>
        <v/>
      </c>
      <c r="M20" s="117">
        <f>IF(COUNT(M12,M19)&lt;2,"",M19-M12)</f>
        <v/>
      </c>
      <c r="N20" s="117">
        <f>IF(COUNT(N12,N19)&lt;2,"",N19-N12)</f>
        <v/>
      </c>
      <c r="O20" s="117">
        <f>IF(COUNT(O12,O19)&lt;2,"",O19-O12)</f>
        <v/>
      </c>
      <c r="P20" s="117">
        <f>IF(COUNT(P12,P19)&lt;2,"",P19-P12)</f>
        <v/>
      </c>
      <c r="Q20" s="117">
        <f>IF(COUNT(Q12,Q19)&lt;2,"",Q19-Q12)</f>
        <v/>
      </c>
      <c r="R20" s="117">
        <f>IF(COUNT(R12,R19)&lt;2,"",R19-R12)</f>
        <v/>
      </c>
      <c r="S20" s="117">
        <f>IF(COUNT(S12,S19)&lt;2,"",S19-S12)</f>
        <v/>
      </c>
      <c r="T20" s="3" t="inlineStr">
        <is>
          <t>Only matched available years.</t>
        </is>
      </c>
      <c r="U20" s="3" t="str"/>
      <c r="V20" s="3" t="inlineStr">
        <is>
          <t>G01: reconcile units, coverage and sales basis.</t>
        </is>
      </c>
    </row>
    <row r="21" ht="30" customHeight="1">
      <c r="A21" s="10" t="inlineStr">
        <is>
          <t>Manufacturing-only baseline</t>
        </is>
      </c>
      <c r="B21" s="10" t="inlineStr">
        <is>
          <t>million L/year</t>
        </is>
      </c>
      <c r="C21" s="10" t="inlineStr">
        <is>
          <t>Missing input</t>
        </is>
      </c>
      <c r="D21" s="118" t="n"/>
      <c r="E21" s="10" t="inlineStr">
        <is>
          <t>Included within industrial total; separate baseline missing. [N014]</t>
        </is>
      </c>
      <c r="F21" s="119" t="n"/>
      <c r="G21" s="119" t="n"/>
      <c r="H21" s="119" t="n"/>
      <c r="I21" s="119" t="n"/>
      <c r="J21" s="119" t="n"/>
      <c r="K21" s="119" t="n"/>
      <c r="L21" s="119" t="n"/>
      <c r="M21" s="119" t="n"/>
      <c r="N21" s="119" t="n"/>
      <c r="O21" s="119" t="n"/>
      <c r="P21" s="119" t="n"/>
      <c r="Q21" s="119" t="n"/>
      <c r="R21" s="119" t="n"/>
      <c r="S21" s="119" t="n"/>
      <c r="T21" s="3" t="inlineStr">
        <is>
          <t>No matched observed 2022+ fuel series located.</t>
        </is>
      </c>
      <c r="U21" s="3" t="inlineStr">
        <is>
          <t>https://github.com/Africa-International-Advisors/liq… [N015]</t>
        </is>
      </c>
      <c r="V21" s="3" t="inlineStr">
        <is>
          <t>G06: reconcile manufacturing subsectors and scope.</t>
        </is>
      </c>
    </row>
    <row r="22" ht="30" customHeight="1">
      <c r="A22" s="10" t="inlineStr">
        <is>
          <t>Mining-only baseline</t>
        </is>
      </c>
      <c r="B22" s="10" t="inlineStr">
        <is>
          <t>million L/year</t>
        </is>
      </c>
      <c r="C22" s="10" t="inlineStr">
        <is>
          <t>Missing input</t>
        </is>
      </c>
      <c r="D22" s="118">
        <f>IF(ISNUMBER('Mining'!D31),'Mining'!D31,"")</f>
        <v/>
      </c>
      <c r="E22" s="10" t="inlineStr">
        <is>
          <t>2021 anchor only; included within industrial total. [N016]</t>
        </is>
      </c>
      <c r="F22" s="119" t="n"/>
      <c r="G22" s="119" t="n"/>
      <c r="H22" s="119" t="n"/>
      <c r="I22" s="119" t="n"/>
      <c r="J22" s="119" t="n"/>
      <c r="K22" s="119" t="n"/>
      <c r="L22" s="119" t="n"/>
      <c r="M22" s="119" t="n"/>
      <c r="N22" s="119" t="n"/>
      <c r="O22" s="119" t="n"/>
      <c r="P22" s="119" t="n"/>
      <c r="Q22" s="119" t="n"/>
      <c r="R22" s="119" t="n"/>
      <c r="S22" s="119" t="n"/>
      <c r="T22" s="3" t="inlineStr">
        <is>
          <t>2021 anchor available; 2022+ fuel series missing.</t>
        </is>
      </c>
      <c r="U22" s="3" t="inlineStr">
        <is>
          <t>https://github.com/Africa-International-Advisors/liq… [N017]</t>
        </is>
      </c>
      <c r="V22" s="3" t="inlineStr">
        <is>
          <t>G07: verify site/end-use coverage and newer fuel data.</t>
        </is>
      </c>
    </row>
    <row r="23" ht="30" customHeight="1">
      <c r="A23" s="10" t="inlineStr">
        <is>
          <t>Private backup / other diesel</t>
        </is>
      </c>
      <c r="B23" s="10" t="inlineStr">
        <is>
          <t>million L/year</t>
        </is>
      </c>
      <c r="C23" s="10" t="inlineStr">
        <is>
          <t>Missing input</t>
        </is>
      </c>
      <c r="D23" s="118" t="n"/>
      <c r="E23" s="10" t="inlineStr">
        <is>
          <t>Baseline and sector overlap unresolved. [N018]</t>
        </is>
      </c>
      <c r="F23" s="119" t="n"/>
      <c r="G23" s="119" t="n"/>
      <c r="H23" s="119" t="n"/>
      <c r="I23" s="119" t="n"/>
      <c r="J23" s="119" t="n"/>
      <c r="K23" s="119" t="n"/>
      <c r="L23" s="119" t="n"/>
      <c r="M23" s="119" t="n"/>
      <c r="N23" s="119" t="n"/>
      <c r="O23" s="119" t="n"/>
      <c r="P23" s="119" t="n"/>
      <c r="Q23" s="119" t="n"/>
      <c r="R23" s="119" t="n"/>
      <c r="S23" s="119" t="n"/>
      <c r="T23" s="3" t="inlineStr">
        <is>
          <t>Separate coverage and baseline unresolved.</t>
        </is>
      </c>
      <c r="U23" s="3" t="str"/>
      <c r="V23" s="3" t="inlineStr">
        <is>
          <t>G09: source fuel/generation evidence; count once.</t>
        </is>
      </c>
    </row>
    <row r="24" ht="8" customHeight="1">
      <c r="A24" s="3" t="n"/>
      <c r="B24" s="3" t="n"/>
      <c r="C24" s="3" t="n"/>
      <c r="D24" s="3" t="n"/>
      <c r="E24" s="3" t="n"/>
      <c r="F24" s="6" t="n"/>
      <c r="G24" s="6" t="n"/>
      <c r="H24" s="6" t="n"/>
      <c r="I24" s="6" t="n"/>
      <c r="J24" s="6" t="n"/>
      <c r="K24" s="6" t="n"/>
      <c r="L24" s="6" t="n"/>
      <c r="M24" s="6" t="n"/>
      <c r="N24" s="6" t="n"/>
      <c r="O24" s="6" t="n"/>
      <c r="P24" s="6" t="n"/>
      <c r="Q24" s="6" t="n"/>
      <c r="R24" s="6" t="n"/>
      <c r="S24" s="6" t="n"/>
      <c r="T24" s="3" t="n"/>
      <c r="U24" s="3" t="n"/>
      <c r="V24" s="3" t="n"/>
    </row>
    <row r="25" ht="28" customHeight="1">
      <c r="A25" s="12" t="inlineStr">
        <is>
          <t>Jet: national product comparison</t>
        </is>
      </c>
      <c r="B25" s="11" t="n"/>
      <c r="C25" s="11" t="n"/>
      <c r="D25" s="11" t="n"/>
      <c r="E25" s="11" t="n"/>
      <c r="F25" s="25" t="n"/>
      <c r="G25" s="25" t="n"/>
      <c r="H25" s="25" t="n"/>
      <c r="I25" s="25" t="n"/>
      <c r="J25" s="25" t="n"/>
      <c r="K25" s="25" t="n"/>
      <c r="L25" s="25" t="n"/>
      <c r="M25" s="25" t="n"/>
      <c r="N25" s="25" t="n"/>
      <c r="O25" s="25" t="n"/>
      <c r="P25" s="25" t="n"/>
      <c r="Q25" s="25" t="n"/>
      <c r="R25" s="25" t="n"/>
      <c r="S25" s="25" t="n"/>
      <c r="T25" s="11" t="n"/>
      <c r="U25" s="11" t="n"/>
      <c r="V25" s="11" t="n"/>
    </row>
    <row r="26" ht="30" customHeight="1">
      <c r="A26" s="65" t="inlineStr">
        <is>
          <t>Selected historical jet sales</t>
        </is>
      </c>
      <c r="B26" s="65" t="inlineStr">
        <is>
          <t>million L/year</t>
        </is>
      </c>
      <c r="C26" s="65" t="inlineStr">
        <is>
          <t>Linked observation</t>
        </is>
      </c>
      <c r="D26" s="114" t="n"/>
      <c r="E26" s="65" t="inlineStr">
        <is>
          <t>Selected historical sales; see Source selection. [N019]</t>
        </is>
      </c>
      <c r="F26" s="115">
        <f>IF(ISNUMBER('Source selection'!F15),'Source selection'!F15,"")</f>
        <v/>
      </c>
      <c r="G26" s="115">
        <f>IF(ISNUMBER('Source selection'!F16),'Source selection'!F16,"")</f>
        <v/>
      </c>
      <c r="H26" s="115">
        <f>IF(ISNUMBER('Source selection'!F17),'Source selection'!F17,"")</f>
        <v/>
      </c>
      <c r="I26" s="115">
        <f>IF(ISNUMBER('Source selection'!F18),'Source selection'!F18,"")</f>
        <v/>
      </c>
      <c r="J26" s="115">
        <f>IF(ISNUMBER('Source selection'!F19),'Source selection'!F19,"")</f>
        <v/>
      </c>
      <c r="K26" s="115" t="n"/>
      <c r="L26" s="115" t="n"/>
      <c r="M26" s="115" t="n"/>
      <c r="N26" s="115" t="n"/>
      <c r="O26" s="115" t="n"/>
      <c r="P26" s="115" t="n"/>
      <c r="Q26" s="115" t="n"/>
      <c r="R26" s="115" t="n"/>
      <c r="S26" s="115" t="n"/>
      <c r="T26" s="3" t="inlineStr">
        <is>
          <t>Working comparator; not approved</t>
        </is>
      </c>
      <c r="U26" s="3" t="inlineStr">
        <is>
          <t>Source selection → Evidence</t>
        </is>
      </c>
      <c r="V26" s="3" t="inlineStr">
        <is>
          <t>Manish reconciles scope/revisions; Nigel accepts source.</t>
        </is>
      </c>
    </row>
    <row r="27" ht="30" customHeight="1">
      <c r="A27" s="65" t="inlineStr">
        <is>
          <t>Historical source / status</t>
        </is>
      </c>
      <c r="B27" s="65" t="inlineStr">
        <is>
          <t>text</t>
        </is>
      </c>
      <c r="C27" s="65" t="inlineStr">
        <is>
          <t>Selection status</t>
        </is>
      </c>
      <c r="D27" s="114" t="n"/>
      <c r="E27" s="65" t="inlineStr">
        <is>
          <t>Selected source, or unresolved when unavailable. [N020]</t>
        </is>
      </c>
      <c r="F27" s="115">
        <f>IF(ISNUMBER('Source selection'!F15),'Source selection'!E15,"Unresolved")</f>
        <v/>
      </c>
      <c r="G27" s="115">
        <f>IF(ISNUMBER('Source selection'!F16),'Source selection'!E16,"Unresolved")</f>
        <v/>
      </c>
      <c r="H27" s="115">
        <f>IF(ISNUMBER('Source selection'!F17),'Source selection'!E17,"Unresolved")</f>
        <v/>
      </c>
      <c r="I27" s="115">
        <f>IF(ISNUMBER('Source selection'!F18),'Source selection'!E18,"Unresolved")</f>
        <v/>
      </c>
      <c r="J27" s="115">
        <f>IF(ISNUMBER('Source selection'!F19),'Source selection'!E19,"Unresolved")</f>
        <v/>
      </c>
      <c r="K27" s="115" t="n"/>
      <c r="L27" s="115" t="n"/>
      <c r="M27" s="115" t="n"/>
      <c r="N27" s="115" t="n"/>
      <c r="O27" s="115" t="n"/>
      <c r="P27" s="115" t="n"/>
      <c r="Q27" s="115" t="n"/>
      <c r="R27" s="115" t="n"/>
      <c r="S27" s="115" t="n"/>
      <c r="T27" s="3" t="inlineStr">
        <is>
          <t>Not an additional demand series</t>
        </is>
      </c>
      <c r="U27" s="3" t="inlineStr">
        <is>
          <t>Source selection</t>
        </is>
      </c>
      <c r="V27" s="3" t="inlineStr">
        <is>
          <t>Review selected source before calibration.</t>
        </is>
      </c>
    </row>
    <row r="28" ht="30" customHeight="1">
      <c r="A28" s="16" t="inlineStr">
        <is>
          <t>Current model jet</t>
        </is>
      </c>
      <c r="B28" s="16" t="inlineStr">
        <is>
          <t>million L/year</t>
        </is>
      </c>
      <c r="C28" s="16" t="inlineStr">
        <is>
          <t>Model output</t>
        </is>
      </c>
      <c r="D28" s="116" t="n"/>
      <c r="E28" s="16" t="inlineStr">
        <is>
          <t>GDP/capita and passenger regression. [N021]</t>
        </is>
      </c>
      <c r="F28" s="117">
        <f>IF(ISNUMBER('Other demand'!F20),'Other demand'!F20/1,"")</f>
        <v/>
      </c>
      <c r="G28" s="117">
        <f>IF(ISNUMBER('Other demand'!G20),'Other demand'!G20/1,"")</f>
        <v/>
      </c>
      <c r="H28" s="117">
        <f>IF(ISNUMBER('Other demand'!H20),'Other demand'!H20/1,"")</f>
        <v/>
      </c>
      <c r="I28" s="117">
        <f>IF(ISNUMBER('Other demand'!I20),'Other demand'!I20/1,"")</f>
        <v/>
      </c>
      <c r="J28" s="117">
        <f>IF(ISNUMBER('Other demand'!J20),'Other demand'!J20/1,"")</f>
        <v/>
      </c>
      <c r="K28" s="117">
        <f>IF(ISNUMBER('Other demand'!K20),'Other demand'!K20/1,"")</f>
        <v/>
      </c>
      <c r="L28" s="117">
        <f>IF(ISNUMBER('Other demand'!L20),'Other demand'!L20/1,"")</f>
        <v/>
      </c>
      <c r="M28" s="117">
        <f>IF(ISNUMBER('Other demand'!M20),'Other demand'!M20/1,"")</f>
        <v/>
      </c>
      <c r="N28" s="117">
        <f>IF(ISNUMBER('Other demand'!N20),'Other demand'!N20/1,"")</f>
        <v/>
      </c>
      <c r="O28" s="117">
        <f>IF(ISNUMBER('Other demand'!O20),'Other demand'!O20/1,"")</f>
        <v/>
      </c>
      <c r="P28" s="117">
        <f>IF(ISNUMBER('Other demand'!P20),'Other demand'!P20/1,"")</f>
        <v/>
      </c>
      <c r="Q28" s="117">
        <f>IF(ISNUMBER('Other demand'!Q20),'Other demand'!Q20/1,"")</f>
        <v/>
      </c>
      <c r="R28" s="117">
        <f>IF(ISNUMBER('Other demand'!R20),'Other demand'!R20/1,"")</f>
        <v/>
      </c>
      <c r="S28" s="117">
        <f>IF(ISNUMBER('Other demand'!S20),'Other demand'!S20/1,"")</f>
        <v/>
      </c>
      <c r="T28" s="3" t="inlineStr">
        <is>
          <t>2026 vintage; current high_demand case; provisional.</t>
        </is>
      </c>
      <c r="U28" s="3" t="inlineStr">
        <is>
          <t>Other demand row 20 → Model run → Python engine</t>
        </is>
      </c>
      <c r="V28" s="3" t="inlineStr">
        <is>
          <t>Validate inputs and reconcile against observed data.</t>
        </is>
      </c>
    </row>
    <row r="29" ht="30" customHeight="1">
      <c r="A29" s="16" t="inlineStr">
        <is>
          <t>Model less selected historical sales</t>
        </is>
      </c>
      <c r="B29" s="16" t="inlineStr">
        <is>
          <t>million L/year</t>
        </is>
      </c>
      <c r="C29" s="16" t="inlineStr">
        <is>
          <t>Reporting formula</t>
        </is>
      </c>
      <c r="D29" s="116" t="n"/>
      <c r="E29" s="16" t="inlineStr">
        <is>
          <t>Model minus selected sales; reconcile coverage. [N022]</t>
        </is>
      </c>
      <c r="F29" s="117">
        <f>IF(COUNT(F26,F28)&lt;2,"",F28-F26)</f>
        <v/>
      </c>
      <c r="G29" s="117">
        <f>IF(COUNT(G26,G28)&lt;2,"",G28-G26)</f>
        <v/>
      </c>
      <c r="H29" s="117">
        <f>IF(COUNT(H26,H28)&lt;2,"",H28-H26)</f>
        <v/>
      </c>
      <c r="I29" s="117">
        <f>IF(COUNT(I26,I28)&lt;2,"",I28-I26)</f>
        <v/>
      </c>
      <c r="J29" s="117">
        <f>IF(COUNT(J26,J28)&lt;2,"",J28-J26)</f>
        <v/>
      </c>
      <c r="K29" s="117">
        <f>IF(COUNT(K26,K28)&lt;2,"",K28-K26)</f>
        <v/>
      </c>
      <c r="L29" s="117">
        <f>IF(COUNT(L26,L28)&lt;2,"",L28-L26)</f>
        <v/>
      </c>
      <c r="M29" s="117">
        <f>IF(COUNT(M26,M28)&lt;2,"",M28-M26)</f>
        <v/>
      </c>
      <c r="N29" s="117">
        <f>IF(COUNT(N26,N28)&lt;2,"",N28-N26)</f>
        <v/>
      </c>
      <c r="O29" s="117">
        <f>IF(COUNT(O26,O28)&lt;2,"",O28-O26)</f>
        <v/>
      </c>
      <c r="P29" s="117">
        <f>IF(COUNT(P26,P28)&lt;2,"",P28-P26)</f>
        <v/>
      </c>
      <c r="Q29" s="117">
        <f>IF(COUNT(Q26,Q28)&lt;2,"",Q28-Q26)</f>
        <v/>
      </c>
      <c r="R29" s="117">
        <f>IF(COUNT(R26,R28)&lt;2,"",R28-R26)</f>
        <v/>
      </c>
      <c r="S29" s="117">
        <f>IF(COUNT(S26,S28)&lt;2,"",S28-S26)</f>
        <v/>
      </c>
      <c r="T29" s="3" t="inlineStr">
        <is>
          <t>Only where both values exist.</t>
        </is>
      </c>
      <c r="U29" s="3" t="str"/>
      <c r="V29" s="3" t="inlineStr">
        <is>
          <t>G10: calibrate aircraft/airport coverage.</t>
        </is>
      </c>
    </row>
    <row r="30" ht="8" customHeight="1">
      <c r="A30" s="3" t="n"/>
      <c r="B30" s="3" t="n"/>
      <c r="C30" s="3" t="n"/>
      <c r="D30" s="3" t="n"/>
      <c r="E30" s="3" t="n"/>
      <c r="F30" s="6" t="n"/>
      <c r="G30" s="6" t="n"/>
      <c r="H30" s="6" t="n"/>
      <c r="I30" s="6" t="n"/>
      <c r="J30" s="6" t="n"/>
      <c r="K30" s="6" t="n"/>
      <c r="L30" s="6" t="n"/>
      <c r="M30" s="6" t="n"/>
      <c r="N30" s="6" t="n"/>
      <c r="O30" s="6" t="n"/>
      <c r="P30" s="6" t="n"/>
      <c r="Q30" s="6" t="n"/>
      <c r="R30" s="6" t="n"/>
      <c r="S30" s="6" t="n"/>
      <c r="T30" s="3" t="n"/>
      <c r="U30" s="3" t="n"/>
      <c r="V30" s="3" t="n"/>
    </row>
    <row r="31" ht="28" customHeight="1">
      <c r="A31" s="12" t="inlineStr">
        <is>
          <t>Marine fuel oil: scope is narrower than total national fuel oil</t>
        </is>
      </c>
      <c r="B31" s="11" t="n"/>
      <c r="C31" s="11" t="n"/>
      <c r="D31" s="11" t="n"/>
      <c r="E31" s="11" t="n"/>
      <c r="F31" s="25" t="n"/>
      <c r="G31" s="25" t="n"/>
      <c r="H31" s="25" t="n"/>
      <c r="I31" s="25" t="n"/>
      <c r="J31" s="25" t="n"/>
      <c r="K31" s="25" t="n"/>
      <c r="L31" s="25" t="n"/>
      <c r="M31" s="25" t="n"/>
      <c r="N31" s="25" t="n"/>
      <c r="O31" s="25" t="n"/>
      <c r="P31" s="25" t="n"/>
      <c r="Q31" s="25" t="n"/>
      <c r="R31" s="25" t="n"/>
      <c r="S31" s="25" t="n"/>
      <c r="T31" s="11" t="n"/>
      <c r="U31" s="11" t="n"/>
      <c r="V31" s="11" t="n"/>
    </row>
    <row r="32" ht="30" customHeight="1">
      <c r="A32" s="65" t="inlineStr">
        <is>
          <t>Selected historical fuel oil sales</t>
        </is>
      </c>
      <c r="B32" s="65" t="inlineStr">
        <is>
          <t>million L/year</t>
        </is>
      </c>
      <c r="C32" s="65" t="inlineStr">
        <is>
          <t>Linked observation</t>
        </is>
      </c>
      <c r="D32" s="114" t="n"/>
      <c r="E32" s="65" t="inlineStr">
        <is>
          <t>National fuel-oil sales; includes more than marine. [N023]</t>
        </is>
      </c>
      <c r="F32" s="115">
        <f>IF(ISNUMBER('Source selection'!F20),'Source selection'!F20,"")</f>
        <v/>
      </c>
      <c r="G32" s="115">
        <f>IF(ISNUMBER('Source selection'!F21),'Source selection'!F21,"")</f>
        <v/>
      </c>
      <c r="H32" s="115">
        <f>IF(ISNUMBER('Source selection'!F22),'Source selection'!F22,"")</f>
        <v/>
      </c>
      <c r="I32" s="115">
        <f>IF(ISNUMBER('Source selection'!F23),'Source selection'!F23,"")</f>
        <v/>
      </c>
      <c r="J32" s="115">
        <f>IF(ISNUMBER('Source selection'!F24),'Source selection'!F24,"")</f>
        <v/>
      </c>
      <c r="K32" s="115" t="n"/>
      <c r="L32" s="115" t="n"/>
      <c r="M32" s="115" t="n"/>
      <c r="N32" s="115" t="n"/>
      <c r="O32" s="115" t="n"/>
      <c r="P32" s="115" t="n"/>
      <c r="Q32" s="115" t="n"/>
      <c r="R32" s="115" t="n"/>
      <c r="S32" s="115" t="n"/>
      <c r="T32" s="3" t="inlineStr">
        <is>
          <t>Working comparator; not approved</t>
        </is>
      </c>
      <c r="U32" s="3" t="inlineStr">
        <is>
          <t>Source selection → Evidence</t>
        </is>
      </c>
      <c r="V32" s="3" t="inlineStr">
        <is>
          <t>Manish reconciles scope/revisions; Nigel accepts source.</t>
        </is>
      </c>
    </row>
    <row r="33" ht="30" customHeight="1">
      <c r="A33" s="16" t="inlineStr">
        <is>
          <t>Current model marine fuel oil</t>
        </is>
      </c>
      <c r="B33" s="16" t="inlineStr">
        <is>
          <t>million L/year</t>
        </is>
      </c>
      <c r="C33" s="16" t="inlineStr">
        <is>
          <t>Model output</t>
        </is>
      </c>
      <c r="D33" s="116" t="n"/>
      <c r="E33" s="16" t="inlineStr">
        <is>
          <t>Marine fuel oil only; narrower than national sales. [N024]</t>
        </is>
      </c>
      <c r="F33" s="117">
        <f>IF(ISNUMBER('Other demand'!F35),'Other demand'!F35/1,"")</f>
        <v/>
      </c>
      <c r="G33" s="117">
        <f>IF(ISNUMBER('Other demand'!G35),'Other demand'!G35/1,"")</f>
        <v/>
      </c>
      <c r="H33" s="117">
        <f>IF(ISNUMBER('Other demand'!H35),'Other demand'!H35/1,"")</f>
        <v/>
      </c>
      <c r="I33" s="117">
        <f>IF(ISNUMBER('Other demand'!I35),'Other demand'!I35/1,"")</f>
        <v/>
      </c>
      <c r="J33" s="117">
        <f>IF(ISNUMBER('Other demand'!J35),'Other demand'!J35/1,"")</f>
        <v/>
      </c>
      <c r="K33" s="117">
        <f>IF(ISNUMBER('Other demand'!K35),'Other demand'!K35/1,"")</f>
        <v/>
      </c>
      <c r="L33" s="117">
        <f>IF(ISNUMBER('Other demand'!L35),'Other demand'!L35/1,"")</f>
        <v/>
      </c>
      <c r="M33" s="117">
        <f>IF(ISNUMBER('Other demand'!M35),'Other demand'!M35/1,"")</f>
        <v/>
      </c>
      <c r="N33" s="117">
        <f>IF(ISNUMBER('Other demand'!N35),'Other demand'!N35/1,"")</f>
        <v/>
      </c>
      <c r="O33" s="117">
        <f>IF(ISNUMBER('Other demand'!O35),'Other demand'!O35/1,"")</f>
        <v/>
      </c>
      <c r="P33" s="117">
        <f>IF(ISNUMBER('Other demand'!P35),'Other demand'!P35/1,"")</f>
        <v/>
      </c>
      <c r="Q33" s="117">
        <f>IF(ISNUMBER('Other demand'!Q35),'Other demand'!Q35/1,"")</f>
        <v/>
      </c>
      <c r="R33" s="117">
        <f>IF(ISNUMBER('Other demand'!R35),'Other demand'!R35/1,"")</f>
        <v/>
      </c>
      <c r="S33" s="117">
        <f>IF(ISNUMBER('Other demand'!S35),'Other demand'!S35/1,"")</f>
        <v/>
      </c>
      <c r="T33" s="3" t="inlineStr">
        <is>
          <t>2026 vintage; current high_demand case; provisional.</t>
        </is>
      </c>
      <c r="U33" s="3" t="inlineStr">
        <is>
          <t>Other demand row 35 → Model run → Python engine</t>
        </is>
      </c>
      <c r="V33" s="3" t="inlineStr">
        <is>
          <t>Validate inputs and reconcile against observed data.</t>
        </is>
      </c>
    </row>
    <row r="34" ht="8" customHeight="1">
      <c r="A34" s="3" t="n"/>
      <c r="B34" s="3" t="n"/>
      <c r="C34" s="3" t="n"/>
      <c r="D34" s="3" t="n"/>
      <c r="E34" s="3" t="n"/>
      <c r="F34" s="6" t="n"/>
      <c r="G34" s="6" t="n"/>
      <c r="H34" s="6" t="n"/>
      <c r="I34" s="6" t="n"/>
      <c r="J34" s="6" t="n"/>
      <c r="K34" s="6" t="n"/>
      <c r="L34" s="6" t="n"/>
      <c r="M34" s="6" t="n"/>
      <c r="N34" s="6" t="n"/>
      <c r="O34" s="6" t="n"/>
      <c r="P34" s="6" t="n"/>
      <c r="Q34" s="6" t="n"/>
      <c r="R34" s="6" t="n"/>
      <c r="S34" s="6" t="n"/>
      <c r="T34" s="3" t="n"/>
      <c r="U34" s="3" t="n"/>
      <c r="V34" s="3" t="n"/>
    </row>
    <row r="35" ht="30" customHeight="1">
      <c r="A35" s="10" t="inlineStr">
        <is>
          <t>Baseline selection</t>
        </is>
      </c>
      <c r="B35" s="10" t="inlineStr">
        <is>
          <t>decision</t>
        </is>
      </c>
      <c r="C35" s="10" t="inlineStr">
        <is>
          <t>Missing input</t>
        </is>
      </c>
      <c r="D35" s="118" t="n"/>
      <c r="E35" s="10" t="inlineStr">
        <is>
          <t>Historical comparator selection is explicit on Source selection.… [N025]</t>
        </is>
      </c>
      <c r="F35" s="119" t="n"/>
      <c r="G35" s="119" t="n"/>
      <c r="H35" s="119" t="n"/>
      <c r="I35" s="119" t="n"/>
      <c r="J35" s="119" t="n"/>
      <c r="K35" s="119" t="n"/>
      <c r="L35" s="119" t="n"/>
      <c r="M35" s="119" t="n"/>
      <c r="N35" s="119" t="n"/>
      <c r="O35" s="119" t="n"/>
      <c r="P35" s="119" t="n"/>
      <c r="Q35" s="119" t="n"/>
      <c r="R35" s="119" t="n"/>
      <c r="S35" s="119" t="n"/>
      <c r="T35" s="3" t="inlineStr">
        <is>
          <t>Review before calibration.</t>
        </is>
      </c>
      <c r="U35" s="3" t="str"/>
      <c r="V35" s="3" t="inlineStr">
        <is>
          <t>Nigel selects baseline after Manish reconciliation.</t>
        </is>
      </c>
    </row>
    <row r="36" ht="30" customHeight="1">
      <c r="A36" s="65" t="inlineStr">
        <is>
          <t>Latest partial periods</t>
        </is>
      </c>
      <c r="B36" s="65" t="inlineStr">
        <is>
          <t>reading note</t>
        </is>
      </c>
      <c r="C36" s="65" t="inlineStr">
        <is>
          <t>Evidence note</t>
        </is>
      </c>
      <c r="D36" s="114" t="n"/>
      <c r="E36" s="65" t="inlineStr">
        <is>
          <t>Full annual observations occupy year columns. A separate D value… [N026]</t>
        </is>
      </c>
      <c r="F36" s="115" t="n"/>
      <c r="G36" s="115" t="n"/>
      <c r="H36" s="115" t="n"/>
      <c r="I36" s="115" t="n"/>
      <c r="J36" s="115" t="n"/>
      <c r="K36" s="115" t="n"/>
      <c r="L36" s="115" t="n"/>
      <c r="M36" s="115" t="n"/>
      <c r="N36" s="115" t="n"/>
      <c r="O36" s="115" t="n"/>
      <c r="P36" s="115" t="n"/>
      <c r="Q36" s="115" t="n"/>
      <c r="R36" s="115" t="n"/>
      <c r="S36" s="115" t="n"/>
      <c r="T36" s="3" t="inlineStr">
        <is>
          <t>FY OCGT explicitly uses year ending March.</t>
        </is>
      </c>
      <c r="U36" s="3" t="str"/>
      <c r="V36" s="3" t="inlineStr">
        <is>
          <t>Do not annualise partial 2026 observations silently.</t>
        </is>
      </c>
    </row>
    <row r="37" ht="30" customHeight="1">
      <c r="A37" s="65" t="inlineStr">
        <is>
          <t>Run provenance</t>
        </is>
      </c>
      <c r="B37" s="65" t="inlineStr">
        <is>
          <t>record</t>
        </is>
      </c>
      <c r="C37" s="65" t="inlineStr">
        <is>
          <t>Evidence note</t>
        </is>
      </c>
      <c r="D37" s="114" t="n"/>
      <c r="E37" s="65" t="inlineStr">
        <is>
          <t>Commit 8c69f8333192483f19cd80911cb90fcd0943eb6b; vintage 2026;… [N027]</t>
        </is>
      </c>
      <c r="F37" s="115" t="n"/>
      <c r="G37" s="115" t="n"/>
      <c r="H37" s="115" t="n"/>
      <c r="I37" s="115" t="n"/>
      <c r="J37" s="115" t="n"/>
      <c r="K37" s="115" t="n"/>
      <c r="L37" s="115" t="n"/>
      <c r="M37" s="115" t="n"/>
      <c r="N37" s="115" t="n"/>
      <c r="O37" s="115" t="n"/>
      <c r="P37" s="115" t="n"/>
      <c r="Q37" s="115" t="n"/>
      <c r="R37" s="115" t="n"/>
      <c r="S37" s="115" t="n"/>
      <c r="T37" s="3" t="inlineStr">
        <is>
          <t>54 open governance exceptions at preparation.</t>
        </is>
      </c>
      <c r="U37" s="3" t="inlineStr">
        <is>
          <t>https://github.com/Africa-International-Advisors/liq… [N028]</t>
        </is>
      </c>
      <c r="V37" s="3" t="inlineStr">
        <is>
          <t>Outputs remain provisional.</t>
        </is>
      </c>
    </row>
    <row r="38" ht="8" customHeight="1">
      <c r="A38" s="3" t="n"/>
      <c r="B38" s="3" t="n"/>
      <c r="C38" s="3" t="n"/>
      <c r="D38" s="3" t="n"/>
      <c r="E38" s="3" t="n"/>
      <c r="F38" s="6" t="n"/>
      <c r="G38" s="6" t="n"/>
      <c r="H38" s="6" t="n"/>
      <c r="I38" s="6" t="n"/>
      <c r="J38" s="6" t="n"/>
      <c r="K38" s="6" t="n"/>
      <c r="L38" s="6" t="n"/>
      <c r="M38" s="6" t="n"/>
      <c r="N38" s="6" t="n"/>
      <c r="O38" s="6" t="n"/>
      <c r="P38" s="6" t="n"/>
      <c r="Q38" s="6" t="n"/>
      <c r="R38" s="6" t="n"/>
      <c r="S38" s="6" t="n"/>
      <c r="T38" s="3" t="n"/>
      <c r="U38" s="3" t="n"/>
      <c r="V38" s="3" t="n"/>
    </row>
    <row r="39" ht="8" customHeight="1">
      <c r="A39" s="3" t="n"/>
      <c r="B39" s="3" t="n"/>
      <c r="C39" s="3" t="n"/>
      <c r="D39" s="3" t="n"/>
      <c r="E39" s="3" t="n"/>
      <c r="F39" s="6" t="n"/>
      <c r="G39" s="6" t="n"/>
      <c r="H39" s="6" t="n"/>
      <c r="I39" s="6" t="n"/>
      <c r="J39" s="6" t="n"/>
      <c r="K39" s="6" t="n"/>
      <c r="L39" s="6" t="n"/>
      <c r="M39" s="6" t="n"/>
      <c r="N39" s="6" t="n"/>
      <c r="O39" s="6" t="n"/>
      <c r="P39" s="6" t="n"/>
      <c r="Q39" s="6" t="n"/>
      <c r="R39" s="6" t="n"/>
      <c r="S39" s="6" t="n"/>
      <c r="T39" s="3" t="n"/>
      <c r="U39" s="3" t="n"/>
      <c r="V39" s="3" t="n"/>
    </row>
    <row r="40" ht="8" customHeight="1">
      <c r="A40" s="3" t="n"/>
      <c r="B40" s="3" t="n"/>
      <c r="C40" s="3" t="n"/>
      <c r="D40" s="3" t="n"/>
      <c r="E40" s="3" t="n"/>
      <c r="F40" s="6" t="n"/>
      <c r="G40" s="6" t="n"/>
      <c r="H40" s="6" t="n"/>
      <c r="I40" s="6" t="n"/>
      <c r="J40" s="6" t="n"/>
      <c r="K40" s="6" t="n"/>
      <c r="L40" s="6" t="n"/>
      <c r="M40" s="6" t="n"/>
      <c r="N40" s="6" t="n"/>
      <c r="O40" s="6" t="n"/>
      <c r="P40" s="6" t="n"/>
      <c r="Q40" s="6" t="n"/>
      <c r="R40" s="6" t="n"/>
      <c r="S40" s="6" t="n"/>
      <c r="T40" s="3" t="n"/>
      <c r="U40" s="3" t="n"/>
      <c r="V40" s="3" t="n"/>
    </row>
    <row r="41" ht="8" customHeight="1">
      <c r="A41" s="3" t="n"/>
      <c r="B41" s="3" t="n"/>
      <c r="C41" s="3" t="n"/>
      <c r="D41" s="3" t="n"/>
      <c r="E41" s="3" t="n"/>
      <c r="F41" s="6" t="n"/>
      <c r="G41" s="6" t="n"/>
      <c r="H41" s="6" t="n"/>
      <c r="I41" s="6" t="n"/>
      <c r="J41" s="6" t="n"/>
      <c r="K41" s="6" t="n"/>
      <c r="L41" s="6" t="n"/>
      <c r="M41" s="6" t="n"/>
      <c r="N41" s="6" t="n"/>
      <c r="O41" s="6" t="n"/>
      <c r="P41" s="6" t="n"/>
      <c r="Q41" s="6" t="n"/>
      <c r="R41" s="6" t="n"/>
      <c r="S41" s="6" t="n"/>
      <c r="T41" s="3" t="n"/>
      <c r="U41" s="3" t="n"/>
      <c r="V41" s="3" t="n"/>
    </row>
    <row r="42" ht="8" customHeight="1">
      <c r="A42" s="3" t="n"/>
      <c r="B42" s="3" t="n"/>
      <c r="C42" s="3" t="n"/>
      <c r="D42" s="3" t="n"/>
      <c r="E42" s="3" t="n"/>
      <c r="F42" s="6" t="n"/>
      <c r="G42" s="6" t="n"/>
      <c r="H42" s="6" t="n"/>
      <c r="I42" s="6" t="n"/>
      <c r="J42" s="6" t="n"/>
      <c r="K42" s="6" t="n"/>
      <c r="L42" s="6" t="n"/>
      <c r="M42" s="6" t="n"/>
      <c r="N42" s="6" t="n"/>
      <c r="O42" s="6" t="n"/>
      <c r="P42" s="6" t="n"/>
      <c r="Q42" s="6" t="n"/>
      <c r="R42" s="6" t="n"/>
      <c r="S42" s="6" t="n"/>
      <c r="T42" s="3" t="n"/>
      <c r="U42" s="3" t="n"/>
      <c r="V42" s="3" t="n"/>
    </row>
    <row r="43" ht="8" customHeight="1">
      <c r="A43" s="3" t="n"/>
      <c r="B43" s="3" t="n"/>
      <c r="C43" s="3" t="n"/>
      <c r="D43" s="3" t="n"/>
      <c r="E43" s="3" t="n"/>
      <c r="F43" s="6" t="n"/>
      <c r="G43" s="6" t="n"/>
      <c r="H43" s="6" t="n"/>
      <c r="I43" s="6" t="n"/>
      <c r="J43" s="6" t="n"/>
      <c r="K43" s="6" t="n"/>
      <c r="L43" s="6" t="n"/>
      <c r="M43" s="6" t="n"/>
      <c r="N43" s="6" t="n"/>
      <c r="O43" s="6" t="n"/>
      <c r="P43" s="6" t="n"/>
      <c r="Q43" s="6" t="n"/>
      <c r="R43" s="6" t="n"/>
      <c r="S43" s="6" t="n"/>
      <c r="T43" s="3" t="n"/>
      <c r="U43" s="3" t="n"/>
      <c r="V43" s="3" t="n"/>
    </row>
    <row r="44" ht="8" customHeight="1">
      <c r="A44" s="3" t="n"/>
      <c r="B44" s="3" t="n"/>
      <c r="C44" s="3" t="n"/>
      <c r="D44" s="3" t="n"/>
      <c r="E44" s="3" t="n"/>
      <c r="F44" s="6" t="n"/>
      <c r="G44" s="6" t="n"/>
      <c r="H44" s="6" t="n"/>
      <c r="I44" s="6" t="n"/>
      <c r="J44" s="6" t="n"/>
      <c r="K44" s="6" t="n"/>
      <c r="L44" s="6" t="n"/>
      <c r="M44" s="6" t="n"/>
      <c r="N44" s="6" t="n"/>
      <c r="O44" s="6" t="n"/>
      <c r="P44" s="6" t="n"/>
      <c r="Q44" s="6" t="n"/>
      <c r="R44" s="6" t="n"/>
      <c r="S44" s="6" t="n"/>
      <c r="T44" s="3" t="n"/>
      <c r="U44" s="3" t="n"/>
      <c r="V44" s="3" t="n"/>
    </row>
    <row r="45" ht="8" customHeight="1">
      <c r="A45" s="3" t="n"/>
      <c r="B45" s="3" t="n"/>
      <c r="C45" s="3" t="n"/>
      <c r="D45" s="3" t="n"/>
      <c r="E45" s="3" t="n"/>
      <c r="F45" s="6" t="n"/>
      <c r="G45" s="6" t="n"/>
      <c r="H45" s="6" t="n"/>
      <c r="I45" s="6" t="n"/>
      <c r="J45" s="6" t="n"/>
      <c r="K45" s="6" t="n"/>
      <c r="L45" s="6" t="n"/>
      <c r="M45" s="6" t="n"/>
      <c r="N45" s="6" t="n"/>
      <c r="O45" s="6" t="n"/>
      <c r="P45" s="6" t="n"/>
      <c r="Q45" s="6" t="n"/>
      <c r="R45" s="6" t="n"/>
      <c r="S45" s="6" t="n"/>
      <c r="T45" s="3" t="n"/>
      <c r="U45" s="3" t="n"/>
      <c r="V45" s="3" t="n"/>
    </row>
    <row r="46" ht="8" customHeight="1">
      <c r="A46" s="3" t="n"/>
      <c r="B46" s="3" t="n"/>
      <c r="C46" s="3" t="n"/>
      <c r="D46" s="3" t="n"/>
      <c r="E46" s="3" t="n"/>
      <c r="F46" s="6" t="n"/>
      <c r="G46" s="6" t="n"/>
      <c r="H46" s="6" t="n"/>
      <c r="I46" s="6" t="n"/>
      <c r="J46" s="6" t="n"/>
      <c r="K46" s="6" t="n"/>
      <c r="L46" s="6" t="n"/>
      <c r="M46" s="6" t="n"/>
      <c r="N46" s="6" t="n"/>
      <c r="O46" s="6" t="n"/>
      <c r="P46" s="6" t="n"/>
      <c r="Q46" s="6" t="n"/>
      <c r="R46" s="6" t="n"/>
      <c r="S46" s="6" t="n"/>
      <c r="T46" s="3" t="n"/>
      <c r="U46" s="3" t="n"/>
      <c r="V46" s="3" t="n"/>
    </row>
    <row r="47" ht="8" customHeight="1">
      <c r="A47" s="3" t="n"/>
      <c r="B47" s="3" t="n"/>
      <c r="C47" s="3" t="n"/>
      <c r="D47" s="3" t="n"/>
      <c r="E47" s="3" t="n"/>
      <c r="F47" s="6" t="n"/>
      <c r="G47" s="6" t="n"/>
      <c r="H47" s="6" t="n"/>
      <c r="I47" s="6" t="n"/>
      <c r="J47" s="6" t="n"/>
      <c r="K47" s="6" t="n"/>
      <c r="L47" s="6" t="n"/>
      <c r="M47" s="6" t="n"/>
      <c r="N47" s="6" t="n"/>
      <c r="O47" s="6" t="n"/>
      <c r="P47" s="6" t="n"/>
      <c r="Q47" s="6" t="n"/>
      <c r="R47" s="6" t="n"/>
      <c r="S47" s="6" t="n"/>
      <c r="T47" s="3" t="n"/>
      <c r="U47" s="3" t="n"/>
      <c r="V47" s="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35"/>
  <sheetViews>
    <sheetView showGridLines="0" workbookViewId="0">
      <pane ySplit="4" topLeftCell="A5" activePane="bottomLeft" state="frozen"/>
      <selection activeCell="A1" sqref="A1"/>
    </sheetView>
  </sheetViews>
  <sheetFormatPr baseColWidth="8" defaultRowHeight="15"/>
  <cols>
    <col width="17.5" customWidth="1" min="1" max="1"/>
    <col width="10" customWidth="1" min="2" max="2"/>
    <col width="18.75" customWidth="1" min="3" max="3"/>
    <col width="21.25" customWidth="1" min="4" max="4"/>
    <col width="22.5" customWidth="1" min="5" max="5"/>
    <col width="20" customWidth="1" min="6" max="6"/>
    <col width="36.25" customWidth="1" min="7" max="7"/>
    <col width="15" customWidth="1" min="8" max="8"/>
    <col width="46.25" customWidth="1" min="9" max="9"/>
    <col width="31.25" customWidth="1" min="10" max="10"/>
    <col width="16.25" customWidth="1" min="11" max="11"/>
    <col width="16.25" customWidth="1" min="12" max="12"/>
    <col width="16.25" customWidth="1" min="13" max="13"/>
    <col width="16.25" customWidth="1" min="14" max="14"/>
    <col width="16.25" customWidth="1" min="15" max="15"/>
    <col width="16.25" customWidth="1" min="16" max="16"/>
    <col width="16.25" customWidth="1" min="17" max="17"/>
    <col width="16.25" customWidth="1" min="18" max="18"/>
    <col width="16.25" customWidth="1" min="19" max="19"/>
    <col width="37.5" customWidth="1" min="20" max="20"/>
    <col width="48.75" customWidth="1" min="21" max="21"/>
    <col width="40" customWidth="1" min="22" max="22"/>
  </cols>
  <sheetData>
    <row r="1" ht="30" customHeight="1">
      <c r="A1" s="81" t="inlineStr">
        <is>
          <t>Source selection</t>
        </is>
      </c>
      <c r="B1" s="3" t="n"/>
      <c r="C1" s="3" t="n"/>
      <c r="D1" s="3" t="n"/>
      <c r="E1" s="3" t="n"/>
      <c r="F1" s="3" t="n"/>
      <c r="G1" s="3" t="n"/>
      <c r="H1" s="3" t="n"/>
      <c r="I1" s="3" t="n"/>
      <c r="J1" s="3" t="n"/>
      <c r="K1" s="3" t="n"/>
      <c r="L1" s="3" t="n"/>
      <c r="M1" s="3" t="n"/>
      <c r="N1" s="3" t="n"/>
      <c r="O1" s="3" t="n"/>
      <c r="P1" s="3" t="n"/>
      <c r="Q1" s="3" t="n"/>
      <c r="R1" s="3" t="n"/>
      <c r="S1" s="3" t="n"/>
      <c r="T1" s="3" t="n"/>
      <c r="U1" s="3" t="n"/>
      <c r="V1" s="3" t="n"/>
    </row>
    <row r="2" ht="28" customHeight="1">
      <c r="A2" s="6" t="inlineStr">
        <is>
          <t>Working comparator choice per fuel/year • FIASA retains the previous comparison; no business approval inferred.</t>
        </is>
      </c>
      <c r="B2" s="3" t="n"/>
      <c r="C2" s="3" t="n"/>
      <c r="D2" s="3" t="n"/>
      <c r="E2" s="3" t="n"/>
      <c r="F2" s="3" t="n"/>
      <c r="G2" s="3" t="n"/>
      <c r="H2" s="3" t="n"/>
      <c r="I2" s="3" t="n"/>
      <c r="J2" s="3" t="n"/>
      <c r="K2" s="3" t="n"/>
      <c r="L2" s="3" t="n"/>
      <c r="M2" s="3" t="n"/>
      <c r="N2" s="3" t="n"/>
      <c r="O2" s="3" t="n"/>
      <c r="P2" s="3" t="n"/>
      <c r="Q2" s="3" t="n"/>
      <c r="R2" s="3" t="n"/>
      <c r="S2" s="3" t="n"/>
      <c r="T2" s="3" t="n"/>
      <c r="U2" s="3" t="n"/>
      <c r="V2" s="3" t="n"/>
    </row>
    <row r="3" ht="70"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40" customHeight="1">
      <c r="A4" s="83" t="inlineStr">
        <is>
          <t>Product</t>
        </is>
      </c>
      <c r="B4" s="83" t="inlineStr">
        <is>
          <t>Year</t>
        </is>
      </c>
      <c r="C4" s="83" t="inlineStr">
        <is>
          <t>FIASA candidate</t>
        </is>
      </c>
      <c r="D4" s="83" t="inlineStr">
        <is>
          <t>Department candidate</t>
        </is>
      </c>
      <c r="E4" s="83" t="inlineStr">
        <is>
          <t>Working selection</t>
        </is>
      </c>
      <c r="F4" s="83" t="inlineStr">
        <is>
          <t>Selected million L</t>
        </is>
      </c>
      <c r="G4" s="83" t="inlineStr">
        <is>
          <t>Availability / review</t>
        </is>
      </c>
      <c r="H4" s="83" t="inlineStr">
        <is>
          <t>Owner</t>
        </is>
      </c>
      <c r="I4" s="83" t="inlineStr">
        <is>
          <t>Decision basis</t>
        </is>
      </c>
      <c r="J4" s="83" t="inlineStr">
        <is>
          <t>Review trigger</t>
        </is>
      </c>
      <c r="K4" s="83" t="n"/>
      <c r="L4" s="83" t="n"/>
      <c r="M4" s="83" t="n"/>
      <c r="N4" s="83" t="n"/>
      <c r="O4" s="83" t="n"/>
      <c r="P4" s="83" t="n"/>
      <c r="Q4" s="83" t="n"/>
      <c r="R4" s="83" t="n"/>
      <c r="S4" s="83" t="n"/>
      <c r="T4" s="83" t="n"/>
      <c r="U4" s="83" t="n"/>
      <c r="V4" s="83" t="n"/>
    </row>
    <row r="5" ht="70" customHeight="1">
      <c r="A5" s="3" t="inlineStr">
        <is>
          <t>petrol</t>
        </is>
      </c>
      <c r="B5" s="120" t="n">
        <v>2022</v>
      </c>
      <c r="C5" s="121">
        <f>IF(ISNUMBER('Evidence'!F5),'Evidence'!F5,"")</f>
        <v/>
      </c>
      <c r="D5" s="121">
        <f>IF(ISNUMBER('Evidence'!F6),'Evidence'!F6,"")</f>
        <v/>
      </c>
      <c r="E5" s="121" t="inlineStr">
        <is>
          <t>Department</t>
        </is>
      </c>
      <c r="F5" s="121">
        <f>IF(E5="FIASA",IF(ISNUMBER(C5),C5,""),IF(E5="Department",IF(ISNUMBER(D5),D5,""),""))</f>
        <v/>
      </c>
      <c r="G5" s="121">
        <f>IF(E5="Unresolved","No source selected",IF(ISNUMBER(F5),"Working choice - awaiting review","Selected source missing"))</f>
        <v/>
      </c>
      <c r="H5" s="121" t="inlineStr">
        <is>
          <t>Nigel / Manish</t>
        </is>
      </c>
      <c r="I5" s="121" t="inlineStr">
        <is>
          <t>Working comparator only; retain prior FIASA comparison pending reconciliation.</t>
        </is>
      </c>
      <c r="J5" s="121" t="inlineStr">
        <is>
          <t>Before baseline acceptance</t>
        </is>
      </c>
      <c r="K5" s="122" t="n"/>
      <c r="L5" s="122" t="n"/>
      <c r="M5" s="122" t="n"/>
      <c r="N5" s="122" t="n"/>
      <c r="O5" s="122" t="n"/>
      <c r="P5" s="122" t="n"/>
      <c r="Q5" s="122" t="n"/>
      <c r="R5" s="122" t="n"/>
      <c r="S5" s="122" t="n"/>
      <c r="T5" s="3" t="n"/>
      <c r="U5" s="3" t="n"/>
      <c r="V5" s="3" t="n"/>
    </row>
    <row r="6" ht="70" customHeight="1">
      <c r="A6" s="3" t="inlineStr">
        <is>
          <t>petrol</t>
        </is>
      </c>
      <c r="B6" s="120" t="n">
        <v>2023</v>
      </c>
      <c r="C6" s="121">
        <f>IF(ISNUMBER('Evidence'!G5),'Evidence'!G5,"")</f>
        <v/>
      </c>
      <c r="D6" s="121">
        <f>IF(ISNUMBER('Evidence'!G6),'Evidence'!G6,"")</f>
        <v/>
      </c>
      <c r="E6" s="121" t="inlineStr">
        <is>
          <t>Department</t>
        </is>
      </c>
      <c r="F6" s="121">
        <f>IF(E6="FIASA",IF(ISNUMBER(C6),C6,""),IF(E6="Department",IF(ISNUMBER(D6),D6,""),""))</f>
        <v/>
      </c>
      <c r="G6" s="121">
        <f>IF(E6="Unresolved","No source selected",IF(ISNUMBER(F6),"Working choice - awaiting review","Selected source missing"))</f>
        <v/>
      </c>
      <c r="H6" s="121" t="inlineStr">
        <is>
          <t>Nigel / Manish</t>
        </is>
      </c>
      <c r="I6" s="121" t="inlineStr">
        <is>
          <t>Working comparator only; retain prior FIASA comparison pending reconciliation.</t>
        </is>
      </c>
      <c r="J6" s="121" t="inlineStr">
        <is>
          <t>Before baseline acceptance</t>
        </is>
      </c>
      <c r="K6" s="122" t="n"/>
      <c r="L6" s="122" t="n"/>
      <c r="M6" s="122" t="n"/>
      <c r="N6" s="122" t="n"/>
      <c r="O6" s="122" t="n"/>
      <c r="P6" s="122" t="n"/>
      <c r="Q6" s="122" t="n"/>
      <c r="R6" s="122" t="n"/>
      <c r="S6" s="122" t="n"/>
      <c r="T6" s="3" t="n"/>
      <c r="U6" s="3" t="n"/>
      <c r="V6" s="3" t="n"/>
    </row>
    <row r="7" ht="70" customHeight="1">
      <c r="A7" s="3" t="inlineStr">
        <is>
          <t>petrol</t>
        </is>
      </c>
      <c r="B7" s="120" t="n">
        <v>2024</v>
      </c>
      <c r="C7" s="121">
        <f>IF(ISNUMBER('Evidence'!H5),'Evidence'!H5,"")</f>
        <v/>
      </c>
      <c r="D7" s="121">
        <f>IF(ISNUMBER('Evidence'!H6),'Evidence'!H6,"")</f>
        <v/>
      </c>
      <c r="E7" s="121" t="inlineStr">
        <is>
          <t>FIASA</t>
        </is>
      </c>
      <c r="F7" s="121">
        <f>IF(E7="FIASA",IF(ISNUMBER(C7),C7,""),IF(E7="Department",IF(ISNUMBER(D7),D7,""),""))</f>
        <v/>
      </c>
      <c r="G7" s="121">
        <f>IF(E7="Unresolved","No source selected",IF(ISNUMBER(F7),"Working choice - awaiting review","Selected source missing"))</f>
        <v/>
      </c>
      <c r="H7" s="121" t="inlineStr">
        <is>
          <t>Nigel / Manish</t>
        </is>
      </c>
      <c r="I7" s="121" t="inlineStr">
        <is>
          <t>Working comparator only; retain prior FIASA comparison pending reconciliation.</t>
        </is>
      </c>
      <c r="J7" s="121" t="inlineStr">
        <is>
          <t>Before baseline acceptance</t>
        </is>
      </c>
      <c r="K7" s="122" t="n"/>
      <c r="L7" s="122" t="n"/>
      <c r="M7" s="122" t="n"/>
      <c r="N7" s="122" t="n"/>
      <c r="O7" s="122" t="n"/>
      <c r="P7" s="122" t="n"/>
      <c r="Q7" s="122" t="n"/>
      <c r="R7" s="122" t="n"/>
      <c r="S7" s="122" t="n"/>
      <c r="T7" s="3" t="n"/>
      <c r="U7" s="3" t="n"/>
      <c r="V7" s="3" t="n"/>
    </row>
    <row r="8" ht="70" customHeight="1">
      <c r="A8" s="3" t="inlineStr">
        <is>
          <t>petrol</t>
        </is>
      </c>
      <c r="B8" s="120" t="n">
        <v>2025</v>
      </c>
      <c r="C8" s="121">
        <f>IF(ISNUMBER('Evidence'!I5),'Evidence'!I5,"")</f>
        <v/>
      </c>
      <c r="D8" s="121">
        <f>IF(ISNUMBER('Evidence'!I6),'Evidence'!I6,"")</f>
        <v/>
      </c>
      <c r="E8" s="121" t="inlineStr">
        <is>
          <t>Unresolved</t>
        </is>
      </c>
      <c r="F8" s="121">
        <f>IF(E8="FIASA",IF(ISNUMBER(C8),C8,""),IF(E8="Department",IF(ISNUMBER(D8),D8,""),""))</f>
        <v/>
      </c>
      <c r="G8" s="121">
        <f>IF(E8="Unresolved","No source selected",IF(ISNUMBER(F8),"Working choice - awaiting review","Selected source missing"))</f>
        <v/>
      </c>
      <c r="H8" s="121" t="inlineStr">
        <is>
          <t>Nigel / Manish</t>
        </is>
      </c>
      <c r="I8" s="121" t="inlineStr">
        <is>
          <t>Working comparator only; retain prior FIASA comparison pending reconciliation.</t>
        </is>
      </c>
      <c r="J8" s="121" t="inlineStr">
        <is>
          <t>Before baseline acceptance</t>
        </is>
      </c>
      <c r="K8" s="122" t="n"/>
      <c r="L8" s="122" t="n"/>
      <c r="M8" s="122" t="n"/>
      <c r="N8" s="122" t="n"/>
      <c r="O8" s="122" t="n"/>
      <c r="P8" s="122" t="n"/>
      <c r="Q8" s="122" t="n"/>
      <c r="R8" s="122" t="n"/>
      <c r="S8" s="122" t="n"/>
      <c r="T8" s="3" t="n"/>
      <c r="U8" s="3" t="n"/>
      <c r="V8" s="3" t="n"/>
    </row>
    <row r="9" ht="70" customHeight="1">
      <c r="A9" s="3" t="inlineStr">
        <is>
          <t>petrol</t>
        </is>
      </c>
      <c r="B9" s="120" t="n">
        <v>2026</v>
      </c>
      <c r="C9" s="121">
        <f>IF(ISNUMBER('Evidence'!J5),'Evidence'!J5,"")</f>
        <v/>
      </c>
      <c r="D9" s="121">
        <f>IF(ISNUMBER('Evidence'!J6),'Evidence'!J6,"")</f>
        <v/>
      </c>
      <c r="E9" s="121" t="inlineStr">
        <is>
          <t>Unresolved</t>
        </is>
      </c>
      <c r="F9" s="121">
        <f>IF(E9="FIASA",IF(ISNUMBER(C9),C9,""),IF(E9="Department",IF(ISNUMBER(D9),D9,""),""))</f>
        <v/>
      </c>
      <c r="G9" s="121">
        <f>IF(E9="Unresolved","No source selected",IF(ISNUMBER(F9),"Working choice - awaiting review","Selected source missing"))</f>
        <v/>
      </c>
      <c r="H9" s="121" t="inlineStr">
        <is>
          <t>Nigel / Manish</t>
        </is>
      </c>
      <c r="I9" s="121" t="inlineStr">
        <is>
          <t>Working comparator only; retain prior FIASA comparison pending reconciliation.</t>
        </is>
      </c>
      <c r="J9" s="121" t="inlineStr">
        <is>
          <t>Before baseline acceptance</t>
        </is>
      </c>
      <c r="K9" s="122" t="n"/>
      <c r="L9" s="122" t="n"/>
      <c r="M9" s="122" t="n"/>
      <c r="N9" s="122" t="n"/>
      <c r="O9" s="122" t="n"/>
      <c r="P9" s="122" t="n"/>
      <c r="Q9" s="122" t="n"/>
      <c r="R9" s="122" t="n"/>
      <c r="S9" s="122" t="n"/>
      <c r="T9" s="3" t="n"/>
      <c r="U9" s="3" t="n"/>
      <c r="V9" s="3" t="n"/>
    </row>
    <row r="10" ht="70" customHeight="1">
      <c r="A10" s="3" t="inlineStr">
        <is>
          <t>diesel</t>
        </is>
      </c>
      <c r="B10" s="120" t="n">
        <v>2022</v>
      </c>
      <c r="C10" s="121">
        <f>IF(ISNUMBER('Evidence'!F7),'Evidence'!F7,"")</f>
        <v/>
      </c>
      <c r="D10" s="121">
        <f>IF(ISNUMBER('Evidence'!F8),'Evidence'!F8,"")</f>
        <v/>
      </c>
      <c r="E10" s="121" t="inlineStr">
        <is>
          <t>Department</t>
        </is>
      </c>
      <c r="F10" s="121">
        <f>IF(E10="FIASA",IF(ISNUMBER(C10),C10,""),IF(E10="Department",IF(ISNUMBER(D10),D10,""),""))</f>
        <v/>
      </c>
      <c r="G10" s="121">
        <f>IF(E10="Unresolved","No source selected",IF(ISNUMBER(F10),"Working choice - awaiting review","Selected source missing"))</f>
        <v/>
      </c>
      <c r="H10" s="121" t="inlineStr">
        <is>
          <t>Nigel / Manish</t>
        </is>
      </c>
      <c r="I10" s="121" t="inlineStr">
        <is>
          <t>Working comparator only; retain prior FIASA comparison pending reconciliation.</t>
        </is>
      </c>
      <c r="J10" s="121" t="inlineStr">
        <is>
          <t>Before baseline acceptance</t>
        </is>
      </c>
      <c r="K10" s="122" t="n"/>
      <c r="L10" s="122" t="n"/>
      <c r="M10" s="122" t="n"/>
      <c r="N10" s="122" t="n"/>
      <c r="O10" s="122" t="n"/>
      <c r="P10" s="122" t="n"/>
      <c r="Q10" s="122" t="n"/>
      <c r="R10" s="122" t="n"/>
      <c r="S10" s="122" t="n"/>
      <c r="T10" s="3" t="n"/>
      <c r="U10" s="3" t="n"/>
      <c r="V10" s="3" t="n"/>
    </row>
    <row r="11" ht="70" customHeight="1">
      <c r="A11" s="3" t="inlineStr">
        <is>
          <t>diesel</t>
        </is>
      </c>
      <c r="B11" s="120" t="n">
        <v>2023</v>
      </c>
      <c r="C11" s="121">
        <f>IF(ISNUMBER('Evidence'!G7),'Evidence'!G7,"")</f>
        <v/>
      </c>
      <c r="D11" s="121">
        <f>IF(ISNUMBER('Evidence'!G8),'Evidence'!G8,"")</f>
        <v/>
      </c>
      <c r="E11" s="121" t="inlineStr">
        <is>
          <t>Department</t>
        </is>
      </c>
      <c r="F11" s="121">
        <f>IF(E11="FIASA",IF(ISNUMBER(C11),C11,""),IF(E11="Department",IF(ISNUMBER(D11),D11,""),""))</f>
        <v/>
      </c>
      <c r="G11" s="121">
        <f>IF(E11="Unresolved","No source selected",IF(ISNUMBER(F11),"Working choice - awaiting review","Selected source missing"))</f>
        <v/>
      </c>
      <c r="H11" s="121" t="inlineStr">
        <is>
          <t>Nigel / Manish</t>
        </is>
      </c>
      <c r="I11" s="121" t="inlineStr">
        <is>
          <t>Working comparator only; retain prior FIASA comparison pending reconciliation.</t>
        </is>
      </c>
      <c r="J11" s="121" t="inlineStr">
        <is>
          <t>Before baseline acceptance</t>
        </is>
      </c>
      <c r="K11" s="122" t="n"/>
      <c r="L11" s="122" t="n"/>
      <c r="M11" s="122" t="n"/>
      <c r="N11" s="122" t="n"/>
      <c r="O11" s="122" t="n"/>
      <c r="P11" s="122" t="n"/>
      <c r="Q11" s="122" t="n"/>
      <c r="R11" s="122" t="n"/>
      <c r="S11" s="122" t="n"/>
      <c r="T11" s="3" t="n"/>
      <c r="U11" s="3" t="n"/>
      <c r="V11" s="3" t="n"/>
    </row>
    <row r="12" ht="70" customHeight="1">
      <c r="A12" s="3" t="inlineStr">
        <is>
          <t>diesel</t>
        </is>
      </c>
      <c r="B12" s="120" t="n">
        <v>2024</v>
      </c>
      <c r="C12" s="121">
        <f>IF(ISNUMBER('Evidence'!H7),'Evidence'!H7,"")</f>
        <v/>
      </c>
      <c r="D12" s="121">
        <f>IF(ISNUMBER('Evidence'!H8),'Evidence'!H8,"")</f>
        <v/>
      </c>
      <c r="E12" s="121" t="inlineStr">
        <is>
          <t>FIASA</t>
        </is>
      </c>
      <c r="F12" s="121">
        <f>IF(E12="FIASA",IF(ISNUMBER(C12),C12,""),IF(E12="Department",IF(ISNUMBER(D12),D12,""),""))</f>
        <v/>
      </c>
      <c r="G12" s="121">
        <f>IF(E12="Unresolved","No source selected",IF(ISNUMBER(F12),"Working choice - awaiting review","Selected source missing"))</f>
        <v/>
      </c>
      <c r="H12" s="121" t="inlineStr">
        <is>
          <t>Nigel / Manish</t>
        </is>
      </c>
      <c r="I12" s="121" t="inlineStr">
        <is>
          <t>Working comparator only; retain prior FIASA comparison pending reconciliation.</t>
        </is>
      </c>
      <c r="J12" s="121" t="inlineStr">
        <is>
          <t>Before baseline acceptance</t>
        </is>
      </c>
      <c r="K12" s="122" t="n"/>
      <c r="L12" s="122" t="n"/>
      <c r="M12" s="122" t="n"/>
      <c r="N12" s="122" t="n"/>
      <c r="O12" s="122" t="n"/>
      <c r="P12" s="122" t="n"/>
      <c r="Q12" s="122" t="n"/>
      <c r="R12" s="122" t="n"/>
      <c r="S12" s="122" t="n"/>
      <c r="T12" s="3" t="n"/>
      <c r="U12" s="3" t="n"/>
      <c r="V12" s="3" t="n"/>
    </row>
    <row r="13" ht="70" customHeight="1">
      <c r="A13" s="3" t="inlineStr">
        <is>
          <t>diesel</t>
        </is>
      </c>
      <c r="B13" s="120" t="n">
        <v>2025</v>
      </c>
      <c r="C13" s="121">
        <f>IF(ISNUMBER('Evidence'!I7),'Evidence'!I7,"")</f>
        <v/>
      </c>
      <c r="D13" s="121">
        <f>IF(ISNUMBER('Evidence'!I8),'Evidence'!I8,"")</f>
        <v/>
      </c>
      <c r="E13" s="121" t="inlineStr">
        <is>
          <t>Unresolved</t>
        </is>
      </c>
      <c r="F13" s="121">
        <f>IF(E13="FIASA",IF(ISNUMBER(C13),C13,""),IF(E13="Department",IF(ISNUMBER(D13),D13,""),""))</f>
        <v/>
      </c>
      <c r="G13" s="121">
        <f>IF(E13="Unresolved","No source selected",IF(ISNUMBER(F13),"Working choice - awaiting review","Selected source missing"))</f>
        <v/>
      </c>
      <c r="H13" s="121" t="inlineStr">
        <is>
          <t>Nigel / Manish</t>
        </is>
      </c>
      <c r="I13" s="121" t="inlineStr">
        <is>
          <t>Working comparator only; retain prior FIASA comparison pending reconciliation.</t>
        </is>
      </c>
      <c r="J13" s="121" t="inlineStr">
        <is>
          <t>Before baseline acceptance</t>
        </is>
      </c>
      <c r="K13" s="122" t="n"/>
      <c r="L13" s="122" t="n"/>
      <c r="M13" s="122" t="n"/>
      <c r="N13" s="122" t="n"/>
      <c r="O13" s="122" t="n"/>
      <c r="P13" s="122" t="n"/>
      <c r="Q13" s="122" t="n"/>
      <c r="R13" s="122" t="n"/>
      <c r="S13" s="122" t="n"/>
      <c r="T13" s="3" t="n"/>
      <c r="U13" s="3" t="n"/>
      <c r="V13" s="3" t="n"/>
    </row>
    <row r="14" ht="70" customHeight="1">
      <c r="A14" s="3" t="inlineStr">
        <is>
          <t>diesel</t>
        </is>
      </c>
      <c r="B14" s="120" t="n">
        <v>2026</v>
      </c>
      <c r="C14" s="121">
        <f>IF(ISNUMBER('Evidence'!J7),'Evidence'!J7,"")</f>
        <v/>
      </c>
      <c r="D14" s="121">
        <f>IF(ISNUMBER('Evidence'!J8),'Evidence'!J8,"")</f>
        <v/>
      </c>
      <c r="E14" s="121" t="inlineStr">
        <is>
          <t>Unresolved</t>
        </is>
      </c>
      <c r="F14" s="121">
        <f>IF(E14="FIASA",IF(ISNUMBER(C14),C14,""),IF(E14="Department",IF(ISNUMBER(D14),D14,""),""))</f>
        <v/>
      </c>
      <c r="G14" s="121">
        <f>IF(E14="Unresolved","No source selected",IF(ISNUMBER(F14),"Working choice - awaiting review","Selected source missing"))</f>
        <v/>
      </c>
      <c r="H14" s="121" t="inlineStr">
        <is>
          <t>Nigel / Manish</t>
        </is>
      </c>
      <c r="I14" s="121" t="inlineStr">
        <is>
          <t>Working comparator only; retain prior FIASA comparison pending reconciliation.</t>
        </is>
      </c>
      <c r="J14" s="121" t="inlineStr">
        <is>
          <t>Before baseline acceptance</t>
        </is>
      </c>
      <c r="K14" s="122" t="n"/>
      <c r="L14" s="122" t="n"/>
      <c r="M14" s="122" t="n"/>
      <c r="N14" s="122" t="n"/>
      <c r="O14" s="122" t="n"/>
      <c r="P14" s="122" t="n"/>
      <c r="Q14" s="122" t="n"/>
      <c r="R14" s="122" t="n"/>
      <c r="S14" s="122" t="n"/>
      <c r="T14" s="3" t="n"/>
      <c r="U14" s="3" t="n"/>
      <c r="V14" s="3" t="n"/>
    </row>
    <row r="15" ht="70" customHeight="1">
      <c r="A15" s="3" t="inlineStr">
        <is>
          <t>jet</t>
        </is>
      </c>
      <c r="B15" s="120" t="n">
        <v>2022</v>
      </c>
      <c r="C15" s="121">
        <f>IF(ISNUMBER('Evidence'!F9),'Evidence'!F9,"")</f>
        <v/>
      </c>
      <c r="D15" s="121">
        <f>IF(ISNUMBER('Evidence'!F10),'Evidence'!F10,"")</f>
        <v/>
      </c>
      <c r="E15" s="121" t="inlineStr">
        <is>
          <t>Department</t>
        </is>
      </c>
      <c r="F15" s="121">
        <f>IF(E15="FIASA",IF(ISNUMBER(C15),C15,""),IF(E15="Department",IF(ISNUMBER(D15),D15,""),""))</f>
        <v/>
      </c>
      <c r="G15" s="121">
        <f>IF(E15="Unresolved","No source selected",IF(ISNUMBER(F15),"Working choice - awaiting review","Selected source missing"))</f>
        <v/>
      </c>
      <c r="H15" s="121" t="inlineStr">
        <is>
          <t>Nigel / Manish</t>
        </is>
      </c>
      <c r="I15" s="121" t="inlineStr">
        <is>
          <t>Working comparator only; retain prior FIASA comparison pending reconciliation.</t>
        </is>
      </c>
      <c r="J15" s="121" t="inlineStr">
        <is>
          <t>Before baseline acceptance</t>
        </is>
      </c>
      <c r="K15" s="122" t="n"/>
      <c r="L15" s="122" t="n"/>
      <c r="M15" s="122" t="n"/>
      <c r="N15" s="122" t="n"/>
      <c r="O15" s="122" t="n"/>
      <c r="P15" s="122" t="n"/>
      <c r="Q15" s="122" t="n"/>
      <c r="R15" s="122" t="n"/>
      <c r="S15" s="122" t="n"/>
      <c r="T15" s="3" t="n"/>
      <c r="U15" s="3" t="n"/>
      <c r="V15" s="3" t="n"/>
    </row>
    <row r="16" ht="70" customHeight="1">
      <c r="A16" s="3" t="inlineStr">
        <is>
          <t>jet</t>
        </is>
      </c>
      <c r="B16" s="120" t="n">
        <v>2023</v>
      </c>
      <c r="C16" s="121">
        <f>IF(ISNUMBER('Evidence'!G9),'Evidence'!G9,"")</f>
        <v/>
      </c>
      <c r="D16" s="121">
        <f>IF(ISNUMBER('Evidence'!G10),'Evidence'!G10,"")</f>
        <v/>
      </c>
      <c r="E16" s="121" t="inlineStr">
        <is>
          <t>Department</t>
        </is>
      </c>
      <c r="F16" s="121">
        <f>IF(E16="FIASA",IF(ISNUMBER(C16),C16,""),IF(E16="Department",IF(ISNUMBER(D16),D16,""),""))</f>
        <v/>
      </c>
      <c r="G16" s="121">
        <f>IF(E16="Unresolved","No source selected",IF(ISNUMBER(F16),"Working choice - awaiting review","Selected source missing"))</f>
        <v/>
      </c>
      <c r="H16" s="121" t="inlineStr">
        <is>
          <t>Nigel / Manish</t>
        </is>
      </c>
      <c r="I16" s="121" t="inlineStr">
        <is>
          <t>Working comparator only; retain prior FIASA comparison pending reconciliation.</t>
        </is>
      </c>
      <c r="J16" s="121" t="inlineStr">
        <is>
          <t>Before baseline acceptance</t>
        </is>
      </c>
      <c r="K16" s="122" t="n"/>
      <c r="L16" s="122" t="n"/>
      <c r="M16" s="122" t="n"/>
      <c r="N16" s="122" t="n"/>
      <c r="O16" s="122" t="n"/>
      <c r="P16" s="122" t="n"/>
      <c r="Q16" s="122" t="n"/>
      <c r="R16" s="122" t="n"/>
      <c r="S16" s="122" t="n"/>
      <c r="T16" s="3" t="n"/>
      <c r="U16" s="3" t="n"/>
      <c r="V16" s="3" t="n"/>
    </row>
    <row r="17" ht="70" customHeight="1">
      <c r="A17" s="3" t="inlineStr">
        <is>
          <t>jet</t>
        </is>
      </c>
      <c r="B17" s="120" t="n">
        <v>2024</v>
      </c>
      <c r="C17" s="121">
        <f>IF(ISNUMBER('Evidence'!H9),'Evidence'!H9,"")</f>
        <v/>
      </c>
      <c r="D17" s="121">
        <f>IF(ISNUMBER('Evidence'!H10),'Evidence'!H10,"")</f>
        <v/>
      </c>
      <c r="E17" s="121" t="inlineStr">
        <is>
          <t>FIASA</t>
        </is>
      </c>
      <c r="F17" s="121">
        <f>IF(E17="FIASA",IF(ISNUMBER(C17),C17,""),IF(E17="Department",IF(ISNUMBER(D17),D17,""),""))</f>
        <v/>
      </c>
      <c r="G17" s="121">
        <f>IF(E17="Unresolved","No source selected",IF(ISNUMBER(F17),"Working choice - awaiting review","Selected source missing"))</f>
        <v/>
      </c>
      <c r="H17" s="121" t="inlineStr">
        <is>
          <t>Nigel / Manish</t>
        </is>
      </c>
      <c r="I17" s="121" t="inlineStr">
        <is>
          <t>Working comparator only; retain prior FIASA comparison pending reconciliation.</t>
        </is>
      </c>
      <c r="J17" s="121" t="inlineStr">
        <is>
          <t>Before baseline acceptance</t>
        </is>
      </c>
      <c r="K17" s="122" t="n"/>
      <c r="L17" s="122" t="n"/>
      <c r="M17" s="122" t="n"/>
      <c r="N17" s="122" t="n"/>
      <c r="O17" s="122" t="n"/>
      <c r="P17" s="122" t="n"/>
      <c r="Q17" s="122" t="n"/>
      <c r="R17" s="122" t="n"/>
      <c r="S17" s="122" t="n"/>
      <c r="T17" s="3" t="n"/>
      <c r="U17" s="3" t="n"/>
      <c r="V17" s="3" t="n"/>
    </row>
    <row r="18" ht="70" customHeight="1">
      <c r="A18" s="3" t="inlineStr">
        <is>
          <t>jet</t>
        </is>
      </c>
      <c r="B18" s="120" t="n">
        <v>2025</v>
      </c>
      <c r="C18" s="121">
        <f>IF(ISNUMBER('Evidence'!I9),'Evidence'!I9,"")</f>
        <v/>
      </c>
      <c r="D18" s="121">
        <f>IF(ISNUMBER('Evidence'!I10),'Evidence'!I10,"")</f>
        <v/>
      </c>
      <c r="E18" s="121" t="inlineStr">
        <is>
          <t>Unresolved</t>
        </is>
      </c>
      <c r="F18" s="121">
        <f>IF(E18="FIASA",IF(ISNUMBER(C18),C18,""),IF(E18="Department",IF(ISNUMBER(D18),D18,""),""))</f>
        <v/>
      </c>
      <c r="G18" s="121">
        <f>IF(E18="Unresolved","No source selected",IF(ISNUMBER(F18),"Working choice - awaiting review","Selected source missing"))</f>
        <v/>
      </c>
      <c r="H18" s="121" t="inlineStr">
        <is>
          <t>Nigel / Manish</t>
        </is>
      </c>
      <c r="I18" s="121" t="inlineStr">
        <is>
          <t>Working comparator only; retain prior FIASA comparison pending reconciliation.</t>
        </is>
      </c>
      <c r="J18" s="121" t="inlineStr">
        <is>
          <t>Before baseline acceptance</t>
        </is>
      </c>
      <c r="K18" s="122" t="n"/>
      <c r="L18" s="122" t="n"/>
      <c r="M18" s="122" t="n"/>
      <c r="N18" s="122" t="n"/>
      <c r="O18" s="122" t="n"/>
      <c r="P18" s="122" t="n"/>
      <c r="Q18" s="122" t="n"/>
      <c r="R18" s="122" t="n"/>
      <c r="S18" s="122" t="n"/>
      <c r="T18" s="3" t="n"/>
      <c r="U18" s="3" t="n"/>
      <c r="V18" s="3" t="n"/>
    </row>
    <row r="19" ht="70" customHeight="1">
      <c r="A19" s="3" t="inlineStr">
        <is>
          <t>jet</t>
        </is>
      </c>
      <c r="B19" s="120" t="n">
        <v>2026</v>
      </c>
      <c r="C19" s="121">
        <f>IF(ISNUMBER('Evidence'!J9),'Evidence'!J9,"")</f>
        <v/>
      </c>
      <c r="D19" s="121">
        <f>IF(ISNUMBER('Evidence'!J10),'Evidence'!J10,"")</f>
        <v/>
      </c>
      <c r="E19" s="121" t="inlineStr">
        <is>
          <t>Unresolved</t>
        </is>
      </c>
      <c r="F19" s="121">
        <f>IF(E19="FIASA",IF(ISNUMBER(C19),C19,""),IF(E19="Department",IF(ISNUMBER(D19),D19,""),""))</f>
        <v/>
      </c>
      <c r="G19" s="121">
        <f>IF(E19="Unresolved","No source selected",IF(ISNUMBER(F19),"Working choice - awaiting review","Selected source missing"))</f>
        <v/>
      </c>
      <c r="H19" s="121" t="inlineStr">
        <is>
          <t>Nigel / Manish</t>
        </is>
      </c>
      <c r="I19" s="121" t="inlineStr">
        <is>
          <t>Working comparator only; retain prior FIASA comparison pending reconciliation.</t>
        </is>
      </c>
      <c r="J19" s="121" t="inlineStr">
        <is>
          <t>Before baseline acceptance</t>
        </is>
      </c>
      <c r="K19" s="122" t="n"/>
      <c r="L19" s="122" t="n"/>
      <c r="M19" s="122" t="n"/>
      <c r="N19" s="122" t="n"/>
      <c r="O19" s="122" t="n"/>
      <c r="P19" s="122" t="n"/>
      <c r="Q19" s="122" t="n"/>
      <c r="R19" s="122" t="n"/>
      <c r="S19" s="122" t="n"/>
      <c r="T19" s="3" t="n"/>
      <c r="U19" s="3" t="n"/>
      <c r="V19" s="3" t="n"/>
    </row>
    <row r="20" ht="70" customHeight="1">
      <c r="A20" s="3" t="inlineStr">
        <is>
          <t>fuel_oil</t>
        </is>
      </c>
      <c r="B20" s="120" t="n">
        <v>2022</v>
      </c>
      <c r="C20" s="121">
        <f>IF(ISNUMBER('Evidence'!F11),'Evidence'!F11,"")</f>
        <v/>
      </c>
      <c r="D20" s="121">
        <f>IF(ISNUMBER('Evidence'!F12),'Evidence'!F12,"")</f>
        <v/>
      </c>
      <c r="E20" s="121" t="inlineStr">
        <is>
          <t>Department</t>
        </is>
      </c>
      <c r="F20" s="121">
        <f>IF(E20="FIASA",IF(ISNUMBER(C20),C20,""),IF(E20="Department",IF(ISNUMBER(D20),D20,""),""))</f>
        <v/>
      </c>
      <c r="G20" s="121">
        <f>IF(E20="Unresolved","No source selected",IF(ISNUMBER(F20),"Working choice - awaiting review","Selected source missing"))</f>
        <v/>
      </c>
      <c r="H20" s="121" t="inlineStr">
        <is>
          <t>Nigel / Manish</t>
        </is>
      </c>
      <c r="I20" s="121" t="inlineStr">
        <is>
          <t>Working comparator only; retain prior FIASA comparison pending reconciliation.</t>
        </is>
      </c>
      <c r="J20" s="121" t="inlineStr">
        <is>
          <t>Before baseline acceptance</t>
        </is>
      </c>
      <c r="K20" s="122" t="n"/>
      <c r="L20" s="122" t="n"/>
      <c r="M20" s="122" t="n"/>
      <c r="N20" s="122" t="n"/>
      <c r="O20" s="122" t="n"/>
      <c r="P20" s="122" t="n"/>
      <c r="Q20" s="122" t="n"/>
      <c r="R20" s="122" t="n"/>
      <c r="S20" s="122" t="n"/>
      <c r="T20" s="3" t="n"/>
      <c r="U20" s="3" t="n"/>
      <c r="V20" s="3" t="n"/>
    </row>
    <row r="21" ht="70" customHeight="1">
      <c r="A21" s="3" t="inlineStr">
        <is>
          <t>fuel_oil</t>
        </is>
      </c>
      <c r="B21" s="120" t="n">
        <v>2023</v>
      </c>
      <c r="C21" s="121">
        <f>IF(ISNUMBER('Evidence'!G11),'Evidence'!G11,"")</f>
        <v/>
      </c>
      <c r="D21" s="121">
        <f>IF(ISNUMBER('Evidence'!G12),'Evidence'!G12,"")</f>
        <v/>
      </c>
      <c r="E21" s="121" t="inlineStr">
        <is>
          <t>Department</t>
        </is>
      </c>
      <c r="F21" s="121">
        <f>IF(E21="FIASA",IF(ISNUMBER(C21),C21,""),IF(E21="Department",IF(ISNUMBER(D21),D21,""),""))</f>
        <v/>
      </c>
      <c r="G21" s="121">
        <f>IF(E21="Unresolved","No source selected",IF(ISNUMBER(F21),"Working choice - awaiting review","Selected source missing"))</f>
        <v/>
      </c>
      <c r="H21" s="121" t="inlineStr">
        <is>
          <t>Nigel / Manish</t>
        </is>
      </c>
      <c r="I21" s="121" t="inlineStr">
        <is>
          <t>Working comparator only; retain prior FIASA comparison pending reconciliation.</t>
        </is>
      </c>
      <c r="J21" s="121" t="inlineStr">
        <is>
          <t>Before baseline acceptance</t>
        </is>
      </c>
      <c r="K21" s="122" t="n"/>
      <c r="L21" s="122" t="n"/>
      <c r="M21" s="122" t="n"/>
      <c r="N21" s="122" t="n"/>
      <c r="O21" s="122" t="n"/>
      <c r="P21" s="122" t="n"/>
      <c r="Q21" s="122" t="n"/>
      <c r="R21" s="122" t="n"/>
      <c r="S21" s="122" t="n"/>
      <c r="T21" s="3" t="n"/>
      <c r="U21" s="3" t="n"/>
      <c r="V21" s="3" t="n"/>
    </row>
    <row r="22" ht="70" customHeight="1">
      <c r="A22" s="3" t="inlineStr">
        <is>
          <t>fuel_oil</t>
        </is>
      </c>
      <c r="B22" s="120" t="n">
        <v>2024</v>
      </c>
      <c r="C22" s="121">
        <f>IF(ISNUMBER('Evidence'!H11),'Evidence'!H11,"")</f>
        <v/>
      </c>
      <c r="D22" s="121">
        <f>IF(ISNUMBER('Evidence'!H12),'Evidence'!H12,"")</f>
        <v/>
      </c>
      <c r="E22" s="121" t="inlineStr">
        <is>
          <t>FIASA</t>
        </is>
      </c>
      <c r="F22" s="121">
        <f>IF(E22="FIASA",IF(ISNUMBER(C22),C22,""),IF(E22="Department",IF(ISNUMBER(D22),D22,""),""))</f>
        <v/>
      </c>
      <c r="G22" s="121">
        <f>IF(E22="Unresolved","No source selected",IF(ISNUMBER(F22),"Working choice - awaiting review","Selected source missing"))</f>
        <v/>
      </c>
      <c r="H22" s="121" t="inlineStr">
        <is>
          <t>Nigel / Manish</t>
        </is>
      </c>
      <c r="I22" s="121" t="inlineStr">
        <is>
          <t>Working comparator only; retain prior FIASA comparison pending reconciliation.</t>
        </is>
      </c>
      <c r="J22" s="121" t="inlineStr">
        <is>
          <t>Before baseline acceptance</t>
        </is>
      </c>
      <c r="K22" s="122" t="n"/>
      <c r="L22" s="122" t="n"/>
      <c r="M22" s="122" t="n"/>
      <c r="N22" s="122" t="n"/>
      <c r="O22" s="122" t="n"/>
      <c r="P22" s="122" t="n"/>
      <c r="Q22" s="122" t="n"/>
      <c r="R22" s="122" t="n"/>
      <c r="S22" s="122" t="n"/>
      <c r="T22" s="3" t="n"/>
      <c r="U22" s="3" t="n"/>
      <c r="V22" s="3" t="n"/>
    </row>
    <row r="23" ht="70" customHeight="1">
      <c r="A23" s="3" t="inlineStr">
        <is>
          <t>fuel_oil</t>
        </is>
      </c>
      <c r="B23" s="120" t="n">
        <v>2025</v>
      </c>
      <c r="C23" s="121">
        <f>IF(ISNUMBER('Evidence'!I11),'Evidence'!I11,"")</f>
        <v/>
      </c>
      <c r="D23" s="121">
        <f>IF(ISNUMBER('Evidence'!I12),'Evidence'!I12,"")</f>
        <v/>
      </c>
      <c r="E23" s="121" t="inlineStr">
        <is>
          <t>Unresolved</t>
        </is>
      </c>
      <c r="F23" s="121">
        <f>IF(E23="FIASA",IF(ISNUMBER(C23),C23,""),IF(E23="Department",IF(ISNUMBER(D23),D23,""),""))</f>
        <v/>
      </c>
      <c r="G23" s="121">
        <f>IF(E23="Unresolved","No source selected",IF(ISNUMBER(F23),"Working choice - awaiting review","Selected source missing"))</f>
        <v/>
      </c>
      <c r="H23" s="121" t="inlineStr">
        <is>
          <t>Nigel / Manish</t>
        </is>
      </c>
      <c r="I23" s="121" t="inlineStr">
        <is>
          <t>Working comparator only; retain prior FIASA comparison pending reconciliation.</t>
        </is>
      </c>
      <c r="J23" s="121" t="inlineStr">
        <is>
          <t>Before baseline acceptance</t>
        </is>
      </c>
      <c r="K23" s="122" t="n"/>
      <c r="L23" s="122" t="n"/>
      <c r="M23" s="122" t="n"/>
      <c r="N23" s="122" t="n"/>
      <c r="O23" s="122" t="n"/>
      <c r="P23" s="122" t="n"/>
      <c r="Q23" s="122" t="n"/>
      <c r="R23" s="122" t="n"/>
      <c r="S23" s="122" t="n"/>
      <c r="T23" s="3" t="n"/>
      <c r="U23" s="3" t="n"/>
      <c r="V23" s="3" t="n"/>
    </row>
    <row r="24" ht="70" customHeight="1">
      <c r="A24" s="3" t="inlineStr">
        <is>
          <t>fuel_oil</t>
        </is>
      </c>
      <c r="B24" s="120" t="n">
        <v>2026</v>
      </c>
      <c r="C24" s="121">
        <f>IF(ISNUMBER('Evidence'!J11),'Evidence'!J11,"")</f>
        <v/>
      </c>
      <c r="D24" s="121">
        <f>IF(ISNUMBER('Evidence'!J12),'Evidence'!J12,"")</f>
        <v/>
      </c>
      <c r="E24" s="121" t="inlineStr">
        <is>
          <t>Unresolved</t>
        </is>
      </c>
      <c r="F24" s="121">
        <f>IF(E24="FIASA",IF(ISNUMBER(C24),C24,""),IF(E24="Department",IF(ISNUMBER(D24),D24,""),""))</f>
        <v/>
      </c>
      <c r="G24" s="121">
        <f>IF(E24="Unresolved","No source selected",IF(ISNUMBER(F24),"Working choice - awaiting review","Selected source missing"))</f>
        <v/>
      </c>
      <c r="H24" s="121" t="inlineStr">
        <is>
          <t>Nigel / Manish</t>
        </is>
      </c>
      <c r="I24" s="121" t="inlineStr">
        <is>
          <t>Working comparator only; retain prior FIASA comparison pending reconciliation.</t>
        </is>
      </c>
      <c r="J24" s="121" t="inlineStr">
        <is>
          <t>Before baseline acceptance</t>
        </is>
      </c>
      <c r="K24" s="122" t="n"/>
      <c r="L24" s="122" t="n"/>
      <c r="M24" s="122" t="n"/>
      <c r="N24" s="122" t="n"/>
      <c r="O24" s="122" t="n"/>
      <c r="P24" s="122" t="n"/>
      <c r="Q24" s="122" t="n"/>
      <c r="R24" s="122" t="n"/>
      <c r="S24" s="122" t="n"/>
      <c r="T24" s="3" t="n"/>
      <c r="U24" s="3" t="n"/>
      <c r="V24" s="3" t="n"/>
    </row>
    <row r="25" ht="70" customHeight="1">
      <c r="A25" s="3" t="n"/>
      <c r="B25" s="3" t="n"/>
      <c r="C25" s="3" t="n"/>
      <c r="D25" s="121" t="n"/>
      <c r="E25" s="121" t="n"/>
      <c r="F25" s="121" t="n"/>
      <c r="G25" s="121" t="n"/>
      <c r="H25" s="121" t="n"/>
      <c r="I25" s="121" t="n"/>
      <c r="J25" s="121" t="n"/>
      <c r="K25" s="122" t="n"/>
      <c r="L25" s="122" t="n"/>
      <c r="M25" s="122" t="n"/>
      <c r="N25" s="122" t="n"/>
      <c r="O25" s="122" t="n"/>
      <c r="P25" s="122" t="n"/>
      <c r="Q25" s="122" t="n"/>
      <c r="R25" s="122" t="n"/>
      <c r="S25" s="122" t="n"/>
      <c r="T25" s="3" t="n"/>
      <c r="U25" s="3" t="n"/>
      <c r="V25" s="3" t="n"/>
    </row>
    <row r="26" ht="70" customHeight="1">
      <c r="A26" s="3" t="n"/>
      <c r="B26" s="3" t="n"/>
      <c r="C26" s="3" t="n"/>
      <c r="D26" s="121" t="n"/>
      <c r="E26" s="121" t="n"/>
      <c r="F26" s="121" t="n"/>
      <c r="G26" s="121" t="n"/>
      <c r="H26" s="121" t="n"/>
      <c r="I26" s="121" t="n"/>
      <c r="J26" s="121" t="n"/>
      <c r="K26" s="122" t="n"/>
      <c r="L26" s="122" t="n"/>
      <c r="M26" s="122" t="n"/>
      <c r="N26" s="122" t="n"/>
      <c r="O26" s="122" t="n"/>
      <c r="P26" s="122" t="n"/>
      <c r="Q26" s="122" t="n"/>
      <c r="R26" s="122" t="n"/>
      <c r="S26" s="122" t="n"/>
      <c r="T26" s="3" t="n"/>
      <c r="U26" s="3" t="n"/>
      <c r="V26" s="3" t="n"/>
    </row>
    <row r="27" ht="70" customHeight="1">
      <c r="A27" s="3" t="n"/>
      <c r="B27" s="3" t="n"/>
      <c r="C27" s="3" t="n"/>
      <c r="D27" s="121" t="n"/>
      <c r="E27" s="121" t="n"/>
      <c r="F27" s="121" t="n"/>
      <c r="G27" s="121" t="n"/>
      <c r="H27" s="121" t="n"/>
      <c r="I27" s="121" t="n"/>
      <c r="J27" s="121" t="n"/>
      <c r="K27" s="122" t="n"/>
      <c r="L27" s="122" t="n"/>
      <c r="M27" s="122" t="n"/>
      <c r="N27" s="122" t="n"/>
      <c r="O27" s="122" t="n"/>
      <c r="P27" s="122" t="n"/>
      <c r="Q27" s="122" t="n"/>
      <c r="R27" s="122" t="n"/>
      <c r="S27" s="122" t="n"/>
      <c r="T27" s="3" t="n"/>
      <c r="U27" s="3" t="n"/>
      <c r="V27" s="3" t="n"/>
    </row>
    <row r="28" ht="70" customHeight="1">
      <c r="A28" s="3" t="n"/>
      <c r="B28" s="3" t="n"/>
      <c r="C28" s="3" t="n"/>
      <c r="D28" s="121" t="n"/>
      <c r="E28" s="121" t="n"/>
      <c r="F28" s="121" t="n"/>
      <c r="G28" s="121" t="n"/>
      <c r="H28" s="121" t="n"/>
      <c r="I28" s="121" t="n"/>
      <c r="J28" s="121" t="n"/>
      <c r="K28" s="122" t="n"/>
      <c r="L28" s="122" t="n"/>
      <c r="M28" s="122" t="n"/>
      <c r="N28" s="122" t="n"/>
      <c r="O28" s="122" t="n"/>
      <c r="P28" s="122" t="n"/>
      <c r="Q28" s="122" t="n"/>
      <c r="R28" s="122" t="n"/>
      <c r="S28" s="122" t="n"/>
      <c r="T28" s="3" t="n"/>
      <c r="U28" s="3" t="n"/>
      <c r="V28" s="3" t="n"/>
    </row>
    <row r="29" ht="70" customHeight="1">
      <c r="A29" s="3" t="n"/>
      <c r="B29" s="3" t="n"/>
      <c r="C29" s="3" t="n"/>
      <c r="D29" s="121" t="n"/>
      <c r="E29" s="121" t="n"/>
      <c r="F29" s="121" t="n"/>
      <c r="G29" s="121" t="n"/>
      <c r="H29" s="121" t="n"/>
      <c r="I29" s="121" t="n"/>
      <c r="J29" s="121" t="n"/>
      <c r="K29" s="122" t="n"/>
      <c r="L29" s="122" t="n"/>
      <c r="M29" s="122" t="n"/>
      <c r="N29" s="122" t="n"/>
      <c r="O29" s="122" t="n"/>
      <c r="P29" s="122" t="n"/>
      <c r="Q29" s="122" t="n"/>
      <c r="R29" s="122" t="n"/>
      <c r="S29" s="122" t="n"/>
      <c r="T29" s="3" t="n"/>
      <c r="U29" s="3" t="n"/>
      <c r="V29" s="3" t="n"/>
    </row>
    <row r="30" ht="70" customHeight="1">
      <c r="A30" s="3" t="n"/>
      <c r="B30" s="3" t="n"/>
      <c r="C30" s="3" t="n"/>
      <c r="D30" s="121" t="n"/>
      <c r="E30" s="121" t="n"/>
      <c r="F30" s="121" t="n"/>
      <c r="G30" s="121" t="n"/>
      <c r="H30" s="121" t="n"/>
      <c r="I30" s="121" t="n"/>
      <c r="J30" s="121" t="n"/>
      <c r="K30" s="122" t="n"/>
      <c r="L30" s="122" t="n"/>
      <c r="M30" s="122" t="n"/>
      <c r="N30" s="122" t="n"/>
      <c r="O30" s="122" t="n"/>
      <c r="P30" s="122" t="n"/>
      <c r="Q30" s="122" t="n"/>
      <c r="R30" s="122" t="n"/>
      <c r="S30" s="122" t="n"/>
      <c r="T30" s="3" t="n"/>
      <c r="U30" s="3" t="n"/>
      <c r="V30" s="3" t="n"/>
    </row>
    <row r="31" ht="70" customHeight="1">
      <c r="A31" s="3" t="n"/>
      <c r="B31" s="3" t="n"/>
      <c r="C31" s="3" t="n"/>
      <c r="D31" s="121" t="n"/>
      <c r="E31" s="121" t="n"/>
      <c r="F31" s="121" t="n"/>
      <c r="G31" s="121" t="n"/>
      <c r="H31" s="121" t="n"/>
      <c r="I31" s="121" t="n"/>
      <c r="J31" s="121" t="n"/>
      <c r="K31" s="122" t="n"/>
      <c r="L31" s="122" t="n"/>
      <c r="M31" s="122" t="n"/>
      <c r="N31" s="122" t="n"/>
      <c r="O31" s="122" t="n"/>
      <c r="P31" s="122" t="n"/>
      <c r="Q31" s="122" t="n"/>
      <c r="R31" s="122" t="n"/>
      <c r="S31" s="122" t="n"/>
      <c r="T31" s="3" t="n"/>
      <c r="U31" s="3" t="n"/>
      <c r="V31" s="3" t="n"/>
    </row>
    <row r="32" ht="70" customHeight="1">
      <c r="A32" s="3" t="n"/>
      <c r="B32" s="3" t="n"/>
      <c r="C32" s="3" t="n"/>
      <c r="D32" s="121" t="n"/>
      <c r="E32" s="121" t="n"/>
      <c r="F32" s="121" t="n"/>
      <c r="G32" s="121" t="n"/>
      <c r="H32" s="121" t="n"/>
      <c r="I32" s="121" t="n"/>
      <c r="J32" s="121" t="n"/>
      <c r="K32" s="122" t="n"/>
      <c r="L32" s="122" t="n"/>
      <c r="M32" s="122" t="n"/>
      <c r="N32" s="122" t="n"/>
      <c r="O32" s="122" t="n"/>
      <c r="P32" s="122" t="n"/>
      <c r="Q32" s="122" t="n"/>
      <c r="R32" s="122" t="n"/>
      <c r="S32" s="122" t="n"/>
      <c r="T32" s="3" t="n"/>
      <c r="U32" s="3" t="n"/>
      <c r="V32" s="3" t="n"/>
    </row>
    <row r="33" ht="70" customHeight="1">
      <c r="A33" s="3" t="n"/>
      <c r="B33" s="3" t="n"/>
      <c r="C33" s="3" t="n"/>
      <c r="D33" s="121" t="n"/>
      <c r="E33" s="121" t="n"/>
      <c r="F33" s="121" t="n"/>
      <c r="G33" s="121" t="n"/>
      <c r="H33" s="121" t="n"/>
      <c r="I33" s="121" t="n"/>
      <c r="J33" s="121" t="n"/>
      <c r="K33" s="122" t="n"/>
      <c r="L33" s="122" t="n"/>
      <c r="M33" s="122" t="n"/>
      <c r="N33" s="122" t="n"/>
      <c r="O33" s="122" t="n"/>
      <c r="P33" s="122" t="n"/>
      <c r="Q33" s="122" t="n"/>
      <c r="R33" s="122" t="n"/>
      <c r="S33" s="122" t="n"/>
      <c r="T33" s="3" t="n"/>
      <c r="U33" s="3" t="n"/>
      <c r="V33" s="3" t="n"/>
    </row>
    <row r="34" ht="70" customHeight="1">
      <c r="A34" s="3" t="n"/>
      <c r="B34" s="3" t="n"/>
      <c r="C34" s="3" t="n"/>
      <c r="D34" s="121" t="n"/>
      <c r="E34" s="121" t="n"/>
      <c r="F34" s="121" t="n"/>
      <c r="G34" s="121" t="n"/>
      <c r="H34" s="121" t="n"/>
      <c r="I34" s="121" t="n"/>
      <c r="J34" s="121" t="n"/>
      <c r="K34" s="122" t="n"/>
      <c r="L34" s="122" t="n"/>
      <c r="M34" s="122" t="n"/>
      <c r="N34" s="122" t="n"/>
      <c r="O34" s="122" t="n"/>
      <c r="P34" s="122" t="n"/>
      <c r="Q34" s="122" t="n"/>
      <c r="R34" s="122" t="n"/>
      <c r="S34" s="122" t="n"/>
      <c r="T34" s="3" t="n"/>
      <c r="U34" s="3" t="n"/>
      <c r="V34" s="3" t="n"/>
    </row>
    <row r="35" ht="70" customHeight="1">
      <c r="A35" s="3" t="n"/>
      <c r="B35" s="3" t="n"/>
      <c r="C35" s="3" t="n"/>
      <c r="D35" s="121" t="n"/>
      <c r="E35" s="121" t="n"/>
      <c r="F35" s="121" t="n"/>
      <c r="G35" s="121" t="n"/>
      <c r="H35" s="121" t="n"/>
      <c r="I35" s="121" t="n"/>
      <c r="J35" s="121" t="n"/>
      <c r="K35" s="122" t="n"/>
      <c r="L35" s="122" t="n"/>
      <c r="M35" s="122" t="n"/>
      <c r="N35" s="122" t="n"/>
      <c r="O35" s="122" t="n"/>
      <c r="P35" s="122" t="n"/>
      <c r="Q35" s="122" t="n"/>
      <c r="R35" s="122" t="n"/>
      <c r="S35" s="122" t="n"/>
      <c r="T35" s="3" t="n"/>
      <c r="U35" s="3" t="n"/>
      <c r="V35" s="3" t="n"/>
    </row>
  </sheetData>
  <dataValidations count="20">
    <dataValidation sqref="E5" showDropDown="0" showInputMessage="0" showErrorMessage="0" allowBlank="0" type="list">
      <formula1>"FIASA,Department,Unresolved"</formula1>
    </dataValidation>
    <dataValidation sqref="E6" showDropDown="0" showInputMessage="0" showErrorMessage="0" allowBlank="0" type="list">
      <formula1>"FIASA,Department,Unresolved"</formula1>
    </dataValidation>
    <dataValidation sqref="E7" showDropDown="0" showInputMessage="0" showErrorMessage="0" allowBlank="0" type="list">
      <formula1>"FIASA,Department,Unresolved"</formula1>
    </dataValidation>
    <dataValidation sqref="E8" showDropDown="0" showInputMessage="0" showErrorMessage="0" allowBlank="0" type="list">
      <formula1>"FIASA,Department,Unresolved"</formula1>
    </dataValidation>
    <dataValidation sqref="E9" showDropDown="0" showInputMessage="0" showErrorMessage="0" allowBlank="0" type="list">
      <formula1>"FIASA,Department,Unresolved"</formula1>
    </dataValidation>
    <dataValidation sqref="E10" showDropDown="0" showInputMessage="0" showErrorMessage="0" allowBlank="0" type="list">
      <formula1>"FIASA,Department,Unresolved"</formula1>
    </dataValidation>
    <dataValidation sqref="E11" showDropDown="0" showInputMessage="0" showErrorMessage="0" allowBlank="0" type="list">
      <formula1>"FIASA,Department,Unresolved"</formula1>
    </dataValidation>
    <dataValidation sqref="E12" showDropDown="0" showInputMessage="0" showErrorMessage="0" allowBlank="0" type="list">
      <formula1>"FIASA,Department,Unresolved"</formula1>
    </dataValidation>
    <dataValidation sqref="E13" showDropDown="0" showInputMessage="0" showErrorMessage="0" allowBlank="0" type="list">
      <formula1>"FIASA,Department,Unresolved"</formula1>
    </dataValidation>
    <dataValidation sqref="E14" showDropDown="0" showInputMessage="0" showErrorMessage="0" allowBlank="0" type="list">
      <formula1>"FIASA,Department,Unresolved"</formula1>
    </dataValidation>
    <dataValidation sqref="E15" showDropDown="0" showInputMessage="0" showErrorMessage="0" allowBlank="0" type="list">
      <formula1>"FIASA,Department,Unresolved"</formula1>
    </dataValidation>
    <dataValidation sqref="E16" showDropDown="0" showInputMessage="0" showErrorMessage="0" allowBlank="0" type="list">
      <formula1>"FIASA,Department,Unresolved"</formula1>
    </dataValidation>
    <dataValidation sqref="E17" showDropDown="0" showInputMessage="0" showErrorMessage="0" allowBlank="0" type="list">
      <formula1>"FIASA,Department,Unresolved"</formula1>
    </dataValidation>
    <dataValidation sqref="E18" showDropDown="0" showInputMessage="0" showErrorMessage="0" allowBlank="0" type="list">
      <formula1>"FIASA,Department,Unresolved"</formula1>
    </dataValidation>
    <dataValidation sqref="E19" showDropDown="0" showInputMessage="0" showErrorMessage="0" allowBlank="0" type="list">
      <formula1>"FIASA,Department,Unresolved"</formula1>
    </dataValidation>
    <dataValidation sqref="E20" showDropDown="0" showInputMessage="0" showErrorMessage="0" allowBlank="0" type="list">
      <formula1>"FIASA,Department,Unresolved"</formula1>
    </dataValidation>
    <dataValidation sqref="E21" showDropDown="0" showInputMessage="0" showErrorMessage="0" allowBlank="0" type="list">
      <formula1>"FIASA,Department,Unresolved"</formula1>
    </dataValidation>
    <dataValidation sqref="E22" showDropDown="0" showInputMessage="0" showErrorMessage="0" allowBlank="0" type="list">
      <formula1>"FIASA,Department,Unresolved"</formula1>
    </dataValidation>
    <dataValidation sqref="E23" showDropDown="0" showInputMessage="0" showErrorMessage="0" allowBlank="0" type="list">
      <formula1>"FIASA,Department,Unresolved"</formula1>
    </dataValidation>
    <dataValidation sqref="E24" showDropDown="0" showInputMessage="0" showErrorMessage="0" allowBlank="0" type="list">
      <formula1>"FIASA,Department,Unresolved"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activeCell="A1" sqref="A1"/>
    </sheetView>
  </sheetViews>
  <sheetFormatPr baseColWidth="8" defaultRowHeight="15"/>
  <cols>
    <col width="21.25" customWidth="1" min="1" max="1"/>
    <col width="36.25" customWidth="1" min="2" max="2"/>
    <col width="40" customWidth="1" min="3" max="3"/>
    <col width="38.75" customWidth="1" min="4" max="4"/>
    <col width="35" customWidth="1" min="5" max="5"/>
    <col width="38.75" customWidth="1" min="6" max="6"/>
  </cols>
  <sheetData>
    <row r="1" ht="28" customHeight="1">
      <c r="A1" s="5" t="inlineStr">
        <is>
          <t>Demand methods by segment</t>
        </is>
      </c>
      <c r="B1" s="3" t="n"/>
      <c r="C1" s="3" t="n"/>
      <c r="D1" s="3" t="n"/>
      <c r="E1" s="3" t="n"/>
      <c r="F1" s="3" t="n"/>
    </row>
    <row r="2" ht="24" customHeight="1">
      <c r="A2" s="7" t="inlineStr">
        <is>
          <t>Agree the method and geographic definition before choosing numerical ranges.</t>
        </is>
      </c>
      <c r="B2" s="3" t="n"/>
      <c r="C2" s="3" t="n"/>
      <c r="D2" s="3" t="n"/>
      <c r="E2" s="3" t="n"/>
      <c r="F2" s="3" t="n"/>
    </row>
    <row r="3">
      <c r="A3" s="3" t="n"/>
      <c r="B3" s="3" t="n"/>
      <c r="C3" s="3" t="n"/>
      <c r="D3" s="3" t="n"/>
      <c r="E3" s="3" t="n"/>
      <c r="F3" s="3" t="n"/>
    </row>
    <row r="4" ht="38" customHeight="1">
      <c r="A4" s="9" t="inlineStr">
        <is>
          <t>Product / segment</t>
        </is>
      </c>
      <c r="B4" s="9" t="inlineStr">
        <is>
          <t>Current model</t>
        </is>
      </c>
      <c r="C4" s="9" t="inlineStr">
        <is>
          <t>Proposed direction</t>
        </is>
      </c>
      <c r="D4" s="9" t="inlineStr">
        <is>
          <t>National / provincial treatment</t>
        </is>
      </c>
      <c r="E4" s="9" t="inlineStr">
        <is>
          <t>Boundary and overlap check</t>
        </is>
      </c>
      <c r="F4" s="9" t="inlineStr">
        <is>
          <t>Evidence / workshop decision</t>
        </is>
      </c>
    </row>
    <row r="5" ht="100" customHeight="1">
      <c r="A5" s="3" t="inlineStr">
        <is>
          <t>Petrol passenger</t>
        </is>
      </c>
      <c r="B5" s="3" t="inlineStr">
        <is>
          <t>National passenger/LCV/HCV cohort model; GDP/capita predicts sales. EV uptake, scrappage, km and fixed cohort efficiency determine litres.</t>
        </is>
      </c>
      <c r="C5" s="3" t="inlineStr">
        <is>
          <t>Retain cohort logic; calibrate opening stock and sales. Separate BEV, PHEV and conventional hybrid.</t>
        </is>
      </c>
      <c r="D5" s="3" t="inlineStr">
        <is>
          <t>Allocate national totals initially; local stock/activity calculations when evidence supports them.</t>
        </is>
      </c>
      <c r="E5" s="3" t="inlineStr">
        <is>
          <t>New-sales shares are not fleet shares. Apply efficiency improvements to new cohorts only.</t>
        </is>
      </c>
      <c r="F5" s="3" t="inlineStr">
        <is>
          <t>Confirm opening stock, drivetrain basis, survival and mileage. Sources: vehicles.yaml; vehicles.py.</t>
        </is>
      </c>
    </row>
    <row r="6" ht="100" customHeight="1">
      <c r="A6" s="3" t="inlineStr">
        <is>
          <t>Diesel road freight</t>
        </is>
      </c>
      <c r="B6" s="3" t="inlineStr">
        <is>
          <t>Heavy-commercial diesel cohort calculation; LCV activity also includes freight and other uses.</t>
        </is>
      </c>
      <c r="C6" s="3" t="inlineStr">
        <is>
          <t>Choose fleet or tonne-km method. Separate diesel, BEV and hybrid trucks by duty cycle; sales feed cohorts, and work shares reflect mileage/payload.</t>
        </is>
      </c>
      <c r="D6" s="3" t="inlineStr">
        <is>
          <t>Define province of fuel purchase versus consumption/corridor. Registrations alone do not locate fuel use.</t>
        </is>
      </c>
      <c r="E6" s="3" t="inlineStr">
        <is>
          <t>Do not add the two methods. Deduct rail diversion once. Separate mining off-road from road trucks.</t>
        </is>
      </c>
      <c r="F6" s="3" t="inlineStr">
        <is>
          <t>Agree freight/LCV scope, truck BEV/hybrid paths, payload, empty running and charging feasibility. See Freight rows 30–45.</t>
        </is>
      </c>
    </row>
    <row r="7" ht="100" customHeight="1">
      <c r="A7" s="3" t="inlineStr">
        <is>
          <t>Other road demand</t>
        </is>
      </c>
      <c r="B7" s="3" t="inlineStr">
        <is>
          <t>Passenger and LCV diesel, and LCV petrol, sit in the vehicle model.</t>
        </is>
      </c>
      <c r="C7" s="3" t="inlineStr">
        <is>
          <t>Retain class-specific calculations and identify buses/taxis explicitly where evidence allows.</t>
        </is>
      </c>
      <c r="D7" s="3" t="inlineStr">
        <is>
          <t>National control totals; documented local allocation or fleet method.</t>
        </is>
      </c>
      <c r="E7" s="3" t="inlineStr">
        <is>
          <t>Do not omit non-freight diesel when reporting national diesel demand.</t>
        </is>
      </c>
      <c r="F7" s="3" t="inlineStr">
        <is>
          <t>Clarify which vehicle classes include taxis/buses and commercial passenger services.</t>
        </is>
      </c>
    </row>
    <row r="8" ht="100" customHeight="1">
      <c r="A8" s="3" t="inlineStr">
        <is>
          <t>Diesel agriculture</t>
        </is>
      </c>
      <c r="B8" s="3" t="inlineStr">
        <is>
          <t>Held baseline × (GDP/capita ratio)^elasticity. 2024 baseline 700 million L; elasticity 0.2. Both provisional.</t>
        </is>
      </c>
      <c r="C8" s="3" t="inlineStr">
        <is>
          <t>Reconciled baseline × agricultural activity ratio × relative fuel intensity. Select crops/hectares/output or subsegments.</t>
        </is>
      </c>
      <c r="D8" s="3" t="inlineStr">
        <is>
          <t>Provincial agricultural activity allocates baseline and drives changes; national total sums local results.</t>
        </is>
      </c>
      <c r="E8" s="3" t="inlineStr">
        <is>
          <t>Separate machinery, irrigation, road vehicles and backup generation.</t>
        </is>
      </c>
      <c r="F8" s="3" t="inlineStr">
        <is>
          <t>Choose source/baseline year and activity proxy; agree whether intensity already includes mechanisation.</t>
        </is>
      </c>
    </row>
    <row r="9" ht="100" customHeight="1">
      <c r="A9" s="3" t="inlineStr">
        <is>
          <t>Diesel manufacturing</t>
        </is>
      </c>
      <c r="B9" s="3" t="inlineStr">
        <is>
          <t>Current combined industrial bucket includes manufacturing, mining and construction; no separate manufacturing output.</t>
        </is>
      </c>
      <c r="C9" s="3" t="inlineStr">
        <is>
          <t>Separate manufacturing baseline × production/activity × relative intensity × remaining diesel fraction.</t>
        </is>
      </c>
      <c r="D9" s="3" t="inlineStr">
        <is>
          <t>Local manufacturing/site activity where evidenced; retain unknown coverage.</t>
        </is>
      </c>
      <c r="E9" s="3" t="inlineStr">
        <is>
          <t>Separate process/equipment diesel from road freight and backup generation. Electrification is counted once.</t>
        </is>
      </c>
      <c r="F9" s="3" t="inlineStr">
        <is>
          <t>See Manufacturing. Split/revise the combined baseline explicitly and retain construction/other.</t>
        </is>
      </c>
    </row>
    <row r="10" ht="100" customHeight="1">
      <c r="A10" s="3" t="inlineStr">
        <is>
          <t>Diesel generation</t>
        </is>
      </c>
      <c r="B10" s="3" t="inlineStr">
        <is>
          <t>National OCGT capacity/load factor/efficiency pathway.</t>
        </is>
      </c>
      <c r="C10" s="3" t="inlineStr">
        <is>
          <t>Plant generation × fuel per kWh; grid plants and private backup separately.</t>
        </is>
      </c>
      <c r="D10" s="3" t="inlineStr">
        <is>
          <t>Grid plants assigned by location; private backup needs an evidenced allocation.</t>
        </is>
      </c>
      <c r="E10" s="3" t="inlineStr">
        <is>
          <t>No second load-shedding increment if already in generation. Fiscal/calendar and plant coverage must match.</t>
        </is>
      </c>
      <c r="F10" s="3" t="inlineStr">
        <is>
          <t>Fit generation-to-litres; agree dispatch and private-backup evidence.</t>
        </is>
      </c>
    </row>
    <row r="11" ht="100" customHeight="1">
      <c r="A11" s="3" t="inlineStr">
        <is>
          <t>Jet aviation</t>
        </is>
      </c>
      <c r="B11" s="3" t="inlineStr">
        <is>
          <t>Legacy passenger regression; movement-driver proposal awaits refit.</t>
        </is>
      </c>
      <c r="C11" s="3" t="inlineStr">
        <is>
          <t>Aircraft activity × calibrated fuel relationship including aircraft/route mix.</t>
        </is>
      </c>
      <c r="D11" s="3" t="inlineStr">
        <is>
          <t>Airport-level evidence preferred; sum airports and retain unallocated coverage.</t>
        </is>
      </c>
      <c r="E11" s="3" t="inlineStr">
        <is>
          <t>Distinguish fuel uplift from overflight/use. Cargo, non-ACSA and international scope explicit.</t>
        </is>
      </c>
      <c r="F11" s="3" t="inlineStr">
        <is>
          <t>Match movements with jet deliveries. SAF changes fossil share, not total jet litres by itself.</t>
        </is>
      </c>
    </row>
    <row r="12" ht="100" customHeight="1">
      <c r="A12" s="3" t="inlineStr">
        <is>
          <t>Marine / other</t>
        </is>
      </c>
      <c r="B12" s="3" t="inlineStr">
        <is>
          <t>Held marine baseline, GDP response and product split; other uses need a coverage review.</t>
        </is>
      </c>
      <c r="C12" s="3" t="inlineStr">
        <is>
          <t>Port/vessel activity × fuel intensity or reconciled indexed baseline.</t>
        </is>
      </c>
      <c r="D12" s="3" t="inlineStr">
        <is>
          <t>Port evidence where available; unknown location remains unallocated.</t>
        </is>
      </c>
      <c r="E12" s="3" t="inlineStr">
        <is>
          <t>Define domestic versus international bunkers; diesel grade and fuel oil stay explicit.</t>
        </is>
      </c>
      <c r="F12" s="3" t="inlineStr">
        <is>
          <t>Agree coverage and identify residual demand without treating the residual as a new measured segment.</t>
        </is>
      </c>
    </row>
    <row r="13" ht="100" customHeight="1">
      <c r="A13" s="3" t="inlineStr">
        <is>
          <t>Cross-cutting rule</t>
        </is>
      </c>
      <c r="B13" s="3" t="inlineStr">
        <is>
          <t>One fuel total must reconcile across all included segments.</t>
        </is>
      </c>
      <c r="C13" s="3" t="inlineStr">
        <is>
          <t>National total = provinces + explicitly unallocated demand.</t>
        </is>
      </c>
      <c r="D13" s="3" t="inlineStr">
        <is>
          <t>Use one approach per segment: allocated or locally calculated.</t>
        </is>
      </c>
      <c r="E13" s="3" t="inlineStr">
        <is>
          <t>Do not reallocate a component already calculated provincially. GDP must not multiply several overlapping effects.</t>
        </is>
      </c>
      <c r="F13" s="3" t="inlineStr">
        <is>
          <t>Source: https://github.com/Africa-International-Advisors/liquid_fuels_model/blob/8c69f8333192483f19cd80911cb90fcd0943eb6b/workstreams/WS0_governance/workplan/fuel_lever_review_2026-10-07.md</t>
        </is>
      </c>
    </row>
    <row r="14" ht="100" customHeight="1">
      <c r="A14" s="3" t="inlineStr">
        <is>
          <t>Diesel mining</t>
        </is>
      </c>
      <c r="B14" s="3" t="inlineStr">
        <is>
          <t>Current combined industrial bucket; no separate mining output.</t>
        </is>
      </c>
      <c r="C14" s="3" t="inlineStr">
        <is>
          <t>Mining baseline × activity × operating intensity × remaining diesel fraction; fit sites/subsectors where possible.</t>
        </is>
      </c>
      <c r="D14" s="3" t="inlineStr">
        <is>
          <t>Mine-site geography and activity; explicit unallocated remainder.</t>
        </is>
      </c>
      <c r="E14" s="3" t="inlineStr">
        <is>
          <t>Separate mine-site/off-road work from public-road freight; backup fuel belongs to one segment.</t>
        </is>
      </c>
      <c r="F14" s="3" t="inlineStr">
        <is>
          <t>See Mining. Review commodity output versus material moved and mine-equipment electrification.</t>
        </is>
      </c>
    </row>
    <row r="15" ht="52" customHeight="1">
      <c r="A15" s="3" t="n"/>
      <c r="B15" s="3" t="n"/>
      <c r="C15" s="3" t="n"/>
      <c r="D15" s="3" t="n"/>
      <c r="E15" s="3" t="n"/>
      <c r="F15" s="3" t="n"/>
    </row>
    <row r="16" ht="52" customHeight="1">
      <c r="A16" s="3" t="n"/>
      <c r="B16" s="3" t="n"/>
      <c r="C16" s="3" t="n"/>
      <c r="D16" s="3" t="n"/>
      <c r="E16" s="3" t="n"/>
      <c r="F16" s="3"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V60"/>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5" t="inlineStr">
        <is>
          <t>Petrol passenger demand</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7" t="inlineStr">
        <is>
          <t>Current national high_demand case • Values are provisional model inputs/outputs, not observed demand.</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Current engine inputs</t>
        </is>
      </c>
      <c r="B5" s="11" t="n"/>
      <c r="C5" s="11" t="n"/>
      <c r="D5" s="11" t="n"/>
      <c r="E5" s="11" t="n"/>
      <c r="F5" s="25" t="n"/>
      <c r="G5" s="25" t="n"/>
      <c r="H5" s="25" t="n"/>
      <c r="I5" s="25" t="n"/>
      <c r="J5" s="25" t="n"/>
      <c r="K5" s="25" t="n"/>
      <c r="L5" s="25" t="n"/>
      <c r="M5" s="25" t="n"/>
      <c r="N5" s="25" t="n"/>
      <c r="O5" s="25" t="n"/>
      <c r="P5" s="25" t="n"/>
      <c r="Q5" s="25" t="n"/>
      <c r="R5" s="25" t="n"/>
      <c r="S5" s="25" t="n"/>
      <c r="T5" s="3" t="n"/>
      <c r="U5" s="3" t="n"/>
      <c r="V5" s="3" t="n"/>
    </row>
    <row r="6" ht="30" customHeight="1">
      <c r="A6" s="3" t="inlineStr">
        <is>
          <t>GDP per capita</t>
        </is>
      </c>
      <c r="B6" s="3" t="inlineStr">
        <is>
          <t>2015 ZAR/person</t>
        </is>
      </c>
      <c r="C6" s="3" t="inlineStr">
        <is>
          <t>Input series</t>
        </is>
      </c>
      <c r="D6" s="121" t="n"/>
      <c r="E6" s="3" t="inlineStr">
        <is>
          <t>Shared macro driver. Model forecasts beyond the source observation window.</t>
        </is>
      </c>
      <c r="F6" s="122">
        <f>IF(ISNUMBER('Model run'!F5),'Model run'!F5,"")</f>
        <v/>
      </c>
      <c r="G6" s="122">
        <f>IF(ISNUMBER('Model run'!G5),'Model run'!G5,"")</f>
        <v/>
      </c>
      <c r="H6" s="122">
        <f>IF(ISNUMBER('Model run'!H5),'Model run'!H5,"")</f>
        <v/>
      </c>
      <c r="I6" s="122">
        <f>IF(ISNUMBER('Model run'!I5),'Model run'!I5,"")</f>
        <v/>
      </c>
      <c r="J6" s="122">
        <f>IF(ISNUMBER('Model run'!J5),'Model run'!J5,"")</f>
        <v/>
      </c>
      <c r="K6" s="122">
        <f>IF(ISNUMBER('Model run'!K5),'Model run'!K5,"")</f>
        <v/>
      </c>
      <c r="L6" s="122">
        <f>IF(ISNUMBER('Model run'!L5),'Model run'!L5,"")</f>
        <v/>
      </c>
      <c r="M6" s="122">
        <f>IF(ISNUMBER('Model run'!M5),'Model run'!M5,"")</f>
        <v/>
      </c>
      <c r="N6" s="122">
        <f>IF(ISNUMBER('Model run'!N5),'Model run'!N5,"")</f>
        <v/>
      </c>
      <c r="O6" s="122">
        <f>IF(ISNUMBER('Model run'!O5),'Model run'!O5,"")</f>
        <v/>
      </c>
      <c r="P6" s="122">
        <f>IF(ISNUMBER('Model run'!P5),'Model run'!P5,"")</f>
        <v/>
      </c>
      <c r="Q6" s="122">
        <f>IF(ISNUMBER('Model run'!Q5),'Model run'!Q5,"")</f>
        <v/>
      </c>
      <c r="R6" s="122">
        <f>IF(ISNUMBER('Model run'!R5),'Model run'!R5,"")</f>
        <v/>
      </c>
      <c r="S6" s="122">
        <f>IF(ISNUMBER('Model run'!S5),'Model run'!S5,"")</f>
        <v/>
      </c>
      <c r="T6" s="3" t="n"/>
      <c r="U6" s="3" t="n"/>
      <c r="V6" s="3" t="n"/>
    </row>
    <row r="7" ht="30" customHeight="1">
      <c r="A7" s="3" t="inlineStr">
        <is>
          <t>New-sales regression slope</t>
        </is>
      </c>
      <c r="B7" s="3" t="inlineStr">
        <is>
          <t>vehicles / ZAR pc</t>
        </is>
      </c>
      <c r="C7" s="3" t="inlineStr">
        <is>
          <t>Scalar</t>
        </is>
      </c>
      <c r="D7" s="123">
        <f>IF(ISNUMBER('Model run'!D6),'Model run'!D6,"")</f>
        <v/>
      </c>
      <c r="E7" s="3" t="inlineStr">
        <is>
          <t>Sales = max(0, slope × GDP/capita + intercept). Applies to all new vehicles.</t>
        </is>
      </c>
      <c r="F7" s="122" t="n"/>
      <c r="G7" s="122" t="n"/>
      <c r="H7" s="122" t="n"/>
      <c r="I7" s="122" t="n"/>
      <c r="J7" s="122" t="n"/>
      <c r="K7" s="122" t="n"/>
      <c r="L7" s="122" t="n"/>
      <c r="M7" s="122" t="n"/>
      <c r="N7" s="122" t="n"/>
      <c r="O7" s="122" t="n"/>
      <c r="P7" s="122" t="n"/>
      <c r="Q7" s="122" t="n"/>
      <c r="R7" s="122" t="n"/>
      <c r="S7" s="122" t="n"/>
      <c r="T7" s="3" t="n"/>
      <c r="U7" s="3" t="n"/>
      <c r="V7" s="3" t="n"/>
    </row>
    <row r="8" ht="30" customHeight="1">
      <c r="A8" s="3" t="inlineStr">
        <is>
          <t>New-sales regression intercept</t>
        </is>
      </c>
      <c r="B8" s="3" t="inlineStr">
        <is>
          <t>vehicles/year</t>
        </is>
      </c>
      <c r="C8" s="3" t="inlineStr">
        <is>
          <t>Scalar</t>
        </is>
      </c>
      <c r="D8" s="121">
        <f>IF(ISNUMBER('Model run'!D7),'Model run'!D7,"")</f>
        <v/>
      </c>
      <c r="E8" s="3" t="inlineStr">
        <is>
          <t>Legacy fitted parameter; historical validity needs review.</t>
        </is>
      </c>
      <c r="F8" s="122" t="n"/>
      <c r="G8" s="122" t="n"/>
      <c r="H8" s="122" t="n"/>
      <c r="I8" s="122" t="n"/>
      <c r="J8" s="122" t="n"/>
      <c r="K8" s="122" t="n"/>
      <c r="L8" s="122" t="n"/>
      <c r="M8" s="122" t="n"/>
      <c r="N8" s="122" t="n"/>
      <c r="O8" s="122" t="n"/>
      <c r="P8" s="122" t="n"/>
      <c r="Q8" s="122" t="n"/>
      <c r="R8" s="122" t="n"/>
      <c r="S8" s="122" t="n"/>
      <c r="T8" s="3" t="n"/>
      <c r="U8" s="3" t="n"/>
      <c r="V8" s="3" t="n"/>
    </row>
    <row r="9" ht="30" customHeight="1">
      <c r="A9" s="3" t="inlineStr">
        <is>
          <t>Passenger share of new sales</t>
        </is>
      </c>
      <c r="B9" s="3" t="inlineStr">
        <is>
          <t>share</t>
        </is>
      </c>
      <c r="C9" s="3" t="inlineStr">
        <is>
          <t>Scalar</t>
        </is>
      </c>
      <c r="D9" s="124">
        <f>IF(ISNUMBER('Model run'!D8),'Model run'!D8,"")</f>
        <v/>
      </c>
      <c r="E9" s="3" t="inlineStr">
        <is>
          <t>Current provisional split of total modelled new sales.</t>
        </is>
      </c>
      <c r="F9" s="125" t="n"/>
      <c r="G9" s="125" t="n"/>
      <c r="H9" s="125" t="n"/>
      <c r="I9" s="125" t="n"/>
      <c r="J9" s="125" t="n"/>
      <c r="K9" s="125" t="n"/>
      <c r="L9" s="125" t="n"/>
      <c r="M9" s="125" t="n"/>
      <c r="N9" s="125" t="n"/>
      <c r="O9" s="125" t="n"/>
      <c r="P9" s="125" t="n"/>
      <c r="Q9" s="125" t="n"/>
      <c r="R9" s="125" t="n"/>
      <c r="S9" s="125" t="n"/>
      <c r="T9" s="3" t="n"/>
      <c r="U9" s="3" t="n"/>
      <c r="V9" s="3" t="n"/>
    </row>
    <row r="10" ht="30" customHeight="1">
      <c r="A10" s="3" t="inlineStr">
        <is>
          <t>Petrol share of passenger ICE sales</t>
        </is>
      </c>
      <c r="B10" s="3" t="inlineStr">
        <is>
          <t>share</t>
        </is>
      </c>
      <c r="C10" s="3" t="inlineStr">
        <is>
          <t>Scalar</t>
        </is>
      </c>
      <c r="D10" s="124">
        <f>IF(ISNUMBER('Model run'!D9),'Model run'!D9,"")</f>
        <v/>
      </c>
      <c r="E10" s="3" t="inlineStr">
        <is>
          <t>Applies after current EV adjustment. Hybrids are not separately modelled.</t>
        </is>
      </c>
      <c r="F10" s="125" t="n"/>
      <c r="G10" s="125" t="n"/>
      <c r="H10" s="125" t="n"/>
      <c r="I10" s="125" t="n"/>
      <c r="J10" s="125" t="n"/>
      <c r="K10" s="125" t="n"/>
      <c r="L10" s="125" t="n"/>
      <c r="M10" s="125" t="n"/>
      <c r="N10" s="125" t="n"/>
      <c r="O10" s="125" t="n"/>
      <c r="P10" s="125" t="n"/>
      <c r="Q10" s="125" t="n"/>
      <c r="R10" s="125" t="n"/>
      <c r="S10" s="125" t="n"/>
      <c r="T10" s="3" t="n"/>
      <c r="U10" s="3" t="n"/>
      <c r="V10" s="3" t="n"/>
    </row>
    <row r="11" ht="30" customHeight="1">
      <c r="A11" s="3" t="inlineStr">
        <is>
          <t>Passenger annual mileage</t>
        </is>
      </c>
      <c r="B11" s="3" t="inlineStr">
        <is>
          <t>km/vehicle/year</t>
        </is>
      </c>
      <c r="C11" s="3" t="inlineStr">
        <is>
          <t>Scalar</t>
        </is>
      </c>
      <c r="D11" s="121">
        <f>IF(ISNUMBER('Model run'!D10),'Model run'!D10,"")</f>
        <v/>
      </c>
      <c r="E11" s="3" t="inlineStr">
        <is>
          <t>Current placeholder. Proposed HML brackets appear on HML sheet.</t>
        </is>
      </c>
      <c r="F11" s="122" t="n"/>
      <c r="G11" s="122" t="n"/>
      <c r="H11" s="122" t="n"/>
      <c r="I11" s="122" t="n"/>
      <c r="J11" s="122" t="n"/>
      <c r="K11" s="122" t="n"/>
      <c r="L11" s="122" t="n"/>
      <c r="M11" s="122" t="n"/>
      <c r="N11" s="122" t="n"/>
      <c r="O11" s="122" t="n"/>
      <c r="P11" s="122" t="n"/>
      <c r="Q11" s="122" t="n"/>
      <c r="R11" s="122" t="n"/>
      <c r="S11" s="122" t="n"/>
      <c r="T11" s="3" t="n"/>
      <c r="U11" s="3" t="n"/>
      <c r="V11" s="3" t="n"/>
    </row>
    <row r="12" ht="30" customHeight="1">
      <c r="A12" s="3" t="inlineStr">
        <is>
          <t>Passenger retirement rate</t>
        </is>
      </c>
      <c r="B12" s="3" t="inlineStr">
        <is>
          <t>share/year</t>
        </is>
      </c>
      <c r="C12" s="3" t="inlineStr">
        <is>
          <t>Scalar</t>
        </is>
      </c>
      <c r="D12" s="124">
        <f>IF(ISNUMBER('Model run'!D11),'Model run'!D11,"")</f>
        <v/>
      </c>
      <c r="E12" s="3" t="inlineStr">
        <is>
          <t>Current engine scraps all cohorts, including additions, within the year.</t>
        </is>
      </c>
      <c r="F12" s="125" t="n"/>
      <c r="G12" s="125" t="n"/>
      <c r="H12" s="125" t="n"/>
      <c r="I12" s="125" t="n"/>
      <c r="J12" s="125" t="n"/>
      <c r="K12" s="125" t="n"/>
      <c r="L12" s="125" t="n"/>
      <c r="M12" s="125" t="n"/>
      <c r="N12" s="125" t="n"/>
      <c r="O12" s="125" t="n"/>
      <c r="P12" s="125" t="n"/>
      <c r="Q12" s="125" t="n"/>
      <c r="R12" s="125" t="n"/>
      <c r="S12" s="125" t="n"/>
      <c r="T12" s="3" t="n"/>
      <c r="U12" s="3" t="n"/>
      <c r="V12" s="3" t="n"/>
    </row>
    <row r="13" ht="30" customHeight="1">
      <c r="A13" s="3" t="inlineStr">
        <is>
          <t>Base new petrol vehicle consumption</t>
        </is>
      </c>
      <c r="B13" s="3" t="inlineStr">
        <is>
          <t>L/100 km</t>
        </is>
      </c>
      <c r="C13" s="3" t="inlineStr">
        <is>
          <t>Scalar</t>
        </is>
      </c>
      <c r="D13" s="121">
        <f>IF(ISNUMBER('Model run'!D12),'Model run'!D12,"")</f>
        <v/>
      </c>
      <c r="E13" s="3" t="inlineStr">
        <is>
          <t>Entry-cohort baseline before cumulative efficiency gains.</t>
        </is>
      </c>
      <c r="F13" s="122" t="n"/>
      <c r="G13" s="122" t="n"/>
      <c r="H13" s="122" t="n"/>
      <c r="I13" s="122" t="n"/>
      <c r="J13" s="122" t="n"/>
      <c r="K13" s="122" t="n"/>
      <c r="L13" s="122" t="n"/>
      <c r="M13" s="122" t="n"/>
      <c r="N13" s="122" t="n"/>
      <c r="O13" s="122" t="n"/>
      <c r="P13" s="122" t="n"/>
      <c r="Q13" s="122" t="n"/>
      <c r="R13" s="122" t="n"/>
      <c r="S13" s="122" t="n"/>
      <c r="T13" s="3" t="n"/>
      <c r="U13" s="3" t="n"/>
      <c r="V13" s="3" t="n"/>
    </row>
    <row r="14" ht="30" customHeight="1">
      <c r="A14" s="3" t="inlineStr">
        <is>
          <t>New-cohort efficiency gain</t>
        </is>
      </c>
      <c r="B14" s="3" t="inlineStr">
        <is>
          <t>fraction/year</t>
        </is>
      </c>
      <c r="C14" s="3" t="inlineStr">
        <is>
          <t>Input series</t>
        </is>
      </c>
      <c r="D14" s="124" t="n"/>
      <c r="E14" s="3" t="inlineStr">
        <is>
          <t>Applied cumulatively to new cohorts; older cohorts retain their… [N029]</t>
        </is>
      </c>
      <c r="F14" s="125">
        <f>IF(ISNUMBER('Model run'!F13),'Model run'!F13,"")</f>
        <v/>
      </c>
      <c r="G14" s="125">
        <f>IF(ISNUMBER('Model run'!G13),'Model run'!G13,"")</f>
        <v/>
      </c>
      <c r="H14" s="125">
        <f>IF(ISNUMBER('Model run'!H13),'Model run'!H13,"")</f>
        <v/>
      </c>
      <c r="I14" s="125">
        <f>IF(ISNUMBER('Model run'!I13),'Model run'!I13,"")</f>
        <v/>
      </c>
      <c r="J14" s="125">
        <f>IF(ISNUMBER('Model run'!J13),'Model run'!J13,"")</f>
        <v/>
      </c>
      <c r="K14" s="125">
        <f>IF(ISNUMBER('Model run'!K13),'Model run'!K13,"")</f>
        <v/>
      </c>
      <c r="L14" s="125">
        <f>IF(ISNUMBER('Model run'!L13),'Model run'!L13,"")</f>
        <v/>
      </c>
      <c r="M14" s="125">
        <f>IF(ISNUMBER('Model run'!M13),'Model run'!M13,"")</f>
        <v/>
      </c>
      <c r="N14" s="125">
        <f>IF(ISNUMBER('Model run'!N13),'Model run'!N13,"")</f>
        <v/>
      </c>
      <c r="O14" s="125">
        <f>IF(ISNUMBER('Model run'!O13),'Model run'!O13,"")</f>
        <v/>
      </c>
      <c r="P14" s="125">
        <f>IF(ISNUMBER('Model run'!P13),'Model run'!P13,"")</f>
        <v/>
      </c>
      <c r="Q14" s="125">
        <f>IF(ISNUMBER('Model run'!Q13),'Model run'!Q13,"")</f>
        <v/>
      </c>
      <c r="R14" s="125">
        <f>IF(ISNUMBER('Model run'!R13),'Model run'!R13,"")</f>
        <v/>
      </c>
      <c r="S14" s="125">
        <f>IF(ISNUMBER('Model run'!S13),'Model run'!S13,"")</f>
        <v/>
      </c>
      <c r="T14" s="3" t="n"/>
      <c r="U14" s="3" t="n"/>
      <c r="V14" s="3" t="n"/>
    </row>
    <row r="15" ht="30" customHeight="1">
      <c r="A15" s="3" t="inlineStr">
        <is>
          <t>EV curve ceiling</t>
        </is>
      </c>
      <c r="B15" s="3" t="inlineStr">
        <is>
          <t>share</t>
        </is>
      </c>
      <c r="C15" s="3" t="inlineStr">
        <is>
          <t>Parameter</t>
        </is>
      </c>
      <c r="D15" s="124">
        <f>IF(ISNUMBER('Model run'!D14),'Model run'!D14,"")</f>
        <v/>
      </c>
      <c r="E15" s="3" t="inlineStr">
        <is>
          <t>Current logistic curve parameter. Proposed BEV sales ranges are separate.</t>
        </is>
      </c>
      <c r="F15" s="125" t="n"/>
      <c r="G15" s="125" t="n"/>
      <c r="H15" s="125" t="n"/>
      <c r="I15" s="125" t="n"/>
      <c r="J15" s="125" t="n"/>
      <c r="K15" s="125" t="n"/>
      <c r="L15" s="125" t="n"/>
      <c r="M15" s="125" t="n"/>
      <c r="N15" s="125" t="n"/>
      <c r="O15" s="125" t="n"/>
      <c r="P15" s="125" t="n"/>
      <c r="Q15" s="125" t="n"/>
      <c r="R15" s="125" t="n"/>
      <c r="S15" s="125" t="n"/>
      <c r="T15" s="3" t="n"/>
      <c r="U15" s="3" t="n"/>
      <c r="V15" s="3" t="n"/>
    </row>
    <row r="16" ht="30" customHeight="1">
      <c r="A16" s="3" t="inlineStr">
        <is>
          <t>EV curve midpoint / slope</t>
        </is>
      </c>
      <c r="B16" s="3" t="inlineStr">
        <is>
          <t>year / years</t>
        </is>
      </c>
      <c r="C16" s="3" t="inlineStr">
        <is>
          <t>Parameters</t>
        </is>
      </c>
      <c r="D16" s="121" t="n"/>
      <c r="E16" s="3" t="inlineStr">
        <is>
          <t>2040 / 3. Confirm sales basis and replace with reviewed drivetrain paths.</t>
        </is>
      </c>
      <c r="F16" s="122" t="n"/>
      <c r="G16" s="122" t="n"/>
      <c r="H16" s="122" t="n"/>
      <c r="I16" s="122" t="n"/>
      <c r="J16" s="122" t="n"/>
      <c r="K16" s="122" t="n"/>
      <c r="L16" s="122" t="n"/>
      <c r="M16" s="122" t="n"/>
      <c r="N16" s="122" t="n"/>
      <c r="O16" s="122" t="n"/>
      <c r="P16" s="122" t="n"/>
      <c r="Q16" s="122" t="n"/>
      <c r="R16" s="122" t="n"/>
      <c r="S16" s="122" t="n"/>
      <c r="T16" s="3" t="n"/>
      <c r="U16" s="3" t="n"/>
      <c r="V16" s="3" t="n"/>
    </row>
    <row r="17" ht="28" customHeight="1">
      <c r="A17" s="12" t="inlineStr">
        <is>
          <t>Current engine outputs and reporting calculations</t>
        </is>
      </c>
      <c r="B17" s="11" t="n"/>
      <c r="C17" s="11" t="n"/>
      <c r="D17" s="11" t="n"/>
      <c r="E17" s="11" t="n"/>
      <c r="F17" s="25" t="n"/>
      <c r="G17" s="25" t="n"/>
      <c r="H17" s="25" t="n"/>
      <c r="I17" s="25" t="n"/>
      <c r="J17" s="25" t="n"/>
      <c r="K17" s="25" t="n"/>
      <c r="L17" s="25" t="n"/>
      <c r="M17" s="25" t="n"/>
      <c r="N17" s="25" t="n"/>
      <c r="O17" s="25" t="n"/>
      <c r="P17" s="25" t="n"/>
      <c r="Q17" s="25" t="n"/>
      <c r="R17" s="25" t="n"/>
      <c r="S17" s="25" t="n"/>
      <c r="T17" s="3" t="n"/>
      <c r="U17" s="3" t="n"/>
      <c r="V17" s="3" t="n"/>
    </row>
    <row r="18" ht="30" customHeight="1">
      <c r="A18" s="16" t="inlineStr">
        <is>
          <t>Passenger petrol fleet</t>
        </is>
      </c>
      <c r="B18" s="16" t="inlineStr">
        <is>
          <t>vehicles</t>
        </is>
      </c>
      <c r="C18" s="16" t="inlineStr">
        <is>
          <t>Engine output</t>
        </is>
      </c>
      <c r="D18" s="126" t="n"/>
      <c r="E18" s="16" t="inlineStr">
        <is>
          <t>Cohort stock from engine diagnostics. Opening stock is… [N030]</t>
        </is>
      </c>
      <c r="F18" s="127">
        <f>IF(ISNUMBER('Model run'!F15),'Model run'!F15,"")</f>
        <v/>
      </c>
      <c r="G18" s="127">
        <f>IF(ISNUMBER('Model run'!G15),'Model run'!G15,"")</f>
        <v/>
      </c>
      <c r="H18" s="127">
        <f>IF(ISNUMBER('Model run'!H15),'Model run'!H15,"")</f>
        <v/>
      </c>
      <c r="I18" s="127">
        <f>IF(ISNUMBER('Model run'!I15),'Model run'!I15,"")</f>
        <v/>
      </c>
      <c r="J18" s="127">
        <f>IF(ISNUMBER('Model run'!J15),'Model run'!J15,"")</f>
        <v/>
      </c>
      <c r="K18" s="127">
        <f>IF(ISNUMBER('Model run'!K15),'Model run'!K15,"")</f>
        <v/>
      </c>
      <c r="L18" s="127">
        <f>IF(ISNUMBER('Model run'!L15),'Model run'!L15,"")</f>
        <v/>
      </c>
      <c r="M18" s="127">
        <f>IF(ISNUMBER('Model run'!M15),'Model run'!M15,"")</f>
        <v/>
      </c>
      <c r="N18" s="127">
        <f>IF(ISNUMBER('Model run'!N15),'Model run'!N15,"")</f>
        <v/>
      </c>
      <c r="O18" s="127">
        <f>IF(ISNUMBER('Model run'!O15),'Model run'!O15,"")</f>
        <v/>
      </c>
      <c r="P18" s="127">
        <f>IF(ISNUMBER('Model run'!P15),'Model run'!P15,"")</f>
        <v/>
      </c>
      <c r="Q18" s="127">
        <f>IF(ISNUMBER('Model run'!Q15),'Model run'!Q15,"")</f>
        <v/>
      </c>
      <c r="R18" s="127">
        <f>IF(ISNUMBER('Model run'!R15),'Model run'!R15,"")</f>
        <v/>
      </c>
      <c r="S18" s="127">
        <f>IF(ISNUMBER('Model run'!S15),'Model run'!S15,"")</f>
        <v/>
      </c>
      <c r="T18" s="3" t="n"/>
      <c r="U18" s="3" t="n"/>
      <c r="V18" s="3" t="n"/>
    </row>
    <row r="19" ht="30" customHeight="1">
      <c r="A19" s="16" t="inlineStr">
        <is>
          <t>Passenger petrol vehicle-km</t>
        </is>
      </c>
      <c r="B19" s="16" t="inlineStr">
        <is>
          <t>km/year</t>
        </is>
      </c>
      <c r="C19" s="16" t="inlineStr">
        <is>
          <t>Engine output</t>
        </is>
      </c>
      <c r="D19" s="126" t="n"/>
      <c r="E19" s="16" t="inlineStr">
        <is>
          <t>Engine diagnostic activity for petrol passenger cohorts.</t>
        </is>
      </c>
      <c r="F19" s="127">
        <f>IF(ISNUMBER('Model run'!F16),'Model run'!F16,"")</f>
        <v/>
      </c>
      <c r="G19" s="127">
        <f>IF(ISNUMBER('Model run'!G16),'Model run'!G16,"")</f>
        <v/>
      </c>
      <c r="H19" s="127">
        <f>IF(ISNUMBER('Model run'!H16),'Model run'!H16,"")</f>
        <v/>
      </c>
      <c r="I19" s="127">
        <f>IF(ISNUMBER('Model run'!I16),'Model run'!I16,"")</f>
        <v/>
      </c>
      <c r="J19" s="127">
        <f>IF(ISNUMBER('Model run'!J16),'Model run'!J16,"")</f>
        <v/>
      </c>
      <c r="K19" s="127">
        <f>IF(ISNUMBER('Model run'!K16),'Model run'!K16,"")</f>
        <v/>
      </c>
      <c r="L19" s="127">
        <f>IF(ISNUMBER('Model run'!L16),'Model run'!L16,"")</f>
        <v/>
      </c>
      <c r="M19" s="127">
        <f>IF(ISNUMBER('Model run'!M16),'Model run'!M16,"")</f>
        <v/>
      </c>
      <c r="N19" s="127">
        <f>IF(ISNUMBER('Model run'!N16),'Model run'!N16,"")</f>
        <v/>
      </c>
      <c r="O19" s="127">
        <f>IF(ISNUMBER('Model run'!O16),'Model run'!O16,"")</f>
        <v/>
      </c>
      <c r="P19" s="127">
        <f>IF(ISNUMBER('Model run'!P16),'Model run'!P16,"")</f>
        <v/>
      </c>
      <c r="Q19" s="127">
        <f>IF(ISNUMBER('Model run'!Q16),'Model run'!Q16,"")</f>
        <v/>
      </c>
      <c r="R19" s="127">
        <f>IF(ISNUMBER('Model run'!R16),'Model run'!R16,"")</f>
        <v/>
      </c>
      <c r="S19" s="127">
        <f>IF(ISNUMBER('Model run'!S16),'Model run'!S16,"")</f>
        <v/>
      </c>
      <c r="T19" s="3" t="n"/>
      <c r="U19" s="3" t="n"/>
      <c r="V19" s="3" t="n"/>
    </row>
    <row r="20" ht="30" customHeight="1">
      <c r="A20" s="16" t="inlineStr">
        <is>
          <t>Passenger petrol demand</t>
        </is>
      </c>
      <c r="B20" s="16" t="inlineStr">
        <is>
          <t>L/year</t>
        </is>
      </c>
      <c r="C20" s="16" t="inlineStr">
        <is>
          <t>Engine output</t>
        </is>
      </c>
      <c r="D20" s="126" t="n"/>
      <c r="E20" s="16" t="inlineStr">
        <is>
          <t>Calculated by the Python cohort engine.</t>
        </is>
      </c>
      <c r="F20" s="127">
        <f>IF(ISNUMBER('Model run'!F17),'Model run'!F17,"")</f>
        <v/>
      </c>
      <c r="G20" s="127">
        <f>IF(ISNUMBER('Model run'!G17),'Model run'!G17,"")</f>
        <v/>
      </c>
      <c r="H20" s="127">
        <f>IF(ISNUMBER('Model run'!H17),'Model run'!H17,"")</f>
        <v/>
      </c>
      <c r="I20" s="127">
        <f>IF(ISNUMBER('Model run'!I17),'Model run'!I17,"")</f>
        <v/>
      </c>
      <c r="J20" s="127">
        <f>IF(ISNUMBER('Model run'!J17),'Model run'!J17,"")</f>
        <v/>
      </c>
      <c r="K20" s="127">
        <f>IF(ISNUMBER('Model run'!K17),'Model run'!K17,"")</f>
        <v/>
      </c>
      <c r="L20" s="127">
        <f>IF(ISNUMBER('Model run'!L17),'Model run'!L17,"")</f>
        <v/>
      </c>
      <c r="M20" s="127">
        <f>IF(ISNUMBER('Model run'!M17),'Model run'!M17,"")</f>
        <v/>
      </c>
      <c r="N20" s="127">
        <f>IF(ISNUMBER('Model run'!N17),'Model run'!N17,"")</f>
        <v/>
      </c>
      <c r="O20" s="127">
        <f>IF(ISNUMBER('Model run'!O17),'Model run'!O17,"")</f>
        <v/>
      </c>
      <c r="P20" s="127">
        <f>IF(ISNUMBER('Model run'!P17),'Model run'!P17,"")</f>
        <v/>
      </c>
      <c r="Q20" s="127">
        <f>IF(ISNUMBER('Model run'!Q17),'Model run'!Q17,"")</f>
        <v/>
      </c>
      <c r="R20" s="127">
        <f>IF(ISNUMBER('Model run'!R17),'Model run'!R17,"")</f>
        <v/>
      </c>
      <c r="S20" s="127">
        <f>IF(ISNUMBER('Model run'!S17),'Model run'!S17,"")</f>
        <v/>
      </c>
      <c r="T20" s="3" t="n"/>
      <c r="U20" s="3" t="n"/>
      <c r="V20" s="3" t="n"/>
    </row>
    <row r="21" ht="30" customHeight="1">
      <c r="A21" s="16" t="inlineStr">
        <is>
          <t>Passenger petrol demand</t>
        </is>
      </c>
      <c r="B21" s="16" t="inlineStr">
        <is>
          <t>million L/year</t>
        </is>
      </c>
      <c r="C21" s="16" t="inlineStr">
        <is>
          <t>Reporting formula</t>
        </is>
      </c>
      <c r="D21" s="116" t="n"/>
      <c r="E21" s="16" t="inlineStr">
        <is>
          <t>Unit conversion of the engine output.</t>
        </is>
      </c>
      <c r="F21" s="117">
        <f>F20/1000000</f>
        <v/>
      </c>
      <c r="G21" s="117">
        <f>G20/1000000</f>
        <v/>
      </c>
      <c r="H21" s="117">
        <f>H20/1000000</f>
        <v/>
      </c>
      <c r="I21" s="117">
        <f>I20/1000000</f>
        <v/>
      </c>
      <c r="J21" s="117">
        <f>J20/1000000</f>
        <v/>
      </c>
      <c r="K21" s="117">
        <f>K20/1000000</f>
        <v/>
      </c>
      <c r="L21" s="117">
        <f>L20/1000000</f>
        <v/>
      </c>
      <c r="M21" s="117">
        <f>M20/1000000</f>
        <v/>
      </c>
      <c r="N21" s="117">
        <f>N20/1000000</f>
        <v/>
      </c>
      <c r="O21" s="117">
        <f>O20/1000000</f>
        <v/>
      </c>
      <c r="P21" s="117">
        <f>P20/1000000</f>
        <v/>
      </c>
      <c r="Q21" s="117">
        <f>Q20/1000000</f>
        <v/>
      </c>
      <c r="R21" s="117">
        <f>R20/1000000</f>
        <v/>
      </c>
      <c r="S21" s="117">
        <f>S20/1000000</f>
        <v/>
      </c>
      <c r="T21" s="3" t="n"/>
      <c r="U21" s="3" t="n"/>
      <c r="V21" s="3" t="n"/>
    </row>
    <row r="22" ht="30" customHeight="1">
      <c r="A22" s="16" t="inlineStr">
        <is>
          <t>Implied fleet-average consumption</t>
        </is>
      </c>
      <c r="B22" s="16" t="inlineStr">
        <is>
          <t>L/100 km</t>
        </is>
      </c>
      <c r="C22" s="16" t="inlineStr">
        <is>
          <t>Reporting formula</t>
        </is>
      </c>
      <c r="D22" s="116" t="n"/>
      <c r="E22" s="16" t="inlineStr">
        <is>
          <t>Fuel / vehicle-km × 100. Reporting diagnostic, not new-cohort consumption.</t>
        </is>
      </c>
      <c r="F22" s="117">
        <f>IF(F19=0,"",F20/F19*100)</f>
        <v/>
      </c>
      <c r="G22" s="117">
        <f>IF(G19=0,"",G20/G19*100)</f>
        <v/>
      </c>
      <c r="H22" s="117">
        <f>IF(H19=0,"",H20/H19*100)</f>
        <v/>
      </c>
      <c r="I22" s="117">
        <f>IF(I19=0,"",I20/I19*100)</f>
        <v/>
      </c>
      <c r="J22" s="117">
        <f>IF(J19=0,"",J20/J19*100)</f>
        <v/>
      </c>
      <c r="K22" s="117">
        <f>IF(K19=0,"",K20/K19*100)</f>
        <v/>
      </c>
      <c r="L22" s="117">
        <f>IF(L19=0,"",L20/L19*100)</f>
        <v/>
      </c>
      <c r="M22" s="117">
        <f>IF(M19=0,"",M20/M19*100)</f>
        <v/>
      </c>
      <c r="N22" s="117">
        <f>IF(N19=0,"",N20/N19*100)</f>
        <v/>
      </c>
      <c r="O22" s="117">
        <f>IF(O19=0,"",O20/O19*100)</f>
        <v/>
      </c>
      <c r="P22" s="117">
        <f>IF(P19=0,"",P20/P19*100)</f>
        <v/>
      </c>
      <c r="Q22" s="117">
        <f>IF(Q19=0,"",Q20/Q19*100)</f>
        <v/>
      </c>
      <c r="R22" s="117">
        <f>IF(R19=0,"",R20/R19*100)</f>
        <v/>
      </c>
      <c r="S22" s="117">
        <f>IF(S19=0,"",S20/S19*100)</f>
        <v/>
      </c>
      <c r="T22" s="3" t="n"/>
      <c r="U22" s="3" t="n"/>
      <c r="V22" s="3" t="n"/>
    </row>
    <row r="23" ht="30" customHeight="1">
      <c r="A23" s="16" t="inlineStr">
        <is>
          <t>All road petrol demand</t>
        </is>
      </c>
      <c r="B23" s="16" t="inlineStr">
        <is>
          <t>L/year</t>
        </is>
      </c>
      <c r="C23" s="16" t="inlineStr">
        <is>
          <t>Engine output</t>
        </is>
      </c>
      <c r="D23" s="126" t="n"/>
      <c r="E23" s="16" t="inlineStr">
        <is>
          <t>Includes passenger and LCV petrol. Does not claim all-product/sector coverage.</t>
        </is>
      </c>
      <c r="F23" s="127">
        <f>IF(COUNT(F20,F46)&lt;2,"",F20+F46)</f>
        <v/>
      </c>
      <c r="G23" s="127">
        <f>IF(COUNT(G20,G46)&lt;2,"",G20+G46)</f>
        <v/>
      </c>
      <c r="H23" s="127">
        <f>IF(COUNT(H20,H46)&lt;2,"",H20+H46)</f>
        <v/>
      </c>
      <c r="I23" s="127">
        <f>IF(COUNT(I20,I46)&lt;2,"",I20+I46)</f>
        <v/>
      </c>
      <c r="J23" s="127">
        <f>IF(COUNT(J20,J46)&lt;2,"",J20+J46)</f>
        <v/>
      </c>
      <c r="K23" s="127">
        <f>IF(COUNT(K20,K46)&lt;2,"",K20+K46)</f>
        <v/>
      </c>
      <c r="L23" s="127">
        <f>IF(COUNT(L20,L46)&lt;2,"",L20+L46)</f>
        <v/>
      </c>
      <c r="M23" s="127">
        <f>IF(COUNT(M20,M46)&lt;2,"",M20+M46)</f>
        <v/>
      </c>
      <c r="N23" s="127">
        <f>IF(COUNT(N20,N46)&lt;2,"",N20+N46)</f>
        <v/>
      </c>
      <c r="O23" s="127">
        <f>IF(COUNT(O20,O46)&lt;2,"",O20+O46)</f>
        <v/>
      </c>
      <c r="P23" s="127">
        <f>IF(COUNT(P20,P46)&lt;2,"",P20+P46)</f>
        <v/>
      </c>
      <c r="Q23" s="127">
        <f>IF(COUNT(Q20,Q46)&lt;2,"",Q20+Q46)</f>
        <v/>
      </c>
      <c r="R23" s="127">
        <f>IF(COUNT(R20,R46)&lt;2,"",R20+R46)</f>
        <v/>
      </c>
      <c r="S23" s="127">
        <f>IF(COUNT(S20,S46)&lt;2,"",S20+S46)</f>
        <v/>
      </c>
      <c r="T23" s="3" t="n"/>
      <c r="U23" s="3" t="n"/>
      <c r="V23" s="3" t="n"/>
    </row>
    <row r="24" ht="8" customHeight="1">
      <c r="A24" s="3" t="n"/>
      <c r="B24" s="3" t="n"/>
      <c r="C24" s="3" t="n"/>
      <c r="D24" s="3" t="n"/>
      <c r="E24" s="3" t="n"/>
      <c r="F24" s="6" t="n"/>
      <c r="G24" s="6" t="n"/>
      <c r="H24" s="6" t="n"/>
      <c r="I24" s="6" t="n"/>
      <c r="J24" s="6" t="n"/>
      <c r="K24" s="6" t="n"/>
      <c r="L24" s="6" t="n"/>
      <c r="M24" s="6" t="n"/>
      <c r="N24" s="6" t="n"/>
      <c r="O24" s="6" t="n"/>
      <c r="P24" s="6" t="n"/>
      <c r="Q24" s="6" t="n"/>
      <c r="R24" s="6" t="n"/>
      <c r="S24" s="6" t="n"/>
      <c r="T24" s="3" t="n"/>
      <c r="U24" s="3" t="n"/>
      <c r="V24" s="3" t="n"/>
    </row>
    <row r="25" ht="28" customHeight="1">
      <c r="A25" s="12" t="inlineStr">
        <is>
          <t>Proposed input/output rows to agree and populate</t>
        </is>
      </c>
      <c r="B25" s="11" t="n"/>
      <c r="C25" s="11" t="n"/>
      <c r="D25" s="11" t="n"/>
      <c r="E25" s="11" t="n"/>
      <c r="F25" s="25" t="n"/>
      <c r="G25" s="25" t="n"/>
      <c r="H25" s="25" t="n"/>
      <c r="I25" s="25" t="n"/>
      <c r="J25" s="25" t="n"/>
      <c r="K25" s="25" t="n"/>
      <c r="L25" s="25" t="n"/>
      <c r="M25" s="25" t="n"/>
      <c r="N25" s="25" t="n"/>
      <c r="O25" s="25" t="n"/>
      <c r="P25" s="25" t="n"/>
      <c r="Q25" s="25" t="n"/>
      <c r="R25" s="25" t="n"/>
      <c r="S25" s="25" t="n"/>
      <c r="T25" s="3" t="n"/>
      <c r="U25" s="3" t="n"/>
      <c r="V25" s="3" t="n"/>
    </row>
    <row r="26" ht="30" customHeight="1">
      <c r="A26" s="3" t="inlineStr">
        <is>
          <t>New passenger sales / BEV share</t>
        </is>
      </c>
      <c r="B26" s="3" t="inlineStr">
        <is>
          <t>vehicles / share</t>
        </is>
      </c>
      <c r="C26" s="3" t="inlineStr">
        <is>
          <t>Workshop input</t>
        </is>
      </c>
      <c r="D26" s="118" t="n"/>
      <c r="E26" s="10" t="inlineStr">
        <is>
          <t>New sales evidence is now in rows 35–41. Class-specific adoption… [N031]</t>
        </is>
      </c>
      <c r="F26" s="119" t="n"/>
      <c r="G26" s="119" t="n"/>
      <c r="H26" s="119" t="n"/>
      <c r="I26" s="119" t="n"/>
      <c r="J26" s="119" t="n"/>
      <c r="K26" s="119" t="n"/>
      <c r="L26" s="119" t="n"/>
      <c r="M26" s="119" t="n"/>
      <c r="N26" s="119" t="n"/>
      <c r="O26" s="119" t="n"/>
      <c r="P26" s="119" t="n"/>
      <c r="Q26" s="119" t="n"/>
      <c r="R26" s="119" t="n"/>
      <c r="S26" s="119" t="n"/>
      <c r="T26" s="3" t="n"/>
      <c r="U26" s="3" t="n"/>
      <c r="V26" s="3" t="n"/>
    </row>
    <row r="27" ht="30" customHeight="1">
      <c r="A27" s="3" t="inlineStr">
        <is>
          <t>Verified opening fleet</t>
        </is>
      </c>
      <c r="B27" s="3" t="inlineStr">
        <is>
          <t>vehicles at date</t>
        </is>
      </c>
      <c r="C27" s="3" t="inlineStr">
        <is>
          <t>Workshop input</t>
        </is>
      </c>
      <c r="D27" s="118" t="n"/>
      <c r="E27" s="10" t="inlineStr">
        <is>
          <t>All-drivetrain stock is in row 36. Petrol-only opening fleet and… [N032]</t>
        </is>
      </c>
      <c r="F27" s="119" t="n"/>
      <c r="G27" s="119" t="n"/>
      <c r="H27" s="119" t="n"/>
      <c r="I27" s="119" t="n"/>
      <c r="J27" s="119" t="n"/>
      <c r="K27" s="119" t="n"/>
      <c r="L27" s="119" t="n"/>
      <c r="M27" s="119" t="n"/>
      <c r="N27" s="119" t="n"/>
      <c r="O27" s="119" t="n"/>
      <c r="P27" s="119" t="n"/>
      <c r="Q27" s="119" t="n"/>
      <c r="R27" s="119" t="n"/>
      <c r="S27" s="119" t="n"/>
      <c r="T27" s="3" t="n"/>
      <c r="U27" s="3" t="n"/>
      <c r="V27" s="3" t="n"/>
    </row>
    <row r="28" ht="30" customHeight="1">
      <c r="A28" s="65" t="inlineStr">
        <is>
          <t>Reported total petrol sales</t>
        </is>
      </c>
      <c r="B28" s="65" t="inlineStr">
        <is>
          <t>million L/year</t>
        </is>
      </c>
      <c r="C28" s="65" t="inlineStr">
        <is>
          <t>Staged observation</t>
        </is>
      </c>
      <c r="D28" s="114">
        <f>IF(ISNUMBER('Evidence'!D5),'Evidence'!D5,"")</f>
        <v/>
      </c>
      <c r="E28" s="65" t="inlineStr">
        <is>
          <t>FIASA staged reported sales; latest edition selected by existing… [N033]</t>
        </is>
      </c>
      <c r="F28" s="115">
        <f>IF(ISNUMBER('Evidence'!F5),'Evidence'!F5,"")</f>
        <v/>
      </c>
      <c r="G28" s="115">
        <f>IF(ISNUMBER('Evidence'!G5),'Evidence'!G5,"")</f>
        <v/>
      </c>
      <c r="H28" s="115">
        <f>IF(ISNUMBER('Evidence'!H5),'Evidence'!H5,"")</f>
        <v/>
      </c>
      <c r="I28" s="115">
        <f>IF(ISNUMBER('Evidence'!I5),'Evidence'!I5,"")</f>
        <v/>
      </c>
      <c r="J28" s="115">
        <f>IF(ISNUMBER('Evidence'!J5),'Evidence'!J5,"")</f>
        <v/>
      </c>
      <c r="K28" s="115">
        <f>IF(ISNUMBER('Evidence'!K5),'Evidence'!K5,"")</f>
        <v/>
      </c>
      <c r="L28" s="115">
        <f>IF(ISNUMBER('Evidence'!L5),'Evidence'!L5,"")</f>
        <v/>
      </c>
      <c r="M28" s="115">
        <f>IF(ISNUMBER('Evidence'!M5),'Evidence'!M5,"")</f>
        <v/>
      </c>
      <c r="N28" s="115">
        <f>IF(ISNUMBER('Evidence'!N5),'Evidence'!N5,"")</f>
        <v/>
      </c>
      <c r="O28" s="115">
        <f>IF(ISNUMBER('Evidence'!O5),'Evidence'!O5,"")</f>
        <v/>
      </c>
      <c r="P28" s="115">
        <f>IF(ISNUMBER('Evidence'!P5),'Evidence'!P5,"")</f>
        <v/>
      </c>
      <c r="Q28" s="115">
        <f>IF(ISNUMBER('Evidence'!Q5),'Evidence'!Q5,"")</f>
        <v/>
      </c>
      <c r="R28" s="115">
        <f>IF(ISNUMBER('Evidence'!R5),'Evidence'!R5,"")</f>
        <v/>
      </c>
      <c r="S28" s="115">
        <f>IF(ISNUMBER('Evidence'!S5),'Evidence'!S5,"")</f>
        <v/>
      </c>
      <c r="T28" s="3" t="inlineStr">
        <is>
          <t>Unreviewed source extract; annual cells contain… [N034]</t>
        </is>
      </c>
      <c r="U28" s="3" t="inlineStr">
        <is>
          <t>Evidence row 5; assumptions/2026/timeseries/fuel_sales_fiasa.csv</t>
        </is>
      </c>
      <c r="V28" s="3" t="inlineStr">
        <is>
          <t>All-product comparator; compare with road total,… [N035]</t>
        </is>
      </c>
    </row>
    <row r="29" ht="8" customHeight="1">
      <c r="A29" s="3" t="n"/>
      <c r="B29" s="3" t="n"/>
      <c r="C29" s="3" t="n"/>
      <c r="D29" s="3" t="n"/>
      <c r="E29" s="3" t="n"/>
      <c r="F29" s="6" t="n"/>
      <c r="G29" s="6" t="n"/>
      <c r="H29" s="6" t="n"/>
      <c r="I29" s="6" t="n"/>
      <c r="J29" s="6" t="n"/>
      <c r="K29" s="6" t="n"/>
      <c r="L29" s="6" t="n"/>
      <c r="M29" s="6" t="n"/>
      <c r="N29" s="6" t="n"/>
      <c r="O29" s="6" t="n"/>
      <c r="P29" s="6" t="n"/>
      <c r="Q29" s="6" t="n"/>
      <c r="R29" s="6" t="n"/>
      <c r="S29" s="6" t="n"/>
      <c r="T29" s="3" t="n"/>
      <c r="U29" s="3" t="n"/>
      <c r="V29" s="3" t="n"/>
    </row>
    <row r="30" ht="30" customHeight="1">
      <c r="A30" s="3" t="inlineStr">
        <is>
          <t>Source</t>
        </is>
      </c>
      <c r="B30" s="3" t="inlineStr">
        <is>
          <t>URL</t>
        </is>
      </c>
      <c r="C30" s="3" t="inlineStr">
        <is>
          <t>Source</t>
        </is>
      </c>
      <c r="D30" s="121" t="n"/>
      <c r="E30" s="3" t="inlineStr">
        <is>
          <t>https://github.com/Africa-International-Advisors/liquid_fuels_mode… [N036]</t>
        </is>
      </c>
      <c r="F30" s="122" t="n"/>
      <c r="G30" s="122" t="n"/>
      <c r="H30" s="122" t="n"/>
      <c r="I30" s="122" t="n"/>
      <c r="J30" s="122" t="n"/>
      <c r="K30" s="122" t="n"/>
      <c r="L30" s="122" t="n"/>
      <c r="M30" s="122" t="n"/>
      <c r="N30" s="122" t="n"/>
      <c r="O30" s="122" t="n"/>
      <c r="P30" s="122" t="n"/>
      <c r="Q30" s="122" t="n"/>
      <c r="R30" s="122" t="n"/>
      <c r="S30" s="122" t="n"/>
      <c r="T30" s="3" t="n"/>
      <c r="U30" s="3" t="n"/>
      <c r="V30" s="3" t="n"/>
    </row>
    <row r="31" ht="30" customHeight="1">
      <c r="A31" s="3" t="inlineStr">
        <is>
          <t>Calculation source</t>
        </is>
      </c>
      <c r="B31" s="3" t="inlineStr">
        <is>
          <t>URL</t>
        </is>
      </c>
      <c r="C31" s="3" t="inlineStr">
        <is>
          <t>Source</t>
        </is>
      </c>
      <c r="D31" s="121" t="n"/>
      <c r="E31" s="3" t="inlineStr">
        <is>
          <t>https://github.com/Africa-International-Advisors/liquid_fuels_mode… [N037]</t>
        </is>
      </c>
      <c r="F31" s="122" t="n"/>
      <c r="G31" s="122" t="n"/>
      <c r="H31" s="122" t="n"/>
      <c r="I31" s="122" t="n"/>
      <c r="J31" s="122" t="n"/>
      <c r="K31" s="122" t="n"/>
      <c r="L31" s="122" t="n"/>
      <c r="M31" s="122" t="n"/>
      <c r="N31" s="122" t="n"/>
      <c r="O31" s="122" t="n"/>
      <c r="P31" s="122" t="n"/>
      <c r="Q31" s="122" t="n"/>
      <c r="R31" s="122" t="n"/>
      <c r="S31" s="122" t="n"/>
      <c r="T31" s="3" t="n"/>
      <c r="U31" s="3" t="n"/>
      <c r="V31" s="3" t="n"/>
    </row>
    <row r="32" ht="30" customHeight="1">
      <c r="A32" s="3" t="inlineStr">
        <is>
          <t>Macro / efficiency sources</t>
        </is>
      </c>
      <c r="B32" s="3" t="inlineStr">
        <is>
          <t>URL</t>
        </is>
      </c>
      <c r="C32" s="3" t="inlineStr">
        <is>
          <t>Source</t>
        </is>
      </c>
      <c r="D32" s="121" t="n"/>
      <c r="E32" s="3" t="inlineStr">
        <is>
          <t>https://github.com/Africa-International-Advisors/liquid_fuels_mode… [N038]</t>
        </is>
      </c>
      <c r="F32" s="122" t="n"/>
      <c r="G32" s="122" t="n"/>
      <c r="H32" s="122" t="n"/>
      <c r="I32" s="122" t="n"/>
      <c r="J32" s="122" t="n"/>
      <c r="K32" s="122" t="n"/>
      <c r="L32" s="122" t="n"/>
      <c r="M32" s="122" t="n"/>
      <c r="N32" s="122" t="n"/>
      <c r="O32" s="122" t="n"/>
      <c r="P32" s="122" t="n"/>
      <c r="Q32" s="122" t="n"/>
      <c r="R32" s="122" t="n"/>
      <c r="S32" s="122" t="n"/>
      <c r="T32" s="3" t="n"/>
      <c r="U32" s="3" t="n"/>
      <c r="V32" s="3" t="n"/>
    </row>
    <row r="33" ht="8" customHeight="1">
      <c r="A33" s="3" t="n"/>
      <c r="B33" s="3" t="n"/>
      <c r="C33" s="3" t="n"/>
      <c r="D33" s="3" t="n"/>
      <c r="E33" s="3" t="n"/>
      <c r="F33" s="6" t="n"/>
      <c r="G33" s="6" t="n"/>
      <c r="H33" s="6" t="n"/>
      <c r="I33" s="6" t="n"/>
      <c r="J33" s="6" t="n"/>
      <c r="K33" s="6" t="n"/>
      <c r="L33" s="6" t="n"/>
      <c r="M33" s="6" t="n"/>
      <c r="N33" s="6" t="n"/>
      <c r="O33" s="6" t="n"/>
      <c r="P33" s="6" t="n"/>
      <c r="Q33" s="6" t="n"/>
      <c r="R33" s="6" t="n"/>
      <c r="S33" s="6" t="n"/>
      <c r="T33" s="3" t="n"/>
      <c r="U33" s="3" t="n"/>
      <c r="V33" s="3" t="n"/>
    </row>
    <row r="34" ht="28" customHeight="1">
      <c r="A34" s="12" t="inlineStr">
        <is>
          <t>Available historical evidence: separate from current engine inputs</t>
        </is>
      </c>
      <c r="B34" s="11" t="n"/>
      <c r="C34" s="11" t="n"/>
      <c r="D34" s="11" t="n"/>
      <c r="E34" s="11" t="n"/>
      <c r="F34" s="25" t="n"/>
      <c r="G34" s="25" t="n"/>
      <c r="H34" s="25" t="n"/>
      <c r="I34" s="25" t="n"/>
      <c r="J34" s="25" t="n"/>
      <c r="K34" s="25" t="n"/>
      <c r="L34" s="25" t="n"/>
      <c r="M34" s="25" t="n"/>
      <c r="N34" s="25" t="n"/>
      <c r="O34" s="25" t="n"/>
      <c r="P34" s="25" t="n"/>
      <c r="Q34" s="25" t="n"/>
      <c r="R34" s="25" t="n"/>
      <c r="S34" s="25" t="n"/>
      <c r="T34" s="11" t="n"/>
      <c r="U34" s="11" t="n"/>
      <c r="V34" s="11" t="n"/>
    </row>
    <row r="35" ht="30" customHeight="1">
      <c r="A35" s="65" t="inlineStr">
        <is>
          <t>New passenger-car sales</t>
        </is>
      </c>
      <c r="B35" s="65" t="inlineStr">
        <is>
          <t>vehicles/year</t>
        </is>
      </c>
      <c r="C35" s="65" t="inlineStr">
        <is>
          <t>Staged observation</t>
        </is>
      </c>
      <c r="D35" s="114">
        <f>IF(ISNUMBER('Evidence'!D13),'Evidence'!D13,"")</f>
        <v/>
      </c>
      <c r="E35" s="65" t="inlineStr">
        <is>
          <t>NAAMSA actual new sales. Published 2026/27 projections excluded… [N039]</t>
        </is>
      </c>
      <c r="F35" s="115">
        <f>IF(ISNUMBER('Evidence'!F13),'Evidence'!F13,"")</f>
        <v/>
      </c>
      <c r="G35" s="115">
        <f>IF(ISNUMBER('Evidence'!G13),'Evidence'!G13,"")</f>
        <v/>
      </c>
      <c r="H35" s="115">
        <f>IF(ISNUMBER('Evidence'!H13),'Evidence'!H13,"")</f>
        <v/>
      </c>
      <c r="I35" s="115">
        <f>IF(ISNUMBER('Evidence'!I13),'Evidence'!I13,"")</f>
        <v/>
      </c>
      <c r="J35" s="115">
        <f>IF(ISNUMBER('Evidence'!J13),'Evidence'!J13,"")</f>
        <v/>
      </c>
      <c r="K35" s="115">
        <f>IF(ISNUMBER('Evidence'!K13),'Evidence'!K13,"")</f>
        <v/>
      </c>
      <c r="L35" s="115">
        <f>IF(ISNUMBER('Evidence'!L13),'Evidence'!L13,"")</f>
        <v/>
      </c>
      <c r="M35" s="115">
        <f>IF(ISNUMBER('Evidence'!M13),'Evidence'!M13,"")</f>
        <v/>
      </c>
      <c r="N35" s="115">
        <f>IF(ISNUMBER('Evidence'!N13),'Evidence'!N13,"")</f>
        <v/>
      </c>
      <c r="O35" s="115">
        <f>IF(ISNUMBER('Evidence'!O13),'Evidence'!O13,"")</f>
        <v/>
      </c>
      <c r="P35" s="115">
        <f>IF(ISNUMBER('Evidence'!P13),'Evidence'!P13,"")</f>
        <v/>
      </c>
      <c r="Q35" s="115">
        <f>IF(ISNUMBER('Evidence'!Q13),'Evidence'!Q13,"")</f>
        <v/>
      </c>
      <c r="R35" s="115">
        <f>IF(ISNUMBER('Evidence'!R13),'Evidence'!R13,"")</f>
        <v/>
      </c>
      <c r="S35" s="115">
        <f>IF(ISNUMBER('Evidence'!S13),'Evidence'!S13,"")</f>
        <v/>
      </c>
      <c r="T35" s="3" t="inlineStr">
        <is>
          <t>Unreviewed source extract; annual cells contain… [N040]</t>
        </is>
      </c>
      <c r="U35" s="3" t="inlineStr">
        <is>
          <t>Evidence row 13;… [N041]</t>
        </is>
      </c>
      <c r="V35" s="3" t="inlineStr">
        <is>
          <t>G02: fit class-specific sales and compare with… [N042]</t>
        </is>
      </c>
    </row>
    <row r="36" ht="30" customHeight="1">
      <c r="A36" s="65" t="inlineStr">
        <is>
          <t>Registered cars, all drivetrains</t>
        </is>
      </c>
      <c r="B36" s="65" t="inlineStr">
        <is>
          <t>vehicles</t>
        </is>
      </c>
      <c r="C36" s="65" t="inlineStr">
        <is>
          <t>Staged observation</t>
        </is>
      </c>
      <c r="D36" s="114">
        <f>IF(ISNUMBER('Evidence'!D20),'Evidence'!D20,"")</f>
        <v/>
      </c>
      <c r="E36" s="65" t="inlineStr">
        <is>
          <t>eNaTIS December snapshots; latest June 2026 kept separately. No… [N043]</t>
        </is>
      </c>
      <c r="F36" s="115">
        <f>IF(ISNUMBER('Evidence'!F20),'Evidence'!F20,"")</f>
        <v/>
      </c>
      <c r="G36" s="115">
        <f>IF(ISNUMBER('Evidence'!G20),'Evidence'!G20,"")</f>
        <v/>
      </c>
      <c r="H36" s="115">
        <f>IF(ISNUMBER('Evidence'!H20),'Evidence'!H20,"")</f>
        <v/>
      </c>
      <c r="I36" s="115">
        <f>IF(ISNUMBER('Evidence'!I20),'Evidence'!I20,"")</f>
        <v/>
      </c>
      <c r="J36" s="115">
        <f>IF(ISNUMBER('Evidence'!J20),'Evidence'!J20,"")</f>
        <v/>
      </c>
      <c r="K36" s="115">
        <f>IF(ISNUMBER('Evidence'!K20),'Evidence'!K20,"")</f>
        <v/>
      </c>
      <c r="L36" s="115">
        <f>IF(ISNUMBER('Evidence'!L20),'Evidence'!L20,"")</f>
        <v/>
      </c>
      <c r="M36" s="115">
        <f>IF(ISNUMBER('Evidence'!M20),'Evidence'!M20,"")</f>
        <v/>
      </c>
      <c r="N36" s="115">
        <f>IF(ISNUMBER('Evidence'!N20),'Evidence'!N20,"")</f>
        <v/>
      </c>
      <c r="O36" s="115">
        <f>IF(ISNUMBER('Evidence'!O20),'Evidence'!O20,"")</f>
        <v/>
      </c>
      <c r="P36" s="115">
        <f>IF(ISNUMBER('Evidence'!P20),'Evidence'!P20,"")</f>
        <v/>
      </c>
      <c r="Q36" s="115">
        <f>IF(ISNUMBER('Evidence'!Q20),'Evidence'!Q20,"")</f>
        <v/>
      </c>
      <c r="R36" s="115">
        <f>IF(ISNUMBER('Evidence'!R20),'Evidence'!R20,"")</f>
        <v/>
      </c>
      <c r="S36" s="115">
        <f>IF(ISNUMBER('Evidence'!S20),'Evidence'!S20,"")</f>
        <v/>
      </c>
      <c r="T36" s="3" t="inlineStr">
        <is>
          <t>Unreviewed source extract; annual cells contain… [N044]</t>
        </is>
      </c>
      <c r="U36" s="3" t="inlineStr">
        <is>
          <t>Evidence row 20;… [N045]</t>
        </is>
      </c>
      <c r="V36" s="3" t="inlineStr">
        <is>
          <t>G02: obtain petrol/diesel/BEV/hybrid and age split.</t>
        </is>
      </c>
    </row>
    <row r="37" ht="30" customHeight="1">
      <c r="A37" s="65" t="inlineStr">
        <is>
          <t>BEV new sales — all market</t>
        </is>
      </c>
      <c r="B37" s="65" t="inlineStr">
        <is>
          <t>vehicles/year</t>
        </is>
      </c>
      <c r="C37" s="65" t="inlineStr">
        <is>
          <t>Staged observation</t>
        </is>
      </c>
      <c r="D37" s="114">
        <f>IF(ISNUMBER('Evidence'!D17),'Evidence'!D17,"")</f>
        <v/>
      </c>
      <c r="E37" s="65" t="inlineStr">
        <is>
          <t>All-market drivetrain sales; passenger/truck split is not… [N046]</t>
        </is>
      </c>
      <c r="F37" s="115">
        <f>IF(ISNUMBER('Evidence'!F17),'Evidence'!F17,"")</f>
        <v/>
      </c>
      <c r="G37" s="115">
        <f>IF(ISNUMBER('Evidence'!G17),'Evidence'!G17,"")</f>
        <v/>
      </c>
      <c r="H37" s="115">
        <f>IF(ISNUMBER('Evidence'!H17),'Evidence'!H17,"")</f>
        <v/>
      </c>
      <c r="I37" s="115">
        <f>IF(ISNUMBER('Evidence'!I17),'Evidence'!I17,"")</f>
        <v/>
      </c>
      <c r="J37" s="115">
        <f>IF(ISNUMBER('Evidence'!J17),'Evidence'!J17,"")</f>
        <v/>
      </c>
      <c r="K37" s="115">
        <f>IF(ISNUMBER('Evidence'!K17),'Evidence'!K17,"")</f>
        <v/>
      </c>
      <c r="L37" s="115">
        <f>IF(ISNUMBER('Evidence'!L17),'Evidence'!L17,"")</f>
        <v/>
      </c>
      <c r="M37" s="115">
        <f>IF(ISNUMBER('Evidence'!M17),'Evidence'!M17,"")</f>
        <v/>
      </c>
      <c r="N37" s="115">
        <f>IF(ISNUMBER('Evidence'!N17),'Evidence'!N17,"")</f>
        <v/>
      </c>
      <c r="O37" s="115">
        <f>IF(ISNUMBER('Evidence'!O17),'Evidence'!O17,"")</f>
        <v/>
      </c>
      <c r="P37" s="115">
        <f>IF(ISNUMBER('Evidence'!P17),'Evidence'!P17,"")</f>
        <v/>
      </c>
      <c r="Q37" s="115">
        <f>IF(ISNUMBER('Evidence'!Q17),'Evidence'!Q17,"")</f>
        <v/>
      </c>
      <c r="R37" s="115">
        <f>IF(ISNUMBER('Evidence'!R17),'Evidence'!R17,"")</f>
        <v/>
      </c>
      <c r="S37" s="115">
        <f>IF(ISNUMBER('Evidence'!S17),'Evidence'!S17,"")</f>
        <v/>
      </c>
      <c r="T37" s="3" t="inlineStr">
        <is>
          <t>Unreviewed source extract; annual cells contain… [N047]</t>
        </is>
      </c>
      <c r="U37" s="3" t="inlineStr">
        <is>
          <t>Evidence row 17;… [N048]</t>
        </is>
      </c>
      <c r="V37" s="3" t="inlineStr">
        <is>
          <t>G03: class split missing; do not treat as… [N049]</t>
        </is>
      </c>
    </row>
    <row r="38" ht="30" customHeight="1">
      <c r="A38" s="65" t="inlineStr">
        <is>
          <t>PHEV new sales — all market</t>
        </is>
      </c>
      <c r="B38" s="65" t="inlineStr">
        <is>
          <t>vehicles/year</t>
        </is>
      </c>
      <c r="C38" s="65" t="inlineStr">
        <is>
          <t>Staged observation</t>
        </is>
      </c>
      <c r="D38" s="114">
        <f>IF(ISNUMBER('Evidence'!D18),'Evidence'!D18,"")</f>
        <v/>
      </c>
      <c r="E38" s="65" t="inlineStr">
        <is>
          <t>All-market drivetrain sales; passenger/truck split is not… [N050]</t>
        </is>
      </c>
      <c r="F38" s="115">
        <f>IF(ISNUMBER('Evidence'!F18),'Evidence'!F18,"")</f>
        <v/>
      </c>
      <c r="G38" s="115">
        <f>IF(ISNUMBER('Evidence'!G18),'Evidence'!G18,"")</f>
        <v/>
      </c>
      <c r="H38" s="115">
        <f>IF(ISNUMBER('Evidence'!H18),'Evidence'!H18,"")</f>
        <v/>
      </c>
      <c r="I38" s="115">
        <f>IF(ISNUMBER('Evidence'!I18),'Evidence'!I18,"")</f>
        <v/>
      </c>
      <c r="J38" s="115">
        <f>IF(ISNUMBER('Evidence'!J18),'Evidence'!J18,"")</f>
        <v/>
      </c>
      <c r="K38" s="115">
        <f>IF(ISNUMBER('Evidence'!K18),'Evidence'!K18,"")</f>
        <v/>
      </c>
      <c r="L38" s="115">
        <f>IF(ISNUMBER('Evidence'!L18),'Evidence'!L18,"")</f>
        <v/>
      </c>
      <c r="M38" s="115">
        <f>IF(ISNUMBER('Evidence'!M18),'Evidence'!M18,"")</f>
        <v/>
      </c>
      <c r="N38" s="115">
        <f>IF(ISNUMBER('Evidence'!N18),'Evidence'!N18,"")</f>
        <v/>
      </c>
      <c r="O38" s="115">
        <f>IF(ISNUMBER('Evidence'!O18),'Evidence'!O18,"")</f>
        <v/>
      </c>
      <c r="P38" s="115">
        <f>IF(ISNUMBER('Evidence'!P18),'Evidence'!P18,"")</f>
        <v/>
      </c>
      <c r="Q38" s="115">
        <f>IF(ISNUMBER('Evidence'!Q18),'Evidence'!Q18,"")</f>
        <v/>
      </c>
      <c r="R38" s="115">
        <f>IF(ISNUMBER('Evidence'!R18),'Evidence'!R18,"")</f>
        <v/>
      </c>
      <c r="S38" s="115">
        <f>IF(ISNUMBER('Evidence'!S18),'Evidence'!S18,"")</f>
        <v/>
      </c>
      <c r="T38" s="3" t="inlineStr">
        <is>
          <t>Unreviewed source extract; annual cells contain… [N051]</t>
        </is>
      </c>
      <c r="U38" s="3" t="inlineStr">
        <is>
          <t>Evidence row 18;… [N052]</t>
        </is>
      </c>
      <c r="V38" s="3" t="inlineStr">
        <is>
          <t>G03: class split and electric-km fraction missing.</t>
        </is>
      </c>
    </row>
    <row r="39" ht="30" customHeight="1">
      <c r="A39" s="65" t="inlineStr">
        <is>
          <t>Conventional hybrid new sales</t>
        </is>
      </c>
      <c r="B39" s="65" t="inlineStr">
        <is>
          <t>vehicles/year</t>
        </is>
      </c>
      <c r="C39" s="65" t="inlineStr">
        <is>
          <t>Staged observation</t>
        </is>
      </c>
      <c r="D39" s="114">
        <f>IF(ISNUMBER('Evidence'!D19),'Evidence'!D19,"")</f>
        <v/>
      </c>
      <c r="E39" s="65" t="inlineStr">
        <is>
          <t>All-market drivetrain sales; passenger/truck split is not… [N053]</t>
        </is>
      </c>
      <c r="F39" s="115">
        <f>IF(ISNUMBER('Evidence'!F19),'Evidence'!F19,"")</f>
        <v/>
      </c>
      <c r="G39" s="115">
        <f>IF(ISNUMBER('Evidence'!G19),'Evidence'!G19,"")</f>
        <v/>
      </c>
      <c r="H39" s="115">
        <f>IF(ISNUMBER('Evidence'!H19),'Evidence'!H19,"")</f>
        <v/>
      </c>
      <c r="I39" s="115">
        <f>IF(ISNUMBER('Evidence'!I19),'Evidence'!I19,"")</f>
        <v/>
      </c>
      <c r="J39" s="115">
        <f>IF(ISNUMBER('Evidence'!J19),'Evidence'!J19,"")</f>
        <v/>
      </c>
      <c r="K39" s="115">
        <f>IF(ISNUMBER('Evidence'!K19),'Evidence'!K19,"")</f>
        <v/>
      </c>
      <c r="L39" s="115">
        <f>IF(ISNUMBER('Evidence'!L19),'Evidence'!L19,"")</f>
        <v/>
      </c>
      <c r="M39" s="115">
        <f>IF(ISNUMBER('Evidence'!M19),'Evidence'!M19,"")</f>
        <v/>
      </c>
      <c r="N39" s="115">
        <f>IF(ISNUMBER('Evidence'!N19),'Evidence'!N19,"")</f>
        <v/>
      </c>
      <c r="O39" s="115">
        <f>IF(ISNUMBER('Evidence'!O19),'Evidence'!O19,"")</f>
        <v/>
      </c>
      <c r="P39" s="115">
        <f>IF(ISNUMBER('Evidence'!P19),'Evidence'!P19,"")</f>
        <v/>
      </c>
      <c r="Q39" s="115">
        <f>IF(ISNUMBER('Evidence'!Q19),'Evidence'!Q19,"")</f>
        <v/>
      </c>
      <c r="R39" s="115">
        <f>IF(ISNUMBER('Evidence'!R19),'Evidence'!R19,"")</f>
        <v/>
      </c>
      <c r="S39" s="115">
        <f>IF(ISNUMBER('Evidence'!S19),'Evidence'!S19,"")</f>
        <v/>
      </c>
      <c r="T39" s="3" t="inlineStr">
        <is>
          <t>Unreviewed source extract; annual cells contain… [N054]</t>
        </is>
      </c>
      <c r="U39" s="3" t="inlineStr">
        <is>
          <t>Evidence row 19;… [N055]</t>
        </is>
      </c>
      <c r="V39" s="3" t="inlineStr">
        <is>
          <t>G03: source class-specific efficiency and mix.</t>
        </is>
      </c>
    </row>
    <row r="40" ht="30" customHeight="1">
      <c r="A40" s="65" t="inlineStr">
        <is>
          <t>Total new-vehicle sales</t>
        </is>
      </c>
      <c r="B40" s="65" t="inlineStr">
        <is>
          <t>vehicles/year</t>
        </is>
      </c>
      <c r="C40" s="65" t="inlineStr">
        <is>
          <t>Staged observation</t>
        </is>
      </c>
      <c r="D40" s="114">
        <f>IF(ISNUMBER('Evidence'!D16),'Evidence'!D16,"")</f>
        <v/>
      </c>
      <c r="E40" s="65" t="inlineStr">
        <is>
          <t>NAAMSA actual new sales. Published 2026/27 projections excluded… [N056]</t>
        </is>
      </c>
      <c r="F40" s="115">
        <f>IF(ISNUMBER('Evidence'!F16),'Evidence'!F16,"")</f>
        <v/>
      </c>
      <c r="G40" s="115">
        <f>IF(ISNUMBER('Evidence'!G16),'Evidence'!G16,"")</f>
        <v/>
      </c>
      <c r="H40" s="115">
        <f>IF(ISNUMBER('Evidence'!H16),'Evidence'!H16,"")</f>
        <v/>
      </c>
      <c r="I40" s="115">
        <f>IF(ISNUMBER('Evidence'!I16),'Evidence'!I16,"")</f>
        <v/>
      </c>
      <c r="J40" s="115">
        <f>IF(ISNUMBER('Evidence'!J16),'Evidence'!J16,"")</f>
        <v/>
      </c>
      <c r="K40" s="115">
        <f>IF(ISNUMBER('Evidence'!K16),'Evidence'!K16,"")</f>
        <v/>
      </c>
      <c r="L40" s="115">
        <f>IF(ISNUMBER('Evidence'!L16),'Evidence'!L16,"")</f>
        <v/>
      </c>
      <c r="M40" s="115">
        <f>IF(ISNUMBER('Evidence'!M16),'Evidence'!M16,"")</f>
        <v/>
      </c>
      <c r="N40" s="115">
        <f>IF(ISNUMBER('Evidence'!N16),'Evidence'!N16,"")</f>
        <v/>
      </c>
      <c r="O40" s="115">
        <f>IF(ISNUMBER('Evidence'!O16),'Evidence'!O16,"")</f>
        <v/>
      </c>
      <c r="P40" s="115">
        <f>IF(ISNUMBER('Evidence'!P16),'Evidence'!P16,"")</f>
        <v/>
      </c>
      <c r="Q40" s="115">
        <f>IF(ISNUMBER('Evidence'!Q16),'Evidence'!Q16,"")</f>
        <v/>
      </c>
      <c r="R40" s="115">
        <f>IF(ISNUMBER('Evidence'!R16),'Evidence'!R16,"")</f>
        <v/>
      </c>
      <c r="S40" s="115">
        <f>IF(ISNUMBER('Evidence'!S16),'Evidence'!S16,"")</f>
        <v/>
      </c>
      <c r="T40" s="3" t="inlineStr">
        <is>
          <t>Unreviewed source extract; annual cells contain… [N057]</t>
        </is>
      </c>
      <c r="U40" s="3" t="inlineStr">
        <is>
          <t>Evidence row 16;… [N058]</t>
        </is>
      </c>
      <c r="V40" s="3" t="inlineStr">
        <is>
          <t>G02/G03: same-market denominator only; reconcile… [N059]</t>
        </is>
      </c>
    </row>
    <row r="41" ht="30" customHeight="1">
      <c r="A41" s="16" t="inlineStr">
        <is>
          <t>BEV share of total market sales</t>
        </is>
      </c>
      <c r="B41" s="16" t="inlineStr">
        <is>
          <t>share</t>
        </is>
      </c>
      <c r="C41" s="16" t="inlineStr">
        <is>
          <t>Reporting formula</t>
        </is>
      </c>
      <c r="D41" s="116" t="n"/>
      <c r="E41" s="16" t="inlineStr">
        <is>
          <t>All-market share = BEV sales / total market sales. Not passenger-specific.</t>
        </is>
      </c>
      <c r="F41" s="128">
        <f>IF(COUNT(F37,F40)&lt;2,"",IF(F40=0,"",F37/F40))</f>
        <v/>
      </c>
      <c r="G41" s="128">
        <f>IF(COUNT(G37,G40)&lt;2,"",IF(G40=0,"",G37/G40))</f>
        <v/>
      </c>
      <c r="H41" s="128">
        <f>IF(COUNT(H37,H40)&lt;2,"",IF(H40=0,"",H37/H40))</f>
        <v/>
      </c>
      <c r="I41" s="128">
        <f>IF(COUNT(I37,I40)&lt;2,"",IF(I40=0,"",I37/I40))</f>
        <v/>
      </c>
      <c r="J41" s="128">
        <f>IF(COUNT(J37,J40)&lt;2,"",IF(J40=0,"",J37/J40))</f>
        <v/>
      </c>
      <c r="K41" s="128">
        <f>IF(COUNT(K37,K40)&lt;2,"",IF(K40=0,"",K37/K40))</f>
        <v/>
      </c>
      <c r="L41" s="128">
        <f>IF(COUNT(L37,L40)&lt;2,"",IF(L40=0,"",L37/L40))</f>
        <v/>
      </c>
      <c r="M41" s="128">
        <f>IF(COUNT(M37,M40)&lt;2,"",IF(M40=0,"",M37/M40))</f>
        <v/>
      </c>
      <c r="N41" s="128">
        <f>IF(COUNT(N37,N40)&lt;2,"",IF(N40=0,"",N37/N40))</f>
        <v/>
      </c>
      <c r="O41" s="128">
        <f>IF(COUNT(O37,O40)&lt;2,"",IF(O40=0,"",O37/O40))</f>
        <v/>
      </c>
      <c r="P41" s="128">
        <f>IF(COUNT(P37,P40)&lt;2,"",IF(P40=0,"",P37/P40))</f>
        <v/>
      </c>
      <c r="Q41" s="128">
        <f>IF(COUNT(Q37,Q40)&lt;2,"",IF(Q40=0,"",Q37/Q40))</f>
        <v/>
      </c>
      <c r="R41" s="128">
        <f>IF(COUNT(R37,R40)&lt;2,"",IF(R40=0,"",R37/R40))</f>
        <v/>
      </c>
      <c r="S41" s="128">
        <f>IF(COUNT(S37,S40)&lt;2,"",IF(S40=0,"",S37/S40))</f>
        <v/>
      </c>
      <c r="T41" s="3" t="inlineStr">
        <is>
          <t>Years with both observations only.</t>
        </is>
      </c>
      <c r="U41" s="3" t="inlineStr">
        <is>
          <t>https://github.com/Africa-International-Advisors/liq… [N060]</t>
        </is>
      </c>
      <c r="V41" s="3" t="inlineStr">
        <is>
          <t>G03: obtain class-level denominator before adoption.</t>
        </is>
      </c>
    </row>
    <row r="42" ht="30" customHeight="1">
      <c r="A42" s="65" t="inlineStr">
        <is>
          <t>Updated observed GDP per capita</t>
        </is>
      </c>
      <c r="B42" s="65" t="inlineStr">
        <is>
          <t>2015 ZAR/person</t>
        </is>
      </c>
      <c r="C42" s="65" t="inlineStr">
        <is>
          <t>Staged observation</t>
        </is>
      </c>
      <c r="D42" s="114">
        <f>IF(ISNUMBER('Evidence'!D25),'Evidence'!D25,"")</f>
        <v/>
      </c>
      <c r="E42" s="65" t="inlineStr">
        <is>
          <t>Stats SA annual actual in staged reporting copy. Sector value… [N061]</t>
        </is>
      </c>
      <c r="F42" s="115">
        <f>IF(ISNUMBER('Evidence'!F25),'Evidence'!F25,"")</f>
        <v/>
      </c>
      <c r="G42" s="115">
        <f>IF(ISNUMBER('Evidence'!G25),'Evidence'!G25,"")</f>
        <v/>
      </c>
      <c r="H42" s="115">
        <f>IF(ISNUMBER('Evidence'!H25),'Evidence'!H25,"")</f>
        <v/>
      </c>
      <c r="I42" s="115">
        <f>IF(ISNUMBER('Evidence'!I25),'Evidence'!I25,"")</f>
        <v/>
      </c>
      <c r="J42" s="115">
        <f>IF(ISNUMBER('Evidence'!J25),'Evidence'!J25,"")</f>
        <v/>
      </c>
      <c r="K42" s="115">
        <f>IF(ISNUMBER('Evidence'!K25),'Evidence'!K25,"")</f>
        <v/>
      </c>
      <c r="L42" s="115">
        <f>IF(ISNUMBER('Evidence'!L25),'Evidence'!L25,"")</f>
        <v/>
      </c>
      <c r="M42" s="115">
        <f>IF(ISNUMBER('Evidence'!M25),'Evidence'!M25,"")</f>
        <v/>
      </c>
      <c r="N42" s="115">
        <f>IF(ISNUMBER('Evidence'!N25),'Evidence'!N25,"")</f>
        <v/>
      </c>
      <c r="O42" s="115">
        <f>IF(ISNUMBER('Evidence'!O25),'Evidence'!O25,"")</f>
        <v/>
      </c>
      <c r="P42" s="115">
        <f>IF(ISNUMBER('Evidence'!P25),'Evidence'!P25,"")</f>
        <v/>
      </c>
      <c r="Q42" s="115">
        <f>IF(ISNUMBER('Evidence'!Q25),'Evidence'!Q25,"")</f>
        <v/>
      </c>
      <c r="R42" s="115">
        <f>IF(ISNUMBER('Evidence'!R25),'Evidence'!R25,"")</f>
        <v/>
      </c>
      <c r="S42" s="115">
        <f>IF(ISNUMBER('Evidence'!S25),'Evidence'!S25,"")</f>
        <v/>
      </c>
      <c r="T42" s="3" t="inlineStr">
        <is>
          <t>Unreviewed source extract; annual cells contain… [N062]</t>
        </is>
      </c>
      <c r="U42" s="3" t="inlineStr">
        <is>
          <t>Evidence row 25;… [N063]</t>
        </is>
      </c>
      <c r="V42" s="3" t="inlineStr">
        <is>
          <t>G02: reconcile updated series against engine macro assumptions.</t>
        </is>
      </c>
    </row>
    <row r="43" ht="8" customHeight="1">
      <c r="A43" s="3" t="n"/>
      <c r="B43" s="3" t="n"/>
      <c r="C43" s="3" t="n"/>
      <c r="D43" s="3" t="n"/>
      <c r="E43" s="3" t="n"/>
      <c r="F43" s="6" t="n"/>
      <c r="G43" s="6" t="n"/>
      <c r="H43" s="6" t="n"/>
      <c r="I43" s="6" t="n"/>
      <c r="J43" s="6" t="n"/>
      <c r="K43" s="6" t="n"/>
      <c r="L43" s="6" t="n"/>
      <c r="M43" s="6" t="n"/>
      <c r="N43" s="6" t="n"/>
      <c r="O43" s="6" t="n"/>
      <c r="P43" s="6" t="n"/>
      <c r="Q43" s="6" t="n"/>
      <c r="R43" s="6" t="n"/>
      <c r="S43" s="6" t="n"/>
      <c r="T43" s="3" t="n"/>
      <c r="U43" s="3" t="n"/>
      <c r="V43" s="3" t="n"/>
    </row>
    <row r="44" ht="30" customHeight="1">
      <c r="A44" s="16" t="inlineStr">
        <is>
          <t>LCV petrol stock</t>
        </is>
      </c>
      <c r="B44" s="16" t="inlineStr">
        <is>
          <t>vehicles</t>
        </is>
      </c>
      <c r="C44" s="16" t="inlineStr">
        <is>
          <t>Linked model output</t>
        </is>
      </c>
      <c r="D44" s="16" t="n"/>
      <c r="E44" s="16" t="inlineStr">
        <is>
          <t>Model run row 54; Python vehicle cohort result.</t>
        </is>
      </c>
      <c r="F44" s="117">
        <f>IF(ISNUMBER('Model run'!F54),'Model run'!F54,"")</f>
        <v/>
      </c>
      <c r="G44" s="117">
        <f>IF(ISNUMBER('Model run'!G54),'Model run'!G54,"")</f>
        <v/>
      </c>
      <c r="H44" s="117">
        <f>IF(ISNUMBER('Model run'!H54),'Model run'!H54,"")</f>
        <v/>
      </c>
      <c r="I44" s="117">
        <f>IF(ISNUMBER('Model run'!I54),'Model run'!I54,"")</f>
        <v/>
      </c>
      <c r="J44" s="117">
        <f>IF(ISNUMBER('Model run'!J54),'Model run'!J54,"")</f>
        <v/>
      </c>
      <c r="K44" s="117">
        <f>IF(ISNUMBER('Model run'!K54),'Model run'!K54,"")</f>
        <v/>
      </c>
      <c r="L44" s="117">
        <f>IF(ISNUMBER('Model run'!L54),'Model run'!L54,"")</f>
        <v/>
      </c>
      <c r="M44" s="117">
        <f>IF(ISNUMBER('Model run'!M54),'Model run'!M54,"")</f>
        <v/>
      </c>
      <c r="N44" s="117">
        <f>IF(ISNUMBER('Model run'!N54),'Model run'!N54,"")</f>
        <v/>
      </c>
      <c r="O44" s="117">
        <f>IF(ISNUMBER('Model run'!O54),'Model run'!O54,"")</f>
        <v/>
      </c>
      <c r="P44" s="117">
        <f>IF(ISNUMBER('Model run'!P54),'Model run'!P54,"")</f>
        <v/>
      </c>
      <c r="Q44" s="117">
        <f>IF(ISNUMBER('Model run'!Q54),'Model run'!Q54,"")</f>
        <v/>
      </c>
      <c r="R44" s="117">
        <f>IF(ISNUMBER('Model run'!R54),'Model run'!R54,"")</f>
        <v/>
      </c>
      <c r="S44" s="117">
        <f>IF(ISNUMBER('Model run'!S54),'Model run'!S54,"")</f>
        <v/>
      </c>
      <c r="T44" s="16" t="n"/>
      <c r="U44" s="16" t="n"/>
      <c r="V44" s="16" t="n"/>
    </row>
    <row r="45" ht="30" customHeight="1">
      <c r="A45" s="16" t="inlineStr">
        <is>
          <t>LCV petrol vehicle kilometres</t>
        </is>
      </c>
      <c r="B45" s="16" t="inlineStr">
        <is>
          <t>vehicle km/year</t>
        </is>
      </c>
      <c r="C45" s="16" t="inlineStr">
        <is>
          <t>Linked model output</t>
        </is>
      </c>
      <c r="D45" s="16" t="n"/>
      <c r="E45" s="16" t="inlineStr">
        <is>
          <t>Model run row 55; Python vehicle cohort result.</t>
        </is>
      </c>
      <c r="F45" s="117">
        <f>IF(ISNUMBER('Model run'!F55),'Model run'!F55,"")</f>
        <v/>
      </c>
      <c r="G45" s="117">
        <f>IF(ISNUMBER('Model run'!G55),'Model run'!G55,"")</f>
        <v/>
      </c>
      <c r="H45" s="117">
        <f>IF(ISNUMBER('Model run'!H55),'Model run'!H55,"")</f>
        <v/>
      </c>
      <c r="I45" s="117">
        <f>IF(ISNUMBER('Model run'!I55),'Model run'!I55,"")</f>
        <v/>
      </c>
      <c r="J45" s="117">
        <f>IF(ISNUMBER('Model run'!J55),'Model run'!J55,"")</f>
        <v/>
      </c>
      <c r="K45" s="117">
        <f>IF(ISNUMBER('Model run'!K55),'Model run'!K55,"")</f>
        <v/>
      </c>
      <c r="L45" s="117">
        <f>IF(ISNUMBER('Model run'!L55),'Model run'!L55,"")</f>
        <v/>
      </c>
      <c r="M45" s="117">
        <f>IF(ISNUMBER('Model run'!M55),'Model run'!M55,"")</f>
        <v/>
      </c>
      <c r="N45" s="117">
        <f>IF(ISNUMBER('Model run'!N55),'Model run'!N55,"")</f>
        <v/>
      </c>
      <c r="O45" s="117">
        <f>IF(ISNUMBER('Model run'!O55),'Model run'!O55,"")</f>
        <v/>
      </c>
      <c r="P45" s="117">
        <f>IF(ISNUMBER('Model run'!P55),'Model run'!P55,"")</f>
        <v/>
      </c>
      <c r="Q45" s="117">
        <f>IF(ISNUMBER('Model run'!Q55),'Model run'!Q55,"")</f>
        <v/>
      </c>
      <c r="R45" s="117">
        <f>IF(ISNUMBER('Model run'!R55),'Model run'!R55,"")</f>
        <v/>
      </c>
      <c r="S45" s="117">
        <f>IF(ISNUMBER('Model run'!S55),'Model run'!S55,"")</f>
        <v/>
      </c>
      <c r="T45" s="16" t="n"/>
      <c r="U45" s="16" t="n"/>
      <c r="V45" s="16" t="n"/>
    </row>
    <row r="46" ht="30" customHeight="1">
      <c r="A46" s="16" t="inlineStr">
        <is>
          <t>LCV petrol demand</t>
        </is>
      </c>
      <c r="B46" s="16" t="inlineStr">
        <is>
          <t>L/year</t>
        </is>
      </c>
      <c r="C46" s="16" t="inlineStr">
        <is>
          <t>Linked model output</t>
        </is>
      </c>
      <c r="D46" s="16" t="n"/>
      <c r="E46" s="16" t="inlineStr">
        <is>
          <t>Model run row 56; Python vehicle cohort result.</t>
        </is>
      </c>
      <c r="F46" s="117">
        <f>IF(ISNUMBER('Model run'!F56),'Model run'!F56,"")</f>
        <v/>
      </c>
      <c r="G46" s="117">
        <f>IF(ISNUMBER('Model run'!G56),'Model run'!G56,"")</f>
        <v/>
      </c>
      <c r="H46" s="117">
        <f>IF(ISNUMBER('Model run'!H56),'Model run'!H56,"")</f>
        <v/>
      </c>
      <c r="I46" s="117">
        <f>IF(ISNUMBER('Model run'!I56),'Model run'!I56,"")</f>
        <v/>
      </c>
      <c r="J46" s="117">
        <f>IF(ISNUMBER('Model run'!J56),'Model run'!J56,"")</f>
        <v/>
      </c>
      <c r="K46" s="117">
        <f>IF(ISNUMBER('Model run'!K56),'Model run'!K56,"")</f>
        <v/>
      </c>
      <c r="L46" s="117">
        <f>IF(ISNUMBER('Model run'!L56),'Model run'!L56,"")</f>
        <v/>
      </c>
      <c r="M46" s="117">
        <f>IF(ISNUMBER('Model run'!M56),'Model run'!M56,"")</f>
        <v/>
      </c>
      <c r="N46" s="117">
        <f>IF(ISNUMBER('Model run'!N56),'Model run'!N56,"")</f>
        <v/>
      </c>
      <c r="O46" s="117">
        <f>IF(ISNUMBER('Model run'!O56),'Model run'!O56,"")</f>
        <v/>
      </c>
      <c r="P46" s="117">
        <f>IF(ISNUMBER('Model run'!P56),'Model run'!P56,"")</f>
        <v/>
      </c>
      <c r="Q46" s="117">
        <f>IF(ISNUMBER('Model run'!Q56),'Model run'!Q56,"")</f>
        <v/>
      </c>
      <c r="R46" s="117">
        <f>IF(ISNUMBER('Model run'!R56),'Model run'!R56,"")</f>
        <v/>
      </c>
      <c r="S46" s="117">
        <f>IF(ISNUMBER('Model run'!S56),'Model run'!S56,"")</f>
        <v/>
      </c>
      <c r="T46" s="16" t="n"/>
      <c r="U46" s="16" t="n"/>
      <c r="V46" s="16" t="n"/>
    </row>
    <row r="47" ht="8" customHeight="1">
      <c r="A47" s="102" t="n"/>
      <c r="B47" s="102" t="n"/>
      <c r="C47" s="102" t="n"/>
      <c r="D47" s="102" t="n"/>
      <c r="E47" s="102" t="n"/>
      <c r="F47" s="104" t="n"/>
      <c r="G47" s="104" t="n"/>
      <c r="H47" s="104" t="n"/>
      <c r="I47" s="104" t="n"/>
      <c r="J47" s="104" t="n"/>
      <c r="K47" s="104" t="n"/>
      <c r="L47" s="104" t="n"/>
      <c r="M47" s="104" t="n"/>
      <c r="N47" s="104" t="n"/>
      <c r="O47" s="104" t="n"/>
      <c r="P47" s="104" t="n"/>
      <c r="Q47" s="104" t="n"/>
      <c r="R47" s="104" t="n"/>
      <c r="S47" s="104" t="n"/>
      <c r="T47" s="3" t="n"/>
      <c r="U47" s="3" t="n"/>
      <c r="V47" s="3" t="n"/>
    </row>
    <row r="48" ht="8" customHeight="1">
      <c r="A48" s="102" t="n"/>
      <c r="B48" s="102" t="n"/>
      <c r="C48" s="102" t="n"/>
      <c r="D48" s="102" t="n"/>
      <c r="E48" s="102" t="n"/>
      <c r="F48" s="104" t="n"/>
      <c r="G48" s="104" t="n"/>
      <c r="H48" s="104" t="n"/>
      <c r="I48" s="104" t="n"/>
      <c r="J48" s="104" t="n"/>
      <c r="K48" s="104" t="n"/>
      <c r="L48" s="104" t="n"/>
      <c r="M48" s="104" t="n"/>
      <c r="N48" s="104" t="n"/>
      <c r="O48" s="104" t="n"/>
      <c r="P48" s="104" t="n"/>
      <c r="Q48" s="104" t="n"/>
      <c r="R48" s="104" t="n"/>
      <c r="S48" s="104" t="n"/>
      <c r="T48" s="3" t="n"/>
      <c r="U48" s="3" t="n"/>
      <c r="V48" s="3" t="n"/>
    </row>
    <row r="49" ht="8" customHeight="1">
      <c r="A49" s="102" t="n"/>
      <c r="B49" s="102" t="n"/>
      <c r="C49" s="102" t="n"/>
      <c r="D49" s="102" t="n"/>
      <c r="E49" s="102" t="n"/>
      <c r="F49" s="104" t="n"/>
      <c r="G49" s="104" t="n"/>
      <c r="H49" s="104" t="n"/>
      <c r="I49" s="104" t="n"/>
      <c r="J49" s="104" t="n"/>
      <c r="K49" s="104" t="n"/>
      <c r="L49" s="104" t="n"/>
      <c r="M49" s="104" t="n"/>
      <c r="N49" s="104" t="n"/>
      <c r="O49" s="104" t="n"/>
      <c r="P49" s="104" t="n"/>
      <c r="Q49" s="104" t="n"/>
      <c r="R49" s="104" t="n"/>
      <c r="S49" s="104" t="n"/>
      <c r="T49" s="3" t="n"/>
      <c r="U49" s="3" t="n"/>
      <c r="V49" s="3" t="n"/>
    </row>
    <row r="50" ht="8" customHeight="1">
      <c r="A50" s="102" t="n"/>
      <c r="B50" s="102" t="n"/>
      <c r="C50" s="102" t="n"/>
      <c r="D50" s="102" t="n"/>
      <c r="E50" s="102" t="n"/>
      <c r="F50" s="104" t="n"/>
      <c r="G50" s="104" t="n"/>
      <c r="H50" s="104" t="n"/>
      <c r="I50" s="104" t="n"/>
      <c r="J50" s="104" t="n"/>
      <c r="K50" s="104" t="n"/>
      <c r="L50" s="104" t="n"/>
      <c r="M50" s="104" t="n"/>
      <c r="N50" s="104" t="n"/>
      <c r="O50" s="104" t="n"/>
      <c r="P50" s="104" t="n"/>
      <c r="Q50" s="104" t="n"/>
      <c r="R50" s="104" t="n"/>
      <c r="S50" s="104" t="n"/>
      <c r="T50" s="3" t="n"/>
      <c r="U50" s="3" t="n"/>
      <c r="V50" s="3" t="n"/>
    </row>
    <row r="51" ht="8" customHeight="1">
      <c r="A51" s="102" t="n"/>
      <c r="B51" s="102" t="n"/>
      <c r="C51" s="102" t="n"/>
      <c r="D51" s="102" t="n"/>
      <c r="E51" s="102" t="n"/>
      <c r="F51" s="104" t="n"/>
      <c r="G51" s="104" t="n"/>
      <c r="H51" s="104" t="n"/>
      <c r="I51" s="104" t="n"/>
      <c r="J51" s="104" t="n"/>
      <c r="K51" s="104" t="n"/>
      <c r="L51" s="104" t="n"/>
      <c r="M51" s="104" t="n"/>
      <c r="N51" s="104" t="n"/>
      <c r="O51" s="104" t="n"/>
      <c r="P51" s="104" t="n"/>
      <c r="Q51" s="104" t="n"/>
      <c r="R51" s="104" t="n"/>
      <c r="S51" s="104" t="n"/>
      <c r="T51" s="3" t="n"/>
      <c r="U51" s="3" t="n"/>
      <c r="V51" s="3" t="n"/>
    </row>
    <row r="52" ht="8" customHeight="1">
      <c r="A52" s="102" t="n"/>
      <c r="B52" s="102" t="n"/>
      <c r="C52" s="102" t="n"/>
      <c r="D52" s="102" t="n"/>
      <c r="E52" s="102" t="n"/>
      <c r="F52" s="104" t="n"/>
      <c r="G52" s="104" t="n"/>
      <c r="H52" s="104" t="n"/>
      <c r="I52" s="104" t="n"/>
      <c r="J52" s="104" t="n"/>
      <c r="K52" s="104" t="n"/>
      <c r="L52" s="104" t="n"/>
      <c r="M52" s="104" t="n"/>
      <c r="N52" s="104" t="n"/>
      <c r="O52" s="104" t="n"/>
      <c r="P52" s="104" t="n"/>
      <c r="Q52" s="104" t="n"/>
      <c r="R52" s="104" t="n"/>
      <c r="S52" s="104" t="n"/>
      <c r="T52" s="3" t="n"/>
      <c r="U52" s="3" t="n"/>
      <c r="V52" s="3" t="n"/>
    </row>
    <row r="53" ht="8" customHeight="1">
      <c r="A53" s="102" t="n"/>
      <c r="B53" s="102" t="n"/>
      <c r="C53" s="102" t="n"/>
      <c r="D53" s="102" t="n"/>
      <c r="E53" s="102" t="n"/>
      <c r="F53" s="104" t="n"/>
      <c r="G53" s="104" t="n"/>
      <c r="H53" s="104" t="n"/>
      <c r="I53" s="104" t="n"/>
      <c r="J53" s="104" t="n"/>
      <c r="K53" s="104" t="n"/>
      <c r="L53" s="104" t="n"/>
      <c r="M53" s="104" t="n"/>
      <c r="N53" s="104" t="n"/>
      <c r="O53" s="104" t="n"/>
      <c r="P53" s="104" t="n"/>
      <c r="Q53" s="104" t="n"/>
      <c r="R53" s="104" t="n"/>
      <c r="S53" s="104" t="n"/>
      <c r="T53" s="3" t="n"/>
      <c r="U53" s="3" t="n"/>
      <c r="V53" s="3" t="n"/>
    </row>
    <row r="54" ht="8" customHeight="1">
      <c r="A54" s="102" t="n"/>
      <c r="B54" s="102" t="n"/>
      <c r="C54" s="102" t="n"/>
      <c r="D54" s="102" t="n"/>
      <c r="E54" s="102" t="n"/>
      <c r="F54" s="104" t="n"/>
      <c r="G54" s="104" t="n"/>
      <c r="H54" s="104" t="n"/>
      <c r="I54" s="104" t="n"/>
      <c r="J54" s="104" t="n"/>
      <c r="K54" s="104" t="n"/>
      <c r="L54" s="104" t="n"/>
      <c r="M54" s="104" t="n"/>
      <c r="N54" s="104" t="n"/>
      <c r="O54" s="104" t="n"/>
      <c r="P54" s="104" t="n"/>
      <c r="Q54" s="104" t="n"/>
      <c r="R54" s="104" t="n"/>
      <c r="S54" s="104" t="n"/>
      <c r="T54" s="3" t="n"/>
      <c r="U54" s="3" t="n"/>
      <c r="V54" s="3" t="n"/>
    </row>
    <row r="55" ht="8" customHeight="1">
      <c r="A55" s="102" t="n"/>
      <c r="B55" s="102" t="n"/>
      <c r="C55" s="102" t="n"/>
      <c r="D55" s="102" t="n"/>
      <c r="E55" s="102" t="n"/>
      <c r="F55" s="104" t="n"/>
      <c r="G55" s="104" t="n"/>
      <c r="H55" s="104" t="n"/>
      <c r="I55" s="104" t="n"/>
      <c r="J55" s="104" t="n"/>
      <c r="K55" s="104" t="n"/>
      <c r="L55" s="104" t="n"/>
      <c r="M55" s="104" t="n"/>
      <c r="N55" s="104" t="n"/>
      <c r="O55" s="104" t="n"/>
      <c r="P55" s="104" t="n"/>
      <c r="Q55" s="104" t="n"/>
      <c r="R55" s="104" t="n"/>
      <c r="S55" s="104" t="n"/>
      <c r="T55" s="3" t="n"/>
      <c r="U55" s="3" t="n"/>
      <c r="V55" s="3" t="n"/>
    </row>
    <row r="56" ht="8" customHeight="1">
      <c r="A56" s="102" t="n"/>
      <c r="B56" s="102" t="n"/>
      <c r="C56" s="102" t="n"/>
      <c r="D56" s="102" t="n"/>
      <c r="E56" s="102" t="n"/>
      <c r="F56" s="104" t="n"/>
      <c r="G56" s="104" t="n"/>
      <c r="H56" s="104" t="n"/>
      <c r="I56" s="104" t="n"/>
      <c r="J56" s="104" t="n"/>
      <c r="K56" s="104" t="n"/>
      <c r="L56" s="104" t="n"/>
      <c r="M56" s="104" t="n"/>
      <c r="N56" s="104" t="n"/>
      <c r="O56" s="104" t="n"/>
      <c r="P56" s="104" t="n"/>
      <c r="Q56" s="104" t="n"/>
      <c r="R56" s="104" t="n"/>
      <c r="S56" s="104" t="n"/>
      <c r="T56" s="3" t="n"/>
      <c r="U56" s="3" t="n"/>
      <c r="V56" s="3" t="n"/>
    </row>
    <row r="57" ht="8" customHeight="1">
      <c r="A57" s="102" t="n"/>
      <c r="B57" s="102" t="n"/>
      <c r="C57" s="102" t="n"/>
      <c r="D57" s="102" t="n"/>
      <c r="E57" s="102" t="n"/>
      <c r="F57" s="104" t="n"/>
      <c r="G57" s="104" t="n"/>
      <c r="H57" s="104" t="n"/>
      <c r="I57" s="104" t="n"/>
      <c r="J57" s="104" t="n"/>
      <c r="K57" s="104" t="n"/>
      <c r="L57" s="104" t="n"/>
      <c r="M57" s="104" t="n"/>
      <c r="N57" s="104" t="n"/>
      <c r="O57" s="104" t="n"/>
      <c r="P57" s="104" t="n"/>
      <c r="Q57" s="104" t="n"/>
      <c r="R57" s="104" t="n"/>
      <c r="S57" s="104" t="n"/>
      <c r="T57" s="3" t="n"/>
      <c r="U57" s="3" t="n"/>
      <c r="V57" s="3" t="n"/>
    </row>
    <row r="58" ht="8" customHeight="1">
      <c r="A58" s="102" t="n"/>
      <c r="B58" s="102" t="n"/>
      <c r="C58" s="102" t="n"/>
      <c r="D58" s="102" t="n"/>
      <c r="E58" s="102" t="n"/>
      <c r="F58" s="104" t="n"/>
      <c r="G58" s="104" t="n"/>
      <c r="H58" s="104" t="n"/>
      <c r="I58" s="104" t="n"/>
      <c r="J58" s="104" t="n"/>
      <c r="K58" s="104" t="n"/>
      <c r="L58" s="104" t="n"/>
      <c r="M58" s="104" t="n"/>
      <c r="N58" s="104" t="n"/>
      <c r="O58" s="104" t="n"/>
      <c r="P58" s="104" t="n"/>
      <c r="Q58" s="104" t="n"/>
      <c r="R58" s="104" t="n"/>
      <c r="S58" s="104" t="n"/>
      <c r="T58" s="3" t="n"/>
      <c r="U58" s="3" t="n"/>
      <c r="V58" s="3" t="n"/>
    </row>
    <row r="59" ht="8" customHeight="1">
      <c r="A59" s="102" t="n"/>
      <c r="B59" s="102" t="n"/>
      <c r="C59" s="102" t="n"/>
      <c r="D59" s="102" t="n"/>
      <c r="E59" s="102" t="n"/>
      <c r="F59" s="104" t="n"/>
      <c r="G59" s="104" t="n"/>
      <c r="H59" s="104" t="n"/>
      <c r="I59" s="104" t="n"/>
      <c r="J59" s="104" t="n"/>
      <c r="K59" s="104" t="n"/>
      <c r="L59" s="104" t="n"/>
      <c r="M59" s="104" t="n"/>
      <c r="N59" s="104" t="n"/>
      <c r="O59" s="104" t="n"/>
      <c r="P59" s="104" t="n"/>
      <c r="Q59" s="104" t="n"/>
      <c r="R59" s="104" t="n"/>
      <c r="S59" s="104" t="n"/>
      <c r="T59" s="3" t="n"/>
      <c r="U59" s="3" t="n"/>
      <c r="V59" s="3" t="n"/>
    </row>
    <row r="60" ht="8" customHeight="1">
      <c r="A60" s="102" t="n"/>
      <c r="B60" s="102" t="n"/>
      <c r="C60" s="102" t="n"/>
      <c r="D60" s="102" t="n"/>
      <c r="E60" s="102" t="n"/>
      <c r="F60" s="104" t="n"/>
      <c r="G60" s="104" t="n"/>
      <c r="H60" s="104" t="n"/>
      <c r="I60" s="104" t="n"/>
      <c r="J60" s="104" t="n"/>
      <c r="K60" s="104" t="n"/>
      <c r="L60" s="104" t="n"/>
      <c r="M60" s="104" t="n"/>
      <c r="N60" s="104" t="n"/>
      <c r="O60" s="104" t="n"/>
      <c r="P60" s="104" t="n"/>
      <c r="Q60" s="104" t="n"/>
      <c r="R60" s="104" t="n"/>
      <c r="S60" s="104" t="n"/>
      <c r="T60" s="3" t="n"/>
      <c r="U60" s="3" t="n"/>
      <c r="V60"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65"/>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5" t="inlineStr">
        <is>
          <t>Diesel road freight demand</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7" t="inlineStr">
        <is>
          <t>Current national heavy-commercial example • Heavy trucks are only part of road-freight demand.</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Current fleet-method inputs</t>
        </is>
      </c>
      <c r="B5" s="11" t="n"/>
      <c r="C5" s="11" t="n"/>
      <c r="D5" s="11" t="n"/>
      <c r="E5" s="11" t="n"/>
      <c r="F5" s="25" t="n"/>
      <c r="G5" s="25" t="n"/>
      <c r="H5" s="25" t="n"/>
      <c r="I5" s="25" t="n"/>
      <c r="J5" s="25" t="n"/>
      <c r="K5" s="25" t="n"/>
      <c r="L5" s="25" t="n"/>
      <c r="M5" s="25" t="n"/>
      <c r="N5" s="25" t="n"/>
      <c r="O5" s="25" t="n"/>
      <c r="P5" s="25" t="n"/>
      <c r="Q5" s="25" t="n"/>
      <c r="R5" s="25" t="n"/>
      <c r="S5" s="25" t="n"/>
      <c r="T5" s="3" t="n"/>
      <c r="U5" s="3" t="n"/>
      <c r="V5" s="3" t="n"/>
    </row>
    <row r="6" ht="30" customHeight="1">
      <c r="A6" s="3" t="inlineStr">
        <is>
          <t>GDP per capita</t>
        </is>
      </c>
      <c r="B6" s="3" t="inlineStr">
        <is>
          <t>2015 ZAR/person</t>
        </is>
      </c>
      <c r="C6" s="3" t="inlineStr">
        <is>
          <t>Input series</t>
        </is>
      </c>
      <c r="D6" s="121" t="n"/>
      <c r="E6" s="3" t="inlineStr">
        <is>
          <t>Same national vehicle-sales regression as Petrol sheet.</t>
        </is>
      </c>
      <c r="F6" s="122">
        <f>IF(ISNUMBER('Model run'!F19),'Model run'!F19,"")</f>
        <v/>
      </c>
      <c r="G6" s="122">
        <f>IF(ISNUMBER('Model run'!G19),'Model run'!G19,"")</f>
        <v/>
      </c>
      <c r="H6" s="122">
        <f>IF(ISNUMBER('Model run'!H19),'Model run'!H19,"")</f>
        <v/>
      </c>
      <c r="I6" s="122">
        <f>IF(ISNUMBER('Model run'!I19),'Model run'!I19,"")</f>
        <v/>
      </c>
      <c r="J6" s="122">
        <f>IF(ISNUMBER('Model run'!J19),'Model run'!J19,"")</f>
        <v/>
      </c>
      <c r="K6" s="122">
        <f>IF(ISNUMBER('Model run'!K19),'Model run'!K19,"")</f>
        <v/>
      </c>
      <c r="L6" s="122">
        <f>IF(ISNUMBER('Model run'!L19),'Model run'!L19,"")</f>
        <v/>
      </c>
      <c r="M6" s="122">
        <f>IF(ISNUMBER('Model run'!M19),'Model run'!M19,"")</f>
        <v/>
      </c>
      <c r="N6" s="122">
        <f>IF(ISNUMBER('Model run'!N19),'Model run'!N19,"")</f>
        <v/>
      </c>
      <c r="O6" s="122">
        <f>IF(ISNUMBER('Model run'!O19),'Model run'!O19,"")</f>
        <v/>
      </c>
      <c r="P6" s="122">
        <f>IF(ISNUMBER('Model run'!P19),'Model run'!P19,"")</f>
        <v/>
      </c>
      <c r="Q6" s="122">
        <f>IF(ISNUMBER('Model run'!Q19),'Model run'!Q19,"")</f>
        <v/>
      </c>
      <c r="R6" s="122">
        <f>IF(ISNUMBER('Model run'!R19),'Model run'!R19,"")</f>
        <v/>
      </c>
      <c r="S6" s="122">
        <f>IF(ISNUMBER('Model run'!S19),'Model run'!S19,"")</f>
        <v/>
      </c>
      <c r="T6" s="3" t="n"/>
      <c r="U6" s="3" t="n"/>
      <c r="V6" s="3" t="n"/>
    </row>
    <row r="7" ht="30" customHeight="1">
      <c r="A7" s="3" t="inlineStr">
        <is>
          <t>HCV share of new vehicle sales</t>
        </is>
      </c>
      <c r="B7" s="3" t="inlineStr">
        <is>
          <t>share</t>
        </is>
      </c>
      <c r="C7" s="3" t="inlineStr">
        <is>
          <t>Scalar</t>
        </is>
      </c>
      <c r="D7" s="124">
        <f>IF(ISNUMBER('Model run'!D20),'Model run'!D20,"")</f>
        <v/>
      </c>
      <c r="E7" s="3" t="inlineStr">
        <is>
          <t>Current provisional class split.</t>
        </is>
      </c>
      <c r="F7" s="125" t="n"/>
      <c r="G7" s="125" t="n"/>
      <c r="H7" s="125" t="n"/>
      <c r="I7" s="125" t="n"/>
      <c r="J7" s="125" t="n"/>
      <c r="K7" s="125" t="n"/>
      <c r="L7" s="125" t="n"/>
      <c r="M7" s="125" t="n"/>
      <c r="N7" s="125" t="n"/>
      <c r="O7" s="125" t="n"/>
      <c r="P7" s="125" t="n"/>
      <c r="Q7" s="125" t="n"/>
      <c r="R7" s="125" t="n"/>
      <c r="S7" s="125" t="n"/>
      <c r="T7" s="3" t="n"/>
      <c r="U7" s="3" t="n"/>
      <c r="V7" s="3" t="n"/>
    </row>
    <row r="8" ht="30" customHeight="1">
      <c r="A8" s="3" t="inlineStr">
        <is>
          <t>Diesel share of HCV ICE sales</t>
        </is>
      </c>
      <c r="B8" s="3" t="inlineStr">
        <is>
          <t>share</t>
        </is>
      </c>
      <c r="C8" s="3" t="inlineStr">
        <is>
          <t>Scalar</t>
        </is>
      </c>
      <c r="D8" s="124">
        <f>IF(ISNUMBER('Model run'!D21),'Model run'!D21,"")</f>
        <v/>
      </c>
      <c r="E8" s="3" t="inlineStr">
        <is>
          <t>Current model applies its common EV adjustment before the diesel split.</t>
        </is>
      </c>
      <c r="F8" s="125" t="n"/>
      <c r="G8" s="125" t="n"/>
      <c r="H8" s="125" t="n"/>
      <c r="I8" s="125" t="n"/>
      <c r="J8" s="125" t="n"/>
      <c r="K8" s="125" t="n"/>
      <c r="L8" s="125" t="n"/>
      <c r="M8" s="125" t="n"/>
      <c r="N8" s="125" t="n"/>
      <c r="O8" s="125" t="n"/>
      <c r="P8" s="125" t="n"/>
      <c r="Q8" s="125" t="n"/>
      <c r="R8" s="125" t="n"/>
      <c r="S8" s="125" t="n"/>
      <c r="T8" s="3" t="n"/>
      <c r="U8" s="3" t="n"/>
      <c r="V8" s="3" t="n"/>
    </row>
    <row r="9" ht="30" customHeight="1">
      <c r="A9" s="3" t="inlineStr">
        <is>
          <t>Heavy-truck annual mileage</t>
        </is>
      </c>
      <c r="B9" s="3" t="inlineStr">
        <is>
          <t>km/vehicle/year</t>
        </is>
      </c>
      <c r="C9" s="3" t="inlineStr">
        <is>
          <t>Scalar</t>
        </is>
      </c>
      <c r="D9" s="121">
        <f>IF(ISNUMBER('Model run'!D22),'Model run'!D22,"")</f>
        <v/>
      </c>
      <c r="E9" s="3" t="inlineStr">
        <is>
          <t>Current provisional assumption.</t>
        </is>
      </c>
      <c r="F9" s="122" t="n"/>
      <c r="G9" s="122" t="n"/>
      <c r="H9" s="122" t="n"/>
      <c r="I9" s="122" t="n"/>
      <c r="J9" s="122" t="n"/>
      <c r="K9" s="122" t="n"/>
      <c r="L9" s="122" t="n"/>
      <c r="M9" s="122" t="n"/>
      <c r="N9" s="122" t="n"/>
      <c r="O9" s="122" t="n"/>
      <c r="P9" s="122" t="n"/>
      <c r="Q9" s="122" t="n"/>
      <c r="R9" s="122" t="n"/>
      <c r="S9" s="122" t="n"/>
      <c r="T9" s="3" t="n"/>
      <c r="U9" s="3" t="n"/>
      <c r="V9" s="3" t="n"/>
    </row>
    <row r="10" ht="30" customHeight="1">
      <c r="A10" s="3" t="inlineStr">
        <is>
          <t>Heavy-truck retirement rate</t>
        </is>
      </c>
      <c r="B10" s="3" t="inlineStr">
        <is>
          <t>share/year</t>
        </is>
      </c>
      <c r="C10" s="3" t="inlineStr">
        <is>
          <t>Scalar</t>
        </is>
      </c>
      <c r="D10" s="124">
        <f>IF(ISNUMBER('Model run'!D23),'Model run'!D23,"")</f>
        <v/>
      </c>
      <c r="E10" s="3" t="inlineStr">
        <is>
          <t>Flat retirement assumption across cohorts.</t>
        </is>
      </c>
      <c r="F10" s="125" t="n"/>
      <c r="G10" s="125" t="n"/>
      <c r="H10" s="125" t="n"/>
      <c r="I10" s="125" t="n"/>
      <c r="J10" s="125" t="n"/>
      <c r="K10" s="125" t="n"/>
      <c r="L10" s="125" t="n"/>
      <c r="M10" s="125" t="n"/>
      <c r="N10" s="125" t="n"/>
      <c r="O10" s="125" t="n"/>
      <c r="P10" s="125" t="n"/>
      <c r="Q10" s="125" t="n"/>
      <c r="R10" s="125" t="n"/>
      <c r="S10" s="125" t="n"/>
      <c r="T10" s="3" t="n"/>
      <c r="U10" s="3" t="n"/>
      <c r="V10" s="3" t="n"/>
    </row>
    <row r="11" ht="30" customHeight="1">
      <c r="A11" s="3" t="inlineStr">
        <is>
          <t>Base new-truck consumption</t>
        </is>
      </c>
      <c r="B11" s="3" t="inlineStr">
        <is>
          <t>L/100 km</t>
        </is>
      </c>
      <c r="C11" s="3" t="inlineStr">
        <is>
          <t>Scalar</t>
        </is>
      </c>
      <c r="D11" s="121">
        <f>IF(ISNUMBER('Model run'!D24),'Model run'!D24,"")</f>
        <v/>
      </c>
      <c r="E11" s="3" t="inlineStr">
        <is>
          <t>Entry-cohort baseline before efficiency improvement.</t>
        </is>
      </c>
      <c r="F11" s="122" t="n"/>
      <c r="G11" s="122" t="n"/>
      <c r="H11" s="122" t="n"/>
      <c r="I11" s="122" t="n"/>
      <c r="J11" s="122" t="n"/>
      <c r="K11" s="122" t="n"/>
      <c r="L11" s="122" t="n"/>
      <c r="M11" s="122" t="n"/>
      <c r="N11" s="122" t="n"/>
      <c r="O11" s="122" t="n"/>
      <c r="P11" s="122" t="n"/>
      <c r="Q11" s="122" t="n"/>
      <c r="R11" s="122" t="n"/>
      <c r="S11" s="122" t="n"/>
      <c r="T11" s="3" t="n"/>
      <c r="U11" s="3" t="n"/>
      <c r="V11" s="3" t="n"/>
    </row>
    <row r="12" ht="30" customHeight="1">
      <c r="A12" s="3" t="inlineStr">
        <is>
          <t>New-cohort efficiency gain</t>
        </is>
      </c>
      <c r="B12" s="3" t="inlineStr">
        <is>
          <t>fraction/year</t>
        </is>
      </c>
      <c r="C12" s="3" t="inlineStr">
        <is>
          <t>Input series</t>
        </is>
      </c>
      <c r="D12" s="124" t="n"/>
      <c r="E12" s="3" t="inlineStr">
        <is>
          <t>Applies to new cohorts only.</t>
        </is>
      </c>
      <c r="F12" s="125">
        <f>IF(ISNUMBER('Model run'!F25),'Model run'!F25,"")</f>
        <v/>
      </c>
      <c r="G12" s="125">
        <f>IF(ISNUMBER('Model run'!G25),'Model run'!G25,"")</f>
        <v/>
      </c>
      <c r="H12" s="125">
        <f>IF(ISNUMBER('Model run'!H25),'Model run'!H25,"")</f>
        <v/>
      </c>
      <c r="I12" s="125">
        <f>IF(ISNUMBER('Model run'!I25),'Model run'!I25,"")</f>
        <v/>
      </c>
      <c r="J12" s="125">
        <f>IF(ISNUMBER('Model run'!J25),'Model run'!J25,"")</f>
        <v/>
      </c>
      <c r="K12" s="125">
        <f>IF(ISNUMBER('Model run'!K25),'Model run'!K25,"")</f>
        <v/>
      </c>
      <c r="L12" s="125">
        <f>IF(ISNUMBER('Model run'!L25),'Model run'!L25,"")</f>
        <v/>
      </c>
      <c r="M12" s="125">
        <f>IF(ISNUMBER('Model run'!M25),'Model run'!M25,"")</f>
        <v/>
      </c>
      <c r="N12" s="125">
        <f>IF(ISNUMBER('Model run'!N25),'Model run'!N25,"")</f>
        <v/>
      </c>
      <c r="O12" s="125">
        <f>IF(ISNUMBER('Model run'!O25),'Model run'!O25,"")</f>
        <v/>
      </c>
      <c r="P12" s="125">
        <f>IF(ISNUMBER('Model run'!P25),'Model run'!P25,"")</f>
        <v/>
      </c>
      <c r="Q12" s="125">
        <f>IF(ISNUMBER('Model run'!Q25),'Model run'!Q25,"")</f>
        <v/>
      </c>
      <c r="R12" s="125">
        <f>IF(ISNUMBER('Model run'!R25),'Model run'!R25,"")</f>
        <v/>
      </c>
      <c r="S12" s="125">
        <f>IF(ISNUMBER('Model run'!S25),'Model run'!S25,"")</f>
        <v/>
      </c>
      <c r="T12" s="3" t="n"/>
      <c r="U12" s="3" t="n"/>
      <c r="V12" s="3" t="n"/>
    </row>
    <row r="13" ht="8" customHeight="1">
      <c r="A13" s="3" t="n"/>
      <c r="B13" s="3" t="n"/>
      <c r="C13" s="3" t="n"/>
      <c r="D13" s="3" t="n"/>
      <c r="E13" s="3" t="n"/>
      <c r="F13" s="6" t="n"/>
      <c r="G13" s="6" t="n"/>
      <c r="H13" s="6" t="n"/>
      <c r="I13" s="6" t="n"/>
      <c r="J13" s="6" t="n"/>
      <c r="K13" s="6" t="n"/>
      <c r="L13" s="6" t="n"/>
      <c r="M13" s="6" t="n"/>
      <c r="N13" s="6" t="n"/>
      <c r="O13" s="6" t="n"/>
      <c r="P13" s="6" t="n"/>
      <c r="Q13" s="6" t="n"/>
      <c r="R13" s="6" t="n"/>
      <c r="S13" s="6" t="n"/>
      <c r="T13" s="3" t="n"/>
      <c r="U13" s="3" t="n"/>
      <c r="V13" s="3" t="n"/>
    </row>
    <row r="14" ht="28" customHeight="1">
      <c r="A14" s="12" t="inlineStr">
        <is>
          <t>Current engine outputs and reporting calculations</t>
        </is>
      </c>
      <c r="B14" s="11" t="n"/>
      <c r="C14" s="11" t="n"/>
      <c r="D14" s="11" t="n"/>
      <c r="E14" s="11" t="n"/>
      <c r="F14" s="25" t="n"/>
      <c r="G14" s="25" t="n"/>
      <c r="H14" s="25" t="n"/>
      <c r="I14" s="25" t="n"/>
      <c r="J14" s="25" t="n"/>
      <c r="K14" s="25" t="n"/>
      <c r="L14" s="25" t="n"/>
      <c r="M14" s="25" t="n"/>
      <c r="N14" s="25" t="n"/>
      <c r="O14" s="25" t="n"/>
      <c r="P14" s="25" t="n"/>
      <c r="Q14" s="25" t="n"/>
      <c r="R14" s="25" t="n"/>
      <c r="S14" s="25" t="n"/>
      <c r="T14" s="3" t="n"/>
      <c r="U14" s="3" t="n"/>
      <c r="V14" s="3" t="n"/>
    </row>
    <row r="15" ht="30" customHeight="1">
      <c r="A15" s="16" t="inlineStr">
        <is>
          <t>Heavy-truck diesel fleet</t>
        </is>
      </c>
      <c r="B15" s="16" t="inlineStr">
        <is>
          <t>vehicles</t>
        </is>
      </c>
      <c r="C15" s="16" t="inlineStr">
        <is>
          <t>Engine output</t>
        </is>
      </c>
      <c r="D15" s="126" t="n"/>
      <c r="E15" s="16" t="inlineStr">
        <is>
          <t>National HCV diesel cohort stock.</t>
        </is>
      </c>
      <c r="F15" s="127">
        <f>IF(ISNUMBER('Model run'!F26),'Model run'!F26,"")</f>
        <v/>
      </c>
      <c r="G15" s="127">
        <f>IF(ISNUMBER('Model run'!G26),'Model run'!G26,"")</f>
        <v/>
      </c>
      <c r="H15" s="127">
        <f>IF(ISNUMBER('Model run'!H26),'Model run'!H26,"")</f>
        <v/>
      </c>
      <c r="I15" s="127">
        <f>IF(ISNUMBER('Model run'!I26),'Model run'!I26,"")</f>
        <v/>
      </c>
      <c r="J15" s="127">
        <f>IF(ISNUMBER('Model run'!J26),'Model run'!J26,"")</f>
        <v/>
      </c>
      <c r="K15" s="127">
        <f>IF(ISNUMBER('Model run'!K26),'Model run'!K26,"")</f>
        <v/>
      </c>
      <c r="L15" s="127">
        <f>IF(ISNUMBER('Model run'!L26),'Model run'!L26,"")</f>
        <v/>
      </c>
      <c r="M15" s="127">
        <f>IF(ISNUMBER('Model run'!M26),'Model run'!M26,"")</f>
        <v/>
      </c>
      <c r="N15" s="127">
        <f>IF(ISNUMBER('Model run'!N26),'Model run'!N26,"")</f>
        <v/>
      </c>
      <c r="O15" s="127">
        <f>IF(ISNUMBER('Model run'!O26),'Model run'!O26,"")</f>
        <v/>
      </c>
      <c r="P15" s="127">
        <f>IF(ISNUMBER('Model run'!P26),'Model run'!P26,"")</f>
        <v/>
      </c>
      <c r="Q15" s="127">
        <f>IF(ISNUMBER('Model run'!Q26),'Model run'!Q26,"")</f>
        <v/>
      </c>
      <c r="R15" s="127">
        <f>IF(ISNUMBER('Model run'!R26),'Model run'!R26,"")</f>
        <v/>
      </c>
      <c r="S15" s="127">
        <f>IF(ISNUMBER('Model run'!S26),'Model run'!S26,"")</f>
        <v/>
      </c>
      <c r="T15" s="3" t="n"/>
      <c r="U15" s="3" t="n"/>
      <c r="V15" s="3" t="n"/>
    </row>
    <row r="16" ht="30" customHeight="1">
      <c r="A16" s="16" t="inlineStr">
        <is>
          <t>Heavy-truck vehicle-km</t>
        </is>
      </c>
      <c r="B16" s="16" t="inlineStr">
        <is>
          <t>km/year</t>
        </is>
      </c>
      <c r="C16" s="16" t="inlineStr">
        <is>
          <t>Engine output</t>
        </is>
      </c>
      <c r="D16" s="126" t="n"/>
      <c r="E16" s="16" t="inlineStr">
        <is>
          <t>National HCV diesel activity.</t>
        </is>
      </c>
      <c r="F16" s="127">
        <f>IF(ISNUMBER('Model run'!F27),'Model run'!F27,"")</f>
        <v/>
      </c>
      <c r="G16" s="127">
        <f>IF(ISNUMBER('Model run'!G27),'Model run'!G27,"")</f>
        <v/>
      </c>
      <c r="H16" s="127">
        <f>IF(ISNUMBER('Model run'!H27),'Model run'!H27,"")</f>
        <v/>
      </c>
      <c r="I16" s="127">
        <f>IF(ISNUMBER('Model run'!I27),'Model run'!I27,"")</f>
        <v/>
      </c>
      <c r="J16" s="127">
        <f>IF(ISNUMBER('Model run'!J27),'Model run'!J27,"")</f>
        <v/>
      </c>
      <c r="K16" s="127">
        <f>IF(ISNUMBER('Model run'!K27),'Model run'!K27,"")</f>
        <v/>
      </c>
      <c r="L16" s="127">
        <f>IF(ISNUMBER('Model run'!L27),'Model run'!L27,"")</f>
        <v/>
      </c>
      <c r="M16" s="127">
        <f>IF(ISNUMBER('Model run'!M27),'Model run'!M27,"")</f>
        <v/>
      </c>
      <c r="N16" s="127">
        <f>IF(ISNUMBER('Model run'!N27),'Model run'!N27,"")</f>
        <v/>
      </c>
      <c r="O16" s="127">
        <f>IF(ISNUMBER('Model run'!O27),'Model run'!O27,"")</f>
        <v/>
      </c>
      <c r="P16" s="127">
        <f>IF(ISNUMBER('Model run'!P27),'Model run'!P27,"")</f>
        <v/>
      </c>
      <c r="Q16" s="127">
        <f>IF(ISNUMBER('Model run'!Q27),'Model run'!Q27,"")</f>
        <v/>
      </c>
      <c r="R16" s="127">
        <f>IF(ISNUMBER('Model run'!R27),'Model run'!R27,"")</f>
        <v/>
      </c>
      <c r="S16" s="127">
        <f>IF(ISNUMBER('Model run'!S27),'Model run'!S27,"")</f>
        <v/>
      </c>
      <c r="T16" s="3" t="n"/>
      <c r="U16" s="3" t="n"/>
      <c r="V16" s="3" t="n"/>
    </row>
    <row r="17" ht="30" customHeight="1">
      <c r="A17" s="16" t="inlineStr">
        <is>
          <t>Heavy-truck diesel demand</t>
        </is>
      </c>
      <c r="B17" s="16" t="inlineStr">
        <is>
          <t>L/year</t>
        </is>
      </c>
      <c r="C17" s="16" t="inlineStr">
        <is>
          <t>Engine output</t>
        </is>
      </c>
      <c r="D17" s="126" t="n"/>
      <c r="E17" s="16" t="inlineStr">
        <is>
          <t>Current Python engine output. Does not include LCV freight.</t>
        </is>
      </c>
      <c r="F17" s="127">
        <f>IF(ISNUMBER('Model run'!F28),'Model run'!F28,"")</f>
        <v/>
      </c>
      <c r="G17" s="127">
        <f>IF(ISNUMBER('Model run'!G28),'Model run'!G28,"")</f>
        <v/>
      </c>
      <c r="H17" s="127">
        <f>IF(ISNUMBER('Model run'!H28),'Model run'!H28,"")</f>
        <v/>
      </c>
      <c r="I17" s="127">
        <f>IF(ISNUMBER('Model run'!I28),'Model run'!I28,"")</f>
        <v/>
      </c>
      <c r="J17" s="127">
        <f>IF(ISNUMBER('Model run'!J28),'Model run'!J28,"")</f>
        <v/>
      </c>
      <c r="K17" s="127">
        <f>IF(ISNUMBER('Model run'!K28),'Model run'!K28,"")</f>
        <v/>
      </c>
      <c r="L17" s="127">
        <f>IF(ISNUMBER('Model run'!L28),'Model run'!L28,"")</f>
        <v/>
      </c>
      <c r="M17" s="127">
        <f>IF(ISNUMBER('Model run'!M28),'Model run'!M28,"")</f>
        <v/>
      </c>
      <c r="N17" s="127">
        <f>IF(ISNUMBER('Model run'!N28),'Model run'!N28,"")</f>
        <v/>
      </c>
      <c r="O17" s="127">
        <f>IF(ISNUMBER('Model run'!O28),'Model run'!O28,"")</f>
        <v/>
      </c>
      <c r="P17" s="127">
        <f>IF(ISNUMBER('Model run'!P28),'Model run'!P28,"")</f>
        <v/>
      </c>
      <c r="Q17" s="127">
        <f>IF(ISNUMBER('Model run'!Q28),'Model run'!Q28,"")</f>
        <v/>
      </c>
      <c r="R17" s="127">
        <f>IF(ISNUMBER('Model run'!R28),'Model run'!R28,"")</f>
        <v/>
      </c>
      <c r="S17" s="127">
        <f>IF(ISNUMBER('Model run'!S28),'Model run'!S28,"")</f>
        <v/>
      </c>
      <c r="T17" s="3" t="n"/>
      <c r="U17" s="3" t="n"/>
      <c r="V17" s="3" t="n"/>
    </row>
    <row r="18" ht="30" customHeight="1">
      <c r="A18" s="16" t="inlineStr">
        <is>
          <t>Heavy-truck diesel demand</t>
        </is>
      </c>
      <c r="B18" s="16" t="inlineStr">
        <is>
          <t>million L/year</t>
        </is>
      </c>
      <c r="C18" s="16" t="inlineStr">
        <is>
          <t>Reporting formula</t>
        </is>
      </c>
      <c r="D18" s="116" t="n"/>
      <c r="E18" s="16" t="inlineStr">
        <is>
          <t>Unit conversion of engine output.</t>
        </is>
      </c>
      <c r="F18" s="117">
        <f>F17/1000000</f>
        <v/>
      </c>
      <c r="G18" s="117">
        <f>G17/1000000</f>
        <v/>
      </c>
      <c r="H18" s="117">
        <f>H17/1000000</f>
        <v/>
      </c>
      <c r="I18" s="117">
        <f>I17/1000000</f>
        <v/>
      </c>
      <c r="J18" s="117">
        <f>J17/1000000</f>
        <v/>
      </c>
      <c r="K18" s="117">
        <f>K17/1000000</f>
        <v/>
      </c>
      <c r="L18" s="117">
        <f>L17/1000000</f>
        <v/>
      </c>
      <c r="M18" s="117">
        <f>M17/1000000</f>
        <v/>
      </c>
      <c r="N18" s="117">
        <f>N17/1000000</f>
        <v/>
      </c>
      <c r="O18" s="117">
        <f>O17/1000000</f>
        <v/>
      </c>
      <c r="P18" s="117">
        <f>P17/1000000</f>
        <v/>
      </c>
      <c r="Q18" s="117">
        <f>Q17/1000000</f>
        <v/>
      </c>
      <c r="R18" s="117">
        <f>R17/1000000</f>
        <v/>
      </c>
      <c r="S18" s="117">
        <f>S17/1000000</f>
        <v/>
      </c>
      <c r="T18" s="3" t="n"/>
      <c r="U18" s="3" t="n"/>
      <c r="V18" s="3" t="n"/>
    </row>
    <row r="19" ht="30" customHeight="1">
      <c r="A19" s="16" t="inlineStr">
        <is>
          <t>Implied fleet-average consumption</t>
        </is>
      </c>
      <c r="B19" s="16" t="inlineStr">
        <is>
          <t>L/100 km</t>
        </is>
      </c>
      <c r="C19" s="16" t="inlineStr">
        <is>
          <t>Reporting formula</t>
        </is>
      </c>
      <c r="D19" s="116" t="n"/>
      <c r="E19" s="16" t="inlineStr">
        <is>
          <t>Fuel / vehicle-km × 100.</t>
        </is>
      </c>
      <c r="F19" s="117">
        <f>IF(F16=0,"",F17/F16*100)</f>
        <v/>
      </c>
      <c r="G19" s="117">
        <f>IF(G16=0,"",G17/G16*100)</f>
        <v/>
      </c>
      <c r="H19" s="117">
        <f>IF(H16=0,"",H17/H16*100)</f>
        <v/>
      </c>
      <c r="I19" s="117">
        <f>IF(I16=0,"",I17/I16*100)</f>
        <v/>
      </c>
      <c r="J19" s="117">
        <f>IF(J16=0,"",J17/J16*100)</f>
        <v/>
      </c>
      <c r="K19" s="117">
        <f>IF(K16=0,"",K17/K16*100)</f>
        <v/>
      </c>
      <c r="L19" s="117">
        <f>IF(L16=0,"",L17/L16*100)</f>
        <v/>
      </c>
      <c r="M19" s="117">
        <f>IF(M16=0,"",M17/M16*100)</f>
        <v/>
      </c>
      <c r="N19" s="117">
        <f>IF(N16=0,"",N17/N16*100)</f>
        <v/>
      </c>
      <c r="O19" s="117">
        <f>IF(O16=0,"",O17/O16*100)</f>
        <v/>
      </c>
      <c r="P19" s="117">
        <f>IF(P16=0,"",P17/P16*100)</f>
        <v/>
      </c>
      <c r="Q19" s="117">
        <f>IF(Q16=0,"",Q17/Q16*100)</f>
        <v/>
      </c>
      <c r="R19" s="117">
        <f>IF(R16=0,"",R17/R16*100)</f>
        <v/>
      </c>
      <c r="S19" s="117">
        <f>IF(S16=0,"",S17/S16*100)</f>
        <v/>
      </c>
      <c r="T19" s="3" t="n"/>
      <c r="U19" s="3" t="n"/>
      <c r="V19" s="3" t="n"/>
    </row>
    <row r="20" ht="8" customHeight="1">
      <c r="A20" s="3" t="n"/>
      <c r="B20" s="3" t="n"/>
      <c r="C20" s="3" t="n"/>
      <c r="D20" s="3" t="n"/>
      <c r="E20" s="3" t="n"/>
      <c r="F20" s="6" t="n"/>
      <c r="G20" s="6" t="n"/>
      <c r="H20" s="6" t="n"/>
      <c r="I20" s="6" t="n"/>
      <c r="J20" s="6" t="n"/>
      <c r="K20" s="6" t="n"/>
      <c r="L20" s="6" t="n"/>
      <c r="M20" s="6" t="n"/>
      <c r="N20" s="6" t="n"/>
      <c r="O20" s="6" t="n"/>
      <c r="P20" s="6" t="n"/>
      <c r="Q20" s="6" t="n"/>
      <c r="R20" s="6" t="n"/>
      <c r="S20" s="6" t="n"/>
      <c r="T20" s="3" t="n"/>
      <c r="U20" s="3" t="n"/>
      <c r="V20" s="3" t="n"/>
    </row>
    <row r="21" ht="28" customHeight="1">
      <c r="A21" s="12" t="inlineStr">
        <is>
          <t>Alternative tonne-km method: agree before implementation</t>
        </is>
      </c>
      <c r="B21" s="11" t="n"/>
      <c r="C21" s="11" t="n"/>
      <c r="D21" s="11" t="n"/>
      <c r="E21" s="11" t="n"/>
      <c r="F21" s="25" t="n"/>
      <c r="G21" s="25" t="n"/>
      <c r="H21" s="25" t="n"/>
      <c r="I21" s="25" t="n"/>
      <c r="J21" s="25" t="n"/>
      <c r="K21" s="25" t="n"/>
      <c r="L21" s="25" t="n"/>
      <c r="M21" s="25" t="n"/>
      <c r="N21" s="25" t="n"/>
      <c r="O21" s="25" t="n"/>
      <c r="P21" s="25" t="n"/>
      <c r="Q21" s="25" t="n"/>
      <c r="R21" s="25" t="n"/>
      <c r="S21" s="25" t="n"/>
      <c r="T21" s="3" t="n"/>
      <c r="U21" s="3" t="n"/>
      <c r="V21" s="3" t="n"/>
    </row>
    <row r="22" ht="30" customHeight="1">
      <c r="A22" s="3" t="inlineStr">
        <is>
          <t>Reference road freight activity</t>
        </is>
      </c>
      <c r="B22" s="3" t="inlineStr">
        <is>
          <t>tonne-km/year</t>
        </is>
      </c>
      <c r="C22" s="3" t="inlineStr">
        <is>
          <t>Workshop input</t>
        </is>
      </c>
      <c r="D22" s="118" t="n"/>
      <c r="E22" s="10" t="inlineStr">
        <is>
          <t>Choose eligible road work before rail diversion; tonnes alone omit distance.</t>
        </is>
      </c>
      <c r="F22" s="119" t="n"/>
      <c r="G22" s="119" t="n"/>
      <c r="H22" s="119" t="n"/>
      <c r="I22" s="119" t="n"/>
      <c r="J22" s="119" t="n"/>
      <c r="K22" s="119" t="n"/>
      <c r="L22" s="119" t="n"/>
      <c r="M22" s="119" t="n"/>
      <c r="N22" s="119" t="n"/>
      <c r="O22" s="119" t="n"/>
      <c r="P22" s="119" t="n"/>
      <c r="Q22" s="119" t="n"/>
      <c r="R22" s="119" t="n"/>
      <c r="S22" s="119" t="n"/>
      <c r="T22" s="3" t="n"/>
      <c r="U22" s="3" t="n"/>
      <c r="V22" s="3" t="n"/>
    </row>
    <row r="23" ht="30" customHeight="1">
      <c r="A23" s="3" t="inlineStr">
        <is>
          <t>Road work diverted to rail</t>
        </is>
      </c>
      <c r="B23" s="3" t="inlineStr">
        <is>
          <t>share of reference</t>
        </is>
      </c>
      <c r="C23" s="3" t="inlineStr">
        <is>
          <t>Workshop input</t>
        </is>
      </c>
      <c r="D23" s="118" t="n"/>
      <c r="E23" s="10" t="inlineStr">
        <is>
          <t>Deduct once. If already reflected in the road activity path, do… [N064]</t>
        </is>
      </c>
      <c r="F23" s="119" t="n"/>
      <c r="G23" s="119" t="n"/>
      <c r="H23" s="119" t="n"/>
      <c r="I23" s="119" t="n"/>
      <c r="J23" s="119" t="n"/>
      <c r="K23" s="119" t="n"/>
      <c r="L23" s="119" t="n"/>
      <c r="M23" s="119" t="n"/>
      <c r="N23" s="119" t="n"/>
      <c r="O23" s="119" t="n"/>
      <c r="P23" s="119" t="n"/>
      <c r="Q23" s="119" t="n"/>
      <c r="R23" s="119" t="n"/>
      <c r="S23" s="119" t="n"/>
      <c r="T23" s="3" t="n"/>
      <c r="U23" s="3" t="n"/>
      <c r="V23" s="3" t="n"/>
    </row>
    <row r="24" ht="30" customHeight="1">
      <c r="A24" s="3" t="inlineStr">
        <is>
          <t>Freight fuel intensity</t>
        </is>
      </c>
      <c r="B24" s="3" t="inlineStr">
        <is>
          <t>L/tonne-km</t>
        </is>
      </c>
      <c r="C24" s="3" t="inlineStr">
        <is>
          <t>Workshop input</t>
        </is>
      </c>
      <c r="D24" s="118" t="n"/>
      <c r="E24" s="10" t="inlineStr">
        <is>
          <t>Calibrate to payload, empty running and vehicle mix.</t>
        </is>
      </c>
      <c r="F24" s="119" t="n"/>
      <c r="G24" s="119" t="n"/>
      <c r="H24" s="119" t="n"/>
      <c r="I24" s="119" t="n"/>
      <c r="J24" s="119" t="n"/>
      <c r="K24" s="119" t="n"/>
      <c r="L24" s="119" t="n"/>
      <c r="M24" s="119" t="n"/>
      <c r="N24" s="119" t="n"/>
      <c r="O24" s="119" t="n"/>
      <c r="P24" s="119" t="n"/>
      <c r="Q24" s="119" t="n"/>
      <c r="R24" s="119" t="n"/>
      <c r="S24" s="119" t="n"/>
      <c r="T24" s="3" t="n"/>
      <c r="U24" s="3" t="n"/>
      <c r="V24" s="3" t="n"/>
    </row>
    <row r="25" ht="30" customHeight="1">
      <c r="A25" s="3" t="inlineStr">
        <is>
          <t>Alternative freight demand</t>
        </is>
      </c>
      <c r="B25" s="3" t="inlineStr">
        <is>
          <t>million L/year</t>
        </is>
      </c>
      <c r="C25" s="3" t="inlineStr">
        <is>
          <t>Proposed output</t>
        </is>
      </c>
      <c r="D25" s="121" t="n"/>
      <c r="E25" s="3" t="inlineStr">
        <is>
          <t>Reference tonne-km × (1 − eligible diversion share) × L/tonne-km… [N065]</t>
        </is>
      </c>
      <c r="F25" s="122" t="n"/>
      <c r="G25" s="122" t="n"/>
      <c r="H25" s="122" t="n"/>
      <c r="I25" s="122" t="n"/>
      <c r="J25" s="122" t="n"/>
      <c r="K25" s="122" t="n"/>
      <c r="L25" s="122" t="n"/>
      <c r="M25" s="122" t="n"/>
      <c r="N25" s="122" t="n"/>
      <c r="O25" s="122" t="n"/>
      <c r="P25" s="122" t="n"/>
      <c r="Q25" s="122" t="n"/>
      <c r="R25" s="122" t="n"/>
      <c r="S25" s="122" t="n"/>
      <c r="T25" s="3" t="n"/>
      <c r="U25" s="3" t="n"/>
      <c r="V25" s="3" t="n"/>
    </row>
    <row r="26" ht="30" customHeight="1">
      <c r="A26" s="3" t="inlineStr">
        <is>
          <t>Geographic definition</t>
        </is>
      </c>
      <c r="B26" s="3" t="inlineStr">
        <is>
          <t>decision</t>
        </is>
      </c>
      <c r="C26" s="3" t="inlineStr">
        <is>
          <t>Workshop input</t>
        </is>
      </c>
      <c r="D26" s="118" t="n"/>
      <c r="E26" s="10" t="inlineStr">
        <is>
          <t>Agree fuel sales location versus consumption/corridor. Do not… [N066]</t>
        </is>
      </c>
      <c r="F26" s="119" t="n"/>
      <c r="G26" s="119" t="n"/>
      <c r="H26" s="119" t="n"/>
      <c r="I26" s="119" t="n"/>
      <c r="J26" s="119" t="n"/>
      <c r="K26" s="119" t="n"/>
      <c r="L26" s="119" t="n"/>
      <c r="M26" s="119" t="n"/>
      <c r="N26" s="119" t="n"/>
      <c r="O26" s="119" t="n"/>
      <c r="P26" s="119" t="n"/>
      <c r="Q26" s="119" t="n"/>
      <c r="R26" s="119" t="n"/>
      <c r="S26" s="119" t="n"/>
      <c r="T26" s="3" t="n"/>
      <c r="U26" s="3" t="n"/>
      <c r="V26" s="3" t="n"/>
    </row>
    <row r="27" ht="8" customHeight="1">
      <c r="A27" s="3" t="n"/>
      <c r="B27" s="3" t="n"/>
      <c r="C27" s="3" t="n"/>
      <c r="D27" s="3" t="n"/>
      <c r="E27" s="3" t="n"/>
      <c r="F27" s="6" t="n"/>
      <c r="G27" s="6" t="n"/>
      <c r="H27" s="6" t="n"/>
      <c r="I27" s="6" t="n"/>
      <c r="J27" s="6" t="n"/>
      <c r="K27" s="6" t="n"/>
      <c r="L27" s="6" t="n"/>
      <c r="M27" s="6" t="n"/>
      <c r="N27" s="6" t="n"/>
      <c r="O27" s="6" t="n"/>
      <c r="P27" s="6" t="n"/>
      <c r="Q27" s="6" t="n"/>
      <c r="R27" s="6" t="n"/>
      <c r="S27" s="6" t="n"/>
      <c r="T27" s="3" t="n"/>
      <c r="U27" s="3" t="n"/>
      <c r="V27" s="3" t="n"/>
    </row>
    <row r="28" ht="30" customHeight="1">
      <c r="A28" s="3" t="inlineStr">
        <is>
          <t>Source</t>
        </is>
      </c>
      <c r="B28" s="3" t="inlineStr">
        <is>
          <t>URL</t>
        </is>
      </c>
      <c r="C28" s="3" t="inlineStr">
        <is>
          <t>Source</t>
        </is>
      </c>
      <c r="D28" s="121" t="n"/>
      <c r="E28" s="3" t="inlineStr">
        <is>
          <t>https://github.com/Africa-International-Advisors/liquid_fuels_mode… [N067]</t>
        </is>
      </c>
      <c r="F28" s="122" t="n"/>
      <c r="G28" s="122" t="n"/>
      <c r="H28" s="122" t="n"/>
      <c r="I28" s="122" t="n"/>
      <c r="J28" s="122" t="n"/>
      <c r="K28" s="122" t="n"/>
      <c r="L28" s="122" t="n"/>
      <c r="M28" s="122" t="n"/>
      <c r="N28" s="122" t="n"/>
      <c r="O28" s="122" t="n"/>
      <c r="P28" s="122" t="n"/>
      <c r="Q28" s="122" t="n"/>
      <c r="R28" s="122" t="n"/>
      <c r="S28" s="122" t="n"/>
      <c r="T28" s="3" t="n"/>
      <c r="U28" s="3" t="n"/>
      <c r="V28" s="3" t="n"/>
    </row>
    <row r="29" ht="8" customHeight="1">
      <c r="A29" s="3" t="n"/>
      <c r="B29" s="3" t="n"/>
      <c r="C29" s="3" t="n"/>
      <c r="D29" s="3" t="n"/>
      <c r="E29" s="3" t="n"/>
      <c r="F29" s="6" t="n"/>
      <c r="G29" s="6" t="n"/>
      <c r="H29" s="6" t="n"/>
      <c r="I29" s="6" t="n"/>
      <c r="J29" s="6" t="n"/>
      <c r="K29" s="6" t="n"/>
      <c r="L29" s="6" t="n"/>
      <c r="M29" s="6" t="n"/>
      <c r="N29" s="6" t="n"/>
      <c r="O29" s="6" t="n"/>
      <c r="P29" s="6" t="n"/>
      <c r="Q29" s="6" t="n"/>
      <c r="R29" s="6" t="n"/>
      <c r="S29" s="6" t="n"/>
      <c r="T29" s="3" t="n"/>
      <c r="U29" s="3" t="n"/>
      <c r="V29" s="3" t="n"/>
    </row>
    <row r="30" ht="28" customHeight="1">
      <c r="A30" s="12" t="inlineStr">
        <is>
          <t>Freight electrification: current setting and proposed replacement</t>
        </is>
      </c>
      <c r="B30" s="11" t="n"/>
      <c r="C30" s="11" t="n"/>
      <c r="D30" s="11" t="n"/>
      <c r="E30" s="11" t="n"/>
      <c r="F30" s="25" t="n"/>
      <c r="G30" s="25" t="n"/>
      <c r="H30" s="25" t="n"/>
      <c r="I30" s="25" t="n"/>
      <c r="J30" s="25" t="n"/>
      <c r="K30" s="25" t="n"/>
      <c r="L30" s="25" t="n"/>
      <c r="M30" s="25" t="n"/>
      <c r="N30" s="25" t="n"/>
      <c r="O30" s="25" t="n"/>
      <c r="P30" s="25" t="n"/>
      <c r="Q30" s="25" t="n"/>
      <c r="R30" s="25" t="n"/>
      <c r="S30" s="25" t="n"/>
      <c r="T30" s="3" t="n"/>
      <c r="U30" s="3" t="n"/>
      <c r="V30" s="3" t="n"/>
    </row>
    <row r="31" ht="30" customHeight="1">
      <c r="A31" s="16" t="inlineStr">
        <is>
          <t>Current common EV share of new sales</t>
        </is>
      </c>
      <c r="B31" s="16" t="inlineStr">
        <is>
          <t>share</t>
        </is>
      </c>
      <c r="C31" s="16" t="inlineStr">
        <is>
          <t>Engine output</t>
        </is>
      </c>
      <c r="D31" s="129" t="n"/>
      <c r="E31" s="16" t="inlineStr">
        <is>
          <t>Existing engine curve applied to HCV as well as other classes.… [N068]</t>
        </is>
      </c>
      <c r="F31" s="128">
        <f>IF(ISNUMBER('Model run'!F29),'Model run'!F29,"")</f>
        <v/>
      </c>
      <c r="G31" s="128">
        <f>IF(ISNUMBER('Model run'!G29),'Model run'!G29,"")</f>
        <v/>
      </c>
      <c r="H31" s="128">
        <f>IF(ISNUMBER('Model run'!H29),'Model run'!H29,"")</f>
        <v/>
      </c>
      <c r="I31" s="128">
        <f>IF(ISNUMBER('Model run'!I29),'Model run'!I29,"")</f>
        <v/>
      </c>
      <c r="J31" s="128">
        <f>IF(ISNUMBER('Model run'!J29),'Model run'!J29,"")</f>
        <v/>
      </c>
      <c r="K31" s="128">
        <f>IF(ISNUMBER('Model run'!K29),'Model run'!K29,"")</f>
        <v/>
      </c>
      <c r="L31" s="128">
        <f>IF(ISNUMBER('Model run'!L29),'Model run'!L29,"")</f>
        <v/>
      </c>
      <c r="M31" s="128">
        <f>IF(ISNUMBER('Model run'!M29),'Model run'!M29,"")</f>
        <v/>
      </c>
      <c r="N31" s="128">
        <f>IF(ISNUMBER('Model run'!N29),'Model run'!N29,"")</f>
        <v/>
      </c>
      <c r="O31" s="128">
        <f>IF(ISNUMBER('Model run'!O29),'Model run'!O29,"")</f>
        <v/>
      </c>
      <c r="P31" s="128">
        <f>IF(ISNUMBER('Model run'!P29),'Model run'!P29,"")</f>
        <v/>
      </c>
      <c r="Q31" s="128">
        <f>IF(ISNUMBER('Model run'!Q29),'Model run'!Q29,"")</f>
        <v/>
      </c>
      <c r="R31" s="128">
        <f>IF(ISNUMBER('Model run'!R29),'Model run'!R29,"")</f>
        <v/>
      </c>
      <c r="S31" s="128">
        <f>IF(ISNUMBER('Model run'!S29),'Model run'!S29,"")</f>
        <v/>
      </c>
      <c r="T31" s="3" t="n"/>
      <c r="U31" s="3" t="n"/>
      <c r="V31" s="3" t="n"/>
    </row>
    <row r="32" ht="30" customHeight="1">
      <c r="A32" s="3" t="inlineStr">
        <is>
          <t>Truck BEV share of new sales</t>
        </is>
      </c>
      <c r="B32" s="3" t="inlineStr">
        <is>
          <t>share</t>
        </is>
      </c>
      <c r="C32" s="3" t="inlineStr">
        <is>
          <t>Workshop input</t>
        </is>
      </c>
      <c r="D32" s="130" t="n"/>
      <c r="E32" s="10" t="inlineStr">
        <is>
          <t>Separate light delivery, regional and long-haul cohorts. Use… [N069]</t>
        </is>
      </c>
      <c r="F32" s="131" t="n"/>
      <c r="G32" s="131" t="n"/>
      <c r="H32" s="131" t="n"/>
      <c r="I32" s="131" t="n"/>
      <c r="J32" s="131" t="n"/>
      <c r="K32" s="131" t="n"/>
      <c r="L32" s="131" t="n"/>
      <c r="M32" s="131" t="n"/>
      <c r="N32" s="131" t="n"/>
      <c r="O32" s="131" t="n"/>
      <c r="P32" s="131" t="n"/>
      <c r="Q32" s="131" t="n"/>
      <c r="R32" s="131" t="n"/>
      <c r="S32" s="131" t="n"/>
      <c r="T32" s="3" t="n"/>
      <c r="U32" s="3" t="n"/>
      <c r="V32" s="3" t="n"/>
    </row>
    <row r="33" ht="30" customHeight="1">
      <c r="A33" s="3" t="inlineStr">
        <is>
          <t>Truck hybrid / PHEV new-sales share</t>
        </is>
      </c>
      <c r="B33" s="3" t="inlineStr">
        <is>
          <t>share</t>
        </is>
      </c>
      <c r="C33" s="3" t="inlineStr">
        <is>
          <t>Workshop input</t>
        </is>
      </c>
      <c r="D33" s="130" t="n"/>
      <c r="E33" s="10" t="inlineStr">
        <is>
          <t>Separate from BEVs. Record residual diesel use; PHEV… [N070]</t>
        </is>
      </c>
      <c r="F33" s="131" t="n"/>
      <c r="G33" s="131" t="n"/>
      <c r="H33" s="131" t="n"/>
      <c r="I33" s="131" t="n"/>
      <c r="J33" s="131" t="n"/>
      <c r="K33" s="131" t="n"/>
      <c r="L33" s="131" t="n"/>
      <c r="M33" s="131" t="n"/>
      <c r="N33" s="131" t="n"/>
      <c r="O33" s="131" t="n"/>
      <c r="P33" s="131" t="n"/>
      <c r="Q33" s="131" t="n"/>
      <c r="R33" s="131" t="n"/>
      <c r="S33" s="131" t="n"/>
      <c r="T33" s="3" t="n"/>
      <c r="U33" s="3" t="n"/>
      <c r="V33" s="3" t="n"/>
    </row>
    <row r="34" ht="30" customHeight="1">
      <c r="A34" s="3" t="inlineStr">
        <is>
          <t>Opening fleet and survival by drivetrain</t>
        </is>
      </c>
      <c r="B34" s="3" t="inlineStr">
        <is>
          <t>vehicles / survival</t>
        </is>
      </c>
      <c r="C34" s="3" t="inlineStr">
        <is>
          <t>Workshop input</t>
        </is>
      </c>
      <c r="D34" s="118" t="n"/>
      <c r="E34" s="10" t="inlineStr">
        <is>
          <t>New-sales shares become stock through cohort additions and… [N071]</t>
        </is>
      </c>
      <c r="F34" s="119" t="n"/>
      <c r="G34" s="119" t="n"/>
      <c r="H34" s="119" t="n"/>
      <c r="I34" s="119" t="n"/>
      <c r="J34" s="119" t="n"/>
      <c r="K34" s="119" t="n"/>
      <c r="L34" s="119" t="n"/>
      <c r="M34" s="119" t="n"/>
      <c r="N34" s="119" t="n"/>
      <c r="O34" s="119" t="n"/>
      <c r="P34" s="119" t="n"/>
      <c r="Q34" s="119" t="n"/>
      <c r="R34" s="119" t="n"/>
      <c r="S34" s="119" t="n"/>
      <c r="T34" s="3" t="n"/>
      <c r="U34" s="3" t="n"/>
      <c r="V34" s="3" t="n"/>
    </row>
    <row r="35" ht="30" customHeight="1">
      <c r="A35" s="3" t="inlineStr">
        <is>
          <t>Mileage by drivetrain / duty cycle</t>
        </is>
      </c>
      <c r="B35" s="3" t="inlineStr">
        <is>
          <t>km/vehicle/year</t>
        </is>
      </c>
      <c r="C35" s="3" t="inlineStr">
        <is>
          <t>Workshop input</t>
        </is>
      </c>
      <c r="D35" s="118" t="n"/>
      <c r="E35" s="10" t="inlineStr">
        <is>
          <t>Electric and diesel trucks can perform different annual work. Use… [N072]</t>
        </is>
      </c>
      <c r="F35" s="119" t="n"/>
      <c r="G35" s="119" t="n"/>
      <c r="H35" s="119" t="n"/>
      <c r="I35" s="119" t="n"/>
      <c r="J35" s="119" t="n"/>
      <c r="K35" s="119" t="n"/>
      <c r="L35" s="119" t="n"/>
      <c r="M35" s="119" t="n"/>
      <c r="N35" s="119" t="n"/>
      <c r="O35" s="119" t="n"/>
      <c r="P35" s="119" t="n"/>
      <c r="Q35" s="119" t="n"/>
      <c r="R35" s="119" t="n"/>
      <c r="S35" s="119" t="n"/>
      <c r="T35" s="3" t="n"/>
      <c r="U35" s="3" t="n"/>
      <c r="V35" s="3" t="n"/>
    </row>
    <row r="36" ht="30" customHeight="1">
      <c r="A36" s="3" t="inlineStr">
        <is>
          <t>Truck electricity intensity</t>
        </is>
      </c>
      <c r="B36" s="3" t="inlineStr">
        <is>
          <t>kWh/km</t>
        </is>
      </c>
      <c r="C36" s="3" t="inlineStr">
        <is>
          <t>Workshop input</t>
        </is>
      </c>
      <c r="D36" s="118" t="n"/>
      <c r="E36" s="10" t="inlineStr">
        <is>
          <t>Optional electricity requirement and charging-feasibility check.… [N073]</t>
        </is>
      </c>
      <c r="F36" s="119" t="n"/>
      <c r="G36" s="119" t="n"/>
      <c r="H36" s="119" t="n"/>
      <c r="I36" s="119" t="n"/>
      <c r="J36" s="119" t="n"/>
      <c r="K36" s="119" t="n"/>
      <c r="L36" s="119" t="n"/>
      <c r="M36" s="119" t="n"/>
      <c r="N36" s="119" t="n"/>
      <c r="O36" s="119" t="n"/>
      <c r="P36" s="119" t="n"/>
      <c r="Q36" s="119" t="n"/>
      <c r="R36" s="119" t="n"/>
      <c r="S36" s="119" t="n"/>
      <c r="T36" s="3" t="n"/>
      <c r="U36" s="3" t="n"/>
      <c r="V36" s="3" t="n"/>
    </row>
    <row r="37" ht="30" customHeight="1">
      <c r="A37" s="3" t="inlineStr">
        <is>
          <t>Charging and operating constraints</t>
        </is>
      </c>
      <c r="B37" s="3" t="inlineStr">
        <is>
          <t>eligibility / timing</t>
        </is>
      </c>
      <c r="C37" s="3" t="inlineStr">
        <is>
          <t>Workshop input</t>
        </is>
      </c>
      <c r="D37" s="118" t="n"/>
      <c r="E37" s="10" t="inlineStr">
        <is>
          <t>Depot/corridor access, charging power, dwell time, grid… [N074]</t>
        </is>
      </c>
      <c r="F37" s="119" t="n"/>
      <c r="G37" s="119" t="n"/>
      <c r="H37" s="119" t="n"/>
      <c r="I37" s="119" t="n"/>
      <c r="J37" s="119" t="n"/>
      <c r="K37" s="119" t="n"/>
      <c r="L37" s="119" t="n"/>
      <c r="M37" s="119" t="n"/>
      <c r="N37" s="119" t="n"/>
      <c r="O37" s="119" t="n"/>
      <c r="P37" s="119" t="n"/>
      <c r="Q37" s="119" t="n"/>
      <c r="R37" s="119" t="n"/>
      <c r="S37" s="119" t="n"/>
      <c r="T37" s="3" t="n"/>
      <c r="U37" s="3" t="n"/>
      <c r="V37" s="3" t="n"/>
    </row>
    <row r="38" ht="30" customHeight="1">
      <c r="A38" s="3" t="inlineStr">
        <is>
          <t>Electric freight share of road work</t>
        </is>
      </c>
      <c r="B38" s="3" t="inlineStr">
        <is>
          <t>share of tonne-km</t>
        </is>
      </c>
      <c r="C38" s="3" t="inlineStr">
        <is>
          <t>Proposed output</t>
        </is>
      </c>
      <c r="D38" s="121" t="n"/>
      <c r="E38" s="3" t="inlineStr">
        <is>
          <t>For tonne-km method: derive consistent work share from drivetrain… [N075]</t>
        </is>
      </c>
      <c r="F38" s="122" t="n"/>
      <c r="G38" s="122" t="n"/>
      <c r="H38" s="122" t="n"/>
      <c r="I38" s="122" t="n"/>
      <c r="J38" s="122" t="n"/>
      <c r="K38" s="122" t="n"/>
      <c r="L38" s="122" t="n"/>
      <c r="M38" s="122" t="n"/>
      <c r="N38" s="122" t="n"/>
      <c r="O38" s="122" t="n"/>
      <c r="P38" s="122" t="n"/>
      <c r="Q38" s="122" t="n"/>
      <c r="R38" s="122" t="n"/>
      <c r="S38" s="122" t="n"/>
      <c r="T38" s="3" t="n"/>
      <c r="U38" s="3" t="n"/>
      <c r="V38" s="3" t="n"/>
    </row>
    <row r="39" ht="30" customHeight="1">
      <c r="A39" s="3" t="inlineStr">
        <is>
          <t>Truck diesel demand after transition</t>
        </is>
      </c>
      <c r="B39" s="3" t="inlineStr">
        <is>
          <t>million L/year</t>
        </is>
      </c>
      <c r="C39" s="3" t="inlineStr">
        <is>
          <t>Proposed output</t>
        </is>
      </c>
      <c r="D39" s="121" t="n"/>
      <c r="E39" s="3" t="inlineStr">
        <is>
          <t>Fleet method: sum diesel/hybrid cohort vehicles × km × L/100 km /… [N076]</t>
        </is>
      </c>
      <c r="F39" s="122" t="n"/>
      <c r="G39" s="122" t="n"/>
      <c r="H39" s="122" t="n"/>
      <c r="I39" s="122" t="n"/>
      <c r="J39" s="122" t="n"/>
      <c r="K39" s="122" t="n"/>
      <c r="L39" s="122" t="n"/>
      <c r="M39" s="122" t="n"/>
      <c r="N39" s="122" t="n"/>
      <c r="O39" s="122" t="n"/>
      <c r="P39" s="122" t="n"/>
      <c r="Q39" s="122" t="n"/>
      <c r="R39" s="122" t="n"/>
      <c r="S39" s="122" t="n"/>
      <c r="T39" s="3" t="n"/>
      <c r="U39" s="3" t="n"/>
      <c r="V39" s="3" t="n"/>
    </row>
    <row r="40" ht="30" customHeight="1">
      <c r="A40" s="3" t="inlineStr">
        <is>
          <t>Rail and electrification interaction</t>
        </is>
      </c>
      <c r="B40" s="3" t="inlineStr">
        <is>
          <t>decision</t>
        </is>
      </c>
      <c r="C40" s="3" t="inlineStr">
        <is>
          <t>Workshop input</t>
        </is>
      </c>
      <c r="D40" s="118" t="n"/>
      <c r="E40" s="10" t="inlineStr">
        <is>
          <t>Rail diversion first defines remaining road work. Drivetrain… [N077]</t>
        </is>
      </c>
      <c r="F40" s="119" t="n"/>
      <c r="G40" s="119" t="n"/>
      <c r="H40" s="119" t="n"/>
      <c r="I40" s="119" t="n"/>
      <c r="J40" s="119" t="n"/>
      <c r="K40" s="119" t="n"/>
      <c r="L40" s="119" t="n"/>
      <c r="M40" s="119" t="n"/>
      <c r="N40" s="119" t="n"/>
      <c r="O40" s="119" t="n"/>
      <c r="P40" s="119" t="n"/>
      <c r="Q40" s="119" t="n"/>
      <c r="R40" s="119" t="n"/>
      <c r="S40" s="119" t="n"/>
      <c r="T40" s="3" t="n"/>
      <c r="U40" s="3" t="n"/>
      <c r="V40" s="3" t="n"/>
    </row>
    <row r="41" ht="30" customHeight="1">
      <c r="A41" s="3" t="inlineStr">
        <is>
          <t>Province / corridor treatment</t>
        </is>
      </c>
      <c r="B41" s="3" t="inlineStr">
        <is>
          <t>decision</t>
        </is>
      </c>
      <c r="C41" s="3" t="inlineStr">
        <is>
          <t>Workshop input</t>
        </is>
      </c>
      <c r="D41" s="118" t="n"/>
      <c r="E41" s="10" t="inlineStr">
        <is>
          <t>Electrify feasible routes/depot fleets first; reconcile… [N078]</t>
        </is>
      </c>
      <c r="F41" s="119" t="n"/>
      <c r="G41" s="119" t="n"/>
      <c r="H41" s="119" t="n"/>
      <c r="I41" s="119" t="n"/>
      <c r="J41" s="119" t="n"/>
      <c r="K41" s="119" t="n"/>
      <c r="L41" s="119" t="n"/>
      <c r="M41" s="119" t="n"/>
      <c r="N41" s="119" t="n"/>
      <c r="O41" s="119" t="n"/>
      <c r="P41" s="119" t="n"/>
      <c r="Q41" s="119" t="n"/>
      <c r="R41" s="119" t="n"/>
      <c r="S41" s="119" t="n"/>
      <c r="T41" s="3" t="n"/>
      <c r="U41" s="3" t="n"/>
      <c r="V41" s="3" t="n"/>
    </row>
    <row r="42" ht="8" customHeight="1">
      <c r="A42" s="3" t="n"/>
      <c r="B42" s="3" t="n"/>
      <c r="C42" s="3" t="n"/>
      <c r="D42" s="3" t="n"/>
      <c r="E42" s="3" t="n"/>
      <c r="F42" s="6" t="n"/>
      <c r="G42" s="6" t="n"/>
      <c r="H42" s="6" t="n"/>
      <c r="I42" s="6" t="n"/>
      <c r="J42" s="6" t="n"/>
      <c r="K42" s="6" t="n"/>
      <c r="L42" s="6" t="n"/>
      <c r="M42" s="6" t="n"/>
      <c r="N42" s="6" t="n"/>
      <c r="O42" s="6" t="n"/>
      <c r="P42" s="6" t="n"/>
      <c r="Q42" s="6" t="n"/>
      <c r="R42" s="6" t="n"/>
      <c r="S42" s="6" t="n"/>
      <c r="T42" s="3" t="n"/>
      <c r="U42" s="3" t="n"/>
      <c r="V42" s="3" t="n"/>
    </row>
    <row r="43" ht="30" customHeight="1">
      <c r="A43" s="3" t="inlineStr">
        <is>
          <t>H/M/L brackets</t>
        </is>
      </c>
      <c r="B43" s="3" t="inlineStr">
        <is>
          <t>decision</t>
        </is>
      </c>
      <c r="C43" s="3" t="inlineStr">
        <is>
          <t>Workshop input</t>
        </is>
      </c>
      <c r="D43" s="118" t="n"/>
      <c r="E43" s="10" t="inlineStr">
        <is>
          <t>Set truck BEV shares, hybrid treatment and rollout dates by duty… [N079]</t>
        </is>
      </c>
      <c r="F43" s="119" t="n"/>
      <c r="G43" s="119" t="n"/>
      <c r="H43" s="119" t="n"/>
      <c r="I43" s="119" t="n"/>
      <c r="J43" s="119" t="n"/>
      <c r="K43" s="119" t="n"/>
      <c r="L43" s="119" t="n"/>
      <c r="M43" s="119" t="n"/>
      <c r="N43" s="119" t="n"/>
      <c r="O43" s="119" t="n"/>
      <c r="P43" s="119" t="n"/>
      <c r="Q43" s="119" t="n"/>
      <c r="R43" s="119" t="n"/>
      <c r="S43" s="119" t="n"/>
      <c r="T43" s="3" t="n"/>
      <c r="U43" s="3" t="n"/>
      <c r="V43" s="3" t="n"/>
    </row>
    <row r="44" ht="8" customHeight="1">
      <c r="A44" s="3" t="n"/>
      <c r="B44" s="3" t="n"/>
      <c r="C44" s="3" t="n"/>
      <c r="D44" s="3" t="n"/>
      <c r="E44" s="3" t="n"/>
      <c r="F44" s="6" t="n"/>
      <c r="G44" s="6" t="n"/>
      <c r="H44" s="6" t="n"/>
      <c r="I44" s="6" t="n"/>
      <c r="J44" s="6" t="n"/>
      <c r="K44" s="6" t="n"/>
      <c r="L44" s="6" t="n"/>
      <c r="M44" s="6" t="n"/>
      <c r="N44" s="6" t="n"/>
      <c r="O44" s="6" t="n"/>
      <c r="P44" s="6" t="n"/>
      <c r="Q44" s="6" t="n"/>
      <c r="R44" s="6" t="n"/>
      <c r="S44" s="6" t="n"/>
      <c r="T44" s="3" t="n"/>
      <c r="U44" s="3" t="n"/>
      <c r="V44" s="3" t="n"/>
    </row>
    <row r="45" ht="30" customHeight="1">
      <c r="A45" s="3" t="inlineStr">
        <is>
          <t>Current curve source</t>
        </is>
      </c>
      <c r="B45" s="3" t="inlineStr">
        <is>
          <t>URL</t>
        </is>
      </c>
      <c r="C45" s="3" t="inlineStr">
        <is>
          <t>Source</t>
        </is>
      </c>
      <c r="D45" s="121" t="n"/>
      <c r="E45" s="3" t="inlineStr">
        <is>
          <t>https://github.com/Africa-International-Advisors/liquid_fuels_mode… [N080]</t>
        </is>
      </c>
      <c r="F45" s="122" t="n"/>
      <c r="G45" s="122" t="n"/>
      <c r="H45" s="122" t="n"/>
      <c r="I45" s="122" t="n"/>
      <c r="J45" s="122" t="n"/>
      <c r="K45" s="122" t="n"/>
      <c r="L45" s="122" t="n"/>
      <c r="M45" s="122" t="n"/>
      <c r="N45" s="122" t="n"/>
      <c r="O45" s="122" t="n"/>
      <c r="P45" s="122" t="n"/>
      <c r="Q45" s="122" t="n"/>
      <c r="R45" s="122" t="n"/>
      <c r="S45" s="122" t="n"/>
      <c r="T45" s="3" t="n"/>
      <c r="U45" s="3" t="n"/>
      <c r="V45" s="3" t="n"/>
    </row>
    <row r="46" ht="8" customHeight="1">
      <c r="A46" s="3" t="n"/>
      <c r="B46" s="3" t="n"/>
      <c r="C46" s="3" t="n"/>
      <c r="D46" s="3" t="n"/>
      <c r="E46" s="3" t="n"/>
      <c r="F46" s="6" t="n"/>
      <c r="G46" s="6" t="n"/>
      <c r="H46" s="6" t="n"/>
      <c r="I46" s="6" t="n"/>
      <c r="J46" s="6" t="n"/>
      <c r="K46" s="6" t="n"/>
      <c r="L46" s="6" t="n"/>
      <c r="M46" s="6" t="n"/>
      <c r="N46" s="6" t="n"/>
      <c r="O46" s="6" t="n"/>
      <c r="P46" s="6" t="n"/>
      <c r="Q46" s="6" t="n"/>
      <c r="R46" s="6" t="n"/>
      <c r="S46" s="6" t="n"/>
      <c r="T46" s="3" t="n"/>
      <c r="U46" s="3" t="n"/>
      <c r="V46" s="3" t="n"/>
    </row>
    <row r="47" ht="28" customHeight="1">
      <c r="A47" s="12" t="inlineStr">
        <is>
          <t>Available freight evidence: activity is not yet calibrated to litres</t>
        </is>
      </c>
      <c r="B47" s="11" t="n"/>
      <c r="C47" s="11" t="n"/>
      <c r="D47" s="11" t="n"/>
      <c r="E47" s="11" t="n"/>
      <c r="F47" s="25" t="n"/>
      <c r="G47" s="25" t="n"/>
      <c r="H47" s="25" t="n"/>
      <c r="I47" s="25" t="n"/>
      <c r="J47" s="25" t="n"/>
      <c r="K47" s="25" t="n"/>
      <c r="L47" s="25" t="n"/>
      <c r="M47" s="25" t="n"/>
      <c r="N47" s="25" t="n"/>
      <c r="O47" s="25" t="n"/>
      <c r="P47" s="25" t="n"/>
      <c r="Q47" s="25" t="n"/>
      <c r="R47" s="25" t="n"/>
      <c r="S47" s="25" t="n"/>
      <c r="T47" s="11" t="n"/>
      <c r="U47" s="11" t="n"/>
      <c r="V47" s="11" t="n"/>
    </row>
    <row r="48" ht="30" customHeight="1">
      <c r="A48" s="65" t="inlineStr">
        <is>
          <t>Medium/heavy commercial new sales</t>
        </is>
      </c>
      <c r="B48" s="65" t="inlineStr">
        <is>
          <t>vehicles/year</t>
        </is>
      </c>
      <c r="C48" s="65" t="inlineStr">
        <is>
          <t>Staged observation</t>
        </is>
      </c>
      <c r="D48" s="114">
        <f>IF(ISNUMBER('Evidence'!D15),'Evidence'!D15,"")</f>
        <v/>
      </c>
      <c r="E48" s="65" t="inlineStr">
        <is>
          <t>NAAMSA actual new sales. Published 2026/27 projections excluded… [N081]</t>
        </is>
      </c>
      <c r="F48" s="115">
        <f>IF(ISNUMBER('Evidence'!F15),'Evidence'!F15,"")</f>
        <v/>
      </c>
      <c r="G48" s="115">
        <f>IF(ISNUMBER('Evidence'!G15),'Evidence'!G15,"")</f>
        <v/>
      </c>
      <c r="H48" s="115">
        <f>IF(ISNUMBER('Evidence'!H15),'Evidence'!H15,"")</f>
        <v/>
      </c>
      <c r="I48" s="115">
        <f>IF(ISNUMBER('Evidence'!I15),'Evidence'!I15,"")</f>
        <v/>
      </c>
      <c r="J48" s="115">
        <f>IF(ISNUMBER('Evidence'!J15),'Evidence'!J15,"")</f>
        <v/>
      </c>
      <c r="K48" s="115">
        <f>IF(ISNUMBER('Evidence'!K15),'Evidence'!K15,"")</f>
        <v/>
      </c>
      <c r="L48" s="115">
        <f>IF(ISNUMBER('Evidence'!L15),'Evidence'!L15,"")</f>
        <v/>
      </c>
      <c r="M48" s="115">
        <f>IF(ISNUMBER('Evidence'!M15),'Evidence'!M15,"")</f>
        <v/>
      </c>
      <c r="N48" s="115">
        <f>IF(ISNUMBER('Evidence'!N15),'Evidence'!N15,"")</f>
        <v/>
      </c>
      <c r="O48" s="115">
        <f>IF(ISNUMBER('Evidence'!O15),'Evidence'!O15,"")</f>
        <v/>
      </c>
      <c r="P48" s="115">
        <f>IF(ISNUMBER('Evidence'!P15),'Evidence'!P15,"")</f>
        <v/>
      </c>
      <c r="Q48" s="115">
        <f>IF(ISNUMBER('Evidence'!Q15),'Evidence'!Q15,"")</f>
        <v/>
      </c>
      <c r="R48" s="115">
        <f>IF(ISNUMBER('Evidence'!R15),'Evidence'!R15,"")</f>
        <v/>
      </c>
      <c r="S48" s="115">
        <f>IF(ISNUMBER('Evidence'!S15),'Evidence'!S15,"")</f>
        <v/>
      </c>
      <c r="T48" s="3" t="inlineStr">
        <is>
          <t>Unreviewed source extract; annual cells contain… [N082]</t>
        </is>
      </c>
      <c r="U48" s="3" t="inlineStr">
        <is>
          <t>Evidence row 15;… [N083]</t>
        </is>
      </c>
      <c r="V48" s="3" t="inlineStr">
        <is>
          <t>G04: align medium/heavy sales with HCV engine and… [N084]</t>
        </is>
      </c>
    </row>
    <row r="49" ht="30" customHeight="1">
      <c r="A49" s="65" t="inlineStr">
        <is>
          <t>Registered trucks, all drivetrains</t>
        </is>
      </c>
      <c r="B49" s="65" t="inlineStr">
        <is>
          <t>vehicles</t>
        </is>
      </c>
      <c r="C49" s="65" t="inlineStr">
        <is>
          <t>Staged observation</t>
        </is>
      </c>
      <c r="D49" s="114">
        <f>IF(ISNUMBER('Evidence'!D22),'Evidence'!D22,"")</f>
        <v/>
      </c>
      <c r="E49" s="65" t="inlineStr">
        <is>
          <t>eNaTIS December snapshots; latest June 2026 kept separately. No… [N085]</t>
        </is>
      </c>
      <c r="F49" s="115">
        <f>IF(ISNUMBER('Evidence'!F22),'Evidence'!F22,"")</f>
        <v/>
      </c>
      <c r="G49" s="115">
        <f>IF(ISNUMBER('Evidence'!G22),'Evidence'!G22,"")</f>
        <v/>
      </c>
      <c r="H49" s="115">
        <f>IF(ISNUMBER('Evidence'!H22),'Evidence'!H22,"")</f>
        <v/>
      </c>
      <c r="I49" s="115">
        <f>IF(ISNUMBER('Evidence'!I22),'Evidence'!I22,"")</f>
        <v/>
      </c>
      <c r="J49" s="115">
        <f>IF(ISNUMBER('Evidence'!J22),'Evidence'!J22,"")</f>
        <v/>
      </c>
      <c r="K49" s="115">
        <f>IF(ISNUMBER('Evidence'!K22),'Evidence'!K22,"")</f>
        <v/>
      </c>
      <c r="L49" s="115">
        <f>IF(ISNUMBER('Evidence'!L22),'Evidence'!L22,"")</f>
        <v/>
      </c>
      <c r="M49" s="115">
        <f>IF(ISNUMBER('Evidence'!M22),'Evidence'!M22,"")</f>
        <v/>
      </c>
      <c r="N49" s="115">
        <f>IF(ISNUMBER('Evidence'!N22),'Evidence'!N22,"")</f>
        <v/>
      </c>
      <c r="O49" s="115">
        <f>IF(ISNUMBER('Evidence'!O22),'Evidence'!O22,"")</f>
        <v/>
      </c>
      <c r="P49" s="115">
        <f>IF(ISNUMBER('Evidence'!P22),'Evidence'!P22,"")</f>
        <v/>
      </c>
      <c r="Q49" s="115">
        <f>IF(ISNUMBER('Evidence'!Q22),'Evidence'!Q22,"")</f>
        <v/>
      </c>
      <c r="R49" s="115">
        <f>IF(ISNUMBER('Evidence'!R22),'Evidence'!R22,"")</f>
        <v/>
      </c>
      <c r="S49" s="115">
        <f>IF(ISNUMBER('Evidence'!S22),'Evidence'!S22,"")</f>
        <v/>
      </c>
      <c r="T49" s="3" t="inlineStr">
        <is>
          <t>Unreviewed source extract; annual cells contain… [N086]</t>
        </is>
      </c>
      <c r="U49" s="3" t="inlineStr">
        <is>
          <t>Evidence row 22;… [N087]</t>
        </is>
      </c>
      <c r="V49" s="3" t="inlineStr">
        <is>
          <t>G04: reconcile vehicle definition, drivetrain and… [N088]</t>
        </is>
      </c>
    </row>
    <row r="50" ht="30" customHeight="1">
      <c r="A50" s="65" t="inlineStr">
        <is>
          <t>Road freight payload</t>
        </is>
      </c>
      <c r="B50" s="65" t="inlineStr">
        <is>
          <t>thousand tonnes</t>
        </is>
      </c>
      <c r="C50" s="65" t="inlineStr">
        <is>
          <t>Staged observation</t>
        </is>
      </c>
      <c r="D50" s="114">
        <f>IF(ISNUMBER('Evidence'!D32),'Evidence'!D32,"")</f>
        <v/>
      </c>
      <c r="E50" s="65" t="inlineStr">
        <is>
          <t>Complete calendar years only; 2026 Jan–Jul shown separately.… [N089]</t>
        </is>
      </c>
      <c r="F50" s="115">
        <f>IF(ISNUMBER('Evidence'!F32),'Evidence'!F32,"")</f>
        <v/>
      </c>
      <c r="G50" s="115">
        <f>IF(ISNUMBER('Evidence'!G32),'Evidence'!G32,"")</f>
        <v/>
      </c>
      <c r="H50" s="115">
        <f>IF(ISNUMBER('Evidence'!H32),'Evidence'!H32,"")</f>
        <v/>
      </c>
      <c r="I50" s="115">
        <f>IF(ISNUMBER('Evidence'!I32),'Evidence'!I32,"")</f>
        <v/>
      </c>
      <c r="J50" s="115">
        <f>IF(ISNUMBER('Evidence'!J32),'Evidence'!J32,"")</f>
        <v/>
      </c>
      <c r="K50" s="115">
        <f>IF(ISNUMBER('Evidence'!K32),'Evidence'!K32,"")</f>
        <v/>
      </c>
      <c r="L50" s="115">
        <f>IF(ISNUMBER('Evidence'!L32),'Evidence'!L32,"")</f>
        <v/>
      </c>
      <c r="M50" s="115">
        <f>IF(ISNUMBER('Evidence'!M32),'Evidence'!M32,"")</f>
        <v/>
      </c>
      <c r="N50" s="115">
        <f>IF(ISNUMBER('Evidence'!N32),'Evidence'!N32,"")</f>
        <v/>
      </c>
      <c r="O50" s="115">
        <f>IF(ISNUMBER('Evidence'!O32),'Evidence'!O32,"")</f>
        <v/>
      </c>
      <c r="P50" s="115">
        <f>IF(ISNUMBER('Evidence'!P32),'Evidence'!P32,"")</f>
        <v/>
      </c>
      <c r="Q50" s="115">
        <f>IF(ISNUMBER('Evidence'!Q32),'Evidence'!Q32,"")</f>
        <v/>
      </c>
      <c r="R50" s="115">
        <f>IF(ISNUMBER('Evidence'!R32),'Evidence'!R32,"")</f>
        <v/>
      </c>
      <c r="S50" s="115">
        <f>IF(ISNUMBER('Evidence'!S32),'Evidence'!S32,"")</f>
        <v/>
      </c>
      <c r="T50" s="3" t="inlineStr">
        <is>
          <t>Unreviewed source extract; annual cells contain… [N090]</t>
        </is>
      </c>
      <c r="U50" s="3" t="inlineStr">
        <is>
          <t>Evidence row 32;… [N091]</t>
        </is>
      </c>
      <c r="V50" s="3" t="inlineStr">
        <is>
          <t>G04: tonnes need distance/payload/empty-running… [N092]</t>
        </is>
      </c>
    </row>
    <row r="51" ht="30" customHeight="1">
      <c r="A51" s="65" t="inlineStr">
        <is>
          <t>Rail freight payload</t>
        </is>
      </c>
      <c r="B51" s="65" t="inlineStr">
        <is>
          <t>thousand tonnes</t>
        </is>
      </c>
      <c r="C51" s="65" t="inlineStr">
        <is>
          <t>Staged observation</t>
        </is>
      </c>
      <c r="D51" s="114">
        <f>IF(ISNUMBER('Evidence'!D33),'Evidence'!D33,"")</f>
        <v/>
      </c>
      <c r="E51" s="65" t="inlineStr">
        <is>
          <t>Complete calendar years only; 2026 Jan–Jul shown separately.… [N093]</t>
        </is>
      </c>
      <c r="F51" s="115">
        <f>IF(ISNUMBER('Evidence'!F33),'Evidence'!F33,"")</f>
        <v/>
      </c>
      <c r="G51" s="115">
        <f>IF(ISNUMBER('Evidence'!G33),'Evidence'!G33,"")</f>
        <v/>
      </c>
      <c r="H51" s="115">
        <f>IF(ISNUMBER('Evidence'!H33),'Evidence'!H33,"")</f>
        <v/>
      </c>
      <c r="I51" s="115">
        <f>IF(ISNUMBER('Evidence'!I33),'Evidence'!I33,"")</f>
        <v/>
      </c>
      <c r="J51" s="115">
        <f>IF(ISNUMBER('Evidence'!J33),'Evidence'!J33,"")</f>
        <v/>
      </c>
      <c r="K51" s="115">
        <f>IF(ISNUMBER('Evidence'!K33),'Evidence'!K33,"")</f>
        <v/>
      </c>
      <c r="L51" s="115">
        <f>IF(ISNUMBER('Evidence'!L33),'Evidence'!L33,"")</f>
        <v/>
      </c>
      <c r="M51" s="115">
        <f>IF(ISNUMBER('Evidence'!M33),'Evidence'!M33,"")</f>
        <v/>
      </c>
      <c r="N51" s="115">
        <f>IF(ISNUMBER('Evidence'!N33),'Evidence'!N33,"")</f>
        <v/>
      </c>
      <c r="O51" s="115">
        <f>IF(ISNUMBER('Evidence'!O33),'Evidence'!O33,"")</f>
        <v/>
      </c>
      <c r="P51" s="115">
        <f>IF(ISNUMBER('Evidence'!P33),'Evidence'!P33,"")</f>
        <v/>
      </c>
      <c r="Q51" s="115">
        <f>IF(ISNUMBER('Evidence'!Q33),'Evidence'!Q33,"")</f>
        <v/>
      </c>
      <c r="R51" s="115">
        <f>IF(ISNUMBER('Evidence'!R33),'Evidence'!R33,"")</f>
        <v/>
      </c>
      <c r="S51" s="115">
        <f>IF(ISNUMBER('Evidence'!S33),'Evidence'!S33,"")</f>
        <v/>
      </c>
      <c r="T51" s="3" t="inlineStr">
        <is>
          <t>Unreviewed source extract; annual cells contain… [N094]</t>
        </is>
      </c>
      <c r="U51" s="3" t="inlineStr">
        <is>
          <t>Evidence row 33;… [N095]</t>
        </is>
      </c>
      <c r="V51" s="3" t="inlineStr">
        <is>
          <t>G04: source feasible diversion by… [N096]</t>
        </is>
      </c>
    </row>
    <row r="52" ht="30" customHeight="1">
      <c r="A52" s="65" t="inlineStr">
        <is>
          <t>LCV new sales</t>
        </is>
      </c>
      <c r="B52" s="65" t="inlineStr">
        <is>
          <t>vehicles/year</t>
        </is>
      </c>
      <c r="C52" s="65" t="inlineStr">
        <is>
          <t>Staged observation</t>
        </is>
      </c>
      <c r="D52" s="114">
        <f>IF(ISNUMBER('Evidence'!D14),'Evidence'!D14,"")</f>
        <v/>
      </c>
      <c r="E52" s="65" t="inlineStr">
        <is>
          <t>NAAMSA actual new sales. Published 2026/27 projections excluded… [N097]</t>
        </is>
      </c>
      <c r="F52" s="115">
        <f>IF(ISNUMBER('Evidence'!F14),'Evidence'!F14,"")</f>
        <v/>
      </c>
      <c r="G52" s="115">
        <f>IF(ISNUMBER('Evidence'!G14),'Evidence'!G14,"")</f>
        <v/>
      </c>
      <c r="H52" s="115">
        <f>IF(ISNUMBER('Evidence'!H14),'Evidence'!H14,"")</f>
        <v/>
      </c>
      <c r="I52" s="115">
        <f>IF(ISNUMBER('Evidence'!I14),'Evidence'!I14,"")</f>
        <v/>
      </c>
      <c r="J52" s="115">
        <f>IF(ISNUMBER('Evidence'!J14),'Evidence'!J14,"")</f>
        <v/>
      </c>
      <c r="K52" s="115">
        <f>IF(ISNUMBER('Evidence'!K14),'Evidence'!K14,"")</f>
        <v/>
      </c>
      <c r="L52" s="115">
        <f>IF(ISNUMBER('Evidence'!L14),'Evidence'!L14,"")</f>
        <v/>
      </c>
      <c r="M52" s="115">
        <f>IF(ISNUMBER('Evidence'!M14),'Evidence'!M14,"")</f>
        <v/>
      </c>
      <c r="N52" s="115">
        <f>IF(ISNUMBER('Evidence'!N14),'Evidence'!N14,"")</f>
        <v/>
      </c>
      <c r="O52" s="115">
        <f>IF(ISNUMBER('Evidence'!O14),'Evidence'!O14,"")</f>
        <v/>
      </c>
      <c r="P52" s="115">
        <f>IF(ISNUMBER('Evidence'!P14),'Evidence'!P14,"")</f>
        <v/>
      </c>
      <c r="Q52" s="115">
        <f>IF(ISNUMBER('Evidence'!Q14),'Evidence'!Q14,"")</f>
        <v/>
      </c>
      <c r="R52" s="115">
        <f>IF(ISNUMBER('Evidence'!R14),'Evidence'!R14,"")</f>
        <v/>
      </c>
      <c r="S52" s="115">
        <f>IF(ISNUMBER('Evidence'!S14),'Evidence'!S14,"")</f>
        <v/>
      </c>
      <c r="T52" s="3" t="inlineStr">
        <is>
          <t>Unreviewed source extract; annual cells contain… [N098]</t>
        </is>
      </c>
      <c r="U52" s="3" t="inlineStr">
        <is>
          <t>Evidence row 14;… [N099]</t>
        </is>
      </c>
      <c r="V52" s="3" t="inlineStr">
        <is>
          <t>G04: determine freight versus passenger/other LCV work.</t>
        </is>
      </c>
    </row>
    <row r="53" ht="30" customHeight="1">
      <c r="A53" s="10" t="inlineStr">
        <is>
          <t>Truck-specific BEV sales / fleet</t>
        </is>
      </c>
      <c r="B53" s="10" t="inlineStr">
        <is>
          <t>vehicles or share</t>
        </is>
      </c>
      <c r="C53" s="10" t="inlineStr">
        <is>
          <t>Missing input</t>
        </is>
      </c>
      <c r="D53" s="118" t="n"/>
      <c r="E53" s="10" t="inlineStr">
        <is>
          <t>All-market NEV data exists on Petrol sheet; no truck-specific… [N100]</t>
        </is>
      </c>
      <c r="F53" s="119" t="n"/>
      <c r="G53" s="119" t="n"/>
      <c r="H53" s="119" t="n"/>
      <c r="I53" s="119" t="n"/>
      <c r="J53" s="119" t="n"/>
      <c r="K53" s="119" t="n"/>
      <c r="L53" s="119" t="n"/>
      <c r="M53" s="119" t="n"/>
      <c r="N53" s="119" t="n"/>
      <c r="O53" s="119" t="n"/>
      <c r="P53" s="119" t="n"/>
      <c r="Q53" s="119" t="n"/>
      <c r="R53" s="119" t="n"/>
      <c r="S53" s="119" t="n"/>
      <c r="T53" s="3" t="inlineStr">
        <is>
          <t>Current generic EV curve is shown in row 31.</t>
        </is>
      </c>
      <c r="U53" s="3" t="str"/>
      <c r="V53" s="3" t="inlineStr">
        <is>
          <t>G05: source truck registrations/sales, fleet… [N101]</t>
        </is>
      </c>
    </row>
    <row r="54" ht="8" customHeight="1">
      <c r="A54" s="102" t="n"/>
      <c r="B54" s="102" t="n"/>
      <c r="C54" s="102" t="n"/>
      <c r="D54" s="102" t="n"/>
      <c r="E54" s="102" t="n"/>
      <c r="F54" s="104" t="n"/>
      <c r="G54" s="104" t="n"/>
      <c r="H54" s="104" t="n"/>
      <c r="I54" s="104" t="n"/>
      <c r="J54" s="104" t="n"/>
      <c r="K54" s="104" t="n"/>
      <c r="L54" s="104" t="n"/>
      <c r="M54" s="104" t="n"/>
      <c r="N54" s="104" t="n"/>
      <c r="O54" s="104" t="n"/>
      <c r="P54" s="104" t="n"/>
      <c r="Q54" s="104" t="n"/>
      <c r="R54" s="104" t="n"/>
      <c r="S54" s="104" t="n"/>
      <c r="T54" s="3" t="n"/>
      <c r="U54" s="3" t="n"/>
      <c r="V54" s="3" t="n"/>
    </row>
    <row r="55" ht="30" customHeight="1">
      <c r="A55" s="16" t="inlineStr">
        <is>
          <t>Passenger diesel demand</t>
        </is>
      </c>
      <c r="B55" s="16" t="inlineStr">
        <is>
          <t>L/year</t>
        </is>
      </c>
      <c r="C55" s="16" t="inlineStr">
        <is>
          <t>Linked model output</t>
        </is>
      </c>
      <c r="D55" s="16" t="n"/>
      <c r="E55" s="16" t="inlineStr">
        <is>
          <t>Model run row 57; Python vehicle cohort result.</t>
        </is>
      </c>
      <c r="F55" s="117">
        <f>IF(ISNUMBER('Model run'!F57),'Model run'!F57,"")</f>
        <v/>
      </c>
      <c r="G55" s="117">
        <f>IF(ISNUMBER('Model run'!G57),'Model run'!G57,"")</f>
        <v/>
      </c>
      <c r="H55" s="117">
        <f>IF(ISNUMBER('Model run'!H57),'Model run'!H57,"")</f>
        <v/>
      </c>
      <c r="I55" s="117">
        <f>IF(ISNUMBER('Model run'!I57),'Model run'!I57,"")</f>
        <v/>
      </c>
      <c r="J55" s="117">
        <f>IF(ISNUMBER('Model run'!J57),'Model run'!J57,"")</f>
        <v/>
      </c>
      <c r="K55" s="117">
        <f>IF(ISNUMBER('Model run'!K57),'Model run'!K57,"")</f>
        <v/>
      </c>
      <c r="L55" s="117">
        <f>IF(ISNUMBER('Model run'!L57),'Model run'!L57,"")</f>
        <v/>
      </c>
      <c r="M55" s="117">
        <f>IF(ISNUMBER('Model run'!M57),'Model run'!M57,"")</f>
        <v/>
      </c>
      <c r="N55" s="117">
        <f>IF(ISNUMBER('Model run'!N57),'Model run'!N57,"")</f>
        <v/>
      </c>
      <c r="O55" s="117">
        <f>IF(ISNUMBER('Model run'!O57),'Model run'!O57,"")</f>
        <v/>
      </c>
      <c r="P55" s="117">
        <f>IF(ISNUMBER('Model run'!P57),'Model run'!P57,"")</f>
        <v/>
      </c>
      <c r="Q55" s="117">
        <f>IF(ISNUMBER('Model run'!Q57),'Model run'!Q57,"")</f>
        <v/>
      </c>
      <c r="R55" s="117">
        <f>IF(ISNUMBER('Model run'!R57),'Model run'!R57,"")</f>
        <v/>
      </c>
      <c r="S55" s="117">
        <f>IF(ISNUMBER('Model run'!S57),'Model run'!S57,"")</f>
        <v/>
      </c>
      <c r="T55" s="16" t="n"/>
      <c r="U55" s="16" t="n"/>
      <c r="V55" s="16" t="n"/>
    </row>
    <row r="56" ht="30" customHeight="1">
      <c r="A56" s="16" t="inlineStr">
        <is>
          <t>LCV diesel demand</t>
        </is>
      </c>
      <c r="B56" s="16" t="inlineStr">
        <is>
          <t>L/year</t>
        </is>
      </c>
      <c r="C56" s="16" t="inlineStr">
        <is>
          <t>Linked model output</t>
        </is>
      </c>
      <c r="D56" s="16" t="n"/>
      <c r="E56" s="16" t="inlineStr">
        <is>
          <t>Model run row 58; Python vehicle cohort result.</t>
        </is>
      </c>
      <c r="F56" s="117">
        <f>IF(ISNUMBER('Model run'!F58),'Model run'!F58,"")</f>
        <v/>
      </c>
      <c r="G56" s="117">
        <f>IF(ISNUMBER('Model run'!G58),'Model run'!G58,"")</f>
        <v/>
      </c>
      <c r="H56" s="117">
        <f>IF(ISNUMBER('Model run'!H58),'Model run'!H58,"")</f>
        <v/>
      </c>
      <c r="I56" s="117">
        <f>IF(ISNUMBER('Model run'!I58),'Model run'!I58,"")</f>
        <v/>
      </c>
      <c r="J56" s="117">
        <f>IF(ISNUMBER('Model run'!J58),'Model run'!J58,"")</f>
        <v/>
      </c>
      <c r="K56" s="117">
        <f>IF(ISNUMBER('Model run'!K58),'Model run'!K58,"")</f>
        <v/>
      </c>
      <c r="L56" s="117">
        <f>IF(ISNUMBER('Model run'!L58),'Model run'!L58,"")</f>
        <v/>
      </c>
      <c r="M56" s="117">
        <f>IF(ISNUMBER('Model run'!M58),'Model run'!M58,"")</f>
        <v/>
      </c>
      <c r="N56" s="117">
        <f>IF(ISNUMBER('Model run'!N58),'Model run'!N58,"")</f>
        <v/>
      </c>
      <c r="O56" s="117">
        <f>IF(ISNUMBER('Model run'!O58),'Model run'!O58,"")</f>
        <v/>
      </c>
      <c r="P56" s="117">
        <f>IF(ISNUMBER('Model run'!P58),'Model run'!P58,"")</f>
        <v/>
      </c>
      <c r="Q56" s="117">
        <f>IF(ISNUMBER('Model run'!Q58),'Model run'!Q58,"")</f>
        <v/>
      </c>
      <c r="R56" s="117">
        <f>IF(ISNUMBER('Model run'!R58),'Model run'!R58,"")</f>
        <v/>
      </c>
      <c r="S56" s="117">
        <f>IF(ISNUMBER('Model run'!S58),'Model run'!S58,"")</f>
        <v/>
      </c>
      <c r="T56" s="16" t="n"/>
      <c r="U56" s="16" t="n"/>
      <c r="V56" s="16" t="n"/>
    </row>
    <row r="57" ht="30" customHeight="1">
      <c r="A57" s="105" t="inlineStr">
        <is>
          <t>All road diesel</t>
        </is>
      </c>
      <c r="B57" s="105" t="inlineStr">
        <is>
          <t>million L/year</t>
        </is>
      </c>
      <c r="C57" s="105" t="inlineStr">
        <is>
          <t>Reporting formula</t>
        </is>
      </c>
      <c r="D57" s="105" t="n"/>
      <c r="E57" s="105" t="inlineStr">
        <is>
          <t>HCV + passenger + LCV; freight share within LCV remains unresolved.</t>
        </is>
      </c>
      <c r="F57" s="132">
        <f>IF(COUNT(F17,F55,F56)&lt;3,"",SUM(F17,F55,F56)/1000000)</f>
        <v/>
      </c>
      <c r="G57" s="132">
        <f>IF(COUNT(G17,G55,G56)&lt;3,"",SUM(G17,G55,G56)/1000000)</f>
        <v/>
      </c>
      <c r="H57" s="132">
        <f>IF(COUNT(H17,H55,H56)&lt;3,"",SUM(H17,H55,H56)/1000000)</f>
        <v/>
      </c>
      <c r="I57" s="132">
        <f>IF(COUNT(I17,I55,I56)&lt;3,"",SUM(I17,I55,I56)/1000000)</f>
        <v/>
      </c>
      <c r="J57" s="132">
        <f>IF(COUNT(J17,J55,J56)&lt;3,"",SUM(J17,J55,J56)/1000000)</f>
        <v/>
      </c>
      <c r="K57" s="132">
        <f>IF(COUNT(K17,K55,K56)&lt;3,"",SUM(K17,K55,K56)/1000000)</f>
        <v/>
      </c>
      <c r="L57" s="132">
        <f>IF(COUNT(L17,L55,L56)&lt;3,"",SUM(L17,L55,L56)/1000000)</f>
        <v/>
      </c>
      <c r="M57" s="132">
        <f>IF(COUNT(M17,M55,M56)&lt;3,"",SUM(M17,M55,M56)/1000000)</f>
        <v/>
      </c>
      <c r="N57" s="132">
        <f>IF(COUNT(N17,N55,N56)&lt;3,"",SUM(N17,N55,N56)/1000000)</f>
        <v/>
      </c>
      <c r="O57" s="132">
        <f>IF(COUNT(O17,O55,O56)&lt;3,"",SUM(O17,O55,O56)/1000000)</f>
        <v/>
      </c>
      <c r="P57" s="132">
        <f>IF(COUNT(P17,P55,P56)&lt;3,"",SUM(P17,P55,P56)/1000000)</f>
        <v/>
      </c>
      <c r="Q57" s="132">
        <f>IF(COUNT(Q17,Q55,Q56)&lt;3,"",SUM(Q17,Q55,Q56)/1000000)</f>
        <v/>
      </c>
      <c r="R57" s="132">
        <f>IF(COUNT(R17,R55,R56)&lt;3,"",SUM(R17,R55,R56)/1000000)</f>
        <v/>
      </c>
      <c r="S57" s="132">
        <f>IF(COUNT(S17,S55,S56)&lt;3,"",SUM(S17,S55,S56)/1000000)</f>
        <v/>
      </c>
      <c r="T57" s="16" t="n"/>
      <c r="U57" s="16" t="n"/>
      <c r="V57" s="16" t="n"/>
    </row>
    <row r="58" ht="8" customHeight="1">
      <c r="A58" s="102" t="n"/>
      <c r="B58" s="102" t="n"/>
      <c r="C58" s="102" t="n"/>
      <c r="D58" s="102" t="n"/>
      <c r="E58" s="102" t="n"/>
      <c r="F58" s="104" t="n"/>
      <c r="G58" s="104" t="n"/>
      <c r="H58" s="104" t="n"/>
      <c r="I58" s="104" t="n"/>
      <c r="J58" s="104" t="n"/>
      <c r="K58" s="104" t="n"/>
      <c r="L58" s="104" t="n"/>
      <c r="M58" s="104" t="n"/>
      <c r="N58" s="104" t="n"/>
      <c r="O58" s="104" t="n"/>
      <c r="P58" s="104" t="n"/>
      <c r="Q58" s="104" t="n"/>
      <c r="R58" s="104" t="n"/>
      <c r="S58" s="104" t="n"/>
      <c r="T58" s="3" t="n"/>
      <c r="U58" s="3" t="n"/>
      <c r="V58" s="3" t="n"/>
    </row>
    <row r="59" ht="8" customHeight="1">
      <c r="A59" s="102" t="n"/>
      <c r="B59" s="102" t="n"/>
      <c r="C59" s="102" t="n"/>
      <c r="D59" s="102" t="n"/>
      <c r="E59" s="102" t="n"/>
      <c r="F59" s="104" t="n"/>
      <c r="G59" s="104" t="n"/>
      <c r="H59" s="104" t="n"/>
      <c r="I59" s="104" t="n"/>
      <c r="J59" s="104" t="n"/>
      <c r="K59" s="104" t="n"/>
      <c r="L59" s="104" t="n"/>
      <c r="M59" s="104" t="n"/>
      <c r="N59" s="104" t="n"/>
      <c r="O59" s="104" t="n"/>
      <c r="P59" s="104" t="n"/>
      <c r="Q59" s="104" t="n"/>
      <c r="R59" s="104" t="n"/>
      <c r="S59" s="104" t="n"/>
      <c r="T59" s="3" t="n"/>
      <c r="U59" s="3" t="n"/>
      <c r="V59" s="3" t="n"/>
    </row>
    <row r="60" ht="8" customHeight="1">
      <c r="A60" s="102" t="n"/>
      <c r="B60" s="102" t="n"/>
      <c r="C60" s="102" t="n"/>
      <c r="D60" s="102" t="n"/>
      <c r="E60" s="102" t="n"/>
      <c r="F60" s="104" t="n"/>
      <c r="G60" s="104" t="n"/>
      <c r="H60" s="104" t="n"/>
      <c r="I60" s="104" t="n"/>
      <c r="J60" s="104" t="n"/>
      <c r="K60" s="104" t="n"/>
      <c r="L60" s="104" t="n"/>
      <c r="M60" s="104" t="n"/>
      <c r="N60" s="104" t="n"/>
      <c r="O60" s="104" t="n"/>
      <c r="P60" s="104" t="n"/>
      <c r="Q60" s="104" t="n"/>
      <c r="R60" s="104" t="n"/>
      <c r="S60" s="104" t="n"/>
      <c r="T60" s="3" t="n"/>
      <c r="U60" s="3" t="n"/>
      <c r="V60" s="3" t="n"/>
    </row>
    <row r="61" ht="8" customHeight="1">
      <c r="A61" s="102" t="n"/>
      <c r="B61" s="102" t="n"/>
      <c r="C61" s="102" t="n"/>
      <c r="D61" s="102" t="n"/>
      <c r="E61" s="102" t="n"/>
      <c r="F61" s="104" t="n"/>
      <c r="G61" s="104" t="n"/>
      <c r="H61" s="104" t="n"/>
      <c r="I61" s="104" t="n"/>
      <c r="J61" s="104" t="n"/>
      <c r="K61" s="104" t="n"/>
      <c r="L61" s="104" t="n"/>
      <c r="M61" s="104" t="n"/>
      <c r="N61" s="104" t="n"/>
      <c r="O61" s="104" t="n"/>
      <c r="P61" s="104" t="n"/>
      <c r="Q61" s="104" t="n"/>
      <c r="R61" s="104" t="n"/>
      <c r="S61" s="104" t="n"/>
      <c r="T61" s="3" t="n"/>
      <c r="U61" s="3" t="n"/>
      <c r="V61" s="3" t="n"/>
    </row>
    <row r="62" ht="8" customHeight="1">
      <c r="A62" s="102" t="n"/>
      <c r="B62" s="102" t="n"/>
      <c r="C62" s="102" t="n"/>
      <c r="D62" s="102" t="n"/>
      <c r="E62" s="102" t="n"/>
      <c r="F62" s="104" t="n"/>
      <c r="G62" s="104" t="n"/>
      <c r="H62" s="104" t="n"/>
      <c r="I62" s="104" t="n"/>
      <c r="J62" s="104" t="n"/>
      <c r="K62" s="104" t="n"/>
      <c r="L62" s="104" t="n"/>
      <c r="M62" s="104" t="n"/>
      <c r="N62" s="104" t="n"/>
      <c r="O62" s="104" t="n"/>
      <c r="P62" s="104" t="n"/>
      <c r="Q62" s="104" t="n"/>
      <c r="R62" s="104" t="n"/>
      <c r="S62" s="104" t="n"/>
      <c r="T62" s="3" t="n"/>
      <c r="U62" s="3" t="n"/>
      <c r="V62" s="3" t="n"/>
    </row>
    <row r="63" ht="8" customHeight="1">
      <c r="A63" s="102" t="n"/>
      <c r="B63" s="102" t="n"/>
      <c r="C63" s="102" t="n"/>
      <c r="D63" s="102" t="n"/>
      <c r="E63" s="102" t="n"/>
      <c r="F63" s="104" t="n"/>
      <c r="G63" s="104" t="n"/>
      <c r="H63" s="104" t="n"/>
      <c r="I63" s="104" t="n"/>
      <c r="J63" s="104" t="n"/>
      <c r="K63" s="104" t="n"/>
      <c r="L63" s="104" t="n"/>
      <c r="M63" s="104" t="n"/>
      <c r="N63" s="104" t="n"/>
      <c r="O63" s="104" t="n"/>
      <c r="P63" s="104" t="n"/>
      <c r="Q63" s="104" t="n"/>
      <c r="R63" s="104" t="n"/>
      <c r="S63" s="104" t="n"/>
      <c r="T63" s="3" t="n"/>
      <c r="U63" s="3" t="n"/>
      <c r="V63" s="3" t="n"/>
    </row>
    <row r="64" ht="8" customHeight="1">
      <c r="A64" s="102" t="n"/>
      <c r="B64" s="102" t="n"/>
      <c r="C64" s="102" t="n"/>
      <c r="D64" s="102" t="n"/>
      <c r="E64" s="102" t="n"/>
      <c r="F64" s="104" t="n"/>
      <c r="G64" s="104" t="n"/>
      <c r="H64" s="104" t="n"/>
      <c r="I64" s="104" t="n"/>
      <c r="J64" s="104" t="n"/>
      <c r="K64" s="104" t="n"/>
      <c r="L64" s="104" t="n"/>
      <c r="M64" s="104" t="n"/>
      <c r="N64" s="104" t="n"/>
      <c r="O64" s="104" t="n"/>
      <c r="P64" s="104" t="n"/>
      <c r="Q64" s="104" t="n"/>
      <c r="R64" s="104" t="n"/>
      <c r="S64" s="104" t="n"/>
      <c r="T64" s="3" t="n"/>
      <c r="U64" s="3" t="n"/>
      <c r="V64" s="3" t="n"/>
    </row>
    <row r="65" ht="8" customHeight="1">
      <c r="A65" s="102" t="n"/>
      <c r="B65" s="102" t="n"/>
      <c r="C65" s="102" t="n"/>
      <c r="D65" s="102" t="n"/>
      <c r="E65" s="102" t="n"/>
      <c r="F65" s="104" t="n"/>
      <c r="G65" s="104" t="n"/>
      <c r="H65" s="104" t="n"/>
      <c r="I65" s="104" t="n"/>
      <c r="J65" s="104" t="n"/>
      <c r="K65" s="104" t="n"/>
      <c r="L65" s="104" t="n"/>
      <c r="M65" s="104" t="n"/>
      <c r="N65" s="104" t="n"/>
      <c r="O65" s="104" t="n"/>
      <c r="P65" s="104" t="n"/>
      <c r="Q65" s="104" t="n"/>
      <c r="R65" s="104" t="n"/>
      <c r="S65" s="104" t="n"/>
      <c r="T65" s="3" t="n"/>
      <c r="U65" s="3" t="n"/>
      <c r="V65" s="3"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V45"/>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5" t="inlineStr">
        <is>
          <t>Agricultural diesel demand</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7" t="inlineStr">
        <is>
          <t>Current national held method alongside proposed sector-activity method • No new inputs adopted.</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Current held-method inputs</t>
        </is>
      </c>
      <c r="B5" s="11" t="n"/>
      <c r="C5" s="11" t="n"/>
      <c r="D5" s="11" t="n"/>
      <c r="E5" s="11" t="n"/>
      <c r="F5" s="25" t="n"/>
      <c r="G5" s="25" t="n"/>
      <c r="H5" s="25" t="n"/>
      <c r="I5" s="25" t="n"/>
      <c r="J5" s="25" t="n"/>
      <c r="K5" s="25" t="n"/>
      <c r="L5" s="25" t="n"/>
      <c r="M5" s="25" t="n"/>
      <c r="N5" s="25" t="n"/>
      <c r="O5" s="25" t="n"/>
      <c r="P5" s="25" t="n"/>
      <c r="Q5" s="25" t="n"/>
      <c r="R5" s="25" t="n"/>
      <c r="S5" s="25" t="n"/>
      <c r="T5" s="3" t="n"/>
      <c r="U5" s="3" t="n"/>
      <c r="V5" s="3" t="n"/>
    </row>
    <row r="6" ht="30" customHeight="1">
      <c r="A6" s="3" t="inlineStr">
        <is>
          <t>Base-year demand</t>
        </is>
      </c>
      <c r="B6" s="3" t="inlineStr">
        <is>
          <t>L/year</t>
        </is>
      </c>
      <c r="C6" s="3" t="inlineStr">
        <is>
          <t>Scalar</t>
        </is>
      </c>
      <c r="D6" s="133" t="inlineStr">
        <is>
          <t>0.7e9</t>
        </is>
      </c>
      <c r="E6" s="3" t="inlineStr">
        <is>
          <t>Current registered placeholder, not a verified agricultural fuel baseline.</t>
        </is>
      </c>
      <c r="F6" s="134" t="n"/>
      <c r="G6" s="134" t="n"/>
      <c r="H6" s="134" t="n"/>
      <c r="I6" s="134" t="n"/>
      <c r="J6" s="134" t="n"/>
      <c r="K6" s="134" t="n"/>
      <c r="L6" s="134" t="n"/>
      <c r="M6" s="134" t="n"/>
      <c r="N6" s="134" t="n"/>
      <c r="O6" s="134" t="n"/>
      <c r="P6" s="134" t="n"/>
      <c r="Q6" s="134" t="n"/>
      <c r="R6" s="134" t="n"/>
      <c r="S6" s="134" t="n"/>
      <c r="T6" s="3" t="n"/>
      <c r="U6" s="3" t="n"/>
      <c r="V6" s="3" t="n"/>
    </row>
    <row r="7" ht="30" customHeight="1">
      <c r="A7" s="3" t="inlineStr">
        <is>
          <t>Base year</t>
        </is>
      </c>
      <c r="B7" s="3" t="inlineStr">
        <is>
          <t>year</t>
        </is>
      </c>
      <c r="C7" s="3" t="inlineStr">
        <is>
          <t>Scalar</t>
        </is>
      </c>
      <c r="D7" s="120">
        <f>IF(ISNUMBER('Model run'!D30),'Model run'!D30,"")</f>
        <v/>
      </c>
      <c r="E7" s="3" t="inlineStr">
        <is>
          <t>A dated baseline, not a recurring annual observation.</t>
        </is>
      </c>
      <c r="F7" s="135" t="n"/>
      <c r="G7" s="135" t="n"/>
      <c r="H7" s="135" t="n"/>
      <c r="I7" s="135" t="n"/>
      <c r="J7" s="135" t="n"/>
      <c r="K7" s="135" t="n"/>
      <c r="L7" s="135" t="n"/>
      <c r="M7" s="135" t="n"/>
      <c r="N7" s="135" t="n"/>
      <c r="O7" s="135" t="n"/>
      <c r="P7" s="135" t="n"/>
      <c r="Q7" s="135" t="n"/>
      <c r="R7" s="135" t="n"/>
      <c r="S7" s="135" t="n"/>
      <c r="T7" s="3" t="n"/>
      <c r="U7" s="3" t="n"/>
      <c r="V7" s="3" t="n"/>
    </row>
    <row r="8" ht="30" customHeight="1">
      <c r="A8" s="3" t="inlineStr">
        <is>
          <t>GDP/capita elasticity</t>
        </is>
      </c>
      <c r="B8" s="3" t="inlineStr">
        <is>
          <t>dimensionless</t>
        </is>
      </c>
      <c r="C8" s="3" t="inlineStr">
        <is>
          <t>Scalar</t>
        </is>
      </c>
      <c r="D8" s="121">
        <f>IF(ISNUMBER('Model run'!D31),'Model run'!D31,"")</f>
        <v/>
      </c>
      <c r="E8" s="3" t="inlineStr">
        <is>
          <t>Provisional GDP proxy, pending an agricultural driver.</t>
        </is>
      </c>
      <c r="F8" s="122" t="n"/>
      <c r="G8" s="122" t="n"/>
      <c r="H8" s="122" t="n"/>
      <c r="I8" s="122" t="n"/>
      <c r="J8" s="122" t="n"/>
      <c r="K8" s="122" t="n"/>
      <c r="L8" s="122" t="n"/>
      <c r="M8" s="122" t="n"/>
      <c r="N8" s="122" t="n"/>
      <c r="O8" s="122" t="n"/>
      <c r="P8" s="122" t="n"/>
      <c r="Q8" s="122" t="n"/>
      <c r="R8" s="122" t="n"/>
      <c r="S8" s="122" t="n"/>
      <c r="T8" s="3" t="n"/>
      <c r="U8" s="3" t="n"/>
      <c r="V8" s="3" t="n"/>
    </row>
    <row r="9" ht="30" customHeight="1">
      <c r="A9" s="3" t="inlineStr">
        <is>
          <t>GDP per capita</t>
        </is>
      </c>
      <c r="B9" s="3" t="inlineStr">
        <is>
          <t>2015 ZAR/person</t>
        </is>
      </c>
      <c r="C9" s="3" t="inlineStr">
        <is>
          <t>Input series</t>
        </is>
      </c>
      <c r="D9" s="121" t="n"/>
      <c r="E9" s="3" t="inlineStr">
        <is>
          <t>Current driver used by the held engine.</t>
        </is>
      </c>
      <c r="F9" s="122">
        <f>IF(ISNUMBER('Model run'!F32),'Model run'!F32,"")</f>
        <v/>
      </c>
      <c r="G9" s="122">
        <f>IF(ISNUMBER('Model run'!G32),'Model run'!G32,"")</f>
        <v/>
      </c>
      <c r="H9" s="122">
        <f>IF(ISNUMBER('Model run'!H32),'Model run'!H32,"")</f>
        <v/>
      </c>
      <c r="I9" s="122">
        <f>IF(ISNUMBER('Model run'!I32),'Model run'!I32,"")</f>
        <v/>
      </c>
      <c r="J9" s="122">
        <f>IF(ISNUMBER('Model run'!J32),'Model run'!J32,"")</f>
        <v/>
      </c>
      <c r="K9" s="122">
        <f>IF(ISNUMBER('Model run'!K32),'Model run'!K32,"")</f>
        <v/>
      </c>
      <c r="L9" s="122">
        <f>IF(ISNUMBER('Model run'!L32),'Model run'!L32,"")</f>
        <v/>
      </c>
      <c r="M9" s="122">
        <f>IF(ISNUMBER('Model run'!M32),'Model run'!M32,"")</f>
        <v/>
      </c>
      <c r="N9" s="122">
        <f>IF(ISNUMBER('Model run'!N32),'Model run'!N32,"")</f>
        <v/>
      </c>
      <c r="O9" s="122">
        <f>IF(ISNUMBER('Model run'!O32),'Model run'!O32,"")</f>
        <v/>
      </c>
      <c r="P9" s="122">
        <f>IF(ISNUMBER('Model run'!P32),'Model run'!P32,"")</f>
        <v/>
      </c>
      <c r="Q9" s="122">
        <f>IF(ISNUMBER('Model run'!Q32),'Model run'!Q32,"")</f>
        <v/>
      </c>
      <c r="R9" s="122">
        <f>IF(ISNUMBER('Model run'!R32),'Model run'!R32,"")</f>
        <v/>
      </c>
      <c r="S9" s="122">
        <f>IF(ISNUMBER('Model run'!S32),'Model run'!S32,"")</f>
        <v/>
      </c>
      <c r="T9" s="3" t="n"/>
      <c r="U9" s="3" t="n"/>
      <c r="V9" s="3" t="n"/>
    </row>
    <row r="10" ht="8" customHeight="1">
      <c r="A10" s="3" t="n"/>
      <c r="B10" s="3" t="n"/>
      <c r="C10" s="3" t="n"/>
      <c r="D10" s="3" t="n"/>
      <c r="E10" s="3" t="n"/>
      <c r="F10" s="6" t="n"/>
      <c r="G10" s="6" t="n"/>
      <c r="H10" s="6" t="n"/>
      <c r="I10" s="6" t="n"/>
      <c r="J10" s="6" t="n"/>
      <c r="K10" s="6" t="n"/>
      <c r="L10" s="6" t="n"/>
      <c r="M10" s="6" t="n"/>
      <c r="N10" s="6" t="n"/>
      <c r="O10" s="6" t="n"/>
      <c r="P10" s="6" t="n"/>
      <c r="Q10" s="6" t="n"/>
      <c r="R10" s="6" t="n"/>
      <c r="S10" s="6" t="n"/>
      <c r="T10" s="3" t="n"/>
      <c r="U10" s="3" t="n"/>
      <c r="V10" s="3" t="n"/>
    </row>
    <row r="11" ht="28" customHeight="1">
      <c r="A11" s="12" t="inlineStr">
        <is>
          <t>Current engine outputs</t>
        </is>
      </c>
      <c r="B11" s="11" t="n"/>
      <c r="C11" s="11" t="n"/>
      <c r="D11" s="11" t="n"/>
      <c r="E11" s="11" t="n"/>
      <c r="F11" s="25" t="n"/>
      <c r="G11" s="25" t="n"/>
      <c r="H11" s="25" t="n"/>
      <c r="I11" s="25" t="n"/>
      <c r="J11" s="25" t="n"/>
      <c r="K11" s="25" t="n"/>
      <c r="L11" s="25" t="n"/>
      <c r="M11" s="25" t="n"/>
      <c r="N11" s="25" t="n"/>
      <c r="O11" s="25" t="n"/>
      <c r="P11" s="25" t="n"/>
      <c r="Q11" s="25" t="n"/>
      <c r="R11" s="25" t="n"/>
      <c r="S11" s="25" t="n"/>
      <c r="T11" s="3" t="n"/>
      <c r="U11" s="3" t="n"/>
      <c r="V11" s="3" t="n"/>
    </row>
    <row r="12" ht="30" customHeight="1">
      <c r="A12" s="16" t="inlineStr">
        <is>
          <t>Agricultural diesel demand</t>
        </is>
      </c>
      <c r="B12" s="16" t="inlineStr">
        <is>
          <t>L/year</t>
        </is>
      </c>
      <c r="C12" s="16" t="inlineStr">
        <is>
          <t>Engine output</t>
        </is>
      </c>
      <c r="D12" s="126" t="n"/>
      <c r="E12" s="16" t="inlineStr">
        <is>
          <t>Engine: baseline × (GDP/capita / base-year GDP/capita)^elasticity.</t>
        </is>
      </c>
      <c r="F12" s="127">
        <f>IF(ISNUMBER('Model run'!F33),'Model run'!F33,"")</f>
        <v/>
      </c>
      <c r="G12" s="127">
        <f>IF(ISNUMBER('Model run'!G33),'Model run'!G33,"")</f>
        <v/>
      </c>
      <c r="H12" s="127">
        <f>IF(ISNUMBER('Model run'!H33),'Model run'!H33,"")</f>
        <v/>
      </c>
      <c r="I12" s="127">
        <f>IF(ISNUMBER('Model run'!I33),'Model run'!I33,"")</f>
        <v/>
      </c>
      <c r="J12" s="127">
        <f>IF(ISNUMBER('Model run'!J33),'Model run'!J33,"")</f>
        <v/>
      </c>
      <c r="K12" s="127">
        <f>IF(ISNUMBER('Model run'!K33),'Model run'!K33,"")</f>
        <v/>
      </c>
      <c r="L12" s="127">
        <f>IF(ISNUMBER('Model run'!L33),'Model run'!L33,"")</f>
        <v/>
      </c>
      <c r="M12" s="127">
        <f>IF(ISNUMBER('Model run'!M33),'Model run'!M33,"")</f>
        <v/>
      </c>
      <c r="N12" s="127">
        <f>IF(ISNUMBER('Model run'!N33),'Model run'!N33,"")</f>
        <v/>
      </c>
      <c r="O12" s="127">
        <f>IF(ISNUMBER('Model run'!O33),'Model run'!O33,"")</f>
        <v/>
      </c>
      <c r="P12" s="127">
        <f>IF(ISNUMBER('Model run'!P33),'Model run'!P33,"")</f>
        <v/>
      </c>
      <c r="Q12" s="127">
        <f>IF(ISNUMBER('Model run'!Q33),'Model run'!Q33,"")</f>
        <v/>
      </c>
      <c r="R12" s="127">
        <f>IF(ISNUMBER('Model run'!R33),'Model run'!R33,"")</f>
        <v/>
      </c>
      <c r="S12" s="127">
        <f>IF(ISNUMBER('Model run'!S33),'Model run'!S33,"")</f>
        <v/>
      </c>
      <c r="T12" s="3" t="n"/>
      <c r="U12" s="3" t="n"/>
      <c r="V12" s="3" t="n"/>
    </row>
    <row r="13" ht="30" customHeight="1">
      <c r="A13" s="16" t="inlineStr">
        <is>
          <t>Agricultural diesel demand</t>
        </is>
      </c>
      <c r="B13" s="16" t="inlineStr">
        <is>
          <t>million L/year</t>
        </is>
      </c>
      <c r="C13" s="16" t="inlineStr">
        <is>
          <t>Reporting formula</t>
        </is>
      </c>
      <c r="D13" s="116" t="n"/>
      <c r="E13" s="16" t="inlineStr">
        <is>
          <t>Unit conversion. Current provisional series, not the proposed activity method.</t>
        </is>
      </c>
      <c r="F13" s="117">
        <f>F12/1000000</f>
        <v/>
      </c>
      <c r="G13" s="117">
        <f>G12/1000000</f>
        <v/>
      </c>
      <c r="H13" s="117">
        <f>H12/1000000</f>
        <v/>
      </c>
      <c r="I13" s="117">
        <f>I12/1000000</f>
        <v/>
      </c>
      <c r="J13" s="117">
        <f>J12/1000000</f>
        <v/>
      </c>
      <c r="K13" s="117">
        <f>K12/1000000</f>
        <v/>
      </c>
      <c r="L13" s="117">
        <f>L12/1000000</f>
        <v/>
      </c>
      <c r="M13" s="117">
        <f>M12/1000000</f>
        <v/>
      </c>
      <c r="N13" s="117">
        <f>N12/1000000</f>
        <v/>
      </c>
      <c r="O13" s="117">
        <f>O12/1000000</f>
        <v/>
      </c>
      <c r="P13" s="117">
        <f>P12/1000000</f>
        <v/>
      </c>
      <c r="Q13" s="117">
        <f>Q12/1000000</f>
        <v/>
      </c>
      <c r="R13" s="117">
        <f>R12/1000000</f>
        <v/>
      </c>
      <c r="S13" s="117">
        <f>S12/1000000</f>
        <v/>
      </c>
      <c r="T13" s="3" t="n"/>
      <c r="U13" s="3" t="n"/>
      <c r="V13" s="3" t="n"/>
    </row>
    <row r="14" ht="8" customHeight="1">
      <c r="A14" s="3" t="n"/>
      <c r="B14" s="3" t="n"/>
      <c r="C14" s="3" t="n"/>
      <c r="D14" s="3" t="n"/>
      <c r="E14" s="3" t="n"/>
      <c r="F14" s="6" t="n"/>
      <c r="G14" s="6" t="n"/>
      <c r="H14" s="6" t="n"/>
      <c r="I14" s="6" t="n"/>
      <c r="J14" s="6" t="n"/>
      <c r="K14" s="6" t="n"/>
      <c r="L14" s="6" t="n"/>
      <c r="M14" s="6" t="n"/>
      <c r="N14" s="6" t="n"/>
      <c r="O14" s="6" t="n"/>
      <c r="P14" s="6" t="n"/>
      <c r="Q14" s="6" t="n"/>
      <c r="R14" s="6" t="n"/>
      <c r="S14" s="6" t="n"/>
      <c r="T14" s="3" t="n"/>
      <c r="U14" s="3" t="n"/>
      <c r="V14" s="3" t="n"/>
    </row>
    <row r="15" ht="28" customHeight="1">
      <c r="A15" s="12" t="inlineStr">
        <is>
          <t>Proposed sector-activity method</t>
        </is>
      </c>
      <c r="B15" s="11" t="n"/>
      <c r="C15" s="11" t="n"/>
      <c r="D15" s="11" t="n"/>
      <c r="E15" s="11" t="n"/>
      <c r="F15" s="25" t="n"/>
      <c r="G15" s="25" t="n"/>
      <c r="H15" s="25" t="n"/>
      <c r="I15" s="25" t="n"/>
      <c r="J15" s="25" t="n"/>
      <c r="K15" s="25" t="n"/>
      <c r="L15" s="25" t="n"/>
      <c r="M15" s="25" t="n"/>
      <c r="N15" s="25" t="n"/>
      <c r="O15" s="25" t="n"/>
      <c r="P15" s="25" t="n"/>
      <c r="Q15" s="25" t="n"/>
      <c r="R15" s="25" t="n"/>
      <c r="S15" s="25" t="n"/>
      <c r="T15" s="3" t="n"/>
      <c r="U15" s="3" t="n"/>
      <c r="V15" s="3" t="n"/>
    </row>
    <row r="16" ht="30" customHeight="1">
      <c r="A16" s="3" t="inlineStr">
        <is>
          <t>Reviewed baseline demand</t>
        </is>
      </c>
      <c r="B16" s="3" t="inlineStr">
        <is>
          <t>million L at base year</t>
        </is>
      </c>
      <c r="C16" s="3" t="inlineStr">
        <is>
          <t>Workshop input</t>
        </is>
      </c>
      <c r="D16" s="118" t="n"/>
      <c r="E16" s="10" t="inlineStr">
        <is>
          <t>A 2021 source anchor is available in row 30, but has not been… [N102]</t>
        </is>
      </c>
      <c r="F16" s="119" t="n"/>
      <c r="G16" s="119" t="n"/>
      <c r="H16" s="119" t="n"/>
      <c r="I16" s="119" t="n"/>
      <c r="J16" s="119" t="n"/>
      <c r="K16" s="119" t="n"/>
      <c r="L16" s="119" t="n"/>
      <c r="M16" s="119" t="n"/>
      <c r="N16" s="119" t="n"/>
      <c r="O16" s="119" t="n"/>
      <c r="P16" s="119" t="n"/>
      <c r="Q16" s="119" t="n"/>
      <c r="R16" s="119" t="n"/>
      <c r="S16" s="119" t="n"/>
      <c r="T16" s="3" t="n"/>
      <c r="U16" s="3" t="n"/>
      <c r="V16" s="3" t="n"/>
    </row>
    <row r="17" ht="30" customHeight="1">
      <c r="A17" s="3" t="inlineStr">
        <is>
          <t>Agricultural activity index</t>
        </is>
      </c>
      <c r="B17" s="3" t="inlineStr">
        <is>
          <t>base year = 100</t>
        </is>
      </c>
      <c r="C17" s="3" t="inlineStr">
        <is>
          <t>Workshop input</t>
        </is>
      </c>
      <c r="D17" s="118" t="n"/>
      <c r="E17" s="10" t="inlineStr">
        <is>
          <t>Real agricultural GVA is available in row 29. Select/rebase an… [N103]</t>
        </is>
      </c>
      <c r="F17" s="119" t="n"/>
      <c r="G17" s="119" t="n"/>
      <c r="H17" s="119" t="n"/>
      <c r="I17" s="119" t="n"/>
      <c r="J17" s="119" t="n"/>
      <c r="K17" s="119" t="n"/>
      <c r="L17" s="119" t="n"/>
      <c r="M17" s="119" t="n"/>
      <c r="N17" s="119" t="n"/>
      <c r="O17" s="119" t="n"/>
      <c r="P17" s="119" t="n"/>
      <c r="Q17" s="119" t="n"/>
      <c r="R17" s="119" t="n"/>
      <c r="S17" s="119" t="n"/>
      <c r="T17" s="3" t="n"/>
      <c r="U17" s="3" t="n"/>
      <c r="V17" s="3" t="n"/>
    </row>
    <row r="18" ht="30" customHeight="1">
      <c r="A18" s="3" t="inlineStr">
        <is>
          <t>Relative fuel intensity</t>
        </is>
      </c>
      <c r="B18" s="3" t="inlineStr">
        <is>
          <t>base year = 1</t>
        </is>
      </c>
      <c r="C18" s="3" t="inlineStr">
        <is>
          <t>Workshop input</t>
        </is>
      </c>
      <c r="D18" s="118" t="n"/>
      <c r="E18" s="10" t="inlineStr">
        <is>
          <t>Lower values mean less fuel per activity unit; mechanisation can… [N104]</t>
        </is>
      </c>
      <c r="F18" s="119" t="n"/>
      <c r="G18" s="119" t="n"/>
      <c r="H18" s="119" t="n"/>
      <c r="I18" s="119" t="n"/>
      <c r="J18" s="119" t="n"/>
      <c r="K18" s="119" t="n"/>
      <c r="L18" s="119" t="n"/>
      <c r="M18" s="119" t="n"/>
      <c r="N18" s="119" t="n"/>
      <c r="O18" s="119" t="n"/>
      <c r="P18" s="119" t="n"/>
      <c r="Q18" s="119" t="n"/>
      <c r="R18" s="119" t="n"/>
      <c r="S18" s="119" t="n"/>
      <c r="T18" s="3" t="n"/>
      <c r="U18" s="3" t="n"/>
      <c r="V18" s="3" t="n"/>
    </row>
    <row r="19" ht="30" customHeight="1">
      <c r="A19" s="3" t="inlineStr">
        <is>
          <t>Proposed agricultural demand</t>
        </is>
      </c>
      <c r="B19" s="3" t="inlineStr">
        <is>
          <t>million L/year</t>
        </is>
      </c>
      <c r="C19" s="3" t="inlineStr">
        <is>
          <t>Proposed output</t>
        </is>
      </c>
      <c r="D19" s="121" t="n"/>
      <c r="E19" s="3" t="inlineStr">
        <is>
          <t>Reviewed base demand × activity index / 100 × relative intensity.… [N105]</t>
        </is>
      </c>
      <c r="F19" s="122" t="n"/>
      <c r="G19" s="122" t="n"/>
      <c r="H19" s="122" t="n"/>
      <c r="I19" s="122" t="n"/>
      <c r="J19" s="122" t="n"/>
      <c r="K19" s="122" t="n"/>
      <c r="L19" s="122" t="n"/>
      <c r="M19" s="122" t="n"/>
      <c r="N19" s="122" t="n"/>
      <c r="O19" s="122" t="n"/>
      <c r="P19" s="122" t="n"/>
      <c r="Q19" s="122" t="n"/>
      <c r="R19" s="122" t="n"/>
      <c r="S19" s="122" t="n"/>
      <c r="T19" s="3" t="n"/>
      <c r="U19" s="3" t="n"/>
      <c r="V19" s="3" t="n"/>
    </row>
    <row r="20" ht="30" customHeight="1">
      <c r="A20" s="3" t="inlineStr">
        <is>
          <t>Provincial activity / baseline shares</t>
        </is>
      </c>
      <c r="B20" s="3" t="inlineStr">
        <is>
          <t>share or local index</t>
        </is>
      </c>
      <c r="C20" s="3" t="inlineStr">
        <is>
          <t>Workshop input</t>
        </is>
      </c>
      <c r="D20" s="118" t="n"/>
      <c r="E20" s="10" t="inlineStr">
        <is>
          <t>Use local agricultural evidence; confirm that national… [N106]</t>
        </is>
      </c>
      <c r="F20" s="119" t="n"/>
      <c r="G20" s="119" t="n"/>
      <c r="H20" s="119" t="n"/>
      <c r="I20" s="119" t="n"/>
      <c r="J20" s="119" t="n"/>
      <c r="K20" s="119" t="n"/>
      <c r="L20" s="119" t="n"/>
      <c r="M20" s="119" t="n"/>
      <c r="N20" s="119" t="n"/>
      <c r="O20" s="119" t="n"/>
      <c r="P20" s="119" t="n"/>
      <c r="Q20" s="119" t="n"/>
      <c r="R20" s="119" t="n"/>
      <c r="S20" s="119" t="n"/>
      <c r="T20" s="3" t="n"/>
      <c r="U20" s="3" t="n"/>
      <c r="V20" s="3" t="n"/>
    </row>
    <row r="21" ht="30" customHeight="1">
      <c r="A21" s="3" t="inlineStr">
        <is>
          <t>Sector boundaries</t>
        </is>
      </c>
      <c r="B21" s="3" t="inlineStr">
        <is>
          <t>decision</t>
        </is>
      </c>
      <c r="C21" s="3" t="inlineStr">
        <is>
          <t>Workshop input</t>
        </is>
      </c>
      <c r="D21" s="118" t="n"/>
      <c r="E21" s="10" t="inlineStr">
        <is>
          <t>Resolve irrigation, off-road machinery, road vehicles and backup… [N107]</t>
        </is>
      </c>
      <c r="F21" s="119" t="n"/>
      <c r="G21" s="119" t="n"/>
      <c r="H21" s="119" t="n"/>
      <c r="I21" s="119" t="n"/>
      <c r="J21" s="119" t="n"/>
      <c r="K21" s="119" t="n"/>
      <c r="L21" s="119" t="n"/>
      <c r="M21" s="119" t="n"/>
      <c r="N21" s="119" t="n"/>
      <c r="O21" s="119" t="n"/>
      <c r="P21" s="119" t="n"/>
      <c r="Q21" s="119" t="n"/>
      <c r="R21" s="119" t="n"/>
      <c r="S21" s="119" t="n"/>
      <c r="T21" s="3" t="n"/>
      <c r="U21" s="3" t="n"/>
      <c r="V21" s="3" t="n"/>
    </row>
    <row r="22" ht="8" customHeight="1">
      <c r="A22" s="3" t="n"/>
      <c r="B22" s="3" t="n"/>
      <c r="C22" s="3" t="n"/>
      <c r="D22" s="3" t="n"/>
      <c r="E22" s="3" t="n"/>
      <c r="F22" s="6" t="n"/>
      <c r="G22" s="6" t="n"/>
      <c r="H22" s="6" t="n"/>
      <c r="I22" s="6" t="n"/>
      <c r="J22" s="6" t="n"/>
      <c r="K22" s="6" t="n"/>
      <c r="L22" s="6" t="n"/>
      <c r="M22" s="6" t="n"/>
      <c r="N22" s="6" t="n"/>
      <c r="O22" s="6" t="n"/>
      <c r="P22" s="6" t="n"/>
      <c r="Q22" s="6" t="n"/>
      <c r="R22" s="6" t="n"/>
      <c r="S22" s="6" t="n"/>
      <c r="T22" s="3" t="n"/>
      <c r="U22" s="3" t="n"/>
      <c r="V22" s="3" t="n"/>
    </row>
    <row r="23" ht="30" customHeight="1">
      <c r="A23" s="3" t="inlineStr">
        <is>
          <t>Industry / mining extension</t>
        </is>
      </c>
      <c r="B23" s="3" t="inlineStr">
        <is>
          <t>method</t>
        </is>
      </c>
      <c r="C23" s="3" t="inlineStr">
        <is>
          <t>Proposal</t>
        </is>
      </c>
      <c r="D23" s="121" t="n"/>
      <c r="E23" s="3" t="inlineStr">
        <is>
          <t>Apply the same structure separately to mining, manufacturing and… [N108]</t>
        </is>
      </c>
      <c r="F23" s="122" t="n"/>
      <c r="G23" s="122" t="n"/>
      <c r="H23" s="122" t="n"/>
      <c r="I23" s="122" t="n"/>
      <c r="J23" s="122" t="n"/>
      <c r="K23" s="122" t="n"/>
      <c r="L23" s="122" t="n"/>
      <c r="M23" s="122" t="n"/>
      <c r="N23" s="122" t="n"/>
      <c r="O23" s="122" t="n"/>
      <c r="P23" s="122" t="n"/>
      <c r="Q23" s="122" t="n"/>
      <c r="R23" s="122" t="n"/>
      <c r="S23" s="122" t="n"/>
      <c r="T23" s="3" t="n"/>
      <c r="U23" s="3" t="n"/>
      <c r="V23" s="3" t="n"/>
    </row>
    <row r="24" ht="8" customHeight="1">
      <c r="A24" s="3" t="n"/>
      <c r="B24" s="3" t="n"/>
      <c r="C24" s="3" t="n"/>
      <c r="D24" s="3" t="n"/>
      <c r="E24" s="3" t="n"/>
      <c r="F24" s="6" t="n"/>
      <c r="G24" s="6" t="n"/>
      <c r="H24" s="6" t="n"/>
      <c r="I24" s="6" t="n"/>
      <c r="J24" s="6" t="n"/>
      <c r="K24" s="6" t="n"/>
      <c r="L24" s="6" t="n"/>
      <c r="M24" s="6" t="n"/>
      <c r="N24" s="6" t="n"/>
      <c r="O24" s="6" t="n"/>
      <c r="P24" s="6" t="n"/>
      <c r="Q24" s="6" t="n"/>
      <c r="R24" s="6" t="n"/>
      <c r="S24" s="6" t="n"/>
      <c r="T24" s="3" t="n"/>
      <c r="U24" s="3" t="n"/>
      <c r="V24" s="3" t="n"/>
    </row>
    <row r="25" ht="30" customHeight="1">
      <c r="A25" s="3" t="inlineStr">
        <is>
          <t>Source</t>
        </is>
      </c>
      <c r="B25" s="3" t="inlineStr">
        <is>
          <t>URL</t>
        </is>
      </c>
      <c r="C25" s="3" t="inlineStr">
        <is>
          <t>Source</t>
        </is>
      </c>
      <c r="D25" s="121" t="n"/>
      <c r="E25" s="3" t="inlineStr">
        <is>
          <t>https://github.com/Africa-International-Advisors/liquid_fuels_mode… [N109]</t>
        </is>
      </c>
      <c r="F25" s="122" t="n"/>
      <c r="G25" s="122" t="n"/>
      <c r="H25" s="122" t="n"/>
      <c r="I25" s="122" t="n"/>
      <c r="J25" s="122" t="n"/>
      <c r="K25" s="122" t="n"/>
      <c r="L25" s="122" t="n"/>
      <c r="M25" s="122" t="n"/>
      <c r="N25" s="122" t="n"/>
      <c r="O25" s="122" t="n"/>
      <c r="P25" s="122" t="n"/>
      <c r="Q25" s="122" t="n"/>
      <c r="R25" s="122" t="n"/>
      <c r="S25" s="122" t="n"/>
      <c r="T25" s="3" t="n"/>
      <c r="U25" s="3" t="n"/>
      <c r="V25" s="3" t="n"/>
    </row>
    <row r="26" ht="30" customHeight="1">
      <c r="A26" s="3" t="inlineStr">
        <is>
          <t>Calculation source</t>
        </is>
      </c>
      <c r="B26" s="3" t="inlineStr">
        <is>
          <t>URL</t>
        </is>
      </c>
      <c r="C26" s="3" t="inlineStr">
        <is>
          <t>Source</t>
        </is>
      </c>
      <c r="D26" s="121" t="n"/>
      <c r="E26" s="3" t="inlineStr">
        <is>
          <t>https://github.com/Africa-International-Advisors/liquid_fuels_mode… [N110]</t>
        </is>
      </c>
      <c r="F26" s="122" t="n"/>
      <c r="G26" s="122" t="n"/>
      <c r="H26" s="122" t="n"/>
      <c r="I26" s="122" t="n"/>
      <c r="J26" s="122" t="n"/>
      <c r="K26" s="122" t="n"/>
      <c r="L26" s="122" t="n"/>
      <c r="M26" s="122" t="n"/>
      <c r="N26" s="122" t="n"/>
      <c r="O26" s="122" t="n"/>
      <c r="P26" s="122" t="n"/>
      <c r="Q26" s="122" t="n"/>
      <c r="R26" s="122" t="n"/>
      <c r="S26" s="122" t="n"/>
      <c r="T26" s="3" t="n"/>
      <c r="U26" s="3" t="n"/>
      <c r="V26" s="3" t="n"/>
    </row>
    <row r="27" ht="8" customHeight="1">
      <c r="A27" s="3" t="n"/>
      <c r="B27" s="3" t="n"/>
      <c r="C27" s="3" t="n"/>
      <c r="D27" s="3" t="n"/>
      <c r="E27" s="3" t="n"/>
      <c r="F27" s="6" t="n"/>
      <c r="G27" s="6" t="n"/>
      <c r="H27" s="6" t="n"/>
      <c r="I27" s="6" t="n"/>
      <c r="J27" s="6" t="n"/>
      <c r="K27" s="6" t="n"/>
      <c r="L27" s="6" t="n"/>
      <c r="M27" s="6" t="n"/>
      <c r="N27" s="6" t="n"/>
      <c r="O27" s="6" t="n"/>
      <c r="P27" s="6" t="n"/>
      <c r="Q27" s="6" t="n"/>
      <c r="R27" s="6" t="n"/>
      <c r="S27" s="6" t="n"/>
      <c r="T27" s="3" t="n"/>
      <c r="U27" s="3" t="n"/>
      <c r="V27" s="3" t="n"/>
    </row>
    <row r="28" ht="28" customHeight="1">
      <c r="A28" s="12" t="inlineStr">
        <is>
          <t>Available agricultural evidence</t>
        </is>
      </c>
      <c r="B28" s="11" t="n"/>
      <c r="C28" s="11" t="n"/>
      <c r="D28" s="11" t="n"/>
      <c r="E28" s="11" t="n"/>
      <c r="F28" s="25" t="n"/>
      <c r="G28" s="25" t="n"/>
      <c r="H28" s="25" t="n"/>
      <c r="I28" s="25" t="n"/>
      <c r="J28" s="25" t="n"/>
      <c r="K28" s="25" t="n"/>
      <c r="L28" s="25" t="n"/>
      <c r="M28" s="25" t="n"/>
      <c r="N28" s="25" t="n"/>
      <c r="O28" s="25" t="n"/>
      <c r="P28" s="25" t="n"/>
      <c r="Q28" s="25" t="n"/>
      <c r="R28" s="25" t="n"/>
      <c r="S28" s="25" t="n"/>
      <c r="T28" s="11" t="n"/>
      <c r="U28" s="11" t="n"/>
      <c r="V28" s="11" t="n"/>
    </row>
    <row r="29" ht="30" customHeight="1">
      <c r="A29" s="65" t="inlineStr">
        <is>
          <t>Agriculture/forestry/fishing real GVA</t>
        </is>
      </c>
      <c r="B29" s="65" t="inlineStr">
        <is>
          <t>bn 2015 ZAR</t>
        </is>
      </c>
      <c r="C29" s="65" t="inlineStr">
        <is>
          <t>Staged observation</t>
        </is>
      </c>
      <c r="D29" s="114">
        <f>IF(ISNUMBER('Evidence'!D26),'Evidence'!D26,"")</f>
        <v/>
      </c>
      <c r="E29" s="65" t="inlineStr">
        <is>
          <t>Stats SA annual actual in staged reporting copy. Sector value… [N111]</t>
        </is>
      </c>
      <c r="F29" s="115">
        <f>IF(ISNUMBER('Evidence'!F26),'Evidence'!F26,"")</f>
        <v/>
      </c>
      <c r="G29" s="115">
        <f>IF(ISNUMBER('Evidence'!G26),'Evidence'!G26,"")</f>
        <v/>
      </c>
      <c r="H29" s="115">
        <f>IF(ISNUMBER('Evidence'!H26),'Evidence'!H26,"")</f>
        <v/>
      </c>
      <c r="I29" s="115">
        <f>IF(ISNUMBER('Evidence'!I26),'Evidence'!I26,"")</f>
        <v/>
      </c>
      <c r="J29" s="115">
        <f>IF(ISNUMBER('Evidence'!J26),'Evidence'!J26,"")</f>
        <v/>
      </c>
      <c r="K29" s="115">
        <f>IF(ISNUMBER('Evidence'!K26),'Evidence'!K26,"")</f>
        <v/>
      </c>
      <c r="L29" s="115">
        <f>IF(ISNUMBER('Evidence'!L26),'Evidence'!L26,"")</f>
        <v/>
      </c>
      <c r="M29" s="115">
        <f>IF(ISNUMBER('Evidence'!M26),'Evidence'!M26,"")</f>
        <v/>
      </c>
      <c r="N29" s="115">
        <f>IF(ISNUMBER('Evidence'!N26),'Evidence'!N26,"")</f>
        <v/>
      </c>
      <c r="O29" s="115">
        <f>IF(ISNUMBER('Evidence'!O26),'Evidence'!O26,"")</f>
        <v/>
      </c>
      <c r="P29" s="115">
        <f>IF(ISNUMBER('Evidence'!P26),'Evidence'!P26,"")</f>
        <v/>
      </c>
      <c r="Q29" s="115">
        <f>IF(ISNUMBER('Evidence'!Q26),'Evidence'!Q26,"")</f>
        <v/>
      </c>
      <c r="R29" s="115">
        <f>IF(ISNUMBER('Evidence'!R26),'Evidence'!R26,"")</f>
        <v/>
      </c>
      <c r="S29" s="115">
        <f>IF(ISNUMBER('Evidence'!S26),'Evidence'!S26,"")</f>
        <v/>
      </c>
      <c r="T29" s="3" t="inlineStr">
        <is>
          <t>Unreviewed source extract; annual cells contain… [N112]</t>
        </is>
      </c>
      <c r="U29" s="3" t="inlineStr">
        <is>
          <t>Evidence row 26;… [N113]</t>
        </is>
      </c>
      <c r="V29" s="3" t="inlineStr">
        <is>
          <t>G08: choose crop/area/output proxy and rebase to… [N114]</t>
        </is>
      </c>
    </row>
    <row r="30" ht="30" customHeight="1">
      <c r="A30" s="65" t="inlineStr">
        <is>
          <t>2021 agriculture/forestry diesel</t>
        </is>
      </c>
      <c r="B30" s="65" t="inlineStr">
        <is>
          <t>million L/year</t>
        </is>
      </c>
      <c r="C30" s="65" t="inlineStr">
        <is>
          <t>Staged observation</t>
        </is>
      </c>
      <c r="D30" s="114">
        <f>IF(ISNUMBER('Evidence'!D39),'Evidence'!D39,"")</f>
        <v/>
      </c>
      <c r="E30" s="65" t="inlineStr">
        <is>
          <t>D is reported 2021 fuel use. No 2022–26 fuel observations inferred.</t>
        </is>
      </c>
      <c r="F30" s="115" t="n"/>
      <c r="G30" s="115" t="n"/>
      <c r="H30" s="115" t="n"/>
      <c r="I30" s="115" t="n"/>
      <c r="J30" s="115" t="n"/>
      <c r="K30" s="115" t="n"/>
      <c r="L30" s="115" t="n"/>
      <c r="M30" s="115" t="n"/>
      <c r="N30" s="115" t="n"/>
      <c r="O30" s="115" t="n"/>
      <c r="P30" s="115" t="n"/>
      <c r="Q30" s="115" t="n"/>
      <c r="R30" s="115" t="n"/>
      <c r="S30" s="115" t="n"/>
      <c r="T30" s="3" t="inlineStr">
        <is>
          <t>Older anchor; source extraction and scope need review.</t>
        </is>
      </c>
      <c r="U30" s="3" t="inlineStr">
        <is>
          <t>https://github.com/Africa-International-Advisors/liq… [N115]</t>
        </is>
      </c>
      <c r="V30" s="3" t="inlineStr">
        <is>
          <t>G08: reconcile forestry/fishing and… [N116]</t>
        </is>
      </c>
    </row>
    <row r="31" ht="8" customHeight="1">
      <c r="A31" s="3" t="n"/>
      <c r="B31" s="3" t="n"/>
      <c r="C31" s="3" t="n"/>
      <c r="D31" s="3" t="n"/>
      <c r="E31" s="3" t="n"/>
      <c r="F31" s="6" t="n"/>
      <c r="G31" s="6" t="n"/>
      <c r="H31" s="6" t="n"/>
      <c r="I31" s="6" t="n"/>
      <c r="J31" s="6" t="n"/>
      <c r="K31" s="6" t="n"/>
      <c r="L31" s="6" t="n"/>
      <c r="M31" s="6" t="n"/>
      <c r="N31" s="6" t="n"/>
      <c r="O31" s="6" t="n"/>
      <c r="P31" s="6" t="n"/>
      <c r="Q31" s="6" t="n"/>
      <c r="R31" s="6" t="n"/>
      <c r="S31" s="6" t="n"/>
      <c r="T31" s="3" t="n"/>
      <c r="U31" s="3" t="n"/>
      <c r="V31" s="3" t="n"/>
    </row>
    <row r="32" ht="8" customHeight="1">
      <c r="A32" s="3" t="n"/>
      <c r="B32" s="3" t="n"/>
      <c r="C32" s="3" t="n"/>
      <c r="D32" s="3" t="n"/>
      <c r="E32" s="3" t="n"/>
      <c r="F32" s="6" t="n"/>
      <c r="G32" s="6" t="n"/>
      <c r="H32" s="6" t="n"/>
      <c r="I32" s="6" t="n"/>
      <c r="J32" s="6" t="n"/>
      <c r="K32" s="6" t="n"/>
      <c r="L32" s="6" t="n"/>
      <c r="M32" s="6" t="n"/>
      <c r="N32" s="6" t="n"/>
      <c r="O32" s="6" t="n"/>
      <c r="P32" s="6" t="n"/>
      <c r="Q32" s="6" t="n"/>
      <c r="R32" s="6" t="n"/>
      <c r="S32" s="6" t="n"/>
      <c r="T32" s="3" t="n"/>
      <c r="U32" s="3" t="n"/>
      <c r="V32" s="3" t="n"/>
    </row>
    <row r="33" ht="8" customHeight="1">
      <c r="A33" s="3" t="n"/>
      <c r="B33" s="3" t="n"/>
      <c r="C33" s="3" t="n"/>
      <c r="D33" s="3" t="n"/>
      <c r="E33" s="3" t="n"/>
      <c r="F33" s="6" t="n"/>
      <c r="G33" s="6" t="n"/>
      <c r="H33" s="6" t="n"/>
      <c r="I33" s="6" t="n"/>
      <c r="J33" s="6" t="n"/>
      <c r="K33" s="6" t="n"/>
      <c r="L33" s="6" t="n"/>
      <c r="M33" s="6" t="n"/>
      <c r="N33" s="6" t="n"/>
      <c r="O33" s="6" t="n"/>
      <c r="P33" s="6" t="n"/>
      <c r="Q33" s="6" t="n"/>
      <c r="R33" s="6" t="n"/>
      <c r="S33" s="6" t="n"/>
      <c r="T33" s="3" t="n"/>
      <c r="U33" s="3" t="n"/>
      <c r="V33" s="3" t="n"/>
    </row>
    <row r="34" ht="8" customHeight="1">
      <c r="A34" s="3" t="n"/>
      <c r="B34" s="3" t="n"/>
      <c r="C34" s="3" t="n"/>
      <c r="D34" s="3" t="n"/>
      <c r="E34" s="3" t="n"/>
      <c r="F34" s="6" t="n"/>
      <c r="G34" s="6" t="n"/>
      <c r="H34" s="6" t="n"/>
      <c r="I34" s="6" t="n"/>
      <c r="J34" s="6" t="n"/>
      <c r="K34" s="6" t="n"/>
      <c r="L34" s="6" t="n"/>
      <c r="M34" s="6" t="n"/>
      <c r="N34" s="6" t="n"/>
      <c r="O34" s="6" t="n"/>
      <c r="P34" s="6" t="n"/>
      <c r="Q34" s="6" t="n"/>
      <c r="R34" s="6" t="n"/>
      <c r="S34" s="6" t="n"/>
      <c r="T34" s="3" t="n"/>
      <c r="U34" s="3" t="n"/>
      <c r="V34" s="3" t="n"/>
    </row>
    <row r="35" ht="8" customHeight="1">
      <c r="A35" s="3" t="n"/>
      <c r="B35" s="3" t="n"/>
      <c r="C35" s="3" t="n"/>
      <c r="D35" s="3" t="n"/>
      <c r="E35" s="3" t="n"/>
      <c r="F35" s="6" t="n"/>
      <c r="G35" s="6" t="n"/>
      <c r="H35" s="6" t="n"/>
      <c r="I35" s="6" t="n"/>
      <c r="J35" s="6" t="n"/>
      <c r="K35" s="6" t="n"/>
      <c r="L35" s="6" t="n"/>
      <c r="M35" s="6" t="n"/>
      <c r="N35" s="6" t="n"/>
      <c r="O35" s="6" t="n"/>
      <c r="P35" s="6" t="n"/>
      <c r="Q35" s="6" t="n"/>
      <c r="R35" s="6" t="n"/>
      <c r="S35" s="6" t="n"/>
      <c r="T35" s="3" t="n"/>
      <c r="U35" s="3" t="n"/>
      <c r="V35" s="3" t="n"/>
    </row>
    <row r="36" ht="8" customHeight="1">
      <c r="A36" s="3" t="n"/>
      <c r="B36" s="3" t="n"/>
      <c r="C36" s="3" t="n"/>
      <c r="D36" s="3" t="n"/>
      <c r="E36" s="3" t="n"/>
      <c r="F36" s="6" t="n"/>
      <c r="G36" s="6" t="n"/>
      <c r="H36" s="6" t="n"/>
      <c r="I36" s="6" t="n"/>
      <c r="J36" s="6" t="n"/>
      <c r="K36" s="6" t="n"/>
      <c r="L36" s="6" t="n"/>
      <c r="M36" s="6" t="n"/>
      <c r="N36" s="6" t="n"/>
      <c r="O36" s="6" t="n"/>
      <c r="P36" s="6" t="n"/>
      <c r="Q36" s="6" t="n"/>
      <c r="R36" s="6" t="n"/>
      <c r="S36" s="6" t="n"/>
      <c r="T36" s="3" t="n"/>
      <c r="U36" s="3" t="n"/>
      <c r="V36" s="3" t="n"/>
    </row>
    <row r="37" ht="8" customHeight="1">
      <c r="A37" s="3" t="n"/>
      <c r="B37" s="3" t="n"/>
      <c r="C37" s="3" t="n"/>
      <c r="D37" s="3" t="n"/>
      <c r="E37" s="3" t="n"/>
      <c r="F37" s="6" t="n"/>
      <c r="G37" s="6" t="n"/>
      <c r="H37" s="6" t="n"/>
      <c r="I37" s="6" t="n"/>
      <c r="J37" s="6" t="n"/>
      <c r="K37" s="6" t="n"/>
      <c r="L37" s="6" t="n"/>
      <c r="M37" s="6" t="n"/>
      <c r="N37" s="6" t="n"/>
      <c r="O37" s="6" t="n"/>
      <c r="P37" s="6" t="n"/>
      <c r="Q37" s="6" t="n"/>
      <c r="R37" s="6" t="n"/>
      <c r="S37" s="6" t="n"/>
      <c r="T37" s="3" t="n"/>
      <c r="U37" s="3" t="n"/>
      <c r="V37" s="3" t="n"/>
    </row>
    <row r="38" ht="8" customHeight="1">
      <c r="A38" s="3" t="n"/>
      <c r="B38" s="3" t="n"/>
      <c r="C38" s="3" t="n"/>
      <c r="D38" s="3" t="n"/>
      <c r="E38" s="3" t="n"/>
      <c r="F38" s="6" t="n"/>
      <c r="G38" s="6" t="n"/>
      <c r="H38" s="6" t="n"/>
      <c r="I38" s="6" t="n"/>
      <c r="J38" s="6" t="n"/>
      <c r="K38" s="6" t="n"/>
      <c r="L38" s="6" t="n"/>
      <c r="M38" s="6" t="n"/>
      <c r="N38" s="6" t="n"/>
      <c r="O38" s="6" t="n"/>
      <c r="P38" s="6" t="n"/>
      <c r="Q38" s="6" t="n"/>
      <c r="R38" s="6" t="n"/>
      <c r="S38" s="6" t="n"/>
      <c r="T38" s="3" t="n"/>
      <c r="U38" s="3" t="n"/>
      <c r="V38" s="3" t="n"/>
    </row>
    <row r="39" ht="8" customHeight="1">
      <c r="A39" s="3" t="n"/>
      <c r="B39" s="3" t="n"/>
      <c r="C39" s="3" t="n"/>
      <c r="D39" s="3" t="n"/>
      <c r="E39" s="3" t="n"/>
      <c r="F39" s="6" t="n"/>
      <c r="G39" s="6" t="n"/>
      <c r="H39" s="6" t="n"/>
      <c r="I39" s="6" t="n"/>
      <c r="J39" s="6" t="n"/>
      <c r="K39" s="6" t="n"/>
      <c r="L39" s="6" t="n"/>
      <c r="M39" s="6" t="n"/>
      <c r="N39" s="6" t="n"/>
      <c r="O39" s="6" t="n"/>
      <c r="P39" s="6" t="n"/>
      <c r="Q39" s="6" t="n"/>
      <c r="R39" s="6" t="n"/>
      <c r="S39" s="6" t="n"/>
      <c r="T39" s="3" t="n"/>
      <c r="U39" s="3" t="n"/>
      <c r="V39" s="3" t="n"/>
    </row>
    <row r="40" ht="8" customHeight="1">
      <c r="A40" s="3" t="n"/>
      <c r="B40" s="3" t="n"/>
      <c r="C40" s="3" t="n"/>
      <c r="D40" s="3" t="n"/>
      <c r="E40" s="3" t="n"/>
      <c r="F40" s="6" t="n"/>
      <c r="G40" s="6" t="n"/>
      <c r="H40" s="6" t="n"/>
      <c r="I40" s="6" t="n"/>
      <c r="J40" s="6" t="n"/>
      <c r="K40" s="6" t="n"/>
      <c r="L40" s="6" t="n"/>
      <c r="M40" s="6" t="n"/>
      <c r="N40" s="6" t="n"/>
      <c r="O40" s="6" t="n"/>
      <c r="P40" s="6" t="n"/>
      <c r="Q40" s="6" t="n"/>
      <c r="R40" s="6" t="n"/>
      <c r="S40" s="6" t="n"/>
      <c r="T40" s="3" t="n"/>
      <c r="U40" s="3" t="n"/>
      <c r="V40" s="3" t="n"/>
    </row>
    <row r="41" ht="8" customHeight="1">
      <c r="A41" s="3" t="n"/>
      <c r="B41" s="3" t="n"/>
      <c r="C41" s="3" t="n"/>
      <c r="D41" s="3" t="n"/>
      <c r="E41" s="3" t="n"/>
      <c r="F41" s="6" t="n"/>
      <c r="G41" s="6" t="n"/>
      <c r="H41" s="6" t="n"/>
      <c r="I41" s="6" t="n"/>
      <c r="J41" s="6" t="n"/>
      <c r="K41" s="6" t="n"/>
      <c r="L41" s="6" t="n"/>
      <c r="M41" s="6" t="n"/>
      <c r="N41" s="6" t="n"/>
      <c r="O41" s="6" t="n"/>
      <c r="P41" s="6" t="n"/>
      <c r="Q41" s="6" t="n"/>
      <c r="R41" s="6" t="n"/>
      <c r="S41" s="6" t="n"/>
      <c r="T41" s="3" t="n"/>
      <c r="U41" s="3" t="n"/>
      <c r="V41" s="3" t="n"/>
    </row>
    <row r="42" ht="8" customHeight="1">
      <c r="A42" s="3" t="n"/>
      <c r="B42" s="3" t="n"/>
      <c r="C42" s="3" t="n"/>
      <c r="D42" s="3" t="n"/>
      <c r="E42" s="3" t="n"/>
      <c r="F42" s="6" t="n"/>
      <c r="G42" s="6" t="n"/>
      <c r="H42" s="6" t="n"/>
      <c r="I42" s="6" t="n"/>
      <c r="J42" s="6" t="n"/>
      <c r="K42" s="6" t="n"/>
      <c r="L42" s="6" t="n"/>
      <c r="M42" s="6" t="n"/>
      <c r="N42" s="6" t="n"/>
      <c r="O42" s="6" t="n"/>
      <c r="P42" s="6" t="n"/>
      <c r="Q42" s="6" t="n"/>
      <c r="R42" s="6" t="n"/>
      <c r="S42" s="6" t="n"/>
      <c r="T42" s="3" t="n"/>
      <c r="U42" s="3" t="n"/>
      <c r="V42" s="3" t="n"/>
    </row>
    <row r="43" ht="8" customHeight="1">
      <c r="A43" s="3" t="n"/>
      <c r="B43" s="3" t="n"/>
      <c r="C43" s="3" t="n"/>
      <c r="D43" s="3" t="n"/>
      <c r="E43" s="3" t="n"/>
      <c r="F43" s="6" t="n"/>
      <c r="G43" s="6" t="n"/>
      <c r="H43" s="6" t="n"/>
      <c r="I43" s="6" t="n"/>
      <c r="J43" s="6" t="n"/>
      <c r="K43" s="6" t="n"/>
      <c r="L43" s="6" t="n"/>
      <c r="M43" s="6" t="n"/>
      <c r="N43" s="6" t="n"/>
      <c r="O43" s="6" t="n"/>
      <c r="P43" s="6" t="n"/>
      <c r="Q43" s="6" t="n"/>
      <c r="R43" s="6" t="n"/>
      <c r="S43" s="6" t="n"/>
      <c r="T43" s="3" t="n"/>
      <c r="U43" s="3" t="n"/>
      <c r="V43" s="3" t="n"/>
    </row>
    <row r="44" ht="8" customHeight="1">
      <c r="A44" s="102" t="n"/>
      <c r="B44" s="102" t="n"/>
      <c r="C44" s="102" t="n"/>
      <c r="D44" s="102" t="n"/>
      <c r="E44" s="102" t="n"/>
      <c r="F44" s="104" t="n"/>
      <c r="G44" s="104" t="n"/>
      <c r="H44" s="104" t="n"/>
      <c r="I44" s="104" t="n"/>
      <c r="J44" s="104" t="n"/>
      <c r="K44" s="104" t="n"/>
      <c r="L44" s="104" t="n"/>
      <c r="M44" s="104" t="n"/>
      <c r="N44" s="104" t="n"/>
      <c r="O44" s="104" t="n"/>
      <c r="P44" s="104" t="n"/>
      <c r="Q44" s="104" t="n"/>
      <c r="R44" s="104" t="n"/>
      <c r="S44" s="104" t="n"/>
      <c r="T44" s="3" t="n"/>
      <c r="U44" s="3" t="n"/>
      <c r="V44" s="3" t="n"/>
    </row>
    <row r="45" ht="8" customHeight="1">
      <c r="A45" s="102" t="n"/>
      <c r="B45" s="102" t="n"/>
      <c r="C45" s="102" t="n"/>
      <c r="D45" s="102" t="n"/>
      <c r="E45" s="102" t="n"/>
      <c r="F45" s="104" t="n"/>
      <c r="G45" s="104" t="n"/>
      <c r="H45" s="104" t="n"/>
      <c r="I45" s="104" t="n"/>
      <c r="J45" s="104" t="n"/>
      <c r="K45" s="104" t="n"/>
      <c r="L45" s="104" t="n"/>
      <c r="M45" s="104" t="n"/>
      <c r="N45" s="104" t="n"/>
      <c r="O45" s="104" t="n"/>
      <c r="P45" s="104" t="n"/>
      <c r="Q45" s="104" t="n"/>
      <c r="R45" s="104" t="n"/>
      <c r="S45" s="104" t="n"/>
      <c r="T45" s="3" t="n"/>
      <c r="U45" s="3" t="n"/>
      <c r="V45"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V48"/>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5" t="inlineStr">
        <is>
          <t>Manufacturing diesel demand</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6" t="inlineStr">
        <is>
          <t>Proposed separate sector block • Current engine still combines manufacturing, mining and construction.</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Separate manufacturing assumptions to agree</t>
        </is>
      </c>
      <c r="B5" s="11" t="n"/>
      <c r="C5" s="11" t="n"/>
      <c r="D5" s="11" t="n"/>
      <c r="E5" s="11" t="n"/>
      <c r="F5" s="25" t="n"/>
      <c r="G5" s="25" t="n"/>
      <c r="H5" s="25" t="n"/>
      <c r="I5" s="25" t="n"/>
      <c r="J5" s="25" t="n"/>
      <c r="K5" s="25" t="n"/>
      <c r="L5" s="25" t="n"/>
      <c r="M5" s="25" t="n"/>
      <c r="N5" s="25" t="n"/>
      <c r="O5" s="25" t="n"/>
      <c r="P5" s="25" t="n"/>
      <c r="Q5" s="25" t="n"/>
      <c r="R5" s="25" t="n"/>
      <c r="S5" s="25" t="n"/>
      <c r="T5" s="3" t="n"/>
      <c r="U5" s="3" t="n"/>
      <c r="V5" s="3" t="n"/>
    </row>
    <row r="6" ht="30" customHeight="1">
      <c r="A6" s="3" t="inlineStr">
        <is>
          <t>Reviewed manufacturing baseline</t>
        </is>
      </c>
      <c r="B6" s="3" t="inlineStr">
        <is>
          <t>million L/year</t>
        </is>
      </c>
      <c r="C6" s="3" t="inlineStr">
        <is>
          <t>Workshop input</t>
        </is>
      </c>
      <c r="D6" s="118" t="n"/>
      <c r="E6" s="10" t="inlineStr">
        <is>
          <t>2021 industry parent exists (row 34), but is not… [N117]</t>
        </is>
      </c>
      <c r="F6" s="119" t="n"/>
      <c r="G6" s="119" t="n"/>
      <c r="H6" s="119" t="n"/>
      <c r="I6" s="119" t="n"/>
      <c r="J6" s="119" t="n"/>
      <c r="K6" s="119" t="n"/>
      <c r="L6" s="119" t="n"/>
      <c r="M6" s="119" t="n"/>
      <c r="N6" s="119" t="n"/>
      <c r="O6" s="119" t="n"/>
      <c r="P6" s="119" t="n"/>
      <c r="Q6" s="119" t="n"/>
      <c r="R6" s="119" t="n"/>
      <c r="S6" s="119" t="n"/>
      <c r="T6" s="3" t="n"/>
      <c r="U6" s="3" t="n"/>
      <c r="V6" s="3" t="n"/>
    </row>
    <row r="7" ht="30" customHeight="1">
      <c r="A7" s="3" t="inlineStr">
        <is>
          <t>Baseline year</t>
        </is>
      </c>
      <c r="B7" s="3" t="inlineStr">
        <is>
          <t>year</t>
        </is>
      </c>
      <c r="C7" s="3" t="inlineStr">
        <is>
          <t>Workshop input</t>
        </is>
      </c>
      <c r="D7" s="136" t="n"/>
      <c r="E7" s="10" t="inlineStr">
        <is>
          <t>Dated observation; agree before indexing the activity series.</t>
        </is>
      </c>
      <c r="F7" s="137" t="n"/>
      <c r="G7" s="137" t="n"/>
      <c r="H7" s="137" t="n"/>
      <c r="I7" s="137" t="n"/>
      <c r="J7" s="137" t="n"/>
      <c r="K7" s="137" t="n"/>
      <c r="L7" s="137" t="n"/>
      <c r="M7" s="137" t="n"/>
      <c r="N7" s="137" t="n"/>
      <c r="O7" s="137" t="n"/>
      <c r="P7" s="137" t="n"/>
      <c r="Q7" s="137" t="n"/>
      <c r="R7" s="137" t="n"/>
      <c r="S7" s="137" t="n"/>
      <c r="T7" s="3" t="n"/>
      <c r="U7" s="3" t="n"/>
      <c r="V7" s="3" t="n"/>
    </row>
    <row r="8" ht="30" customHeight="1">
      <c r="A8" s="3" t="inlineStr">
        <is>
          <t>Manufacturing production index</t>
        </is>
      </c>
      <c r="B8" s="3" t="inlineStr">
        <is>
          <t>base year = 100</t>
        </is>
      </c>
      <c r="C8" s="3" t="inlineStr">
        <is>
          <t>Workshop input</t>
        </is>
      </c>
      <c r="D8" s="118" t="n"/>
      <c r="E8" s="10" t="inlineStr">
        <is>
          <t>Observed production indices now appear in row 32. Rebase to the… [N118]</t>
        </is>
      </c>
      <c r="F8" s="119" t="n"/>
      <c r="G8" s="119" t="n"/>
      <c r="H8" s="119" t="n"/>
      <c r="I8" s="119" t="n"/>
      <c r="J8" s="119" t="n"/>
      <c r="K8" s="119" t="n"/>
      <c r="L8" s="119" t="n"/>
      <c r="M8" s="119" t="n"/>
      <c r="N8" s="119" t="n"/>
      <c r="O8" s="119" t="n"/>
      <c r="P8" s="119" t="n"/>
      <c r="Q8" s="119" t="n"/>
      <c r="R8" s="119" t="n"/>
      <c r="S8" s="119" t="n"/>
      <c r="T8" s="3" t="n"/>
      <c r="U8" s="3" t="n"/>
      <c r="V8" s="3" t="n"/>
    </row>
    <row r="9" ht="30" customHeight="1">
      <c r="A9" s="3" t="inlineStr">
        <is>
          <t>Relative fuel intensity</t>
        </is>
      </c>
      <c r="B9" s="3" t="inlineStr">
        <is>
          <t>base year = 1</t>
        </is>
      </c>
      <c r="C9" s="3" t="inlineStr">
        <is>
          <t>Workshop input</t>
        </is>
      </c>
      <c r="D9" s="118" t="n"/>
      <c r="E9" s="10" t="inlineStr">
        <is>
          <t>Efficiency and process mix for continuing diesel uses. Exclude… [N119]</t>
        </is>
      </c>
      <c r="F9" s="119" t="n"/>
      <c r="G9" s="119" t="n"/>
      <c r="H9" s="119" t="n"/>
      <c r="I9" s="119" t="n"/>
      <c r="J9" s="119" t="n"/>
      <c r="K9" s="119" t="n"/>
      <c r="L9" s="119" t="n"/>
      <c r="M9" s="119" t="n"/>
      <c r="N9" s="119" t="n"/>
      <c r="O9" s="119" t="n"/>
      <c r="P9" s="119" t="n"/>
      <c r="Q9" s="119" t="n"/>
      <c r="R9" s="119" t="n"/>
      <c r="S9" s="119" t="n"/>
      <c r="T9" s="3" t="n"/>
      <c r="U9" s="3" t="n"/>
      <c r="V9" s="3" t="n"/>
    </row>
    <row r="10" ht="30" customHeight="1">
      <c r="A10" s="3" t="inlineStr">
        <is>
          <t>Electrification: remaining diesel fraction</t>
        </is>
      </c>
      <c r="B10" s="3" t="inlineStr">
        <is>
          <t>base year = 1</t>
        </is>
      </c>
      <c r="C10" s="3" t="inlineStr">
        <is>
          <t>Workshop input</t>
        </is>
      </c>
      <c r="D10" s="118" t="n"/>
      <c r="E10" s="10" t="inlineStr">
        <is>
          <t>After baseline, fraction of counterfactual diesel retained as… [N120]</t>
        </is>
      </c>
      <c r="F10" s="119" t="n"/>
      <c r="G10" s="119" t="n"/>
      <c r="H10" s="119" t="n"/>
      <c r="I10" s="119" t="n"/>
      <c r="J10" s="119" t="n"/>
      <c r="K10" s="119" t="n"/>
      <c r="L10" s="119" t="n"/>
      <c r="M10" s="119" t="n"/>
      <c r="N10" s="119" t="n"/>
      <c r="O10" s="119" t="n"/>
      <c r="P10" s="119" t="n"/>
      <c r="Q10" s="119" t="n"/>
      <c r="R10" s="119" t="n"/>
      <c r="S10" s="119" t="n"/>
      <c r="T10" s="3" t="n"/>
      <c r="U10" s="3" t="n"/>
      <c r="V10" s="3" t="n"/>
    </row>
    <row r="11" ht="30" customHeight="1">
      <c r="A11" s="3" t="inlineStr">
        <is>
          <t>Private backup generation</t>
        </is>
      </c>
      <c r="B11" s="3" t="inlineStr">
        <is>
          <t>scope decision</t>
        </is>
      </c>
      <c r="C11" s="3" t="inlineStr">
        <is>
          <t>Workshop input</t>
        </is>
      </c>
      <c r="D11" s="118" t="n"/>
      <c r="E11" s="10" t="inlineStr">
        <is>
          <t>Include here OR in generation. Record whether the baseline… [N121]</t>
        </is>
      </c>
      <c r="F11" s="119" t="n"/>
      <c r="G11" s="119" t="n"/>
      <c r="H11" s="119" t="n"/>
      <c r="I11" s="119" t="n"/>
      <c r="J11" s="119" t="n"/>
      <c r="K11" s="119" t="n"/>
      <c r="L11" s="119" t="n"/>
      <c r="M11" s="119" t="n"/>
      <c r="N11" s="119" t="n"/>
      <c r="O11" s="119" t="n"/>
      <c r="P11" s="119" t="n"/>
      <c r="Q11" s="119" t="n"/>
      <c r="R11" s="119" t="n"/>
      <c r="S11" s="119" t="n"/>
      <c r="T11" s="3" t="n"/>
      <c r="U11" s="3" t="n"/>
      <c r="V11" s="3" t="n"/>
    </row>
    <row r="12" ht="30" customHeight="1">
      <c r="A12" s="3" t="inlineStr">
        <is>
          <t>Provincial baseline / activity</t>
        </is>
      </c>
      <c r="B12" s="3" t="inlineStr">
        <is>
          <t>share or local index</t>
        </is>
      </c>
      <c r="C12" s="3" t="inlineStr">
        <is>
          <t>Workshop input</t>
        </is>
      </c>
      <c r="D12" s="118" t="n"/>
      <c r="E12" s="10" t="inlineStr">
        <is>
          <t>Use manufacturing establishments/production, not population by… [N122]</t>
        </is>
      </c>
      <c r="F12" s="119" t="n"/>
      <c r="G12" s="119" t="n"/>
      <c r="H12" s="119" t="n"/>
      <c r="I12" s="119" t="n"/>
      <c r="J12" s="119" t="n"/>
      <c r="K12" s="119" t="n"/>
      <c r="L12" s="119" t="n"/>
      <c r="M12" s="119" t="n"/>
      <c r="N12" s="119" t="n"/>
      <c r="O12" s="119" t="n"/>
      <c r="P12" s="119" t="n"/>
      <c r="Q12" s="119" t="n"/>
      <c r="R12" s="119" t="n"/>
      <c r="S12" s="119" t="n"/>
      <c r="T12" s="3" t="n"/>
      <c r="U12" s="3" t="n"/>
      <c r="V12" s="3" t="n"/>
    </row>
    <row r="13" ht="8" customHeight="1">
      <c r="A13" s="3" t="n"/>
      <c r="B13" s="3" t="n"/>
      <c r="C13" s="3" t="n"/>
      <c r="D13" s="3" t="n"/>
      <c r="E13" s="3" t="n"/>
      <c r="F13" s="6" t="n"/>
      <c r="G13" s="6" t="n"/>
      <c r="H13" s="6" t="n"/>
      <c r="I13" s="6" t="n"/>
      <c r="J13" s="6" t="n"/>
      <c r="K13" s="6" t="n"/>
      <c r="L13" s="6" t="n"/>
      <c r="M13" s="6" t="n"/>
      <c r="N13" s="6" t="n"/>
      <c r="O13" s="6" t="n"/>
      <c r="P13" s="6" t="n"/>
      <c r="Q13" s="6" t="n"/>
      <c r="R13" s="6" t="n"/>
      <c r="S13" s="6" t="n"/>
      <c r="T13" s="3" t="n"/>
      <c r="U13" s="3" t="n"/>
      <c r="V13" s="3" t="n"/>
    </row>
    <row r="14" ht="28" customHeight="1">
      <c r="A14" s="12" t="inlineStr">
        <is>
          <t>Proposed calculated demand</t>
        </is>
      </c>
      <c r="B14" s="11" t="n"/>
      <c r="C14" s="11" t="n"/>
      <c r="D14" s="11" t="n"/>
      <c r="E14" s="11" t="n"/>
      <c r="F14" s="25" t="n"/>
      <c r="G14" s="25" t="n"/>
      <c r="H14" s="25" t="n"/>
      <c r="I14" s="25" t="n"/>
      <c r="J14" s="25" t="n"/>
      <c r="K14" s="25" t="n"/>
      <c r="L14" s="25" t="n"/>
      <c r="M14" s="25" t="n"/>
      <c r="N14" s="25" t="n"/>
      <c r="O14" s="25" t="n"/>
      <c r="P14" s="25" t="n"/>
      <c r="Q14" s="25" t="n"/>
      <c r="R14" s="25" t="n"/>
      <c r="S14" s="25" t="n"/>
      <c r="T14" s="3" t="n"/>
      <c r="U14" s="3" t="n"/>
      <c r="V14" s="3" t="n"/>
    </row>
    <row r="15" ht="30" customHeight="1">
      <c r="A15" s="3" t="inlineStr">
        <is>
          <t>Manufacturing diesel demand</t>
        </is>
      </c>
      <c r="B15" s="3" t="inlineStr">
        <is>
          <t>million L/year</t>
        </is>
      </c>
      <c r="C15" s="3" t="inlineStr">
        <is>
          <t>Proposed output</t>
        </is>
      </c>
      <c r="D15" s="121" t="n"/>
      <c r="E15" s="3" t="inlineStr">
        <is>
          <t>Baseline × activity/100 × relative intensity × remaining diesel… [N123]</t>
        </is>
      </c>
      <c r="F15" s="122" t="n"/>
      <c r="G15" s="122" t="n"/>
      <c r="H15" s="122" t="n"/>
      <c r="I15" s="122" t="n"/>
      <c r="J15" s="122" t="n"/>
      <c r="K15" s="122" t="n"/>
      <c r="L15" s="122" t="n"/>
      <c r="M15" s="122" t="n"/>
      <c r="N15" s="122" t="n"/>
      <c r="O15" s="122" t="n"/>
      <c r="P15" s="122" t="n"/>
      <c r="Q15" s="122" t="n"/>
      <c r="R15" s="122" t="n"/>
      <c r="S15" s="122" t="n"/>
      <c r="T15" s="3" t="n"/>
      <c r="U15" s="3" t="n"/>
      <c r="V15" s="3" t="n"/>
    </row>
    <row r="16" ht="30" customHeight="1">
      <c r="A16" s="3" t="inlineStr">
        <is>
          <t>Observed manufacturing diesel</t>
        </is>
      </c>
      <c r="B16" s="3" t="inlineStr">
        <is>
          <t>million L/year</t>
        </is>
      </c>
      <c r="C16" s="3" t="inlineStr">
        <is>
          <t>Workshop input</t>
        </is>
      </c>
      <c r="D16" s="118" t="n"/>
      <c r="E16" s="10" t="inlineStr">
        <is>
          <t>Matched-period comparator; total national diesel sales cannot… [N124]</t>
        </is>
      </c>
      <c r="F16" s="119" t="n"/>
      <c r="G16" s="119" t="n"/>
      <c r="H16" s="119" t="n"/>
      <c r="I16" s="119" t="n"/>
      <c r="J16" s="119" t="n"/>
      <c r="K16" s="119" t="n"/>
      <c r="L16" s="119" t="n"/>
      <c r="M16" s="119" t="n"/>
      <c r="N16" s="119" t="n"/>
      <c r="O16" s="119" t="n"/>
      <c r="P16" s="119" t="n"/>
      <c r="Q16" s="119" t="n"/>
      <c r="R16" s="119" t="n"/>
      <c r="S16" s="119" t="n"/>
      <c r="T16" s="3" t="n"/>
      <c r="U16" s="3" t="n"/>
      <c r="V16" s="3" t="n"/>
    </row>
    <row r="17" ht="30" customHeight="1">
      <c r="A17" s="3" t="inlineStr">
        <is>
          <t>Calculated less observed demand</t>
        </is>
      </c>
      <c r="B17" s="3" t="inlineStr">
        <is>
          <t>million L/year</t>
        </is>
      </c>
      <c r="C17" s="3" t="inlineStr">
        <is>
          <t>Proposed output</t>
        </is>
      </c>
      <c r="D17" s="121" t="n"/>
      <c r="E17" s="3" t="inlineStr">
        <is>
          <t>Reconcile only against matched manufacturing scope. No… [N125]</t>
        </is>
      </c>
      <c r="F17" s="122" t="n"/>
      <c r="G17" s="122" t="n"/>
      <c r="H17" s="122" t="n"/>
      <c r="I17" s="122" t="n"/>
      <c r="J17" s="122" t="n"/>
      <c r="K17" s="122" t="n"/>
      <c r="L17" s="122" t="n"/>
      <c r="M17" s="122" t="n"/>
      <c r="N17" s="122" t="n"/>
      <c r="O17" s="122" t="n"/>
      <c r="P17" s="122" t="n"/>
      <c r="Q17" s="122" t="n"/>
      <c r="R17" s="122" t="n"/>
      <c r="S17" s="122" t="n"/>
      <c r="T17" s="3" t="n"/>
      <c r="U17" s="3" t="n"/>
      <c r="V17" s="3" t="n"/>
    </row>
    <row r="18" ht="8" customHeight="1">
      <c r="A18" s="3" t="n"/>
      <c r="B18" s="3" t="n"/>
      <c r="C18" s="3" t="n"/>
      <c r="D18" s="3" t="n"/>
      <c r="E18" s="3" t="n"/>
      <c r="F18" s="6" t="n"/>
      <c r="G18" s="6" t="n"/>
      <c r="H18" s="6" t="n"/>
      <c r="I18" s="6" t="n"/>
      <c r="J18" s="6" t="n"/>
      <c r="K18" s="6" t="n"/>
      <c r="L18" s="6" t="n"/>
      <c r="M18" s="6" t="n"/>
      <c r="N18" s="6" t="n"/>
      <c r="O18" s="6" t="n"/>
      <c r="P18" s="6" t="n"/>
      <c r="Q18" s="6" t="n"/>
      <c r="R18" s="6" t="n"/>
      <c r="S18" s="6" t="n"/>
      <c r="T18" s="3" t="n"/>
      <c r="U18" s="3" t="n"/>
      <c r="V18" s="3" t="n"/>
    </row>
    <row r="19" ht="28" customHeight="1">
      <c r="A19" s="12" t="inlineStr">
        <is>
          <t>Combined industrial reference: not manufacturing demand</t>
        </is>
      </c>
      <c r="B19" s="11" t="n"/>
      <c r="C19" s="11" t="n"/>
      <c r="D19" s="11" t="n"/>
      <c r="E19" s="11" t="n"/>
      <c r="F19" s="25" t="n"/>
      <c r="G19" s="25" t="n"/>
      <c r="H19" s="25" t="n"/>
      <c r="I19" s="25" t="n"/>
      <c r="J19" s="25" t="n"/>
      <c r="K19" s="25" t="n"/>
      <c r="L19" s="25" t="n"/>
      <c r="M19" s="25" t="n"/>
      <c r="N19" s="25" t="n"/>
      <c r="O19" s="25" t="n"/>
      <c r="P19" s="25" t="n"/>
      <c r="Q19" s="25" t="n"/>
      <c r="R19" s="25" t="n"/>
      <c r="S19" s="25" t="n"/>
      <c r="T19" s="3" t="n"/>
      <c r="U19" s="3" t="n"/>
      <c r="V19" s="3" t="n"/>
    </row>
    <row r="20" ht="30" customHeight="1">
      <c r="A20" s="3" t="inlineStr">
        <is>
          <t>Current combined industrial baseline</t>
        </is>
      </c>
      <c r="B20" s="3" t="inlineStr">
        <is>
          <t>L/year</t>
        </is>
      </c>
      <c r="C20" s="3" t="inlineStr">
        <is>
          <t>Scalar</t>
        </is>
      </c>
      <c r="D20" s="133" t="inlineStr">
        <is>
          <t>2.5e9</t>
        </is>
      </c>
      <c r="E20" s="3" t="inlineStr">
        <is>
          <t>ONE provisional total for manufacturing + mining + construction.… [N126]</t>
        </is>
      </c>
      <c r="F20" s="134" t="n"/>
      <c r="G20" s="134" t="n"/>
      <c r="H20" s="134" t="n"/>
      <c r="I20" s="134" t="n"/>
      <c r="J20" s="134" t="n"/>
      <c r="K20" s="134" t="n"/>
      <c r="L20" s="134" t="n"/>
      <c r="M20" s="134" t="n"/>
      <c r="N20" s="134" t="n"/>
      <c r="O20" s="134" t="n"/>
      <c r="P20" s="134" t="n"/>
      <c r="Q20" s="134" t="n"/>
      <c r="R20" s="134" t="n"/>
      <c r="S20" s="134" t="n"/>
      <c r="T20" s="3" t="n"/>
      <c r="U20" s="3" t="n"/>
      <c r="V20" s="3" t="n"/>
    </row>
    <row r="21" ht="30" customHeight="1">
      <c r="A21" s="3" t="inlineStr">
        <is>
          <t>Combined baseline year</t>
        </is>
      </c>
      <c r="B21" s="3" t="inlineStr">
        <is>
          <t>year</t>
        </is>
      </c>
      <c r="C21" s="3" t="inlineStr">
        <is>
          <t>Scalar</t>
        </is>
      </c>
      <c r="D21" s="120">
        <f>IF(ISNUMBER('Model run'!D34),'Model run'!D34,"")</f>
        <v/>
      </c>
      <c r="E21" s="3" t="inlineStr">
        <is>
          <t>Current main vintage; branch replacement proposals are not adopted here.</t>
        </is>
      </c>
      <c r="F21" s="135" t="n"/>
      <c r="G21" s="135" t="n"/>
      <c r="H21" s="135" t="n"/>
      <c r="I21" s="135" t="n"/>
      <c r="J21" s="135" t="n"/>
      <c r="K21" s="135" t="n"/>
      <c r="L21" s="135" t="n"/>
      <c r="M21" s="135" t="n"/>
      <c r="N21" s="135" t="n"/>
      <c r="O21" s="135" t="n"/>
      <c r="P21" s="135" t="n"/>
      <c r="Q21" s="135" t="n"/>
      <c r="R21" s="135" t="n"/>
      <c r="S21" s="135" t="n"/>
      <c r="T21" s="3" t="n"/>
      <c r="U21" s="3" t="n"/>
      <c r="V21" s="3" t="n"/>
    </row>
    <row r="22" ht="30" customHeight="1">
      <c r="A22" s="3" t="inlineStr">
        <is>
          <t>Combined GDP/capita elasticity</t>
        </is>
      </c>
      <c r="B22" s="3" t="inlineStr">
        <is>
          <t>dimensionless</t>
        </is>
      </c>
      <c r="C22" s="3" t="inlineStr">
        <is>
          <t>Scalar</t>
        </is>
      </c>
      <c r="D22" s="121">
        <f>IF(ISNUMBER('Model run'!D35),'Model run'!D35,"")</f>
        <v/>
      </c>
      <c r="E22" s="3" t="inlineStr">
        <is>
          <t>Current combined held-method parameter. Not a manufacturing-specific estimate.</t>
        </is>
      </c>
      <c r="F22" s="122" t="n"/>
      <c r="G22" s="122" t="n"/>
      <c r="H22" s="122" t="n"/>
      <c r="I22" s="122" t="n"/>
      <c r="J22" s="122" t="n"/>
      <c r="K22" s="122" t="n"/>
      <c r="L22" s="122" t="n"/>
      <c r="M22" s="122" t="n"/>
      <c r="N22" s="122" t="n"/>
      <c r="O22" s="122" t="n"/>
      <c r="P22" s="122" t="n"/>
      <c r="Q22" s="122" t="n"/>
      <c r="R22" s="122" t="n"/>
      <c r="S22" s="122" t="n"/>
      <c r="T22" s="3" t="n"/>
      <c r="U22" s="3" t="n"/>
      <c r="V22" s="3" t="n"/>
    </row>
    <row r="23" ht="30" customHeight="1">
      <c r="A23" s="16" t="inlineStr">
        <is>
          <t>Combined industrial diesel</t>
        </is>
      </c>
      <c r="B23" s="16" t="inlineStr">
        <is>
          <t>L/year</t>
        </is>
      </c>
      <c r="C23" s="16" t="inlineStr">
        <is>
          <t>Engine output</t>
        </is>
      </c>
      <c r="D23" s="126" t="n"/>
      <c r="E23" s="16" t="inlineStr">
        <is>
          <t>Existing engine output shown ONCE as a reference for the future… [N127]</t>
        </is>
      </c>
      <c r="F23" s="127">
        <f>IF(ISNUMBER('Model run'!F36),'Model run'!F36,"")</f>
        <v/>
      </c>
      <c r="G23" s="127">
        <f>IF(ISNUMBER('Model run'!G36),'Model run'!G36,"")</f>
        <v/>
      </c>
      <c r="H23" s="127">
        <f>IF(ISNUMBER('Model run'!H36),'Model run'!H36,"")</f>
        <v/>
      </c>
      <c r="I23" s="127">
        <f>IF(ISNUMBER('Model run'!I36),'Model run'!I36,"")</f>
        <v/>
      </c>
      <c r="J23" s="127">
        <f>IF(ISNUMBER('Model run'!J36),'Model run'!J36,"")</f>
        <v/>
      </c>
      <c r="K23" s="127">
        <f>IF(ISNUMBER('Model run'!K36),'Model run'!K36,"")</f>
        <v/>
      </c>
      <c r="L23" s="127">
        <f>IF(ISNUMBER('Model run'!L36),'Model run'!L36,"")</f>
        <v/>
      </c>
      <c r="M23" s="127">
        <f>IF(ISNUMBER('Model run'!M36),'Model run'!M36,"")</f>
        <v/>
      </c>
      <c r="N23" s="127">
        <f>IF(ISNUMBER('Model run'!N36),'Model run'!N36,"")</f>
        <v/>
      </c>
      <c r="O23" s="127">
        <f>IF(ISNUMBER('Model run'!O36),'Model run'!O36,"")</f>
        <v/>
      </c>
      <c r="P23" s="127">
        <f>IF(ISNUMBER('Model run'!P36),'Model run'!P36,"")</f>
        <v/>
      </c>
      <c r="Q23" s="127">
        <f>IF(ISNUMBER('Model run'!Q36),'Model run'!Q36,"")</f>
        <v/>
      </c>
      <c r="R23" s="127">
        <f>IF(ISNUMBER('Model run'!R36),'Model run'!R36,"")</f>
        <v/>
      </c>
      <c r="S23" s="127">
        <f>IF(ISNUMBER('Model run'!S36),'Model run'!S36,"")</f>
        <v/>
      </c>
      <c r="T23" s="3" t="n"/>
      <c r="U23" s="3" t="n"/>
      <c r="V23" s="3" t="n"/>
    </row>
    <row r="24" ht="30" customHeight="1">
      <c r="A24" s="16" t="inlineStr">
        <is>
          <t>Combined industrial diesel</t>
        </is>
      </c>
      <c r="B24" s="16" t="inlineStr">
        <is>
          <t>million L/year</t>
        </is>
      </c>
      <c r="C24" s="16" t="inlineStr">
        <is>
          <t>Reporting formula</t>
        </is>
      </c>
      <c r="D24" s="116" t="n"/>
      <c r="E24" s="16" t="inlineStr">
        <is>
          <t>Unit conversion only. This is not a separate additive segment.</t>
        </is>
      </c>
      <c r="F24" s="117">
        <f>F23/1000000</f>
        <v/>
      </c>
      <c r="G24" s="117">
        <f>G23/1000000</f>
        <v/>
      </c>
      <c r="H24" s="117">
        <f>H23/1000000</f>
        <v/>
      </c>
      <c r="I24" s="117">
        <f>I23/1000000</f>
        <v/>
      </c>
      <c r="J24" s="117">
        <f>J23/1000000</f>
        <v/>
      </c>
      <c r="K24" s="117">
        <f>K23/1000000</f>
        <v/>
      </c>
      <c r="L24" s="117">
        <f>L23/1000000</f>
        <v/>
      </c>
      <c r="M24" s="117">
        <f>M23/1000000</f>
        <v/>
      </c>
      <c r="N24" s="117">
        <f>N23/1000000</f>
        <v/>
      </c>
      <c r="O24" s="117">
        <f>O23/1000000</f>
        <v/>
      </c>
      <c r="P24" s="117">
        <f>P23/1000000</f>
        <v/>
      </c>
      <c r="Q24" s="117">
        <f>Q23/1000000</f>
        <v/>
      </c>
      <c r="R24" s="117">
        <f>R23/1000000</f>
        <v/>
      </c>
      <c r="S24" s="117">
        <f>S23/1000000</f>
        <v/>
      </c>
      <c r="T24" s="3" t="n"/>
      <c r="U24" s="3" t="n"/>
      <c r="V24" s="3" t="n"/>
    </row>
    <row r="25" ht="8" customHeight="1">
      <c r="A25" s="3" t="n"/>
      <c r="B25" s="3" t="n"/>
      <c r="C25" s="3" t="n"/>
      <c r="D25" s="3" t="n"/>
      <c r="E25" s="3" t="n"/>
      <c r="F25" s="6" t="n"/>
      <c r="G25" s="6" t="n"/>
      <c r="H25" s="6" t="n"/>
      <c r="I25" s="6" t="n"/>
      <c r="J25" s="6" t="n"/>
      <c r="K25" s="6" t="n"/>
      <c r="L25" s="6" t="n"/>
      <c r="M25" s="6" t="n"/>
      <c r="N25" s="6" t="n"/>
      <c r="O25" s="6" t="n"/>
      <c r="P25" s="6" t="n"/>
      <c r="Q25" s="6" t="n"/>
      <c r="R25" s="6" t="n"/>
      <c r="S25" s="6" t="n"/>
      <c r="T25" s="3" t="n"/>
      <c r="U25" s="3" t="n"/>
      <c r="V25" s="3" t="n"/>
    </row>
    <row r="26" ht="30" customHeight="1">
      <c r="A26" s="3" t="inlineStr">
        <is>
          <t>Split and reconcile the combined total</t>
        </is>
      </c>
      <c r="B26" s="3" t="inlineStr">
        <is>
          <t>decision</t>
        </is>
      </c>
      <c r="C26" s="3" t="inlineStr">
        <is>
          <t>Workshop input</t>
        </is>
      </c>
      <c r="D26" s="118" t="n"/>
      <c r="E26" s="10" t="inlineStr">
        <is>
          <t>Manufacturing + mining + construction/other + unallocated must… [N128]</t>
        </is>
      </c>
      <c r="F26" s="119" t="n"/>
      <c r="G26" s="119" t="n"/>
      <c r="H26" s="119" t="n"/>
      <c r="I26" s="119" t="n"/>
      <c r="J26" s="119" t="n"/>
      <c r="K26" s="119" t="n"/>
      <c r="L26" s="119" t="n"/>
      <c r="M26" s="119" t="n"/>
      <c r="N26" s="119" t="n"/>
      <c r="O26" s="119" t="n"/>
      <c r="P26" s="119" t="n"/>
      <c r="Q26" s="119" t="n"/>
      <c r="R26" s="119" t="n"/>
      <c r="S26" s="119" t="n"/>
      <c r="T26" s="3" t="n"/>
      <c r="U26" s="3" t="n"/>
      <c r="V26" s="3" t="n"/>
    </row>
    <row r="27" ht="8" customHeight="1">
      <c r="A27" s="3" t="n"/>
      <c r="B27" s="3" t="n"/>
      <c r="C27" s="3" t="n"/>
      <c r="D27" s="3" t="n"/>
      <c r="E27" s="3" t="n"/>
      <c r="F27" s="6" t="n"/>
      <c r="G27" s="6" t="n"/>
      <c r="H27" s="6" t="n"/>
      <c r="I27" s="6" t="n"/>
      <c r="J27" s="6" t="n"/>
      <c r="K27" s="6" t="n"/>
      <c r="L27" s="6" t="n"/>
      <c r="M27" s="6" t="n"/>
      <c r="N27" s="6" t="n"/>
      <c r="O27" s="6" t="n"/>
      <c r="P27" s="6" t="n"/>
      <c r="Q27" s="6" t="n"/>
      <c r="R27" s="6" t="n"/>
      <c r="S27" s="6" t="n"/>
      <c r="T27" s="3" t="n"/>
      <c r="U27" s="3" t="n"/>
      <c r="V27" s="3" t="n"/>
    </row>
    <row r="28" ht="30" customHeight="1">
      <c r="A28" s="3" t="inlineStr">
        <is>
          <t>Input source</t>
        </is>
      </c>
      <c r="B28" s="3" t="inlineStr">
        <is>
          <t>URL</t>
        </is>
      </c>
      <c r="C28" s="3" t="inlineStr">
        <is>
          <t>Source</t>
        </is>
      </c>
      <c r="D28" s="121" t="n"/>
      <c r="E28" s="3" t="inlineStr">
        <is>
          <t>https://github.com/Africa-International-Advisors/liquid_fuels_mode… [N129]</t>
        </is>
      </c>
      <c r="F28" s="122" t="n"/>
      <c r="G28" s="122" t="n"/>
      <c r="H28" s="122" t="n"/>
      <c r="I28" s="122" t="n"/>
      <c r="J28" s="122" t="n"/>
      <c r="K28" s="122" t="n"/>
      <c r="L28" s="122" t="n"/>
      <c r="M28" s="122" t="n"/>
      <c r="N28" s="122" t="n"/>
      <c r="O28" s="122" t="n"/>
      <c r="P28" s="122" t="n"/>
      <c r="Q28" s="122" t="n"/>
      <c r="R28" s="122" t="n"/>
      <c r="S28" s="122" t="n"/>
      <c r="T28" s="3" t="n"/>
      <c r="U28" s="3" t="n"/>
      <c r="V28" s="3" t="n"/>
    </row>
    <row r="29" ht="30" customHeight="1">
      <c r="A29" s="3" t="inlineStr">
        <is>
          <t>Calculation source</t>
        </is>
      </c>
      <c r="B29" s="3" t="inlineStr">
        <is>
          <t>URL</t>
        </is>
      </c>
      <c r="C29" s="3" t="inlineStr">
        <is>
          <t>Source</t>
        </is>
      </c>
      <c r="D29" s="121" t="n"/>
      <c r="E29" s="3" t="inlineStr">
        <is>
          <t>https://github.com/Africa-International-Advisors/liquid_fuels_mode… [N130]</t>
        </is>
      </c>
      <c r="F29" s="122" t="n"/>
      <c r="G29" s="122" t="n"/>
      <c r="H29" s="122" t="n"/>
      <c r="I29" s="122" t="n"/>
      <c r="J29" s="122" t="n"/>
      <c r="K29" s="122" t="n"/>
      <c r="L29" s="122" t="n"/>
      <c r="M29" s="122" t="n"/>
      <c r="N29" s="122" t="n"/>
      <c r="O29" s="122" t="n"/>
      <c r="P29" s="122" t="n"/>
      <c r="Q29" s="122" t="n"/>
      <c r="R29" s="122" t="n"/>
      <c r="S29" s="122" t="n"/>
      <c r="T29" s="3" t="n"/>
      <c r="U29" s="3" t="n"/>
      <c r="V29" s="3" t="n"/>
    </row>
    <row r="30" ht="8" customHeight="1">
      <c r="A30" s="3" t="n"/>
      <c r="B30" s="3" t="n"/>
      <c r="C30" s="3" t="n"/>
      <c r="D30" s="3" t="n"/>
      <c r="E30" s="3" t="n"/>
      <c r="F30" s="6" t="n"/>
      <c r="G30" s="6" t="n"/>
      <c r="H30" s="6" t="n"/>
      <c r="I30" s="6" t="n"/>
      <c r="J30" s="6" t="n"/>
      <c r="K30" s="6" t="n"/>
      <c r="L30" s="6" t="n"/>
      <c r="M30" s="6" t="n"/>
      <c r="N30" s="6" t="n"/>
      <c r="O30" s="6" t="n"/>
      <c r="P30" s="6" t="n"/>
      <c r="Q30" s="6" t="n"/>
      <c r="R30" s="6" t="n"/>
      <c r="S30" s="6" t="n"/>
      <c r="T30" s="3" t="n"/>
      <c r="U30" s="3" t="n"/>
      <c r="V30" s="3" t="n"/>
    </row>
    <row r="31" ht="28" customHeight="1">
      <c r="A31" s="12" t="inlineStr">
        <is>
          <t>Available manufacturing evidence</t>
        </is>
      </c>
      <c r="B31" s="11" t="n"/>
      <c r="C31" s="11" t="n"/>
      <c r="D31" s="11" t="n"/>
      <c r="E31" s="11" t="n"/>
      <c r="F31" s="25" t="n"/>
      <c r="G31" s="25" t="n"/>
      <c r="H31" s="25" t="n"/>
      <c r="I31" s="25" t="n"/>
      <c r="J31" s="25" t="n"/>
      <c r="K31" s="25" t="n"/>
      <c r="L31" s="25" t="n"/>
      <c r="M31" s="25" t="n"/>
      <c r="N31" s="25" t="n"/>
      <c r="O31" s="25" t="n"/>
      <c r="P31" s="25" t="n"/>
      <c r="Q31" s="25" t="n"/>
      <c r="R31" s="25" t="n"/>
      <c r="S31" s="25" t="n"/>
      <c r="T31" s="11" t="n"/>
      <c r="U31" s="11" t="n"/>
      <c r="V31" s="11" t="n"/>
    </row>
    <row r="32" ht="30" customHeight="1">
      <c r="A32" s="65" t="inlineStr">
        <is>
          <t>Manufacturing production volume</t>
        </is>
      </c>
      <c r="B32" s="65" t="inlineStr">
        <is>
          <t>index 2019=100</t>
        </is>
      </c>
      <c r="C32" s="65" t="inlineStr">
        <is>
          <t>Staged observation</t>
        </is>
      </c>
      <c r="D32" s="114">
        <f>IF(ISNUMBER('Evidence'!D30),'Evidence'!D30,"")</f>
        <v/>
      </c>
      <c r="E32" s="65" t="inlineStr">
        <is>
          <t>Arithmetic mean of all 12 monthly production indices; 2026… [N131]</t>
        </is>
      </c>
      <c r="F32" s="115">
        <f>IF(ISNUMBER('Evidence'!F30),'Evidence'!F30,"")</f>
        <v/>
      </c>
      <c r="G32" s="115">
        <f>IF(ISNUMBER('Evidence'!G30),'Evidence'!G30,"")</f>
        <v/>
      </c>
      <c r="H32" s="115">
        <f>IF(ISNUMBER('Evidence'!H30),'Evidence'!H30,"")</f>
        <v/>
      </c>
      <c r="I32" s="115">
        <f>IF(ISNUMBER('Evidence'!I30),'Evidence'!I30,"")</f>
        <v/>
      </c>
      <c r="J32" s="115">
        <f>IF(ISNUMBER('Evidence'!J30),'Evidence'!J30,"")</f>
        <v/>
      </c>
      <c r="K32" s="115">
        <f>IF(ISNUMBER('Evidence'!K30),'Evidence'!K30,"")</f>
        <v/>
      </c>
      <c r="L32" s="115">
        <f>IF(ISNUMBER('Evidence'!L30),'Evidence'!L30,"")</f>
        <v/>
      </c>
      <c r="M32" s="115">
        <f>IF(ISNUMBER('Evidence'!M30),'Evidence'!M30,"")</f>
        <v/>
      </c>
      <c r="N32" s="115">
        <f>IF(ISNUMBER('Evidence'!N30),'Evidence'!N30,"")</f>
        <v/>
      </c>
      <c r="O32" s="115">
        <f>IF(ISNUMBER('Evidence'!O30),'Evidence'!O30,"")</f>
        <v/>
      </c>
      <c r="P32" s="115">
        <f>IF(ISNUMBER('Evidence'!P30),'Evidence'!P30,"")</f>
        <v/>
      </c>
      <c r="Q32" s="115">
        <f>IF(ISNUMBER('Evidence'!Q30),'Evidence'!Q30,"")</f>
        <v/>
      </c>
      <c r="R32" s="115">
        <f>IF(ISNUMBER('Evidence'!R30),'Evidence'!R30,"")</f>
        <v/>
      </c>
      <c r="S32" s="115">
        <f>IF(ISNUMBER('Evidence'!S30),'Evidence'!S30,"")</f>
        <v/>
      </c>
      <c r="T32" s="3" t="inlineStr">
        <is>
          <t>Unreviewed source extract; annual cells contain… [N132]</t>
        </is>
      </c>
      <c r="U32" s="3" t="inlineStr">
        <is>
          <t>Evidence row 30;… [N133]</t>
        </is>
      </c>
      <c r="V32" s="3" t="inlineStr">
        <is>
          <t>G06: match subsectors to fuel scope; rebase to… [N134]</t>
        </is>
      </c>
    </row>
    <row r="33" ht="30" customHeight="1">
      <c r="A33" s="65" t="inlineStr">
        <is>
          <t>Manufacturing real GVA</t>
        </is>
      </c>
      <c r="B33" s="65" t="inlineStr">
        <is>
          <t>bn 2015 ZAR</t>
        </is>
      </c>
      <c r="C33" s="65" t="inlineStr">
        <is>
          <t>Staged observation</t>
        </is>
      </c>
      <c r="D33" s="114">
        <f>IF(ISNUMBER('Evidence'!D27),'Evidence'!D27,"")</f>
        <v/>
      </c>
      <c r="E33" s="65" t="inlineStr">
        <is>
          <t>Stats SA annual actual in staged reporting copy. Sector value… [N135]</t>
        </is>
      </c>
      <c r="F33" s="115">
        <f>IF(ISNUMBER('Evidence'!F27),'Evidence'!F27,"")</f>
        <v/>
      </c>
      <c r="G33" s="115">
        <f>IF(ISNUMBER('Evidence'!G27),'Evidence'!G27,"")</f>
        <v/>
      </c>
      <c r="H33" s="115">
        <f>IF(ISNUMBER('Evidence'!H27),'Evidence'!H27,"")</f>
        <v/>
      </c>
      <c r="I33" s="115">
        <f>IF(ISNUMBER('Evidence'!I27),'Evidence'!I27,"")</f>
        <v/>
      </c>
      <c r="J33" s="115">
        <f>IF(ISNUMBER('Evidence'!J27),'Evidence'!J27,"")</f>
        <v/>
      </c>
      <c r="K33" s="115">
        <f>IF(ISNUMBER('Evidence'!K27),'Evidence'!K27,"")</f>
        <v/>
      </c>
      <c r="L33" s="115">
        <f>IF(ISNUMBER('Evidence'!L27),'Evidence'!L27,"")</f>
        <v/>
      </c>
      <c r="M33" s="115">
        <f>IF(ISNUMBER('Evidence'!M27),'Evidence'!M27,"")</f>
        <v/>
      </c>
      <c r="N33" s="115">
        <f>IF(ISNUMBER('Evidence'!N27),'Evidence'!N27,"")</f>
        <v/>
      </c>
      <c r="O33" s="115">
        <f>IF(ISNUMBER('Evidence'!O27),'Evidence'!O27,"")</f>
        <v/>
      </c>
      <c r="P33" s="115">
        <f>IF(ISNUMBER('Evidence'!P27),'Evidence'!P27,"")</f>
        <v/>
      </c>
      <c r="Q33" s="115">
        <f>IF(ISNUMBER('Evidence'!Q27),'Evidence'!Q27,"")</f>
        <v/>
      </c>
      <c r="R33" s="115">
        <f>IF(ISNUMBER('Evidence'!R27),'Evidence'!R27,"")</f>
        <v/>
      </c>
      <c r="S33" s="115">
        <f>IF(ISNUMBER('Evidence'!S27),'Evidence'!S27,"")</f>
        <v/>
      </c>
      <c r="T33" s="3" t="inlineStr">
        <is>
          <t>Unreviewed source extract; annual cells contain… [N136]</t>
        </is>
      </c>
      <c r="U33" s="3" t="inlineStr">
        <is>
          <t>Evidence row 27;… [N137]</t>
        </is>
      </c>
      <c r="V33" s="3" t="inlineStr">
        <is>
          <t>G06: alternative activity proxy, not additive to… [N138]</t>
        </is>
      </c>
    </row>
    <row r="34" ht="30" customHeight="1">
      <c r="A34" s="65" t="inlineStr">
        <is>
          <t>2021 energy-balance industry total</t>
        </is>
      </c>
      <c r="B34" s="65" t="inlineStr">
        <is>
          <t>million L/year</t>
        </is>
      </c>
      <c r="C34" s="65" t="inlineStr">
        <is>
          <t>Staged observation</t>
        </is>
      </c>
      <c r="D34" s="114">
        <f>IF(ISNUMBER('Evidence'!D40),'Evidence'!D40,"")</f>
        <v/>
      </c>
      <c r="E34" s="65" t="inlineStr">
        <is>
          <t>Parent industry total includes mining and construction. It is not… [N139]</t>
        </is>
      </c>
      <c r="F34" s="115" t="n"/>
      <c r="G34" s="115" t="n"/>
      <c r="H34" s="115" t="n"/>
      <c r="I34" s="115" t="n"/>
      <c r="J34" s="115" t="n"/>
      <c r="K34" s="115" t="n"/>
      <c r="L34" s="115" t="n"/>
      <c r="M34" s="115" t="n"/>
      <c r="N34" s="115" t="n"/>
      <c r="O34" s="115" t="n"/>
      <c r="P34" s="115" t="n"/>
      <c r="Q34" s="115" t="n"/>
      <c r="R34" s="115" t="n"/>
      <c r="S34" s="115" t="n"/>
      <c r="T34" s="3" t="inlineStr">
        <is>
          <t>Dated 2021 reference; no numerical split adopted.</t>
        </is>
      </c>
      <c r="U34" s="3" t="inlineStr">
        <is>
          <t>https://github.com/Africa-International-Advisors/liq… [N140]</t>
        </is>
      </c>
      <c r="V34" s="3" t="inlineStr">
        <is>
          <t>G06: reconcile manufacturing subsector rows and… [N141]</t>
        </is>
      </c>
    </row>
    <row r="35" ht="30" customHeight="1">
      <c r="A35" s="65" t="inlineStr">
        <is>
          <t>2021 construction diesel</t>
        </is>
      </c>
      <c r="B35" s="65" t="inlineStr">
        <is>
          <t>million L/year</t>
        </is>
      </c>
      <c r="C35" s="65" t="inlineStr">
        <is>
          <t>Staged observation</t>
        </is>
      </c>
      <c r="D35" s="114">
        <f>IF(ISNUMBER('Evidence'!D41),'Evidence'!D41,"")</f>
        <v/>
      </c>
      <c r="E35" s="65" t="inlineStr">
        <is>
          <t>Construction child of source industry total, shown separately to… [N142]</t>
        </is>
      </c>
      <c r="F35" s="115" t="n"/>
      <c r="G35" s="115" t="n"/>
      <c r="H35" s="115" t="n"/>
      <c r="I35" s="115" t="n"/>
      <c r="J35" s="115" t="n"/>
      <c r="K35" s="115" t="n"/>
      <c r="L35" s="115" t="n"/>
      <c r="M35" s="115" t="n"/>
      <c r="N35" s="115" t="n"/>
      <c r="O35" s="115" t="n"/>
      <c r="P35" s="115" t="n"/>
      <c r="Q35" s="115" t="n"/>
      <c r="R35" s="115" t="n"/>
      <c r="S35" s="115" t="n"/>
      <c r="T35" s="3" t="inlineStr">
        <is>
          <t>Older source anchor only.</t>
        </is>
      </c>
      <c r="U35" s="3" t="inlineStr">
        <is>
          <t>https://github.com/Africa-International-Advisors/liq… [N143]</t>
        </is>
      </c>
      <c r="V35" s="3" t="inlineStr">
        <is>
          <t>G06/G07: retain construction/other when splitting… [N144]</t>
        </is>
      </c>
    </row>
    <row r="36" ht="8" customHeight="1">
      <c r="A36" s="102" t="n"/>
      <c r="B36" s="102" t="n"/>
      <c r="C36" s="102" t="n"/>
      <c r="D36" s="102" t="n"/>
      <c r="E36" s="102" t="n"/>
      <c r="F36" s="104" t="n"/>
      <c r="G36" s="104" t="n"/>
      <c r="H36" s="104" t="n"/>
      <c r="I36" s="104" t="n"/>
      <c r="J36" s="104" t="n"/>
      <c r="K36" s="104" t="n"/>
      <c r="L36" s="104" t="n"/>
      <c r="M36" s="104" t="n"/>
      <c r="N36" s="104" t="n"/>
      <c r="O36" s="104" t="n"/>
      <c r="P36" s="104" t="n"/>
      <c r="Q36" s="104" t="n"/>
      <c r="R36" s="104" t="n"/>
      <c r="S36" s="104" t="n"/>
      <c r="T36" s="3" t="n"/>
      <c r="U36" s="3" t="n"/>
      <c r="V36" s="3" t="n"/>
    </row>
    <row r="37" ht="8" customHeight="1">
      <c r="A37" s="102" t="n"/>
      <c r="B37" s="102" t="n"/>
      <c r="C37" s="102" t="n"/>
      <c r="D37" s="102" t="n"/>
      <c r="E37" s="102" t="n"/>
      <c r="F37" s="104" t="n"/>
      <c r="G37" s="104" t="n"/>
      <c r="H37" s="104" t="n"/>
      <c r="I37" s="104" t="n"/>
      <c r="J37" s="104" t="n"/>
      <c r="K37" s="104" t="n"/>
      <c r="L37" s="104" t="n"/>
      <c r="M37" s="104" t="n"/>
      <c r="N37" s="104" t="n"/>
      <c r="O37" s="104" t="n"/>
      <c r="P37" s="104" t="n"/>
      <c r="Q37" s="104" t="n"/>
      <c r="R37" s="104" t="n"/>
      <c r="S37" s="104" t="n"/>
      <c r="T37" s="3" t="n"/>
      <c r="U37" s="3" t="n"/>
      <c r="V37" s="3" t="n"/>
    </row>
    <row r="38" ht="8" customHeight="1">
      <c r="A38" s="102" t="n"/>
      <c r="B38" s="102" t="n"/>
      <c r="C38" s="102" t="n"/>
      <c r="D38" s="102" t="n"/>
      <c r="E38" s="102" t="n"/>
      <c r="F38" s="104" t="n"/>
      <c r="G38" s="104" t="n"/>
      <c r="H38" s="104" t="n"/>
      <c r="I38" s="104" t="n"/>
      <c r="J38" s="104" t="n"/>
      <c r="K38" s="104" t="n"/>
      <c r="L38" s="104" t="n"/>
      <c r="M38" s="104" t="n"/>
      <c r="N38" s="104" t="n"/>
      <c r="O38" s="104" t="n"/>
      <c r="P38" s="104" t="n"/>
      <c r="Q38" s="104" t="n"/>
      <c r="R38" s="104" t="n"/>
      <c r="S38" s="104" t="n"/>
      <c r="T38" s="3" t="n"/>
      <c r="U38" s="3" t="n"/>
      <c r="V38" s="3" t="n"/>
    </row>
    <row r="39" ht="8" customHeight="1">
      <c r="A39" s="102" t="n"/>
      <c r="B39" s="102" t="n"/>
      <c r="C39" s="102" t="n"/>
      <c r="D39" s="102" t="n"/>
      <c r="E39" s="102" t="n"/>
      <c r="F39" s="104" t="n"/>
      <c r="G39" s="104" t="n"/>
      <c r="H39" s="104" t="n"/>
      <c r="I39" s="104" t="n"/>
      <c r="J39" s="104" t="n"/>
      <c r="K39" s="104" t="n"/>
      <c r="L39" s="104" t="n"/>
      <c r="M39" s="104" t="n"/>
      <c r="N39" s="104" t="n"/>
      <c r="O39" s="104" t="n"/>
      <c r="P39" s="104" t="n"/>
      <c r="Q39" s="104" t="n"/>
      <c r="R39" s="104" t="n"/>
      <c r="S39" s="104" t="n"/>
      <c r="T39" s="3" t="n"/>
      <c r="U39" s="3" t="n"/>
      <c r="V39" s="3" t="n"/>
    </row>
    <row r="40" ht="8" customHeight="1">
      <c r="A40" s="102" t="n"/>
      <c r="B40" s="102" t="n"/>
      <c r="C40" s="102" t="n"/>
      <c r="D40" s="102" t="n"/>
      <c r="E40" s="102" t="n"/>
      <c r="F40" s="104" t="n"/>
      <c r="G40" s="104" t="n"/>
      <c r="H40" s="104" t="n"/>
      <c r="I40" s="104" t="n"/>
      <c r="J40" s="104" t="n"/>
      <c r="K40" s="104" t="n"/>
      <c r="L40" s="104" t="n"/>
      <c r="M40" s="104" t="n"/>
      <c r="N40" s="104" t="n"/>
      <c r="O40" s="104" t="n"/>
      <c r="P40" s="104" t="n"/>
      <c r="Q40" s="104" t="n"/>
      <c r="R40" s="104" t="n"/>
      <c r="S40" s="104" t="n"/>
      <c r="T40" s="3" t="n"/>
      <c r="U40" s="3" t="n"/>
      <c r="V40" s="3" t="n"/>
    </row>
    <row r="41" ht="8" customHeight="1">
      <c r="A41" s="102" t="n"/>
      <c r="B41" s="102" t="n"/>
      <c r="C41" s="102" t="n"/>
      <c r="D41" s="102" t="n"/>
      <c r="E41" s="102" t="n"/>
      <c r="F41" s="104" t="n"/>
      <c r="G41" s="104" t="n"/>
      <c r="H41" s="104" t="n"/>
      <c r="I41" s="104" t="n"/>
      <c r="J41" s="104" t="n"/>
      <c r="K41" s="104" t="n"/>
      <c r="L41" s="104" t="n"/>
      <c r="M41" s="104" t="n"/>
      <c r="N41" s="104" t="n"/>
      <c r="O41" s="104" t="n"/>
      <c r="P41" s="104" t="n"/>
      <c r="Q41" s="104" t="n"/>
      <c r="R41" s="104" t="n"/>
      <c r="S41" s="104" t="n"/>
      <c r="T41" s="3" t="n"/>
      <c r="U41" s="3" t="n"/>
      <c r="V41" s="3" t="n"/>
    </row>
    <row r="42" ht="8" customHeight="1">
      <c r="A42" s="102" t="n"/>
      <c r="B42" s="102" t="n"/>
      <c r="C42" s="102" t="n"/>
      <c r="D42" s="102" t="n"/>
      <c r="E42" s="102" t="n"/>
      <c r="F42" s="104" t="n"/>
      <c r="G42" s="104" t="n"/>
      <c r="H42" s="104" t="n"/>
      <c r="I42" s="104" t="n"/>
      <c r="J42" s="104" t="n"/>
      <c r="K42" s="104" t="n"/>
      <c r="L42" s="104" t="n"/>
      <c r="M42" s="104" t="n"/>
      <c r="N42" s="104" t="n"/>
      <c r="O42" s="104" t="n"/>
      <c r="P42" s="104" t="n"/>
      <c r="Q42" s="104" t="n"/>
      <c r="R42" s="104" t="n"/>
      <c r="S42" s="104" t="n"/>
      <c r="T42" s="3" t="n"/>
      <c r="U42" s="3" t="n"/>
      <c r="V42" s="3" t="n"/>
    </row>
    <row r="43" ht="8" customHeight="1">
      <c r="A43" s="102" t="n"/>
      <c r="B43" s="102" t="n"/>
      <c r="C43" s="102" t="n"/>
      <c r="D43" s="102" t="n"/>
      <c r="E43" s="102" t="n"/>
      <c r="F43" s="104" t="n"/>
      <c r="G43" s="104" t="n"/>
      <c r="H43" s="104" t="n"/>
      <c r="I43" s="104" t="n"/>
      <c r="J43" s="104" t="n"/>
      <c r="K43" s="104" t="n"/>
      <c r="L43" s="104" t="n"/>
      <c r="M43" s="104" t="n"/>
      <c r="N43" s="104" t="n"/>
      <c r="O43" s="104" t="n"/>
      <c r="P43" s="104" t="n"/>
      <c r="Q43" s="104" t="n"/>
      <c r="R43" s="104" t="n"/>
      <c r="S43" s="104" t="n"/>
      <c r="T43" s="3" t="n"/>
      <c r="U43" s="3" t="n"/>
      <c r="V43" s="3" t="n"/>
    </row>
    <row r="44" ht="8" customHeight="1">
      <c r="A44" s="102" t="n"/>
      <c r="B44" s="102" t="n"/>
      <c r="C44" s="102" t="n"/>
      <c r="D44" s="102" t="n"/>
      <c r="E44" s="102" t="n"/>
      <c r="F44" s="104" t="n"/>
      <c r="G44" s="104" t="n"/>
      <c r="H44" s="104" t="n"/>
      <c r="I44" s="104" t="n"/>
      <c r="J44" s="104" t="n"/>
      <c r="K44" s="104" t="n"/>
      <c r="L44" s="104" t="n"/>
      <c r="M44" s="104" t="n"/>
      <c r="N44" s="104" t="n"/>
      <c r="O44" s="104" t="n"/>
      <c r="P44" s="104" t="n"/>
      <c r="Q44" s="104" t="n"/>
      <c r="R44" s="104" t="n"/>
      <c r="S44" s="104" t="n"/>
      <c r="T44" s="3" t="n"/>
      <c r="U44" s="3" t="n"/>
      <c r="V44" s="3" t="n"/>
    </row>
    <row r="45" ht="8" customHeight="1">
      <c r="A45" s="102" t="n"/>
      <c r="B45" s="102" t="n"/>
      <c r="C45" s="102" t="n"/>
      <c r="D45" s="102" t="n"/>
      <c r="E45" s="102" t="n"/>
      <c r="F45" s="104" t="n"/>
      <c r="G45" s="104" t="n"/>
      <c r="H45" s="104" t="n"/>
      <c r="I45" s="104" t="n"/>
      <c r="J45" s="104" t="n"/>
      <c r="K45" s="104" t="n"/>
      <c r="L45" s="104" t="n"/>
      <c r="M45" s="104" t="n"/>
      <c r="N45" s="104" t="n"/>
      <c r="O45" s="104" t="n"/>
      <c r="P45" s="104" t="n"/>
      <c r="Q45" s="104" t="n"/>
      <c r="R45" s="104" t="n"/>
      <c r="S45" s="104" t="n"/>
      <c r="T45" s="3" t="n"/>
      <c r="U45" s="3" t="n"/>
      <c r="V45" s="3" t="n"/>
    </row>
    <row r="46" ht="8" customHeight="1">
      <c r="A46" s="102" t="n"/>
      <c r="B46" s="102" t="n"/>
      <c r="C46" s="102" t="n"/>
      <c r="D46" s="102" t="n"/>
      <c r="E46" s="102" t="n"/>
      <c r="F46" s="104" t="n"/>
      <c r="G46" s="104" t="n"/>
      <c r="H46" s="104" t="n"/>
      <c r="I46" s="104" t="n"/>
      <c r="J46" s="104" t="n"/>
      <c r="K46" s="104" t="n"/>
      <c r="L46" s="104" t="n"/>
      <c r="M46" s="104" t="n"/>
      <c r="N46" s="104" t="n"/>
      <c r="O46" s="104" t="n"/>
      <c r="P46" s="104" t="n"/>
      <c r="Q46" s="104" t="n"/>
      <c r="R46" s="104" t="n"/>
      <c r="S46" s="104" t="n"/>
      <c r="T46" s="3" t="n"/>
      <c r="U46" s="3" t="n"/>
      <c r="V46" s="3" t="n"/>
    </row>
    <row r="47" ht="8" customHeight="1">
      <c r="A47" s="102" t="n"/>
      <c r="B47" s="102" t="n"/>
      <c r="C47" s="102" t="n"/>
      <c r="D47" s="102" t="n"/>
      <c r="E47" s="102" t="n"/>
      <c r="F47" s="104" t="n"/>
      <c r="G47" s="104" t="n"/>
      <c r="H47" s="104" t="n"/>
      <c r="I47" s="104" t="n"/>
      <c r="J47" s="104" t="n"/>
      <c r="K47" s="104" t="n"/>
      <c r="L47" s="104" t="n"/>
      <c r="M47" s="104" t="n"/>
      <c r="N47" s="104" t="n"/>
      <c r="O47" s="104" t="n"/>
      <c r="P47" s="104" t="n"/>
      <c r="Q47" s="104" t="n"/>
      <c r="R47" s="104" t="n"/>
      <c r="S47" s="104" t="n"/>
      <c r="T47" s="3" t="n"/>
      <c r="U47" s="3" t="n"/>
      <c r="V47" s="3" t="n"/>
    </row>
    <row r="48" ht="8" customHeight="1">
      <c r="A48" s="102" t="n"/>
      <c r="B48" s="102" t="n"/>
      <c r="C48" s="102" t="n"/>
      <c r="D48" s="102" t="n"/>
      <c r="E48" s="102" t="n"/>
      <c r="F48" s="104" t="n"/>
      <c r="G48" s="104" t="n"/>
      <c r="H48" s="104" t="n"/>
      <c r="I48" s="104" t="n"/>
      <c r="J48" s="104" t="n"/>
      <c r="K48" s="104" t="n"/>
      <c r="L48" s="104" t="n"/>
      <c r="M48" s="104" t="n"/>
      <c r="N48" s="104" t="n"/>
      <c r="O48" s="104" t="n"/>
      <c r="P48" s="104" t="n"/>
      <c r="Q48" s="104" t="n"/>
      <c r="R48" s="104" t="n"/>
      <c r="S48" s="104" t="n"/>
      <c r="T48" s="3" t="n"/>
      <c r="U48" s="3" t="n"/>
      <c r="V48" s="3"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42"/>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5" t="inlineStr">
        <is>
          <t>Mining diesel demand</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6" t="inlineStr">
        <is>
          <t>Proposed separate sector block • Separate off-road mine equipment from public-road freight and private generation.</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Separate mining assumptions to agree</t>
        </is>
      </c>
      <c r="B5" s="11" t="n"/>
      <c r="C5" s="11" t="n"/>
      <c r="D5" s="11" t="n"/>
      <c r="E5" s="11" t="n"/>
      <c r="F5" s="25" t="n"/>
      <c r="G5" s="25" t="n"/>
      <c r="H5" s="25" t="n"/>
      <c r="I5" s="25" t="n"/>
      <c r="J5" s="25" t="n"/>
      <c r="K5" s="25" t="n"/>
      <c r="L5" s="25" t="n"/>
      <c r="M5" s="25" t="n"/>
      <c r="N5" s="25" t="n"/>
      <c r="O5" s="25" t="n"/>
      <c r="P5" s="25" t="n"/>
      <c r="Q5" s="25" t="n"/>
      <c r="R5" s="25" t="n"/>
      <c r="S5" s="25" t="n"/>
      <c r="T5" s="3" t="n"/>
      <c r="U5" s="3" t="n"/>
      <c r="V5" s="3" t="n"/>
    </row>
    <row r="6" ht="30" customHeight="1">
      <c r="A6" s="3" t="inlineStr">
        <is>
          <t>Reviewed mining baseline</t>
        </is>
      </c>
      <c r="B6" s="3" t="inlineStr">
        <is>
          <t>million L/year</t>
        </is>
      </c>
      <c r="C6" s="3" t="inlineStr">
        <is>
          <t>Workshop input</t>
        </is>
      </c>
      <c r="D6" s="118" t="n"/>
      <c r="E6" s="10" t="inlineStr">
        <is>
          <t>2021 mining fuel is shown in row 31. Source newer years and… [N145]</t>
        </is>
      </c>
      <c r="F6" s="119" t="n"/>
      <c r="G6" s="119" t="n"/>
      <c r="H6" s="119" t="n"/>
      <c r="I6" s="119" t="n"/>
      <c r="J6" s="119" t="n"/>
      <c r="K6" s="119" t="n"/>
      <c r="L6" s="119" t="n"/>
      <c r="M6" s="119" t="n"/>
      <c r="N6" s="119" t="n"/>
      <c r="O6" s="119" t="n"/>
      <c r="P6" s="119" t="n"/>
      <c r="Q6" s="119" t="n"/>
      <c r="R6" s="119" t="n"/>
      <c r="S6" s="119" t="n"/>
      <c r="T6" s="3" t="n"/>
      <c r="U6" s="3" t="n"/>
      <c r="V6" s="3" t="n"/>
    </row>
    <row r="7" ht="30" customHeight="1">
      <c r="A7" s="3" t="inlineStr">
        <is>
          <t>Baseline year</t>
        </is>
      </c>
      <c r="B7" s="3" t="inlineStr">
        <is>
          <t>year</t>
        </is>
      </c>
      <c r="C7" s="3" t="inlineStr">
        <is>
          <t>Workshop input</t>
        </is>
      </c>
      <c r="D7" s="136" t="n"/>
      <c r="E7" s="10" t="inlineStr">
        <is>
          <t>Match the activity and fuel observation periods.</t>
        </is>
      </c>
      <c r="F7" s="137" t="n"/>
      <c r="G7" s="137" t="n"/>
      <c r="H7" s="137" t="n"/>
      <c r="I7" s="137" t="n"/>
      <c r="J7" s="137" t="n"/>
      <c r="K7" s="137" t="n"/>
      <c r="L7" s="137" t="n"/>
      <c r="M7" s="137" t="n"/>
      <c r="N7" s="137" t="n"/>
      <c r="O7" s="137" t="n"/>
      <c r="P7" s="137" t="n"/>
      <c r="Q7" s="137" t="n"/>
      <c r="R7" s="137" t="n"/>
      <c r="S7" s="137" t="n"/>
      <c r="T7" s="3" t="n"/>
      <c r="U7" s="3" t="n"/>
      <c r="V7" s="3" t="n"/>
    </row>
    <row r="8" ht="30" customHeight="1">
      <c r="A8" s="3" t="inlineStr">
        <is>
          <t>Mining activity index</t>
        </is>
      </c>
      <c r="B8" s="3" t="inlineStr">
        <is>
          <t>base year = 100</t>
        </is>
      </c>
      <c r="C8" s="3" t="inlineStr">
        <is>
          <t>Workshop input</t>
        </is>
      </c>
      <c r="D8" s="118" t="n"/>
      <c r="E8" s="10" t="inlineStr">
        <is>
          <t>Production index and GVA now appear in rows 29–30. Select one… [N146]</t>
        </is>
      </c>
      <c r="F8" s="119" t="n"/>
      <c r="G8" s="119" t="n"/>
      <c r="H8" s="119" t="n"/>
      <c r="I8" s="119" t="n"/>
      <c r="J8" s="119" t="n"/>
      <c r="K8" s="119" t="n"/>
      <c r="L8" s="119" t="n"/>
      <c r="M8" s="119" t="n"/>
      <c r="N8" s="119" t="n"/>
      <c r="O8" s="119" t="n"/>
      <c r="P8" s="119" t="n"/>
      <c r="Q8" s="119" t="n"/>
      <c r="R8" s="119" t="n"/>
      <c r="S8" s="119" t="n"/>
      <c r="T8" s="3" t="n"/>
      <c r="U8" s="3" t="n"/>
      <c r="V8" s="3" t="n"/>
    </row>
    <row r="9" ht="30" customHeight="1">
      <c r="A9" s="3" t="inlineStr">
        <is>
          <t>Relative operating intensity</t>
        </is>
      </c>
      <c r="B9" s="3" t="inlineStr">
        <is>
          <t>base year = 1</t>
        </is>
      </c>
      <c r="C9" s="3" t="inlineStr">
        <is>
          <t>Workshop input</t>
        </is>
      </c>
      <c r="D9" s="118" t="n"/>
      <c r="E9" s="10" t="inlineStr">
        <is>
          <t>Reflect depth, haul work, equipment mix and efficiency. Avoid… [N147]</t>
        </is>
      </c>
      <c r="F9" s="119" t="n"/>
      <c r="G9" s="119" t="n"/>
      <c r="H9" s="119" t="n"/>
      <c r="I9" s="119" t="n"/>
      <c r="J9" s="119" t="n"/>
      <c r="K9" s="119" t="n"/>
      <c r="L9" s="119" t="n"/>
      <c r="M9" s="119" t="n"/>
      <c r="N9" s="119" t="n"/>
      <c r="O9" s="119" t="n"/>
      <c r="P9" s="119" t="n"/>
      <c r="Q9" s="119" t="n"/>
      <c r="R9" s="119" t="n"/>
      <c r="S9" s="119" t="n"/>
      <c r="T9" s="3" t="n"/>
      <c r="U9" s="3" t="n"/>
      <c r="V9" s="3" t="n"/>
    </row>
    <row r="10" ht="30" customHeight="1">
      <c r="A10" s="3" t="inlineStr">
        <is>
          <t>Electrification: remaining diesel fraction</t>
        </is>
      </c>
      <c r="B10" s="3" t="inlineStr">
        <is>
          <t>base year = 1</t>
        </is>
      </c>
      <c r="C10" s="3" t="inlineStr">
        <is>
          <t>Workshop input</t>
        </is>
      </c>
      <c r="D10" s="118" t="n"/>
      <c r="E10" s="10" t="inlineStr">
        <is>
          <t>Eligible off-road diesel work retained after switching equipment… [N148]</t>
        </is>
      </c>
      <c r="F10" s="119" t="n"/>
      <c r="G10" s="119" t="n"/>
      <c r="H10" s="119" t="n"/>
      <c r="I10" s="119" t="n"/>
      <c r="J10" s="119" t="n"/>
      <c r="K10" s="119" t="n"/>
      <c r="L10" s="119" t="n"/>
      <c r="M10" s="119" t="n"/>
      <c r="N10" s="119" t="n"/>
      <c r="O10" s="119" t="n"/>
      <c r="P10" s="119" t="n"/>
      <c r="Q10" s="119" t="n"/>
      <c r="R10" s="119" t="n"/>
      <c r="S10" s="119" t="n"/>
      <c r="T10" s="3" t="n"/>
      <c r="U10" s="3" t="n"/>
      <c r="V10" s="3" t="n"/>
    </row>
    <row r="11" ht="30" customHeight="1">
      <c r="A11" s="3" t="inlineStr">
        <is>
          <t>Mine backup generation</t>
        </is>
      </c>
      <c r="B11" s="3" t="inlineStr">
        <is>
          <t>scope decision</t>
        </is>
      </c>
      <c r="C11" s="3" t="inlineStr">
        <is>
          <t>Workshop input</t>
        </is>
      </c>
      <c r="D11" s="118" t="n"/>
      <c r="E11" s="10" t="inlineStr">
        <is>
          <t>Separate from machinery; count in mining OR private generation once.</t>
        </is>
      </c>
      <c r="F11" s="119" t="n"/>
      <c r="G11" s="119" t="n"/>
      <c r="H11" s="119" t="n"/>
      <c r="I11" s="119" t="n"/>
      <c r="J11" s="119" t="n"/>
      <c r="K11" s="119" t="n"/>
      <c r="L11" s="119" t="n"/>
      <c r="M11" s="119" t="n"/>
      <c r="N11" s="119" t="n"/>
      <c r="O11" s="119" t="n"/>
      <c r="P11" s="119" t="n"/>
      <c r="Q11" s="119" t="n"/>
      <c r="R11" s="119" t="n"/>
      <c r="S11" s="119" t="n"/>
      <c r="T11" s="3" t="n"/>
      <c r="U11" s="3" t="n"/>
      <c r="V11" s="3" t="n"/>
    </row>
    <row r="12" ht="30" customHeight="1">
      <c r="A12" s="3" t="inlineStr">
        <is>
          <t>Provincial site / activity allocation</t>
        </is>
      </c>
      <c r="B12" s="3" t="inlineStr">
        <is>
          <t>share or local index</t>
        </is>
      </c>
      <c r="C12" s="3" t="inlineStr">
        <is>
          <t>Workshop input</t>
        </is>
      </c>
      <c r="D12" s="118" t="n"/>
      <c r="E12" s="10" t="inlineStr">
        <is>
          <t>Locate mine demand by site/activity; use explicit unallocated… [N149]</t>
        </is>
      </c>
      <c r="F12" s="119" t="n"/>
      <c r="G12" s="119" t="n"/>
      <c r="H12" s="119" t="n"/>
      <c r="I12" s="119" t="n"/>
      <c r="J12" s="119" t="n"/>
      <c r="K12" s="119" t="n"/>
      <c r="L12" s="119" t="n"/>
      <c r="M12" s="119" t="n"/>
      <c r="N12" s="119" t="n"/>
      <c r="O12" s="119" t="n"/>
      <c r="P12" s="119" t="n"/>
      <c r="Q12" s="119" t="n"/>
      <c r="R12" s="119" t="n"/>
      <c r="S12" s="119" t="n"/>
      <c r="T12" s="3" t="n"/>
      <c r="U12" s="3" t="n"/>
      <c r="V12" s="3" t="n"/>
    </row>
    <row r="13" ht="8" customHeight="1">
      <c r="A13" s="3" t="n"/>
      <c r="B13" s="3" t="n"/>
      <c r="C13" s="3" t="n"/>
      <c r="D13" s="3" t="n"/>
      <c r="E13" s="3" t="n"/>
      <c r="F13" s="6" t="n"/>
      <c r="G13" s="6" t="n"/>
      <c r="H13" s="6" t="n"/>
      <c r="I13" s="6" t="n"/>
      <c r="J13" s="6" t="n"/>
      <c r="K13" s="6" t="n"/>
      <c r="L13" s="6" t="n"/>
      <c r="M13" s="6" t="n"/>
      <c r="N13" s="6" t="n"/>
      <c r="O13" s="6" t="n"/>
      <c r="P13" s="6" t="n"/>
      <c r="Q13" s="6" t="n"/>
      <c r="R13" s="6" t="n"/>
      <c r="S13" s="6" t="n"/>
      <c r="T13" s="3" t="n"/>
      <c r="U13" s="3" t="n"/>
      <c r="V13" s="3" t="n"/>
    </row>
    <row r="14" ht="28" customHeight="1">
      <c r="A14" s="12" t="inlineStr">
        <is>
          <t>Proposed calculated demand</t>
        </is>
      </c>
      <c r="B14" s="11" t="n"/>
      <c r="C14" s="11" t="n"/>
      <c r="D14" s="11" t="n"/>
      <c r="E14" s="11" t="n"/>
      <c r="F14" s="25" t="n"/>
      <c r="G14" s="25" t="n"/>
      <c r="H14" s="25" t="n"/>
      <c r="I14" s="25" t="n"/>
      <c r="J14" s="25" t="n"/>
      <c r="K14" s="25" t="n"/>
      <c r="L14" s="25" t="n"/>
      <c r="M14" s="25" t="n"/>
      <c r="N14" s="25" t="n"/>
      <c r="O14" s="25" t="n"/>
      <c r="P14" s="25" t="n"/>
      <c r="Q14" s="25" t="n"/>
      <c r="R14" s="25" t="n"/>
      <c r="S14" s="25" t="n"/>
      <c r="T14" s="3" t="n"/>
      <c r="U14" s="3" t="n"/>
      <c r="V14" s="3" t="n"/>
    </row>
    <row r="15" ht="30" customHeight="1">
      <c r="A15" s="3" t="inlineStr">
        <is>
          <t>Mining diesel demand</t>
        </is>
      </c>
      <c r="B15" s="3" t="inlineStr">
        <is>
          <t>million L/year</t>
        </is>
      </c>
      <c r="C15" s="3" t="inlineStr">
        <is>
          <t>Proposed output</t>
        </is>
      </c>
      <c r="D15" s="121" t="n"/>
      <c r="E15" s="3" t="inlineStr">
        <is>
          <t>Baseline × activity/100 × relative intensity × remaining diesel… [N150]</t>
        </is>
      </c>
      <c r="F15" s="122" t="n"/>
      <c r="G15" s="122" t="n"/>
      <c r="H15" s="122" t="n"/>
      <c r="I15" s="122" t="n"/>
      <c r="J15" s="122" t="n"/>
      <c r="K15" s="122" t="n"/>
      <c r="L15" s="122" t="n"/>
      <c r="M15" s="122" t="n"/>
      <c r="N15" s="122" t="n"/>
      <c r="O15" s="122" t="n"/>
      <c r="P15" s="122" t="n"/>
      <c r="Q15" s="122" t="n"/>
      <c r="R15" s="122" t="n"/>
      <c r="S15" s="122" t="n"/>
      <c r="T15" s="3" t="n"/>
      <c r="U15" s="3" t="n"/>
      <c r="V15" s="3" t="n"/>
    </row>
    <row r="16" ht="30" customHeight="1">
      <c r="A16" s="3" t="inlineStr">
        <is>
          <t>Observed mining diesel</t>
        </is>
      </c>
      <c r="B16" s="3" t="inlineStr">
        <is>
          <t>million L/year</t>
        </is>
      </c>
      <c r="C16" s="3" t="inlineStr">
        <is>
          <t>Workshop input</t>
        </is>
      </c>
      <c r="D16" s="118" t="n"/>
      <c r="E16" s="10" t="inlineStr">
        <is>
          <t>Matched mining scope; separate public-road haul and process/backup uses.</t>
        </is>
      </c>
      <c r="F16" s="119" t="n"/>
      <c r="G16" s="119" t="n"/>
      <c r="H16" s="119" t="n"/>
      <c r="I16" s="119" t="n"/>
      <c r="J16" s="119" t="n"/>
      <c r="K16" s="119" t="n"/>
      <c r="L16" s="119" t="n"/>
      <c r="M16" s="119" t="n"/>
      <c r="N16" s="119" t="n"/>
      <c r="O16" s="119" t="n"/>
      <c r="P16" s="119" t="n"/>
      <c r="Q16" s="119" t="n"/>
      <c r="R16" s="119" t="n"/>
      <c r="S16" s="119" t="n"/>
      <c r="T16" s="3" t="n"/>
      <c r="U16" s="3" t="n"/>
      <c r="V16" s="3" t="n"/>
    </row>
    <row r="17" ht="30" customHeight="1">
      <c r="A17" s="3" t="inlineStr">
        <is>
          <t>Calculated less observed demand</t>
        </is>
      </c>
      <c r="B17" s="3" t="inlineStr">
        <is>
          <t>million L/year</t>
        </is>
      </c>
      <c r="C17" s="3" t="inlineStr">
        <is>
          <t>Proposed output</t>
        </is>
      </c>
      <c r="D17" s="121" t="n"/>
      <c r="E17" s="3" t="inlineStr">
        <is>
          <t>No numerical forecast or observed comparison until the sector… [N151]</t>
        </is>
      </c>
      <c r="F17" s="122" t="n"/>
      <c r="G17" s="122" t="n"/>
      <c r="H17" s="122" t="n"/>
      <c r="I17" s="122" t="n"/>
      <c r="J17" s="122" t="n"/>
      <c r="K17" s="122" t="n"/>
      <c r="L17" s="122" t="n"/>
      <c r="M17" s="122" t="n"/>
      <c r="N17" s="122" t="n"/>
      <c r="O17" s="122" t="n"/>
      <c r="P17" s="122" t="n"/>
      <c r="Q17" s="122" t="n"/>
      <c r="R17" s="122" t="n"/>
      <c r="S17" s="122" t="n"/>
      <c r="T17" s="3" t="n"/>
      <c r="U17" s="3" t="n"/>
      <c r="V17" s="3" t="n"/>
    </row>
    <row r="18" ht="8" customHeight="1">
      <c r="A18" s="3" t="n"/>
      <c r="B18" s="3" t="n"/>
      <c r="C18" s="3" t="n"/>
      <c r="D18" s="3" t="n"/>
      <c r="E18" s="3" t="n"/>
      <c r="F18" s="6" t="n"/>
      <c r="G18" s="6" t="n"/>
      <c r="H18" s="6" t="n"/>
      <c r="I18" s="6" t="n"/>
      <c r="J18" s="6" t="n"/>
      <c r="K18" s="6" t="n"/>
      <c r="L18" s="6" t="n"/>
      <c r="M18" s="6" t="n"/>
      <c r="N18" s="6" t="n"/>
      <c r="O18" s="6" t="n"/>
      <c r="P18" s="6" t="n"/>
      <c r="Q18" s="6" t="n"/>
      <c r="R18" s="6" t="n"/>
      <c r="S18" s="6" t="n"/>
      <c r="T18" s="3" t="n"/>
      <c r="U18" s="3" t="n"/>
      <c r="V18" s="3" t="n"/>
    </row>
    <row r="19" ht="28" customHeight="1">
      <c r="A19" s="12" t="inlineStr">
        <is>
          <t>Reconciliation and workshop decisions</t>
        </is>
      </c>
      <c r="B19" s="11" t="n"/>
      <c r="C19" s="11" t="n"/>
      <c r="D19" s="11" t="n"/>
      <c r="E19" s="11" t="n"/>
      <c r="F19" s="25" t="n"/>
      <c r="G19" s="25" t="n"/>
      <c r="H19" s="25" t="n"/>
      <c r="I19" s="25" t="n"/>
      <c r="J19" s="25" t="n"/>
      <c r="K19" s="25" t="n"/>
      <c r="L19" s="25" t="n"/>
      <c r="M19" s="25" t="n"/>
      <c r="N19" s="25" t="n"/>
      <c r="O19" s="25" t="n"/>
      <c r="P19" s="25" t="n"/>
      <c r="Q19" s="25" t="n"/>
      <c r="R19" s="25" t="n"/>
      <c r="S19" s="25" t="n"/>
      <c r="T19" s="3" t="n"/>
      <c r="U19" s="3" t="n"/>
      <c r="V19" s="3" t="n"/>
    </row>
    <row r="20" ht="30" customHeight="1">
      <c r="A20" s="3" t="inlineStr">
        <is>
          <t>Current combined model reference</t>
        </is>
      </c>
      <c r="B20" s="3" t="inlineStr">
        <is>
          <t>cross-reference</t>
        </is>
      </c>
      <c r="C20" s="3" t="inlineStr">
        <is>
          <t>Source</t>
        </is>
      </c>
      <c r="D20" s="121" t="n"/>
      <c r="E20" s="3" t="inlineStr">
        <is>
          <t>Manufacturing rows 20–24 hold the combined industrial… [N152]</t>
        </is>
      </c>
      <c r="F20" s="122" t="n"/>
      <c r="G20" s="122" t="n"/>
      <c r="H20" s="122" t="n"/>
      <c r="I20" s="122" t="n"/>
      <c r="J20" s="122" t="n"/>
      <c r="K20" s="122" t="n"/>
      <c r="L20" s="122" t="n"/>
      <c r="M20" s="122" t="n"/>
      <c r="N20" s="122" t="n"/>
      <c r="O20" s="122" t="n"/>
      <c r="P20" s="122" t="n"/>
      <c r="Q20" s="122" t="n"/>
      <c r="R20" s="122" t="n"/>
      <c r="S20" s="122" t="n"/>
      <c r="T20" s="3" t="n"/>
      <c r="U20" s="3" t="n"/>
      <c r="V20" s="3" t="n"/>
    </row>
    <row r="21" ht="30" customHeight="1">
      <c r="A21" s="3" t="inlineStr">
        <is>
          <t>Public-road freight boundary</t>
        </is>
      </c>
      <c r="B21" s="3" t="inlineStr">
        <is>
          <t>decision</t>
        </is>
      </c>
      <c r="C21" s="3" t="inlineStr">
        <is>
          <t>Workshop input</t>
        </is>
      </c>
      <c r="D21" s="118" t="n"/>
      <c r="E21" s="10" t="inlineStr">
        <is>
          <t>Mine-to-port road trucks belong to freight if already in that… [N153]</t>
        </is>
      </c>
      <c r="F21" s="119" t="n"/>
      <c r="G21" s="119" t="n"/>
      <c r="H21" s="119" t="n"/>
      <c r="I21" s="119" t="n"/>
      <c r="J21" s="119" t="n"/>
      <c r="K21" s="119" t="n"/>
      <c r="L21" s="119" t="n"/>
      <c r="M21" s="119" t="n"/>
      <c r="N21" s="119" t="n"/>
      <c r="O21" s="119" t="n"/>
      <c r="P21" s="119" t="n"/>
      <c r="Q21" s="119" t="n"/>
      <c r="R21" s="119" t="n"/>
      <c r="S21" s="119" t="n"/>
      <c r="T21" s="3" t="n"/>
      <c r="U21" s="3" t="n"/>
      <c r="V21" s="3" t="n"/>
    </row>
    <row r="22" ht="30" customHeight="1">
      <c r="A22" s="3" t="inlineStr">
        <is>
          <t>Construction and other remainder</t>
        </is>
      </c>
      <c r="B22" s="3" t="inlineStr">
        <is>
          <t>decision</t>
        </is>
      </c>
      <c r="C22" s="3" t="inlineStr">
        <is>
          <t>Workshop input</t>
        </is>
      </c>
      <c r="D22" s="118" t="n"/>
      <c r="E22" s="10" t="inlineStr">
        <is>
          <t>Reconcile the combined baseline with manufacturing, mining and… [N154]</t>
        </is>
      </c>
      <c r="F22" s="119" t="n"/>
      <c r="G22" s="119" t="n"/>
      <c r="H22" s="119" t="n"/>
      <c r="I22" s="119" t="n"/>
      <c r="J22" s="119" t="n"/>
      <c r="K22" s="119" t="n"/>
      <c r="L22" s="119" t="n"/>
      <c r="M22" s="119" t="n"/>
      <c r="N22" s="119" t="n"/>
      <c r="O22" s="119" t="n"/>
      <c r="P22" s="119" t="n"/>
      <c r="Q22" s="119" t="n"/>
      <c r="R22" s="119" t="n"/>
      <c r="S22" s="119" t="n"/>
      <c r="T22" s="3" t="n"/>
      <c r="U22" s="3" t="n"/>
      <c r="V22" s="3" t="n"/>
    </row>
    <row r="23" ht="8" customHeight="1">
      <c r="A23" s="3" t="n"/>
      <c r="B23" s="3" t="n"/>
      <c r="C23" s="3" t="n"/>
      <c r="D23" s="3" t="n"/>
      <c r="E23" s="3" t="n"/>
      <c r="F23" s="6" t="n"/>
      <c r="G23" s="6" t="n"/>
      <c r="H23" s="6" t="n"/>
      <c r="I23" s="6" t="n"/>
      <c r="J23" s="6" t="n"/>
      <c r="K23" s="6" t="n"/>
      <c r="L23" s="6" t="n"/>
      <c r="M23" s="6" t="n"/>
      <c r="N23" s="6" t="n"/>
      <c r="O23" s="6" t="n"/>
      <c r="P23" s="6" t="n"/>
      <c r="Q23" s="6" t="n"/>
      <c r="R23" s="6" t="n"/>
      <c r="S23" s="6" t="n"/>
      <c r="T23" s="3" t="n"/>
      <c r="U23" s="3" t="n"/>
      <c r="V23" s="3" t="n"/>
    </row>
    <row r="24" ht="30" customHeight="1">
      <c r="A24" s="3" t="inlineStr">
        <is>
          <t>H/M/L brackets and reference case</t>
        </is>
      </c>
      <c r="B24" s="3" t="inlineStr">
        <is>
          <t>decision</t>
        </is>
      </c>
      <c r="C24" s="3" t="inlineStr">
        <is>
          <t>Workshop input</t>
        </is>
      </c>
      <c r="D24" s="118" t="n"/>
      <c r="E24" s="10" t="inlineStr">
        <is>
          <t>Agree mining activity, intensity and electrification separately.… [N155]</t>
        </is>
      </c>
      <c r="F24" s="119" t="n"/>
      <c r="G24" s="119" t="n"/>
      <c r="H24" s="119" t="n"/>
      <c r="I24" s="119" t="n"/>
      <c r="J24" s="119" t="n"/>
      <c r="K24" s="119" t="n"/>
      <c r="L24" s="119" t="n"/>
      <c r="M24" s="119" t="n"/>
      <c r="N24" s="119" t="n"/>
      <c r="O24" s="119" t="n"/>
      <c r="P24" s="119" t="n"/>
      <c r="Q24" s="119" t="n"/>
      <c r="R24" s="119" t="n"/>
      <c r="S24" s="119" t="n"/>
      <c r="T24" s="3" t="n"/>
      <c r="U24" s="3" t="n"/>
      <c r="V24" s="3" t="n"/>
    </row>
    <row r="25" ht="8" customHeight="1">
      <c r="A25" s="3" t="n"/>
      <c r="B25" s="3" t="n"/>
      <c r="C25" s="3" t="n"/>
      <c r="D25" s="3" t="n"/>
      <c r="E25" s="3" t="n"/>
      <c r="F25" s="6" t="n"/>
      <c r="G25" s="6" t="n"/>
      <c r="H25" s="6" t="n"/>
      <c r="I25" s="6" t="n"/>
      <c r="J25" s="6" t="n"/>
      <c r="K25" s="6" t="n"/>
      <c r="L25" s="6" t="n"/>
      <c r="M25" s="6" t="n"/>
      <c r="N25" s="6" t="n"/>
      <c r="O25" s="6" t="n"/>
      <c r="P25" s="6" t="n"/>
      <c r="Q25" s="6" t="n"/>
      <c r="R25" s="6" t="n"/>
      <c r="S25" s="6" t="n"/>
      <c r="T25" s="3" t="n"/>
      <c r="U25" s="3" t="n"/>
      <c r="V25" s="3" t="n"/>
    </row>
    <row r="26" ht="30" customHeight="1">
      <c r="A26" s="3" t="inlineStr">
        <is>
          <t>Input source</t>
        </is>
      </c>
      <c r="B26" s="3" t="inlineStr">
        <is>
          <t>URL</t>
        </is>
      </c>
      <c r="C26" s="3" t="inlineStr">
        <is>
          <t>Source</t>
        </is>
      </c>
      <c r="D26" s="121" t="n"/>
      <c r="E26" s="3" t="inlineStr">
        <is>
          <t>https://github.com/Africa-International-Advisors/liquid_fuels_mode… [N156]</t>
        </is>
      </c>
      <c r="F26" s="122" t="n"/>
      <c r="G26" s="122" t="n"/>
      <c r="H26" s="122" t="n"/>
      <c r="I26" s="122" t="n"/>
      <c r="J26" s="122" t="n"/>
      <c r="K26" s="122" t="n"/>
      <c r="L26" s="122" t="n"/>
      <c r="M26" s="122" t="n"/>
      <c r="N26" s="122" t="n"/>
      <c r="O26" s="122" t="n"/>
      <c r="P26" s="122" t="n"/>
      <c r="Q26" s="122" t="n"/>
      <c r="R26" s="122" t="n"/>
      <c r="S26" s="122" t="n"/>
      <c r="T26" s="3" t="n"/>
      <c r="U26" s="3" t="n"/>
      <c r="V26" s="3" t="n"/>
    </row>
    <row r="27" ht="8" customHeight="1">
      <c r="A27" s="3" t="n"/>
      <c r="B27" s="3" t="n"/>
      <c r="C27" s="3" t="n"/>
      <c r="D27" s="3" t="n"/>
      <c r="E27" s="3" t="n"/>
      <c r="F27" s="6" t="n"/>
      <c r="G27" s="6" t="n"/>
      <c r="H27" s="6" t="n"/>
      <c r="I27" s="6" t="n"/>
      <c r="J27" s="6" t="n"/>
      <c r="K27" s="6" t="n"/>
      <c r="L27" s="6" t="n"/>
      <c r="M27" s="6" t="n"/>
      <c r="N27" s="6" t="n"/>
      <c r="O27" s="6" t="n"/>
      <c r="P27" s="6" t="n"/>
      <c r="Q27" s="6" t="n"/>
      <c r="R27" s="6" t="n"/>
      <c r="S27" s="6" t="n"/>
      <c r="T27" s="3" t="n"/>
      <c r="U27" s="3" t="n"/>
      <c r="V27" s="3" t="n"/>
    </row>
    <row r="28" ht="28" customHeight="1">
      <c r="A28" s="12" t="inlineStr">
        <is>
          <t>Available mining evidence</t>
        </is>
      </c>
      <c r="B28" s="11" t="n"/>
      <c r="C28" s="11" t="n"/>
      <c r="D28" s="11" t="n"/>
      <c r="E28" s="11" t="n"/>
      <c r="F28" s="25" t="n"/>
      <c r="G28" s="25" t="n"/>
      <c r="H28" s="25" t="n"/>
      <c r="I28" s="25" t="n"/>
      <c r="J28" s="25" t="n"/>
      <c r="K28" s="25" t="n"/>
      <c r="L28" s="25" t="n"/>
      <c r="M28" s="25" t="n"/>
      <c r="N28" s="25" t="n"/>
      <c r="O28" s="25" t="n"/>
      <c r="P28" s="25" t="n"/>
      <c r="Q28" s="25" t="n"/>
      <c r="R28" s="25" t="n"/>
      <c r="S28" s="25" t="n"/>
      <c r="T28" s="11" t="n"/>
      <c r="U28" s="11" t="n"/>
      <c r="V28" s="11" t="n"/>
    </row>
    <row r="29" ht="30" customHeight="1">
      <c r="A29" s="65" t="inlineStr">
        <is>
          <t>Mining production volume</t>
        </is>
      </c>
      <c r="B29" s="65" t="inlineStr">
        <is>
          <t>index 2019=100</t>
        </is>
      </c>
      <c r="C29" s="65" t="inlineStr">
        <is>
          <t>Staged observation</t>
        </is>
      </c>
      <c r="D29" s="114">
        <f>IF(ISNUMBER('Evidence'!D31),'Evidence'!D31,"")</f>
        <v/>
      </c>
      <c r="E29" s="65" t="inlineStr">
        <is>
          <t>Arithmetic mean of all 12 monthly production indices; 2026… [N157]</t>
        </is>
      </c>
      <c r="F29" s="115">
        <f>IF(ISNUMBER('Evidence'!F31),'Evidence'!F31,"")</f>
        <v/>
      </c>
      <c r="G29" s="115">
        <f>IF(ISNUMBER('Evidence'!G31),'Evidence'!G31,"")</f>
        <v/>
      </c>
      <c r="H29" s="115">
        <f>IF(ISNUMBER('Evidence'!H31),'Evidence'!H31,"")</f>
        <v/>
      </c>
      <c r="I29" s="115">
        <f>IF(ISNUMBER('Evidence'!I31),'Evidence'!I31,"")</f>
        <v/>
      </c>
      <c r="J29" s="115">
        <f>IF(ISNUMBER('Evidence'!J31),'Evidence'!J31,"")</f>
        <v/>
      </c>
      <c r="K29" s="115">
        <f>IF(ISNUMBER('Evidence'!K31),'Evidence'!K31,"")</f>
        <v/>
      </c>
      <c r="L29" s="115">
        <f>IF(ISNUMBER('Evidence'!L31),'Evidence'!L31,"")</f>
        <v/>
      </c>
      <c r="M29" s="115">
        <f>IF(ISNUMBER('Evidence'!M31),'Evidence'!M31,"")</f>
        <v/>
      </c>
      <c r="N29" s="115">
        <f>IF(ISNUMBER('Evidence'!N31),'Evidence'!N31,"")</f>
        <v/>
      </c>
      <c r="O29" s="115">
        <f>IF(ISNUMBER('Evidence'!O31),'Evidence'!O31,"")</f>
        <v/>
      </c>
      <c r="P29" s="115">
        <f>IF(ISNUMBER('Evidence'!P31),'Evidence'!P31,"")</f>
        <v/>
      </c>
      <c r="Q29" s="115">
        <f>IF(ISNUMBER('Evidence'!Q31),'Evidence'!Q31,"")</f>
        <v/>
      </c>
      <c r="R29" s="115">
        <f>IF(ISNUMBER('Evidence'!R31),'Evidence'!R31,"")</f>
        <v/>
      </c>
      <c r="S29" s="115">
        <f>IF(ISNUMBER('Evidence'!S31),'Evidence'!S31,"")</f>
        <v/>
      </c>
      <c r="T29" s="3" t="inlineStr">
        <is>
          <t>Unreviewed source extract; annual cells contain… [N158]</t>
        </is>
      </c>
      <c r="U29" s="3" t="inlineStr">
        <is>
          <t>Evidence row 31;… [N159]</t>
        </is>
      </c>
      <c r="V29" s="3" t="inlineStr">
        <is>
          <t>G07: test commodity output versus material… [N160]</t>
        </is>
      </c>
    </row>
    <row r="30" ht="30" customHeight="1">
      <c r="A30" s="65" t="inlineStr">
        <is>
          <t>Mining/quarrying real GVA</t>
        </is>
      </c>
      <c r="B30" s="65" t="inlineStr">
        <is>
          <t>bn 2015 ZAR</t>
        </is>
      </c>
      <c r="C30" s="65" t="inlineStr">
        <is>
          <t>Staged observation</t>
        </is>
      </c>
      <c r="D30" s="114">
        <f>IF(ISNUMBER('Evidence'!D28),'Evidence'!D28,"")</f>
        <v/>
      </c>
      <c r="E30" s="65" t="inlineStr">
        <is>
          <t>Stats SA annual actual in staged reporting copy. Sector value… [N161]</t>
        </is>
      </c>
      <c r="F30" s="115">
        <f>IF(ISNUMBER('Evidence'!F28),'Evidence'!F28,"")</f>
        <v/>
      </c>
      <c r="G30" s="115">
        <f>IF(ISNUMBER('Evidence'!G28),'Evidence'!G28,"")</f>
        <v/>
      </c>
      <c r="H30" s="115">
        <f>IF(ISNUMBER('Evidence'!H28),'Evidence'!H28,"")</f>
        <v/>
      </c>
      <c r="I30" s="115">
        <f>IF(ISNUMBER('Evidence'!I28),'Evidence'!I28,"")</f>
        <v/>
      </c>
      <c r="J30" s="115">
        <f>IF(ISNUMBER('Evidence'!J28),'Evidence'!J28,"")</f>
        <v/>
      </c>
      <c r="K30" s="115">
        <f>IF(ISNUMBER('Evidence'!K28),'Evidence'!K28,"")</f>
        <v/>
      </c>
      <c r="L30" s="115">
        <f>IF(ISNUMBER('Evidence'!L28),'Evidence'!L28,"")</f>
        <v/>
      </c>
      <c r="M30" s="115">
        <f>IF(ISNUMBER('Evidence'!M28),'Evidence'!M28,"")</f>
        <v/>
      </c>
      <c r="N30" s="115">
        <f>IF(ISNUMBER('Evidence'!N28),'Evidence'!N28,"")</f>
        <v/>
      </c>
      <c r="O30" s="115">
        <f>IF(ISNUMBER('Evidence'!O28),'Evidence'!O28,"")</f>
        <v/>
      </c>
      <c r="P30" s="115">
        <f>IF(ISNUMBER('Evidence'!P28),'Evidence'!P28,"")</f>
        <v/>
      </c>
      <c r="Q30" s="115">
        <f>IF(ISNUMBER('Evidence'!Q28),'Evidence'!Q28,"")</f>
        <v/>
      </c>
      <c r="R30" s="115">
        <f>IF(ISNUMBER('Evidence'!R28),'Evidence'!R28,"")</f>
        <v/>
      </c>
      <c r="S30" s="115">
        <f>IF(ISNUMBER('Evidence'!S28),'Evidence'!S28,"")</f>
        <v/>
      </c>
      <c r="T30" s="3" t="inlineStr">
        <is>
          <t>Unreviewed source extract; annual cells contain… [N162]</t>
        </is>
      </c>
      <c r="U30" s="3" t="inlineStr">
        <is>
          <t>Evidence row 28;… [N163]</t>
        </is>
      </c>
      <c r="V30" s="3" t="inlineStr">
        <is>
          <t>G07: alternative activity proxy; do not multiply… [N164]</t>
        </is>
      </c>
    </row>
    <row r="31" ht="30" customHeight="1">
      <c r="A31" s="65" t="inlineStr">
        <is>
          <t>2021 mining/quarrying diesel</t>
        </is>
      </c>
      <c r="B31" s="65" t="inlineStr">
        <is>
          <t>million L/year</t>
        </is>
      </c>
      <c r="C31" s="65" t="inlineStr">
        <is>
          <t>Staged observation</t>
        </is>
      </c>
      <c r="D31" s="114">
        <f>IF(ISNUMBER('Evidence'!D42),'Evidence'!D42,"")</f>
        <v/>
      </c>
      <c r="E31" s="65" t="inlineStr">
        <is>
          <t>D is a 2021 anchor. Not a 2022 observation or approved starting assumption.</t>
        </is>
      </c>
      <c r="F31" s="115" t="n"/>
      <c r="G31" s="115" t="n"/>
      <c r="H31" s="115" t="n"/>
      <c r="I31" s="115" t="n"/>
      <c r="J31" s="115" t="n"/>
      <c r="K31" s="115" t="n"/>
      <c r="L31" s="115" t="n"/>
      <c r="M31" s="115" t="n"/>
      <c r="N31" s="115" t="n"/>
      <c r="O31" s="115" t="n"/>
      <c r="P31" s="115" t="n"/>
      <c r="Q31" s="115" t="n"/>
      <c r="R31" s="115" t="n"/>
      <c r="S31" s="115" t="n"/>
      <c r="T31" s="3" t="inlineStr">
        <is>
          <t>Source fuel use available only through 2021.</t>
        </is>
      </c>
      <c r="U31" s="3" t="inlineStr">
        <is>
          <t>https://github.com/Africa-International-Advisors/liq… [N165]</t>
        </is>
      </c>
      <c r="V31" s="3" t="inlineStr">
        <is>
          <t>G07: verify machinery/haulage/backup boundaries and… [N166]</t>
        </is>
      </c>
    </row>
    <row r="32" ht="8" customHeight="1">
      <c r="A32" s="3" t="n"/>
      <c r="B32" s="3" t="n"/>
      <c r="C32" s="3" t="n"/>
      <c r="D32" s="3" t="n"/>
      <c r="E32" s="3" t="n"/>
      <c r="F32" s="6" t="n"/>
      <c r="G32" s="6" t="n"/>
      <c r="H32" s="6" t="n"/>
      <c r="I32" s="6" t="n"/>
      <c r="J32" s="6" t="n"/>
      <c r="K32" s="6" t="n"/>
      <c r="L32" s="6" t="n"/>
      <c r="M32" s="6" t="n"/>
      <c r="N32" s="6" t="n"/>
      <c r="O32" s="6" t="n"/>
      <c r="P32" s="6" t="n"/>
      <c r="Q32" s="6" t="n"/>
      <c r="R32" s="6" t="n"/>
      <c r="S32" s="6" t="n"/>
      <c r="T32" s="3" t="n"/>
      <c r="U32" s="3" t="n"/>
      <c r="V32" s="3" t="n"/>
    </row>
    <row r="33" ht="8" customHeight="1">
      <c r="A33" s="3" t="n"/>
      <c r="B33" s="3" t="n"/>
      <c r="C33" s="3" t="n"/>
      <c r="D33" s="3" t="n"/>
      <c r="E33" s="3" t="n"/>
      <c r="F33" s="6" t="n"/>
      <c r="G33" s="6" t="n"/>
      <c r="H33" s="6" t="n"/>
      <c r="I33" s="6" t="n"/>
      <c r="J33" s="6" t="n"/>
      <c r="K33" s="6" t="n"/>
      <c r="L33" s="6" t="n"/>
      <c r="M33" s="6" t="n"/>
      <c r="N33" s="6" t="n"/>
      <c r="O33" s="6" t="n"/>
      <c r="P33" s="6" t="n"/>
      <c r="Q33" s="6" t="n"/>
      <c r="R33" s="6" t="n"/>
      <c r="S33" s="6" t="n"/>
      <c r="T33" s="3" t="n"/>
      <c r="U33" s="3" t="n"/>
      <c r="V33" s="3" t="n"/>
    </row>
    <row r="34" ht="8" customHeight="1">
      <c r="A34" s="3" t="n"/>
      <c r="B34" s="3" t="n"/>
      <c r="C34" s="3" t="n"/>
      <c r="D34" s="3" t="n"/>
      <c r="E34" s="3" t="n"/>
      <c r="F34" s="6" t="n"/>
      <c r="G34" s="6" t="n"/>
      <c r="H34" s="6" t="n"/>
      <c r="I34" s="6" t="n"/>
      <c r="J34" s="6" t="n"/>
      <c r="K34" s="6" t="n"/>
      <c r="L34" s="6" t="n"/>
      <c r="M34" s="6" t="n"/>
      <c r="N34" s="6" t="n"/>
      <c r="O34" s="6" t="n"/>
      <c r="P34" s="6" t="n"/>
      <c r="Q34" s="6" t="n"/>
      <c r="R34" s="6" t="n"/>
      <c r="S34" s="6" t="n"/>
      <c r="T34" s="3" t="n"/>
      <c r="U34" s="3" t="n"/>
      <c r="V34" s="3" t="n"/>
    </row>
    <row r="35" ht="8" customHeight="1">
      <c r="A35" s="3" t="n"/>
      <c r="B35" s="3" t="n"/>
      <c r="C35" s="3" t="n"/>
      <c r="D35" s="3" t="n"/>
      <c r="E35" s="3" t="n"/>
      <c r="F35" s="6" t="n"/>
      <c r="G35" s="6" t="n"/>
      <c r="H35" s="6" t="n"/>
      <c r="I35" s="6" t="n"/>
      <c r="J35" s="6" t="n"/>
      <c r="K35" s="6" t="n"/>
      <c r="L35" s="6" t="n"/>
      <c r="M35" s="6" t="n"/>
      <c r="N35" s="6" t="n"/>
      <c r="O35" s="6" t="n"/>
      <c r="P35" s="6" t="n"/>
      <c r="Q35" s="6" t="n"/>
      <c r="R35" s="6" t="n"/>
      <c r="S35" s="6" t="n"/>
      <c r="T35" s="3" t="n"/>
      <c r="U35" s="3" t="n"/>
      <c r="V35" s="3" t="n"/>
    </row>
    <row r="36" ht="8" customHeight="1">
      <c r="A36" s="102" t="n"/>
      <c r="B36" s="102" t="n"/>
      <c r="C36" s="102" t="n"/>
      <c r="D36" s="102" t="n"/>
      <c r="E36" s="102" t="n"/>
      <c r="F36" s="104" t="n"/>
      <c r="G36" s="104" t="n"/>
      <c r="H36" s="104" t="n"/>
      <c r="I36" s="104" t="n"/>
      <c r="J36" s="104" t="n"/>
      <c r="K36" s="104" t="n"/>
      <c r="L36" s="104" t="n"/>
      <c r="M36" s="104" t="n"/>
      <c r="N36" s="104" t="n"/>
      <c r="O36" s="104" t="n"/>
      <c r="P36" s="104" t="n"/>
      <c r="Q36" s="104" t="n"/>
      <c r="R36" s="104" t="n"/>
      <c r="S36" s="104" t="n"/>
      <c r="T36" s="3" t="n"/>
      <c r="U36" s="3" t="n"/>
      <c r="V36" s="3" t="n"/>
    </row>
    <row r="37" ht="8" customHeight="1">
      <c r="A37" s="102" t="n"/>
      <c r="B37" s="102" t="n"/>
      <c r="C37" s="102" t="n"/>
      <c r="D37" s="102" t="n"/>
      <c r="E37" s="102" t="n"/>
      <c r="F37" s="104" t="n"/>
      <c r="G37" s="104" t="n"/>
      <c r="H37" s="104" t="n"/>
      <c r="I37" s="104" t="n"/>
      <c r="J37" s="104" t="n"/>
      <c r="K37" s="104" t="n"/>
      <c r="L37" s="104" t="n"/>
      <c r="M37" s="104" t="n"/>
      <c r="N37" s="104" t="n"/>
      <c r="O37" s="104" t="n"/>
      <c r="P37" s="104" t="n"/>
      <c r="Q37" s="104" t="n"/>
      <c r="R37" s="104" t="n"/>
      <c r="S37" s="104" t="n"/>
      <c r="T37" s="3" t="n"/>
      <c r="U37" s="3" t="n"/>
      <c r="V37" s="3" t="n"/>
    </row>
    <row r="38" ht="8" customHeight="1">
      <c r="A38" s="102" t="n"/>
      <c r="B38" s="102" t="n"/>
      <c r="C38" s="102" t="n"/>
      <c r="D38" s="102" t="n"/>
      <c r="E38" s="102" t="n"/>
      <c r="F38" s="104" t="n"/>
      <c r="G38" s="104" t="n"/>
      <c r="H38" s="104" t="n"/>
      <c r="I38" s="104" t="n"/>
      <c r="J38" s="104" t="n"/>
      <c r="K38" s="104" t="n"/>
      <c r="L38" s="104" t="n"/>
      <c r="M38" s="104" t="n"/>
      <c r="N38" s="104" t="n"/>
      <c r="O38" s="104" t="n"/>
      <c r="P38" s="104" t="n"/>
      <c r="Q38" s="104" t="n"/>
      <c r="R38" s="104" t="n"/>
      <c r="S38" s="104" t="n"/>
      <c r="T38" s="3" t="n"/>
      <c r="U38" s="3" t="n"/>
      <c r="V38" s="3" t="n"/>
    </row>
    <row r="39" ht="8" customHeight="1">
      <c r="A39" s="102" t="n"/>
      <c r="B39" s="102" t="n"/>
      <c r="C39" s="102" t="n"/>
      <c r="D39" s="102" t="n"/>
      <c r="E39" s="102" t="n"/>
      <c r="F39" s="104" t="n"/>
      <c r="G39" s="104" t="n"/>
      <c r="H39" s="104" t="n"/>
      <c r="I39" s="104" t="n"/>
      <c r="J39" s="104" t="n"/>
      <c r="K39" s="104" t="n"/>
      <c r="L39" s="104" t="n"/>
      <c r="M39" s="104" t="n"/>
      <c r="N39" s="104" t="n"/>
      <c r="O39" s="104" t="n"/>
      <c r="P39" s="104" t="n"/>
      <c r="Q39" s="104" t="n"/>
      <c r="R39" s="104" t="n"/>
      <c r="S39" s="104" t="n"/>
      <c r="T39" s="3" t="n"/>
      <c r="U39" s="3" t="n"/>
      <c r="V39" s="3" t="n"/>
    </row>
    <row r="40" ht="8" customHeight="1">
      <c r="A40" s="102" t="n"/>
      <c r="B40" s="102" t="n"/>
      <c r="C40" s="102" t="n"/>
      <c r="D40" s="102" t="n"/>
      <c r="E40" s="102" t="n"/>
      <c r="F40" s="104" t="n"/>
      <c r="G40" s="104" t="n"/>
      <c r="H40" s="104" t="n"/>
      <c r="I40" s="104" t="n"/>
      <c r="J40" s="104" t="n"/>
      <c r="K40" s="104" t="n"/>
      <c r="L40" s="104" t="n"/>
      <c r="M40" s="104" t="n"/>
      <c r="N40" s="104" t="n"/>
      <c r="O40" s="104" t="n"/>
      <c r="P40" s="104" t="n"/>
      <c r="Q40" s="104" t="n"/>
      <c r="R40" s="104" t="n"/>
      <c r="S40" s="104" t="n"/>
      <c r="T40" s="3" t="n"/>
      <c r="U40" s="3" t="n"/>
      <c r="V40" s="3" t="n"/>
    </row>
    <row r="41" ht="8" customHeight="1">
      <c r="A41" s="102" t="n"/>
      <c r="B41" s="102" t="n"/>
      <c r="C41" s="102" t="n"/>
      <c r="D41" s="102" t="n"/>
      <c r="E41" s="102" t="n"/>
      <c r="F41" s="104" t="n"/>
      <c r="G41" s="104" t="n"/>
      <c r="H41" s="104" t="n"/>
      <c r="I41" s="104" t="n"/>
      <c r="J41" s="104" t="n"/>
      <c r="K41" s="104" t="n"/>
      <c r="L41" s="104" t="n"/>
      <c r="M41" s="104" t="n"/>
      <c r="N41" s="104" t="n"/>
      <c r="O41" s="104" t="n"/>
      <c r="P41" s="104" t="n"/>
      <c r="Q41" s="104" t="n"/>
      <c r="R41" s="104" t="n"/>
      <c r="S41" s="104" t="n"/>
      <c r="T41" s="3" t="n"/>
      <c r="U41" s="3" t="n"/>
      <c r="V41" s="3" t="n"/>
    </row>
    <row r="42" ht="8" customHeight="1">
      <c r="A42" s="102" t="n"/>
      <c r="B42" s="102" t="n"/>
      <c r="C42" s="102" t="n"/>
      <c r="D42" s="102" t="n"/>
      <c r="E42" s="102" t="n"/>
      <c r="F42" s="104" t="n"/>
      <c r="G42" s="104" t="n"/>
      <c r="H42" s="104" t="n"/>
      <c r="I42" s="104" t="n"/>
      <c r="J42" s="104" t="n"/>
      <c r="K42" s="104" t="n"/>
      <c r="L42" s="104" t="n"/>
      <c r="M42" s="104" t="n"/>
      <c r="N42" s="104" t="n"/>
      <c r="O42" s="104" t="n"/>
      <c r="P42" s="104" t="n"/>
      <c r="Q42" s="104" t="n"/>
      <c r="R42" s="104" t="n"/>
      <c r="S42" s="104" t="n"/>
      <c r="T42" s="3" t="n"/>
      <c r="U42" s="3" t="n"/>
      <c r="V42" s="3"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V60"/>
  <sheetViews>
    <sheetView showGridLines="0" workbookViewId="0">
      <pane xSplit="1" ySplit="4" topLeftCell="B5" activePane="bottomRigh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5" t="inlineStr">
        <is>
          <t>Power, aviation and marine demand</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6" t="inlineStr">
        <is>
          <t>Current engine inputs and available observations • Partial periods and fiscal years remain explicit.</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Driver / output</t>
        </is>
      </c>
      <c r="B4" s="9" t="inlineStr">
        <is>
          <t>Unit</t>
        </is>
      </c>
      <c r="C4" s="9" t="inlineStr">
        <is>
          <t>Role</t>
        </is>
      </c>
      <c r="D4" s="9" t="inlineStr">
        <is>
          <t>Scalar / latest value</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Coverage / status</t>
        </is>
      </c>
      <c r="U4" s="9" t="inlineStr">
        <is>
          <t>Source</t>
        </is>
      </c>
      <c r="V4" s="9" t="inlineStr">
        <is>
          <t>Missing evidence / next action</t>
        </is>
      </c>
    </row>
    <row r="5" ht="28" customHeight="1">
      <c r="A5" s="12" t="inlineStr">
        <is>
          <t>Power-generation diesel</t>
        </is>
      </c>
      <c r="B5" s="11" t="n"/>
      <c r="C5" s="11" t="n"/>
      <c r="D5" s="11" t="n"/>
      <c r="E5" s="11" t="n"/>
      <c r="F5" s="25" t="n"/>
      <c r="G5" s="25" t="n"/>
      <c r="H5" s="25" t="n"/>
      <c r="I5" s="25" t="n"/>
      <c r="J5" s="25" t="n"/>
      <c r="K5" s="25" t="n"/>
      <c r="L5" s="25" t="n"/>
      <c r="M5" s="25" t="n"/>
      <c r="N5" s="25" t="n"/>
      <c r="O5" s="25" t="n"/>
      <c r="P5" s="25" t="n"/>
      <c r="Q5" s="25" t="n"/>
      <c r="R5" s="25" t="n"/>
      <c r="S5" s="25" t="n"/>
      <c r="T5" s="11" t="n"/>
      <c r="U5" s="11" t="n"/>
      <c r="V5" s="11" t="n"/>
    </row>
    <row r="6" ht="30" customHeight="1">
      <c r="A6" s="65" t="inlineStr">
        <is>
          <t>Eskom OCGT generation</t>
        </is>
      </c>
      <c r="B6" s="65" t="inlineStr">
        <is>
          <t>GWh / financial year</t>
        </is>
      </c>
      <c r="C6" s="65" t="inlineStr">
        <is>
          <t>Staged observation</t>
        </is>
      </c>
      <c r="D6" s="114">
        <f>IF(ISNUMBER('Evidence'!D34),'Evidence'!D34,"")</f>
        <v/>
      </c>
      <c r="E6" s="65" t="inlineStr">
        <is>
          <t>Full financial year ending 31 March in the column year. Not… [N167]</t>
        </is>
      </c>
      <c r="F6" s="115">
        <f>IF(ISNUMBER('Evidence'!F34),'Evidence'!F34,"")</f>
        <v/>
      </c>
      <c r="G6" s="115">
        <f>IF(ISNUMBER('Evidence'!G34),'Evidence'!G34,"")</f>
        <v/>
      </c>
      <c r="H6" s="115">
        <f>IF(ISNUMBER('Evidence'!H34),'Evidence'!H34,"")</f>
        <v/>
      </c>
      <c r="I6" s="115">
        <f>IF(ISNUMBER('Evidence'!I34),'Evidence'!I34,"")</f>
        <v/>
      </c>
      <c r="J6" s="115">
        <f>IF(ISNUMBER('Evidence'!J34),'Evidence'!J34,"")</f>
        <v/>
      </c>
      <c r="K6" s="115">
        <f>IF(ISNUMBER('Evidence'!K34),'Evidence'!K34,"")</f>
        <v/>
      </c>
      <c r="L6" s="115">
        <f>IF(ISNUMBER('Evidence'!L34),'Evidence'!L34,"")</f>
        <v/>
      </c>
      <c r="M6" s="115">
        <f>IF(ISNUMBER('Evidence'!M34),'Evidence'!M34,"")</f>
        <v/>
      </c>
      <c r="N6" s="115">
        <f>IF(ISNUMBER('Evidence'!N34),'Evidence'!N34,"")</f>
        <v/>
      </c>
      <c r="O6" s="115">
        <f>IF(ISNUMBER('Evidence'!O34),'Evidence'!O34,"")</f>
        <v/>
      </c>
      <c r="P6" s="115">
        <f>IF(ISNUMBER('Evidence'!P34),'Evidence'!P34,"")</f>
        <v/>
      </c>
      <c r="Q6" s="115">
        <f>IF(ISNUMBER('Evidence'!Q34),'Evidence'!Q34,"")</f>
        <v/>
      </c>
      <c r="R6" s="115">
        <f>IF(ISNUMBER('Evidence'!R34),'Evidence'!R34,"")</f>
        <v/>
      </c>
      <c r="S6" s="115">
        <f>IF(ISNUMBER('Evidence'!S34),'Evidence'!S34,"")</f>
        <v/>
      </c>
      <c r="T6" s="3" t="inlineStr">
        <is>
          <t>Unreviewed source extract; annual cells contain… [N168]</t>
        </is>
      </c>
      <c r="U6" s="3" t="inlineStr">
        <is>
          <t>Evidence row 34;… [N169]</t>
        </is>
      </c>
      <c r="V6" s="3" t="inlineStr">
        <is>
          <t>G09: source matched litres and convert FY evidence… [N170]</t>
        </is>
      </c>
    </row>
    <row r="7" ht="30" customHeight="1">
      <c r="A7" s="65" t="inlineStr">
        <is>
          <t>IPP OCGT generation</t>
        </is>
      </c>
      <c r="B7" s="65" t="inlineStr">
        <is>
          <t>GWh / financial year</t>
        </is>
      </c>
      <c r="C7" s="65" t="inlineStr">
        <is>
          <t>Staged observation</t>
        </is>
      </c>
      <c r="D7" s="114">
        <f>IF(ISNUMBER('Evidence'!D35),'Evidence'!D35,"")</f>
        <v/>
      </c>
      <c r="E7" s="65" t="inlineStr">
        <is>
          <t>Full financial year ending 31 March in the column year. Not… [N171]</t>
        </is>
      </c>
      <c r="F7" s="115">
        <f>IF(ISNUMBER('Evidence'!F35),'Evidence'!F35,"")</f>
        <v/>
      </c>
      <c r="G7" s="115">
        <f>IF(ISNUMBER('Evidence'!G35),'Evidence'!G35,"")</f>
        <v/>
      </c>
      <c r="H7" s="115">
        <f>IF(ISNUMBER('Evidence'!H35),'Evidence'!H35,"")</f>
        <v/>
      </c>
      <c r="I7" s="115">
        <f>IF(ISNUMBER('Evidence'!I35),'Evidence'!I35,"")</f>
        <v/>
      </c>
      <c r="J7" s="115">
        <f>IF(ISNUMBER('Evidence'!J35),'Evidence'!J35,"")</f>
        <v/>
      </c>
      <c r="K7" s="115">
        <f>IF(ISNUMBER('Evidence'!K35),'Evidence'!K35,"")</f>
        <v/>
      </c>
      <c r="L7" s="115">
        <f>IF(ISNUMBER('Evidence'!L35),'Evidence'!L35,"")</f>
        <v/>
      </c>
      <c r="M7" s="115">
        <f>IF(ISNUMBER('Evidence'!M35),'Evidence'!M35,"")</f>
        <v/>
      </c>
      <c r="N7" s="115">
        <f>IF(ISNUMBER('Evidence'!N35),'Evidence'!N35,"")</f>
        <v/>
      </c>
      <c r="O7" s="115">
        <f>IF(ISNUMBER('Evidence'!O35),'Evidence'!O35,"")</f>
        <v/>
      </c>
      <c r="P7" s="115">
        <f>IF(ISNUMBER('Evidence'!P35),'Evidence'!P35,"")</f>
        <v/>
      </c>
      <c r="Q7" s="115">
        <f>IF(ISNUMBER('Evidence'!Q35),'Evidence'!Q35,"")</f>
        <v/>
      </c>
      <c r="R7" s="115">
        <f>IF(ISNUMBER('Evidence'!R35),'Evidence'!R35,"")</f>
        <v/>
      </c>
      <c r="S7" s="115">
        <f>IF(ISNUMBER('Evidence'!S35),'Evidence'!S35,"")</f>
        <v/>
      </c>
      <c r="T7" s="3" t="inlineStr">
        <is>
          <t>Unreviewed source extract; annual cells contain… [N172]</t>
        </is>
      </c>
      <c r="U7" s="3" t="inlineStr">
        <is>
          <t>Evidence row 35;… [N173]</t>
        </is>
      </c>
      <c r="V7" s="3" t="inlineStr">
        <is>
          <t>G09: match plant set and fuel-burn evidence.</t>
        </is>
      </c>
    </row>
    <row r="8" ht="30" customHeight="1">
      <c r="A8" s="65" t="inlineStr">
        <is>
          <t>Combined OCGT generation</t>
        </is>
      </c>
      <c r="B8" s="65" t="inlineStr">
        <is>
          <t>GWh / financial year</t>
        </is>
      </c>
      <c r="C8" s="65" t="inlineStr">
        <is>
          <t>Staged observation</t>
        </is>
      </c>
      <c r="D8" s="114">
        <f>IF(ISNUMBER('Evidence'!D36),'Evidence'!D36,"")</f>
        <v/>
      </c>
      <c r="E8" s="65" t="inlineStr">
        <is>
          <t>Full financial year ending 31 March in the column year. Not… [N174]</t>
        </is>
      </c>
      <c r="F8" s="115">
        <f>IF(ISNUMBER('Evidence'!F36),'Evidence'!F36,"")</f>
        <v/>
      </c>
      <c r="G8" s="115">
        <f>IF(ISNUMBER('Evidence'!G36),'Evidence'!G36,"")</f>
        <v/>
      </c>
      <c r="H8" s="115">
        <f>IF(ISNUMBER('Evidence'!H36),'Evidence'!H36,"")</f>
        <v/>
      </c>
      <c r="I8" s="115">
        <f>IF(ISNUMBER('Evidence'!I36),'Evidence'!I36,"")</f>
        <v/>
      </c>
      <c r="J8" s="115">
        <f>IF(ISNUMBER('Evidence'!J36),'Evidence'!J36,"")</f>
        <v/>
      </c>
      <c r="K8" s="115">
        <f>IF(ISNUMBER('Evidence'!K36),'Evidence'!K36,"")</f>
        <v/>
      </c>
      <c r="L8" s="115">
        <f>IF(ISNUMBER('Evidence'!L36),'Evidence'!L36,"")</f>
        <v/>
      </c>
      <c r="M8" s="115">
        <f>IF(ISNUMBER('Evidence'!M36),'Evidence'!M36,"")</f>
        <v/>
      </c>
      <c r="N8" s="115">
        <f>IF(ISNUMBER('Evidence'!N36),'Evidence'!N36,"")</f>
        <v/>
      </c>
      <c r="O8" s="115">
        <f>IF(ISNUMBER('Evidence'!O36),'Evidence'!O36,"")</f>
        <v/>
      </c>
      <c r="P8" s="115">
        <f>IF(ISNUMBER('Evidence'!P36),'Evidence'!P36,"")</f>
        <v/>
      </c>
      <c r="Q8" s="115">
        <f>IF(ISNUMBER('Evidence'!Q36),'Evidence'!Q36,"")</f>
        <v/>
      </c>
      <c r="R8" s="115">
        <f>IF(ISNUMBER('Evidence'!R36),'Evidence'!R36,"")</f>
        <v/>
      </c>
      <c r="S8" s="115">
        <f>IF(ISNUMBER('Evidence'!S36),'Evidence'!S36,"")</f>
        <v/>
      </c>
      <c r="T8" s="3" t="inlineStr">
        <is>
          <t>Unreviewed source extract; annual cells contain… [N175]</t>
        </is>
      </c>
      <c r="U8" s="3" t="inlineStr">
        <is>
          <t>Evidence row 36;… [N176]</t>
        </is>
      </c>
      <c r="V8" s="3" t="inlineStr">
        <is>
          <t>Comparison total only; do not add to Eskom + IPP again.</t>
        </is>
      </c>
    </row>
    <row r="9" ht="30" customHeight="1">
      <c r="A9" s="65" t="inlineStr">
        <is>
          <t>Current engine load factor</t>
        </is>
      </c>
      <c r="B9" s="65" t="inlineStr">
        <is>
          <t>share</t>
        </is>
      </c>
      <c r="C9" s="65" t="inlineStr">
        <is>
          <t>Current input</t>
        </is>
      </c>
      <c r="D9" s="114" t="n"/>
      <c r="E9" s="65" t="inlineStr">
        <is>
          <t>Legacy scenario path. Not measured dispatch.</t>
        </is>
      </c>
      <c r="F9" s="138">
        <f>IF(ISNUMBER('Model run'!F37),'Model run'!F37,"")</f>
        <v/>
      </c>
      <c r="G9" s="138">
        <f>IF(ISNUMBER('Model run'!G37),'Model run'!G37,"")</f>
        <v/>
      </c>
      <c r="H9" s="138">
        <f>IF(ISNUMBER('Model run'!H37),'Model run'!H37,"")</f>
        <v/>
      </c>
      <c r="I9" s="138">
        <f>IF(ISNUMBER('Model run'!I37),'Model run'!I37,"")</f>
        <v/>
      </c>
      <c r="J9" s="138">
        <f>IF(ISNUMBER('Model run'!J37),'Model run'!J37,"")</f>
        <v/>
      </c>
      <c r="K9" s="138">
        <f>IF(ISNUMBER('Model run'!K37),'Model run'!K37,"")</f>
        <v/>
      </c>
      <c r="L9" s="138">
        <f>IF(ISNUMBER('Model run'!L37),'Model run'!L37,"")</f>
        <v/>
      </c>
      <c r="M9" s="138">
        <f>IF(ISNUMBER('Model run'!M37),'Model run'!M37,"")</f>
        <v/>
      </c>
      <c r="N9" s="138">
        <f>IF(ISNUMBER('Model run'!N37),'Model run'!N37,"")</f>
        <v/>
      </c>
      <c r="O9" s="138">
        <f>IF(ISNUMBER('Model run'!O37),'Model run'!O37,"")</f>
        <v/>
      </c>
      <c r="P9" s="138">
        <f>IF(ISNUMBER('Model run'!P37),'Model run'!P37,"")</f>
        <v/>
      </c>
      <c r="Q9" s="138">
        <f>IF(ISNUMBER('Model run'!Q37),'Model run'!Q37,"")</f>
        <v/>
      </c>
      <c r="R9" s="138">
        <f>IF(ISNUMBER('Model run'!R37),'Model run'!R37,"")</f>
        <v/>
      </c>
      <c r="S9" s="138">
        <f>IF(ISNUMBER('Model run'!S37),'Model run'!S37,"")</f>
        <v/>
      </c>
      <c r="T9" s="3" t="inlineStr">
        <is>
          <t>Current high_demand input.</t>
        </is>
      </c>
      <c r="U9" s="3" t="inlineStr">
        <is>
          <t>https://github.com/Africa-International-Advisors/liq… [N177]</t>
        </is>
      </c>
      <c r="V9" s="3" t="inlineStr">
        <is>
          <t>G09: calibrate against operating generation and plant scope.</t>
        </is>
      </c>
    </row>
    <row r="10" ht="30" customHeight="1">
      <c r="A10" s="65" t="inlineStr">
        <is>
          <t>Current thermal efficiency</t>
        </is>
      </c>
      <c r="B10" s="65" t="inlineStr">
        <is>
          <t>share</t>
        </is>
      </c>
      <c r="C10" s="65" t="inlineStr">
        <is>
          <t>Current scalar</t>
        </is>
      </c>
      <c r="D10" s="139">
        <f>IF(ISNUMBER('Model run'!D38),'Model run'!D38,"")</f>
        <v/>
      </c>
      <c r="E10" s="65" t="inlineStr">
        <is>
          <t>Fraction of fuel energy converted to electricity.</t>
        </is>
      </c>
      <c r="F10" s="115" t="n"/>
      <c r="G10" s="115" t="n"/>
      <c r="H10" s="115" t="n"/>
      <c r="I10" s="115" t="n"/>
      <c r="J10" s="115" t="n"/>
      <c r="K10" s="115" t="n"/>
      <c r="L10" s="115" t="n"/>
      <c r="M10" s="115" t="n"/>
      <c r="N10" s="115" t="n"/>
      <c r="O10" s="115" t="n"/>
      <c r="P10" s="115" t="n"/>
      <c r="Q10" s="115" t="n"/>
      <c r="R10" s="115" t="n"/>
      <c r="S10" s="115" t="n"/>
      <c r="T10" s="3" t="inlineStr">
        <is>
          <t>Legacy input.</t>
        </is>
      </c>
      <c r="U10" s="3" t="inlineStr">
        <is>
          <t>https://github.com/Africa-International-Advisors/liq… [N178]</t>
        </is>
      </c>
      <c r="V10" s="3" t="inlineStr">
        <is>
          <t>Review conversion with matched plant data.</t>
        </is>
      </c>
    </row>
    <row r="11" ht="30" customHeight="1">
      <c r="A11" s="65" t="inlineStr">
        <is>
          <t>Diesel energy content</t>
        </is>
      </c>
      <c r="B11" s="65" t="inlineStr">
        <is>
          <t>MJ/L</t>
        </is>
      </c>
      <c r="C11" s="65" t="inlineStr">
        <is>
          <t>Current scalar</t>
        </is>
      </c>
      <c r="D11" s="114">
        <f>IF(ISNUMBER('Model run'!D39),'Model run'!D39,"")</f>
        <v/>
      </c>
      <c r="E11" s="65" t="inlineStr">
        <is>
          <t>Current engine conversion input.</t>
        </is>
      </c>
      <c r="F11" s="115" t="n"/>
      <c r="G11" s="115" t="n"/>
      <c r="H11" s="115" t="n"/>
      <c r="I11" s="115" t="n"/>
      <c r="J11" s="115" t="n"/>
      <c r="K11" s="115" t="n"/>
      <c r="L11" s="115" t="n"/>
      <c r="M11" s="115" t="n"/>
      <c r="N11" s="115" t="n"/>
      <c r="O11" s="115" t="n"/>
      <c r="P11" s="115" t="n"/>
      <c r="Q11" s="115" t="n"/>
      <c r="R11" s="115" t="n"/>
      <c r="S11" s="115" t="n"/>
      <c r="T11" s="3" t="inlineStr">
        <is>
          <t>Legacy input.</t>
        </is>
      </c>
      <c r="U11" s="3" t="inlineStr">
        <is>
          <t>https://github.com/Africa-International-Advisors/liq… [N179]</t>
        </is>
      </c>
      <c r="V11" s="3" t="inlineStr">
        <is>
          <t>Verify product and unit basis.</t>
        </is>
      </c>
    </row>
    <row r="12" ht="30" customHeight="1">
      <c r="A12" s="16" t="inlineStr">
        <is>
          <t>Current OCGT diesel demand</t>
        </is>
      </c>
      <c r="B12" s="16" t="inlineStr">
        <is>
          <t>million L/year</t>
        </is>
      </c>
      <c r="C12" s="16" t="inlineStr">
        <is>
          <t>Model output</t>
        </is>
      </c>
      <c r="D12" s="116" t="n"/>
      <c r="E12" s="16" t="inlineStr">
        <is>
          <t>Calendar-year model output; do not directly tie to FY generation… [N180]</t>
        </is>
      </c>
      <c r="F12" s="117">
        <f>IF(ISNUMBER('Model run'!F40),'Model run'!F40,"")</f>
        <v/>
      </c>
      <c r="G12" s="117">
        <f>IF(ISNUMBER('Model run'!G40),'Model run'!G40,"")</f>
        <v/>
      </c>
      <c r="H12" s="117">
        <f>IF(ISNUMBER('Model run'!H40),'Model run'!H40,"")</f>
        <v/>
      </c>
      <c r="I12" s="117">
        <f>IF(ISNUMBER('Model run'!I40),'Model run'!I40,"")</f>
        <v/>
      </c>
      <c r="J12" s="117">
        <f>IF(ISNUMBER('Model run'!J40),'Model run'!J40,"")</f>
        <v/>
      </c>
      <c r="K12" s="117">
        <f>IF(ISNUMBER('Model run'!K40),'Model run'!K40,"")</f>
        <v/>
      </c>
      <c r="L12" s="117">
        <f>IF(ISNUMBER('Model run'!L40),'Model run'!L40,"")</f>
        <v/>
      </c>
      <c r="M12" s="117">
        <f>IF(ISNUMBER('Model run'!M40),'Model run'!M40,"")</f>
        <v/>
      </c>
      <c r="N12" s="117">
        <f>IF(ISNUMBER('Model run'!N40),'Model run'!N40,"")</f>
        <v/>
      </c>
      <c r="O12" s="117">
        <f>IF(ISNUMBER('Model run'!O40),'Model run'!O40,"")</f>
        <v/>
      </c>
      <c r="P12" s="117">
        <f>IF(ISNUMBER('Model run'!P40),'Model run'!P40,"")</f>
        <v/>
      </c>
      <c r="Q12" s="117">
        <f>IF(ISNUMBER('Model run'!Q40),'Model run'!Q40,"")</f>
        <v/>
      </c>
      <c r="R12" s="117">
        <f>IF(ISNUMBER('Model run'!R40),'Model run'!R40,"")</f>
        <v/>
      </c>
      <c r="S12" s="117">
        <f>IF(ISNUMBER('Model run'!S40),'Model run'!S40,"")</f>
        <v/>
      </c>
      <c r="T12" s="3" t="inlineStr">
        <is>
          <t>2026 vintage; current high_demand case; provisional.</t>
        </is>
      </c>
      <c r="U12" s="3" t="inlineStr">
        <is>
          <t>https://github.com/Africa-International-Advisors/liq… [N181]</t>
        </is>
      </c>
      <c r="V12" s="3" t="inlineStr">
        <is>
          <t>Validate inputs and reconcile against observed data.</t>
        </is>
      </c>
    </row>
    <row r="13" ht="30" customHeight="1">
      <c r="A13" s="10" t="inlineStr">
        <is>
          <t>Private backup diesel baseline</t>
        </is>
      </c>
      <c r="B13" s="10" t="inlineStr">
        <is>
          <t>million L/year</t>
        </is>
      </c>
      <c r="C13" s="10" t="inlineStr">
        <is>
          <t>Missing input</t>
        </is>
      </c>
      <c r="D13" s="118" t="n"/>
      <c r="E13" s="10" t="inlineStr">
        <is>
          <t>No separate observed litres established. Some may already be in… [N182]</t>
        </is>
      </c>
      <c r="F13" s="119" t="n"/>
      <c r="G13" s="119" t="n"/>
      <c r="H13" s="119" t="n"/>
      <c r="I13" s="119" t="n"/>
      <c r="J13" s="119" t="n"/>
      <c r="K13" s="119" t="n"/>
      <c r="L13" s="119" t="n"/>
      <c r="M13" s="119" t="n"/>
      <c r="N13" s="119" t="n"/>
      <c r="O13" s="119" t="n"/>
      <c r="P13" s="119" t="n"/>
      <c r="Q13" s="119" t="n"/>
      <c r="R13" s="119" t="n"/>
      <c r="S13" s="119" t="n"/>
      <c r="T13" s="3" t="inlineStr">
        <is>
          <t>Missing coverage and calibration.</t>
        </is>
      </c>
      <c r="U13" s="3" t="str"/>
      <c r="V13" s="3" t="inlineStr">
        <is>
          <t>G09: source dispatch/fuel observations and sector overlap.</t>
        </is>
      </c>
    </row>
    <row r="14" ht="8" customHeight="1">
      <c r="A14" s="3" t="n"/>
      <c r="B14" s="3" t="n"/>
      <c r="C14" s="3" t="n"/>
      <c r="D14" s="3" t="n"/>
      <c r="E14" s="3" t="n"/>
      <c r="F14" s="6" t="n"/>
      <c r="G14" s="6" t="n"/>
      <c r="H14" s="6" t="n"/>
      <c r="I14" s="6" t="n"/>
      <c r="J14" s="6" t="n"/>
      <c r="K14" s="6" t="n"/>
      <c r="L14" s="6" t="n"/>
      <c r="M14" s="6" t="n"/>
      <c r="N14" s="6" t="n"/>
      <c r="O14" s="6" t="n"/>
      <c r="P14" s="6" t="n"/>
      <c r="Q14" s="6" t="n"/>
      <c r="R14" s="6" t="n"/>
      <c r="S14" s="6" t="n"/>
      <c r="T14" s="3" t="n"/>
      <c r="U14" s="3" t="n"/>
      <c r="V14" s="3" t="n"/>
    </row>
    <row r="15" ht="8" customHeight="1">
      <c r="A15" s="3" t="n"/>
      <c r="B15" s="3" t="n"/>
      <c r="C15" s="3" t="n"/>
      <c r="D15" s="3" t="n"/>
      <c r="E15" s="3" t="n"/>
      <c r="F15" s="6" t="n"/>
      <c r="G15" s="6" t="n"/>
      <c r="H15" s="6" t="n"/>
      <c r="I15" s="6" t="n"/>
      <c r="J15" s="6" t="n"/>
      <c r="K15" s="6" t="n"/>
      <c r="L15" s="6" t="n"/>
      <c r="M15" s="6" t="n"/>
      <c r="N15" s="6" t="n"/>
      <c r="O15" s="6" t="n"/>
      <c r="P15" s="6" t="n"/>
      <c r="Q15" s="6" t="n"/>
      <c r="R15" s="6" t="n"/>
      <c r="S15" s="6" t="n"/>
      <c r="T15" s="3" t="n"/>
      <c r="U15" s="3" t="n"/>
      <c r="V15" s="3" t="n"/>
    </row>
    <row r="16" ht="28" customHeight="1">
      <c r="A16" s="12" t="inlineStr">
        <is>
          <t>Jet aviation</t>
        </is>
      </c>
      <c r="B16" s="11" t="n"/>
      <c r="C16" s="11" t="n"/>
      <c r="D16" s="11" t="n"/>
      <c r="E16" s="11" t="n"/>
      <c r="F16" s="25" t="n"/>
      <c r="G16" s="25" t="n"/>
      <c r="H16" s="25" t="n"/>
      <c r="I16" s="25" t="n"/>
      <c r="J16" s="25" t="n"/>
      <c r="K16" s="25" t="n"/>
      <c r="L16" s="25" t="n"/>
      <c r="M16" s="25" t="n"/>
      <c r="N16" s="25" t="n"/>
      <c r="O16" s="25" t="n"/>
      <c r="P16" s="25" t="n"/>
      <c r="Q16" s="25" t="n"/>
      <c r="R16" s="25" t="n"/>
      <c r="S16" s="25" t="n"/>
      <c r="T16" s="11" t="n"/>
      <c r="U16" s="11" t="n"/>
      <c r="V16" s="11" t="n"/>
    </row>
    <row r="17" ht="30" customHeight="1">
      <c r="A17" s="65" t="inlineStr">
        <is>
          <t>ACSA aircraft departures</t>
        </is>
      </c>
      <c r="B17" s="65" t="inlineStr">
        <is>
          <t>departures</t>
        </is>
      </c>
      <c r="C17" s="65" t="inlineStr">
        <is>
          <t>Staged observation</t>
        </is>
      </c>
      <c r="D17" s="114">
        <f>IF(ISNUMBER('Evidence'!D38),'Evidence'!D38,"")</f>
        <v/>
      </c>
      <c r="E17" s="65" t="inlineStr">
        <is>
          <t>ACSA departures only; sums monthly total-flight rows without… [N183]</t>
        </is>
      </c>
      <c r="F17" s="115">
        <f>IF(ISNUMBER('Evidence'!F38),'Evidence'!F38,"")</f>
        <v/>
      </c>
      <c r="G17" s="115">
        <f>IF(ISNUMBER('Evidence'!G38),'Evidence'!G38,"")</f>
        <v/>
      </c>
      <c r="H17" s="115">
        <f>IF(ISNUMBER('Evidence'!H38),'Evidence'!H38,"")</f>
        <v/>
      </c>
      <c r="I17" s="115">
        <f>IF(ISNUMBER('Evidence'!I38),'Evidence'!I38,"")</f>
        <v/>
      </c>
      <c r="J17" s="115">
        <f>IF(ISNUMBER('Evidence'!J38),'Evidence'!J38,"")</f>
        <v/>
      </c>
      <c r="K17" s="115">
        <f>IF(ISNUMBER('Evidence'!K38),'Evidence'!K38,"")</f>
        <v/>
      </c>
      <c r="L17" s="115">
        <f>IF(ISNUMBER('Evidence'!L38),'Evidence'!L38,"")</f>
        <v/>
      </c>
      <c r="M17" s="115">
        <f>IF(ISNUMBER('Evidence'!M38),'Evidence'!M38,"")</f>
        <v/>
      </c>
      <c r="N17" s="115">
        <f>IF(ISNUMBER('Evidence'!N38),'Evidence'!N38,"")</f>
        <v/>
      </c>
      <c r="O17" s="115">
        <f>IF(ISNUMBER('Evidence'!O38),'Evidence'!O38,"")</f>
        <v/>
      </c>
      <c r="P17" s="115">
        <f>IF(ISNUMBER('Evidence'!P38),'Evidence'!P38,"")</f>
        <v/>
      </c>
      <c r="Q17" s="115">
        <f>IF(ISNUMBER('Evidence'!Q38),'Evidence'!Q38,"")</f>
        <v/>
      </c>
      <c r="R17" s="115">
        <f>IF(ISNUMBER('Evidence'!R38),'Evidence'!R38,"")</f>
        <v/>
      </c>
      <c r="S17" s="115">
        <f>IF(ISNUMBER('Evidence'!S38),'Evidence'!S38,"")</f>
        <v/>
      </c>
      <c r="T17" s="3" t="inlineStr">
        <is>
          <t>Unreviewed source extract; annual cells contain… [N184]</t>
        </is>
      </c>
      <c r="U17" s="3" t="inlineStr">
        <is>
          <t>Evidence row 38;… [N185]</t>
        </is>
      </c>
      <c r="V17" s="3" t="inlineStr">
        <is>
          <t>G10: fit movements to jet uplift, aircraft/route… [N186]</t>
        </is>
      </c>
    </row>
    <row r="18" ht="30" customHeight="1">
      <c r="A18" s="65" t="inlineStr">
        <is>
          <t>ACSA passenger departures</t>
        </is>
      </c>
      <c r="B18" s="65" t="inlineStr">
        <is>
          <t>departures</t>
        </is>
      </c>
      <c r="C18" s="65" t="inlineStr">
        <is>
          <t>Staged observation</t>
        </is>
      </c>
      <c r="D18" s="114">
        <f>IF(ISNUMBER('Evidence'!D37),'Evidence'!D37,"")</f>
        <v/>
      </c>
      <c r="E18" s="65" t="inlineStr">
        <is>
          <t>ACSA departures only; sums monthly total-flight rows without… [N187]</t>
        </is>
      </c>
      <c r="F18" s="115">
        <f>IF(ISNUMBER('Evidence'!F37),'Evidence'!F37,"")</f>
        <v/>
      </c>
      <c r="G18" s="115">
        <f>IF(ISNUMBER('Evidence'!G37),'Evidence'!G37,"")</f>
        <v/>
      </c>
      <c r="H18" s="115">
        <f>IF(ISNUMBER('Evidence'!H37),'Evidence'!H37,"")</f>
        <v/>
      </c>
      <c r="I18" s="115">
        <f>IF(ISNUMBER('Evidence'!I37),'Evidence'!I37,"")</f>
        <v/>
      </c>
      <c r="J18" s="115">
        <f>IF(ISNUMBER('Evidence'!J37),'Evidence'!J37,"")</f>
        <v/>
      </c>
      <c r="K18" s="115">
        <f>IF(ISNUMBER('Evidence'!K37),'Evidence'!K37,"")</f>
        <v/>
      </c>
      <c r="L18" s="115">
        <f>IF(ISNUMBER('Evidence'!L37),'Evidence'!L37,"")</f>
        <v/>
      </c>
      <c r="M18" s="115">
        <f>IF(ISNUMBER('Evidence'!M37),'Evidence'!M37,"")</f>
        <v/>
      </c>
      <c r="N18" s="115">
        <f>IF(ISNUMBER('Evidence'!N37),'Evidence'!N37,"")</f>
        <v/>
      </c>
      <c r="O18" s="115">
        <f>IF(ISNUMBER('Evidence'!O37),'Evidence'!O37,"")</f>
        <v/>
      </c>
      <c r="P18" s="115">
        <f>IF(ISNUMBER('Evidence'!P37),'Evidence'!P37,"")</f>
        <v/>
      </c>
      <c r="Q18" s="115">
        <f>IF(ISNUMBER('Evidence'!Q37),'Evidence'!Q37,"")</f>
        <v/>
      </c>
      <c r="R18" s="115">
        <f>IF(ISNUMBER('Evidence'!R37),'Evidence'!R37,"")</f>
        <v/>
      </c>
      <c r="S18" s="115">
        <f>IF(ISNUMBER('Evidence'!S37),'Evidence'!S37,"")</f>
        <v/>
      </c>
      <c r="T18" s="3" t="inlineStr">
        <is>
          <t>Unreviewed source extract; annual cells contain… [N188]</t>
        </is>
      </c>
      <c r="U18" s="3" t="inlineStr">
        <is>
          <t>Evidence row 37;… [N189]</t>
        </is>
      </c>
      <c r="V18" s="3" t="inlineStr">
        <is>
          <t>G10: match legacy passenger input coverage and periods.</t>
        </is>
      </c>
    </row>
    <row r="19" ht="30" customHeight="1">
      <c r="A19" s="65" t="inlineStr">
        <is>
          <t>Current engine passenger departures</t>
        </is>
      </c>
      <c r="B19" s="65" t="inlineStr">
        <is>
          <t>passengers/year</t>
        </is>
      </c>
      <c r="C19" s="65" t="inlineStr">
        <is>
          <t>Current input</t>
        </is>
      </c>
      <c r="D19" s="114" t="n"/>
      <c r="E19" s="65" t="inlineStr">
        <is>
          <t>Legacy regression driver; separate from new ACSA observations.</t>
        </is>
      </c>
      <c r="F19" s="115">
        <f>IF(ISNUMBER('Model run'!F41),'Model run'!F41,"")</f>
        <v/>
      </c>
      <c r="G19" s="115">
        <f>IF(ISNUMBER('Model run'!G41),'Model run'!G41,"")</f>
        <v/>
      </c>
      <c r="H19" s="115">
        <f>IF(ISNUMBER('Model run'!H41),'Model run'!H41,"")</f>
        <v/>
      </c>
      <c r="I19" s="115">
        <f>IF(ISNUMBER('Model run'!I41),'Model run'!I41,"")</f>
        <v/>
      </c>
      <c r="J19" s="115">
        <f>IF(ISNUMBER('Model run'!J41),'Model run'!J41,"")</f>
        <v/>
      </c>
      <c r="K19" s="115">
        <f>IF(ISNUMBER('Model run'!K41),'Model run'!K41,"")</f>
        <v/>
      </c>
      <c r="L19" s="115">
        <f>IF(ISNUMBER('Model run'!L41),'Model run'!L41,"")</f>
        <v/>
      </c>
      <c r="M19" s="115">
        <f>IF(ISNUMBER('Model run'!M41),'Model run'!M41,"")</f>
        <v/>
      </c>
      <c r="N19" s="115">
        <f>IF(ISNUMBER('Model run'!N41),'Model run'!N41,"")</f>
        <v/>
      </c>
      <c r="O19" s="115">
        <f>IF(ISNUMBER('Model run'!O41),'Model run'!O41,"")</f>
        <v/>
      </c>
      <c r="P19" s="115">
        <f>IF(ISNUMBER('Model run'!P41),'Model run'!P41,"")</f>
        <v/>
      </c>
      <c r="Q19" s="115">
        <f>IF(ISNUMBER('Model run'!Q41),'Model run'!Q41,"")</f>
        <v/>
      </c>
      <c r="R19" s="115">
        <f>IF(ISNUMBER('Model run'!R41),'Model run'!R41,"")</f>
        <v/>
      </c>
      <c r="S19" s="115">
        <f>IF(ISNUMBER('Model run'!S41),'Model run'!S41,"")</f>
        <v/>
      </c>
      <c r="T19" s="3" t="inlineStr">
        <is>
          <t>Historical/forecast legacy path.</t>
        </is>
      </c>
      <c r="U19" s="3" t="inlineStr">
        <is>
          <t>https://github.com/Africa-International-Advisors/liq… [N190]</t>
        </is>
      </c>
      <c r="V19" s="3" t="inlineStr">
        <is>
          <t>Fit proposed movement-based model before replacing… [N191]</t>
        </is>
      </c>
    </row>
    <row r="20" ht="30" customHeight="1">
      <c r="A20" s="16" t="inlineStr">
        <is>
          <t>Current jet demand</t>
        </is>
      </c>
      <c r="B20" s="16" t="inlineStr">
        <is>
          <t>million L/year</t>
        </is>
      </c>
      <c r="C20" s="16" t="inlineStr">
        <is>
          <t>Model output</t>
        </is>
      </c>
      <c r="D20" s="116" t="n"/>
      <c r="E20" s="16" t="inlineStr">
        <is>
          <t>Legacy two-driver regression.</t>
        </is>
      </c>
      <c r="F20" s="117">
        <f>IF(ISNUMBER('Model run'!F42),'Model run'!F42,"")</f>
        <v/>
      </c>
      <c r="G20" s="117">
        <f>IF(ISNUMBER('Model run'!G42),'Model run'!G42,"")</f>
        <v/>
      </c>
      <c r="H20" s="117">
        <f>IF(ISNUMBER('Model run'!H42),'Model run'!H42,"")</f>
        <v/>
      </c>
      <c r="I20" s="117">
        <f>IF(ISNUMBER('Model run'!I42),'Model run'!I42,"")</f>
        <v/>
      </c>
      <c r="J20" s="117">
        <f>IF(ISNUMBER('Model run'!J42),'Model run'!J42,"")</f>
        <v/>
      </c>
      <c r="K20" s="117">
        <f>IF(ISNUMBER('Model run'!K42),'Model run'!K42,"")</f>
        <v/>
      </c>
      <c r="L20" s="117">
        <f>IF(ISNUMBER('Model run'!L42),'Model run'!L42,"")</f>
        <v/>
      </c>
      <c r="M20" s="117">
        <f>IF(ISNUMBER('Model run'!M42),'Model run'!M42,"")</f>
        <v/>
      </c>
      <c r="N20" s="117">
        <f>IF(ISNUMBER('Model run'!N42),'Model run'!N42,"")</f>
        <v/>
      </c>
      <c r="O20" s="117">
        <f>IF(ISNUMBER('Model run'!O42),'Model run'!O42,"")</f>
        <v/>
      </c>
      <c r="P20" s="117">
        <f>IF(ISNUMBER('Model run'!P42),'Model run'!P42,"")</f>
        <v/>
      </c>
      <c r="Q20" s="117">
        <f>IF(ISNUMBER('Model run'!Q42),'Model run'!Q42,"")</f>
        <v/>
      </c>
      <c r="R20" s="117">
        <f>IF(ISNUMBER('Model run'!R42),'Model run'!R42,"")</f>
        <v/>
      </c>
      <c r="S20" s="117">
        <f>IF(ISNUMBER('Model run'!S42),'Model run'!S42,"")</f>
        <v/>
      </c>
      <c r="T20" s="3" t="inlineStr">
        <is>
          <t>2026 vintage; current high_demand case; provisional.</t>
        </is>
      </c>
      <c r="U20" s="3" t="inlineStr">
        <is>
          <t>https://github.com/Africa-International-Advisors/liq… [N192]</t>
        </is>
      </c>
      <c r="V20" s="3" t="inlineStr">
        <is>
          <t>Validate inputs and reconcile against observed data.</t>
        </is>
      </c>
    </row>
    <row r="21" ht="30" customHeight="1">
      <c r="A21" s="65" t="inlineStr">
        <is>
          <t>Reported jet sales — FIASA</t>
        </is>
      </c>
      <c r="B21" s="65" t="inlineStr">
        <is>
          <t>million L/year</t>
        </is>
      </c>
      <c r="C21" s="65" t="inlineStr">
        <is>
          <t>Staged observation</t>
        </is>
      </c>
      <c r="D21" s="114">
        <f>IF(ISNUMBER('Evidence'!D9),'Evidence'!D9,"")</f>
        <v/>
      </c>
      <c r="E21" s="65" t="inlineStr">
        <is>
          <t>FIASA staged reported sales; latest edition selected by existing… [N193]</t>
        </is>
      </c>
      <c r="F21" s="115">
        <f>IF(ISNUMBER('Evidence'!F9),'Evidence'!F9,"")</f>
        <v/>
      </c>
      <c r="G21" s="115">
        <f>IF(ISNUMBER('Evidence'!G9),'Evidence'!G9,"")</f>
        <v/>
      </c>
      <c r="H21" s="115">
        <f>IF(ISNUMBER('Evidence'!H9),'Evidence'!H9,"")</f>
        <v/>
      </c>
      <c r="I21" s="115">
        <f>IF(ISNUMBER('Evidence'!I9),'Evidence'!I9,"")</f>
        <v/>
      </c>
      <c r="J21" s="115">
        <f>IF(ISNUMBER('Evidence'!J9),'Evidence'!J9,"")</f>
        <v/>
      </c>
      <c r="K21" s="115">
        <f>IF(ISNUMBER('Evidence'!K9),'Evidence'!K9,"")</f>
        <v/>
      </c>
      <c r="L21" s="115">
        <f>IF(ISNUMBER('Evidence'!L9),'Evidence'!L9,"")</f>
        <v/>
      </c>
      <c r="M21" s="115">
        <f>IF(ISNUMBER('Evidence'!M9),'Evidence'!M9,"")</f>
        <v/>
      </c>
      <c r="N21" s="115">
        <f>IF(ISNUMBER('Evidence'!N9),'Evidence'!N9,"")</f>
        <v/>
      </c>
      <c r="O21" s="115">
        <f>IF(ISNUMBER('Evidence'!O9),'Evidence'!O9,"")</f>
        <v/>
      </c>
      <c r="P21" s="115">
        <f>IF(ISNUMBER('Evidence'!P9),'Evidence'!P9,"")</f>
        <v/>
      </c>
      <c r="Q21" s="115">
        <f>IF(ISNUMBER('Evidence'!Q9),'Evidence'!Q9,"")</f>
        <v/>
      </c>
      <c r="R21" s="115">
        <f>IF(ISNUMBER('Evidence'!R9),'Evidence'!R9,"")</f>
        <v/>
      </c>
      <c r="S21" s="115">
        <f>IF(ISNUMBER('Evidence'!S9),'Evidence'!S9,"")</f>
        <v/>
      </c>
      <c r="T21" s="3" t="inlineStr">
        <is>
          <t>Unreviewed source extract; annual cells contain… [N194]</t>
        </is>
      </c>
      <c r="U21" s="3" t="inlineStr">
        <is>
          <t>Evidence row 9; assumptions/2026/timeseries/fuel_sales_fiasa.csv</t>
        </is>
      </c>
      <c r="V21" s="3" t="inlineStr">
        <is>
          <t>G10: match fuel product, airport/airline and… [N195]</t>
        </is>
      </c>
    </row>
    <row r="22" ht="30" customHeight="1">
      <c r="A22" s="65" t="inlineStr">
        <is>
          <t>Legacy jet regression intercept</t>
        </is>
      </c>
      <c r="B22" s="65" t="inlineStr">
        <is>
          <t>L/year</t>
        </is>
      </c>
      <c r="C22" s="65" t="inlineStr">
        <is>
          <t>Current scalar</t>
        </is>
      </c>
      <c r="D22" s="114">
        <f>IF(ISNUMBER('Model run'!D43),'Model run'!D43,"")</f>
        <v/>
      </c>
      <c r="E22" s="65" t="inlineStr">
        <is>
          <t>Jet = intercept + GDP/capita coefficient × GDP/capita + passenger… [N196]</t>
        </is>
      </c>
      <c r="F22" s="115" t="n"/>
      <c r="G22" s="115" t="n"/>
      <c r="H22" s="115" t="n"/>
      <c r="I22" s="115" t="n"/>
      <c r="J22" s="115" t="n"/>
      <c r="K22" s="115" t="n"/>
      <c r="L22" s="115" t="n"/>
      <c r="M22" s="115" t="n"/>
      <c r="N22" s="115" t="n"/>
      <c r="O22" s="115" t="n"/>
      <c r="P22" s="115" t="n"/>
      <c r="Q22" s="115" t="n"/>
      <c r="R22" s="115" t="n"/>
      <c r="S22" s="115" t="n"/>
      <c r="T22" s="3" t="inlineStr">
        <is>
          <t>Legacy fit; not refitted.</t>
        </is>
      </c>
      <c r="U22" s="3" t="inlineStr">
        <is>
          <t>https://github.com/Africa-International-Advisors/liq… [N197]</t>
        </is>
      </c>
      <c r="V22" s="3" t="inlineStr">
        <is>
          <t>Review model and unit basis.</t>
        </is>
      </c>
    </row>
    <row r="23" ht="30" customHeight="1">
      <c r="A23" s="65" t="inlineStr">
        <is>
          <t>GDP/capita coefficient</t>
        </is>
      </c>
      <c r="B23" s="65" t="inlineStr">
        <is>
          <t>L per ZAR/person</t>
        </is>
      </c>
      <c r="C23" s="65" t="inlineStr">
        <is>
          <t>Current scalar</t>
        </is>
      </c>
      <c r="D23" s="114">
        <f>IF(ISNUMBER('Model run'!D44),'Model run'!D44,"")</f>
        <v/>
      </c>
      <c r="E23" s="65" t="inlineStr">
        <is>
          <t>Used with current macro path.</t>
        </is>
      </c>
      <c r="F23" s="115" t="n"/>
      <c r="G23" s="115" t="n"/>
      <c r="H23" s="115" t="n"/>
      <c r="I23" s="115" t="n"/>
      <c r="J23" s="115" t="n"/>
      <c r="K23" s="115" t="n"/>
      <c r="L23" s="115" t="n"/>
      <c r="M23" s="115" t="n"/>
      <c r="N23" s="115" t="n"/>
      <c r="O23" s="115" t="n"/>
      <c r="P23" s="115" t="n"/>
      <c r="Q23" s="115" t="n"/>
      <c r="R23" s="115" t="n"/>
      <c r="S23" s="115" t="n"/>
      <c r="T23" s="3" t="inlineStr">
        <is>
          <t>Legacy fit.</t>
        </is>
      </c>
      <c r="U23" s="3" t="inlineStr">
        <is>
          <t>https://github.com/Africa-International-Advisors/liq… [N198]</t>
        </is>
      </c>
      <c r="V23" s="3" t="inlineStr">
        <is>
          <t>Validate driver overlap and fit.</t>
        </is>
      </c>
    </row>
    <row r="24" ht="30" customHeight="1">
      <c r="A24" s="65" t="inlineStr">
        <is>
          <t>Passenger coefficient</t>
        </is>
      </c>
      <c r="B24" s="65" t="inlineStr">
        <is>
          <t>L per departure</t>
        </is>
      </c>
      <c r="C24" s="65" t="inlineStr">
        <is>
          <t>Current scalar</t>
        </is>
      </c>
      <c r="D24" s="114">
        <f>IF(ISNUMBER('Model run'!D45),'Model run'!D45,"")</f>
        <v/>
      </c>
      <c r="E24" s="65" t="inlineStr">
        <is>
          <t>Passenger departure basis.</t>
        </is>
      </c>
      <c r="F24" s="115" t="n"/>
      <c r="G24" s="115" t="n"/>
      <c r="H24" s="115" t="n"/>
      <c r="I24" s="115" t="n"/>
      <c r="J24" s="115" t="n"/>
      <c r="K24" s="115" t="n"/>
      <c r="L24" s="115" t="n"/>
      <c r="M24" s="115" t="n"/>
      <c r="N24" s="115" t="n"/>
      <c r="O24" s="115" t="n"/>
      <c r="P24" s="115" t="n"/>
      <c r="Q24" s="115" t="n"/>
      <c r="R24" s="115" t="n"/>
      <c r="S24" s="115" t="n"/>
      <c r="T24" s="3" t="inlineStr">
        <is>
          <t>Legacy fit.</t>
        </is>
      </c>
      <c r="U24" s="3" t="inlineStr">
        <is>
          <t>https://github.com/Africa-International-Advisors/liq… [N199]</t>
        </is>
      </c>
      <c r="V24" s="3" t="inlineStr">
        <is>
          <t>Refit using matched aircraft and fuel data.</t>
        </is>
      </c>
    </row>
    <row r="25" ht="8" customHeight="1">
      <c r="A25" s="3" t="n"/>
      <c r="B25" s="3" t="n"/>
      <c r="C25" s="3" t="n"/>
      <c r="D25" s="3" t="n"/>
      <c r="E25" s="3" t="n"/>
      <c r="F25" s="6" t="n"/>
      <c r="G25" s="6" t="n"/>
      <c r="H25" s="6" t="n"/>
      <c r="I25" s="6" t="n"/>
      <c r="J25" s="6" t="n"/>
      <c r="K25" s="6" t="n"/>
      <c r="L25" s="6" t="n"/>
      <c r="M25" s="6" t="n"/>
      <c r="N25" s="6" t="n"/>
      <c r="O25" s="6" t="n"/>
      <c r="P25" s="6" t="n"/>
      <c r="Q25" s="6" t="n"/>
      <c r="R25" s="6" t="n"/>
      <c r="S25" s="6" t="n"/>
      <c r="T25" s="3" t="n"/>
      <c r="U25" s="3" t="n"/>
      <c r="V25" s="3" t="n"/>
    </row>
    <row r="26" ht="8" customHeight="1">
      <c r="A26" s="3" t="n"/>
      <c r="B26" s="3" t="n"/>
      <c r="C26" s="3" t="n"/>
      <c r="D26" s="3" t="n"/>
      <c r="E26" s="3" t="n"/>
      <c r="F26" s="6" t="n"/>
      <c r="G26" s="6" t="n"/>
      <c r="H26" s="6" t="n"/>
      <c r="I26" s="6" t="n"/>
      <c r="J26" s="6" t="n"/>
      <c r="K26" s="6" t="n"/>
      <c r="L26" s="6" t="n"/>
      <c r="M26" s="6" t="n"/>
      <c r="N26" s="6" t="n"/>
      <c r="O26" s="6" t="n"/>
      <c r="P26" s="6" t="n"/>
      <c r="Q26" s="6" t="n"/>
      <c r="R26" s="6" t="n"/>
      <c r="S26" s="6" t="n"/>
      <c r="T26" s="3" t="n"/>
      <c r="U26" s="3" t="n"/>
      <c r="V26" s="3" t="n"/>
    </row>
    <row r="27" ht="28" customHeight="1">
      <c r="A27" s="12" t="inlineStr">
        <is>
          <t>Marine demand</t>
        </is>
      </c>
      <c r="B27" s="11" t="n"/>
      <c r="C27" s="11" t="n"/>
      <c r="D27" s="11" t="n"/>
      <c r="E27" s="11" t="n"/>
      <c r="F27" s="25" t="n"/>
      <c r="G27" s="25" t="n"/>
      <c r="H27" s="25" t="n"/>
      <c r="I27" s="25" t="n"/>
      <c r="J27" s="25" t="n"/>
      <c r="K27" s="25" t="n"/>
      <c r="L27" s="25" t="n"/>
      <c r="M27" s="25" t="n"/>
      <c r="N27" s="25" t="n"/>
      <c r="O27" s="25" t="n"/>
      <c r="P27" s="25" t="n"/>
      <c r="Q27" s="25" t="n"/>
      <c r="R27" s="25" t="n"/>
      <c r="S27" s="25" t="n"/>
      <c r="T27" s="11" t="n"/>
      <c r="U27" s="11" t="n"/>
      <c r="V27" s="11" t="n"/>
    </row>
    <row r="28" ht="30" customHeight="1">
      <c r="A28" s="65" t="inlineStr">
        <is>
          <t>durban provisional port baseline</t>
        </is>
      </c>
      <c r="B28" s="65" t="inlineStr">
        <is>
          <t>million L/year</t>
        </is>
      </c>
      <c r="C28" s="65" t="inlineStr">
        <is>
          <t>Current scalar</t>
        </is>
      </c>
      <c r="D28" s="114">
        <f>IF(ISNUMBER('Model run'!D46),'Model run'!D46,"")</f>
        <v/>
      </c>
      <c r="E28" s="65" t="inlineStr">
        <is>
          <t>Current 2024 placeholder; not measured port bunkering.</t>
        </is>
      </c>
      <c r="F28" s="115" t="n"/>
      <c r="G28" s="115" t="n"/>
      <c r="H28" s="115" t="n"/>
      <c r="I28" s="115" t="n"/>
      <c r="J28" s="115" t="n"/>
      <c r="K28" s="115" t="n"/>
      <c r="L28" s="115" t="n"/>
      <c r="M28" s="115" t="n"/>
      <c r="N28" s="115" t="n"/>
      <c r="O28" s="115" t="n"/>
      <c r="P28" s="115" t="n"/>
      <c r="Q28" s="115" t="n"/>
      <c r="R28" s="115" t="n"/>
      <c r="S28" s="115" t="n"/>
      <c r="T28" s="3" t="inlineStr">
        <is>
          <t>Provisional held baseline.</t>
        </is>
      </c>
      <c r="U28" s="3" t="inlineStr">
        <is>
          <t>https://github.com/Africa-International-Advisors/liq… [N200]</t>
        </is>
      </c>
      <c r="V28" s="3" t="inlineStr">
        <is>
          <t>G12: source annual port/product bunker deliveries.</t>
        </is>
      </c>
    </row>
    <row r="29" ht="30" customHeight="1">
      <c r="A29" s="65" t="inlineStr">
        <is>
          <t>cape_town provisional port baseline</t>
        </is>
      </c>
      <c r="B29" s="65" t="inlineStr">
        <is>
          <t>million L/year</t>
        </is>
      </c>
      <c r="C29" s="65" t="inlineStr">
        <is>
          <t>Current scalar</t>
        </is>
      </c>
      <c r="D29" s="114">
        <f>IF(ISNUMBER('Model run'!D47),'Model run'!D47,"")</f>
        <v/>
      </c>
      <c r="E29" s="65" t="inlineStr">
        <is>
          <t>Current 2024 placeholder; not measured port bunkering.</t>
        </is>
      </c>
      <c r="F29" s="115" t="n"/>
      <c r="G29" s="115" t="n"/>
      <c r="H29" s="115" t="n"/>
      <c r="I29" s="115" t="n"/>
      <c r="J29" s="115" t="n"/>
      <c r="K29" s="115" t="n"/>
      <c r="L29" s="115" t="n"/>
      <c r="M29" s="115" t="n"/>
      <c r="N29" s="115" t="n"/>
      <c r="O29" s="115" t="n"/>
      <c r="P29" s="115" t="n"/>
      <c r="Q29" s="115" t="n"/>
      <c r="R29" s="115" t="n"/>
      <c r="S29" s="115" t="n"/>
      <c r="T29" s="3" t="inlineStr">
        <is>
          <t>Provisional held baseline.</t>
        </is>
      </c>
      <c r="U29" s="3" t="inlineStr">
        <is>
          <t>https://github.com/Africa-International-Advisors/liq… [N201]</t>
        </is>
      </c>
      <c r="V29" s="3" t="inlineStr">
        <is>
          <t>G12: source annual port/product bunker deliveries.</t>
        </is>
      </c>
    </row>
    <row r="30" ht="30" customHeight="1">
      <c r="A30" s="65" t="inlineStr">
        <is>
          <t>saldanha provisional port baseline</t>
        </is>
      </c>
      <c r="B30" s="65" t="inlineStr">
        <is>
          <t>million L/year</t>
        </is>
      </c>
      <c r="C30" s="65" t="inlineStr">
        <is>
          <t>Current scalar</t>
        </is>
      </c>
      <c r="D30" s="114">
        <f>IF(ISNUMBER('Model run'!D48),'Model run'!D48,"")</f>
        <v/>
      </c>
      <c r="E30" s="65" t="inlineStr">
        <is>
          <t>Current 2024 placeholder; not measured port bunkering.</t>
        </is>
      </c>
      <c r="F30" s="115" t="n"/>
      <c r="G30" s="115" t="n"/>
      <c r="H30" s="115" t="n"/>
      <c r="I30" s="115" t="n"/>
      <c r="J30" s="115" t="n"/>
      <c r="K30" s="115" t="n"/>
      <c r="L30" s="115" t="n"/>
      <c r="M30" s="115" t="n"/>
      <c r="N30" s="115" t="n"/>
      <c r="O30" s="115" t="n"/>
      <c r="P30" s="115" t="n"/>
      <c r="Q30" s="115" t="n"/>
      <c r="R30" s="115" t="n"/>
      <c r="S30" s="115" t="n"/>
      <c r="T30" s="3" t="inlineStr">
        <is>
          <t>Provisional held baseline.</t>
        </is>
      </c>
      <c r="U30" s="3" t="inlineStr">
        <is>
          <t>https://github.com/Africa-International-Advisors/liq… [N202]</t>
        </is>
      </c>
      <c r="V30" s="3" t="inlineStr">
        <is>
          <t>G12: source annual port/product bunker deliveries.</t>
        </is>
      </c>
    </row>
    <row r="31" ht="30" customHeight="1">
      <c r="A31" s="65" t="inlineStr">
        <is>
          <t>Marine GDP/capita elasticity</t>
        </is>
      </c>
      <c r="B31" s="65" t="inlineStr">
        <is>
          <t>dimensionless</t>
        </is>
      </c>
      <c r="C31" s="65" t="inlineStr">
        <is>
          <t>Current scalar</t>
        </is>
      </c>
      <c r="D31" s="114">
        <f>IF(ISNUMBER('Model run'!D49),'Model run'!D49,"")</f>
        <v/>
      </c>
      <c r="E31" s="65" t="inlineStr">
        <is>
          <t>Current proxy response.</t>
        </is>
      </c>
      <c r="F31" s="115" t="n"/>
      <c r="G31" s="115" t="n"/>
      <c r="H31" s="115" t="n"/>
      <c r="I31" s="115" t="n"/>
      <c r="J31" s="115" t="n"/>
      <c r="K31" s="115" t="n"/>
      <c r="L31" s="115" t="n"/>
      <c r="M31" s="115" t="n"/>
      <c r="N31" s="115" t="n"/>
      <c r="O31" s="115" t="n"/>
      <c r="P31" s="115" t="n"/>
      <c r="Q31" s="115" t="n"/>
      <c r="R31" s="115" t="n"/>
      <c r="S31" s="115" t="n"/>
      <c r="T31" s="3" t="inlineStr">
        <is>
          <t>Provisional.</t>
        </is>
      </c>
      <c r="U31" s="3" t="inlineStr">
        <is>
          <t>https://github.com/Africa-International-Advisors/liq… [N203]</t>
        </is>
      </c>
      <c r="V31" s="3" t="inlineStr">
        <is>
          <t>Replace/test against vessel/port activity.</t>
        </is>
      </c>
    </row>
    <row r="32" ht="30" customHeight="1">
      <c r="A32" s="65" t="inlineStr">
        <is>
          <t>Marine fuel-oil share</t>
        </is>
      </c>
      <c r="B32" s="65" t="inlineStr">
        <is>
          <t>share</t>
        </is>
      </c>
      <c r="C32" s="65" t="inlineStr">
        <is>
          <t>Current scalar</t>
        </is>
      </c>
      <c r="D32" s="139">
        <f>IF(ISNUMBER('Model run'!D50),'Model run'!D50,"")</f>
        <v/>
      </c>
      <c r="E32" s="65" t="inlineStr">
        <is>
          <t>One provisional split across ports.</t>
        </is>
      </c>
      <c r="F32" s="115" t="n"/>
      <c r="G32" s="115" t="n"/>
      <c r="H32" s="115" t="n"/>
      <c r="I32" s="115" t="n"/>
      <c r="J32" s="115" t="n"/>
      <c r="K32" s="115" t="n"/>
      <c r="L32" s="115" t="n"/>
      <c r="M32" s="115" t="n"/>
      <c r="N32" s="115" t="n"/>
      <c r="O32" s="115" t="n"/>
      <c r="P32" s="115" t="n"/>
      <c r="Q32" s="115" t="n"/>
      <c r="R32" s="115" t="n"/>
      <c r="S32" s="115" t="n"/>
      <c r="T32" s="3" t="inlineStr">
        <is>
          <t>Not port-specific.</t>
        </is>
      </c>
      <c r="U32" s="3" t="inlineStr">
        <is>
          <t>https://github.com/Africa-International-Advisors/liq… [N204]</t>
        </is>
      </c>
      <c r="V32" s="3" t="inlineStr">
        <is>
          <t>G12: source product shares.</t>
        </is>
      </c>
    </row>
    <row r="33" ht="30" customHeight="1">
      <c r="A33" s="65" t="inlineStr">
        <is>
          <t>Marine diesel share</t>
        </is>
      </c>
      <c r="B33" s="65" t="inlineStr">
        <is>
          <t>share</t>
        </is>
      </c>
      <c r="C33" s="65" t="inlineStr">
        <is>
          <t>Current scalar</t>
        </is>
      </c>
      <c r="D33" s="139">
        <f>IF(ISNUMBER('Model run'!D51),'Model run'!D51,"")</f>
        <v/>
      </c>
      <c r="E33" s="65" t="inlineStr">
        <is>
          <t>Diesel_500ppm; part of total diesel comparison.</t>
        </is>
      </c>
      <c r="F33" s="115" t="n"/>
      <c r="G33" s="115" t="n"/>
      <c r="H33" s="115" t="n"/>
      <c r="I33" s="115" t="n"/>
      <c r="J33" s="115" t="n"/>
      <c r="K33" s="115" t="n"/>
      <c r="L33" s="115" t="n"/>
      <c r="M33" s="115" t="n"/>
      <c r="N33" s="115" t="n"/>
      <c r="O33" s="115" t="n"/>
      <c r="P33" s="115" t="n"/>
      <c r="Q33" s="115" t="n"/>
      <c r="R33" s="115" t="n"/>
      <c r="S33" s="115" t="n"/>
      <c r="T33" s="3" t="inlineStr">
        <is>
          <t>Not port-specific.</t>
        </is>
      </c>
      <c r="U33" s="3" t="inlineStr">
        <is>
          <t>https://github.com/Africa-International-Advisors/liq… [N205]</t>
        </is>
      </c>
      <c r="V33" s="3" t="inlineStr">
        <is>
          <t>G12: reconcile domestic and international bunkers.</t>
        </is>
      </c>
    </row>
    <row r="34" ht="30" customHeight="1">
      <c r="A34" s="16" t="inlineStr">
        <is>
          <t>Marine diesel demand</t>
        </is>
      </c>
      <c r="B34" s="16" t="inlineStr">
        <is>
          <t>million L/year</t>
        </is>
      </c>
      <c r="C34" s="16" t="inlineStr">
        <is>
          <t>Model output</t>
        </is>
      </c>
      <c r="D34" s="116" t="n"/>
      <c r="E34" s="16" t="inlineStr">
        <is>
          <t>No 2022–23 output from current marine engine.</t>
        </is>
      </c>
      <c r="F34" s="117" t="n"/>
      <c r="G34" s="117" t="n"/>
      <c r="H34" s="117">
        <f>IF(ISNUMBER('Model run'!H52),'Model run'!H52,"")</f>
        <v/>
      </c>
      <c r="I34" s="117">
        <f>IF(ISNUMBER('Model run'!I52),'Model run'!I52,"")</f>
        <v/>
      </c>
      <c r="J34" s="117">
        <f>IF(ISNUMBER('Model run'!J52),'Model run'!J52,"")</f>
        <v/>
      </c>
      <c r="K34" s="117">
        <f>IF(ISNUMBER('Model run'!K52),'Model run'!K52,"")</f>
        <v/>
      </c>
      <c r="L34" s="117">
        <f>IF(ISNUMBER('Model run'!L52),'Model run'!L52,"")</f>
        <v/>
      </c>
      <c r="M34" s="117">
        <f>IF(ISNUMBER('Model run'!M52),'Model run'!M52,"")</f>
        <v/>
      </c>
      <c r="N34" s="117">
        <f>IF(ISNUMBER('Model run'!N52),'Model run'!N52,"")</f>
        <v/>
      </c>
      <c r="O34" s="117">
        <f>IF(ISNUMBER('Model run'!O52),'Model run'!O52,"")</f>
        <v/>
      </c>
      <c r="P34" s="117">
        <f>IF(ISNUMBER('Model run'!P52),'Model run'!P52,"")</f>
        <v/>
      </c>
      <c r="Q34" s="117">
        <f>IF(ISNUMBER('Model run'!Q52),'Model run'!Q52,"")</f>
        <v/>
      </c>
      <c r="R34" s="117">
        <f>IF(ISNUMBER('Model run'!R52),'Model run'!R52,"")</f>
        <v/>
      </c>
      <c r="S34" s="117">
        <f>IF(ISNUMBER('Model run'!S52),'Model run'!S52,"")</f>
        <v/>
      </c>
      <c r="T34" s="3" t="inlineStr">
        <is>
          <t>2026 vintage; current high_demand case; provisional.</t>
        </is>
      </c>
      <c r="U34" s="3" t="inlineStr">
        <is>
          <t>https://github.com/Africa-International-Advisors/liq… [N206]</t>
        </is>
      </c>
      <c r="V34" s="3" t="inlineStr">
        <is>
          <t>Validate inputs and reconcile against observed data.</t>
        </is>
      </c>
    </row>
    <row r="35" ht="30" customHeight="1">
      <c r="A35" s="16" t="inlineStr">
        <is>
          <t>Marine fuel-oil demand</t>
        </is>
      </c>
      <c r="B35" s="16" t="inlineStr">
        <is>
          <t>million L/year</t>
        </is>
      </c>
      <c r="C35" s="16" t="inlineStr">
        <is>
          <t>Model output</t>
        </is>
      </c>
      <c r="D35" s="116" t="n"/>
      <c r="E35" s="16" t="inlineStr">
        <is>
          <t>Marine only; does not represent all national fuel-oil consumption.</t>
        </is>
      </c>
      <c r="F35" s="117" t="n"/>
      <c r="G35" s="117" t="n"/>
      <c r="H35" s="117">
        <f>IF(ISNUMBER('Model run'!H53),'Model run'!H53,"")</f>
        <v/>
      </c>
      <c r="I35" s="117">
        <f>IF(ISNUMBER('Model run'!I53),'Model run'!I53,"")</f>
        <v/>
      </c>
      <c r="J35" s="117">
        <f>IF(ISNUMBER('Model run'!J53),'Model run'!J53,"")</f>
        <v/>
      </c>
      <c r="K35" s="117">
        <f>IF(ISNUMBER('Model run'!K53),'Model run'!K53,"")</f>
        <v/>
      </c>
      <c r="L35" s="117">
        <f>IF(ISNUMBER('Model run'!L53),'Model run'!L53,"")</f>
        <v/>
      </c>
      <c r="M35" s="117">
        <f>IF(ISNUMBER('Model run'!M53),'Model run'!M53,"")</f>
        <v/>
      </c>
      <c r="N35" s="117">
        <f>IF(ISNUMBER('Model run'!N53),'Model run'!N53,"")</f>
        <v/>
      </c>
      <c r="O35" s="117">
        <f>IF(ISNUMBER('Model run'!O53),'Model run'!O53,"")</f>
        <v/>
      </c>
      <c r="P35" s="117">
        <f>IF(ISNUMBER('Model run'!P53),'Model run'!P53,"")</f>
        <v/>
      </c>
      <c r="Q35" s="117">
        <f>IF(ISNUMBER('Model run'!Q53),'Model run'!Q53,"")</f>
        <v/>
      </c>
      <c r="R35" s="117">
        <f>IF(ISNUMBER('Model run'!R53),'Model run'!R53,"")</f>
        <v/>
      </c>
      <c r="S35" s="117">
        <f>IF(ISNUMBER('Model run'!S53),'Model run'!S53,"")</f>
        <v/>
      </c>
      <c r="T35" s="3" t="inlineStr">
        <is>
          <t>2026 vintage; current high_demand case; provisional.</t>
        </is>
      </c>
      <c r="U35" s="3" t="inlineStr">
        <is>
          <t>https://github.com/Africa-International-Advisors/liq… [N207]</t>
        </is>
      </c>
      <c r="V35" s="3" t="inlineStr">
        <is>
          <t>Validate inputs and reconcile against observed data.</t>
        </is>
      </c>
    </row>
    <row r="36" ht="8" customHeight="1">
      <c r="A36" s="3" t="n"/>
      <c r="B36" s="3" t="n"/>
      <c r="C36" s="3" t="n"/>
      <c r="D36" s="3" t="n"/>
      <c r="E36" s="3" t="n"/>
      <c r="F36" s="6" t="n"/>
      <c r="G36" s="6" t="n"/>
      <c r="H36" s="6" t="n"/>
      <c r="I36" s="6" t="n"/>
      <c r="J36" s="6" t="n"/>
      <c r="K36" s="6" t="n"/>
      <c r="L36" s="6" t="n"/>
      <c r="M36" s="6" t="n"/>
      <c r="N36" s="6" t="n"/>
      <c r="O36" s="6" t="n"/>
      <c r="P36" s="6" t="n"/>
      <c r="Q36" s="6" t="n"/>
      <c r="R36" s="6" t="n"/>
      <c r="S36" s="6" t="n"/>
      <c r="T36" s="3" t="n"/>
      <c r="U36" s="3" t="n"/>
      <c r="V36" s="3" t="n"/>
    </row>
    <row r="37" ht="8" customHeight="1">
      <c r="A37" s="3" t="n"/>
      <c r="B37" s="3" t="n"/>
      <c r="C37" s="3" t="n"/>
      <c r="D37" s="3" t="n"/>
      <c r="E37" s="3" t="n"/>
      <c r="F37" s="6" t="n"/>
      <c r="G37" s="6" t="n"/>
      <c r="H37" s="6" t="n"/>
      <c r="I37" s="6" t="n"/>
      <c r="J37" s="6" t="n"/>
      <c r="K37" s="6" t="n"/>
      <c r="L37" s="6" t="n"/>
      <c r="M37" s="6" t="n"/>
      <c r="N37" s="6" t="n"/>
      <c r="O37" s="6" t="n"/>
      <c r="P37" s="6" t="n"/>
      <c r="Q37" s="6" t="n"/>
      <c r="R37" s="6" t="n"/>
      <c r="S37" s="6" t="n"/>
      <c r="T37" s="3" t="n"/>
      <c r="U37" s="3" t="n"/>
      <c r="V37" s="3" t="n"/>
    </row>
    <row r="38" ht="8" customHeight="1">
      <c r="A38" s="3" t="n"/>
      <c r="B38" s="3" t="n"/>
      <c r="C38" s="3" t="n"/>
      <c r="D38" s="3" t="n"/>
      <c r="E38" s="3" t="n"/>
      <c r="F38" s="6" t="n"/>
      <c r="G38" s="6" t="n"/>
      <c r="H38" s="6" t="n"/>
      <c r="I38" s="6" t="n"/>
      <c r="J38" s="6" t="n"/>
      <c r="K38" s="6" t="n"/>
      <c r="L38" s="6" t="n"/>
      <c r="M38" s="6" t="n"/>
      <c r="N38" s="6" t="n"/>
      <c r="O38" s="6" t="n"/>
      <c r="P38" s="6" t="n"/>
      <c r="Q38" s="6" t="n"/>
      <c r="R38" s="6" t="n"/>
      <c r="S38" s="6" t="n"/>
      <c r="T38" s="3" t="n"/>
      <c r="U38" s="3" t="n"/>
      <c r="V38" s="3" t="n"/>
    </row>
    <row r="39" ht="8" customHeight="1">
      <c r="A39" s="3" t="n"/>
      <c r="B39" s="3" t="n"/>
      <c r="C39" s="3" t="n"/>
      <c r="D39" s="3" t="n"/>
      <c r="E39" s="3" t="n"/>
      <c r="F39" s="6" t="n"/>
      <c r="G39" s="6" t="n"/>
      <c r="H39" s="6" t="n"/>
      <c r="I39" s="6" t="n"/>
      <c r="J39" s="6" t="n"/>
      <c r="K39" s="6" t="n"/>
      <c r="L39" s="6" t="n"/>
      <c r="M39" s="6" t="n"/>
      <c r="N39" s="6" t="n"/>
      <c r="O39" s="6" t="n"/>
      <c r="P39" s="6" t="n"/>
      <c r="Q39" s="6" t="n"/>
      <c r="R39" s="6" t="n"/>
      <c r="S39" s="6" t="n"/>
      <c r="T39" s="3" t="n"/>
      <c r="U39" s="3" t="n"/>
      <c r="V39" s="3" t="n"/>
    </row>
    <row r="40" ht="8" customHeight="1">
      <c r="A40" s="3" t="n"/>
      <c r="B40" s="3" t="n"/>
      <c r="C40" s="3" t="n"/>
      <c r="D40" s="3" t="n"/>
      <c r="E40" s="3" t="n"/>
      <c r="F40" s="6" t="n"/>
      <c r="G40" s="6" t="n"/>
      <c r="H40" s="6" t="n"/>
      <c r="I40" s="6" t="n"/>
      <c r="J40" s="6" t="n"/>
      <c r="K40" s="6" t="n"/>
      <c r="L40" s="6" t="n"/>
      <c r="M40" s="6" t="n"/>
      <c r="N40" s="6" t="n"/>
      <c r="O40" s="6" t="n"/>
      <c r="P40" s="6" t="n"/>
      <c r="Q40" s="6" t="n"/>
      <c r="R40" s="6" t="n"/>
      <c r="S40" s="6" t="n"/>
      <c r="T40" s="3" t="n"/>
      <c r="U40" s="3" t="n"/>
      <c r="V40" s="3" t="n"/>
    </row>
    <row r="41" ht="8" customHeight="1">
      <c r="A41" s="3" t="n"/>
      <c r="B41" s="3" t="n"/>
      <c r="C41" s="3" t="n"/>
      <c r="D41" s="3" t="n"/>
      <c r="E41" s="3" t="n"/>
      <c r="F41" s="6" t="n"/>
      <c r="G41" s="6" t="n"/>
      <c r="H41" s="6" t="n"/>
      <c r="I41" s="6" t="n"/>
      <c r="J41" s="6" t="n"/>
      <c r="K41" s="6" t="n"/>
      <c r="L41" s="6" t="n"/>
      <c r="M41" s="6" t="n"/>
      <c r="N41" s="6" t="n"/>
      <c r="O41" s="6" t="n"/>
      <c r="P41" s="6" t="n"/>
      <c r="Q41" s="6" t="n"/>
      <c r="R41" s="6" t="n"/>
      <c r="S41" s="6" t="n"/>
      <c r="T41" s="3" t="n"/>
      <c r="U41" s="3" t="n"/>
      <c r="V41" s="3" t="n"/>
    </row>
    <row r="42" ht="8" customHeight="1">
      <c r="A42" s="3" t="n"/>
      <c r="B42" s="3" t="n"/>
      <c r="C42" s="3" t="n"/>
      <c r="D42" s="3" t="n"/>
      <c r="E42" s="3" t="n"/>
      <c r="F42" s="6" t="n"/>
      <c r="G42" s="6" t="n"/>
      <c r="H42" s="6" t="n"/>
      <c r="I42" s="6" t="n"/>
      <c r="J42" s="6" t="n"/>
      <c r="K42" s="6" t="n"/>
      <c r="L42" s="6" t="n"/>
      <c r="M42" s="6" t="n"/>
      <c r="N42" s="6" t="n"/>
      <c r="O42" s="6" t="n"/>
      <c r="P42" s="6" t="n"/>
      <c r="Q42" s="6" t="n"/>
      <c r="R42" s="6" t="n"/>
      <c r="S42" s="6" t="n"/>
      <c r="T42" s="3" t="n"/>
      <c r="U42" s="3" t="n"/>
      <c r="V42" s="3" t="n"/>
    </row>
    <row r="43" ht="8" customHeight="1">
      <c r="A43" s="3" t="n"/>
      <c r="B43" s="3" t="n"/>
      <c r="C43" s="3" t="n"/>
      <c r="D43" s="3" t="n"/>
      <c r="E43" s="3" t="n"/>
      <c r="F43" s="6" t="n"/>
      <c r="G43" s="6" t="n"/>
      <c r="H43" s="6" t="n"/>
      <c r="I43" s="6" t="n"/>
      <c r="J43" s="6" t="n"/>
      <c r="K43" s="6" t="n"/>
      <c r="L43" s="6" t="n"/>
      <c r="M43" s="6" t="n"/>
      <c r="N43" s="6" t="n"/>
      <c r="O43" s="6" t="n"/>
      <c r="P43" s="6" t="n"/>
      <c r="Q43" s="6" t="n"/>
      <c r="R43" s="6" t="n"/>
      <c r="S43" s="6" t="n"/>
      <c r="T43" s="3" t="n"/>
      <c r="U43" s="3" t="n"/>
      <c r="V43" s="3" t="n"/>
    </row>
    <row r="44" ht="8" customHeight="1">
      <c r="A44" s="3" t="n"/>
      <c r="B44" s="3" t="n"/>
      <c r="C44" s="3" t="n"/>
      <c r="D44" s="3" t="n"/>
      <c r="E44" s="3" t="n"/>
      <c r="F44" s="6" t="n"/>
      <c r="G44" s="6" t="n"/>
      <c r="H44" s="6" t="n"/>
      <c r="I44" s="6" t="n"/>
      <c r="J44" s="6" t="n"/>
      <c r="K44" s="6" t="n"/>
      <c r="L44" s="6" t="n"/>
      <c r="M44" s="6" t="n"/>
      <c r="N44" s="6" t="n"/>
      <c r="O44" s="6" t="n"/>
      <c r="P44" s="6" t="n"/>
      <c r="Q44" s="6" t="n"/>
      <c r="R44" s="6" t="n"/>
      <c r="S44" s="6" t="n"/>
      <c r="T44" s="3" t="n"/>
      <c r="U44" s="3" t="n"/>
      <c r="V44" s="3" t="n"/>
    </row>
    <row r="45" ht="8" customHeight="1">
      <c r="A45" s="3" t="n"/>
      <c r="B45" s="3" t="n"/>
      <c r="C45" s="3" t="n"/>
      <c r="D45" s="3" t="n"/>
      <c r="E45" s="3" t="n"/>
      <c r="F45" s="6" t="n"/>
      <c r="G45" s="6" t="n"/>
      <c r="H45" s="6" t="n"/>
      <c r="I45" s="6" t="n"/>
      <c r="J45" s="6" t="n"/>
      <c r="K45" s="6" t="n"/>
      <c r="L45" s="6" t="n"/>
      <c r="M45" s="6" t="n"/>
      <c r="N45" s="6" t="n"/>
      <c r="O45" s="6" t="n"/>
      <c r="P45" s="6" t="n"/>
      <c r="Q45" s="6" t="n"/>
      <c r="R45" s="6" t="n"/>
      <c r="S45" s="6" t="n"/>
      <c r="T45" s="3" t="n"/>
      <c r="U45" s="3" t="n"/>
      <c r="V45" s="3" t="n"/>
    </row>
    <row r="46" ht="8" customHeight="1">
      <c r="A46" s="3" t="n"/>
      <c r="B46" s="3" t="n"/>
      <c r="C46" s="3" t="n"/>
      <c r="D46" s="3" t="n"/>
      <c r="E46" s="3" t="n"/>
      <c r="F46" s="6" t="n"/>
      <c r="G46" s="6" t="n"/>
      <c r="H46" s="6" t="n"/>
      <c r="I46" s="6" t="n"/>
      <c r="J46" s="6" t="n"/>
      <c r="K46" s="6" t="n"/>
      <c r="L46" s="6" t="n"/>
      <c r="M46" s="6" t="n"/>
      <c r="N46" s="6" t="n"/>
      <c r="O46" s="6" t="n"/>
      <c r="P46" s="6" t="n"/>
      <c r="Q46" s="6" t="n"/>
      <c r="R46" s="6" t="n"/>
      <c r="S46" s="6" t="n"/>
      <c r="T46" s="3" t="n"/>
      <c r="U46" s="3" t="n"/>
      <c r="V46" s="3" t="n"/>
    </row>
    <row r="47" ht="8" customHeight="1">
      <c r="A47" s="3" t="n"/>
      <c r="B47" s="3" t="n"/>
      <c r="C47" s="3" t="n"/>
      <c r="D47" s="3" t="n"/>
      <c r="E47" s="3" t="n"/>
      <c r="F47" s="6" t="n"/>
      <c r="G47" s="6" t="n"/>
      <c r="H47" s="6" t="n"/>
      <c r="I47" s="6" t="n"/>
      <c r="J47" s="6" t="n"/>
      <c r="K47" s="6" t="n"/>
      <c r="L47" s="6" t="n"/>
      <c r="M47" s="6" t="n"/>
      <c r="N47" s="6" t="n"/>
      <c r="O47" s="6" t="n"/>
      <c r="P47" s="6" t="n"/>
      <c r="Q47" s="6" t="n"/>
      <c r="R47" s="6" t="n"/>
      <c r="S47" s="6" t="n"/>
      <c r="T47" s="3" t="n"/>
      <c r="U47" s="3" t="n"/>
      <c r="V47" s="3" t="n"/>
    </row>
    <row r="48" ht="8" customHeight="1">
      <c r="A48" s="3" t="n"/>
      <c r="B48" s="3" t="n"/>
      <c r="C48" s="3" t="n"/>
      <c r="D48" s="3" t="n"/>
      <c r="E48" s="3" t="n"/>
      <c r="F48" s="6" t="n"/>
      <c r="G48" s="6" t="n"/>
      <c r="H48" s="6" t="n"/>
      <c r="I48" s="6" t="n"/>
      <c r="J48" s="6" t="n"/>
      <c r="K48" s="6" t="n"/>
      <c r="L48" s="6" t="n"/>
      <c r="M48" s="6" t="n"/>
      <c r="N48" s="6" t="n"/>
      <c r="O48" s="6" t="n"/>
      <c r="P48" s="6" t="n"/>
      <c r="Q48" s="6" t="n"/>
      <c r="R48" s="6" t="n"/>
      <c r="S48" s="6" t="n"/>
      <c r="T48" s="3" t="n"/>
      <c r="U48" s="3" t="n"/>
      <c r="V48" s="3" t="n"/>
    </row>
    <row r="49" ht="8" customHeight="1">
      <c r="A49" s="3" t="n"/>
      <c r="B49" s="3" t="n"/>
      <c r="C49" s="3" t="n"/>
      <c r="D49" s="3" t="n"/>
      <c r="E49" s="3" t="n"/>
      <c r="F49" s="6" t="n"/>
      <c r="G49" s="6" t="n"/>
      <c r="H49" s="6" t="n"/>
      <c r="I49" s="6" t="n"/>
      <c r="J49" s="6" t="n"/>
      <c r="K49" s="6" t="n"/>
      <c r="L49" s="6" t="n"/>
      <c r="M49" s="6" t="n"/>
      <c r="N49" s="6" t="n"/>
      <c r="O49" s="6" t="n"/>
      <c r="P49" s="6" t="n"/>
      <c r="Q49" s="6" t="n"/>
      <c r="R49" s="6" t="n"/>
      <c r="S49" s="6" t="n"/>
      <c r="T49" s="3" t="n"/>
      <c r="U49" s="3" t="n"/>
      <c r="V49" s="3" t="n"/>
    </row>
    <row r="50" ht="8" customHeight="1">
      <c r="A50" s="3" t="n"/>
      <c r="B50" s="3" t="n"/>
      <c r="C50" s="3" t="n"/>
      <c r="D50" s="3" t="n"/>
      <c r="E50" s="3" t="n"/>
      <c r="F50" s="6" t="n"/>
      <c r="G50" s="6" t="n"/>
      <c r="H50" s="6" t="n"/>
      <c r="I50" s="6" t="n"/>
      <c r="J50" s="6" t="n"/>
      <c r="K50" s="6" t="n"/>
      <c r="L50" s="6" t="n"/>
      <c r="M50" s="6" t="n"/>
      <c r="N50" s="6" t="n"/>
      <c r="O50" s="6" t="n"/>
      <c r="P50" s="6" t="n"/>
      <c r="Q50" s="6" t="n"/>
      <c r="R50" s="6" t="n"/>
      <c r="S50" s="6" t="n"/>
      <c r="T50" s="3" t="n"/>
      <c r="U50" s="3" t="n"/>
      <c r="V50" s="3" t="n"/>
    </row>
    <row r="51" ht="8" customHeight="1">
      <c r="A51" s="3" t="n"/>
      <c r="B51" s="3" t="n"/>
      <c r="C51" s="3" t="n"/>
      <c r="D51" s="3" t="n"/>
      <c r="E51" s="3" t="n"/>
      <c r="F51" s="6" t="n"/>
      <c r="G51" s="6" t="n"/>
      <c r="H51" s="6" t="n"/>
      <c r="I51" s="6" t="n"/>
      <c r="J51" s="6" t="n"/>
      <c r="K51" s="6" t="n"/>
      <c r="L51" s="6" t="n"/>
      <c r="M51" s="6" t="n"/>
      <c r="N51" s="6" t="n"/>
      <c r="O51" s="6" t="n"/>
      <c r="P51" s="6" t="n"/>
      <c r="Q51" s="6" t="n"/>
      <c r="R51" s="6" t="n"/>
      <c r="S51" s="6" t="n"/>
      <c r="T51" s="3" t="n"/>
      <c r="U51" s="3" t="n"/>
      <c r="V51" s="3" t="n"/>
    </row>
    <row r="52" ht="8" customHeight="1">
      <c r="A52" s="3" t="n"/>
      <c r="B52" s="3" t="n"/>
      <c r="C52" s="3" t="n"/>
      <c r="D52" s="3" t="n"/>
      <c r="E52" s="3" t="n"/>
      <c r="F52" s="6" t="n"/>
      <c r="G52" s="6" t="n"/>
      <c r="H52" s="6" t="n"/>
      <c r="I52" s="6" t="n"/>
      <c r="J52" s="6" t="n"/>
      <c r="K52" s="6" t="n"/>
      <c r="L52" s="6" t="n"/>
      <c r="M52" s="6" t="n"/>
      <c r="N52" s="6" t="n"/>
      <c r="O52" s="6" t="n"/>
      <c r="P52" s="6" t="n"/>
      <c r="Q52" s="6" t="n"/>
      <c r="R52" s="6" t="n"/>
      <c r="S52" s="6" t="n"/>
      <c r="T52" s="3" t="n"/>
      <c r="U52" s="3" t="n"/>
      <c r="V52" s="3" t="n"/>
    </row>
    <row r="53" ht="8" customHeight="1">
      <c r="A53" s="3" t="n"/>
      <c r="B53" s="3" t="n"/>
      <c r="C53" s="3" t="n"/>
      <c r="D53" s="3" t="n"/>
      <c r="E53" s="3" t="n"/>
      <c r="F53" s="6" t="n"/>
      <c r="G53" s="6" t="n"/>
      <c r="H53" s="6" t="n"/>
      <c r="I53" s="6" t="n"/>
      <c r="J53" s="6" t="n"/>
      <c r="K53" s="6" t="n"/>
      <c r="L53" s="6" t="n"/>
      <c r="M53" s="6" t="n"/>
      <c r="N53" s="6" t="n"/>
      <c r="O53" s="6" t="n"/>
      <c r="P53" s="6" t="n"/>
      <c r="Q53" s="6" t="n"/>
      <c r="R53" s="6" t="n"/>
      <c r="S53" s="6" t="n"/>
      <c r="T53" s="3" t="n"/>
      <c r="U53" s="3" t="n"/>
      <c r="V53" s="3" t="n"/>
    </row>
    <row r="54" ht="8" customHeight="1">
      <c r="A54" s="3" t="n"/>
      <c r="B54" s="3" t="n"/>
      <c r="C54" s="3" t="n"/>
      <c r="D54" s="3" t="n"/>
      <c r="E54" s="3" t="n"/>
      <c r="F54" s="6" t="n"/>
      <c r="G54" s="6" t="n"/>
      <c r="H54" s="6" t="n"/>
      <c r="I54" s="6" t="n"/>
      <c r="J54" s="6" t="n"/>
      <c r="K54" s="6" t="n"/>
      <c r="L54" s="6" t="n"/>
      <c r="M54" s="6" t="n"/>
      <c r="N54" s="6" t="n"/>
      <c r="O54" s="6" t="n"/>
      <c r="P54" s="6" t="n"/>
      <c r="Q54" s="6" t="n"/>
      <c r="R54" s="6" t="n"/>
      <c r="S54" s="6" t="n"/>
      <c r="T54" s="3" t="n"/>
      <c r="U54" s="3" t="n"/>
      <c r="V54" s="3" t="n"/>
    </row>
    <row r="55" ht="8" customHeight="1">
      <c r="A55" s="3" t="n"/>
      <c r="B55" s="3" t="n"/>
      <c r="C55" s="3" t="n"/>
      <c r="D55" s="3" t="n"/>
      <c r="E55" s="3" t="n"/>
      <c r="F55" s="6" t="n"/>
      <c r="G55" s="6" t="n"/>
      <c r="H55" s="6" t="n"/>
      <c r="I55" s="6" t="n"/>
      <c r="J55" s="6" t="n"/>
      <c r="K55" s="6" t="n"/>
      <c r="L55" s="6" t="n"/>
      <c r="M55" s="6" t="n"/>
      <c r="N55" s="6" t="n"/>
      <c r="O55" s="6" t="n"/>
      <c r="P55" s="6" t="n"/>
      <c r="Q55" s="6" t="n"/>
      <c r="R55" s="6" t="n"/>
      <c r="S55" s="6" t="n"/>
      <c r="T55" s="3" t="n"/>
      <c r="U55" s="3" t="n"/>
      <c r="V55" s="3" t="n"/>
    </row>
    <row r="56" ht="8" customHeight="1">
      <c r="A56" s="3" t="n"/>
      <c r="B56" s="3" t="n"/>
      <c r="C56" s="3" t="n"/>
      <c r="D56" s="3" t="n"/>
      <c r="E56" s="3" t="n"/>
      <c r="F56" s="6" t="n"/>
      <c r="G56" s="6" t="n"/>
      <c r="H56" s="6" t="n"/>
      <c r="I56" s="6" t="n"/>
      <c r="J56" s="6" t="n"/>
      <c r="K56" s="6" t="n"/>
      <c r="L56" s="6" t="n"/>
      <c r="M56" s="6" t="n"/>
      <c r="N56" s="6" t="n"/>
      <c r="O56" s="6" t="n"/>
      <c r="P56" s="6" t="n"/>
      <c r="Q56" s="6" t="n"/>
      <c r="R56" s="6" t="n"/>
      <c r="S56" s="6" t="n"/>
      <c r="T56" s="3" t="n"/>
      <c r="U56" s="3" t="n"/>
      <c r="V56" s="3" t="n"/>
    </row>
    <row r="57" ht="8" customHeight="1">
      <c r="A57" s="3" t="n"/>
      <c r="B57" s="3" t="n"/>
      <c r="C57" s="3" t="n"/>
      <c r="D57" s="3" t="n"/>
      <c r="E57" s="3" t="n"/>
      <c r="F57" s="6" t="n"/>
      <c r="G57" s="6" t="n"/>
      <c r="H57" s="6" t="n"/>
      <c r="I57" s="6" t="n"/>
      <c r="J57" s="6" t="n"/>
      <c r="K57" s="6" t="n"/>
      <c r="L57" s="6" t="n"/>
      <c r="M57" s="6" t="n"/>
      <c r="N57" s="6" t="n"/>
      <c r="O57" s="6" t="n"/>
      <c r="P57" s="6" t="n"/>
      <c r="Q57" s="6" t="n"/>
      <c r="R57" s="6" t="n"/>
      <c r="S57" s="6" t="n"/>
      <c r="T57" s="3" t="n"/>
      <c r="U57" s="3" t="n"/>
      <c r="V57" s="3" t="n"/>
    </row>
    <row r="58" ht="8" customHeight="1">
      <c r="A58" s="3" t="n"/>
      <c r="B58" s="3" t="n"/>
      <c r="C58" s="3" t="n"/>
      <c r="D58" s="3" t="n"/>
      <c r="E58" s="3" t="n"/>
      <c r="F58" s="6" t="n"/>
      <c r="G58" s="6" t="n"/>
      <c r="H58" s="6" t="n"/>
      <c r="I58" s="6" t="n"/>
      <c r="J58" s="6" t="n"/>
      <c r="K58" s="6" t="n"/>
      <c r="L58" s="6" t="n"/>
      <c r="M58" s="6" t="n"/>
      <c r="N58" s="6" t="n"/>
      <c r="O58" s="6" t="n"/>
      <c r="P58" s="6" t="n"/>
      <c r="Q58" s="6" t="n"/>
      <c r="R58" s="6" t="n"/>
      <c r="S58" s="6" t="n"/>
      <c r="T58" s="3" t="n"/>
      <c r="U58" s="3" t="n"/>
      <c r="V58" s="3" t="n"/>
    </row>
    <row r="59" ht="8" customHeight="1">
      <c r="A59" s="3" t="n"/>
      <c r="B59" s="3" t="n"/>
      <c r="C59" s="3" t="n"/>
      <c r="D59" s="3" t="n"/>
      <c r="E59" s="3" t="n"/>
      <c r="F59" s="6" t="n"/>
      <c r="G59" s="6" t="n"/>
      <c r="H59" s="6" t="n"/>
      <c r="I59" s="6" t="n"/>
      <c r="J59" s="6" t="n"/>
      <c r="K59" s="6" t="n"/>
      <c r="L59" s="6" t="n"/>
      <c r="M59" s="6" t="n"/>
      <c r="N59" s="6" t="n"/>
      <c r="O59" s="6" t="n"/>
      <c r="P59" s="6" t="n"/>
      <c r="Q59" s="6" t="n"/>
      <c r="R59" s="6" t="n"/>
      <c r="S59" s="6" t="n"/>
      <c r="T59" s="3" t="n"/>
      <c r="U59" s="3" t="n"/>
      <c r="V59" s="3" t="n"/>
    </row>
    <row r="60" ht="8" customHeight="1">
      <c r="A60" s="3" t="n"/>
      <c r="B60" s="3" t="n"/>
      <c r="C60" s="3" t="n"/>
      <c r="D60" s="3" t="n"/>
      <c r="E60" s="3" t="n"/>
      <c r="F60" s="6" t="n"/>
      <c r="G60" s="6" t="n"/>
      <c r="H60" s="6" t="n"/>
      <c r="I60" s="6" t="n"/>
      <c r="J60" s="6" t="n"/>
      <c r="K60" s="6" t="n"/>
      <c r="L60" s="6" t="n"/>
      <c r="M60" s="6" t="n"/>
      <c r="N60" s="6" t="n"/>
      <c r="O60" s="6" t="n"/>
      <c r="P60" s="6" t="n"/>
      <c r="Q60" s="6" t="n"/>
      <c r="R60" s="6" t="n"/>
      <c r="S60" s="6" t="n"/>
      <c r="T60" s="3" t="n"/>
      <c r="U60" s="3" t="n"/>
      <c r="V60" s="3"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V65"/>
  <sheetViews>
    <sheetView showGridLines="0" workbookViewId="0">
      <pane xSplit="1" ySplit="4" topLeftCell="B5" activePane="bottomRight" state="frozen"/>
      <selection activeCell="A1" sqref="A1"/>
    </sheetView>
  </sheetViews>
  <sheetFormatPr baseColWidth="8" defaultRowHeight="15"/>
  <cols>
    <col width="29.3799991607666" customWidth="1" min="1" max="1"/>
    <col width="18.75" customWidth="1" min="2" max="2"/>
    <col width="38.75" customWidth="1" min="3" max="3"/>
    <col width="10.88000011444092" customWidth="1" min="4" max="4"/>
    <col width="10.88000011444092" customWidth="1" min="5" max="5"/>
    <col width="10.88000011444092" customWidth="1" min="6" max="6"/>
    <col width="10.88000011444092" customWidth="1" min="7" max="7"/>
    <col width="10.88000011444092" customWidth="1" min="8" max="8"/>
    <col width="10.88000011444092" customWidth="1" min="9" max="9"/>
    <col width="10.88000011444092" customWidth="1" min="10" max="10"/>
    <col width="10.88000011444092" customWidth="1" min="11" max="11"/>
    <col width="10.88000011444092" customWidth="1" min="12" max="12"/>
    <col width="10.88000011444092" customWidth="1" min="13" max="13"/>
    <col width="10.88000011444092" customWidth="1" min="14" max="14"/>
    <col width="10.88000011444092" customWidth="1" min="15" max="15"/>
    <col width="10.88000011444092" customWidth="1" min="16" max="16"/>
    <col width="10.88000011444092" customWidth="1" min="17" max="17"/>
    <col width="17.5" customWidth="1" min="18" max="18"/>
    <col width="16.25" customWidth="1" min="19" max="19"/>
    <col width="33.75" customWidth="1" min="20" max="20"/>
    <col width="43.75" customWidth="1" min="21" max="21"/>
    <col width="41.25" customWidth="1" min="22" max="22"/>
  </cols>
  <sheetData>
    <row r="1" ht="28" customHeight="1">
      <c r="A1" s="5" t="inlineStr">
        <is>
          <t>Provincial allocation example</t>
        </is>
      </c>
      <c r="B1" s="3" t="n"/>
      <c r="C1" s="3" t="n"/>
      <c r="D1" s="3" t="n"/>
      <c r="E1" s="3" t="n"/>
      <c r="F1" s="3" t="n"/>
      <c r="G1" s="3" t="n"/>
      <c r="H1" s="3" t="n"/>
      <c r="I1" s="3" t="n"/>
      <c r="J1" s="3" t="n"/>
      <c r="K1" s="3" t="n"/>
      <c r="L1" s="3" t="n"/>
      <c r="M1" s="3" t="n"/>
      <c r="N1" s="3" t="n"/>
      <c r="O1" s="3" t="n"/>
      <c r="P1" s="3" t="n"/>
      <c r="Q1" s="3" t="n"/>
    </row>
    <row r="2" ht="24" customHeight="1">
      <c r="A2" s="7" t="inlineStr">
        <is>
          <t>Petrol passenger demand • Shares are blank pending evidence. This is allocation, not a local-driver forecast.</t>
        </is>
      </c>
      <c r="B2" s="3" t="n"/>
      <c r="C2" s="3" t="n"/>
      <c r="D2" s="3" t="n"/>
      <c r="E2" s="3" t="n"/>
      <c r="F2" s="3" t="n"/>
      <c r="G2" s="3" t="n"/>
      <c r="H2" s="3" t="n"/>
      <c r="I2" s="3" t="n"/>
      <c r="J2" s="3" t="n"/>
      <c r="K2" s="3" t="n"/>
      <c r="L2" s="3" t="n"/>
      <c r="M2" s="3" t="n"/>
      <c r="N2" s="3" t="n"/>
      <c r="O2" s="3" t="n"/>
      <c r="P2" s="3" t="n"/>
      <c r="Q2" s="3" t="n"/>
    </row>
    <row r="3">
      <c r="A3" s="3" t="n"/>
      <c r="B3" s="3" t="n"/>
      <c r="C3" s="3" t="n"/>
      <c r="D3" s="3" t="n"/>
      <c r="E3" s="3" t="n"/>
      <c r="F3" s="3" t="n"/>
      <c r="G3" s="3" t="n"/>
      <c r="H3" s="3" t="n"/>
      <c r="I3" s="3" t="n"/>
      <c r="J3" s="3" t="n"/>
      <c r="K3" s="3" t="n"/>
      <c r="L3" s="3" t="n"/>
      <c r="M3" s="3" t="n"/>
      <c r="N3" s="3" t="n"/>
      <c r="O3" s="3" t="n"/>
      <c r="P3" s="3" t="n"/>
      <c r="Q3" s="3" t="n"/>
    </row>
    <row r="4" ht="40" customHeight="1">
      <c r="A4" s="9" t="inlineStr">
        <is>
          <t>Province / control</t>
        </is>
      </c>
      <c r="B4" s="9" t="inlineStr">
        <is>
          <t>Row type</t>
        </is>
      </c>
      <c r="C4" s="9" t="inlineStr">
        <is>
          <t>Evidence / method</t>
        </is>
      </c>
      <c r="D4" s="9" t="n">
        <v>2022</v>
      </c>
      <c r="E4" s="9" t="n">
        <v>2023</v>
      </c>
      <c r="F4" s="9" t="n">
        <v>2024</v>
      </c>
      <c r="G4" s="9" t="n">
        <v>2025</v>
      </c>
      <c r="H4" s="9" t="n">
        <v>2026</v>
      </c>
      <c r="I4" s="9" t="n">
        <v>2027</v>
      </c>
      <c r="J4" s="9" t="n">
        <v>2028</v>
      </c>
      <c r="K4" s="9" t="n">
        <v>2029</v>
      </c>
      <c r="L4" s="9" t="n">
        <v>2030</v>
      </c>
      <c r="M4" s="9" t="n">
        <v>2031</v>
      </c>
      <c r="N4" s="9" t="n">
        <v>2032</v>
      </c>
      <c r="O4" s="9" t="n">
        <v>2033</v>
      </c>
      <c r="P4" s="9" t="n">
        <v>2034</v>
      </c>
      <c r="Q4" s="9" t="n">
        <v>2035</v>
      </c>
      <c r="R4" s="79" t="inlineStr">
        <is>
          <t>Latest partial value</t>
        </is>
      </c>
      <c r="S4" s="79" t="inlineStr">
        <is>
          <t>Latest period</t>
        </is>
      </c>
      <c r="T4" s="79" t="inlineStr">
        <is>
          <t>Coverage / status</t>
        </is>
      </c>
      <c r="U4" s="79" t="inlineStr">
        <is>
          <t>Source</t>
        </is>
      </c>
      <c r="V4" s="79" t="inlineStr">
        <is>
          <t>Missing evidence / next action</t>
        </is>
      </c>
    </row>
    <row r="5" ht="52" customHeight="1">
      <c r="A5" s="3" t="inlineStr">
        <is>
          <t>National passenger petrol</t>
        </is>
      </c>
      <c r="B5" s="3" t="inlineStr">
        <is>
          <t>million L/year</t>
        </is>
      </c>
      <c r="C5" s="3" t="inlineStr">
        <is>
          <t>Linked to Petrol current-engine output</t>
        </is>
      </c>
      <c r="D5" s="121">
        <f>'Petrol'!F21</f>
        <v/>
      </c>
      <c r="E5" s="121">
        <f>'Petrol'!G21</f>
        <v/>
      </c>
      <c r="F5" s="121">
        <f>'Petrol'!H21</f>
        <v/>
      </c>
      <c r="G5" s="121">
        <f>'Petrol'!I21</f>
        <v/>
      </c>
      <c r="H5" s="121">
        <f>'Petrol'!J21</f>
        <v/>
      </c>
      <c r="I5" s="121">
        <f>'Petrol'!K21</f>
        <v/>
      </c>
      <c r="J5" s="121">
        <f>'Petrol'!L21</f>
        <v/>
      </c>
      <c r="K5" s="121">
        <f>'Petrol'!M21</f>
        <v/>
      </c>
      <c r="L5" s="121">
        <f>'Petrol'!N21</f>
        <v/>
      </c>
      <c r="M5" s="121">
        <f>'Petrol'!O21</f>
        <v/>
      </c>
      <c r="N5" s="121">
        <f>'Petrol'!P21</f>
        <v/>
      </c>
      <c r="O5" s="121">
        <f>'Petrol'!Q21</f>
        <v/>
      </c>
      <c r="P5" s="121">
        <f>'Petrol'!R21</f>
        <v/>
      </c>
      <c r="Q5" s="121">
        <f>'Petrol'!S21</f>
        <v/>
      </c>
    </row>
    <row r="6" ht="52" customHeight="1">
      <c r="A6" s="3" t="n"/>
      <c r="B6" s="3" t="n"/>
      <c r="C6" s="3" t="n"/>
      <c r="D6" s="3" t="n"/>
      <c r="E6" s="3" t="n"/>
      <c r="F6" s="3" t="n"/>
      <c r="G6" s="3" t="n"/>
      <c r="H6" s="3" t="n"/>
      <c r="I6" s="3" t="n"/>
      <c r="J6" s="3" t="n"/>
      <c r="K6" s="3" t="n"/>
      <c r="L6" s="3" t="n"/>
      <c r="M6" s="3" t="n"/>
      <c r="N6" s="3" t="n"/>
      <c r="O6" s="3" t="n"/>
      <c r="P6" s="3" t="n"/>
      <c r="Q6" s="3" t="n"/>
    </row>
    <row r="7" ht="52" customHeight="1">
      <c r="A7" s="3" t="inlineStr">
        <is>
          <t>Eastern Cape</t>
        </is>
      </c>
      <c r="B7" s="3" t="inlineStr">
        <is>
          <t>Allocation share</t>
        </is>
      </c>
      <c r="C7" s="3" t="inlineStr">
        <is>
          <t>Enter annual share and source; 0 only if confirmed</t>
        </is>
      </c>
      <c r="D7" s="130" t="n"/>
      <c r="E7" s="130" t="n"/>
      <c r="F7" s="130" t="n"/>
      <c r="G7" s="130" t="n"/>
      <c r="H7" s="130" t="n"/>
      <c r="I7" s="130" t="n"/>
      <c r="J7" s="130" t="n"/>
      <c r="K7" s="130" t="n"/>
      <c r="L7" s="130" t="n"/>
      <c r="M7" s="130" t="n"/>
      <c r="N7" s="130" t="n"/>
      <c r="O7" s="130" t="n"/>
      <c r="P7" s="130" t="n"/>
      <c r="Q7" s="130" t="n"/>
    </row>
    <row r="8" ht="52" customHeight="1">
      <c r="A8" s="3" t="inlineStr">
        <is>
          <t>Free State</t>
        </is>
      </c>
      <c r="B8" s="3" t="inlineStr">
        <is>
          <t>Allocation share</t>
        </is>
      </c>
      <c r="C8" s="3" t="inlineStr">
        <is>
          <t>Enter annual share and source; 0 only if confirmed</t>
        </is>
      </c>
      <c r="D8" s="130" t="n"/>
      <c r="E8" s="130" t="n"/>
      <c r="F8" s="130" t="n"/>
      <c r="G8" s="130" t="n"/>
      <c r="H8" s="130" t="n"/>
      <c r="I8" s="130" t="n"/>
      <c r="J8" s="130" t="n"/>
      <c r="K8" s="130" t="n"/>
      <c r="L8" s="130" t="n"/>
      <c r="M8" s="130" t="n"/>
      <c r="N8" s="130" t="n"/>
      <c r="O8" s="130" t="n"/>
      <c r="P8" s="130" t="n"/>
      <c r="Q8" s="130" t="n"/>
    </row>
    <row r="9" ht="52" customHeight="1">
      <c r="A9" s="3" t="inlineStr">
        <is>
          <t>Gauteng</t>
        </is>
      </c>
      <c r="B9" s="3" t="inlineStr">
        <is>
          <t>Allocation share</t>
        </is>
      </c>
      <c r="C9" s="3" t="inlineStr">
        <is>
          <t>Enter annual share and source; 0 only if confirmed</t>
        </is>
      </c>
      <c r="D9" s="130" t="n"/>
      <c r="E9" s="130" t="n"/>
      <c r="F9" s="130" t="n"/>
      <c r="G9" s="130" t="n"/>
      <c r="H9" s="130" t="n"/>
      <c r="I9" s="130" t="n"/>
      <c r="J9" s="130" t="n"/>
      <c r="K9" s="130" t="n"/>
      <c r="L9" s="130" t="n"/>
      <c r="M9" s="130" t="n"/>
      <c r="N9" s="130" t="n"/>
      <c r="O9" s="130" t="n"/>
      <c r="P9" s="130" t="n"/>
      <c r="Q9" s="130" t="n"/>
    </row>
    <row r="10" ht="52" customHeight="1">
      <c r="A10" s="3" t="inlineStr">
        <is>
          <t>KwaZulu-Natal</t>
        </is>
      </c>
      <c r="B10" s="3" t="inlineStr">
        <is>
          <t>Allocation share</t>
        </is>
      </c>
      <c r="C10" s="3" t="inlineStr">
        <is>
          <t>Enter annual share and source; 0 only if confirmed</t>
        </is>
      </c>
      <c r="D10" s="130" t="n"/>
      <c r="E10" s="130" t="n"/>
      <c r="F10" s="130" t="n"/>
      <c r="G10" s="130" t="n"/>
      <c r="H10" s="130" t="n"/>
      <c r="I10" s="130" t="n"/>
      <c r="J10" s="130" t="n"/>
      <c r="K10" s="130" t="n"/>
      <c r="L10" s="130" t="n"/>
      <c r="M10" s="130" t="n"/>
      <c r="N10" s="130" t="n"/>
      <c r="O10" s="130" t="n"/>
      <c r="P10" s="130" t="n"/>
      <c r="Q10" s="130" t="n"/>
    </row>
    <row r="11" ht="52" customHeight="1">
      <c r="A11" s="3" t="inlineStr">
        <is>
          <t>Limpopo</t>
        </is>
      </c>
      <c r="B11" s="3" t="inlineStr">
        <is>
          <t>Allocation share</t>
        </is>
      </c>
      <c r="C11" s="3" t="inlineStr">
        <is>
          <t>Enter annual share and source; 0 only if confirmed</t>
        </is>
      </c>
      <c r="D11" s="130" t="n"/>
      <c r="E11" s="130" t="n"/>
      <c r="F11" s="130" t="n"/>
      <c r="G11" s="130" t="n"/>
      <c r="H11" s="130" t="n"/>
      <c r="I11" s="130" t="n"/>
      <c r="J11" s="130" t="n"/>
      <c r="K11" s="130" t="n"/>
      <c r="L11" s="130" t="n"/>
      <c r="M11" s="130" t="n"/>
      <c r="N11" s="130" t="n"/>
      <c r="O11" s="130" t="n"/>
      <c r="P11" s="130" t="n"/>
      <c r="Q11" s="130" t="n"/>
    </row>
    <row r="12" ht="52" customHeight="1">
      <c r="A12" s="3" t="inlineStr">
        <is>
          <t>Mpumalanga</t>
        </is>
      </c>
      <c r="B12" s="3" t="inlineStr">
        <is>
          <t>Allocation share</t>
        </is>
      </c>
      <c r="C12" s="3" t="inlineStr">
        <is>
          <t>Enter annual share and source; 0 only if confirmed</t>
        </is>
      </c>
      <c r="D12" s="130" t="n"/>
      <c r="E12" s="130" t="n"/>
      <c r="F12" s="130" t="n"/>
      <c r="G12" s="130" t="n"/>
      <c r="H12" s="130" t="n"/>
      <c r="I12" s="130" t="n"/>
      <c r="J12" s="130" t="n"/>
      <c r="K12" s="130" t="n"/>
      <c r="L12" s="130" t="n"/>
      <c r="M12" s="130" t="n"/>
      <c r="N12" s="130" t="n"/>
      <c r="O12" s="130" t="n"/>
      <c r="P12" s="130" t="n"/>
      <c r="Q12" s="130" t="n"/>
    </row>
    <row r="13" ht="52" customHeight="1">
      <c r="A13" s="3" t="inlineStr">
        <is>
          <t>Northern Cape</t>
        </is>
      </c>
      <c r="B13" s="3" t="inlineStr">
        <is>
          <t>Allocation share</t>
        </is>
      </c>
      <c r="C13" s="3" t="inlineStr">
        <is>
          <t>Enter annual share and source; 0 only if confirmed</t>
        </is>
      </c>
      <c r="D13" s="130" t="n"/>
      <c r="E13" s="130" t="n"/>
      <c r="F13" s="130" t="n"/>
      <c r="G13" s="130" t="n"/>
      <c r="H13" s="130" t="n"/>
      <c r="I13" s="130" t="n"/>
      <c r="J13" s="130" t="n"/>
      <c r="K13" s="130" t="n"/>
      <c r="L13" s="130" t="n"/>
      <c r="M13" s="130" t="n"/>
      <c r="N13" s="130" t="n"/>
      <c r="O13" s="130" t="n"/>
      <c r="P13" s="130" t="n"/>
      <c r="Q13" s="130" t="n"/>
    </row>
    <row r="14" ht="52" customHeight="1">
      <c r="A14" s="3" t="inlineStr">
        <is>
          <t>North West</t>
        </is>
      </c>
      <c r="B14" s="3" t="inlineStr">
        <is>
          <t>Allocation share</t>
        </is>
      </c>
      <c r="C14" s="3" t="inlineStr">
        <is>
          <t>Enter annual share and source; 0 only if confirmed</t>
        </is>
      </c>
      <c r="D14" s="130" t="n"/>
      <c r="E14" s="130" t="n"/>
      <c r="F14" s="130" t="n"/>
      <c r="G14" s="130" t="n"/>
      <c r="H14" s="130" t="n"/>
      <c r="I14" s="130" t="n"/>
      <c r="J14" s="130" t="n"/>
      <c r="K14" s="130" t="n"/>
      <c r="L14" s="130" t="n"/>
      <c r="M14" s="130" t="n"/>
      <c r="N14" s="130" t="n"/>
      <c r="O14" s="130" t="n"/>
      <c r="P14" s="130" t="n"/>
      <c r="Q14" s="130" t="n"/>
    </row>
    <row r="15" ht="52" customHeight="1">
      <c r="A15" s="3" t="inlineStr">
        <is>
          <t>Western Cape</t>
        </is>
      </c>
      <c r="B15" s="3" t="inlineStr">
        <is>
          <t>Allocation share</t>
        </is>
      </c>
      <c r="C15" s="3" t="inlineStr">
        <is>
          <t>Enter annual share and source; 0 only if confirmed</t>
        </is>
      </c>
      <c r="D15" s="130" t="n"/>
      <c r="E15" s="130" t="n"/>
      <c r="F15" s="130" t="n"/>
      <c r="G15" s="130" t="n"/>
      <c r="H15" s="130" t="n"/>
      <c r="I15" s="130" t="n"/>
      <c r="J15" s="130" t="n"/>
      <c r="K15" s="130" t="n"/>
      <c r="L15" s="130" t="n"/>
      <c r="M15" s="130" t="n"/>
      <c r="N15" s="130" t="n"/>
      <c r="O15" s="130" t="n"/>
      <c r="P15" s="130" t="n"/>
      <c r="Q15" s="130" t="n"/>
    </row>
    <row r="16" ht="52" customHeight="1">
      <c r="A16" s="11" t="inlineStr">
        <is>
          <t>Share total</t>
        </is>
      </c>
      <c r="B16" s="11" t="inlineStr">
        <is>
          <t>share</t>
        </is>
      </c>
      <c r="C16" s="11" t="inlineStr">
        <is>
          <t>Reporting calculation</t>
        </is>
      </c>
      <c r="D16" s="140">
        <f>IF(COUNT(D7:D15)=0,"",SUM(D7:D15))</f>
        <v/>
      </c>
      <c r="E16" s="140">
        <f>IF(COUNT(E7:E15)=0,"",SUM(E7:E15))</f>
        <v/>
      </c>
      <c r="F16" s="140">
        <f>IF(COUNT(F7:F15)=0,"",SUM(F7:F15))</f>
        <v/>
      </c>
      <c r="G16" s="140">
        <f>IF(COUNT(G7:G15)=0,"",SUM(G7:G15))</f>
        <v/>
      </c>
      <c r="H16" s="140">
        <f>IF(COUNT(H7:H15)=0,"",SUM(H7:H15))</f>
        <v/>
      </c>
      <c r="I16" s="140">
        <f>IF(COUNT(I7:I15)=0,"",SUM(I7:I15))</f>
        <v/>
      </c>
      <c r="J16" s="140">
        <f>IF(COUNT(J7:J15)=0,"",SUM(J7:J15))</f>
        <v/>
      </c>
      <c r="K16" s="140">
        <f>IF(COUNT(K7:K15)=0,"",SUM(K7:K15))</f>
        <v/>
      </c>
      <c r="L16" s="140">
        <f>IF(COUNT(L7:L15)=0,"",SUM(L7:L15))</f>
        <v/>
      </c>
      <c r="M16" s="140">
        <f>IF(COUNT(M7:M15)=0,"",SUM(M7:M15))</f>
        <v/>
      </c>
      <c r="N16" s="140">
        <f>IF(COUNT(N7:N15)=0,"",SUM(N7:N15))</f>
        <v/>
      </c>
      <c r="O16" s="140">
        <f>IF(COUNT(O7:O15)=0,"",SUM(O7:O15))</f>
        <v/>
      </c>
      <c r="P16" s="140">
        <f>IF(COUNT(P7:P15)=0,"",SUM(P7:P15))</f>
        <v/>
      </c>
      <c r="Q16" s="140">
        <f>IF(COUNT(Q7:Q15)=0,"",SUM(Q7:Q15))</f>
        <v/>
      </c>
    </row>
    <row r="17" ht="52" customHeight="1">
      <c r="A17" s="3" t="n"/>
      <c r="B17" s="3" t="n"/>
      <c r="C17" s="3" t="n"/>
      <c r="D17" s="3" t="n"/>
      <c r="E17" s="3" t="n"/>
      <c r="F17" s="3" t="n"/>
      <c r="G17" s="3" t="n"/>
      <c r="H17" s="3" t="n"/>
      <c r="I17" s="3" t="n"/>
      <c r="J17" s="3" t="n"/>
      <c r="K17" s="3" t="n"/>
      <c r="L17" s="3" t="n"/>
      <c r="M17" s="3" t="n"/>
      <c r="N17" s="3" t="n"/>
      <c r="O17" s="3" t="n"/>
      <c r="P17" s="3" t="n"/>
      <c r="Q17" s="3" t="n"/>
    </row>
    <row r="18" ht="52" customHeight="1">
      <c r="A18" s="3" t="inlineStr">
        <is>
          <t>Eastern Cape</t>
        </is>
      </c>
      <c r="B18" s="3" t="inlineStr">
        <is>
          <t>million L/year</t>
        </is>
      </c>
      <c r="C18" s="3" t="inlineStr">
        <is>
          <t>National demand × entered share</t>
        </is>
      </c>
      <c r="D18" s="121">
        <f>IF(ISNUMBER(D7),D$5*D7,"")</f>
        <v/>
      </c>
      <c r="E18" s="121">
        <f>IF(ISNUMBER(E7),E$5*E7,"")</f>
        <v/>
      </c>
      <c r="F18" s="121">
        <f>IF(ISNUMBER(F7),F$5*F7,"")</f>
        <v/>
      </c>
      <c r="G18" s="121">
        <f>IF(ISNUMBER(G7),G$5*G7,"")</f>
        <v/>
      </c>
      <c r="H18" s="121">
        <f>IF(ISNUMBER(H7),H$5*H7,"")</f>
        <v/>
      </c>
      <c r="I18" s="121">
        <f>IF(ISNUMBER(I7),I$5*I7,"")</f>
        <v/>
      </c>
      <c r="J18" s="121">
        <f>IF(ISNUMBER(J7),J$5*J7,"")</f>
        <v/>
      </c>
      <c r="K18" s="121">
        <f>IF(ISNUMBER(K7),K$5*K7,"")</f>
        <v/>
      </c>
      <c r="L18" s="121">
        <f>IF(ISNUMBER(L7),L$5*L7,"")</f>
        <v/>
      </c>
      <c r="M18" s="121">
        <f>IF(ISNUMBER(M7),M$5*M7,"")</f>
        <v/>
      </c>
      <c r="N18" s="121">
        <f>IF(ISNUMBER(N7),N$5*N7,"")</f>
        <v/>
      </c>
      <c r="O18" s="121">
        <f>IF(ISNUMBER(O7),O$5*O7,"")</f>
        <v/>
      </c>
      <c r="P18" s="121">
        <f>IF(ISNUMBER(P7),P$5*P7,"")</f>
        <v/>
      </c>
      <c r="Q18" s="121">
        <f>IF(ISNUMBER(Q7),Q$5*Q7,"")</f>
        <v/>
      </c>
    </row>
    <row r="19" ht="52" customHeight="1">
      <c r="A19" s="3" t="inlineStr">
        <is>
          <t>Free State</t>
        </is>
      </c>
      <c r="B19" s="3" t="inlineStr">
        <is>
          <t>million L/year</t>
        </is>
      </c>
      <c r="C19" s="3" t="inlineStr">
        <is>
          <t>National demand × entered share</t>
        </is>
      </c>
      <c r="D19" s="121">
        <f>IF(ISNUMBER(D8),D$5*D8,"")</f>
        <v/>
      </c>
      <c r="E19" s="121">
        <f>IF(ISNUMBER(E8),E$5*E8,"")</f>
        <v/>
      </c>
      <c r="F19" s="121">
        <f>IF(ISNUMBER(F8),F$5*F8,"")</f>
        <v/>
      </c>
      <c r="G19" s="121">
        <f>IF(ISNUMBER(G8),G$5*G8,"")</f>
        <v/>
      </c>
      <c r="H19" s="121">
        <f>IF(ISNUMBER(H8),H$5*H8,"")</f>
        <v/>
      </c>
      <c r="I19" s="121">
        <f>IF(ISNUMBER(I8),I$5*I8,"")</f>
        <v/>
      </c>
      <c r="J19" s="121">
        <f>IF(ISNUMBER(J8),J$5*J8,"")</f>
        <v/>
      </c>
      <c r="K19" s="121">
        <f>IF(ISNUMBER(K8),K$5*K8,"")</f>
        <v/>
      </c>
      <c r="L19" s="121">
        <f>IF(ISNUMBER(L8),L$5*L8,"")</f>
        <v/>
      </c>
      <c r="M19" s="121">
        <f>IF(ISNUMBER(M8),M$5*M8,"")</f>
        <v/>
      </c>
      <c r="N19" s="121">
        <f>IF(ISNUMBER(N8),N$5*N8,"")</f>
        <v/>
      </c>
      <c r="O19" s="121">
        <f>IF(ISNUMBER(O8),O$5*O8,"")</f>
        <v/>
      </c>
      <c r="P19" s="121">
        <f>IF(ISNUMBER(P8),P$5*P8,"")</f>
        <v/>
      </c>
      <c r="Q19" s="121">
        <f>IF(ISNUMBER(Q8),Q$5*Q8,"")</f>
        <v/>
      </c>
    </row>
    <row r="20" ht="52" customHeight="1">
      <c r="A20" s="3" t="inlineStr">
        <is>
          <t>Gauteng</t>
        </is>
      </c>
      <c r="B20" s="3" t="inlineStr">
        <is>
          <t>million L/year</t>
        </is>
      </c>
      <c r="C20" s="3" t="inlineStr">
        <is>
          <t>National demand × entered share</t>
        </is>
      </c>
      <c r="D20" s="121">
        <f>IF(ISNUMBER(D9),D$5*D9,"")</f>
        <v/>
      </c>
      <c r="E20" s="121">
        <f>IF(ISNUMBER(E9),E$5*E9,"")</f>
        <v/>
      </c>
      <c r="F20" s="121">
        <f>IF(ISNUMBER(F9),F$5*F9,"")</f>
        <v/>
      </c>
      <c r="G20" s="121">
        <f>IF(ISNUMBER(G9),G$5*G9,"")</f>
        <v/>
      </c>
      <c r="H20" s="121">
        <f>IF(ISNUMBER(H9),H$5*H9,"")</f>
        <v/>
      </c>
      <c r="I20" s="121">
        <f>IF(ISNUMBER(I9),I$5*I9,"")</f>
        <v/>
      </c>
      <c r="J20" s="121">
        <f>IF(ISNUMBER(J9),J$5*J9,"")</f>
        <v/>
      </c>
      <c r="K20" s="121">
        <f>IF(ISNUMBER(K9),K$5*K9,"")</f>
        <v/>
      </c>
      <c r="L20" s="121">
        <f>IF(ISNUMBER(L9),L$5*L9,"")</f>
        <v/>
      </c>
      <c r="M20" s="121">
        <f>IF(ISNUMBER(M9),M$5*M9,"")</f>
        <v/>
      </c>
      <c r="N20" s="121">
        <f>IF(ISNUMBER(N9),N$5*N9,"")</f>
        <v/>
      </c>
      <c r="O20" s="121">
        <f>IF(ISNUMBER(O9),O$5*O9,"")</f>
        <v/>
      </c>
      <c r="P20" s="121">
        <f>IF(ISNUMBER(P9),P$5*P9,"")</f>
        <v/>
      </c>
      <c r="Q20" s="121">
        <f>IF(ISNUMBER(Q9),Q$5*Q9,"")</f>
        <v/>
      </c>
    </row>
    <row r="21" ht="52" customHeight="1">
      <c r="A21" s="3" t="inlineStr">
        <is>
          <t>KwaZulu-Natal</t>
        </is>
      </c>
      <c r="B21" s="3" t="inlineStr">
        <is>
          <t>million L/year</t>
        </is>
      </c>
      <c r="C21" s="3" t="inlineStr">
        <is>
          <t>National demand × entered share</t>
        </is>
      </c>
      <c r="D21" s="121">
        <f>IF(ISNUMBER(D10),D$5*D10,"")</f>
        <v/>
      </c>
      <c r="E21" s="121">
        <f>IF(ISNUMBER(E10),E$5*E10,"")</f>
        <v/>
      </c>
      <c r="F21" s="121">
        <f>IF(ISNUMBER(F10),F$5*F10,"")</f>
        <v/>
      </c>
      <c r="G21" s="121">
        <f>IF(ISNUMBER(G10),G$5*G10,"")</f>
        <v/>
      </c>
      <c r="H21" s="121">
        <f>IF(ISNUMBER(H10),H$5*H10,"")</f>
        <v/>
      </c>
      <c r="I21" s="121">
        <f>IF(ISNUMBER(I10),I$5*I10,"")</f>
        <v/>
      </c>
      <c r="J21" s="121">
        <f>IF(ISNUMBER(J10),J$5*J10,"")</f>
        <v/>
      </c>
      <c r="K21" s="121">
        <f>IF(ISNUMBER(K10),K$5*K10,"")</f>
        <v/>
      </c>
      <c r="L21" s="121">
        <f>IF(ISNUMBER(L10),L$5*L10,"")</f>
        <v/>
      </c>
      <c r="M21" s="121">
        <f>IF(ISNUMBER(M10),M$5*M10,"")</f>
        <v/>
      </c>
      <c r="N21" s="121">
        <f>IF(ISNUMBER(N10),N$5*N10,"")</f>
        <v/>
      </c>
      <c r="O21" s="121">
        <f>IF(ISNUMBER(O10),O$5*O10,"")</f>
        <v/>
      </c>
      <c r="P21" s="121">
        <f>IF(ISNUMBER(P10),P$5*P10,"")</f>
        <v/>
      </c>
      <c r="Q21" s="121">
        <f>IF(ISNUMBER(Q10),Q$5*Q10,"")</f>
        <v/>
      </c>
    </row>
    <row r="22" ht="52" customHeight="1">
      <c r="A22" s="3" t="inlineStr">
        <is>
          <t>Limpopo</t>
        </is>
      </c>
      <c r="B22" s="3" t="inlineStr">
        <is>
          <t>million L/year</t>
        </is>
      </c>
      <c r="C22" s="3" t="inlineStr">
        <is>
          <t>National demand × entered share</t>
        </is>
      </c>
      <c r="D22" s="121">
        <f>IF(ISNUMBER(D11),D$5*D11,"")</f>
        <v/>
      </c>
      <c r="E22" s="121">
        <f>IF(ISNUMBER(E11),E$5*E11,"")</f>
        <v/>
      </c>
      <c r="F22" s="121">
        <f>IF(ISNUMBER(F11),F$5*F11,"")</f>
        <v/>
      </c>
      <c r="G22" s="121">
        <f>IF(ISNUMBER(G11),G$5*G11,"")</f>
        <v/>
      </c>
      <c r="H22" s="121">
        <f>IF(ISNUMBER(H11),H$5*H11,"")</f>
        <v/>
      </c>
      <c r="I22" s="121">
        <f>IF(ISNUMBER(I11),I$5*I11,"")</f>
        <v/>
      </c>
      <c r="J22" s="121">
        <f>IF(ISNUMBER(J11),J$5*J11,"")</f>
        <v/>
      </c>
      <c r="K22" s="121">
        <f>IF(ISNUMBER(K11),K$5*K11,"")</f>
        <v/>
      </c>
      <c r="L22" s="121">
        <f>IF(ISNUMBER(L11),L$5*L11,"")</f>
        <v/>
      </c>
      <c r="M22" s="121">
        <f>IF(ISNUMBER(M11),M$5*M11,"")</f>
        <v/>
      </c>
      <c r="N22" s="121">
        <f>IF(ISNUMBER(N11),N$5*N11,"")</f>
        <v/>
      </c>
      <c r="O22" s="121">
        <f>IF(ISNUMBER(O11),O$5*O11,"")</f>
        <v/>
      </c>
      <c r="P22" s="121">
        <f>IF(ISNUMBER(P11),P$5*P11,"")</f>
        <v/>
      </c>
      <c r="Q22" s="121">
        <f>IF(ISNUMBER(Q11),Q$5*Q11,"")</f>
        <v/>
      </c>
    </row>
    <row r="23" ht="52" customHeight="1">
      <c r="A23" s="3" t="inlineStr">
        <is>
          <t>Mpumalanga</t>
        </is>
      </c>
      <c r="B23" s="3" t="inlineStr">
        <is>
          <t>million L/year</t>
        </is>
      </c>
      <c r="C23" s="3" t="inlineStr">
        <is>
          <t>National demand × entered share</t>
        </is>
      </c>
      <c r="D23" s="121">
        <f>IF(ISNUMBER(D12),D$5*D12,"")</f>
        <v/>
      </c>
      <c r="E23" s="121">
        <f>IF(ISNUMBER(E12),E$5*E12,"")</f>
        <v/>
      </c>
      <c r="F23" s="121">
        <f>IF(ISNUMBER(F12),F$5*F12,"")</f>
        <v/>
      </c>
      <c r="G23" s="121">
        <f>IF(ISNUMBER(G12),G$5*G12,"")</f>
        <v/>
      </c>
      <c r="H23" s="121">
        <f>IF(ISNUMBER(H12),H$5*H12,"")</f>
        <v/>
      </c>
      <c r="I23" s="121">
        <f>IF(ISNUMBER(I12),I$5*I12,"")</f>
        <v/>
      </c>
      <c r="J23" s="121">
        <f>IF(ISNUMBER(J12),J$5*J12,"")</f>
        <v/>
      </c>
      <c r="K23" s="121">
        <f>IF(ISNUMBER(K12),K$5*K12,"")</f>
        <v/>
      </c>
      <c r="L23" s="121">
        <f>IF(ISNUMBER(L12),L$5*L12,"")</f>
        <v/>
      </c>
      <c r="M23" s="121">
        <f>IF(ISNUMBER(M12),M$5*M12,"")</f>
        <v/>
      </c>
      <c r="N23" s="121">
        <f>IF(ISNUMBER(N12),N$5*N12,"")</f>
        <v/>
      </c>
      <c r="O23" s="121">
        <f>IF(ISNUMBER(O12),O$5*O12,"")</f>
        <v/>
      </c>
      <c r="P23" s="121">
        <f>IF(ISNUMBER(P12),P$5*P12,"")</f>
        <v/>
      </c>
      <c r="Q23" s="121">
        <f>IF(ISNUMBER(Q12),Q$5*Q12,"")</f>
        <v/>
      </c>
    </row>
    <row r="24" ht="52" customHeight="1">
      <c r="A24" s="3" t="inlineStr">
        <is>
          <t>Northern Cape</t>
        </is>
      </c>
      <c r="B24" s="3" t="inlineStr">
        <is>
          <t>million L/year</t>
        </is>
      </c>
      <c r="C24" s="3" t="inlineStr">
        <is>
          <t>National demand × entered share</t>
        </is>
      </c>
      <c r="D24" s="121">
        <f>IF(ISNUMBER(D13),D$5*D13,"")</f>
        <v/>
      </c>
      <c r="E24" s="121">
        <f>IF(ISNUMBER(E13),E$5*E13,"")</f>
        <v/>
      </c>
      <c r="F24" s="121">
        <f>IF(ISNUMBER(F13),F$5*F13,"")</f>
        <v/>
      </c>
      <c r="G24" s="121">
        <f>IF(ISNUMBER(G13),G$5*G13,"")</f>
        <v/>
      </c>
      <c r="H24" s="121">
        <f>IF(ISNUMBER(H13),H$5*H13,"")</f>
        <v/>
      </c>
      <c r="I24" s="121">
        <f>IF(ISNUMBER(I13),I$5*I13,"")</f>
        <v/>
      </c>
      <c r="J24" s="121">
        <f>IF(ISNUMBER(J13),J$5*J13,"")</f>
        <v/>
      </c>
      <c r="K24" s="121">
        <f>IF(ISNUMBER(K13),K$5*K13,"")</f>
        <v/>
      </c>
      <c r="L24" s="121">
        <f>IF(ISNUMBER(L13),L$5*L13,"")</f>
        <v/>
      </c>
      <c r="M24" s="121">
        <f>IF(ISNUMBER(M13),M$5*M13,"")</f>
        <v/>
      </c>
      <c r="N24" s="121">
        <f>IF(ISNUMBER(N13),N$5*N13,"")</f>
        <v/>
      </c>
      <c r="O24" s="121">
        <f>IF(ISNUMBER(O13),O$5*O13,"")</f>
        <v/>
      </c>
      <c r="P24" s="121">
        <f>IF(ISNUMBER(P13),P$5*P13,"")</f>
        <v/>
      </c>
      <c r="Q24" s="121">
        <f>IF(ISNUMBER(Q13),Q$5*Q13,"")</f>
        <v/>
      </c>
    </row>
    <row r="25" ht="52" customHeight="1">
      <c r="A25" s="3" t="inlineStr">
        <is>
          <t>North West</t>
        </is>
      </c>
      <c r="B25" s="3" t="inlineStr">
        <is>
          <t>million L/year</t>
        </is>
      </c>
      <c r="C25" s="3" t="inlineStr">
        <is>
          <t>National demand × entered share</t>
        </is>
      </c>
      <c r="D25" s="121">
        <f>IF(ISNUMBER(D14),D$5*D14,"")</f>
        <v/>
      </c>
      <c r="E25" s="121">
        <f>IF(ISNUMBER(E14),E$5*E14,"")</f>
        <v/>
      </c>
      <c r="F25" s="121">
        <f>IF(ISNUMBER(F14),F$5*F14,"")</f>
        <v/>
      </c>
      <c r="G25" s="121">
        <f>IF(ISNUMBER(G14),G$5*G14,"")</f>
        <v/>
      </c>
      <c r="H25" s="121">
        <f>IF(ISNUMBER(H14),H$5*H14,"")</f>
        <v/>
      </c>
      <c r="I25" s="121">
        <f>IF(ISNUMBER(I14),I$5*I14,"")</f>
        <v/>
      </c>
      <c r="J25" s="121">
        <f>IF(ISNUMBER(J14),J$5*J14,"")</f>
        <v/>
      </c>
      <c r="K25" s="121">
        <f>IF(ISNUMBER(K14),K$5*K14,"")</f>
        <v/>
      </c>
      <c r="L25" s="121">
        <f>IF(ISNUMBER(L14),L$5*L14,"")</f>
        <v/>
      </c>
      <c r="M25" s="121">
        <f>IF(ISNUMBER(M14),M$5*M14,"")</f>
        <v/>
      </c>
      <c r="N25" s="121">
        <f>IF(ISNUMBER(N14),N$5*N14,"")</f>
        <v/>
      </c>
      <c r="O25" s="121">
        <f>IF(ISNUMBER(O14),O$5*O14,"")</f>
        <v/>
      </c>
      <c r="P25" s="121">
        <f>IF(ISNUMBER(P14),P$5*P14,"")</f>
        <v/>
      </c>
      <c r="Q25" s="121">
        <f>IF(ISNUMBER(Q14),Q$5*Q14,"")</f>
        <v/>
      </c>
    </row>
    <row r="26" ht="52" customHeight="1">
      <c r="A26" s="3" t="inlineStr">
        <is>
          <t>Western Cape</t>
        </is>
      </c>
      <c r="B26" s="3" t="inlineStr">
        <is>
          <t>million L/year</t>
        </is>
      </c>
      <c r="C26" s="3" t="inlineStr">
        <is>
          <t>National demand × entered share</t>
        </is>
      </c>
      <c r="D26" s="121">
        <f>IF(ISNUMBER(D15),D$5*D15,"")</f>
        <v/>
      </c>
      <c r="E26" s="121">
        <f>IF(ISNUMBER(E15),E$5*E15,"")</f>
        <v/>
      </c>
      <c r="F26" s="121">
        <f>IF(ISNUMBER(F15),F$5*F15,"")</f>
        <v/>
      </c>
      <c r="G26" s="121">
        <f>IF(ISNUMBER(G15),G$5*G15,"")</f>
        <v/>
      </c>
      <c r="H26" s="121">
        <f>IF(ISNUMBER(H15),H$5*H15,"")</f>
        <v/>
      </c>
      <c r="I26" s="121">
        <f>IF(ISNUMBER(I15),I$5*I15,"")</f>
        <v/>
      </c>
      <c r="J26" s="121">
        <f>IF(ISNUMBER(J15),J$5*J15,"")</f>
        <v/>
      </c>
      <c r="K26" s="121">
        <f>IF(ISNUMBER(K15),K$5*K15,"")</f>
        <v/>
      </c>
      <c r="L26" s="121">
        <f>IF(ISNUMBER(L15),L$5*L15,"")</f>
        <v/>
      </c>
      <c r="M26" s="121">
        <f>IF(ISNUMBER(M15),M$5*M15,"")</f>
        <v/>
      </c>
      <c r="N26" s="121">
        <f>IF(ISNUMBER(N15),N$5*N15,"")</f>
        <v/>
      </c>
      <c r="O26" s="121">
        <f>IF(ISNUMBER(O15),O$5*O15,"")</f>
        <v/>
      </c>
      <c r="P26" s="121">
        <f>IF(ISNUMBER(P15),P$5*P15,"")</f>
        <v/>
      </c>
      <c r="Q26" s="121">
        <f>IF(ISNUMBER(Q15),Q$5*Q15,"")</f>
        <v/>
      </c>
    </row>
    <row r="27" ht="52" customHeight="1">
      <c r="A27" s="11" t="inlineStr">
        <is>
          <t>Allocated demand</t>
        </is>
      </c>
      <c r="B27" s="11" t="inlineStr">
        <is>
          <t>million L/year</t>
        </is>
      </c>
      <c r="C27" s="11" t="inlineStr">
        <is>
          <t>Reporting calculation</t>
        </is>
      </c>
      <c r="D27" s="141">
        <f>IF(COUNT(D18:D26)=0,"",SUM(D18:D26))</f>
        <v/>
      </c>
      <c r="E27" s="141">
        <f>IF(COUNT(E18:E26)=0,"",SUM(E18:E26))</f>
        <v/>
      </c>
      <c r="F27" s="141">
        <f>IF(COUNT(F18:F26)=0,"",SUM(F18:F26))</f>
        <v/>
      </c>
      <c r="G27" s="141">
        <f>IF(COUNT(G18:G26)=0,"",SUM(G18:G26))</f>
        <v/>
      </c>
      <c r="H27" s="141">
        <f>IF(COUNT(H18:H26)=0,"",SUM(H18:H26))</f>
        <v/>
      </c>
      <c r="I27" s="141">
        <f>IF(COUNT(I18:I26)=0,"",SUM(I18:I26))</f>
        <v/>
      </c>
      <c r="J27" s="141">
        <f>IF(COUNT(J18:J26)=0,"",SUM(J18:J26))</f>
        <v/>
      </c>
      <c r="K27" s="141">
        <f>IF(COUNT(K18:K26)=0,"",SUM(K18:K26))</f>
        <v/>
      </c>
      <c r="L27" s="141">
        <f>IF(COUNT(L18:L26)=0,"",SUM(L18:L26))</f>
        <v/>
      </c>
      <c r="M27" s="141">
        <f>IF(COUNT(M18:M26)=0,"",SUM(M18:M26))</f>
        <v/>
      </c>
      <c r="N27" s="141">
        <f>IF(COUNT(N18:N26)=0,"",SUM(N18:N26))</f>
        <v/>
      </c>
      <c r="O27" s="141">
        <f>IF(COUNT(O18:O26)=0,"",SUM(O18:O26))</f>
        <v/>
      </c>
      <c r="P27" s="141">
        <f>IF(COUNT(P18:P26)=0,"",SUM(P18:P26))</f>
        <v/>
      </c>
      <c r="Q27" s="141">
        <f>IF(COUNT(Q18:Q26)=0,"",SUM(Q18:Q26))</f>
        <v/>
      </c>
    </row>
    <row r="28" ht="52" customHeight="1">
      <c r="A28" s="11" t="inlineStr">
        <is>
          <t>Unallocated demand</t>
        </is>
      </c>
      <c r="B28" s="11" t="inlineStr">
        <is>
          <t>million L/year</t>
        </is>
      </c>
      <c r="C28" s="11" t="inlineStr">
        <is>
          <t>Residual includes all missing allocations</t>
        </is>
      </c>
      <c r="D28" s="141">
        <f>D5-SUM(D18:D26)</f>
        <v/>
      </c>
      <c r="E28" s="141">
        <f>E5-SUM(E18:E26)</f>
        <v/>
      </c>
      <c r="F28" s="141">
        <f>F5-SUM(F18:F26)</f>
        <v/>
      </c>
      <c r="G28" s="141">
        <f>G5-SUM(G18:G26)</f>
        <v/>
      </c>
      <c r="H28" s="141">
        <f>H5-SUM(H18:H26)</f>
        <v/>
      </c>
      <c r="I28" s="141">
        <f>I5-SUM(I18:I26)</f>
        <v/>
      </c>
      <c r="J28" s="141">
        <f>J5-SUM(J18:J26)</f>
        <v/>
      </c>
      <c r="K28" s="141">
        <f>K5-SUM(K18:K26)</f>
        <v/>
      </c>
      <c r="L28" s="141">
        <f>L5-SUM(L18:L26)</f>
        <v/>
      </c>
      <c r="M28" s="141">
        <f>M5-SUM(M18:M26)</f>
        <v/>
      </c>
      <c r="N28" s="141">
        <f>N5-SUM(N18:N26)</f>
        <v/>
      </c>
      <c r="O28" s="141">
        <f>O5-SUM(O18:O26)</f>
        <v/>
      </c>
      <c r="P28" s="141">
        <f>P5-SUM(P18:P26)</f>
        <v/>
      </c>
      <c r="Q28" s="141">
        <f>Q5-SUM(Q18:Q26)</f>
        <v/>
      </c>
    </row>
    <row r="29" ht="52" customHeight="1">
      <c r="A29" s="11" t="inlineStr">
        <is>
          <t>Allocation check</t>
        </is>
      </c>
      <c r="B29" s="11" t="inlineStr">
        <is>
          <t>check</t>
        </is>
      </c>
      <c r="C29" s="11" t="inlineStr">
        <is>
          <t>Complete when nine numeric shares sum to 100%</t>
        </is>
      </c>
      <c r="D29" s="11">
        <f>IF(COUNT(D7:D15)&lt;9,"Missing shares",IF(ABS(SUM(D7:D15)-1)&lt;0.000001,"Reconciled","Shares do not sum to 100%"))</f>
        <v/>
      </c>
      <c r="E29" s="11">
        <f>IF(COUNT(E7:E15)&lt;9,"Missing shares",IF(ABS(SUM(E7:E15)-1)&lt;0.000001,"Reconciled","Shares do not sum to 100%"))</f>
        <v/>
      </c>
      <c r="F29" s="11">
        <f>IF(COUNT(F7:F15)&lt;9,"Missing shares",IF(ABS(SUM(F7:F15)-1)&lt;0.000001,"Reconciled","Shares do not sum to 100%"))</f>
        <v/>
      </c>
      <c r="G29" s="11">
        <f>IF(COUNT(G7:G15)&lt;9,"Missing shares",IF(ABS(SUM(G7:G15)-1)&lt;0.000001,"Reconciled","Shares do not sum to 100%"))</f>
        <v/>
      </c>
      <c r="H29" s="11">
        <f>IF(COUNT(H7:H15)&lt;9,"Missing shares",IF(ABS(SUM(H7:H15)-1)&lt;0.000001,"Reconciled","Shares do not sum to 100%"))</f>
        <v/>
      </c>
      <c r="I29" s="11">
        <f>IF(COUNT(I7:I15)&lt;9,"Missing shares",IF(ABS(SUM(I7:I15)-1)&lt;0.000001,"Reconciled","Shares do not sum to 100%"))</f>
        <v/>
      </c>
      <c r="J29" s="11">
        <f>IF(COUNT(J7:J15)&lt;9,"Missing shares",IF(ABS(SUM(J7:J15)-1)&lt;0.000001,"Reconciled","Shares do not sum to 100%"))</f>
        <v/>
      </c>
      <c r="K29" s="11">
        <f>IF(COUNT(K7:K15)&lt;9,"Missing shares",IF(ABS(SUM(K7:K15)-1)&lt;0.000001,"Reconciled","Shares do not sum to 100%"))</f>
        <v/>
      </c>
      <c r="L29" s="11">
        <f>IF(COUNT(L7:L15)&lt;9,"Missing shares",IF(ABS(SUM(L7:L15)-1)&lt;0.000001,"Reconciled","Shares do not sum to 100%"))</f>
        <v/>
      </c>
      <c r="M29" s="11">
        <f>IF(COUNT(M7:M15)&lt;9,"Missing shares",IF(ABS(SUM(M7:M15)-1)&lt;0.000001,"Reconciled","Shares do not sum to 100%"))</f>
        <v/>
      </c>
      <c r="N29" s="11">
        <f>IF(COUNT(N7:N15)&lt;9,"Missing shares",IF(ABS(SUM(N7:N15)-1)&lt;0.000001,"Reconciled","Shares do not sum to 100%"))</f>
        <v/>
      </c>
      <c r="O29" s="11">
        <f>IF(COUNT(O7:O15)&lt;9,"Missing shares",IF(ABS(SUM(O7:O15)-1)&lt;0.000001,"Reconciled","Shares do not sum to 100%"))</f>
        <v/>
      </c>
      <c r="P29" s="11">
        <f>IF(COUNT(P7:P15)&lt;9,"Missing shares",IF(ABS(SUM(P7:P15)-1)&lt;0.000001,"Reconciled","Shares do not sum to 100%"))</f>
        <v/>
      </c>
      <c r="Q29" s="11">
        <f>IF(COUNT(Q7:Q15)&lt;9,"Missing shares",IF(ABS(SUM(Q7:Q15)-1)&lt;0.000001,"Reconciled","Shares do not sum to 100%"))</f>
        <v/>
      </c>
    </row>
    <row r="30" ht="52" customHeight="1">
      <c r="A30" s="3" t="n"/>
      <c r="B30" s="3" t="n"/>
      <c r="C30" s="3" t="n"/>
      <c r="D30" s="3" t="n"/>
      <c r="E30" s="3" t="n"/>
      <c r="F30" s="3" t="n"/>
      <c r="G30" s="3" t="n"/>
      <c r="H30" s="3" t="n"/>
      <c r="I30" s="3" t="n"/>
      <c r="J30" s="3" t="n"/>
      <c r="K30" s="3" t="n"/>
      <c r="L30" s="3" t="n"/>
      <c r="M30" s="3" t="n"/>
      <c r="N30" s="3" t="n"/>
      <c r="O30" s="3" t="n"/>
      <c r="P30" s="3" t="n"/>
      <c r="Q30" s="3" t="n"/>
    </row>
    <row r="31" ht="52" customHeight="1">
      <c r="A31" s="3" t="inlineStr">
        <is>
          <t>Other segments</t>
        </is>
      </c>
      <c r="B31" s="3" t="inlineStr">
        <is>
          <t>Workshop decision</t>
        </is>
      </c>
      <c r="C31" s="3" t="inlineStr">
        <is>
          <t>Repeat by segment with its own allocation evidence. For local calculations, replace allocated rows with engine outputs; retain national reconciliation.</t>
        </is>
      </c>
      <c r="D31" s="3" t="n"/>
      <c r="E31" s="3" t="n"/>
      <c r="F31" s="3" t="n"/>
      <c r="G31" s="3" t="n"/>
      <c r="H31" s="3" t="n"/>
      <c r="I31" s="3" t="n"/>
      <c r="J31" s="3" t="n"/>
      <c r="K31" s="3" t="n"/>
      <c r="L31" s="3" t="n"/>
      <c r="M31" s="3" t="n"/>
      <c r="N31" s="3" t="n"/>
      <c r="O31" s="3" t="n"/>
      <c r="P31" s="3" t="n"/>
      <c r="Q31" s="3" t="n"/>
    </row>
    <row r="32" ht="52" customHeight="1">
      <c r="A32" s="3" t="n"/>
      <c r="B32" s="3" t="n"/>
      <c r="C32" s="3" t="n"/>
      <c r="D32" s="3" t="n"/>
      <c r="E32" s="3" t="n"/>
      <c r="F32" s="3" t="n"/>
      <c r="G32" s="3" t="n"/>
      <c r="H32" s="3" t="n"/>
      <c r="I32" s="3" t="n"/>
      <c r="J32" s="3" t="n"/>
      <c r="K32" s="3" t="n"/>
      <c r="L32" s="3" t="n"/>
      <c r="M32" s="3" t="n"/>
      <c r="N32" s="3" t="n"/>
      <c r="O32" s="3" t="n"/>
      <c r="P32" s="3" t="n"/>
      <c r="Q32" s="3" t="n"/>
    </row>
    <row r="33" ht="65" customHeight="1">
      <c r="A33" s="62" t="inlineStr">
        <is>
          <t>Observed provincial fuel sales</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row>
    <row r="34" ht="65" customHeight="1">
      <c r="A34" s="3" t="inlineStr">
        <is>
          <t>EC petrol</t>
        </is>
      </c>
      <c r="B34" s="3" t="inlineStr">
        <is>
          <t>million L/year</t>
        </is>
      </c>
      <c r="C34" s="3" t="inlineStr">
        <is>
          <t>Observed product sales, not passenger/freight-only demand.</t>
        </is>
      </c>
      <c r="D34" s="122">
        <f>IF(ISNUMBER('Evidence'!F43),'Evidence'!F43,"")</f>
        <v/>
      </c>
      <c r="E34" s="122" t="n"/>
      <c r="F34" s="122" t="n"/>
      <c r="G34" s="122" t="n"/>
      <c r="H34" s="122" t="n"/>
      <c r="I34" s="122" t="n"/>
      <c r="J34" s="122" t="n"/>
      <c r="K34" s="122" t="n"/>
      <c r="L34" s="122" t="n"/>
      <c r="M34" s="122" t="n"/>
      <c r="N34" s="122" t="n"/>
      <c r="O34" s="122" t="n"/>
      <c r="P34" s="122" t="n"/>
      <c r="Q34" s="122" t="n"/>
      <c r="R34" s="122">
        <f>IF(ISNUMBER('Evidence'!D43),'Evidence'!D43,"")</f>
        <v/>
      </c>
      <c r="S34" s="3" t="inlineStr">
        <is>
          <t>2023 Q1 only</t>
        </is>
      </c>
      <c r="T34" s="3" t="inlineStr">
        <is>
          <t>2022 full year; latest Q1 2023 in R, not annualised.</t>
        </is>
      </c>
      <c r="U34" s="3" t="inlineStr">
        <is>
          <t>https://github.com/Africa-International-Advisors/liquid_fuels_model/blob/8c69f8333192483f19cd80911cb90fcd0943eb6b/assumptions/2026/timeseries/fuel_sales_department_by_province_quarterly.csv</t>
        </is>
      </c>
      <c r="V34" s="3" t="inlineStr">
        <is>
          <t>G11: obtain later complete years and sector allocation. Do not use total petrol shares automatically for passenger demand.</t>
        </is>
      </c>
    </row>
    <row r="35" ht="65" customHeight="1">
      <c r="A35" s="3" t="inlineStr">
        <is>
          <t>FS petrol</t>
        </is>
      </c>
      <c r="B35" s="3" t="inlineStr">
        <is>
          <t>million L/year</t>
        </is>
      </c>
      <c r="C35" s="3" t="inlineStr">
        <is>
          <t>Observed product sales, not passenger/freight-only demand.</t>
        </is>
      </c>
      <c r="D35" s="122">
        <f>IF(ISNUMBER('Evidence'!F44),'Evidence'!F44,"")</f>
        <v/>
      </c>
      <c r="E35" s="122" t="n"/>
      <c r="F35" s="122" t="n"/>
      <c r="G35" s="122" t="n"/>
      <c r="H35" s="122" t="n"/>
      <c r="I35" s="122" t="n"/>
      <c r="J35" s="122" t="n"/>
      <c r="K35" s="122" t="n"/>
      <c r="L35" s="122" t="n"/>
      <c r="M35" s="122" t="n"/>
      <c r="N35" s="122" t="n"/>
      <c r="O35" s="122" t="n"/>
      <c r="P35" s="122" t="n"/>
      <c r="Q35" s="122" t="n"/>
      <c r="R35" s="122">
        <f>IF(ISNUMBER('Evidence'!D44),'Evidence'!D44,"")</f>
        <v/>
      </c>
      <c r="S35" s="3" t="inlineStr">
        <is>
          <t>2023 Q1 only</t>
        </is>
      </c>
      <c r="T35" s="3" t="inlineStr">
        <is>
          <t>2022 full year; latest Q1 2023 in R, not annualised.</t>
        </is>
      </c>
      <c r="U35" s="3" t="inlineStr">
        <is>
          <t>https://github.com/Africa-International-Advisors/liquid_fuels_model/blob/8c69f8333192483f19cd80911cb90fcd0943eb6b/assumptions/2026/timeseries/fuel_sales_department_by_province_quarterly.csv</t>
        </is>
      </c>
      <c r="V35" s="3" t="inlineStr">
        <is>
          <t>G11: obtain later complete years and sector allocation. Do not use total petrol shares automatically for passenger demand.</t>
        </is>
      </c>
    </row>
    <row r="36" ht="65" customHeight="1">
      <c r="A36" s="3" t="inlineStr">
        <is>
          <t>GP petrol</t>
        </is>
      </c>
      <c r="B36" s="3" t="inlineStr">
        <is>
          <t>million L/year</t>
        </is>
      </c>
      <c r="C36" s="3" t="inlineStr">
        <is>
          <t>Observed product sales, not passenger/freight-only demand.</t>
        </is>
      </c>
      <c r="D36" s="122">
        <f>IF(ISNUMBER('Evidence'!F45),'Evidence'!F45,"")</f>
        <v/>
      </c>
      <c r="E36" s="122" t="n"/>
      <c r="F36" s="122" t="n"/>
      <c r="G36" s="122" t="n"/>
      <c r="H36" s="122" t="n"/>
      <c r="I36" s="122" t="n"/>
      <c r="J36" s="122" t="n"/>
      <c r="K36" s="122" t="n"/>
      <c r="L36" s="122" t="n"/>
      <c r="M36" s="122" t="n"/>
      <c r="N36" s="122" t="n"/>
      <c r="O36" s="122" t="n"/>
      <c r="P36" s="122" t="n"/>
      <c r="Q36" s="122" t="n"/>
      <c r="R36" s="122">
        <f>IF(ISNUMBER('Evidence'!D45),'Evidence'!D45,"")</f>
        <v/>
      </c>
      <c r="S36" s="3" t="inlineStr">
        <is>
          <t>2023 Q1 only</t>
        </is>
      </c>
      <c r="T36" s="3" t="inlineStr">
        <is>
          <t>2022 full year; latest Q1 2023 in R, not annualised.</t>
        </is>
      </c>
      <c r="U36" s="3" t="inlineStr">
        <is>
          <t>https://github.com/Africa-International-Advisors/liquid_fuels_model/blob/8c69f8333192483f19cd80911cb90fcd0943eb6b/assumptions/2026/timeseries/fuel_sales_department_by_province_quarterly.csv</t>
        </is>
      </c>
      <c r="V36" s="3" t="inlineStr">
        <is>
          <t>G11: obtain later complete years and sector allocation. Do not use total petrol shares automatically for passenger demand.</t>
        </is>
      </c>
    </row>
    <row r="37" ht="65" customHeight="1">
      <c r="A37" s="3" t="inlineStr">
        <is>
          <t>KZN petrol</t>
        </is>
      </c>
      <c r="B37" s="3" t="inlineStr">
        <is>
          <t>million L/year</t>
        </is>
      </c>
      <c r="C37" s="3" t="inlineStr">
        <is>
          <t>Observed product sales, not passenger/freight-only demand.</t>
        </is>
      </c>
      <c r="D37" s="122">
        <f>IF(ISNUMBER('Evidence'!F46),'Evidence'!F46,"")</f>
        <v/>
      </c>
      <c r="E37" s="122" t="n"/>
      <c r="F37" s="122" t="n"/>
      <c r="G37" s="122" t="n"/>
      <c r="H37" s="122" t="n"/>
      <c r="I37" s="122" t="n"/>
      <c r="J37" s="122" t="n"/>
      <c r="K37" s="122" t="n"/>
      <c r="L37" s="122" t="n"/>
      <c r="M37" s="122" t="n"/>
      <c r="N37" s="122" t="n"/>
      <c r="O37" s="122" t="n"/>
      <c r="P37" s="122" t="n"/>
      <c r="Q37" s="122" t="n"/>
      <c r="R37" s="122">
        <f>IF(ISNUMBER('Evidence'!D46),'Evidence'!D46,"")</f>
        <v/>
      </c>
      <c r="S37" s="3" t="inlineStr">
        <is>
          <t>2023 Q1 only</t>
        </is>
      </c>
      <c r="T37" s="3" t="inlineStr">
        <is>
          <t>2022 full year; latest Q1 2023 in R, not annualised.</t>
        </is>
      </c>
      <c r="U37" s="3" t="inlineStr">
        <is>
          <t>https://github.com/Africa-International-Advisors/liquid_fuels_model/blob/8c69f8333192483f19cd80911cb90fcd0943eb6b/assumptions/2026/timeseries/fuel_sales_department_by_province_quarterly.csv</t>
        </is>
      </c>
      <c r="V37" s="3" t="inlineStr">
        <is>
          <t>G11: obtain later complete years and sector allocation. Do not use total petrol shares automatically for passenger demand.</t>
        </is>
      </c>
    </row>
    <row r="38" ht="65" customHeight="1">
      <c r="A38" s="3" t="inlineStr">
        <is>
          <t>LP petrol</t>
        </is>
      </c>
      <c r="B38" s="3" t="inlineStr">
        <is>
          <t>million L/year</t>
        </is>
      </c>
      <c r="C38" s="3" t="inlineStr">
        <is>
          <t>Observed product sales, not passenger/freight-only demand.</t>
        </is>
      </c>
      <c r="D38" s="122">
        <f>IF(ISNUMBER('Evidence'!F47),'Evidence'!F47,"")</f>
        <v/>
      </c>
      <c r="E38" s="122" t="n"/>
      <c r="F38" s="122" t="n"/>
      <c r="G38" s="122" t="n"/>
      <c r="H38" s="122" t="n"/>
      <c r="I38" s="122" t="n"/>
      <c r="J38" s="122" t="n"/>
      <c r="K38" s="122" t="n"/>
      <c r="L38" s="122" t="n"/>
      <c r="M38" s="122" t="n"/>
      <c r="N38" s="122" t="n"/>
      <c r="O38" s="122" t="n"/>
      <c r="P38" s="122" t="n"/>
      <c r="Q38" s="122" t="n"/>
      <c r="R38" s="122">
        <f>IF(ISNUMBER('Evidence'!D47),'Evidence'!D47,"")</f>
        <v/>
      </c>
      <c r="S38" s="3" t="inlineStr">
        <is>
          <t>2023 Q1 only</t>
        </is>
      </c>
      <c r="T38" s="3" t="inlineStr">
        <is>
          <t>2022 full year; latest Q1 2023 in R, not annualised.</t>
        </is>
      </c>
      <c r="U38" s="3" t="inlineStr">
        <is>
          <t>https://github.com/Africa-International-Advisors/liquid_fuels_model/blob/8c69f8333192483f19cd80911cb90fcd0943eb6b/assumptions/2026/timeseries/fuel_sales_department_by_province_quarterly.csv</t>
        </is>
      </c>
      <c r="V38" s="3" t="inlineStr">
        <is>
          <t>G11: obtain later complete years and sector allocation. Do not use total petrol shares automatically for passenger demand.</t>
        </is>
      </c>
    </row>
    <row r="39" ht="65" customHeight="1">
      <c r="A39" s="3" t="inlineStr">
        <is>
          <t>MP petrol</t>
        </is>
      </c>
      <c r="B39" s="3" t="inlineStr">
        <is>
          <t>million L/year</t>
        </is>
      </c>
      <c r="C39" s="3" t="inlineStr">
        <is>
          <t>Observed product sales, not passenger/freight-only demand.</t>
        </is>
      </c>
      <c r="D39" s="122">
        <f>IF(ISNUMBER('Evidence'!F48),'Evidence'!F48,"")</f>
        <v/>
      </c>
      <c r="E39" s="122" t="n"/>
      <c r="F39" s="122" t="n"/>
      <c r="G39" s="122" t="n"/>
      <c r="H39" s="122" t="n"/>
      <c r="I39" s="122" t="n"/>
      <c r="J39" s="122" t="n"/>
      <c r="K39" s="122" t="n"/>
      <c r="L39" s="122" t="n"/>
      <c r="M39" s="122" t="n"/>
      <c r="N39" s="122" t="n"/>
      <c r="O39" s="122" t="n"/>
      <c r="P39" s="122" t="n"/>
      <c r="Q39" s="122" t="n"/>
      <c r="R39" s="122">
        <f>IF(ISNUMBER('Evidence'!D48),'Evidence'!D48,"")</f>
        <v/>
      </c>
      <c r="S39" s="3" t="inlineStr">
        <is>
          <t>2023 Q1 only</t>
        </is>
      </c>
      <c r="T39" s="3" t="inlineStr">
        <is>
          <t>2022 full year; latest Q1 2023 in R, not annualised.</t>
        </is>
      </c>
      <c r="U39" s="3" t="inlineStr">
        <is>
          <t>https://github.com/Africa-International-Advisors/liquid_fuels_model/blob/8c69f8333192483f19cd80911cb90fcd0943eb6b/assumptions/2026/timeseries/fuel_sales_department_by_province_quarterly.csv</t>
        </is>
      </c>
      <c r="V39" s="3" t="inlineStr">
        <is>
          <t>G11: obtain later complete years and sector allocation. Do not use total petrol shares automatically for passenger demand.</t>
        </is>
      </c>
    </row>
    <row r="40" ht="65" customHeight="1">
      <c r="A40" s="3" t="inlineStr">
        <is>
          <t>NC petrol</t>
        </is>
      </c>
      <c r="B40" s="3" t="inlineStr">
        <is>
          <t>million L/year</t>
        </is>
      </c>
      <c r="C40" s="3" t="inlineStr">
        <is>
          <t>Observed product sales, not passenger/freight-only demand.</t>
        </is>
      </c>
      <c r="D40" s="122">
        <f>IF(ISNUMBER('Evidence'!F49),'Evidence'!F49,"")</f>
        <v/>
      </c>
      <c r="E40" s="122" t="n"/>
      <c r="F40" s="122" t="n"/>
      <c r="G40" s="122" t="n"/>
      <c r="H40" s="122" t="n"/>
      <c r="I40" s="122" t="n"/>
      <c r="J40" s="122" t="n"/>
      <c r="K40" s="122" t="n"/>
      <c r="L40" s="122" t="n"/>
      <c r="M40" s="122" t="n"/>
      <c r="N40" s="122" t="n"/>
      <c r="O40" s="122" t="n"/>
      <c r="P40" s="122" t="n"/>
      <c r="Q40" s="122" t="n"/>
      <c r="R40" s="122">
        <f>IF(ISNUMBER('Evidence'!D49),'Evidence'!D49,"")</f>
        <v/>
      </c>
      <c r="S40" s="3" t="inlineStr">
        <is>
          <t>2023 Q1 only</t>
        </is>
      </c>
      <c r="T40" s="3" t="inlineStr">
        <is>
          <t>2022 full year; latest Q1 2023 in R, not annualised.</t>
        </is>
      </c>
      <c r="U40" s="3" t="inlineStr">
        <is>
          <t>https://github.com/Africa-International-Advisors/liquid_fuels_model/blob/8c69f8333192483f19cd80911cb90fcd0943eb6b/assumptions/2026/timeseries/fuel_sales_department_by_province_quarterly.csv</t>
        </is>
      </c>
      <c r="V40" s="3" t="inlineStr">
        <is>
          <t>G11: obtain later complete years and sector allocation. Do not use total petrol shares automatically for passenger demand.</t>
        </is>
      </c>
    </row>
    <row r="41" ht="65" customHeight="1">
      <c r="A41" s="3" t="inlineStr">
        <is>
          <t>NW petrol</t>
        </is>
      </c>
      <c r="B41" s="3" t="inlineStr">
        <is>
          <t>million L/year</t>
        </is>
      </c>
      <c r="C41" s="3" t="inlineStr">
        <is>
          <t>Observed product sales, not passenger/freight-only demand.</t>
        </is>
      </c>
      <c r="D41" s="122">
        <f>IF(ISNUMBER('Evidence'!F50),'Evidence'!F50,"")</f>
        <v/>
      </c>
      <c r="E41" s="122" t="n"/>
      <c r="F41" s="122" t="n"/>
      <c r="G41" s="122" t="n"/>
      <c r="H41" s="122" t="n"/>
      <c r="I41" s="122" t="n"/>
      <c r="J41" s="122" t="n"/>
      <c r="K41" s="122" t="n"/>
      <c r="L41" s="122" t="n"/>
      <c r="M41" s="122" t="n"/>
      <c r="N41" s="122" t="n"/>
      <c r="O41" s="122" t="n"/>
      <c r="P41" s="122" t="n"/>
      <c r="Q41" s="122" t="n"/>
      <c r="R41" s="122">
        <f>IF(ISNUMBER('Evidence'!D50),'Evidence'!D50,"")</f>
        <v/>
      </c>
      <c r="S41" s="3" t="inlineStr">
        <is>
          <t>2023 Q1 only</t>
        </is>
      </c>
      <c r="T41" s="3" t="inlineStr">
        <is>
          <t>2022 full year; latest Q1 2023 in R, not annualised.</t>
        </is>
      </c>
      <c r="U41" s="3" t="inlineStr">
        <is>
          <t>https://github.com/Africa-International-Advisors/liquid_fuels_model/blob/8c69f8333192483f19cd80911cb90fcd0943eb6b/assumptions/2026/timeseries/fuel_sales_department_by_province_quarterly.csv</t>
        </is>
      </c>
      <c r="V41" s="3" t="inlineStr">
        <is>
          <t>G11: obtain later complete years and sector allocation. Do not use total petrol shares automatically for passenger demand.</t>
        </is>
      </c>
    </row>
    <row r="42" ht="65" customHeight="1">
      <c r="A42" s="3" t="inlineStr">
        <is>
          <t>WC petrol</t>
        </is>
      </c>
      <c r="B42" s="3" t="inlineStr">
        <is>
          <t>million L/year</t>
        </is>
      </c>
      <c r="C42" s="3" t="inlineStr">
        <is>
          <t>Observed product sales, not passenger/freight-only demand.</t>
        </is>
      </c>
      <c r="D42" s="122">
        <f>IF(ISNUMBER('Evidence'!F51),'Evidence'!F51,"")</f>
        <v/>
      </c>
      <c r="E42" s="122" t="n"/>
      <c r="F42" s="122" t="n"/>
      <c r="G42" s="122" t="n"/>
      <c r="H42" s="122" t="n"/>
      <c r="I42" s="122" t="n"/>
      <c r="J42" s="122" t="n"/>
      <c r="K42" s="122" t="n"/>
      <c r="L42" s="122" t="n"/>
      <c r="M42" s="122" t="n"/>
      <c r="N42" s="122" t="n"/>
      <c r="O42" s="122" t="n"/>
      <c r="P42" s="122" t="n"/>
      <c r="Q42" s="122" t="n"/>
      <c r="R42" s="122">
        <f>IF(ISNUMBER('Evidence'!D51),'Evidence'!D51,"")</f>
        <v/>
      </c>
      <c r="S42" s="3" t="inlineStr">
        <is>
          <t>2023 Q1 only</t>
        </is>
      </c>
      <c r="T42" s="3" t="inlineStr">
        <is>
          <t>2022 full year; latest Q1 2023 in R, not annualised.</t>
        </is>
      </c>
      <c r="U42" s="3" t="inlineStr">
        <is>
          <t>https://github.com/Africa-International-Advisors/liquid_fuels_model/blob/8c69f8333192483f19cd80911cb90fcd0943eb6b/assumptions/2026/timeseries/fuel_sales_department_by_province_quarterly.csv</t>
        </is>
      </c>
      <c r="V42" s="3" t="inlineStr">
        <is>
          <t>G11: obtain later complete years and sector allocation. Do not use total petrol shares automatically for passenger demand.</t>
        </is>
      </c>
    </row>
    <row r="43" ht="65" customHeight="1">
      <c r="A43" s="3" t="inlineStr">
        <is>
          <t>EC diesel</t>
        </is>
      </c>
      <c r="B43" s="3" t="inlineStr">
        <is>
          <t>million L/year</t>
        </is>
      </c>
      <c r="C43" s="3" t="inlineStr">
        <is>
          <t>Observed product sales, not passenger/freight-only demand.</t>
        </is>
      </c>
      <c r="D43" s="122">
        <f>IF(ISNUMBER('Evidence'!F52),'Evidence'!F52,"")</f>
        <v/>
      </c>
      <c r="E43" s="122" t="n"/>
      <c r="F43" s="122" t="n"/>
      <c r="G43" s="122" t="n"/>
      <c r="H43" s="122" t="n"/>
      <c r="I43" s="122" t="n"/>
      <c r="J43" s="122" t="n"/>
      <c r="K43" s="122" t="n"/>
      <c r="L43" s="122" t="n"/>
      <c r="M43" s="122" t="n"/>
      <c r="N43" s="122" t="n"/>
      <c r="O43" s="122" t="n"/>
      <c r="P43" s="122" t="n"/>
      <c r="Q43" s="122" t="n"/>
      <c r="R43" s="122">
        <f>IF(ISNUMBER('Evidence'!D52),'Evidence'!D52,"")</f>
        <v/>
      </c>
      <c r="S43" s="3" t="inlineStr">
        <is>
          <t>2023 Q1 only</t>
        </is>
      </c>
      <c r="T43" s="3" t="inlineStr">
        <is>
          <t>2022 full year; latest Q1 2023 in R, not annualised.</t>
        </is>
      </c>
      <c r="U43" s="3" t="inlineStr">
        <is>
          <t>https://github.com/Africa-International-Advisors/liquid_fuels_model/blob/8c69f8333192483f19cd80911cb90fcd0943eb6b/assumptions/2026/timeseries/fuel_sales_department_by_province_quarterly.csv</t>
        </is>
      </c>
      <c r="V43" s="3" t="inlineStr">
        <is>
          <t>G11: obtain later complete years and sector allocation. Do not use total petrol shares automatically for passenger demand.</t>
        </is>
      </c>
    </row>
    <row r="44" ht="65" customHeight="1">
      <c r="A44" s="3" t="inlineStr">
        <is>
          <t>FS diesel</t>
        </is>
      </c>
      <c r="B44" s="3" t="inlineStr">
        <is>
          <t>million L/year</t>
        </is>
      </c>
      <c r="C44" s="3" t="inlineStr">
        <is>
          <t>Observed product sales, not passenger/freight-only demand.</t>
        </is>
      </c>
      <c r="D44" s="122">
        <f>IF(ISNUMBER('Evidence'!F53),'Evidence'!F53,"")</f>
        <v/>
      </c>
      <c r="E44" s="122" t="n"/>
      <c r="F44" s="122" t="n"/>
      <c r="G44" s="122" t="n"/>
      <c r="H44" s="122" t="n"/>
      <c r="I44" s="122" t="n"/>
      <c r="J44" s="122" t="n"/>
      <c r="K44" s="122" t="n"/>
      <c r="L44" s="122" t="n"/>
      <c r="M44" s="122" t="n"/>
      <c r="N44" s="122" t="n"/>
      <c r="O44" s="122" t="n"/>
      <c r="P44" s="122" t="n"/>
      <c r="Q44" s="122" t="n"/>
      <c r="R44" s="122">
        <f>IF(ISNUMBER('Evidence'!D53),'Evidence'!D53,"")</f>
        <v/>
      </c>
      <c r="S44" s="3" t="inlineStr">
        <is>
          <t>2023 Q1 only</t>
        </is>
      </c>
      <c r="T44" s="3" t="inlineStr">
        <is>
          <t>2022 full year; latest Q1 2023 in R, not annualised.</t>
        </is>
      </c>
      <c r="U44" s="3" t="inlineStr">
        <is>
          <t>https://github.com/Africa-International-Advisors/liquid_fuels_model/blob/8c69f8333192483f19cd80911cb90fcd0943eb6b/assumptions/2026/timeseries/fuel_sales_department_by_province_quarterly.csv</t>
        </is>
      </c>
      <c r="V44" s="3" t="inlineStr">
        <is>
          <t>G11: obtain later complete years and sector allocation. Do not use total petrol shares automatically for passenger demand.</t>
        </is>
      </c>
    </row>
    <row r="45" ht="65" customHeight="1">
      <c r="A45" s="3" t="inlineStr">
        <is>
          <t>GP diesel</t>
        </is>
      </c>
      <c r="B45" s="3" t="inlineStr">
        <is>
          <t>million L/year</t>
        </is>
      </c>
      <c r="C45" s="3" t="inlineStr">
        <is>
          <t>Observed product sales, not passenger/freight-only demand.</t>
        </is>
      </c>
      <c r="D45" s="122">
        <f>IF(ISNUMBER('Evidence'!F54),'Evidence'!F54,"")</f>
        <v/>
      </c>
      <c r="E45" s="122" t="n"/>
      <c r="F45" s="122" t="n"/>
      <c r="G45" s="122" t="n"/>
      <c r="H45" s="122" t="n"/>
      <c r="I45" s="122" t="n"/>
      <c r="J45" s="122" t="n"/>
      <c r="K45" s="122" t="n"/>
      <c r="L45" s="122" t="n"/>
      <c r="M45" s="122" t="n"/>
      <c r="N45" s="122" t="n"/>
      <c r="O45" s="122" t="n"/>
      <c r="P45" s="122" t="n"/>
      <c r="Q45" s="122" t="n"/>
      <c r="R45" s="122">
        <f>IF(ISNUMBER('Evidence'!D54),'Evidence'!D54,"")</f>
        <v/>
      </c>
      <c r="S45" s="3" t="inlineStr">
        <is>
          <t>2023 Q1 only</t>
        </is>
      </c>
      <c r="T45" s="3" t="inlineStr">
        <is>
          <t>2022 full year; latest Q1 2023 in R, not annualised.</t>
        </is>
      </c>
      <c r="U45" s="3" t="inlineStr">
        <is>
          <t>https://github.com/Africa-International-Advisors/liquid_fuels_model/blob/8c69f8333192483f19cd80911cb90fcd0943eb6b/assumptions/2026/timeseries/fuel_sales_department_by_province_quarterly.csv</t>
        </is>
      </c>
      <c r="V45" s="3" t="inlineStr">
        <is>
          <t>G11: obtain later complete years and sector allocation. Do not use total petrol shares automatically for passenger demand.</t>
        </is>
      </c>
    </row>
    <row r="46" ht="65" customHeight="1">
      <c r="A46" s="3" t="inlineStr">
        <is>
          <t>KZN diesel</t>
        </is>
      </c>
      <c r="B46" s="3" t="inlineStr">
        <is>
          <t>million L/year</t>
        </is>
      </c>
      <c r="C46" s="3" t="inlineStr">
        <is>
          <t>Observed product sales, not passenger/freight-only demand.</t>
        </is>
      </c>
      <c r="D46" s="122">
        <f>IF(ISNUMBER('Evidence'!F55),'Evidence'!F55,"")</f>
        <v/>
      </c>
      <c r="E46" s="122" t="n"/>
      <c r="F46" s="122" t="n"/>
      <c r="G46" s="122" t="n"/>
      <c r="H46" s="122" t="n"/>
      <c r="I46" s="122" t="n"/>
      <c r="J46" s="122" t="n"/>
      <c r="K46" s="122" t="n"/>
      <c r="L46" s="122" t="n"/>
      <c r="M46" s="122" t="n"/>
      <c r="N46" s="122" t="n"/>
      <c r="O46" s="122" t="n"/>
      <c r="P46" s="122" t="n"/>
      <c r="Q46" s="122" t="n"/>
      <c r="R46" s="122">
        <f>IF(ISNUMBER('Evidence'!D55),'Evidence'!D55,"")</f>
        <v/>
      </c>
      <c r="S46" s="3" t="inlineStr">
        <is>
          <t>2023 Q1 only</t>
        </is>
      </c>
      <c r="T46" s="3" t="inlineStr">
        <is>
          <t>2022 full year; latest Q1 2023 in R, not annualised.</t>
        </is>
      </c>
      <c r="U46" s="3" t="inlineStr">
        <is>
          <t>https://github.com/Africa-International-Advisors/liquid_fuels_model/blob/8c69f8333192483f19cd80911cb90fcd0943eb6b/assumptions/2026/timeseries/fuel_sales_department_by_province_quarterly.csv</t>
        </is>
      </c>
      <c r="V46" s="3" t="inlineStr">
        <is>
          <t>G11: obtain later complete years and sector allocation. Do not use total petrol shares automatically for passenger demand.</t>
        </is>
      </c>
    </row>
    <row r="47" ht="65" customHeight="1">
      <c r="A47" s="3" t="inlineStr">
        <is>
          <t>LP diesel</t>
        </is>
      </c>
      <c r="B47" s="3" t="inlineStr">
        <is>
          <t>million L/year</t>
        </is>
      </c>
      <c r="C47" s="3" t="inlineStr">
        <is>
          <t>Observed product sales, not passenger/freight-only demand.</t>
        </is>
      </c>
      <c r="D47" s="122">
        <f>IF(ISNUMBER('Evidence'!F56),'Evidence'!F56,"")</f>
        <v/>
      </c>
      <c r="E47" s="122" t="n"/>
      <c r="F47" s="122" t="n"/>
      <c r="G47" s="122" t="n"/>
      <c r="H47" s="122" t="n"/>
      <c r="I47" s="122" t="n"/>
      <c r="J47" s="122" t="n"/>
      <c r="K47" s="122" t="n"/>
      <c r="L47" s="122" t="n"/>
      <c r="M47" s="122" t="n"/>
      <c r="N47" s="122" t="n"/>
      <c r="O47" s="122" t="n"/>
      <c r="P47" s="122" t="n"/>
      <c r="Q47" s="122" t="n"/>
      <c r="R47" s="122">
        <f>IF(ISNUMBER('Evidence'!D56),'Evidence'!D56,"")</f>
        <v/>
      </c>
      <c r="S47" s="3" t="inlineStr">
        <is>
          <t>2023 Q1 only</t>
        </is>
      </c>
      <c r="T47" s="3" t="inlineStr">
        <is>
          <t>2022 full year; latest Q1 2023 in R, not annualised.</t>
        </is>
      </c>
      <c r="U47" s="3" t="inlineStr">
        <is>
          <t>https://github.com/Africa-International-Advisors/liquid_fuels_model/blob/8c69f8333192483f19cd80911cb90fcd0943eb6b/assumptions/2026/timeseries/fuel_sales_department_by_province_quarterly.csv</t>
        </is>
      </c>
      <c r="V47" s="3" t="inlineStr">
        <is>
          <t>G11: obtain later complete years and sector allocation. Do not use total petrol shares automatically for passenger demand.</t>
        </is>
      </c>
    </row>
    <row r="48" ht="65" customHeight="1">
      <c r="A48" s="3" t="inlineStr">
        <is>
          <t>MP diesel</t>
        </is>
      </c>
      <c r="B48" s="3" t="inlineStr">
        <is>
          <t>million L/year</t>
        </is>
      </c>
      <c r="C48" s="3" t="inlineStr">
        <is>
          <t>Observed product sales, not passenger/freight-only demand.</t>
        </is>
      </c>
      <c r="D48" s="122">
        <f>IF(ISNUMBER('Evidence'!F57),'Evidence'!F57,"")</f>
        <v/>
      </c>
      <c r="E48" s="122" t="n"/>
      <c r="F48" s="122" t="n"/>
      <c r="G48" s="122" t="n"/>
      <c r="H48" s="122" t="n"/>
      <c r="I48" s="122" t="n"/>
      <c r="J48" s="122" t="n"/>
      <c r="K48" s="122" t="n"/>
      <c r="L48" s="122" t="n"/>
      <c r="M48" s="122" t="n"/>
      <c r="N48" s="122" t="n"/>
      <c r="O48" s="122" t="n"/>
      <c r="P48" s="122" t="n"/>
      <c r="Q48" s="122" t="n"/>
      <c r="R48" s="122">
        <f>IF(ISNUMBER('Evidence'!D57),'Evidence'!D57,"")</f>
        <v/>
      </c>
      <c r="S48" s="3" t="inlineStr">
        <is>
          <t>2023 Q1 only</t>
        </is>
      </c>
      <c r="T48" s="3" t="inlineStr">
        <is>
          <t>2022 full year; latest Q1 2023 in R, not annualised.</t>
        </is>
      </c>
      <c r="U48" s="3" t="inlineStr">
        <is>
          <t>https://github.com/Africa-International-Advisors/liquid_fuels_model/blob/8c69f8333192483f19cd80911cb90fcd0943eb6b/assumptions/2026/timeseries/fuel_sales_department_by_province_quarterly.csv</t>
        </is>
      </c>
      <c r="V48" s="3" t="inlineStr">
        <is>
          <t>G11: obtain later complete years and sector allocation. Do not use total petrol shares automatically for passenger demand.</t>
        </is>
      </c>
    </row>
    <row r="49" ht="65" customHeight="1">
      <c r="A49" s="3" t="inlineStr">
        <is>
          <t>NC diesel</t>
        </is>
      </c>
      <c r="B49" s="3" t="inlineStr">
        <is>
          <t>million L/year</t>
        </is>
      </c>
      <c r="C49" s="3" t="inlineStr">
        <is>
          <t>Observed product sales, not passenger/freight-only demand.</t>
        </is>
      </c>
      <c r="D49" s="122">
        <f>IF(ISNUMBER('Evidence'!F58),'Evidence'!F58,"")</f>
        <v/>
      </c>
      <c r="E49" s="122" t="n"/>
      <c r="F49" s="122" t="n"/>
      <c r="G49" s="122" t="n"/>
      <c r="H49" s="122" t="n"/>
      <c r="I49" s="122" t="n"/>
      <c r="J49" s="122" t="n"/>
      <c r="K49" s="122" t="n"/>
      <c r="L49" s="122" t="n"/>
      <c r="M49" s="122" t="n"/>
      <c r="N49" s="122" t="n"/>
      <c r="O49" s="122" t="n"/>
      <c r="P49" s="122" t="n"/>
      <c r="Q49" s="122" t="n"/>
      <c r="R49" s="122">
        <f>IF(ISNUMBER('Evidence'!D58),'Evidence'!D58,"")</f>
        <v/>
      </c>
      <c r="S49" s="3" t="inlineStr">
        <is>
          <t>2023 Q1 only</t>
        </is>
      </c>
      <c r="T49" s="3" t="inlineStr">
        <is>
          <t>2022 full year; latest Q1 2023 in R, not annualised.</t>
        </is>
      </c>
      <c r="U49" s="3" t="inlineStr">
        <is>
          <t>https://github.com/Africa-International-Advisors/liquid_fuels_model/blob/8c69f8333192483f19cd80911cb90fcd0943eb6b/assumptions/2026/timeseries/fuel_sales_department_by_province_quarterly.csv</t>
        </is>
      </c>
      <c r="V49" s="3" t="inlineStr">
        <is>
          <t>G11: obtain later complete years and sector allocation. Do not use total petrol shares automatically for passenger demand.</t>
        </is>
      </c>
    </row>
    <row r="50" ht="65" customHeight="1">
      <c r="A50" s="3" t="inlineStr">
        <is>
          <t>NW diesel</t>
        </is>
      </c>
      <c r="B50" s="3" t="inlineStr">
        <is>
          <t>million L/year</t>
        </is>
      </c>
      <c r="C50" s="3" t="inlineStr">
        <is>
          <t>Observed product sales, not passenger/freight-only demand.</t>
        </is>
      </c>
      <c r="D50" s="122">
        <f>IF(ISNUMBER('Evidence'!F59),'Evidence'!F59,"")</f>
        <v/>
      </c>
      <c r="E50" s="122" t="n"/>
      <c r="F50" s="122" t="n"/>
      <c r="G50" s="122" t="n"/>
      <c r="H50" s="122" t="n"/>
      <c r="I50" s="122" t="n"/>
      <c r="J50" s="122" t="n"/>
      <c r="K50" s="122" t="n"/>
      <c r="L50" s="122" t="n"/>
      <c r="M50" s="122" t="n"/>
      <c r="N50" s="122" t="n"/>
      <c r="O50" s="122" t="n"/>
      <c r="P50" s="122" t="n"/>
      <c r="Q50" s="122" t="n"/>
      <c r="R50" s="122">
        <f>IF(ISNUMBER('Evidence'!D59),'Evidence'!D59,"")</f>
        <v/>
      </c>
      <c r="S50" s="3" t="inlineStr">
        <is>
          <t>2023 Q1 only</t>
        </is>
      </c>
      <c r="T50" s="3" t="inlineStr">
        <is>
          <t>2022 full year; latest Q1 2023 in R, not annualised.</t>
        </is>
      </c>
      <c r="U50" s="3" t="inlineStr">
        <is>
          <t>https://github.com/Africa-International-Advisors/liquid_fuels_model/blob/8c69f8333192483f19cd80911cb90fcd0943eb6b/assumptions/2026/timeseries/fuel_sales_department_by_province_quarterly.csv</t>
        </is>
      </c>
      <c r="V50" s="3" t="inlineStr">
        <is>
          <t>G11: obtain later complete years and sector allocation. Do not use total petrol shares automatically for passenger demand.</t>
        </is>
      </c>
    </row>
    <row r="51" ht="65" customHeight="1">
      <c r="A51" s="3" t="inlineStr">
        <is>
          <t>WC diesel</t>
        </is>
      </c>
      <c r="B51" s="3" t="inlineStr">
        <is>
          <t>million L/year</t>
        </is>
      </c>
      <c r="C51" s="3" t="inlineStr">
        <is>
          <t>Observed product sales, not passenger/freight-only demand.</t>
        </is>
      </c>
      <c r="D51" s="122">
        <f>IF(ISNUMBER('Evidence'!F60),'Evidence'!F60,"")</f>
        <v/>
      </c>
      <c r="E51" s="122" t="n"/>
      <c r="F51" s="122" t="n"/>
      <c r="G51" s="122" t="n"/>
      <c r="H51" s="122" t="n"/>
      <c r="I51" s="122" t="n"/>
      <c r="J51" s="122" t="n"/>
      <c r="K51" s="122" t="n"/>
      <c r="L51" s="122" t="n"/>
      <c r="M51" s="122" t="n"/>
      <c r="N51" s="122" t="n"/>
      <c r="O51" s="122" t="n"/>
      <c r="P51" s="122" t="n"/>
      <c r="Q51" s="122" t="n"/>
      <c r="R51" s="122">
        <f>IF(ISNUMBER('Evidence'!D60),'Evidence'!D60,"")</f>
        <v/>
      </c>
      <c r="S51" s="3" t="inlineStr">
        <is>
          <t>2023 Q1 only</t>
        </is>
      </c>
      <c r="T51" s="3" t="inlineStr">
        <is>
          <t>2022 full year; latest Q1 2023 in R, not annualised.</t>
        </is>
      </c>
      <c r="U51" s="3" t="inlineStr">
        <is>
          <t>https://github.com/Africa-International-Advisors/liquid_fuels_model/blob/8c69f8333192483f19cd80911cb90fcd0943eb6b/assumptions/2026/timeseries/fuel_sales_department_by_province_quarterly.csv</t>
        </is>
      </c>
      <c r="V51" s="3" t="inlineStr">
        <is>
          <t>G11: obtain later complete years and sector allocation. Do not use total petrol shares automatically for passenger demand.</t>
        </is>
      </c>
    </row>
    <row r="52" ht="65" customHeigh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row>
    <row r="53" ht="65" customHeight="1">
      <c r="A53" s="68" t="inlineStr">
        <is>
          <t>Nine provinces: petrol</t>
        </is>
      </c>
      <c r="B53" s="68" t="inlineStr">
        <is>
          <t>million L/year</t>
        </is>
      </c>
      <c r="C53" s="68" t="inlineStr">
        <is>
          <t>Sum only when all nine annual observations exist.</t>
        </is>
      </c>
      <c r="D53" s="142">
        <f>IF(COUNT(D34:D42)&lt;9,"",SUM(D34:D42))</f>
        <v/>
      </c>
      <c r="E53" s="142">
        <f>IF(COUNT(E34:E42)&lt;9,"",SUM(E34:E42))</f>
        <v/>
      </c>
      <c r="F53" s="142">
        <f>IF(COUNT(F34:F42)&lt;9,"",SUM(F34:F42))</f>
        <v/>
      </c>
      <c r="G53" s="142">
        <f>IF(COUNT(G34:G42)&lt;9,"",SUM(G34:G42))</f>
        <v/>
      </c>
      <c r="H53" s="142">
        <f>IF(COUNT(H34:H42)&lt;9,"",SUM(H34:H42))</f>
        <v/>
      </c>
      <c r="I53" s="142">
        <f>IF(COUNT(I34:I42)&lt;9,"",SUM(I34:I42))</f>
        <v/>
      </c>
      <c r="J53" s="142">
        <f>IF(COUNT(J34:J42)&lt;9,"",SUM(J34:J42))</f>
        <v/>
      </c>
      <c r="K53" s="142">
        <f>IF(COUNT(K34:K42)&lt;9,"",SUM(K34:K42))</f>
        <v/>
      </c>
      <c r="L53" s="142">
        <f>IF(COUNT(L34:L42)&lt;9,"",SUM(L34:L42))</f>
        <v/>
      </c>
      <c r="M53" s="142">
        <f>IF(COUNT(M34:M42)&lt;9,"",SUM(M34:M42))</f>
        <v/>
      </c>
      <c r="N53" s="142">
        <f>IF(COUNT(N34:N42)&lt;9,"",SUM(N34:N42))</f>
        <v/>
      </c>
      <c r="O53" s="142">
        <f>IF(COUNT(O34:O42)&lt;9,"",SUM(O34:O42))</f>
        <v/>
      </c>
      <c r="P53" s="142">
        <f>IF(COUNT(P34:P42)&lt;9,"",SUM(P34:P42))</f>
        <v/>
      </c>
      <c r="Q53" s="142">
        <f>IF(COUNT(Q34:Q42)&lt;9,"",SUM(Q34:Q42))</f>
        <v/>
      </c>
      <c r="R53" s="3" t="n"/>
      <c r="S53" s="3" t="n"/>
      <c r="T53" s="3" t="n"/>
      <c r="U53" s="3" t="n"/>
      <c r="V53" s="3" t="n"/>
    </row>
    <row r="54" ht="65" customHeight="1">
      <c r="A54" s="68" t="inlineStr">
        <is>
          <t>Department national petrol</t>
        </is>
      </c>
      <c r="B54" s="68" t="inlineStr">
        <is>
          <t>million L/year</t>
        </is>
      </c>
      <c r="C54" s="68" t="inlineStr">
        <is>
          <t>Same publisher comparator; coverage still requires reconciliation.</t>
        </is>
      </c>
      <c r="D54" s="142">
        <f>IF(ISNUMBER('Evidence'!F6),'Evidence'!F6,"")</f>
        <v/>
      </c>
      <c r="E54" s="142">
        <f>IF(ISNUMBER('Evidence'!G6),'Evidence'!G6,"")</f>
        <v/>
      </c>
      <c r="F54" s="142">
        <f>IF(ISNUMBER('Evidence'!H6),'Evidence'!H6,"")</f>
        <v/>
      </c>
      <c r="G54" s="142">
        <f>IF(ISNUMBER('Evidence'!I6),'Evidence'!I6,"")</f>
        <v/>
      </c>
      <c r="H54" s="142">
        <f>IF(ISNUMBER('Evidence'!J6),'Evidence'!J6,"")</f>
        <v/>
      </c>
      <c r="I54" s="142">
        <f>IF(ISNUMBER('Evidence'!K6),'Evidence'!K6,"")</f>
        <v/>
      </c>
      <c r="J54" s="142">
        <f>IF(ISNUMBER('Evidence'!L6),'Evidence'!L6,"")</f>
        <v/>
      </c>
      <c r="K54" s="142">
        <f>IF(ISNUMBER('Evidence'!M6),'Evidence'!M6,"")</f>
        <v/>
      </c>
      <c r="L54" s="142">
        <f>IF(ISNUMBER('Evidence'!N6),'Evidence'!N6,"")</f>
        <v/>
      </c>
      <c r="M54" s="142">
        <f>IF(ISNUMBER('Evidence'!O6),'Evidence'!O6,"")</f>
        <v/>
      </c>
      <c r="N54" s="142">
        <f>IF(ISNUMBER('Evidence'!P6),'Evidence'!P6,"")</f>
        <v/>
      </c>
      <c r="O54" s="142">
        <f>IF(ISNUMBER('Evidence'!Q6),'Evidence'!Q6,"")</f>
        <v/>
      </c>
      <c r="P54" s="142">
        <f>IF(ISNUMBER('Evidence'!R6),'Evidence'!R6,"")</f>
        <v/>
      </c>
      <c r="Q54" s="142">
        <f>IF(ISNUMBER('Evidence'!S6),'Evidence'!S6,"")</f>
        <v/>
      </c>
      <c r="R54" s="3" t="n"/>
      <c r="S54" s="3" t="n"/>
      <c r="T54" s="3" t="n"/>
      <c r="U54" s="3" t="n"/>
      <c r="V54" s="3" t="n"/>
    </row>
    <row r="55" ht="65" customHeight="1">
      <c r="A55" s="68" t="inlineStr">
        <is>
          <t>Provincial minus national</t>
        </is>
      </c>
      <c r="B55" s="68" t="inlineStr">
        <is>
          <t>million L/year</t>
        </is>
      </c>
      <c r="C55" s="68" t="inlineStr">
        <is>
          <t>Difference retained explicitly; do not force a tie.</t>
        </is>
      </c>
      <c r="D55" s="142">
        <f>IF(COUNT(D53,D54)&lt;2,"",D53-D54)</f>
        <v/>
      </c>
      <c r="E55" s="142">
        <f>IF(COUNT(E53,E54)&lt;2,"",E53-E54)</f>
        <v/>
      </c>
      <c r="F55" s="142">
        <f>IF(COUNT(F53,F54)&lt;2,"",F53-F54)</f>
        <v/>
      </c>
      <c r="G55" s="142">
        <f>IF(COUNT(G53,G54)&lt;2,"",G53-G54)</f>
        <v/>
      </c>
      <c r="H55" s="142">
        <f>IF(COUNT(H53,H54)&lt;2,"",H53-H54)</f>
        <v/>
      </c>
      <c r="I55" s="142">
        <f>IF(COUNT(I53,I54)&lt;2,"",I53-I54)</f>
        <v/>
      </c>
      <c r="J55" s="142">
        <f>IF(COUNT(J53,J54)&lt;2,"",J53-J54)</f>
        <v/>
      </c>
      <c r="K55" s="142">
        <f>IF(COUNT(K53,K54)&lt;2,"",K53-K54)</f>
        <v/>
      </c>
      <c r="L55" s="142">
        <f>IF(COUNT(L53,L54)&lt;2,"",L53-L54)</f>
        <v/>
      </c>
      <c r="M55" s="142">
        <f>IF(COUNT(M53,M54)&lt;2,"",M53-M54)</f>
        <v/>
      </c>
      <c r="N55" s="142">
        <f>IF(COUNT(N53,N54)&lt;2,"",N53-N54)</f>
        <v/>
      </c>
      <c r="O55" s="142">
        <f>IF(COUNT(O53,O54)&lt;2,"",O53-O54)</f>
        <v/>
      </c>
      <c r="P55" s="142">
        <f>IF(COUNT(P53,P54)&lt;2,"",P53-P54)</f>
        <v/>
      </c>
      <c r="Q55" s="142">
        <f>IF(COUNT(Q53,Q54)&lt;2,"",Q53-Q54)</f>
        <v/>
      </c>
      <c r="R55" s="3" t="n"/>
      <c r="S55" s="3" t="n"/>
      <c r="T55" s="3" t="n"/>
      <c r="U55" s="3" t="n"/>
      <c r="V55" s="3" t="n"/>
    </row>
    <row r="56" ht="6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row>
    <row r="57" ht="65" customHeight="1">
      <c r="A57" s="68" t="inlineStr">
        <is>
          <t>Nine provinces: diesel</t>
        </is>
      </c>
      <c r="B57" s="68" t="inlineStr">
        <is>
          <t>million L/year</t>
        </is>
      </c>
      <c r="C57" s="68" t="inlineStr">
        <is>
          <t>Sum only when all nine annual observations exist.</t>
        </is>
      </c>
      <c r="D57" s="142">
        <f>IF(COUNT(D43:D51)&lt;9,"",SUM(D43:D51))</f>
        <v/>
      </c>
      <c r="E57" s="142">
        <f>IF(COUNT(E43:E51)&lt;9,"",SUM(E43:E51))</f>
        <v/>
      </c>
      <c r="F57" s="142">
        <f>IF(COUNT(F43:F51)&lt;9,"",SUM(F43:F51))</f>
        <v/>
      </c>
      <c r="G57" s="142">
        <f>IF(COUNT(G43:G51)&lt;9,"",SUM(G43:G51))</f>
        <v/>
      </c>
      <c r="H57" s="142">
        <f>IF(COUNT(H43:H51)&lt;9,"",SUM(H43:H51))</f>
        <v/>
      </c>
      <c r="I57" s="142">
        <f>IF(COUNT(I43:I51)&lt;9,"",SUM(I43:I51))</f>
        <v/>
      </c>
      <c r="J57" s="142">
        <f>IF(COUNT(J43:J51)&lt;9,"",SUM(J43:J51))</f>
        <v/>
      </c>
      <c r="K57" s="142">
        <f>IF(COUNT(K43:K51)&lt;9,"",SUM(K43:K51))</f>
        <v/>
      </c>
      <c r="L57" s="142">
        <f>IF(COUNT(L43:L51)&lt;9,"",SUM(L43:L51))</f>
        <v/>
      </c>
      <c r="M57" s="142">
        <f>IF(COUNT(M43:M51)&lt;9,"",SUM(M43:M51))</f>
        <v/>
      </c>
      <c r="N57" s="142">
        <f>IF(COUNT(N43:N51)&lt;9,"",SUM(N43:N51))</f>
        <v/>
      </c>
      <c r="O57" s="142">
        <f>IF(COUNT(O43:O51)&lt;9,"",SUM(O43:O51))</f>
        <v/>
      </c>
      <c r="P57" s="142">
        <f>IF(COUNT(P43:P51)&lt;9,"",SUM(P43:P51))</f>
        <v/>
      </c>
      <c r="Q57" s="142">
        <f>IF(COUNT(Q43:Q51)&lt;9,"",SUM(Q43:Q51))</f>
        <v/>
      </c>
      <c r="R57" s="3" t="n"/>
      <c r="S57" s="3" t="n"/>
      <c r="T57" s="3" t="n"/>
      <c r="U57" s="3" t="n"/>
      <c r="V57" s="3" t="n"/>
    </row>
    <row r="58" ht="65" customHeight="1">
      <c r="A58" s="68" t="inlineStr">
        <is>
          <t>Department national diesel</t>
        </is>
      </c>
      <c r="B58" s="68" t="inlineStr">
        <is>
          <t>million L/year</t>
        </is>
      </c>
      <c r="C58" s="68" t="inlineStr">
        <is>
          <t>Same publisher comparator; coverage still requires reconciliation.</t>
        </is>
      </c>
      <c r="D58" s="142">
        <f>IF(ISNUMBER('Evidence'!F8),'Evidence'!F8,"")</f>
        <v/>
      </c>
      <c r="E58" s="142">
        <f>IF(ISNUMBER('Evidence'!G8),'Evidence'!G8,"")</f>
        <v/>
      </c>
      <c r="F58" s="142">
        <f>IF(ISNUMBER('Evidence'!H8),'Evidence'!H8,"")</f>
        <v/>
      </c>
      <c r="G58" s="142">
        <f>IF(ISNUMBER('Evidence'!I8),'Evidence'!I8,"")</f>
        <v/>
      </c>
      <c r="H58" s="142">
        <f>IF(ISNUMBER('Evidence'!J8),'Evidence'!J8,"")</f>
        <v/>
      </c>
      <c r="I58" s="142">
        <f>IF(ISNUMBER('Evidence'!K8),'Evidence'!K8,"")</f>
        <v/>
      </c>
      <c r="J58" s="142">
        <f>IF(ISNUMBER('Evidence'!L8),'Evidence'!L8,"")</f>
        <v/>
      </c>
      <c r="K58" s="142">
        <f>IF(ISNUMBER('Evidence'!M8),'Evidence'!M8,"")</f>
        <v/>
      </c>
      <c r="L58" s="142">
        <f>IF(ISNUMBER('Evidence'!N8),'Evidence'!N8,"")</f>
        <v/>
      </c>
      <c r="M58" s="142">
        <f>IF(ISNUMBER('Evidence'!O8),'Evidence'!O8,"")</f>
        <v/>
      </c>
      <c r="N58" s="142">
        <f>IF(ISNUMBER('Evidence'!P8),'Evidence'!P8,"")</f>
        <v/>
      </c>
      <c r="O58" s="142">
        <f>IF(ISNUMBER('Evidence'!Q8),'Evidence'!Q8,"")</f>
        <v/>
      </c>
      <c r="P58" s="142">
        <f>IF(ISNUMBER('Evidence'!R8),'Evidence'!R8,"")</f>
        <v/>
      </c>
      <c r="Q58" s="142">
        <f>IF(ISNUMBER('Evidence'!S8),'Evidence'!S8,"")</f>
        <v/>
      </c>
      <c r="R58" s="3" t="n"/>
      <c r="S58" s="3" t="n"/>
      <c r="T58" s="3" t="n"/>
      <c r="U58" s="3" t="n"/>
      <c r="V58" s="3" t="n"/>
    </row>
    <row r="59" ht="65" customHeight="1">
      <c r="A59" s="68" t="inlineStr">
        <is>
          <t>Provincial minus national</t>
        </is>
      </c>
      <c r="B59" s="68" t="inlineStr">
        <is>
          <t>million L/year</t>
        </is>
      </c>
      <c r="C59" s="68" t="inlineStr">
        <is>
          <t>Difference retained explicitly; do not force a tie.</t>
        </is>
      </c>
      <c r="D59" s="142">
        <f>IF(COUNT(D57,D58)&lt;2,"",D57-D58)</f>
        <v/>
      </c>
      <c r="E59" s="142">
        <f>IF(COUNT(E57,E58)&lt;2,"",E57-E58)</f>
        <v/>
      </c>
      <c r="F59" s="142">
        <f>IF(COUNT(F57,F58)&lt;2,"",F57-F58)</f>
        <v/>
      </c>
      <c r="G59" s="142">
        <f>IF(COUNT(G57,G58)&lt;2,"",G57-G58)</f>
        <v/>
      </c>
      <c r="H59" s="142">
        <f>IF(COUNT(H57,H58)&lt;2,"",H57-H58)</f>
        <v/>
      </c>
      <c r="I59" s="142">
        <f>IF(COUNT(I57,I58)&lt;2,"",I57-I58)</f>
        <v/>
      </c>
      <c r="J59" s="142">
        <f>IF(COUNT(J57,J58)&lt;2,"",J57-J58)</f>
        <v/>
      </c>
      <c r="K59" s="142">
        <f>IF(COUNT(K57,K58)&lt;2,"",K57-K58)</f>
        <v/>
      </c>
      <c r="L59" s="142">
        <f>IF(COUNT(L57,L58)&lt;2,"",L57-L58)</f>
        <v/>
      </c>
      <c r="M59" s="142">
        <f>IF(COUNT(M57,M58)&lt;2,"",M57-M58)</f>
        <v/>
      </c>
      <c r="N59" s="142">
        <f>IF(COUNT(N57,N58)&lt;2,"",N57-N58)</f>
        <v/>
      </c>
      <c r="O59" s="142">
        <f>IF(COUNT(O57,O58)&lt;2,"",O57-O58)</f>
        <v/>
      </c>
      <c r="P59" s="142">
        <f>IF(COUNT(P57,P58)&lt;2,"",P57-P58)</f>
        <v/>
      </c>
      <c r="Q59" s="142">
        <f>IF(COUNT(Q57,Q58)&lt;2,"",Q57-Q58)</f>
        <v/>
      </c>
      <c r="R59" s="3" t="n"/>
      <c r="S59" s="3" t="n"/>
      <c r="T59" s="3" t="n"/>
      <c r="U59" s="3" t="n"/>
      <c r="V59" s="3" t="n"/>
    </row>
    <row r="60" ht="6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row>
    <row r="61" ht="6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row>
    <row r="62" ht="6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row>
    <row r="63" ht="6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row>
    <row r="64" ht="6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row>
    <row r="65" ht="6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row>
  </sheetData>
  <dataValidations count="9">
    <dataValidation sqref="D7:Q7" showDropDown="0" showInputMessage="0" showErrorMessage="0" allowBlank="0" type="decimal" operator="between">
      <formula1>0</formula1>
      <formula2>1</formula2>
    </dataValidation>
    <dataValidation sqref="D8:Q8" showDropDown="0" showInputMessage="0" showErrorMessage="0" allowBlank="0" type="decimal" operator="between">
      <formula1>0</formula1>
      <formula2>1</formula2>
    </dataValidation>
    <dataValidation sqref="D9:Q9" showDropDown="0" showInputMessage="0" showErrorMessage="0" allowBlank="0" type="decimal" operator="between">
      <formula1>0</formula1>
      <formula2>1</formula2>
    </dataValidation>
    <dataValidation sqref="D10:Q10" showDropDown="0" showInputMessage="0" showErrorMessage="0" allowBlank="0" type="decimal" operator="between">
      <formula1>0</formula1>
      <formula2>1</formula2>
    </dataValidation>
    <dataValidation sqref="D11:Q11" showDropDown="0" showInputMessage="0" showErrorMessage="0" allowBlank="0" type="decimal" operator="between">
      <formula1>0</formula1>
      <formula2>1</formula2>
    </dataValidation>
    <dataValidation sqref="D12:Q12" showDropDown="0" showInputMessage="0" showErrorMessage="0" allowBlank="0" type="decimal" operator="between">
      <formula1>0</formula1>
      <formula2>1</formula2>
    </dataValidation>
    <dataValidation sqref="D13:Q13" showDropDown="0" showInputMessage="0" showErrorMessage="0" allowBlank="0" type="decimal" operator="between">
      <formula1>0</formula1>
      <formula2>1</formula2>
    </dataValidation>
    <dataValidation sqref="D14:Q14" showDropDown="0" showInputMessage="0" showErrorMessage="0" allowBlank="0" type="decimal" operator="between">
      <formula1>0</formula1>
      <formula2>1</formula2>
    </dataValidation>
    <dataValidation sqref="D15:Q15" showDropDown="0" showInputMessage="0" showErrorMessage="0" allowBlank="0" type="decimal" operator="between">
      <formula1>0</formula1>
      <formula2>1</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V200"/>
  <sheetViews>
    <sheetView showGridLines="0" workbookViewId="0">
      <pane ySplit="4" topLeftCell="A5" activePane="bottomLef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81" t="inlineStr">
        <is>
          <t>Evidence</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6" t="inlineStr">
        <is>
          <t>Raw source extracts • complete annual periods only; partial periods and older anchors stay in D.</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Series / driver</t>
        </is>
      </c>
      <c r="B4" s="9" t="inlineStr">
        <is>
          <t>Unit</t>
        </is>
      </c>
      <c r="C4" s="9" t="inlineStr">
        <is>
          <t>Role</t>
        </is>
      </c>
      <c r="D4" s="9" t="inlineStr">
        <is>
          <t>Scalar / latest</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Status</t>
        </is>
      </c>
      <c r="U4" s="9" t="inlineStr">
        <is>
          <t>Source / dependency</t>
        </is>
      </c>
      <c r="V4" s="9" t="inlineStr">
        <is>
          <t>Review action</t>
        </is>
      </c>
    </row>
    <row r="5" ht="30" customHeight="1">
      <c r="A5" s="65" t="inlineStr">
        <is>
          <t>sales_petrol</t>
        </is>
      </c>
      <c r="B5" s="65" t="inlineStr">
        <is>
          <t>million L/year</t>
        </is>
      </c>
      <c r="C5" s="65" t="inlineStr">
        <is>
          <t>Source observation</t>
        </is>
      </c>
      <c r="D5" s="114" t="n"/>
      <c r="E5" s="114" t="inlineStr">
        <is>
          <t>FIASA staged reported sales; latest edition selected by existing… [N208]</t>
        </is>
      </c>
      <c r="F5" s="115" t="n">
        <v>9185</v>
      </c>
      <c r="G5" s="115" t="n">
        <v>9037</v>
      </c>
      <c r="H5" s="115" t="n">
        <v>9029</v>
      </c>
      <c r="I5" s="115" t="n"/>
      <c r="J5" s="115" t="n"/>
      <c r="K5" s="115" t="n"/>
      <c r="L5" s="115" t="n"/>
      <c r="M5" s="115" t="n"/>
      <c r="N5" s="115" t="n"/>
      <c r="O5" s="115" t="n"/>
      <c r="P5" s="115" t="n"/>
      <c r="Q5" s="115" t="n"/>
      <c r="R5" s="115" t="n"/>
      <c r="S5" s="115" t="n"/>
      <c r="T5" s="65" t="inlineStr">
        <is>
          <t>Unreviewed source extract</t>
        </is>
      </c>
      <c r="U5" s="65" t="inlineStr">
        <is>
          <t>assumptions/2026/timeseries/fuel_sales_fiasa.csv</t>
        </is>
      </c>
      <c r="V5" s="65" t="inlineStr">
        <is>
          <t>Manish: reconcile scope and revisions before adoption.</t>
        </is>
      </c>
    </row>
    <row r="6" ht="30" customHeight="1">
      <c r="A6" s="65" t="inlineStr">
        <is>
          <t>dept_petrol</t>
        </is>
      </c>
      <c r="B6" s="65" t="inlineStr">
        <is>
          <t>million L/year</t>
        </is>
      </c>
      <c r="C6" s="65" t="inlineStr">
        <is>
          <t>Source observation</t>
        </is>
      </c>
      <c r="D6" s="114" t="n"/>
      <c r="E6" s="114" t="inlineStr">
        <is>
          <t>Department sales with four reported quarters. Preserve… [N209]</t>
        </is>
      </c>
      <c r="F6" s="115" t="n">
        <v>9184.869915572999</v>
      </c>
      <c r="G6" s="115" t="n">
        <v>9036.950113492001</v>
      </c>
      <c r="H6" s="115" t="n"/>
      <c r="I6" s="115" t="n"/>
      <c r="J6" s="115" t="n"/>
      <c r="K6" s="115" t="n"/>
      <c r="L6" s="115" t="n"/>
      <c r="M6" s="115" t="n"/>
      <c r="N6" s="115" t="n"/>
      <c r="O6" s="115" t="n"/>
      <c r="P6" s="115" t="n"/>
      <c r="Q6" s="115" t="n"/>
      <c r="R6" s="115" t="n"/>
      <c r="S6" s="115" t="n"/>
      <c r="T6" s="65" t="inlineStr">
        <is>
          <t>Unreviewed source extract</t>
        </is>
      </c>
      <c r="U6" s="65" t="inlineStr">
        <is>
          <t>assumptions/2026/timeseries/fuel_sales_department.csv</t>
        </is>
      </c>
      <c r="V6" s="65" t="inlineStr">
        <is>
          <t>Manish: reconcile scope and revisions before adoption.</t>
        </is>
      </c>
    </row>
    <row r="7" ht="30" customHeight="1">
      <c r="A7" s="65" t="inlineStr">
        <is>
          <t>sales_diesel</t>
        </is>
      </c>
      <c r="B7" s="65" t="inlineStr">
        <is>
          <t>million L/year</t>
        </is>
      </c>
      <c r="C7" s="65" t="inlineStr">
        <is>
          <t>Source observation</t>
        </is>
      </c>
      <c r="D7" s="114" t="n"/>
      <c r="E7" s="114" t="inlineStr">
        <is>
          <t>FIASA staged reported sales; latest edition selected by existing… [N210]</t>
        </is>
      </c>
      <c r="F7" s="115" t="n">
        <v>12717</v>
      </c>
      <c r="G7" s="115" t="n">
        <v>12907</v>
      </c>
      <c r="H7" s="115" t="n">
        <v>11734</v>
      </c>
      <c r="I7" s="115" t="n"/>
      <c r="J7" s="115" t="n"/>
      <c r="K7" s="115" t="n"/>
      <c r="L7" s="115" t="n"/>
      <c r="M7" s="115" t="n"/>
      <c r="N7" s="115" t="n"/>
      <c r="O7" s="115" t="n"/>
      <c r="P7" s="115" t="n"/>
      <c r="Q7" s="115" t="n"/>
      <c r="R7" s="115" t="n"/>
      <c r="S7" s="115" t="n"/>
      <c r="T7" s="65" t="inlineStr">
        <is>
          <t>Unreviewed source extract</t>
        </is>
      </c>
      <c r="U7" s="65" t="inlineStr">
        <is>
          <t>assumptions/2026/timeseries/fuel_sales_fiasa.csv</t>
        </is>
      </c>
      <c r="V7" s="65" t="inlineStr">
        <is>
          <t>Manish: reconcile scope and revisions before adoption.</t>
        </is>
      </c>
    </row>
    <row r="8" ht="30" customHeight="1">
      <c r="A8" s="65" t="inlineStr">
        <is>
          <t>dept_diesel</t>
        </is>
      </c>
      <c r="B8" s="65" t="inlineStr">
        <is>
          <t>million L/year</t>
        </is>
      </c>
      <c r="C8" s="65" t="inlineStr">
        <is>
          <t>Source observation</t>
        </is>
      </c>
      <c r="D8" s="114" t="n"/>
      <c r="E8" s="114" t="inlineStr">
        <is>
          <t>Department sales with four reported quarters. Preserve… [N211]</t>
        </is>
      </c>
      <c r="F8" s="115" t="n">
        <v>12717.326319019</v>
      </c>
      <c r="G8" s="115" t="n">
        <v>12907.499965808</v>
      </c>
      <c r="H8" s="115" t="n"/>
      <c r="I8" s="115" t="n"/>
      <c r="J8" s="115" t="n"/>
      <c r="K8" s="115" t="n"/>
      <c r="L8" s="115" t="n"/>
      <c r="M8" s="115" t="n"/>
      <c r="N8" s="115" t="n"/>
      <c r="O8" s="115" t="n"/>
      <c r="P8" s="115" t="n"/>
      <c r="Q8" s="115" t="n"/>
      <c r="R8" s="115" t="n"/>
      <c r="S8" s="115" t="n"/>
      <c r="T8" s="65" t="inlineStr">
        <is>
          <t>Unreviewed source extract</t>
        </is>
      </c>
      <c r="U8" s="65" t="inlineStr">
        <is>
          <t>assumptions/2026/timeseries/fuel_sales_department.csv</t>
        </is>
      </c>
      <c r="V8" s="65" t="inlineStr">
        <is>
          <t>Manish: reconcile scope and revisions before adoption.</t>
        </is>
      </c>
    </row>
    <row r="9" ht="30" customHeight="1">
      <c r="A9" s="65" t="inlineStr">
        <is>
          <t>sales_jet</t>
        </is>
      </c>
      <c r="B9" s="65" t="inlineStr">
        <is>
          <t>million L/year</t>
        </is>
      </c>
      <c r="C9" s="65" t="inlineStr">
        <is>
          <t>Source observation</t>
        </is>
      </c>
      <c r="D9" s="114" t="n"/>
      <c r="E9" s="114" t="inlineStr">
        <is>
          <t>FIASA staged reported sales; latest edition selected by existing… [N212]</t>
        </is>
      </c>
      <c r="F9" s="115" t="n">
        <v>1478</v>
      </c>
      <c r="G9" s="115" t="n">
        <v>1844</v>
      </c>
      <c r="H9" s="115" t="n">
        <v>1955</v>
      </c>
      <c r="I9" s="115" t="n"/>
      <c r="J9" s="115" t="n"/>
      <c r="K9" s="115" t="n"/>
      <c r="L9" s="115" t="n"/>
      <c r="M9" s="115" t="n"/>
      <c r="N9" s="115" t="n"/>
      <c r="O9" s="115" t="n"/>
      <c r="P9" s="115" t="n"/>
      <c r="Q9" s="115" t="n"/>
      <c r="R9" s="115" t="n"/>
      <c r="S9" s="115" t="n"/>
      <c r="T9" s="65" t="inlineStr">
        <is>
          <t>Unreviewed source extract</t>
        </is>
      </c>
      <c r="U9" s="65" t="inlineStr">
        <is>
          <t>assumptions/2026/timeseries/fuel_sales_fiasa.csv</t>
        </is>
      </c>
      <c r="V9" s="65" t="inlineStr">
        <is>
          <t>Manish: reconcile scope and revisions before adoption.</t>
        </is>
      </c>
    </row>
    <row r="10" ht="30" customHeight="1">
      <c r="A10" s="65" t="inlineStr">
        <is>
          <t>dept_jet</t>
        </is>
      </c>
      <c r="B10" s="65" t="inlineStr">
        <is>
          <t>million L/year</t>
        </is>
      </c>
      <c r="C10" s="65" t="inlineStr">
        <is>
          <t>Source observation</t>
        </is>
      </c>
      <c r="D10" s="114" t="n"/>
      <c r="E10" s="114" t="inlineStr">
        <is>
          <t>Department sales with four reported quarters. Preserve… [N213]</t>
        </is>
      </c>
      <c r="F10" s="115" t="n">
        <v>1478.149852603</v>
      </c>
      <c r="G10" s="115" t="n">
        <v>1843.971762465</v>
      </c>
      <c r="H10" s="115" t="n"/>
      <c r="I10" s="115" t="n"/>
      <c r="J10" s="115" t="n"/>
      <c r="K10" s="115" t="n"/>
      <c r="L10" s="115" t="n"/>
      <c r="M10" s="115" t="n"/>
      <c r="N10" s="115" t="n"/>
      <c r="O10" s="115" t="n"/>
      <c r="P10" s="115" t="n"/>
      <c r="Q10" s="115" t="n"/>
      <c r="R10" s="115" t="n"/>
      <c r="S10" s="115" t="n"/>
      <c r="T10" s="65" t="inlineStr">
        <is>
          <t>Unreviewed source extract</t>
        </is>
      </c>
      <c r="U10" s="65" t="inlineStr">
        <is>
          <t>assumptions/2026/timeseries/fuel_sales_department.csv</t>
        </is>
      </c>
      <c r="V10" s="65" t="inlineStr">
        <is>
          <t>Manish: reconcile scope and revisions before adoption.</t>
        </is>
      </c>
    </row>
    <row r="11" ht="30" customHeight="1">
      <c r="A11" s="65" t="inlineStr">
        <is>
          <t>sales_fuel_oil</t>
        </is>
      </c>
      <c r="B11" s="65" t="inlineStr">
        <is>
          <t>million L/year</t>
        </is>
      </c>
      <c r="C11" s="65" t="inlineStr">
        <is>
          <t>Source observation</t>
        </is>
      </c>
      <c r="D11" s="114" t="n"/>
      <c r="E11" s="114" t="inlineStr">
        <is>
          <t>FIASA staged reported sales; latest edition selected by existing… [N214]</t>
        </is>
      </c>
      <c r="F11" s="115" t="n">
        <v>594</v>
      </c>
      <c r="G11" s="115" t="n">
        <v>658</v>
      </c>
      <c r="H11" s="115" t="n">
        <v>441</v>
      </c>
      <c r="I11" s="115" t="n"/>
      <c r="J11" s="115" t="n"/>
      <c r="K11" s="115" t="n"/>
      <c r="L11" s="115" t="n"/>
      <c r="M11" s="115" t="n"/>
      <c r="N11" s="115" t="n"/>
      <c r="O11" s="115" t="n"/>
      <c r="P11" s="115" t="n"/>
      <c r="Q11" s="115" t="n"/>
      <c r="R11" s="115" t="n"/>
      <c r="S11" s="115" t="n"/>
      <c r="T11" s="65" t="inlineStr">
        <is>
          <t>Unreviewed source extract</t>
        </is>
      </c>
      <c r="U11" s="65" t="inlineStr">
        <is>
          <t>assumptions/2026/timeseries/fuel_sales_fiasa.csv</t>
        </is>
      </c>
      <c r="V11" s="65" t="inlineStr">
        <is>
          <t>Manish: reconcile scope and revisions before adoption.</t>
        </is>
      </c>
    </row>
    <row r="12" ht="30" customHeight="1">
      <c r="A12" s="65" t="inlineStr">
        <is>
          <t>dept_fuel_oil</t>
        </is>
      </c>
      <c r="B12" s="65" t="inlineStr">
        <is>
          <t>million L/year</t>
        </is>
      </c>
      <c r="C12" s="65" t="inlineStr">
        <is>
          <t>Source observation</t>
        </is>
      </c>
      <c r="D12" s="114" t="n"/>
      <c r="E12" s="114" t="inlineStr">
        <is>
          <t>Department sales with four reported quarters. Preserve… [N215]</t>
        </is>
      </c>
      <c r="F12" s="115" t="n">
        <v>594.0401649620001</v>
      </c>
      <c r="G12" s="115" t="n">
        <v>658.0930416160001</v>
      </c>
      <c r="H12" s="115" t="n"/>
      <c r="I12" s="115" t="n"/>
      <c r="J12" s="115" t="n"/>
      <c r="K12" s="115" t="n"/>
      <c r="L12" s="115" t="n"/>
      <c r="M12" s="115" t="n"/>
      <c r="N12" s="115" t="n"/>
      <c r="O12" s="115" t="n"/>
      <c r="P12" s="115" t="n"/>
      <c r="Q12" s="115" t="n"/>
      <c r="R12" s="115" t="n"/>
      <c r="S12" s="115" t="n"/>
      <c r="T12" s="65" t="inlineStr">
        <is>
          <t>Unreviewed source extract</t>
        </is>
      </c>
      <c r="U12" s="65" t="inlineStr">
        <is>
          <t>assumptions/2026/timeseries/fuel_sales_department.csv</t>
        </is>
      </c>
      <c r="V12" s="65" t="inlineStr">
        <is>
          <t>Manish: reconcile scope and revisions before adoption.</t>
        </is>
      </c>
    </row>
    <row r="13" ht="30" customHeight="1">
      <c r="A13" s="65" t="inlineStr">
        <is>
          <t>sales_vehicles_cars</t>
        </is>
      </c>
      <c r="B13" s="65" t="inlineStr">
        <is>
          <t>vehicles/year</t>
        </is>
      </c>
      <c r="C13" s="65" t="inlineStr">
        <is>
          <t>Source observation</t>
        </is>
      </c>
      <c r="D13" s="114" t="n"/>
      <c r="E13" s="114" t="inlineStr">
        <is>
          <t>NAAMSA actual new sales. Published 2026/27 projections excluded… [N216]</t>
        </is>
      </c>
      <c r="F13" s="115" t="n">
        <v>363681</v>
      </c>
      <c r="G13" s="115" t="n">
        <v>347377</v>
      </c>
      <c r="H13" s="115" t="n">
        <v>351553</v>
      </c>
      <c r="I13" s="115" t="n">
        <v>422463</v>
      </c>
      <c r="J13" s="115" t="n"/>
      <c r="K13" s="115" t="n"/>
      <c r="L13" s="115" t="n"/>
      <c r="M13" s="115" t="n"/>
      <c r="N13" s="115" t="n"/>
      <c r="O13" s="115" t="n"/>
      <c r="P13" s="115" t="n"/>
      <c r="Q13" s="115" t="n"/>
      <c r="R13" s="115" t="n"/>
      <c r="S13" s="115" t="n"/>
      <c r="T13" s="65" t="inlineStr">
        <is>
          <t>Unreviewed source extract</t>
        </is>
      </c>
      <c r="U13" s="65" t="inlineStr">
        <is>
          <t>assumptions/2026/timeseries/new_vehicle_market_naamsa.csv</t>
        </is>
      </c>
      <c r="V13" s="65" t="inlineStr">
        <is>
          <t>Manish: reconcile scope and revisions before adoption.</t>
        </is>
      </c>
    </row>
    <row r="14" ht="30" customHeight="1">
      <c r="A14" s="65" t="inlineStr">
        <is>
          <t>sales_vehicles_light_commercial</t>
        </is>
      </c>
      <c r="B14" s="65" t="inlineStr">
        <is>
          <t>vehicles/year</t>
        </is>
      </c>
      <c r="C14" s="65" t="inlineStr">
        <is>
          <t>Source observation</t>
        </is>
      </c>
      <c r="D14" s="114" t="n"/>
      <c r="E14" s="114" t="inlineStr">
        <is>
          <t>NAAMSA actual new sales. Published 2026/27 projections excluded… [N217]</t>
        </is>
      </c>
      <c r="F14" s="115" t="n">
        <v>135711</v>
      </c>
      <c r="G14" s="115" t="n">
        <v>151490</v>
      </c>
      <c r="H14" s="115" t="n">
        <v>133375</v>
      </c>
      <c r="I14" s="115" t="n">
        <v>143964</v>
      </c>
      <c r="J14" s="115" t="n"/>
      <c r="K14" s="115" t="n"/>
      <c r="L14" s="115" t="n"/>
      <c r="M14" s="115" t="n"/>
      <c r="N14" s="115" t="n"/>
      <c r="O14" s="115" t="n"/>
      <c r="P14" s="115" t="n"/>
      <c r="Q14" s="115" t="n"/>
      <c r="R14" s="115" t="n"/>
      <c r="S14" s="115" t="n"/>
      <c r="T14" s="65" t="inlineStr">
        <is>
          <t>Unreviewed source extract</t>
        </is>
      </c>
      <c r="U14" s="65" t="inlineStr">
        <is>
          <t>assumptions/2026/timeseries/new_vehicle_market_naamsa.csv</t>
        </is>
      </c>
      <c r="V14" s="65" t="inlineStr">
        <is>
          <t>Manish: reconcile scope and revisions before adoption.</t>
        </is>
      </c>
    </row>
    <row r="15" ht="30" customHeight="1">
      <c r="A15" s="65" t="inlineStr">
        <is>
          <t>sales_vehicles_medium_heavy_commercial</t>
        </is>
      </c>
      <c r="B15" s="65" t="inlineStr">
        <is>
          <t>vehicles/year</t>
        </is>
      </c>
      <c r="C15" s="65" t="inlineStr">
        <is>
          <t>Source observation</t>
        </is>
      </c>
      <c r="D15" s="114" t="n"/>
      <c r="E15" s="114" t="inlineStr">
        <is>
          <t>NAAMSA actual new sales. Published 2026/27 projections excluded… [N218]</t>
        </is>
      </c>
      <c r="F15" s="115" t="n">
        <v>29942</v>
      </c>
      <c r="G15" s="115" t="n">
        <v>32690</v>
      </c>
      <c r="H15" s="115" t="n">
        <v>31175</v>
      </c>
      <c r="I15" s="115" t="n">
        <v>30911</v>
      </c>
      <c r="J15" s="115" t="n"/>
      <c r="K15" s="115" t="n"/>
      <c r="L15" s="115" t="n"/>
      <c r="M15" s="115" t="n"/>
      <c r="N15" s="115" t="n"/>
      <c r="O15" s="115" t="n"/>
      <c r="P15" s="115" t="n"/>
      <c r="Q15" s="115" t="n"/>
      <c r="R15" s="115" t="n"/>
      <c r="S15" s="115" t="n"/>
      <c r="T15" s="65" t="inlineStr">
        <is>
          <t>Unreviewed source extract</t>
        </is>
      </c>
      <c r="U15" s="65" t="inlineStr">
        <is>
          <t>assumptions/2026/timeseries/new_vehicle_market_naamsa.csv</t>
        </is>
      </c>
      <c r="V15" s="65" t="inlineStr">
        <is>
          <t>Manish: reconcile scope and revisions before adoption.</t>
        </is>
      </c>
    </row>
    <row r="16" ht="30" customHeight="1">
      <c r="A16" s="65" t="inlineStr">
        <is>
          <t>sales_vehicles_total</t>
        </is>
      </c>
      <c r="B16" s="65" t="inlineStr">
        <is>
          <t>vehicles/year</t>
        </is>
      </c>
      <c r="C16" s="65" t="inlineStr">
        <is>
          <t>Source observation</t>
        </is>
      </c>
      <c r="D16" s="114" t="n"/>
      <c r="E16" s="114" t="inlineStr">
        <is>
          <t>NAAMSA actual new sales. Published 2026/27 projections excluded… [N219]</t>
        </is>
      </c>
      <c r="F16" s="115" t="n">
        <v>529335</v>
      </c>
      <c r="G16" s="115" t="n">
        <v>531557</v>
      </c>
      <c r="H16" s="115" t="n">
        <v>516103</v>
      </c>
      <c r="I16" s="115" t="n">
        <v>597338</v>
      </c>
      <c r="J16" s="115" t="n"/>
      <c r="K16" s="115" t="n"/>
      <c r="L16" s="115" t="n"/>
      <c r="M16" s="115" t="n"/>
      <c r="N16" s="115" t="n"/>
      <c r="O16" s="115" t="n"/>
      <c r="P16" s="115" t="n"/>
      <c r="Q16" s="115" t="n"/>
      <c r="R16" s="115" t="n"/>
      <c r="S16" s="115" t="n"/>
      <c r="T16" s="65" t="inlineStr">
        <is>
          <t>Unreviewed source extract</t>
        </is>
      </c>
      <c r="U16" s="65" t="inlineStr">
        <is>
          <t>assumptions/2026/timeseries/new_vehicle_market_naamsa.csv</t>
        </is>
      </c>
      <c r="V16" s="65" t="inlineStr">
        <is>
          <t>Manish: reconcile scope and revisions before adoption.</t>
        </is>
      </c>
    </row>
    <row r="17" ht="30" customHeight="1">
      <c r="A17" s="65" t="inlineStr">
        <is>
          <t>nev_battery_electric</t>
        </is>
      </c>
      <c r="B17" s="65" t="inlineStr">
        <is>
          <t>vehicles/year</t>
        </is>
      </c>
      <c r="C17" s="65" t="inlineStr">
        <is>
          <t>Source observation</t>
        </is>
      </c>
      <c r="D17" s="114" t="n"/>
      <c r="E17" s="114" t="inlineStr">
        <is>
          <t>All-market drivetrain sales; passenger/truck split is not… [N220]</t>
        </is>
      </c>
      <c r="F17" s="115" t="n">
        <v>502</v>
      </c>
      <c r="G17" s="115" t="n">
        <v>929</v>
      </c>
      <c r="H17" s="115" t="n">
        <v>1257</v>
      </c>
      <c r="I17" s="115" t="n">
        <v>1088</v>
      </c>
      <c r="J17" s="115" t="n"/>
      <c r="K17" s="115" t="n"/>
      <c r="L17" s="115" t="n"/>
      <c r="M17" s="115" t="n"/>
      <c r="N17" s="115" t="n"/>
      <c r="O17" s="115" t="n"/>
      <c r="P17" s="115" t="n"/>
      <c r="Q17" s="115" t="n"/>
      <c r="R17" s="115" t="n"/>
      <c r="S17" s="115" t="n"/>
      <c r="T17" s="65" t="inlineStr">
        <is>
          <t>Unreviewed source extract</t>
        </is>
      </c>
      <c r="U17" s="65" t="inlineStr">
        <is>
          <t>assumptions/2026/timeseries/nev_sales_naamsa.csv</t>
        </is>
      </c>
      <c r="V17" s="65" t="inlineStr">
        <is>
          <t>Manish: reconcile scope and revisions before adoption.</t>
        </is>
      </c>
    </row>
    <row r="18" ht="30" customHeight="1">
      <c r="A18" s="65" t="inlineStr">
        <is>
          <t>nev_plug_in_hybrid</t>
        </is>
      </c>
      <c r="B18" s="65" t="inlineStr">
        <is>
          <t>vehicles/year</t>
        </is>
      </c>
      <c r="C18" s="65" t="inlineStr">
        <is>
          <t>Source observation</t>
        </is>
      </c>
      <c r="D18" s="114" t="n"/>
      <c r="E18" s="114" t="inlineStr">
        <is>
          <t>All-market drivetrain sales; passenger/truck split is not… [N221]</t>
        </is>
      </c>
      <c r="F18" s="115" t="n">
        <v>122</v>
      </c>
      <c r="G18" s="115" t="n">
        <v>368</v>
      </c>
      <c r="H18" s="115" t="n">
        <v>738</v>
      </c>
      <c r="I18" s="115" t="n">
        <v>2810</v>
      </c>
      <c r="J18" s="115" t="n"/>
      <c r="K18" s="115" t="n"/>
      <c r="L18" s="115" t="n"/>
      <c r="M18" s="115" t="n"/>
      <c r="N18" s="115" t="n"/>
      <c r="O18" s="115" t="n"/>
      <c r="P18" s="115" t="n"/>
      <c r="Q18" s="115" t="n"/>
      <c r="R18" s="115" t="n"/>
      <c r="S18" s="115" t="n"/>
      <c r="T18" s="65" t="inlineStr">
        <is>
          <t>Unreviewed source extract</t>
        </is>
      </c>
      <c r="U18" s="65" t="inlineStr">
        <is>
          <t>assumptions/2026/timeseries/nev_sales_naamsa.csv</t>
        </is>
      </c>
      <c r="V18" s="65" t="inlineStr">
        <is>
          <t>Manish: reconcile scope and revisions before adoption.</t>
        </is>
      </c>
    </row>
    <row r="19" ht="30" customHeight="1">
      <c r="A19" s="65" t="inlineStr">
        <is>
          <t>nev_traditional_hybrid</t>
        </is>
      </c>
      <c r="B19" s="65" t="inlineStr">
        <is>
          <t>vehicles/year</t>
        </is>
      </c>
      <c r="C19" s="65" t="inlineStr">
        <is>
          <t>Source observation</t>
        </is>
      </c>
      <c r="D19" s="114" t="n"/>
      <c r="E19" s="114" t="inlineStr">
        <is>
          <t>All-market drivetrain sales; passenger/truck split is not… [N222]</t>
        </is>
      </c>
      <c r="F19" s="115" t="n">
        <v>4070</v>
      </c>
      <c r="G19" s="115" t="n">
        <v>6485</v>
      </c>
      <c r="H19" s="115" t="n">
        <v>13616</v>
      </c>
      <c r="I19" s="115" t="n">
        <v>12818</v>
      </c>
      <c r="J19" s="115" t="n"/>
      <c r="K19" s="115" t="n"/>
      <c r="L19" s="115" t="n"/>
      <c r="M19" s="115" t="n"/>
      <c r="N19" s="115" t="n"/>
      <c r="O19" s="115" t="n"/>
      <c r="P19" s="115" t="n"/>
      <c r="Q19" s="115" t="n"/>
      <c r="R19" s="115" t="n"/>
      <c r="S19" s="115" t="n"/>
      <c r="T19" s="65" t="inlineStr">
        <is>
          <t>Unreviewed source extract</t>
        </is>
      </c>
      <c r="U19" s="65" t="inlineStr">
        <is>
          <t>assumptions/2026/timeseries/nev_sales_naamsa.csv</t>
        </is>
      </c>
      <c r="V19" s="65" t="inlineStr">
        <is>
          <t>Manish: reconcile scope and revisions before adoption.</t>
        </is>
      </c>
    </row>
    <row r="20" ht="30" customHeight="1">
      <c r="A20" s="65" t="inlineStr">
        <is>
          <t>stock_cars</t>
        </is>
      </c>
      <c r="B20" s="65" t="inlineStr">
        <is>
          <t>vehicles</t>
        </is>
      </c>
      <c r="C20" s="65" t="inlineStr">
        <is>
          <t>Source observation</t>
        </is>
      </c>
      <c r="D20" s="114" t="n">
        <v>8340592</v>
      </c>
      <c r="E20" s="114" t="inlineStr">
        <is>
          <t>eNaTIS December snapshots; latest June 2026 kept separately. No… [N223]</t>
        </is>
      </c>
      <c r="F20" s="115" t="n">
        <v>7685153</v>
      </c>
      <c r="G20" s="115" t="n">
        <v>7794164</v>
      </c>
      <c r="H20" s="115" t="n">
        <v>7949275</v>
      </c>
      <c r="I20" s="115" t="n">
        <v>8184111</v>
      </c>
      <c r="J20" s="115" t="n"/>
      <c r="K20" s="115" t="n"/>
      <c r="L20" s="115" t="n"/>
      <c r="M20" s="115" t="n"/>
      <c r="N20" s="115" t="n"/>
      <c r="O20" s="115" t="n"/>
      <c r="P20" s="115" t="n"/>
      <c r="Q20" s="115" t="n"/>
      <c r="R20" s="115" t="n"/>
      <c r="S20" s="115" t="n"/>
      <c r="T20" s="65" t="inlineStr">
        <is>
          <t>Unreviewed source extract</t>
        </is>
      </c>
      <c r="U20" s="65" t="inlineStr">
        <is>
          <t>assumptions/2026/timeseries/vehicle_population_natis.csv</t>
        </is>
      </c>
      <c r="V20" s="65" t="inlineStr">
        <is>
          <t>Manish: reconcile scope and revisions before adoption.</t>
        </is>
      </c>
    </row>
    <row r="21" ht="30" customHeight="1">
      <c r="A21" s="65" t="inlineStr">
        <is>
          <t>stock_light_commercial</t>
        </is>
      </c>
      <c r="B21" s="65" t="inlineStr">
        <is>
          <t>vehicles</t>
        </is>
      </c>
      <c r="C21" s="65" t="inlineStr">
        <is>
          <t>Source observation</t>
        </is>
      </c>
      <c r="D21" s="114" t="n">
        <v>2816547</v>
      </c>
      <c r="E21" s="114" t="inlineStr">
        <is>
          <t>eNaTIS December snapshots; latest June 2026 kept separately. No… [N224]</t>
        </is>
      </c>
      <c r="F21" s="115" t="n">
        <v>2658416</v>
      </c>
      <c r="G21" s="115" t="n">
        <v>2689310</v>
      </c>
      <c r="H21" s="115" t="n">
        <v>2725606</v>
      </c>
      <c r="I21" s="115" t="n">
        <v>2776258</v>
      </c>
      <c r="J21" s="115" t="n"/>
      <c r="K21" s="115" t="n"/>
      <c r="L21" s="115" t="n"/>
      <c r="M21" s="115" t="n"/>
      <c r="N21" s="115" t="n"/>
      <c r="O21" s="115" t="n"/>
      <c r="P21" s="115" t="n"/>
      <c r="Q21" s="115" t="n"/>
      <c r="R21" s="115" t="n"/>
      <c r="S21" s="115" t="n"/>
      <c r="T21" s="65" t="inlineStr">
        <is>
          <t>Unreviewed source extract</t>
        </is>
      </c>
      <c r="U21" s="65" t="inlineStr">
        <is>
          <t>assumptions/2026/timeseries/vehicle_population_natis.csv</t>
        </is>
      </c>
      <c r="V21" s="65" t="inlineStr">
        <is>
          <t>Manish: reconcile scope and revisions before adoption.</t>
        </is>
      </c>
    </row>
    <row r="22" ht="30" customHeight="1">
      <c r="A22" s="65" t="inlineStr">
        <is>
          <t>stock_trucks</t>
        </is>
      </c>
      <c r="B22" s="65" t="inlineStr">
        <is>
          <t>vehicles</t>
        </is>
      </c>
      <c r="C22" s="65" t="inlineStr">
        <is>
          <t>Source observation</t>
        </is>
      </c>
      <c r="D22" s="114" t="n">
        <v>409049</v>
      </c>
      <c r="E22" s="114" t="inlineStr">
        <is>
          <t>eNaTIS December snapshots; latest June 2026 kept separately. No… [N225]</t>
        </is>
      </c>
      <c r="F22" s="115" t="n">
        <v>385845</v>
      </c>
      <c r="G22" s="115" t="n">
        <v>392349</v>
      </c>
      <c r="H22" s="115" t="n">
        <v>398542</v>
      </c>
      <c r="I22" s="115" t="n">
        <v>404752</v>
      </c>
      <c r="J22" s="115" t="n"/>
      <c r="K22" s="115" t="n"/>
      <c r="L22" s="115" t="n"/>
      <c r="M22" s="115" t="n"/>
      <c r="N22" s="115" t="n"/>
      <c r="O22" s="115" t="n"/>
      <c r="P22" s="115" t="n"/>
      <c r="Q22" s="115" t="n"/>
      <c r="R22" s="115" t="n"/>
      <c r="S22" s="115" t="n"/>
      <c r="T22" s="65" t="inlineStr">
        <is>
          <t>Unreviewed source extract</t>
        </is>
      </c>
      <c r="U22" s="65" t="inlineStr">
        <is>
          <t>assumptions/2026/timeseries/vehicle_population_natis.csv</t>
        </is>
      </c>
      <c r="V22" s="65" t="inlineStr">
        <is>
          <t>Manish: reconcile scope and revisions before adoption.</t>
        </is>
      </c>
    </row>
    <row r="23" ht="30" customHeight="1">
      <c r="A23" s="65" t="inlineStr">
        <is>
          <t>stock_buses</t>
        </is>
      </c>
      <c r="B23" s="65" t="inlineStr">
        <is>
          <t>vehicles</t>
        </is>
      </c>
      <c r="C23" s="65" t="inlineStr">
        <is>
          <t>Source observation</t>
        </is>
      </c>
      <c r="D23" s="114" t="n">
        <v>66872</v>
      </c>
      <c r="E23" s="114" t="inlineStr">
        <is>
          <t>eNaTIS December snapshots; latest June 2026 kept separately. No… [N226]</t>
        </is>
      </c>
      <c r="F23" s="115" t="n">
        <v>64170</v>
      </c>
      <c r="G23" s="115" t="n">
        <v>64982</v>
      </c>
      <c r="H23" s="115" t="n">
        <v>65792</v>
      </c>
      <c r="I23" s="115" t="n">
        <v>66249</v>
      </c>
      <c r="J23" s="115" t="n"/>
      <c r="K23" s="115" t="n"/>
      <c r="L23" s="115" t="n"/>
      <c r="M23" s="115" t="n"/>
      <c r="N23" s="115" t="n"/>
      <c r="O23" s="115" t="n"/>
      <c r="P23" s="115" t="n"/>
      <c r="Q23" s="115" t="n"/>
      <c r="R23" s="115" t="n"/>
      <c r="S23" s="115" t="n"/>
      <c r="T23" s="65" t="inlineStr">
        <is>
          <t>Unreviewed source extract</t>
        </is>
      </c>
      <c r="U23" s="65" t="inlineStr">
        <is>
          <t>assumptions/2026/timeseries/vehicle_population_natis.csv</t>
        </is>
      </c>
      <c r="V23" s="65" t="inlineStr">
        <is>
          <t>Manish: reconcile scope and revisions before adoption.</t>
        </is>
      </c>
    </row>
    <row r="24" ht="30" customHeight="1">
      <c r="A24" s="65" t="inlineStr">
        <is>
          <t>stock_minibuses</t>
        </is>
      </c>
      <c r="B24" s="65" t="inlineStr">
        <is>
          <t>vehicles</t>
        </is>
      </c>
      <c r="C24" s="65" t="inlineStr">
        <is>
          <t>Source observation</t>
        </is>
      </c>
      <c r="D24" s="114" t="n">
        <v>356997</v>
      </c>
      <c r="E24" s="114" t="inlineStr">
        <is>
          <t>eNaTIS December snapshots; latest June 2026 kept separately. No… [N227]</t>
        </is>
      </c>
      <c r="F24" s="115" t="n">
        <v>349335</v>
      </c>
      <c r="G24" s="115" t="n">
        <v>355235</v>
      </c>
      <c r="H24" s="115" t="n">
        <v>355139</v>
      </c>
      <c r="I24" s="115" t="n">
        <v>355145</v>
      </c>
      <c r="J24" s="115" t="n"/>
      <c r="K24" s="115" t="n"/>
      <c r="L24" s="115" t="n"/>
      <c r="M24" s="115" t="n"/>
      <c r="N24" s="115" t="n"/>
      <c r="O24" s="115" t="n"/>
      <c r="P24" s="115" t="n"/>
      <c r="Q24" s="115" t="n"/>
      <c r="R24" s="115" t="n"/>
      <c r="S24" s="115" t="n"/>
      <c r="T24" s="65" t="inlineStr">
        <is>
          <t>Unreviewed source extract</t>
        </is>
      </c>
      <c r="U24" s="65" t="inlineStr">
        <is>
          <t>assumptions/2026/timeseries/vehicle_population_natis.csv</t>
        </is>
      </c>
      <c r="V24" s="65" t="inlineStr">
        <is>
          <t>Manish: reconcile scope and revisions before adoption.</t>
        </is>
      </c>
    </row>
    <row r="25" ht="30" customHeight="1">
      <c r="A25" s="65" t="inlineStr">
        <is>
          <t>macro_gdp_per_capita</t>
        </is>
      </c>
      <c r="B25" s="65" t="inlineStr">
        <is>
          <t>2015 ZAR/person</t>
        </is>
      </c>
      <c r="C25" s="65" t="inlineStr">
        <is>
          <t>Source observation</t>
        </is>
      </c>
      <c r="D25" s="114" t="n"/>
      <c r="E25" s="114" t="inlineStr">
        <is>
          <t>Stats SA annual actual in staged reporting copy. Sector value… [N228]</t>
        </is>
      </c>
      <c r="F25" s="115" t="n">
        <v>76055.06748983047</v>
      </c>
      <c r="G25" s="115" t="n">
        <v>75781.52071231291</v>
      </c>
      <c r="H25" s="115" t="n">
        <v>75255.62912098455</v>
      </c>
      <c r="I25" s="115" t="n">
        <v>75149.98563223911</v>
      </c>
      <c r="J25" s="115" t="n"/>
      <c r="K25" s="115" t="n"/>
      <c r="L25" s="115" t="n"/>
      <c r="M25" s="115" t="n"/>
      <c r="N25" s="115" t="n"/>
      <c r="O25" s="115" t="n"/>
      <c r="P25" s="115" t="n"/>
      <c r="Q25" s="115" t="n"/>
      <c r="R25" s="115" t="n"/>
      <c r="S25" s="115" t="n"/>
      <c r="T25" s="65" t="inlineStr">
        <is>
          <t>Unreviewed source extract</t>
        </is>
      </c>
      <c r="U25" s="65" t="inlineStr">
        <is>
          <t>pptx/story/evidence_2026_10_06/macro_statssa.csv</t>
        </is>
      </c>
      <c r="V25" s="65" t="inlineStr">
        <is>
          <t>Manish: reconcile scope and revisions before adoption.</t>
        </is>
      </c>
    </row>
    <row r="26" ht="30" customHeight="1">
      <c r="A26" s="65" t="inlineStr">
        <is>
          <t>macro_agriculture_forestry_and_fishing</t>
        </is>
      </c>
      <c r="B26" s="65" t="inlineStr">
        <is>
          <t>bn 2015 ZAR</t>
        </is>
      </c>
      <c r="C26" s="65" t="inlineStr">
        <is>
          <t>Source observation</t>
        </is>
      </c>
      <c r="D26" s="114" t="n"/>
      <c r="E26" s="114" t="inlineStr">
        <is>
          <t>Stats SA annual actual in staged reporting copy. Sector value… [N229]</t>
        </is>
      </c>
      <c r="F26" s="115" t="n">
        <v>131.7706421450265</v>
      </c>
      <c r="G26" s="115" t="n">
        <v>125.7466421450265</v>
      </c>
      <c r="H26" s="115" t="n">
        <v>114.7916421450265</v>
      </c>
      <c r="I26" s="115" t="n">
        <v>134.7967469817132</v>
      </c>
      <c r="J26" s="115" t="n"/>
      <c r="K26" s="115" t="n"/>
      <c r="L26" s="115" t="n"/>
      <c r="M26" s="115" t="n"/>
      <c r="N26" s="115" t="n"/>
      <c r="O26" s="115" t="n"/>
      <c r="P26" s="115" t="n"/>
      <c r="Q26" s="115" t="n"/>
      <c r="R26" s="115" t="n"/>
      <c r="S26" s="115" t="n"/>
      <c r="T26" s="65" t="inlineStr">
        <is>
          <t>Unreviewed source extract</t>
        </is>
      </c>
      <c r="U26" s="65" t="inlineStr">
        <is>
          <t>pptx/story/evidence_2026_10_06/macro_statssa.csv</t>
        </is>
      </c>
      <c r="V26" s="65" t="inlineStr">
        <is>
          <t>Manish: reconcile scope and revisions before adoption.</t>
        </is>
      </c>
    </row>
    <row r="27" ht="30" customHeight="1">
      <c r="A27" s="65" t="inlineStr">
        <is>
          <t>macro_manufacturing</t>
        </is>
      </c>
      <c r="B27" s="65" t="inlineStr">
        <is>
          <t>bn 2015 ZAR</t>
        </is>
      </c>
      <c r="C27" s="65" t="inlineStr">
        <is>
          <t>Source observation</t>
        </is>
      </c>
      <c r="D27" s="114" t="n"/>
      <c r="E27" s="114" t="inlineStr">
        <is>
          <t>Stats SA annual actual in staged reporting copy. Sector value… [N230]</t>
        </is>
      </c>
      <c r="F27" s="115" t="n">
        <v>523.0907540648606</v>
      </c>
      <c r="G27" s="115" t="n">
        <v>524.9937540648609</v>
      </c>
      <c r="H27" s="115" t="n">
        <v>523.150754064861</v>
      </c>
      <c r="I27" s="115" t="n">
        <v>516.9856529750193</v>
      </c>
      <c r="J27" s="115" t="n"/>
      <c r="K27" s="115" t="n"/>
      <c r="L27" s="115" t="n"/>
      <c r="M27" s="115" t="n"/>
      <c r="N27" s="115" t="n"/>
      <c r="O27" s="115" t="n"/>
      <c r="P27" s="115" t="n"/>
      <c r="Q27" s="115" t="n"/>
      <c r="R27" s="115" t="n"/>
      <c r="S27" s="115" t="n"/>
      <c r="T27" s="65" t="inlineStr">
        <is>
          <t>Unreviewed source extract</t>
        </is>
      </c>
      <c r="U27" s="65" t="inlineStr">
        <is>
          <t>pptx/story/evidence_2026_10_06/macro_statssa.csv</t>
        </is>
      </c>
      <c r="V27" s="65" t="inlineStr">
        <is>
          <t>Manish: reconcile scope and revisions before adoption.</t>
        </is>
      </c>
    </row>
    <row r="28" ht="30" customHeight="1">
      <c r="A28" s="65" t="inlineStr">
        <is>
          <t>macro_mining_and_quarrying</t>
        </is>
      </c>
      <c r="B28" s="65" t="inlineStr">
        <is>
          <t>bn 2015 ZAR</t>
        </is>
      </c>
      <c r="C28" s="65" t="inlineStr">
        <is>
          <t>Source observation</t>
        </is>
      </c>
      <c r="D28" s="114" t="n"/>
      <c r="E28" s="114" t="inlineStr">
        <is>
          <t>Stats SA annual actual in staged reporting copy. Sector value… [N231]</t>
        </is>
      </c>
      <c r="F28" s="115" t="n">
        <v>204.4529227196744</v>
      </c>
      <c r="G28" s="115" t="n">
        <v>204.2286999662737</v>
      </c>
      <c r="H28" s="115" t="n">
        <v>205.1258295918731</v>
      </c>
      <c r="I28" s="115" t="n">
        <v>205.4648860142573</v>
      </c>
      <c r="J28" s="115" t="n"/>
      <c r="K28" s="115" t="n"/>
      <c r="L28" s="115" t="n"/>
      <c r="M28" s="115" t="n"/>
      <c r="N28" s="115" t="n"/>
      <c r="O28" s="115" t="n"/>
      <c r="P28" s="115" t="n"/>
      <c r="Q28" s="115" t="n"/>
      <c r="R28" s="115" t="n"/>
      <c r="S28" s="115" t="n"/>
      <c r="T28" s="65" t="inlineStr">
        <is>
          <t>Unreviewed source extract</t>
        </is>
      </c>
      <c r="U28" s="65" t="inlineStr">
        <is>
          <t>pptx/story/evidence_2026_10_06/macro_statssa.csv</t>
        </is>
      </c>
      <c r="V28" s="65" t="inlineStr">
        <is>
          <t>Manish: reconcile scope and revisions before adoption.</t>
        </is>
      </c>
    </row>
    <row r="29" ht="30" customHeight="1">
      <c r="A29" s="65" t="inlineStr">
        <is>
          <t>macro_construction</t>
        </is>
      </c>
      <c r="B29" s="65" t="inlineStr">
        <is>
          <t>bn 2015 ZAR</t>
        </is>
      </c>
      <c r="C29" s="65" t="inlineStr">
        <is>
          <t>Source observation</t>
        </is>
      </c>
      <c r="D29" s="114" t="n"/>
      <c r="E29" s="114" t="inlineStr">
        <is>
          <t>Stats SA annual actual in staged reporting copy. Sector value… [N232]</t>
        </is>
      </c>
      <c r="F29" s="115" t="n">
        <v>110.0650907489087</v>
      </c>
      <c r="G29" s="115" t="n">
        <v>109.5650907489087</v>
      </c>
      <c r="H29" s="115" t="n">
        <v>103.6250907489087</v>
      </c>
      <c r="I29" s="115" t="n">
        <v>99.09852067977131</v>
      </c>
      <c r="J29" s="115" t="n"/>
      <c r="K29" s="115" t="n"/>
      <c r="L29" s="115" t="n"/>
      <c r="M29" s="115" t="n"/>
      <c r="N29" s="115" t="n"/>
      <c r="O29" s="115" t="n"/>
      <c r="P29" s="115" t="n"/>
      <c r="Q29" s="115" t="n"/>
      <c r="R29" s="115" t="n"/>
      <c r="S29" s="115" t="n"/>
      <c r="T29" s="65" t="inlineStr">
        <is>
          <t>Unreviewed source extract</t>
        </is>
      </c>
      <c r="U29" s="65" t="inlineStr">
        <is>
          <t>pptx/story/evidence_2026_10_06/macro_statssa.csv</t>
        </is>
      </c>
      <c r="V29" s="65" t="inlineStr">
        <is>
          <t>Manish: reconcile scope and revisions before adoption.</t>
        </is>
      </c>
    </row>
    <row r="30" ht="30" customHeight="1">
      <c r="A30" s="65" t="inlineStr">
        <is>
          <t>manufacturing_volume_total</t>
        </is>
      </c>
      <c r="B30" s="65" t="inlineStr">
        <is>
          <t>index 2019=100</t>
        </is>
      </c>
      <c r="C30" s="65" t="inlineStr">
        <is>
          <t>Source observation</t>
        </is>
      </c>
      <c r="D30" s="114" t="n">
        <v>87.71428571428571</v>
      </c>
      <c r="E30" s="114" t="inlineStr">
        <is>
          <t>Arithmetic mean of all 12 monthly production indices; 2026… [N233]</t>
        </is>
      </c>
      <c r="F30" s="115" t="n">
        <v>93.14166666666667</v>
      </c>
      <c r="G30" s="115" t="n">
        <v>93.71666666666665</v>
      </c>
      <c r="H30" s="115" t="n">
        <v>93.33333333333333</v>
      </c>
      <c r="I30" s="115" t="n">
        <v>92.14166666666665</v>
      </c>
      <c r="J30" s="115" t="n"/>
      <c r="K30" s="115" t="n"/>
      <c r="L30" s="115" t="n"/>
      <c r="M30" s="115" t="n"/>
      <c r="N30" s="115" t="n"/>
      <c r="O30" s="115" t="n"/>
      <c r="P30" s="115" t="n"/>
      <c r="Q30" s="115" t="n"/>
      <c r="R30" s="115" t="n"/>
      <c r="S30" s="115" t="n"/>
      <c r="T30" s="65" t="inlineStr">
        <is>
          <t>Unreviewed source extract</t>
        </is>
      </c>
      <c r="U30" s="65" t="inlineStr">
        <is>
          <t>pptx/story/evidence_2026_10_06/activity_statssa_monthly.csv</t>
        </is>
      </c>
      <c r="V30" s="65" t="inlineStr">
        <is>
          <t>Manish: reconcile scope and revisions before adoption.</t>
        </is>
      </c>
    </row>
    <row r="31" ht="30" customHeight="1">
      <c r="A31" s="65" t="inlineStr">
        <is>
          <t>mining_volume_total</t>
        </is>
      </c>
      <c r="B31" s="65" t="inlineStr">
        <is>
          <t>index 2019=100</t>
        </is>
      </c>
      <c r="C31" s="65" t="inlineStr">
        <is>
          <t>Source observation</t>
        </is>
      </c>
      <c r="D31" s="114" t="n">
        <v>90.6857142857143</v>
      </c>
      <c r="E31" s="114" t="inlineStr">
        <is>
          <t>Arithmetic mean of all 12 monthly production indices; 2026… [N234]</t>
        </is>
      </c>
      <c r="F31" s="115" t="n">
        <v>93.00833333333334</v>
      </c>
      <c r="G31" s="115" t="n">
        <v>93.01666666666667</v>
      </c>
      <c r="H31" s="115" t="n">
        <v>93.53333333333332</v>
      </c>
      <c r="I31" s="115" t="n">
        <v>93.70833333333333</v>
      </c>
      <c r="J31" s="115" t="n"/>
      <c r="K31" s="115" t="n"/>
      <c r="L31" s="115" t="n"/>
      <c r="M31" s="115" t="n"/>
      <c r="N31" s="115" t="n"/>
      <c r="O31" s="115" t="n"/>
      <c r="P31" s="115" t="n"/>
      <c r="Q31" s="115" t="n"/>
      <c r="R31" s="115" t="n"/>
      <c r="S31" s="115" t="n"/>
      <c r="T31" s="65" t="inlineStr">
        <is>
          <t>Unreviewed source extract</t>
        </is>
      </c>
      <c r="U31" s="65" t="inlineStr">
        <is>
          <t>pptx/story/evidence_2026_10_06/activity_statssa_monthly.csv</t>
        </is>
      </c>
      <c r="V31" s="65" t="inlineStr">
        <is>
          <t>Manish: reconcile scope and revisions before adoption.</t>
        </is>
      </c>
    </row>
    <row r="32" ht="30" customHeight="1">
      <c r="A32" s="65" t="inlineStr">
        <is>
          <t>freight_payload_road</t>
        </is>
      </c>
      <c r="B32" s="65" t="inlineStr">
        <is>
          <t>thousand tonnes</t>
        </is>
      </c>
      <c r="C32" s="65" t="inlineStr">
        <is>
          <t>Source observation</t>
        </is>
      </c>
      <c r="D32" s="114" t="n">
        <v>568029</v>
      </c>
      <c r="E32" s="114" t="inlineStr">
        <is>
          <t>Complete calendar years only; 2026 Jan–Jul shown separately.… [N235]</t>
        </is>
      </c>
      <c r="F32" s="115" t="n">
        <v>1048547</v>
      </c>
      <c r="G32" s="115" t="n">
        <v>1060419</v>
      </c>
      <c r="H32" s="115" t="n">
        <v>979798</v>
      </c>
      <c r="I32" s="115" t="n">
        <v>975176</v>
      </c>
      <c r="J32" s="115" t="n"/>
      <c r="K32" s="115" t="n"/>
      <c r="L32" s="115" t="n"/>
      <c r="M32" s="115" t="n"/>
      <c r="N32" s="115" t="n"/>
      <c r="O32" s="115" t="n"/>
      <c r="P32" s="115" t="n"/>
      <c r="Q32" s="115" t="n"/>
      <c r="R32" s="115" t="n"/>
      <c r="S32" s="115" t="n"/>
      <c r="T32" s="65" t="inlineStr">
        <is>
          <t>Unreviewed source extract</t>
        </is>
      </c>
      <c r="U32" s="65" t="inlineStr">
        <is>
          <t>pptx/story/evidence_2026_10_06/activity_statssa_monthly.csv</t>
        </is>
      </c>
      <c r="V32" s="65" t="inlineStr">
        <is>
          <t>Manish: reconcile scope and revisions before adoption.</t>
        </is>
      </c>
    </row>
    <row r="33" ht="30" customHeight="1">
      <c r="A33" s="65" t="inlineStr">
        <is>
          <t>freight_payload_rail</t>
        </is>
      </c>
      <c r="B33" s="65" t="inlineStr">
        <is>
          <t>thousand tonnes</t>
        </is>
      </c>
      <c r="C33" s="65" t="inlineStr">
        <is>
          <t>Source observation</t>
        </is>
      </c>
      <c r="D33" s="114" t="n">
        <v>101145</v>
      </c>
      <c r="E33" s="114" t="inlineStr">
        <is>
          <t>Complete calendar years only; 2026 Jan–Jul shown separately.… [N236]</t>
        </is>
      </c>
      <c r="F33" s="115" t="n">
        <v>155913</v>
      </c>
      <c r="G33" s="115" t="n">
        <v>160100</v>
      </c>
      <c r="H33" s="115" t="n">
        <v>160745</v>
      </c>
      <c r="I33" s="115" t="n">
        <v>168259</v>
      </c>
      <c r="J33" s="115" t="n"/>
      <c r="K33" s="115" t="n"/>
      <c r="L33" s="115" t="n"/>
      <c r="M33" s="115" t="n"/>
      <c r="N33" s="115" t="n"/>
      <c r="O33" s="115" t="n"/>
      <c r="P33" s="115" t="n"/>
      <c r="Q33" s="115" t="n"/>
      <c r="R33" s="115" t="n"/>
      <c r="S33" s="115" t="n"/>
      <c r="T33" s="65" t="inlineStr">
        <is>
          <t>Unreviewed source extract</t>
        </is>
      </c>
      <c r="U33" s="65" t="inlineStr">
        <is>
          <t>pptx/story/evidence_2026_10_06/activity_statssa_monthly.csv</t>
        </is>
      </c>
      <c r="V33" s="65" t="inlineStr">
        <is>
          <t>Manish: reconcile scope and revisions before adoption.</t>
        </is>
      </c>
    </row>
    <row r="34" ht="30" customHeight="1">
      <c r="A34" s="65" t="inlineStr">
        <is>
          <t>eskom_ocgt</t>
        </is>
      </c>
      <c r="B34" s="65" t="inlineStr">
        <is>
          <t>GWh / financial year</t>
        </is>
      </c>
      <c r="C34" s="65" t="inlineStr">
        <is>
          <t>Source observation</t>
        </is>
      </c>
      <c r="D34" s="114" t="n"/>
      <c r="E34" s="114" t="inlineStr">
        <is>
          <t>Full financial year ending 31 March in the column year. Not… [N237]</t>
        </is>
      </c>
      <c r="F34" s="115" t="n">
        <v>1826</v>
      </c>
      <c r="G34" s="115" t="n">
        <v>3018</v>
      </c>
      <c r="H34" s="115" t="n">
        <v>3634</v>
      </c>
      <c r="I34" s="115" t="n">
        <v>2176</v>
      </c>
      <c r="J34" s="115" t="n">
        <v>811</v>
      </c>
      <c r="K34" s="115" t="n"/>
      <c r="L34" s="115" t="n"/>
      <c r="M34" s="115" t="n"/>
      <c r="N34" s="115" t="n"/>
      <c r="O34" s="115" t="n"/>
      <c r="P34" s="115" t="n"/>
      <c r="Q34" s="115" t="n"/>
      <c r="R34" s="115" t="n"/>
      <c r="S34" s="115" t="n"/>
      <c r="T34" s="65" t="inlineStr">
        <is>
          <t>Unreviewed source extract</t>
        </is>
      </c>
      <c r="U34" s="65" t="inlineStr">
        <is>
          <t>assumptions/2026/timeseries/ocgt_generation_eskom.csv</t>
        </is>
      </c>
      <c r="V34" s="65" t="inlineStr">
        <is>
          <t>Manish: reconcile scope and revisions before adoption.</t>
        </is>
      </c>
    </row>
    <row r="35" ht="30" customHeight="1">
      <c r="A35" s="65" t="inlineStr">
        <is>
          <t>ipp_ocgt</t>
        </is>
      </c>
      <c r="B35" s="65" t="inlineStr">
        <is>
          <t>GWh / financial year</t>
        </is>
      </c>
      <c r="C35" s="65" t="inlineStr">
        <is>
          <t>Source observation</t>
        </is>
      </c>
      <c r="D35" s="114" t="n"/>
      <c r="E35" s="114" t="inlineStr">
        <is>
          <t>Full financial year ending 31 March in the column year. Not… [N238]</t>
        </is>
      </c>
      <c r="F35" s="115" t="n"/>
      <c r="G35" s="115" t="n">
        <v>1098</v>
      </c>
      <c r="H35" s="115" t="n">
        <v>1509</v>
      </c>
      <c r="I35" s="115" t="n">
        <v>662</v>
      </c>
      <c r="J35" s="115" t="n">
        <v>268</v>
      </c>
      <c r="K35" s="115" t="n"/>
      <c r="L35" s="115" t="n"/>
      <c r="M35" s="115" t="n"/>
      <c r="N35" s="115" t="n"/>
      <c r="O35" s="115" t="n"/>
      <c r="P35" s="115" t="n"/>
      <c r="Q35" s="115" t="n"/>
      <c r="R35" s="115" t="n"/>
      <c r="S35" s="115" t="n"/>
      <c r="T35" s="65" t="inlineStr">
        <is>
          <t>Unreviewed source extract</t>
        </is>
      </c>
      <c r="U35" s="65" t="inlineStr">
        <is>
          <t>assumptions/2026/timeseries/ocgt_generation_eskom.csv</t>
        </is>
      </c>
      <c r="V35" s="65" t="inlineStr">
        <is>
          <t>Manish: reconcile scope and revisions before adoption.</t>
        </is>
      </c>
    </row>
    <row r="36" ht="30" customHeight="1">
      <c r="A36" s="65" t="inlineStr">
        <is>
          <t>eskom_and_ipp_ocgt</t>
        </is>
      </c>
      <c r="B36" s="65" t="inlineStr">
        <is>
          <t>GWh / financial year</t>
        </is>
      </c>
      <c r="C36" s="65" t="inlineStr">
        <is>
          <t>Source observation</t>
        </is>
      </c>
      <c r="D36" s="114" t="n"/>
      <c r="E36" s="114" t="inlineStr">
        <is>
          <t>Full financial year ending 31 March in the column year. Not… [N239]</t>
        </is>
      </c>
      <c r="F36" s="115" t="n"/>
      <c r="G36" s="115" t="n">
        <v>4116</v>
      </c>
      <c r="H36" s="115" t="n">
        <v>5143</v>
      </c>
      <c r="I36" s="115" t="n">
        <v>2838</v>
      </c>
      <c r="J36" s="115" t="n">
        <v>1079</v>
      </c>
      <c r="K36" s="115" t="n"/>
      <c r="L36" s="115" t="n"/>
      <c r="M36" s="115" t="n"/>
      <c r="N36" s="115" t="n"/>
      <c r="O36" s="115" t="n"/>
      <c r="P36" s="115" t="n"/>
      <c r="Q36" s="115" t="n"/>
      <c r="R36" s="115" t="n"/>
      <c r="S36" s="115" t="n"/>
      <c r="T36" s="65" t="inlineStr">
        <is>
          <t>Unreviewed source extract</t>
        </is>
      </c>
      <c r="U36" s="65" t="inlineStr">
        <is>
          <t>assumptions/2026/timeseries/ocgt_generation_eskom.csv</t>
        </is>
      </c>
      <c r="V36" s="65" t="inlineStr">
        <is>
          <t>Manish: reconcile scope and revisions before adoption.</t>
        </is>
      </c>
    </row>
    <row r="37" ht="30" customHeight="1">
      <c r="A37" s="65" t="inlineStr">
        <is>
          <t>acsa_passengers</t>
        </is>
      </c>
      <c r="B37" s="65" t="inlineStr">
        <is>
          <t>departures</t>
        </is>
      </c>
      <c r="C37" s="65" t="inlineStr">
        <is>
          <t>Source observation</t>
        </is>
      </c>
      <c r="D37" s="114" t="n">
        <v>13249170</v>
      </c>
      <c r="E37" s="114" t="inlineStr">
        <is>
          <t>ACSA departures only; sums monthly total-flight rows without… [N240]</t>
        </is>
      </c>
      <c r="F37" s="115" t="n">
        <v>14986458</v>
      </c>
      <c r="G37" s="115" t="n">
        <v>17846377</v>
      </c>
      <c r="H37" s="115" t="n">
        <v>18785364</v>
      </c>
      <c r="I37" s="115" t="n">
        <v>20197976</v>
      </c>
      <c r="J37" s="115" t="n"/>
      <c r="K37" s="115" t="n"/>
      <c r="L37" s="115" t="n"/>
      <c r="M37" s="115" t="n"/>
      <c r="N37" s="115" t="n"/>
      <c r="O37" s="115" t="n"/>
      <c r="P37" s="115" t="n"/>
      <c r="Q37" s="115" t="n"/>
      <c r="R37" s="115" t="n"/>
      <c r="S37" s="115" t="n"/>
      <c r="T37" s="65" t="inlineStr">
        <is>
          <t>Unreviewed source extract</t>
        </is>
      </c>
      <c r="U37" s="65" t="inlineStr">
        <is>
          <t>assumptions/2026/timeseries/air_traffic_acsa.csv</t>
        </is>
      </c>
      <c r="V37" s="65" t="inlineStr">
        <is>
          <t>Manish: reconcile scope and revisions before adoption.</t>
        </is>
      </c>
    </row>
    <row r="38" ht="30" customHeight="1">
      <c r="A38" s="65" t="inlineStr">
        <is>
          <t>acsa_aircraft_movements</t>
        </is>
      </c>
      <c r="B38" s="65" t="inlineStr">
        <is>
          <t>departures</t>
        </is>
      </c>
      <c r="C38" s="65" t="inlineStr">
        <is>
          <t>Source observation</t>
        </is>
      </c>
      <c r="D38" s="114" t="n">
        <v>155688</v>
      </c>
      <c r="E38" s="114" t="inlineStr">
        <is>
          <t>ACSA departures only; sums monthly total-flight rows without… [N241]</t>
        </is>
      </c>
      <c r="F38" s="115" t="n">
        <v>207504</v>
      </c>
      <c r="G38" s="115" t="n">
        <v>225422</v>
      </c>
      <c r="H38" s="115" t="n">
        <v>227773</v>
      </c>
      <c r="I38" s="115" t="n">
        <v>230996</v>
      </c>
      <c r="J38" s="115" t="n"/>
      <c r="K38" s="115" t="n"/>
      <c r="L38" s="115" t="n"/>
      <c r="M38" s="115" t="n"/>
      <c r="N38" s="115" t="n"/>
      <c r="O38" s="115" t="n"/>
      <c r="P38" s="115" t="n"/>
      <c r="Q38" s="115" t="n"/>
      <c r="R38" s="115" t="n"/>
      <c r="S38" s="115" t="n"/>
      <c r="T38" s="65" t="inlineStr">
        <is>
          <t>Unreviewed source extract</t>
        </is>
      </c>
      <c r="U38" s="65" t="inlineStr">
        <is>
          <t>assumptions/2026/timeseries/air_traffic_acsa.csv</t>
        </is>
      </c>
      <c r="V38" s="65" t="inlineStr">
        <is>
          <t>Manish: reconcile scope and revisions before adoption.</t>
        </is>
      </c>
    </row>
    <row r="39" ht="30" customHeight="1">
      <c r="A39" s="65" t="inlineStr">
        <is>
          <t>Agriculture: 2021 agriculture/forestry diesel</t>
        </is>
      </c>
      <c r="B39" s="65" t="inlineStr">
        <is>
          <t>million L/year</t>
        </is>
      </c>
      <c r="C39" s="65" t="inlineStr">
        <is>
          <t>Staged observation</t>
        </is>
      </c>
      <c r="D39" s="114" t="n">
        <v>1058.39895</v>
      </c>
      <c r="E39" s="114" t="inlineStr">
        <is>
          <t>D is reported 2021 fuel use. No 2022–26 fuel observations inferred.</t>
        </is>
      </c>
      <c r="F39" s="115" t="n"/>
      <c r="G39" s="115" t="n"/>
      <c r="H39" s="115" t="n"/>
      <c r="I39" s="115" t="n"/>
      <c r="J39" s="115" t="n"/>
      <c r="K39" s="115" t="n"/>
      <c r="L39" s="115" t="n"/>
      <c r="M39" s="115" t="n"/>
      <c r="N39" s="115" t="n"/>
      <c r="O39" s="115" t="n"/>
      <c r="P39" s="115" t="n"/>
      <c r="Q39" s="115" t="n"/>
      <c r="R39" s="115" t="n"/>
      <c r="S39" s="115" t="n"/>
      <c r="T39" s="65" t="inlineStr">
        <is>
          <t>Older anchor; not adopted</t>
        </is>
      </c>
      <c r="U39" s="65" t="inlineStr">
        <is>
          <t>https://github.com/Africa-International-Advisors/liq… [N242]</t>
        </is>
      </c>
      <c r="V39" s="65" t="inlineStr">
        <is>
          <t>Check date and scope before adopting.</t>
        </is>
      </c>
    </row>
    <row r="40" ht="30" customHeight="1">
      <c r="A40" s="65" t="inlineStr">
        <is>
          <t>Manufacturing: 2021 energy-balance industry total</t>
        </is>
      </c>
      <c r="B40" s="65" t="inlineStr">
        <is>
          <t>million L/year</t>
        </is>
      </c>
      <c r="C40" s="65" t="inlineStr">
        <is>
          <t>Staged observation</t>
        </is>
      </c>
      <c r="D40" s="114" t="n">
        <v>1499.13926</v>
      </c>
      <c r="E40" s="114" t="inlineStr">
        <is>
          <t>Parent industry total includes mining and construction. It is not… [N243]</t>
        </is>
      </c>
      <c r="F40" s="115" t="n"/>
      <c r="G40" s="115" t="n"/>
      <c r="H40" s="115" t="n"/>
      <c r="I40" s="115" t="n"/>
      <c r="J40" s="115" t="n"/>
      <c r="K40" s="115" t="n"/>
      <c r="L40" s="115" t="n"/>
      <c r="M40" s="115" t="n"/>
      <c r="N40" s="115" t="n"/>
      <c r="O40" s="115" t="n"/>
      <c r="P40" s="115" t="n"/>
      <c r="Q40" s="115" t="n"/>
      <c r="R40" s="115" t="n"/>
      <c r="S40" s="115" t="n"/>
      <c r="T40" s="65" t="inlineStr">
        <is>
          <t>Older anchor; not adopted</t>
        </is>
      </c>
      <c r="U40" s="65" t="inlineStr">
        <is>
          <t>https://github.com/Africa-International-Advisors/liq… [N244]</t>
        </is>
      </c>
      <c r="V40" s="65" t="inlineStr">
        <is>
          <t>Check date and scope before adopting.</t>
        </is>
      </c>
    </row>
    <row r="41" ht="30" customHeight="1">
      <c r="A41" s="65" t="inlineStr">
        <is>
          <t>Manufacturing: 2021 construction diesel</t>
        </is>
      </c>
      <c r="B41" s="65" t="inlineStr">
        <is>
          <t>million L/year</t>
        </is>
      </c>
      <c r="C41" s="65" t="inlineStr">
        <is>
          <t>Staged observation</t>
        </is>
      </c>
      <c r="D41" s="114" t="n">
        <v>48.69243</v>
      </c>
      <c r="E41" s="114" t="inlineStr">
        <is>
          <t>Construction child of source industry total, shown separately to… [N245]</t>
        </is>
      </c>
      <c r="F41" s="115" t="n"/>
      <c r="G41" s="115" t="n"/>
      <c r="H41" s="115" t="n"/>
      <c r="I41" s="115" t="n"/>
      <c r="J41" s="115" t="n"/>
      <c r="K41" s="115" t="n"/>
      <c r="L41" s="115" t="n"/>
      <c r="M41" s="115" t="n"/>
      <c r="N41" s="115" t="n"/>
      <c r="O41" s="115" t="n"/>
      <c r="P41" s="115" t="n"/>
      <c r="Q41" s="115" t="n"/>
      <c r="R41" s="115" t="n"/>
      <c r="S41" s="115" t="n"/>
      <c r="T41" s="65" t="inlineStr">
        <is>
          <t>Older anchor; not adopted</t>
        </is>
      </c>
      <c r="U41" s="65" t="inlineStr">
        <is>
          <t>https://github.com/Africa-International-Advisors/liq… [N246]</t>
        </is>
      </c>
      <c r="V41" s="65" t="inlineStr">
        <is>
          <t>Check date and scope before adopting.</t>
        </is>
      </c>
    </row>
    <row r="42" ht="30" customHeight="1">
      <c r="A42" s="65" t="inlineStr">
        <is>
          <t>Mining: 2021 mining/quarrying diesel</t>
        </is>
      </c>
      <c r="B42" s="65" t="inlineStr">
        <is>
          <t>million L/year</t>
        </is>
      </c>
      <c r="C42" s="65" t="inlineStr">
        <is>
          <t>Staged observation</t>
        </is>
      </c>
      <c r="D42" s="114" t="n">
        <v>1293.81342</v>
      </c>
      <c r="E42" s="114" t="inlineStr">
        <is>
          <t>D is a 2021 anchor. Not a 2022 observation or approved starting assumption.</t>
        </is>
      </c>
      <c r="F42" s="115" t="n"/>
      <c r="G42" s="115" t="n"/>
      <c r="H42" s="115" t="n"/>
      <c r="I42" s="115" t="n"/>
      <c r="J42" s="115" t="n"/>
      <c r="K42" s="115" t="n"/>
      <c r="L42" s="115" t="n"/>
      <c r="M42" s="115" t="n"/>
      <c r="N42" s="115" t="n"/>
      <c r="O42" s="115" t="n"/>
      <c r="P42" s="115" t="n"/>
      <c r="Q42" s="115" t="n"/>
      <c r="R42" s="115" t="n"/>
      <c r="S42" s="115" t="n"/>
      <c r="T42" s="65" t="inlineStr">
        <is>
          <t>Older anchor; not adopted</t>
        </is>
      </c>
      <c r="U42" s="65" t="inlineStr">
        <is>
          <t>https://github.com/Africa-International-Advisors/liq… [N247]</t>
        </is>
      </c>
      <c r="V42" s="65" t="inlineStr">
        <is>
          <t>Check date and scope before adopting.</t>
        </is>
      </c>
    </row>
    <row r="43" ht="30" customHeight="1">
      <c r="A43" s="65" t="inlineStr">
        <is>
          <t>Provincial: EC petrol / million L/year</t>
        </is>
      </c>
      <c r="B43" s="65" t="inlineStr">
        <is>
          <t>million L</t>
        </is>
      </c>
      <c r="C43" s="65" t="inlineStr">
        <is>
          <t>Source observation</t>
        </is>
      </c>
      <c r="D43" s="114" t="n">
        <v>169.983418416</v>
      </c>
      <c r="E43" s="114" t="inlineStr">
        <is>
          <t>2022 full year. Latest separate value: 2023 Q1 only</t>
        </is>
      </c>
      <c r="F43" s="115" t="n">
        <v>703.1324447169991</v>
      </c>
      <c r="G43" s="115" t="n"/>
      <c r="H43" s="115" t="n"/>
      <c r="I43" s="115" t="n"/>
      <c r="J43" s="115" t="n"/>
      <c r="K43" s="115" t="n"/>
      <c r="L43" s="115" t="n"/>
      <c r="M43" s="115" t="n"/>
      <c r="N43" s="115" t="n"/>
      <c r="O43" s="115" t="n"/>
      <c r="P43" s="115" t="n"/>
      <c r="Q43" s="115" t="n"/>
      <c r="R43" s="115" t="n"/>
      <c r="S43" s="115" t="n"/>
      <c r="T43" s="65" t="inlineStr">
        <is>
          <t>2022 full year; latest Q1 2023 in R, not annualised.</t>
        </is>
      </c>
      <c r="U43" s="65" t="inlineStr">
        <is>
          <t>https://github.com/Africa-International-Advisors/liq… [N248]</t>
        </is>
      </c>
      <c r="V43" s="65" t="inlineStr">
        <is>
          <t>Sales geography; not automatically consumption geography.</t>
        </is>
      </c>
    </row>
    <row r="44" ht="30" customHeight="1">
      <c r="A44" s="65" t="inlineStr">
        <is>
          <t>Provincial: FS petrol / million L/year</t>
        </is>
      </c>
      <c r="B44" s="65" t="inlineStr">
        <is>
          <t>million L</t>
        </is>
      </c>
      <c r="C44" s="65" t="inlineStr">
        <is>
          <t>Source observation</t>
        </is>
      </c>
      <c r="D44" s="114" t="n">
        <v>134.248089129</v>
      </c>
      <c r="E44" s="114" t="inlineStr">
        <is>
          <t>2022 full year. Latest separate value: 2023 Q1 only</t>
        </is>
      </c>
      <c r="F44" s="115" t="n">
        <v>587.4580081820001</v>
      </c>
      <c r="G44" s="115" t="n"/>
      <c r="H44" s="115" t="n"/>
      <c r="I44" s="115" t="n"/>
      <c r="J44" s="115" t="n"/>
      <c r="K44" s="115" t="n"/>
      <c r="L44" s="115" t="n"/>
      <c r="M44" s="115" t="n"/>
      <c r="N44" s="115" t="n"/>
      <c r="O44" s="115" t="n"/>
      <c r="P44" s="115" t="n"/>
      <c r="Q44" s="115" t="n"/>
      <c r="R44" s="115" t="n"/>
      <c r="S44" s="115" t="n"/>
      <c r="T44" s="65" t="inlineStr">
        <is>
          <t>2022 full year; latest Q1 2023 in R, not annualised.</t>
        </is>
      </c>
      <c r="U44" s="65" t="inlineStr">
        <is>
          <t>https://github.com/Africa-International-Advisors/liq… [N249]</t>
        </is>
      </c>
      <c r="V44" s="65" t="inlineStr">
        <is>
          <t>Sales geography; not automatically consumption geography.</t>
        </is>
      </c>
    </row>
    <row r="45" ht="30" customHeight="1">
      <c r="A45" s="65" t="inlineStr">
        <is>
          <t>Provincial: GP petrol / million L/year</t>
        </is>
      </c>
      <c r="B45" s="65" t="inlineStr">
        <is>
          <t>million L</t>
        </is>
      </c>
      <c r="C45" s="65" t="inlineStr">
        <is>
          <t>Source observation</t>
        </is>
      </c>
      <c r="D45" s="114" t="n">
        <v>866.542928499998</v>
      </c>
      <c r="E45" s="114" t="inlineStr">
        <is>
          <t>2022 full year. Latest separate value: 2023 Q1 only</t>
        </is>
      </c>
      <c r="F45" s="115" t="n">
        <v>3530.440256933996</v>
      </c>
      <c r="G45" s="115" t="n"/>
      <c r="H45" s="115" t="n"/>
      <c r="I45" s="115" t="n"/>
      <c r="J45" s="115" t="n"/>
      <c r="K45" s="115" t="n"/>
      <c r="L45" s="115" t="n"/>
      <c r="M45" s="115" t="n"/>
      <c r="N45" s="115" t="n"/>
      <c r="O45" s="115" t="n"/>
      <c r="P45" s="115" t="n"/>
      <c r="Q45" s="115" t="n"/>
      <c r="R45" s="115" t="n"/>
      <c r="S45" s="115" t="n"/>
      <c r="T45" s="65" t="inlineStr">
        <is>
          <t>2022 full year; latest Q1 2023 in R, not annualised.</t>
        </is>
      </c>
      <c r="U45" s="65" t="inlineStr">
        <is>
          <t>https://github.com/Africa-International-Advisors/liq… [N250]</t>
        </is>
      </c>
      <c r="V45" s="65" t="inlineStr">
        <is>
          <t>Sales geography; not automatically consumption geography.</t>
        </is>
      </c>
    </row>
    <row r="46" ht="30" customHeight="1">
      <c r="A46" s="65" t="inlineStr">
        <is>
          <t>Provincial: KZN petrol / million L/year</t>
        </is>
      </c>
      <c r="B46" s="65" t="inlineStr">
        <is>
          <t>million L</t>
        </is>
      </c>
      <c r="C46" s="65" t="inlineStr">
        <is>
          <t>Source observation</t>
        </is>
      </c>
      <c r="D46" s="114" t="n">
        <v>365.0497116949989</v>
      </c>
      <c r="E46" s="114" t="inlineStr">
        <is>
          <t>2022 full year. Latest separate value: 2023 Q1 only</t>
        </is>
      </c>
      <c r="F46" s="115" t="n">
        <v>1498.937893394999</v>
      </c>
      <c r="G46" s="115" t="n"/>
      <c r="H46" s="115" t="n"/>
      <c r="I46" s="115" t="n"/>
      <c r="J46" s="115" t="n"/>
      <c r="K46" s="115" t="n"/>
      <c r="L46" s="115" t="n"/>
      <c r="M46" s="115" t="n"/>
      <c r="N46" s="115" t="n"/>
      <c r="O46" s="115" t="n"/>
      <c r="P46" s="115" t="n"/>
      <c r="Q46" s="115" t="n"/>
      <c r="R46" s="115" t="n"/>
      <c r="S46" s="115" t="n"/>
      <c r="T46" s="65" t="inlineStr">
        <is>
          <t>2022 full year; latest Q1 2023 in R, not annualised.</t>
        </is>
      </c>
      <c r="U46" s="65" t="inlineStr">
        <is>
          <t>https://github.com/Africa-International-Advisors/liq… [N251]</t>
        </is>
      </c>
      <c r="V46" s="65" t="inlineStr">
        <is>
          <t>Sales geography; not automatically consumption geography.</t>
        </is>
      </c>
    </row>
    <row r="47" ht="30" customHeight="1">
      <c r="A47" s="65" t="inlineStr">
        <is>
          <t>Provincial: LP petrol / million L/year</t>
        </is>
      </c>
      <c r="B47" s="65" t="inlineStr">
        <is>
          <t>million L</t>
        </is>
      </c>
      <c r="C47" s="65" t="inlineStr">
        <is>
          <t>Source observation</t>
        </is>
      </c>
      <c r="D47" s="114" t="n">
        <v>68.09202067700001</v>
      </c>
      <c r="E47" s="114" t="inlineStr">
        <is>
          <t>2022 full year. Latest separate value: 2023 Q1 only</t>
        </is>
      </c>
      <c r="F47" s="115" t="n">
        <v>273.644045045999</v>
      </c>
      <c r="G47" s="115" t="n"/>
      <c r="H47" s="115" t="n"/>
      <c r="I47" s="115" t="n"/>
      <c r="J47" s="115" t="n"/>
      <c r="K47" s="115" t="n"/>
      <c r="L47" s="115" t="n"/>
      <c r="M47" s="115" t="n"/>
      <c r="N47" s="115" t="n"/>
      <c r="O47" s="115" t="n"/>
      <c r="P47" s="115" t="n"/>
      <c r="Q47" s="115" t="n"/>
      <c r="R47" s="115" t="n"/>
      <c r="S47" s="115" t="n"/>
      <c r="T47" s="65" t="inlineStr">
        <is>
          <t>2022 full year; latest Q1 2023 in R, not annualised.</t>
        </is>
      </c>
      <c r="U47" s="65" t="inlineStr">
        <is>
          <t>https://github.com/Africa-International-Advisors/liq… [N252]</t>
        </is>
      </c>
      <c r="V47" s="65" t="inlineStr">
        <is>
          <t>Sales geography; not automatically consumption geography.</t>
        </is>
      </c>
    </row>
    <row r="48" ht="30" customHeight="1">
      <c r="A48" s="65" t="inlineStr">
        <is>
          <t>Provincial: MP petrol / million L/year</t>
        </is>
      </c>
      <c r="B48" s="65" t="inlineStr">
        <is>
          <t>million L</t>
        </is>
      </c>
      <c r="C48" s="65" t="inlineStr">
        <is>
          <t>Source observation</t>
        </is>
      </c>
      <c r="D48" s="114" t="n">
        <v>159.667027414</v>
      </c>
      <c r="E48" s="114" t="inlineStr">
        <is>
          <t>2022 full year. Latest separate value: 2023 Q1 only</t>
        </is>
      </c>
      <c r="F48" s="115" t="n">
        <v>612.2656460789989</v>
      </c>
      <c r="G48" s="115" t="n"/>
      <c r="H48" s="115" t="n"/>
      <c r="I48" s="115" t="n"/>
      <c r="J48" s="115" t="n"/>
      <c r="K48" s="115" t="n"/>
      <c r="L48" s="115" t="n"/>
      <c r="M48" s="115" t="n"/>
      <c r="N48" s="115" t="n"/>
      <c r="O48" s="115" t="n"/>
      <c r="P48" s="115" t="n"/>
      <c r="Q48" s="115" t="n"/>
      <c r="R48" s="115" t="n"/>
      <c r="S48" s="115" t="n"/>
      <c r="T48" s="65" t="inlineStr">
        <is>
          <t>2022 full year; latest Q1 2023 in R, not annualised.</t>
        </is>
      </c>
      <c r="U48" s="65" t="inlineStr">
        <is>
          <t>https://github.com/Africa-International-Advisors/liq… [N253]</t>
        </is>
      </c>
      <c r="V48" s="65" t="inlineStr">
        <is>
          <t>Sales geography; not automatically consumption geography.</t>
        </is>
      </c>
    </row>
    <row r="49" ht="30" customHeight="1">
      <c r="A49" s="65" t="inlineStr">
        <is>
          <t>Provincial: NC petrol / million L/year</t>
        </is>
      </c>
      <c r="B49" s="65" t="inlineStr">
        <is>
          <t>million L</t>
        </is>
      </c>
      <c r="C49" s="65" t="inlineStr">
        <is>
          <t>Source observation</t>
        </is>
      </c>
      <c r="D49" s="114" t="n">
        <v>24.61671942</v>
      </c>
      <c r="E49" s="114" t="inlineStr">
        <is>
          <t>2022 full year. Latest separate value: 2023 Q1 only</t>
        </is>
      </c>
      <c r="F49" s="115" t="n">
        <v>99.82992901300001</v>
      </c>
      <c r="G49" s="115" t="n"/>
      <c r="H49" s="115" t="n"/>
      <c r="I49" s="115" t="n"/>
      <c r="J49" s="115" t="n"/>
      <c r="K49" s="115" t="n"/>
      <c r="L49" s="115" t="n"/>
      <c r="M49" s="115" t="n"/>
      <c r="N49" s="115" t="n"/>
      <c r="O49" s="115" t="n"/>
      <c r="P49" s="115" t="n"/>
      <c r="Q49" s="115" t="n"/>
      <c r="R49" s="115" t="n"/>
      <c r="S49" s="115" t="n"/>
      <c r="T49" s="65" t="inlineStr">
        <is>
          <t>2022 full year; latest Q1 2023 in R, not annualised.</t>
        </is>
      </c>
      <c r="U49" s="65" t="inlineStr">
        <is>
          <t>https://github.com/Africa-International-Advisors/liq… [N254]</t>
        </is>
      </c>
      <c r="V49" s="65" t="inlineStr">
        <is>
          <t>Sales geography; not automatically consumption geography.</t>
        </is>
      </c>
    </row>
    <row r="50" ht="30" customHeight="1">
      <c r="A50" s="65" t="inlineStr">
        <is>
          <t>Provincial: NW petrol / million L/year</t>
        </is>
      </c>
      <c r="B50" s="65" t="inlineStr">
        <is>
          <t>million L</t>
        </is>
      </c>
      <c r="C50" s="65" t="inlineStr">
        <is>
          <t>Source observation</t>
        </is>
      </c>
      <c r="D50" s="114" t="n">
        <v>107.872808111</v>
      </c>
      <c r="E50" s="114" t="inlineStr">
        <is>
          <t>2022 full year. Latest separate value: 2023 Q1 only</t>
        </is>
      </c>
      <c r="F50" s="115" t="n">
        <v>448.1562321239999</v>
      </c>
      <c r="G50" s="115" t="n"/>
      <c r="H50" s="115" t="n"/>
      <c r="I50" s="115" t="n"/>
      <c r="J50" s="115" t="n"/>
      <c r="K50" s="115" t="n"/>
      <c r="L50" s="115" t="n"/>
      <c r="M50" s="115" t="n"/>
      <c r="N50" s="115" t="n"/>
      <c r="O50" s="115" t="n"/>
      <c r="P50" s="115" t="n"/>
      <c r="Q50" s="115" t="n"/>
      <c r="R50" s="115" t="n"/>
      <c r="S50" s="115" t="n"/>
      <c r="T50" s="65" t="inlineStr">
        <is>
          <t>2022 full year; latest Q1 2023 in R, not annualised.</t>
        </is>
      </c>
      <c r="U50" s="65" t="inlineStr">
        <is>
          <t>https://github.com/Africa-International-Advisors/liq… [N255]</t>
        </is>
      </c>
      <c r="V50" s="65" t="inlineStr">
        <is>
          <t>Sales geography; not automatically consumption geography.</t>
        </is>
      </c>
    </row>
    <row r="51" ht="30" customHeight="1">
      <c r="A51" s="65" t="inlineStr">
        <is>
          <t>Provincial: WC petrol / million L/year</t>
        </is>
      </c>
      <c r="B51" s="65" t="inlineStr">
        <is>
          <t>million L</t>
        </is>
      </c>
      <c r="C51" s="65" t="inlineStr">
        <is>
          <t>Source observation</t>
        </is>
      </c>
      <c r="D51" s="114" t="n">
        <v>366.983397196</v>
      </c>
      <c r="E51" s="114" t="inlineStr">
        <is>
          <t>2022 full year. Latest separate value: 2023 Q1 only</t>
        </is>
      </c>
      <c r="F51" s="115" t="n">
        <v>1431.005460082997</v>
      </c>
      <c r="G51" s="115" t="n"/>
      <c r="H51" s="115" t="n"/>
      <c r="I51" s="115" t="n"/>
      <c r="J51" s="115" t="n"/>
      <c r="K51" s="115" t="n"/>
      <c r="L51" s="115" t="n"/>
      <c r="M51" s="115" t="n"/>
      <c r="N51" s="115" t="n"/>
      <c r="O51" s="115" t="n"/>
      <c r="P51" s="115" t="n"/>
      <c r="Q51" s="115" t="n"/>
      <c r="R51" s="115" t="n"/>
      <c r="S51" s="115" t="n"/>
      <c r="T51" s="65" t="inlineStr">
        <is>
          <t>2022 full year; latest Q1 2023 in R, not annualised.</t>
        </is>
      </c>
      <c r="U51" s="65" t="inlineStr">
        <is>
          <t>https://github.com/Africa-International-Advisors/liq… [N256]</t>
        </is>
      </c>
      <c r="V51" s="65" t="inlineStr">
        <is>
          <t>Sales geography; not automatically consumption geography.</t>
        </is>
      </c>
    </row>
    <row r="52" ht="30" customHeight="1">
      <c r="A52" s="65" t="inlineStr">
        <is>
          <t>Provincial: EC diesel / million L/year</t>
        </is>
      </c>
      <c r="B52" s="65" t="inlineStr">
        <is>
          <t>million L</t>
        </is>
      </c>
      <c r="C52" s="65" t="inlineStr">
        <is>
          <t>Source observation</t>
        </is>
      </c>
      <c r="D52" s="114" t="n">
        <v>249.2098948710001</v>
      </c>
      <c r="E52" s="114" t="inlineStr">
        <is>
          <t>2022 full year. Latest separate value: 2023 Q1 only</t>
        </is>
      </c>
      <c r="F52" s="115" t="n">
        <v>1032.35218272</v>
      </c>
      <c r="G52" s="115" t="n"/>
      <c r="H52" s="115" t="n"/>
      <c r="I52" s="115" t="n"/>
      <c r="J52" s="115" t="n"/>
      <c r="K52" s="115" t="n"/>
      <c r="L52" s="115" t="n"/>
      <c r="M52" s="115" t="n"/>
      <c r="N52" s="115" t="n"/>
      <c r="O52" s="115" t="n"/>
      <c r="P52" s="115" t="n"/>
      <c r="Q52" s="115" t="n"/>
      <c r="R52" s="115" t="n"/>
      <c r="S52" s="115" t="n"/>
      <c r="T52" s="65" t="inlineStr">
        <is>
          <t>2022 full year; latest Q1 2023 in R, not annualised.</t>
        </is>
      </c>
      <c r="U52" s="65" t="inlineStr">
        <is>
          <t>https://github.com/Africa-International-Advisors/liq… [N257]</t>
        </is>
      </c>
      <c r="V52" s="65" t="inlineStr">
        <is>
          <t>Sales geography; not automatically consumption geography.</t>
        </is>
      </c>
    </row>
    <row r="53" ht="30" customHeight="1">
      <c r="A53" s="65" t="inlineStr">
        <is>
          <t>Provincial: FS diesel / million L/year</t>
        </is>
      </c>
      <c r="B53" s="65" t="inlineStr">
        <is>
          <t>million L</t>
        </is>
      </c>
      <c r="C53" s="65" t="inlineStr">
        <is>
          <t>Source observation</t>
        </is>
      </c>
      <c r="D53" s="114" t="n">
        <v>171.380981426</v>
      </c>
      <c r="E53" s="114" t="inlineStr">
        <is>
          <t>2022 full year. Latest separate value: 2023 Q1 only</t>
        </is>
      </c>
      <c r="F53" s="115" t="n">
        <v>781.8611598310002</v>
      </c>
      <c r="G53" s="115" t="n"/>
      <c r="H53" s="115" t="n"/>
      <c r="I53" s="115" t="n"/>
      <c r="J53" s="115" t="n"/>
      <c r="K53" s="115" t="n"/>
      <c r="L53" s="115" t="n"/>
      <c r="M53" s="115" t="n"/>
      <c r="N53" s="115" t="n"/>
      <c r="O53" s="115" t="n"/>
      <c r="P53" s="115" t="n"/>
      <c r="Q53" s="115" t="n"/>
      <c r="R53" s="115" t="n"/>
      <c r="S53" s="115" t="n"/>
      <c r="T53" s="65" t="inlineStr">
        <is>
          <t>2022 full year; latest Q1 2023 in R, not annualised.</t>
        </is>
      </c>
      <c r="U53" s="65" t="inlineStr">
        <is>
          <t>https://github.com/Africa-International-Advisors/liq… [N258]</t>
        </is>
      </c>
      <c r="V53" s="65" t="inlineStr">
        <is>
          <t>Sales geography; not automatically consumption geography.</t>
        </is>
      </c>
    </row>
    <row r="54" ht="30" customHeight="1">
      <c r="A54" s="65" t="inlineStr">
        <is>
          <t>Provincial: GP diesel / million L/year</t>
        </is>
      </c>
      <c r="B54" s="65" t="inlineStr">
        <is>
          <t>million L</t>
        </is>
      </c>
      <c r="C54" s="65" t="inlineStr">
        <is>
          <t>Source observation</t>
        </is>
      </c>
      <c r="D54" s="114" t="n">
        <v>819.754786399999</v>
      </c>
      <c r="E54" s="114" t="inlineStr">
        <is>
          <t>2022 full year. Latest separate value: 2023 Q1 only</t>
        </is>
      </c>
      <c r="F54" s="115" t="n">
        <v>3278.990501961999</v>
      </c>
      <c r="G54" s="115" t="n"/>
      <c r="H54" s="115" t="n"/>
      <c r="I54" s="115" t="n"/>
      <c r="J54" s="115" t="n"/>
      <c r="K54" s="115" t="n"/>
      <c r="L54" s="115" t="n"/>
      <c r="M54" s="115" t="n"/>
      <c r="N54" s="115" t="n"/>
      <c r="O54" s="115" t="n"/>
      <c r="P54" s="115" t="n"/>
      <c r="Q54" s="115" t="n"/>
      <c r="R54" s="115" t="n"/>
      <c r="S54" s="115" t="n"/>
      <c r="T54" s="65" t="inlineStr">
        <is>
          <t>2022 full year; latest Q1 2023 in R, not annualised.</t>
        </is>
      </c>
      <c r="U54" s="65" t="inlineStr">
        <is>
          <t>https://github.com/Africa-International-Advisors/liq… [N259]</t>
        </is>
      </c>
      <c r="V54" s="65" t="inlineStr">
        <is>
          <t>Sales geography; not automatically consumption geography.</t>
        </is>
      </c>
    </row>
    <row r="55" ht="30" customHeight="1">
      <c r="A55" s="65" t="inlineStr">
        <is>
          <t>Provincial: KZN diesel / million L/year</t>
        </is>
      </c>
      <c r="B55" s="65" t="inlineStr">
        <is>
          <t>million L</t>
        </is>
      </c>
      <c r="C55" s="65" t="inlineStr">
        <is>
          <t>Source observation</t>
        </is>
      </c>
      <c r="D55" s="114" t="n">
        <v>599.6235340870004</v>
      </c>
      <c r="E55" s="114" t="inlineStr">
        <is>
          <t>2022 full year. Latest separate value: 2023 Q1 only</t>
        </is>
      </c>
      <c r="F55" s="115" t="n">
        <v>2785.554802503</v>
      </c>
      <c r="G55" s="115" t="n"/>
      <c r="H55" s="115" t="n"/>
      <c r="I55" s="115" t="n"/>
      <c r="J55" s="115" t="n"/>
      <c r="K55" s="115" t="n"/>
      <c r="L55" s="115" t="n"/>
      <c r="M55" s="115" t="n"/>
      <c r="N55" s="115" t="n"/>
      <c r="O55" s="115" t="n"/>
      <c r="P55" s="115" t="n"/>
      <c r="Q55" s="115" t="n"/>
      <c r="R55" s="115" t="n"/>
      <c r="S55" s="115" t="n"/>
      <c r="T55" s="65" t="inlineStr">
        <is>
          <t>2022 full year; latest Q1 2023 in R, not annualised.</t>
        </is>
      </c>
      <c r="U55" s="65" t="inlineStr">
        <is>
          <t>https://github.com/Africa-International-Advisors/liq… [N260]</t>
        </is>
      </c>
      <c r="V55" s="65" t="inlineStr">
        <is>
          <t>Sales geography; not automatically consumption geography.</t>
        </is>
      </c>
    </row>
    <row r="56" ht="30" customHeight="1">
      <c r="A56" s="65" t="inlineStr">
        <is>
          <t>Provincial: LP diesel / million L/year</t>
        </is>
      </c>
      <c r="B56" s="65" t="inlineStr">
        <is>
          <t>million L</t>
        </is>
      </c>
      <c r="C56" s="65" t="inlineStr">
        <is>
          <t>Source observation</t>
        </is>
      </c>
      <c r="D56" s="114" t="n">
        <v>59.657977532</v>
      </c>
      <c r="E56" s="114" t="inlineStr">
        <is>
          <t>2022 full year. Latest separate value: 2023 Q1 only</t>
        </is>
      </c>
      <c r="F56" s="115" t="n">
        <v>221.987440248</v>
      </c>
      <c r="G56" s="115" t="n"/>
      <c r="H56" s="115" t="n"/>
      <c r="I56" s="115" t="n"/>
      <c r="J56" s="115" t="n"/>
      <c r="K56" s="115" t="n"/>
      <c r="L56" s="115" t="n"/>
      <c r="M56" s="115" t="n"/>
      <c r="N56" s="115" t="n"/>
      <c r="O56" s="115" t="n"/>
      <c r="P56" s="115" t="n"/>
      <c r="Q56" s="115" t="n"/>
      <c r="R56" s="115" t="n"/>
      <c r="S56" s="115" t="n"/>
      <c r="T56" s="65" t="inlineStr">
        <is>
          <t>2022 full year; latest Q1 2023 in R, not annualised.</t>
        </is>
      </c>
      <c r="U56" s="65" t="inlineStr">
        <is>
          <t>https://github.com/Africa-International-Advisors/liq… [N261]</t>
        </is>
      </c>
      <c r="V56" s="65" t="inlineStr">
        <is>
          <t>Sales geography; not automatically consumption geography.</t>
        </is>
      </c>
    </row>
    <row r="57" ht="30" customHeight="1">
      <c r="A57" s="65" t="inlineStr">
        <is>
          <t>Provincial: MP diesel / million L/year</t>
        </is>
      </c>
      <c r="B57" s="65" t="inlineStr">
        <is>
          <t>million L</t>
        </is>
      </c>
      <c r="C57" s="65" t="inlineStr">
        <is>
          <t>Source observation</t>
        </is>
      </c>
      <c r="D57" s="114" t="n">
        <v>289.1097057700001</v>
      </c>
      <c r="E57" s="114" t="inlineStr">
        <is>
          <t>2022 full year. Latest separate value: 2023 Q1 only</t>
        </is>
      </c>
      <c r="F57" s="115" t="n">
        <v>1144.924075864997</v>
      </c>
      <c r="G57" s="115" t="n"/>
      <c r="H57" s="115" t="n"/>
      <c r="I57" s="115" t="n"/>
      <c r="J57" s="115" t="n"/>
      <c r="K57" s="115" t="n"/>
      <c r="L57" s="115" t="n"/>
      <c r="M57" s="115" t="n"/>
      <c r="N57" s="115" t="n"/>
      <c r="O57" s="115" t="n"/>
      <c r="P57" s="115" t="n"/>
      <c r="Q57" s="115" t="n"/>
      <c r="R57" s="115" t="n"/>
      <c r="S57" s="115" t="n"/>
      <c r="T57" s="65" t="inlineStr">
        <is>
          <t>2022 full year; latest Q1 2023 in R, not annualised.</t>
        </is>
      </c>
      <c r="U57" s="65" t="inlineStr">
        <is>
          <t>https://github.com/Africa-International-Advisors/liq… [N262]</t>
        </is>
      </c>
      <c r="V57" s="65" t="inlineStr">
        <is>
          <t>Sales geography; not automatically consumption geography.</t>
        </is>
      </c>
    </row>
    <row r="58" ht="30" customHeight="1">
      <c r="A58" s="65" t="inlineStr">
        <is>
          <t>Provincial: NC diesel / million L/year</t>
        </is>
      </c>
      <c r="B58" s="65" t="inlineStr">
        <is>
          <t>million L</t>
        </is>
      </c>
      <c r="C58" s="65" t="inlineStr">
        <is>
          <t>Source observation</t>
        </is>
      </c>
      <c r="D58" s="114" t="n">
        <v>88.67814113899999</v>
      </c>
      <c r="E58" s="114" t="inlineStr">
        <is>
          <t>2022 full year. Latest separate value: 2023 Q1 only</t>
        </is>
      </c>
      <c r="F58" s="115" t="n">
        <v>351.9801199100001</v>
      </c>
      <c r="G58" s="115" t="n"/>
      <c r="H58" s="115" t="n"/>
      <c r="I58" s="115" t="n"/>
      <c r="J58" s="115" t="n"/>
      <c r="K58" s="115" t="n"/>
      <c r="L58" s="115" t="n"/>
      <c r="M58" s="115" t="n"/>
      <c r="N58" s="115" t="n"/>
      <c r="O58" s="115" t="n"/>
      <c r="P58" s="115" t="n"/>
      <c r="Q58" s="115" t="n"/>
      <c r="R58" s="115" t="n"/>
      <c r="S58" s="115" t="n"/>
      <c r="T58" s="65" t="inlineStr">
        <is>
          <t>2022 full year; latest Q1 2023 in R, not annualised.</t>
        </is>
      </c>
      <c r="U58" s="65" t="inlineStr">
        <is>
          <t>https://github.com/Africa-International-Advisors/liq… [N263]</t>
        </is>
      </c>
      <c r="V58" s="65" t="inlineStr">
        <is>
          <t>Sales geography; not automatically consumption geography.</t>
        </is>
      </c>
    </row>
    <row r="59" ht="30" customHeight="1">
      <c r="A59" s="65" t="inlineStr">
        <is>
          <t>Provincial: NW diesel / million L/year</t>
        </is>
      </c>
      <c r="B59" s="65" t="inlineStr">
        <is>
          <t>million L</t>
        </is>
      </c>
      <c r="C59" s="65" t="inlineStr">
        <is>
          <t>Source observation</t>
        </is>
      </c>
      <c r="D59" s="114" t="n">
        <v>139.123552485</v>
      </c>
      <c r="E59" s="114" t="inlineStr">
        <is>
          <t>2022 full year. Latest separate value: 2023 Q1 only</t>
        </is>
      </c>
      <c r="F59" s="115" t="n">
        <v>619.906488913</v>
      </c>
      <c r="G59" s="115" t="n"/>
      <c r="H59" s="115" t="n"/>
      <c r="I59" s="115" t="n"/>
      <c r="J59" s="115" t="n"/>
      <c r="K59" s="115" t="n"/>
      <c r="L59" s="115" t="n"/>
      <c r="M59" s="115" t="n"/>
      <c r="N59" s="115" t="n"/>
      <c r="O59" s="115" t="n"/>
      <c r="P59" s="115" t="n"/>
      <c r="Q59" s="115" t="n"/>
      <c r="R59" s="115" t="n"/>
      <c r="S59" s="115" t="n"/>
      <c r="T59" s="65" t="inlineStr">
        <is>
          <t>2022 full year; latest Q1 2023 in R, not annualised.</t>
        </is>
      </c>
      <c r="U59" s="65" t="inlineStr">
        <is>
          <t>https://github.com/Africa-International-Advisors/liq… [N264]</t>
        </is>
      </c>
      <c r="V59" s="65" t="inlineStr">
        <is>
          <t>Sales geography; not automatically consumption geography.</t>
        </is>
      </c>
    </row>
    <row r="60" ht="30" customHeight="1">
      <c r="A60" s="65" t="inlineStr">
        <is>
          <t>Provincial: WC diesel / million L/year</t>
        </is>
      </c>
      <c r="B60" s="65" t="inlineStr">
        <is>
          <t>million L</t>
        </is>
      </c>
      <c r="C60" s="65" t="inlineStr">
        <is>
          <t>Source observation</t>
        </is>
      </c>
      <c r="D60" s="114" t="n">
        <v>741.744138472</v>
      </c>
      <c r="E60" s="114" t="inlineStr">
        <is>
          <t>2022 full year. Latest separate value: 2023 Q1 only</t>
        </is>
      </c>
      <c r="F60" s="115" t="n">
        <v>2499.769547067</v>
      </c>
      <c r="G60" s="115" t="n"/>
      <c r="H60" s="115" t="n"/>
      <c r="I60" s="115" t="n"/>
      <c r="J60" s="115" t="n"/>
      <c r="K60" s="115" t="n"/>
      <c r="L60" s="115" t="n"/>
      <c r="M60" s="115" t="n"/>
      <c r="N60" s="115" t="n"/>
      <c r="O60" s="115" t="n"/>
      <c r="P60" s="115" t="n"/>
      <c r="Q60" s="115" t="n"/>
      <c r="R60" s="115" t="n"/>
      <c r="S60" s="115" t="n"/>
      <c r="T60" s="65" t="inlineStr">
        <is>
          <t>2022 full year; latest Q1 2023 in R, not annualised.</t>
        </is>
      </c>
      <c r="U60" s="65" t="inlineStr">
        <is>
          <t>https://github.com/Africa-International-Advisors/liq… [N265]</t>
        </is>
      </c>
      <c r="V60" s="65" t="inlineStr">
        <is>
          <t>Sales geography; not automatically consumption geography.</t>
        </is>
      </c>
    </row>
    <row r="61" ht="8" customHeight="1">
      <c r="A61" s="3" t="n"/>
      <c r="B61" s="3" t="n"/>
      <c r="C61" s="3" t="n"/>
      <c r="D61" s="121" t="n"/>
      <c r="E61" s="121" t="n"/>
      <c r="F61" s="122" t="n"/>
      <c r="G61" s="122" t="n"/>
      <c r="H61" s="122" t="n"/>
      <c r="I61" s="122" t="n"/>
      <c r="J61" s="122" t="n"/>
      <c r="K61" s="122" t="n"/>
      <c r="L61" s="122" t="n"/>
      <c r="M61" s="122" t="n"/>
      <c r="N61" s="122" t="n"/>
      <c r="O61" s="122" t="n"/>
      <c r="P61" s="122" t="n"/>
      <c r="Q61" s="122" t="n"/>
      <c r="R61" s="122" t="n"/>
      <c r="S61" s="122" t="n"/>
      <c r="T61" s="3" t="n"/>
      <c r="U61" s="3" t="n"/>
      <c r="V61" s="3" t="n"/>
    </row>
    <row r="62" ht="8" customHeight="1">
      <c r="A62" s="3" t="n"/>
      <c r="B62" s="3" t="n"/>
      <c r="C62" s="3" t="n"/>
      <c r="D62" s="121" t="n"/>
      <c r="E62" s="121" t="n"/>
      <c r="F62" s="122" t="n"/>
      <c r="G62" s="122" t="n"/>
      <c r="H62" s="122" t="n"/>
      <c r="I62" s="122" t="n"/>
      <c r="J62" s="122" t="n"/>
      <c r="K62" s="122" t="n"/>
      <c r="L62" s="122" t="n"/>
      <c r="M62" s="122" t="n"/>
      <c r="N62" s="122" t="n"/>
      <c r="O62" s="122" t="n"/>
      <c r="P62" s="122" t="n"/>
      <c r="Q62" s="122" t="n"/>
      <c r="R62" s="122" t="n"/>
      <c r="S62" s="122" t="n"/>
      <c r="T62" s="3" t="n"/>
      <c r="U62" s="3" t="n"/>
      <c r="V62" s="3" t="n"/>
    </row>
    <row r="63" ht="8" customHeight="1">
      <c r="A63" s="3" t="n"/>
      <c r="B63" s="3" t="n"/>
      <c r="C63" s="3" t="n"/>
      <c r="D63" s="121" t="n"/>
      <c r="E63" s="121" t="n"/>
      <c r="F63" s="122" t="n"/>
      <c r="G63" s="122" t="n"/>
      <c r="H63" s="122" t="n"/>
      <c r="I63" s="122" t="n"/>
      <c r="J63" s="122" t="n"/>
      <c r="K63" s="122" t="n"/>
      <c r="L63" s="122" t="n"/>
      <c r="M63" s="122" t="n"/>
      <c r="N63" s="122" t="n"/>
      <c r="O63" s="122" t="n"/>
      <c r="P63" s="122" t="n"/>
      <c r="Q63" s="122" t="n"/>
      <c r="R63" s="122" t="n"/>
      <c r="S63" s="122" t="n"/>
      <c r="T63" s="3" t="n"/>
      <c r="U63" s="3" t="n"/>
      <c r="V63" s="3" t="n"/>
    </row>
    <row r="64" ht="8" customHeight="1">
      <c r="A64" s="3" t="n"/>
      <c r="B64" s="3" t="n"/>
      <c r="C64" s="3" t="n"/>
      <c r="D64" s="121" t="n"/>
      <c r="E64" s="121" t="n"/>
      <c r="F64" s="122" t="n"/>
      <c r="G64" s="122" t="n"/>
      <c r="H64" s="122" t="n"/>
      <c r="I64" s="122" t="n"/>
      <c r="J64" s="122" t="n"/>
      <c r="K64" s="122" t="n"/>
      <c r="L64" s="122" t="n"/>
      <c r="M64" s="122" t="n"/>
      <c r="N64" s="122" t="n"/>
      <c r="O64" s="122" t="n"/>
      <c r="P64" s="122" t="n"/>
      <c r="Q64" s="122" t="n"/>
      <c r="R64" s="122" t="n"/>
      <c r="S64" s="122" t="n"/>
      <c r="T64" s="3" t="n"/>
      <c r="U64" s="3" t="n"/>
      <c r="V64" s="3" t="n"/>
    </row>
    <row r="65" ht="8" customHeight="1">
      <c r="A65" s="3" t="n"/>
      <c r="B65" s="3" t="n"/>
      <c r="C65" s="3" t="n"/>
      <c r="D65" s="121" t="n"/>
      <c r="E65" s="121" t="n"/>
      <c r="F65" s="122" t="n"/>
      <c r="G65" s="122" t="n"/>
      <c r="H65" s="122" t="n"/>
      <c r="I65" s="122" t="n"/>
      <c r="J65" s="122" t="n"/>
      <c r="K65" s="122" t="n"/>
      <c r="L65" s="122" t="n"/>
      <c r="M65" s="122" t="n"/>
      <c r="N65" s="122" t="n"/>
      <c r="O65" s="122" t="n"/>
      <c r="P65" s="122" t="n"/>
      <c r="Q65" s="122" t="n"/>
      <c r="R65" s="122" t="n"/>
      <c r="S65" s="122" t="n"/>
      <c r="T65" s="3" t="n"/>
      <c r="U65" s="3" t="n"/>
      <c r="V65" s="3" t="n"/>
    </row>
    <row r="66" ht="8" customHeight="1">
      <c r="A66" s="3" t="n"/>
      <c r="B66" s="3" t="n"/>
      <c r="C66" s="3" t="n"/>
      <c r="D66" s="121" t="n"/>
      <c r="E66" s="121" t="n"/>
      <c r="F66" s="122" t="n"/>
      <c r="G66" s="122" t="n"/>
      <c r="H66" s="122" t="n"/>
      <c r="I66" s="122" t="n"/>
      <c r="J66" s="122" t="n"/>
      <c r="K66" s="122" t="n"/>
      <c r="L66" s="122" t="n"/>
      <c r="M66" s="122" t="n"/>
      <c r="N66" s="122" t="n"/>
      <c r="O66" s="122" t="n"/>
      <c r="P66" s="122" t="n"/>
      <c r="Q66" s="122" t="n"/>
      <c r="R66" s="122" t="n"/>
      <c r="S66" s="122" t="n"/>
      <c r="T66" s="3" t="n"/>
      <c r="U66" s="3" t="n"/>
      <c r="V66" s="3" t="n"/>
    </row>
    <row r="67" ht="8" customHeight="1">
      <c r="A67" s="3" t="n"/>
      <c r="B67" s="3" t="n"/>
      <c r="C67" s="3" t="n"/>
      <c r="D67" s="121" t="n"/>
      <c r="E67" s="121" t="n"/>
      <c r="F67" s="122" t="n"/>
      <c r="G67" s="122" t="n"/>
      <c r="H67" s="122" t="n"/>
      <c r="I67" s="122" t="n"/>
      <c r="J67" s="122" t="n"/>
      <c r="K67" s="122" t="n"/>
      <c r="L67" s="122" t="n"/>
      <c r="M67" s="122" t="n"/>
      <c r="N67" s="122" t="n"/>
      <c r="O67" s="122" t="n"/>
      <c r="P67" s="122" t="n"/>
      <c r="Q67" s="122" t="n"/>
      <c r="R67" s="122" t="n"/>
      <c r="S67" s="122" t="n"/>
      <c r="T67" s="3" t="n"/>
      <c r="U67" s="3" t="n"/>
      <c r="V67" s="3" t="n"/>
    </row>
    <row r="68" ht="8" customHeight="1">
      <c r="A68" s="3" t="n"/>
      <c r="B68" s="3" t="n"/>
      <c r="C68" s="3" t="n"/>
      <c r="D68" s="121" t="n"/>
      <c r="E68" s="121" t="n"/>
      <c r="F68" s="122" t="n"/>
      <c r="G68" s="122" t="n"/>
      <c r="H68" s="122" t="n"/>
      <c r="I68" s="122" t="n"/>
      <c r="J68" s="122" t="n"/>
      <c r="K68" s="122" t="n"/>
      <c r="L68" s="122" t="n"/>
      <c r="M68" s="122" t="n"/>
      <c r="N68" s="122" t="n"/>
      <c r="O68" s="122" t="n"/>
      <c r="P68" s="122" t="n"/>
      <c r="Q68" s="122" t="n"/>
      <c r="R68" s="122" t="n"/>
      <c r="S68" s="122" t="n"/>
      <c r="T68" s="3" t="n"/>
      <c r="U68" s="3" t="n"/>
      <c r="V68" s="3" t="n"/>
    </row>
    <row r="69" ht="8" customHeight="1">
      <c r="A69" s="3" t="n"/>
      <c r="B69" s="3" t="n"/>
      <c r="C69" s="3" t="n"/>
      <c r="D69" s="121" t="n"/>
      <c r="E69" s="121" t="n"/>
      <c r="F69" s="122" t="n"/>
      <c r="G69" s="122" t="n"/>
      <c r="H69" s="122" t="n"/>
      <c r="I69" s="122" t="n"/>
      <c r="J69" s="122" t="n"/>
      <c r="K69" s="122" t="n"/>
      <c r="L69" s="122" t="n"/>
      <c r="M69" s="122" t="n"/>
      <c r="N69" s="122" t="n"/>
      <c r="O69" s="122" t="n"/>
      <c r="P69" s="122" t="n"/>
      <c r="Q69" s="122" t="n"/>
      <c r="R69" s="122" t="n"/>
      <c r="S69" s="122" t="n"/>
      <c r="T69" s="3" t="n"/>
      <c r="U69" s="3" t="n"/>
      <c r="V69" s="3" t="n"/>
    </row>
    <row r="70" ht="8" customHeight="1">
      <c r="A70" s="3" t="n"/>
      <c r="B70" s="3" t="n"/>
      <c r="C70" s="3" t="n"/>
      <c r="D70" s="121" t="n"/>
      <c r="E70" s="121" t="n"/>
      <c r="F70" s="122" t="n"/>
      <c r="G70" s="122" t="n"/>
      <c r="H70" s="122" t="n"/>
      <c r="I70" s="122" t="n"/>
      <c r="J70" s="122" t="n"/>
      <c r="K70" s="122" t="n"/>
      <c r="L70" s="122" t="n"/>
      <c r="M70" s="122" t="n"/>
      <c r="N70" s="122" t="n"/>
      <c r="O70" s="122" t="n"/>
      <c r="P70" s="122" t="n"/>
      <c r="Q70" s="122" t="n"/>
      <c r="R70" s="122" t="n"/>
      <c r="S70" s="122" t="n"/>
      <c r="T70" s="3" t="n"/>
      <c r="U70" s="3" t="n"/>
      <c r="V70" s="3" t="n"/>
    </row>
    <row r="71" ht="8" customHeight="1">
      <c r="A71" s="3" t="n"/>
      <c r="B71" s="3" t="n"/>
      <c r="C71" s="3" t="n"/>
      <c r="D71" s="121" t="n"/>
      <c r="E71" s="121" t="n"/>
      <c r="F71" s="122" t="n"/>
      <c r="G71" s="122" t="n"/>
      <c r="H71" s="122" t="n"/>
      <c r="I71" s="122" t="n"/>
      <c r="J71" s="122" t="n"/>
      <c r="K71" s="122" t="n"/>
      <c r="L71" s="122" t="n"/>
      <c r="M71" s="122" t="n"/>
      <c r="N71" s="122" t="n"/>
      <c r="O71" s="122" t="n"/>
      <c r="P71" s="122" t="n"/>
      <c r="Q71" s="122" t="n"/>
      <c r="R71" s="122" t="n"/>
      <c r="S71" s="122" t="n"/>
      <c r="T71" s="3" t="n"/>
      <c r="U71" s="3" t="n"/>
      <c r="V71" s="3" t="n"/>
    </row>
    <row r="72" ht="8" customHeight="1">
      <c r="A72" s="3" t="n"/>
      <c r="B72" s="3" t="n"/>
      <c r="C72" s="3" t="n"/>
      <c r="D72" s="121" t="n"/>
      <c r="E72" s="121" t="n"/>
      <c r="F72" s="122" t="n"/>
      <c r="G72" s="122" t="n"/>
      <c r="H72" s="122" t="n"/>
      <c r="I72" s="122" t="n"/>
      <c r="J72" s="122" t="n"/>
      <c r="K72" s="122" t="n"/>
      <c r="L72" s="122" t="n"/>
      <c r="M72" s="122" t="n"/>
      <c r="N72" s="122" t="n"/>
      <c r="O72" s="122" t="n"/>
      <c r="P72" s="122" t="n"/>
      <c r="Q72" s="122" t="n"/>
      <c r="R72" s="122" t="n"/>
      <c r="S72" s="122" t="n"/>
      <c r="T72" s="3" t="n"/>
      <c r="U72" s="3" t="n"/>
      <c r="V72" s="3" t="n"/>
    </row>
    <row r="73" ht="8" customHeight="1">
      <c r="A73" s="3" t="n"/>
      <c r="B73" s="3" t="n"/>
      <c r="C73" s="3" t="n"/>
      <c r="D73" s="121" t="n"/>
      <c r="E73" s="121" t="n"/>
      <c r="F73" s="122" t="n"/>
      <c r="G73" s="122" t="n"/>
      <c r="H73" s="122" t="n"/>
      <c r="I73" s="122" t="n"/>
      <c r="J73" s="122" t="n"/>
      <c r="K73" s="122" t="n"/>
      <c r="L73" s="122" t="n"/>
      <c r="M73" s="122" t="n"/>
      <c r="N73" s="122" t="n"/>
      <c r="O73" s="122" t="n"/>
      <c r="P73" s="122" t="n"/>
      <c r="Q73" s="122" t="n"/>
      <c r="R73" s="122" t="n"/>
      <c r="S73" s="122" t="n"/>
      <c r="T73" s="3" t="n"/>
      <c r="U73" s="3" t="n"/>
      <c r="V73" s="3" t="n"/>
    </row>
    <row r="74" ht="8" customHeight="1">
      <c r="A74" s="3" t="n"/>
      <c r="B74" s="3" t="n"/>
      <c r="C74" s="3" t="n"/>
      <c r="D74" s="121" t="n"/>
      <c r="E74" s="121" t="n"/>
      <c r="F74" s="122" t="n"/>
      <c r="G74" s="122" t="n"/>
      <c r="H74" s="122" t="n"/>
      <c r="I74" s="122" t="n"/>
      <c r="J74" s="122" t="n"/>
      <c r="K74" s="122" t="n"/>
      <c r="L74" s="122" t="n"/>
      <c r="M74" s="122" t="n"/>
      <c r="N74" s="122" t="n"/>
      <c r="O74" s="122" t="n"/>
      <c r="P74" s="122" t="n"/>
      <c r="Q74" s="122" t="n"/>
      <c r="R74" s="122" t="n"/>
      <c r="S74" s="122" t="n"/>
      <c r="T74" s="3" t="n"/>
      <c r="U74" s="3" t="n"/>
      <c r="V74" s="3" t="n"/>
    </row>
    <row r="75" ht="8" customHeight="1">
      <c r="A75" s="3" t="n"/>
      <c r="B75" s="3" t="n"/>
      <c r="C75" s="3" t="n"/>
      <c r="D75" s="121" t="n"/>
      <c r="E75" s="121" t="n"/>
      <c r="F75" s="122" t="n"/>
      <c r="G75" s="122" t="n"/>
      <c r="H75" s="122" t="n"/>
      <c r="I75" s="122" t="n"/>
      <c r="J75" s="122" t="n"/>
      <c r="K75" s="122" t="n"/>
      <c r="L75" s="122" t="n"/>
      <c r="M75" s="122" t="n"/>
      <c r="N75" s="122" t="n"/>
      <c r="O75" s="122" t="n"/>
      <c r="P75" s="122" t="n"/>
      <c r="Q75" s="122" t="n"/>
      <c r="R75" s="122" t="n"/>
      <c r="S75" s="122" t="n"/>
      <c r="T75" s="3" t="n"/>
      <c r="U75" s="3" t="n"/>
      <c r="V75" s="3" t="n"/>
    </row>
    <row r="76" ht="8" customHeight="1">
      <c r="A76" s="3" t="n"/>
      <c r="B76" s="3" t="n"/>
      <c r="C76" s="3" t="n"/>
      <c r="D76" s="121" t="n"/>
      <c r="E76" s="121" t="n"/>
      <c r="F76" s="122" t="n"/>
      <c r="G76" s="122" t="n"/>
      <c r="H76" s="122" t="n"/>
      <c r="I76" s="122" t="n"/>
      <c r="J76" s="122" t="n"/>
      <c r="K76" s="122" t="n"/>
      <c r="L76" s="122" t="n"/>
      <c r="M76" s="122" t="n"/>
      <c r="N76" s="122" t="n"/>
      <c r="O76" s="122" t="n"/>
      <c r="P76" s="122" t="n"/>
      <c r="Q76" s="122" t="n"/>
      <c r="R76" s="122" t="n"/>
      <c r="S76" s="122" t="n"/>
      <c r="T76" s="3" t="n"/>
      <c r="U76" s="3" t="n"/>
      <c r="V76" s="3" t="n"/>
    </row>
    <row r="77" ht="8" customHeight="1">
      <c r="A77" s="3" t="n"/>
      <c r="B77" s="3" t="n"/>
      <c r="C77" s="3" t="n"/>
      <c r="D77" s="121" t="n"/>
      <c r="E77" s="121" t="n"/>
      <c r="F77" s="122" t="n"/>
      <c r="G77" s="122" t="n"/>
      <c r="H77" s="122" t="n"/>
      <c r="I77" s="122" t="n"/>
      <c r="J77" s="122" t="n"/>
      <c r="K77" s="122" t="n"/>
      <c r="L77" s="122" t="n"/>
      <c r="M77" s="122" t="n"/>
      <c r="N77" s="122" t="n"/>
      <c r="O77" s="122" t="n"/>
      <c r="P77" s="122" t="n"/>
      <c r="Q77" s="122" t="n"/>
      <c r="R77" s="122" t="n"/>
      <c r="S77" s="122" t="n"/>
      <c r="T77" s="3" t="n"/>
      <c r="U77" s="3" t="n"/>
      <c r="V77" s="3" t="n"/>
    </row>
    <row r="78" ht="8" customHeight="1">
      <c r="A78" s="3" t="n"/>
      <c r="B78" s="3" t="n"/>
      <c r="C78" s="3" t="n"/>
      <c r="D78" s="121" t="n"/>
      <c r="E78" s="121" t="n"/>
      <c r="F78" s="122" t="n"/>
      <c r="G78" s="122" t="n"/>
      <c r="H78" s="122" t="n"/>
      <c r="I78" s="122" t="n"/>
      <c r="J78" s="122" t="n"/>
      <c r="K78" s="122" t="n"/>
      <c r="L78" s="122" t="n"/>
      <c r="M78" s="122" t="n"/>
      <c r="N78" s="122" t="n"/>
      <c r="O78" s="122" t="n"/>
      <c r="P78" s="122" t="n"/>
      <c r="Q78" s="122" t="n"/>
      <c r="R78" s="122" t="n"/>
      <c r="S78" s="122" t="n"/>
      <c r="T78" s="3" t="n"/>
      <c r="U78" s="3" t="n"/>
      <c r="V78" s="3" t="n"/>
    </row>
    <row r="79" ht="8" customHeight="1">
      <c r="A79" s="3" t="n"/>
      <c r="B79" s="3" t="n"/>
      <c r="C79" s="3" t="n"/>
      <c r="D79" s="121" t="n"/>
      <c r="E79" s="121" t="n"/>
      <c r="F79" s="122" t="n"/>
      <c r="G79" s="122" t="n"/>
      <c r="H79" s="122" t="n"/>
      <c r="I79" s="122" t="n"/>
      <c r="J79" s="122" t="n"/>
      <c r="K79" s="122" t="n"/>
      <c r="L79" s="122" t="n"/>
      <c r="M79" s="122" t="n"/>
      <c r="N79" s="122" t="n"/>
      <c r="O79" s="122" t="n"/>
      <c r="P79" s="122" t="n"/>
      <c r="Q79" s="122" t="n"/>
      <c r="R79" s="122" t="n"/>
      <c r="S79" s="122" t="n"/>
      <c r="T79" s="3" t="n"/>
      <c r="U79" s="3" t="n"/>
      <c r="V79" s="3" t="n"/>
    </row>
    <row r="80" ht="8" customHeight="1">
      <c r="A80" s="3" t="n"/>
      <c r="B80" s="3" t="n"/>
      <c r="C80" s="3" t="n"/>
      <c r="D80" s="121" t="n"/>
      <c r="E80" s="121" t="n"/>
      <c r="F80" s="122" t="n"/>
      <c r="G80" s="122" t="n"/>
      <c r="H80" s="122" t="n"/>
      <c r="I80" s="122" t="n"/>
      <c r="J80" s="122" t="n"/>
      <c r="K80" s="122" t="n"/>
      <c r="L80" s="122" t="n"/>
      <c r="M80" s="122" t="n"/>
      <c r="N80" s="122" t="n"/>
      <c r="O80" s="122" t="n"/>
      <c r="P80" s="122" t="n"/>
      <c r="Q80" s="122" t="n"/>
      <c r="R80" s="122" t="n"/>
      <c r="S80" s="122" t="n"/>
      <c r="T80" s="3" t="n"/>
      <c r="U80" s="3" t="n"/>
      <c r="V80" s="3" t="n"/>
    </row>
    <row r="81" ht="8" customHeight="1">
      <c r="A81" s="3" t="n"/>
      <c r="B81" s="3" t="n"/>
      <c r="C81" s="3" t="n"/>
      <c r="D81" s="121" t="n"/>
      <c r="E81" s="121" t="n"/>
      <c r="F81" s="122" t="n"/>
      <c r="G81" s="122" t="n"/>
      <c r="H81" s="122" t="n"/>
      <c r="I81" s="122" t="n"/>
      <c r="J81" s="122" t="n"/>
      <c r="K81" s="122" t="n"/>
      <c r="L81" s="122" t="n"/>
      <c r="M81" s="122" t="n"/>
      <c r="N81" s="122" t="n"/>
      <c r="O81" s="122" t="n"/>
      <c r="P81" s="122" t="n"/>
      <c r="Q81" s="122" t="n"/>
      <c r="R81" s="122" t="n"/>
      <c r="S81" s="122" t="n"/>
      <c r="T81" s="3" t="n"/>
      <c r="U81" s="3" t="n"/>
      <c r="V81" s="3" t="n"/>
    </row>
    <row r="82" ht="8" customHeight="1">
      <c r="A82" s="3" t="n"/>
      <c r="B82" s="3" t="n"/>
      <c r="C82" s="3" t="n"/>
      <c r="D82" s="121" t="n"/>
      <c r="E82" s="121" t="n"/>
      <c r="F82" s="122" t="n"/>
      <c r="G82" s="122" t="n"/>
      <c r="H82" s="122" t="n"/>
      <c r="I82" s="122" t="n"/>
      <c r="J82" s="122" t="n"/>
      <c r="K82" s="122" t="n"/>
      <c r="L82" s="122" t="n"/>
      <c r="M82" s="122" t="n"/>
      <c r="N82" s="122" t="n"/>
      <c r="O82" s="122" t="n"/>
      <c r="P82" s="122" t="n"/>
      <c r="Q82" s="122" t="n"/>
      <c r="R82" s="122" t="n"/>
      <c r="S82" s="122" t="n"/>
      <c r="T82" s="3" t="n"/>
      <c r="U82" s="3" t="n"/>
      <c r="V82" s="3" t="n"/>
    </row>
    <row r="83" ht="8" customHeight="1">
      <c r="A83" s="3" t="n"/>
      <c r="B83" s="3" t="n"/>
      <c r="C83" s="3" t="n"/>
      <c r="D83" s="121" t="n"/>
      <c r="E83" s="121" t="n"/>
      <c r="F83" s="122" t="n"/>
      <c r="G83" s="122" t="n"/>
      <c r="H83" s="122" t="n"/>
      <c r="I83" s="122" t="n"/>
      <c r="J83" s="122" t="n"/>
      <c r="K83" s="122" t="n"/>
      <c r="L83" s="122" t="n"/>
      <c r="M83" s="122" t="n"/>
      <c r="N83" s="122" t="n"/>
      <c r="O83" s="122" t="n"/>
      <c r="P83" s="122" t="n"/>
      <c r="Q83" s="122" t="n"/>
      <c r="R83" s="122" t="n"/>
      <c r="S83" s="122" t="n"/>
      <c r="T83" s="3" t="n"/>
      <c r="U83" s="3" t="n"/>
      <c r="V83" s="3" t="n"/>
    </row>
    <row r="84" ht="8" customHeight="1">
      <c r="A84" s="3" t="n"/>
      <c r="B84" s="3" t="n"/>
      <c r="C84" s="3" t="n"/>
      <c r="D84" s="121" t="n"/>
      <c r="E84" s="121" t="n"/>
      <c r="F84" s="122" t="n"/>
      <c r="G84" s="122" t="n"/>
      <c r="H84" s="122" t="n"/>
      <c r="I84" s="122" t="n"/>
      <c r="J84" s="122" t="n"/>
      <c r="K84" s="122" t="n"/>
      <c r="L84" s="122" t="n"/>
      <c r="M84" s="122" t="n"/>
      <c r="N84" s="122" t="n"/>
      <c r="O84" s="122" t="n"/>
      <c r="P84" s="122" t="n"/>
      <c r="Q84" s="122" t="n"/>
      <c r="R84" s="122" t="n"/>
      <c r="S84" s="122" t="n"/>
      <c r="T84" s="3" t="n"/>
      <c r="U84" s="3" t="n"/>
      <c r="V84" s="3" t="n"/>
    </row>
    <row r="85" ht="8" customHeight="1">
      <c r="A85" s="3" t="n"/>
      <c r="B85" s="3" t="n"/>
      <c r="C85" s="3" t="n"/>
      <c r="D85" s="121" t="n"/>
      <c r="E85" s="121" t="n"/>
      <c r="F85" s="122" t="n"/>
      <c r="G85" s="122" t="n"/>
      <c r="H85" s="122" t="n"/>
      <c r="I85" s="122" t="n"/>
      <c r="J85" s="122" t="n"/>
      <c r="K85" s="122" t="n"/>
      <c r="L85" s="122" t="n"/>
      <c r="M85" s="122" t="n"/>
      <c r="N85" s="122" t="n"/>
      <c r="O85" s="122" t="n"/>
      <c r="P85" s="122" t="n"/>
      <c r="Q85" s="122" t="n"/>
      <c r="R85" s="122" t="n"/>
      <c r="S85" s="122" t="n"/>
      <c r="T85" s="3" t="n"/>
      <c r="U85" s="3" t="n"/>
      <c r="V85" s="3" t="n"/>
    </row>
    <row r="86" ht="8" customHeight="1">
      <c r="A86" s="3" t="n"/>
      <c r="B86" s="3" t="n"/>
      <c r="C86" s="3" t="n"/>
      <c r="D86" s="121" t="n"/>
      <c r="E86" s="121" t="n"/>
      <c r="F86" s="122" t="n"/>
      <c r="G86" s="122" t="n"/>
      <c r="H86" s="122" t="n"/>
      <c r="I86" s="122" t="n"/>
      <c r="J86" s="122" t="n"/>
      <c r="K86" s="122" t="n"/>
      <c r="L86" s="122" t="n"/>
      <c r="M86" s="122" t="n"/>
      <c r="N86" s="122" t="n"/>
      <c r="O86" s="122" t="n"/>
      <c r="P86" s="122" t="n"/>
      <c r="Q86" s="122" t="n"/>
      <c r="R86" s="122" t="n"/>
      <c r="S86" s="122" t="n"/>
      <c r="T86" s="3" t="n"/>
      <c r="U86" s="3" t="n"/>
      <c r="V86" s="3" t="n"/>
    </row>
    <row r="87" ht="8" customHeight="1">
      <c r="A87" s="3" t="n"/>
      <c r="B87" s="3" t="n"/>
      <c r="C87" s="3" t="n"/>
      <c r="D87" s="121" t="n"/>
      <c r="E87" s="121" t="n"/>
      <c r="F87" s="122" t="n"/>
      <c r="G87" s="122" t="n"/>
      <c r="H87" s="122" t="n"/>
      <c r="I87" s="122" t="n"/>
      <c r="J87" s="122" t="n"/>
      <c r="K87" s="122" t="n"/>
      <c r="L87" s="122" t="n"/>
      <c r="M87" s="122" t="n"/>
      <c r="N87" s="122" t="n"/>
      <c r="O87" s="122" t="n"/>
      <c r="P87" s="122" t="n"/>
      <c r="Q87" s="122" t="n"/>
      <c r="R87" s="122" t="n"/>
      <c r="S87" s="122" t="n"/>
      <c r="T87" s="3" t="n"/>
      <c r="U87" s="3" t="n"/>
      <c r="V87" s="3" t="n"/>
    </row>
    <row r="88" ht="8" customHeight="1">
      <c r="A88" s="3" t="n"/>
      <c r="B88" s="3" t="n"/>
      <c r="C88" s="3" t="n"/>
      <c r="D88" s="121" t="n"/>
      <c r="E88" s="121" t="n"/>
      <c r="F88" s="122" t="n"/>
      <c r="G88" s="122" t="n"/>
      <c r="H88" s="122" t="n"/>
      <c r="I88" s="122" t="n"/>
      <c r="J88" s="122" t="n"/>
      <c r="K88" s="122" t="n"/>
      <c r="L88" s="122" t="n"/>
      <c r="M88" s="122" t="n"/>
      <c r="N88" s="122" t="n"/>
      <c r="O88" s="122" t="n"/>
      <c r="P88" s="122" t="n"/>
      <c r="Q88" s="122" t="n"/>
      <c r="R88" s="122" t="n"/>
      <c r="S88" s="122" t="n"/>
      <c r="T88" s="3" t="n"/>
      <c r="U88" s="3" t="n"/>
      <c r="V88" s="3" t="n"/>
    </row>
    <row r="89" ht="8" customHeight="1">
      <c r="A89" s="3" t="n"/>
      <c r="B89" s="3" t="n"/>
      <c r="C89" s="3" t="n"/>
      <c r="D89" s="121" t="n"/>
      <c r="E89" s="121" t="n"/>
      <c r="F89" s="122" t="n"/>
      <c r="G89" s="122" t="n"/>
      <c r="H89" s="122" t="n"/>
      <c r="I89" s="122" t="n"/>
      <c r="J89" s="122" t="n"/>
      <c r="K89" s="122" t="n"/>
      <c r="L89" s="122" t="n"/>
      <c r="M89" s="122" t="n"/>
      <c r="N89" s="122" t="n"/>
      <c r="O89" s="122" t="n"/>
      <c r="P89" s="122" t="n"/>
      <c r="Q89" s="122" t="n"/>
      <c r="R89" s="122" t="n"/>
      <c r="S89" s="122" t="n"/>
      <c r="T89" s="3" t="n"/>
      <c r="U89" s="3" t="n"/>
      <c r="V89" s="3" t="n"/>
    </row>
    <row r="90" ht="8" customHeight="1">
      <c r="A90" s="3" t="n"/>
      <c r="B90" s="3" t="n"/>
      <c r="C90" s="3" t="n"/>
      <c r="D90" s="121" t="n"/>
      <c r="E90" s="121" t="n"/>
      <c r="F90" s="122" t="n"/>
      <c r="G90" s="122" t="n"/>
      <c r="H90" s="122" t="n"/>
      <c r="I90" s="122" t="n"/>
      <c r="J90" s="122" t="n"/>
      <c r="K90" s="122" t="n"/>
      <c r="L90" s="122" t="n"/>
      <c r="M90" s="122" t="n"/>
      <c r="N90" s="122" t="n"/>
      <c r="O90" s="122" t="n"/>
      <c r="P90" s="122" t="n"/>
      <c r="Q90" s="122" t="n"/>
      <c r="R90" s="122" t="n"/>
      <c r="S90" s="122" t="n"/>
      <c r="T90" s="3" t="n"/>
      <c r="U90" s="3" t="n"/>
      <c r="V90" s="3" t="n"/>
    </row>
    <row r="91" ht="8" customHeight="1">
      <c r="A91" s="3" t="n"/>
      <c r="B91" s="3" t="n"/>
      <c r="C91" s="3" t="n"/>
      <c r="D91" s="121" t="n"/>
      <c r="E91" s="121" t="n"/>
      <c r="F91" s="122" t="n"/>
      <c r="G91" s="122" t="n"/>
      <c r="H91" s="122" t="n"/>
      <c r="I91" s="122" t="n"/>
      <c r="J91" s="122" t="n"/>
      <c r="K91" s="122" t="n"/>
      <c r="L91" s="122" t="n"/>
      <c r="M91" s="122" t="n"/>
      <c r="N91" s="122" t="n"/>
      <c r="O91" s="122" t="n"/>
      <c r="P91" s="122" t="n"/>
      <c r="Q91" s="122" t="n"/>
      <c r="R91" s="122" t="n"/>
      <c r="S91" s="122" t="n"/>
      <c r="T91" s="3" t="n"/>
      <c r="U91" s="3" t="n"/>
      <c r="V91" s="3" t="n"/>
    </row>
    <row r="92" ht="8" customHeight="1">
      <c r="A92" s="3" t="n"/>
      <c r="B92" s="3" t="n"/>
      <c r="C92" s="3" t="n"/>
      <c r="D92" s="121" t="n"/>
      <c r="E92" s="121" t="n"/>
      <c r="F92" s="122" t="n"/>
      <c r="G92" s="122" t="n"/>
      <c r="H92" s="122" t="n"/>
      <c r="I92" s="122" t="n"/>
      <c r="J92" s="122" t="n"/>
      <c r="K92" s="122" t="n"/>
      <c r="L92" s="122" t="n"/>
      <c r="M92" s="122" t="n"/>
      <c r="N92" s="122" t="n"/>
      <c r="O92" s="122" t="n"/>
      <c r="P92" s="122" t="n"/>
      <c r="Q92" s="122" t="n"/>
      <c r="R92" s="122" t="n"/>
      <c r="S92" s="122" t="n"/>
      <c r="T92" s="3" t="n"/>
      <c r="U92" s="3" t="n"/>
      <c r="V92" s="3" t="n"/>
    </row>
    <row r="93" ht="8" customHeight="1">
      <c r="A93" s="3" t="n"/>
      <c r="B93" s="3" t="n"/>
      <c r="C93" s="3" t="n"/>
      <c r="D93" s="121" t="n"/>
      <c r="E93" s="121" t="n"/>
      <c r="F93" s="122" t="n"/>
      <c r="G93" s="122" t="n"/>
      <c r="H93" s="122" t="n"/>
      <c r="I93" s="122" t="n"/>
      <c r="J93" s="122" t="n"/>
      <c r="K93" s="122" t="n"/>
      <c r="L93" s="122" t="n"/>
      <c r="M93" s="122" t="n"/>
      <c r="N93" s="122" t="n"/>
      <c r="O93" s="122" t="n"/>
      <c r="P93" s="122" t="n"/>
      <c r="Q93" s="122" t="n"/>
      <c r="R93" s="122" t="n"/>
      <c r="S93" s="122" t="n"/>
      <c r="T93" s="3" t="n"/>
      <c r="U93" s="3" t="n"/>
      <c r="V93" s="3" t="n"/>
    </row>
    <row r="94" ht="8" customHeight="1">
      <c r="A94" s="3" t="n"/>
      <c r="B94" s="3" t="n"/>
      <c r="C94" s="3" t="n"/>
      <c r="D94" s="121" t="n"/>
      <c r="E94" s="121" t="n"/>
      <c r="F94" s="122" t="n"/>
      <c r="G94" s="122" t="n"/>
      <c r="H94" s="122" t="n"/>
      <c r="I94" s="122" t="n"/>
      <c r="J94" s="122" t="n"/>
      <c r="K94" s="122" t="n"/>
      <c r="L94" s="122" t="n"/>
      <c r="M94" s="122" t="n"/>
      <c r="N94" s="122" t="n"/>
      <c r="O94" s="122" t="n"/>
      <c r="P94" s="122" t="n"/>
      <c r="Q94" s="122" t="n"/>
      <c r="R94" s="122" t="n"/>
      <c r="S94" s="122" t="n"/>
      <c r="T94" s="3" t="n"/>
      <c r="U94" s="3" t="n"/>
      <c r="V94" s="3" t="n"/>
    </row>
    <row r="95" ht="8" customHeight="1">
      <c r="A95" s="3" t="n"/>
      <c r="B95" s="3" t="n"/>
      <c r="C95" s="3" t="n"/>
      <c r="D95" s="121" t="n"/>
      <c r="E95" s="121" t="n"/>
      <c r="F95" s="122" t="n"/>
      <c r="G95" s="122" t="n"/>
      <c r="H95" s="122" t="n"/>
      <c r="I95" s="122" t="n"/>
      <c r="J95" s="122" t="n"/>
      <c r="K95" s="122" t="n"/>
      <c r="L95" s="122" t="n"/>
      <c r="M95" s="122" t="n"/>
      <c r="N95" s="122" t="n"/>
      <c r="O95" s="122" t="n"/>
      <c r="P95" s="122" t="n"/>
      <c r="Q95" s="122" t="n"/>
      <c r="R95" s="122" t="n"/>
      <c r="S95" s="122" t="n"/>
      <c r="T95" s="3" t="n"/>
      <c r="U95" s="3" t="n"/>
      <c r="V95" s="3" t="n"/>
    </row>
    <row r="96" ht="8" customHeight="1">
      <c r="A96" s="3" t="n"/>
      <c r="B96" s="3" t="n"/>
      <c r="C96" s="3" t="n"/>
      <c r="D96" s="121" t="n"/>
      <c r="E96" s="121" t="n"/>
      <c r="F96" s="122" t="n"/>
      <c r="G96" s="122" t="n"/>
      <c r="H96" s="122" t="n"/>
      <c r="I96" s="122" t="n"/>
      <c r="J96" s="122" t="n"/>
      <c r="K96" s="122" t="n"/>
      <c r="L96" s="122" t="n"/>
      <c r="M96" s="122" t="n"/>
      <c r="N96" s="122" t="n"/>
      <c r="O96" s="122" t="n"/>
      <c r="P96" s="122" t="n"/>
      <c r="Q96" s="122" t="n"/>
      <c r="R96" s="122" t="n"/>
      <c r="S96" s="122" t="n"/>
      <c r="T96" s="3" t="n"/>
      <c r="U96" s="3" t="n"/>
      <c r="V96" s="3" t="n"/>
    </row>
    <row r="97" ht="8" customHeight="1">
      <c r="A97" s="3" t="n"/>
      <c r="B97" s="3" t="n"/>
      <c r="C97" s="3" t="n"/>
      <c r="D97" s="121" t="n"/>
      <c r="E97" s="121" t="n"/>
      <c r="F97" s="122" t="n"/>
      <c r="G97" s="122" t="n"/>
      <c r="H97" s="122" t="n"/>
      <c r="I97" s="122" t="n"/>
      <c r="J97" s="122" t="n"/>
      <c r="K97" s="122" t="n"/>
      <c r="L97" s="122" t="n"/>
      <c r="M97" s="122" t="n"/>
      <c r="N97" s="122" t="n"/>
      <c r="O97" s="122" t="n"/>
      <c r="P97" s="122" t="n"/>
      <c r="Q97" s="122" t="n"/>
      <c r="R97" s="122" t="n"/>
      <c r="S97" s="122" t="n"/>
      <c r="T97" s="3" t="n"/>
      <c r="U97" s="3" t="n"/>
      <c r="V97" s="3" t="n"/>
    </row>
    <row r="98" ht="8" customHeight="1">
      <c r="A98" s="3" t="n"/>
      <c r="B98" s="3" t="n"/>
      <c r="C98" s="3" t="n"/>
      <c r="D98" s="121" t="n"/>
      <c r="E98" s="121" t="n"/>
      <c r="F98" s="122" t="n"/>
      <c r="G98" s="122" t="n"/>
      <c r="H98" s="122" t="n"/>
      <c r="I98" s="122" t="n"/>
      <c r="J98" s="122" t="n"/>
      <c r="K98" s="122" t="n"/>
      <c r="L98" s="122" t="n"/>
      <c r="M98" s="122" t="n"/>
      <c r="N98" s="122" t="n"/>
      <c r="O98" s="122" t="n"/>
      <c r="P98" s="122" t="n"/>
      <c r="Q98" s="122" t="n"/>
      <c r="R98" s="122" t="n"/>
      <c r="S98" s="122" t="n"/>
      <c r="T98" s="3" t="n"/>
      <c r="U98" s="3" t="n"/>
      <c r="V98" s="3" t="n"/>
    </row>
    <row r="99" ht="8" customHeight="1">
      <c r="A99" s="3" t="n"/>
      <c r="B99" s="3" t="n"/>
      <c r="C99" s="3" t="n"/>
      <c r="D99" s="121" t="n"/>
      <c r="E99" s="121" t="n"/>
      <c r="F99" s="122" t="n"/>
      <c r="G99" s="122" t="n"/>
      <c r="H99" s="122" t="n"/>
      <c r="I99" s="122" t="n"/>
      <c r="J99" s="122" t="n"/>
      <c r="K99" s="122" t="n"/>
      <c r="L99" s="122" t="n"/>
      <c r="M99" s="122" t="n"/>
      <c r="N99" s="122" t="n"/>
      <c r="O99" s="122" t="n"/>
      <c r="P99" s="122" t="n"/>
      <c r="Q99" s="122" t="n"/>
      <c r="R99" s="122" t="n"/>
      <c r="S99" s="122" t="n"/>
      <c r="T99" s="3" t="n"/>
      <c r="U99" s="3" t="n"/>
      <c r="V99" s="3" t="n"/>
    </row>
    <row r="100" ht="8" customHeight="1">
      <c r="A100" s="3" t="n"/>
      <c r="B100" s="3" t="n"/>
      <c r="C100" s="3" t="n"/>
      <c r="D100" s="121" t="n"/>
      <c r="E100" s="121" t="n"/>
      <c r="F100" s="122" t="n"/>
      <c r="G100" s="122" t="n"/>
      <c r="H100" s="122" t="n"/>
      <c r="I100" s="122" t="n"/>
      <c r="J100" s="122" t="n"/>
      <c r="K100" s="122" t="n"/>
      <c r="L100" s="122" t="n"/>
      <c r="M100" s="122" t="n"/>
      <c r="N100" s="122" t="n"/>
      <c r="O100" s="122" t="n"/>
      <c r="P100" s="122" t="n"/>
      <c r="Q100" s="122" t="n"/>
      <c r="R100" s="122" t="n"/>
      <c r="S100" s="122" t="n"/>
      <c r="T100" s="3" t="n"/>
      <c r="U100" s="3" t="n"/>
      <c r="V100" s="3" t="n"/>
    </row>
    <row r="101" ht="8" customHeight="1">
      <c r="A101" s="3" t="n"/>
      <c r="B101" s="3" t="n"/>
      <c r="C101" s="3" t="n"/>
      <c r="D101" s="121" t="n"/>
      <c r="E101" s="121" t="n"/>
      <c r="F101" s="122" t="n"/>
      <c r="G101" s="122" t="n"/>
      <c r="H101" s="122" t="n"/>
      <c r="I101" s="122" t="n"/>
      <c r="J101" s="122" t="n"/>
      <c r="K101" s="122" t="n"/>
      <c r="L101" s="122" t="n"/>
      <c r="M101" s="122" t="n"/>
      <c r="N101" s="122" t="n"/>
      <c r="O101" s="122" t="n"/>
      <c r="P101" s="122" t="n"/>
      <c r="Q101" s="122" t="n"/>
      <c r="R101" s="122" t="n"/>
      <c r="S101" s="122" t="n"/>
      <c r="T101" s="3" t="n"/>
      <c r="U101" s="3" t="n"/>
      <c r="V101" s="3" t="n"/>
    </row>
    <row r="102" ht="8" customHeight="1">
      <c r="A102" s="3" t="n"/>
      <c r="B102" s="3" t="n"/>
      <c r="C102" s="3" t="n"/>
      <c r="D102" s="121" t="n"/>
      <c r="E102" s="121" t="n"/>
      <c r="F102" s="122" t="n"/>
      <c r="G102" s="122" t="n"/>
      <c r="H102" s="122" t="n"/>
      <c r="I102" s="122" t="n"/>
      <c r="J102" s="122" t="n"/>
      <c r="K102" s="122" t="n"/>
      <c r="L102" s="122" t="n"/>
      <c r="M102" s="122" t="n"/>
      <c r="N102" s="122" t="n"/>
      <c r="O102" s="122" t="n"/>
      <c r="P102" s="122" t="n"/>
      <c r="Q102" s="122" t="n"/>
      <c r="R102" s="122" t="n"/>
      <c r="S102" s="122" t="n"/>
      <c r="T102" s="3" t="n"/>
      <c r="U102" s="3" t="n"/>
      <c r="V102" s="3" t="n"/>
    </row>
    <row r="103" ht="8" customHeight="1">
      <c r="A103" s="3" t="n"/>
      <c r="B103" s="3" t="n"/>
      <c r="C103" s="3" t="n"/>
      <c r="D103" s="121" t="n"/>
      <c r="E103" s="121" t="n"/>
      <c r="F103" s="122" t="n"/>
      <c r="G103" s="122" t="n"/>
      <c r="H103" s="122" t="n"/>
      <c r="I103" s="122" t="n"/>
      <c r="J103" s="122" t="n"/>
      <c r="K103" s="122" t="n"/>
      <c r="L103" s="122" t="n"/>
      <c r="M103" s="122" t="n"/>
      <c r="N103" s="122" t="n"/>
      <c r="O103" s="122" t="n"/>
      <c r="P103" s="122" t="n"/>
      <c r="Q103" s="122" t="n"/>
      <c r="R103" s="122" t="n"/>
      <c r="S103" s="122" t="n"/>
      <c r="T103" s="3" t="n"/>
      <c r="U103" s="3" t="n"/>
      <c r="V103" s="3" t="n"/>
    </row>
    <row r="104" ht="8" customHeight="1">
      <c r="A104" s="3" t="n"/>
      <c r="B104" s="3" t="n"/>
      <c r="C104" s="3" t="n"/>
      <c r="D104" s="121" t="n"/>
      <c r="E104" s="121" t="n"/>
      <c r="F104" s="122" t="n"/>
      <c r="G104" s="122" t="n"/>
      <c r="H104" s="122" t="n"/>
      <c r="I104" s="122" t="n"/>
      <c r="J104" s="122" t="n"/>
      <c r="K104" s="122" t="n"/>
      <c r="L104" s="122" t="n"/>
      <c r="M104" s="122" t="n"/>
      <c r="N104" s="122" t="n"/>
      <c r="O104" s="122" t="n"/>
      <c r="P104" s="122" t="n"/>
      <c r="Q104" s="122" t="n"/>
      <c r="R104" s="122" t="n"/>
      <c r="S104" s="122" t="n"/>
      <c r="T104" s="3" t="n"/>
      <c r="U104" s="3" t="n"/>
      <c r="V104" s="3" t="n"/>
    </row>
    <row r="105" ht="8" customHeight="1">
      <c r="A105" s="3" t="n"/>
      <c r="B105" s="3" t="n"/>
      <c r="C105" s="3" t="n"/>
      <c r="D105" s="121" t="n"/>
      <c r="E105" s="121" t="n"/>
      <c r="F105" s="122" t="n"/>
      <c r="G105" s="122" t="n"/>
      <c r="H105" s="122" t="n"/>
      <c r="I105" s="122" t="n"/>
      <c r="J105" s="122" t="n"/>
      <c r="K105" s="122" t="n"/>
      <c r="L105" s="122" t="n"/>
      <c r="M105" s="122" t="n"/>
      <c r="N105" s="122" t="n"/>
      <c r="O105" s="122" t="n"/>
      <c r="P105" s="122" t="n"/>
      <c r="Q105" s="122" t="n"/>
      <c r="R105" s="122" t="n"/>
      <c r="S105" s="122" t="n"/>
      <c r="T105" s="3" t="n"/>
      <c r="U105" s="3" t="n"/>
      <c r="V105" s="3" t="n"/>
    </row>
    <row r="106" ht="8" customHeight="1">
      <c r="A106" s="3" t="n"/>
      <c r="B106" s="3" t="n"/>
      <c r="C106" s="3" t="n"/>
      <c r="D106" s="121" t="n"/>
      <c r="E106" s="121" t="n"/>
      <c r="F106" s="122" t="n"/>
      <c r="G106" s="122" t="n"/>
      <c r="H106" s="122" t="n"/>
      <c r="I106" s="122" t="n"/>
      <c r="J106" s="122" t="n"/>
      <c r="K106" s="122" t="n"/>
      <c r="L106" s="122" t="n"/>
      <c r="M106" s="122" t="n"/>
      <c r="N106" s="122" t="n"/>
      <c r="O106" s="122" t="n"/>
      <c r="P106" s="122" t="n"/>
      <c r="Q106" s="122" t="n"/>
      <c r="R106" s="122" t="n"/>
      <c r="S106" s="122" t="n"/>
      <c r="T106" s="3" t="n"/>
      <c r="U106" s="3" t="n"/>
      <c r="V106" s="3" t="n"/>
    </row>
    <row r="107" ht="8" customHeight="1">
      <c r="A107" s="3" t="n"/>
      <c r="B107" s="3" t="n"/>
      <c r="C107" s="3" t="n"/>
      <c r="D107" s="121" t="n"/>
      <c r="E107" s="121" t="n"/>
      <c r="F107" s="122" t="n"/>
      <c r="G107" s="122" t="n"/>
      <c r="H107" s="122" t="n"/>
      <c r="I107" s="122" t="n"/>
      <c r="J107" s="122" t="n"/>
      <c r="K107" s="122" t="n"/>
      <c r="L107" s="122" t="n"/>
      <c r="M107" s="122" t="n"/>
      <c r="N107" s="122" t="n"/>
      <c r="O107" s="122" t="n"/>
      <c r="P107" s="122" t="n"/>
      <c r="Q107" s="122" t="n"/>
      <c r="R107" s="122" t="n"/>
      <c r="S107" s="122" t="n"/>
      <c r="T107" s="3" t="n"/>
      <c r="U107" s="3" t="n"/>
      <c r="V107" s="3" t="n"/>
    </row>
    <row r="108" ht="8" customHeight="1">
      <c r="A108" s="3" t="n"/>
      <c r="B108" s="3" t="n"/>
      <c r="C108" s="3" t="n"/>
      <c r="D108" s="121" t="n"/>
      <c r="E108" s="121" t="n"/>
      <c r="F108" s="122" t="n"/>
      <c r="G108" s="122" t="n"/>
      <c r="H108" s="122" t="n"/>
      <c r="I108" s="122" t="n"/>
      <c r="J108" s="122" t="n"/>
      <c r="K108" s="122" t="n"/>
      <c r="L108" s="122" t="n"/>
      <c r="M108" s="122" t="n"/>
      <c r="N108" s="122" t="n"/>
      <c r="O108" s="122" t="n"/>
      <c r="P108" s="122" t="n"/>
      <c r="Q108" s="122" t="n"/>
      <c r="R108" s="122" t="n"/>
      <c r="S108" s="122" t="n"/>
      <c r="T108" s="3" t="n"/>
      <c r="U108" s="3" t="n"/>
      <c r="V108" s="3" t="n"/>
    </row>
    <row r="109" ht="8" customHeight="1">
      <c r="A109" s="3" t="n"/>
      <c r="B109" s="3" t="n"/>
      <c r="C109" s="3" t="n"/>
      <c r="D109" s="121" t="n"/>
      <c r="E109" s="121" t="n"/>
      <c r="F109" s="122" t="n"/>
      <c r="G109" s="122" t="n"/>
      <c r="H109" s="122" t="n"/>
      <c r="I109" s="122" t="n"/>
      <c r="J109" s="122" t="n"/>
      <c r="K109" s="122" t="n"/>
      <c r="L109" s="122" t="n"/>
      <c r="M109" s="122" t="n"/>
      <c r="N109" s="122" t="n"/>
      <c r="O109" s="122" t="n"/>
      <c r="P109" s="122" t="n"/>
      <c r="Q109" s="122" t="n"/>
      <c r="R109" s="122" t="n"/>
      <c r="S109" s="122" t="n"/>
      <c r="T109" s="3" t="n"/>
      <c r="U109" s="3" t="n"/>
      <c r="V109" s="3" t="n"/>
    </row>
    <row r="110" ht="8" customHeight="1">
      <c r="A110" s="3" t="n"/>
      <c r="B110" s="3" t="n"/>
      <c r="C110" s="3" t="n"/>
      <c r="D110" s="121" t="n"/>
      <c r="E110" s="121" t="n"/>
      <c r="F110" s="122" t="n"/>
      <c r="G110" s="122" t="n"/>
      <c r="H110" s="122" t="n"/>
      <c r="I110" s="122" t="n"/>
      <c r="J110" s="122" t="n"/>
      <c r="K110" s="122" t="n"/>
      <c r="L110" s="122" t="n"/>
      <c r="M110" s="122" t="n"/>
      <c r="N110" s="122" t="n"/>
      <c r="O110" s="122" t="n"/>
      <c r="P110" s="122" t="n"/>
      <c r="Q110" s="122" t="n"/>
      <c r="R110" s="122" t="n"/>
      <c r="S110" s="122" t="n"/>
      <c r="T110" s="3" t="n"/>
      <c r="U110" s="3" t="n"/>
      <c r="V110" s="3" t="n"/>
    </row>
    <row r="111" ht="8" customHeight="1">
      <c r="A111" s="3" t="n"/>
      <c r="B111" s="3" t="n"/>
      <c r="C111" s="3" t="n"/>
      <c r="D111" s="121" t="n"/>
      <c r="E111" s="121" t="n"/>
      <c r="F111" s="122" t="n"/>
      <c r="G111" s="122" t="n"/>
      <c r="H111" s="122" t="n"/>
      <c r="I111" s="122" t="n"/>
      <c r="J111" s="122" t="n"/>
      <c r="K111" s="122" t="n"/>
      <c r="L111" s="122" t="n"/>
      <c r="M111" s="122" t="n"/>
      <c r="N111" s="122" t="n"/>
      <c r="O111" s="122" t="n"/>
      <c r="P111" s="122" t="n"/>
      <c r="Q111" s="122" t="n"/>
      <c r="R111" s="122" t="n"/>
      <c r="S111" s="122" t="n"/>
      <c r="T111" s="3" t="n"/>
      <c r="U111" s="3" t="n"/>
      <c r="V111" s="3" t="n"/>
    </row>
    <row r="112" ht="8" customHeight="1">
      <c r="A112" s="3" t="n"/>
      <c r="B112" s="3" t="n"/>
      <c r="C112" s="3" t="n"/>
      <c r="D112" s="121" t="n"/>
      <c r="E112" s="121" t="n"/>
      <c r="F112" s="122" t="n"/>
      <c r="G112" s="122" t="n"/>
      <c r="H112" s="122" t="n"/>
      <c r="I112" s="122" t="n"/>
      <c r="J112" s="122" t="n"/>
      <c r="K112" s="122" t="n"/>
      <c r="L112" s="122" t="n"/>
      <c r="M112" s="122" t="n"/>
      <c r="N112" s="122" t="n"/>
      <c r="O112" s="122" t="n"/>
      <c r="P112" s="122" t="n"/>
      <c r="Q112" s="122" t="n"/>
      <c r="R112" s="122" t="n"/>
      <c r="S112" s="122" t="n"/>
      <c r="T112" s="3" t="n"/>
      <c r="U112" s="3" t="n"/>
      <c r="V112" s="3" t="n"/>
    </row>
    <row r="113" ht="8" customHeight="1">
      <c r="A113" s="3" t="n"/>
      <c r="B113" s="3" t="n"/>
      <c r="C113" s="3" t="n"/>
      <c r="D113" s="121" t="n"/>
      <c r="E113" s="121" t="n"/>
      <c r="F113" s="122" t="n"/>
      <c r="G113" s="122" t="n"/>
      <c r="H113" s="122" t="n"/>
      <c r="I113" s="122" t="n"/>
      <c r="J113" s="122" t="n"/>
      <c r="K113" s="122" t="n"/>
      <c r="L113" s="122" t="n"/>
      <c r="M113" s="122" t="n"/>
      <c r="N113" s="122" t="n"/>
      <c r="O113" s="122" t="n"/>
      <c r="P113" s="122" t="n"/>
      <c r="Q113" s="122" t="n"/>
      <c r="R113" s="122" t="n"/>
      <c r="S113" s="122" t="n"/>
      <c r="T113" s="3" t="n"/>
      <c r="U113" s="3" t="n"/>
      <c r="V113" s="3" t="n"/>
    </row>
    <row r="114" ht="8" customHeight="1">
      <c r="A114" s="3" t="n"/>
      <c r="B114" s="3" t="n"/>
      <c r="C114" s="3" t="n"/>
      <c r="D114" s="121" t="n"/>
      <c r="E114" s="121" t="n"/>
      <c r="F114" s="122" t="n"/>
      <c r="G114" s="122" t="n"/>
      <c r="H114" s="122" t="n"/>
      <c r="I114" s="122" t="n"/>
      <c r="J114" s="122" t="n"/>
      <c r="K114" s="122" t="n"/>
      <c r="L114" s="122" t="n"/>
      <c r="M114" s="122" t="n"/>
      <c r="N114" s="122" t="n"/>
      <c r="O114" s="122" t="n"/>
      <c r="P114" s="122" t="n"/>
      <c r="Q114" s="122" t="n"/>
      <c r="R114" s="122" t="n"/>
      <c r="S114" s="122" t="n"/>
      <c r="T114" s="3" t="n"/>
      <c r="U114" s="3" t="n"/>
      <c r="V114" s="3" t="n"/>
    </row>
    <row r="115" ht="8" customHeight="1">
      <c r="A115" s="3" t="n"/>
      <c r="B115" s="3" t="n"/>
      <c r="C115" s="3" t="n"/>
      <c r="D115" s="121" t="n"/>
      <c r="E115" s="121" t="n"/>
      <c r="F115" s="122" t="n"/>
      <c r="G115" s="122" t="n"/>
      <c r="H115" s="122" t="n"/>
      <c r="I115" s="122" t="n"/>
      <c r="J115" s="122" t="n"/>
      <c r="K115" s="122" t="n"/>
      <c r="L115" s="122" t="n"/>
      <c r="M115" s="122" t="n"/>
      <c r="N115" s="122" t="n"/>
      <c r="O115" s="122" t="n"/>
      <c r="P115" s="122" t="n"/>
      <c r="Q115" s="122" t="n"/>
      <c r="R115" s="122" t="n"/>
      <c r="S115" s="122" t="n"/>
      <c r="T115" s="3" t="n"/>
      <c r="U115" s="3" t="n"/>
      <c r="V115" s="3" t="n"/>
    </row>
    <row r="116" ht="8" customHeight="1">
      <c r="A116" s="3" t="n"/>
      <c r="B116" s="3" t="n"/>
      <c r="C116" s="3" t="n"/>
      <c r="D116" s="121" t="n"/>
      <c r="E116" s="121" t="n"/>
      <c r="F116" s="122" t="n"/>
      <c r="G116" s="122" t="n"/>
      <c r="H116" s="122" t="n"/>
      <c r="I116" s="122" t="n"/>
      <c r="J116" s="122" t="n"/>
      <c r="K116" s="122" t="n"/>
      <c r="L116" s="122" t="n"/>
      <c r="M116" s="122" t="n"/>
      <c r="N116" s="122" t="n"/>
      <c r="O116" s="122" t="n"/>
      <c r="P116" s="122" t="n"/>
      <c r="Q116" s="122" t="n"/>
      <c r="R116" s="122" t="n"/>
      <c r="S116" s="122" t="n"/>
      <c r="T116" s="3" t="n"/>
      <c r="U116" s="3" t="n"/>
      <c r="V116" s="3" t="n"/>
    </row>
    <row r="117" ht="8" customHeight="1">
      <c r="A117" s="3" t="n"/>
      <c r="B117" s="3" t="n"/>
      <c r="C117" s="3" t="n"/>
      <c r="D117" s="121" t="n"/>
      <c r="E117" s="121" t="n"/>
      <c r="F117" s="122" t="n"/>
      <c r="G117" s="122" t="n"/>
      <c r="H117" s="122" t="n"/>
      <c r="I117" s="122" t="n"/>
      <c r="J117" s="122" t="n"/>
      <c r="K117" s="122" t="n"/>
      <c r="L117" s="122" t="n"/>
      <c r="M117" s="122" t="n"/>
      <c r="N117" s="122" t="n"/>
      <c r="O117" s="122" t="n"/>
      <c r="P117" s="122" t="n"/>
      <c r="Q117" s="122" t="n"/>
      <c r="R117" s="122" t="n"/>
      <c r="S117" s="122" t="n"/>
      <c r="T117" s="3" t="n"/>
      <c r="U117" s="3" t="n"/>
      <c r="V117" s="3" t="n"/>
    </row>
    <row r="118" ht="8" customHeight="1">
      <c r="A118" s="3" t="n"/>
      <c r="B118" s="3" t="n"/>
      <c r="C118" s="3" t="n"/>
      <c r="D118" s="121" t="n"/>
      <c r="E118" s="121" t="n"/>
      <c r="F118" s="122" t="n"/>
      <c r="G118" s="122" t="n"/>
      <c r="H118" s="122" t="n"/>
      <c r="I118" s="122" t="n"/>
      <c r="J118" s="122" t="n"/>
      <c r="K118" s="122" t="n"/>
      <c r="L118" s="122" t="n"/>
      <c r="M118" s="122" t="n"/>
      <c r="N118" s="122" t="n"/>
      <c r="O118" s="122" t="n"/>
      <c r="P118" s="122" t="n"/>
      <c r="Q118" s="122" t="n"/>
      <c r="R118" s="122" t="n"/>
      <c r="S118" s="122" t="n"/>
      <c r="T118" s="3" t="n"/>
      <c r="U118" s="3" t="n"/>
      <c r="V118" s="3" t="n"/>
    </row>
    <row r="119" ht="8" customHeight="1">
      <c r="A119" s="3" t="n"/>
      <c r="B119" s="3" t="n"/>
      <c r="C119" s="3" t="n"/>
      <c r="D119" s="121" t="n"/>
      <c r="E119" s="121" t="n"/>
      <c r="F119" s="122" t="n"/>
      <c r="G119" s="122" t="n"/>
      <c r="H119" s="122" t="n"/>
      <c r="I119" s="122" t="n"/>
      <c r="J119" s="122" t="n"/>
      <c r="K119" s="122" t="n"/>
      <c r="L119" s="122" t="n"/>
      <c r="M119" s="122" t="n"/>
      <c r="N119" s="122" t="n"/>
      <c r="O119" s="122" t="n"/>
      <c r="P119" s="122" t="n"/>
      <c r="Q119" s="122" t="n"/>
      <c r="R119" s="122" t="n"/>
      <c r="S119" s="122" t="n"/>
      <c r="T119" s="3" t="n"/>
      <c r="U119" s="3" t="n"/>
      <c r="V119" s="3" t="n"/>
    </row>
    <row r="120" ht="8" customHeight="1">
      <c r="A120" s="3" t="n"/>
      <c r="B120" s="3" t="n"/>
      <c r="C120" s="3" t="n"/>
      <c r="D120" s="121" t="n"/>
      <c r="E120" s="121" t="n"/>
      <c r="F120" s="122" t="n"/>
      <c r="G120" s="122" t="n"/>
      <c r="H120" s="122" t="n"/>
      <c r="I120" s="122" t="n"/>
      <c r="J120" s="122" t="n"/>
      <c r="K120" s="122" t="n"/>
      <c r="L120" s="122" t="n"/>
      <c r="M120" s="122" t="n"/>
      <c r="N120" s="122" t="n"/>
      <c r="O120" s="122" t="n"/>
      <c r="P120" s="122" t="n"/>
      <c r="Q120" s="122" t="n"/>
      <c r="R120" s="122" t="n"/>
      <c r="S120" s="122" t="n"/>
      <c r="T120" s="3" t="n"/>
      <c r="U120" s="3" t="n"/>
      <c r="V120" s="3" t="n"/>
    </row>
    <row r="121" ht="8" customHeight="1">
      <c r="A121" s="3" t="n"/>
      <c r="B121" s="3" t="n"/>
      <c r="C121" s="3" t="n"/>
      <c r="D121" s="121" t="n"/>
      <c r="E121" s="121" t="n"/>
      <c r="F121" s="122" t="n"/>
      <c r="G121" s="122" t="n"/>
      <c r="H121" s="122" t="n"/>
      <c r="I121" s="122" t="n"/>
      <c r="J121" s="122" t="n"/>
      <c r="K121" s="122" t="n"/>
      <c r="L121" s="122" t="n"/>
      <c r="M121" s="122" t="n"/>
      <c r="N121" s="122" t="n"/>
      <c r="O121" s="122" t="n"/>
      <c r="P121" s="122" t="n"/>
      <c r="Q121" s="122" t="n"/>
      <c r="R121" s="122" t="n"/>
      <c r="S121" s="122" t="n"/>
      <c r="T121" s="3" t="n"/>
      <c r="U121" s="3" t="n"/>
      <c r="V121" s="3" t="n"/>
    </row>
    <row r="122" ht="8" customHeight="1">
      <c r="A122" s="3" t="n"/>
      <c r="B122" s="3" t="n"/>
      <c r="C122" s="3" t="n"/>
      <c r="D122" s="121" t="n"/>
      <c r="E122" s="121" t="n"/>
      <c r="F122" s="122" t="n"/>
      <c r="G122" s="122" t="n"/>
      <c r="H122" s="122" t="n"/>
      <c r="I122" s="122" t="n"/>
      <c r="J122" s="122" t="n"/>
      <c r="K122" s="122" t="n"/>
      <c r="L122" s="122" t="n"/>
      <c r="M122" s="122" t="n"/>
      <c r="N122" s="122" t="n"/>
      <c r="O122" s="122" t="n"/>
      <c r="P122" s="122" t="n"/>
      <c r="Q122" s="122" t="n"/>
      <c r="R122" s="122" t="n"/>
      <c r="S122" s="122" t="n"/>
      <c r="T122" s="3" t="n"/>
      <c r="U122" s="3" t="n"/>
      <c r="V122" s="3" t="n"/>
    </row>
    <row r="123" ht="8" customHeight="1">
      <c r="A123" s="3" t="n"/>
      <c r="B123" s="3" t="n"/>
      <c r="C123" s="3" t="n"/>
      <c r="D123" s="121" t="n"/>
      <c r="E123" s="121" t="n"/>
      <c r="F123" s="122" t="n"/>
      <c r="G123" s="122" t="n"/>
      <c r="H123" s="122" t="n"/>
      <c r="I123" s="122" t="n"/>
      <c r="J123" s="122" t="n"/>
      <c r="K123" s="122" t="n"/>
      <c r="L123" s="122" t="n"/>
      <c r="M123" s="122" t="n"/>
      <c r="N123" s="122" t="n"/>
      <c r="O123" s="122" t="n"/>
      <c r="P123" s="122" t="n"/>
      <c r="Q123" s="122" t="n"/>
      <c r="R123" s="122" t="n"/>
      <c r="S123" s="122" t="n"/>
      <c r="T123" s="3" t="n"/>
      <c r="U123" s="3" t="n"/>
      <c r="V123" s="3" t="n"/>
    </row>
    <row r="124" ht="8" customHeight="1">
      <c r="A124" s="3" t="n"/>
      <c r="B124" s="3" t="n"/>
      <c r="C124" s="3" t="n"/>
      <c r="D124" s="121" t="n"/>
      <c r="E124" s="121" t="n"/>
      <c r="F124" s="122" t="n"/>
      <c r="G124" s="122" t="n"/>
      <c r="H124" s="122" t="n"/>
      <c r="I124" s="122" t="n"/>
      <c r="J124" s="122" t="n"/>
      <c r="K124" s="122" t="n"/>
      <c r="L124" s="122" t="n"/>
      <c r="M124" s="122" t="n"/>
      <c r="N124" s="122" t="n"/>
      <c r="O124" s="122" t="n"/>
      <c r="P124" s="122" t="n"/>
      <c r="Q124" s="122" t="n"/>
      <c r="R124" s="122" t="n"/>
      <c r="S124" s="122" t="n"/>
      <c r="T124" s="3" t="n"/>
      <c r="U124" s="3" t="n"/>
      <c r="V124" s="3" t="n"/>
    </row>
    <row r="125" ht="8" customHeight="1">
      <c r="A125" s="3" t="n"/>
      <c r="B125" s="3" t="n"/>
      <c r="C125" s="3" t="n"/>
      <c r="D125" s="121" t="n"/>
      <c r="E125" s="121" t="n"/>
      <c r="F125" s="122" t="n"/>
      <c r="G125" s="122" t="n"/>
      <c r="H125" s="122" t="n"/>
      <c r="I125" s="122" t="n"/>
      <c r="J125" s="122" t="n"/>
      <c r="K125" s="122" t="n"/>
      <c r="L125" s="122" t="n"/>
      <c r="M125" s="122" t="n"/>
      <c r="N125" s="122" t="n"/>
      <c r="O125" s="122" t="n"/>
      <c r="P125" s="122" t="n"/>
      <c r="Q125" s="122" t="n"/>
      <c r="R125" s="122" t="n"/>
      <c r="S125" s="122" t="n"/>
      <c r="T125" s="3" t="n"/>
      <c r="U125" s="3" t="n"/>
      <c r="V125" s="3" t="n"/>
    </row>
    <row r="126" ht="8" customHeight="1">
      <c r="A126" s="3" t="n"/>
      <c r="B126" s="3" t="n"/>
      <c r="C126" s="3" t="n"/>
      <c r="D126" s="121" t="n"/>
      <c r="E126" s="121" t="n"/>
      <c r="F126" s="122" t="n"/>
      <c r="G126" s="122" t="n"/>
      <c r="H126" s="122" t="n"/>
      <c r="I126" s="122" t="n"/>
      <c r="J126" s="122" t="n"/>
      <c r="K126" s="122" t="n"/>
      <c r="L126" s="122" t="n"/>
      <c r="M126" s="122" t="n"/>
      <c r="N126" s="122" t="n"/>
      <c r="O126" s="122" t="n"/>
      <c r="P126" s="122" t="n"/>
      <c r="Q126" s="122" t="n"/>
      <c r="R126" s="122" t="n"/>
      <c r="S126" s="122" t="n"/>
      <c r="T126" s="3" t="n"/>
      <c r="U126" s="3" t="n"/>
      <c r="V126" s="3" t="n"/>
    </row>
    <row r="127" ht="8" customHeight="1">
      <c r="A127" s="3" t="n"/>
      <c r="B127" s="3" t="n"/>
      <c r="C127" s="3" t="n"/>
      <c r="D127" s="121" t="n"/>
      <c r="E127" s="121" t="n"/>
      <c r="F127" s="122" t="n"/>
      <c r="G127" s="122" t="n"/>
      <c r="H127" s="122" t="n"/>
      <c r="I127" s="122" t="n"/>
      <c r="J127" s="122" t="n"/>
      <c r="K127" s="122" t="n"/>
      <c r="L127" s="122" t="n"/>
      <c r="M127" s="122" t="n"/>
      <c r="N127" s="122" t="n"/>
      <c r="O127" s="122" t="n"/>
      <c r="P127" s="122" t="n"/>
      <c r="Q127" s="122" t="n"/>
      <c r="R127" s="122" t="n"/>
      <c r="S127" s="122" t="n"/>
      <c r="T127" s="3" t="n"/>
      <c r="U127" s="3" t="n"/>
      <c r="V127" s="3" t="n"/>
    </row>
    <row r="128" ht="8" customHeight="1">
      <c r="A128" s="3" t="n"/>
      <c r="B128" s="3" t="n"/>
      <c r="C128" s="3" t="n"/>
      <c r="D128" s="121" t="n"/>
      <c r="E128" s="121" t="n"/>
      <c r="F128" s="122" t="n"/>
      <c r="G128" s="122" t="n"/>
      <c r="H128" s="122" t="n"/>
      <c r="I128" s="122" t="n"/>
      <c r="J128" s="122" t="n"/>
      <c r="K128" s="122" t="n"/>
      <c r="L128" s="122" t="n"/>
      <c r="M128" s="122" t="n"/>
      <c r="N128" s="122" t="n"/>
      <c r="O128" s="122" t="n"/>
      <c r="P128" s="122" t="n"/>
      <c r="Q128" s="122" t="n"/>
      <c r="R128" s="122" t="n"/>
      <c r="S128" s="122" t="n"/>
      <c r="T128" s="3" t="n"/>
      <c r="U128" s="3" t="n"/>
      <c r="V128" s="3" t="n"/>
    </row>
    <row r="129" ht="8" customHeight="1">
      <c r="A129" s="3" t="n"/>
      <c r="B129" s="3" t="n"/>
      <c r="C129" s="3" t="n"/>
      <c r="D129" s="121" t="n"/>
      <c r="E129" s="121" t="n"/>
      <c r="F129" s="122" t="n"/>
      <c r="G129" s="122" t="n"/>
      <c r="H129" s="122" t="n"/>
      <c r="I129" s="122" t="n"/>
      <c r="J129" s="122" t="n"/>
      <c r="K129" s="122" t="n"/>
      <c r="L129" s="122" t="n"/>
      <c r="M129" s="122" t="n"/>
      <c r="N129" s="122" t="n"/>
      <c r="O129" s="122" t="n"/>
      <c r="P129" s="122" t="n"/>
      <c r="Q129" s="122" t="n"/>
      <c r="R129" s="122" t="n"/>
      <c r="S129" s="122" t="n"/>
      <c r="T129" s="3" t="n"/>
      <c r="U129" s="3" t="n"/>
      <c r="V129" s="3" t="n"/>
    </row>
    <row r="130" ht="8" customHeight="1">
      <c r="A130" s="3" t="n"/>
      <c r="B130" s="3" t="n"/>
      <c r="C130" s="3" t="n"/>
      <c r="D130" s="121" t="n"/>
      <c r="E130" s="121" t="n"/>
      <c r="F130" s="122" t="n"/>
      <c r="G130" s="122" t="n"/>
      <c r="H130" s="122" t="n"/>
      <c r="I130" s="122" t="n"/>
      <c r="J130" s="122" t="n"/>
      <c r="K130" s="122" t="n"/>
      <c r="L130" s="122" t="n"/>
      <c r="M130" s="122" t="n"/>
      <c r="N130" s="122" t="n"/>
      <c r="O130" s="122" t="n"/>
      <c r="P130" s="122" t="n"/>
      <c r="Q130" s="122" t="n"/>
      <c r="R130" s="122" t="n"/>
      <c r="S130" s="122" t="n"/>
      <c r="T130" s="3" t="n"/>
      <c r="U130" s="3" t="n"/>
      <c r="V130" s="3" t="n"/>
    </row>
    <row r="131" ht="8" customHeight="1">
      <c r="A131" s="3" t="n"/>
      <c r="B131" s="3" t="n"/>
      <c r="C131" s="3" t="n"/>
      <c r="D131" s="121" t="n"/>
      <c r="E131" s="121" t="n"/>
      <c r="F131" s="122" t="n"/>
      <c r="G131" s="122" t="n"/>
      <c r="H131" s="122" t="n"/>
      <c r="I131" s="122" t="n"/>
      <c r="J131" s="122" t="n"/>
      <c r="K131" s="122" t="n"/>
      <c r="L131" s="122" t="n"/>
      <c r="M131" s="122" t="n"/>
      <c r="N131" s="122" t="n"/>
      <c r="O131" s="122" t="n"/>
      <c r="P131" s="122" t="n"/>
      <c r="Q131" s="122" t="n"/>
      <c r="R131" s="122" t="n"/>
      <c r="S131" s="122" t="n"/>
      <c r="T131" s="3" t="n"/>
      <c r="U131" s="3" t="n"/>
      <c r="V131" s="3" t="n"/>
    </row>
    <row r="132" ht="8" customHeight="1">
      <c r="A132" s="3" t="n"/>
      <c r="B132" s="3" t="n"/>
      <c r="C132" s="3" t="n"/>
      <c r="D132" s="121" t="n"/>
      <c r="E132" s="121" t="n"/>
      <c r="F132" s="122" t="n"/>
      <c r="G132" s="122" t="n"/>
      <c r="H132" s="122" t="n"/>
      <c r="I132" s="122" t="n"/>
      <c r="J132" s="122" t="n"/>
      <c r="K132" s="122" t="n"/>
      <c r="L132" s="122" t="n"/>
      <c r="M132" s="122" t="n"/>
      <c r="N132" s="122" t="n"/>
      <c r="O132" s="122" t="n"/>
      <c r="P132" s="122" t="n"/>
      <c r="Q132" s="122" t="n"/>
      <c r="R132" s="122" t="n"/>
      <c r="S132" s="122" t="n"/>
      <c r="T132" s="3" t="n"/>
      <c r="U132" s="3" t="n"/>
      <c r="V132" s="3" t="n"/>
    </row>
    <row r="133" ht="8" customHeight="1">
      <c r="A133" s="3" t="n"/>
      <c r="B133" s="3" t="n"/>
      <c r="C133" s="3" t="n"/>
      <c r="D133" s="121" t="n"/>
      <c r="E133" s="121" t="n"/>
      <c r="F133" s="122" t="n"/>
      <c r="G133" s="122" t="n"/>
      <c r="H133" s="122" t="n"/>
      <c r="I133" s="122" t="n"/>
      <c r="J133" s="122" t="n"/>
      <c r="K133" s="122" t="n"/>
      <c r="L133" s="122" t="n"/>
      <c r="M133" s="122" t="n"/>
      <c r="N133" s="122" t="n"/>
      <c r="O133" s="122" t="n"/>
      <c r="P133" s="122" t="n"/>
      <c r="Q133" s="122" t="n"/>
      <c r="R133" s="122" t="n"/>
      <c r="S133" s="122" t="n"/>
      <c r="T133" s="3" t="n"/>
      <c r="U133" s="3" t="n"/>
      <c r="V133" s="3" t="n"/>
    </row>
    <row r="134" ht="8" customHeight="1">
      <c r="A134" s="3" t="n"/>
      <c r="B134" s="3" t="n"/>
      <c r="C134" s="3" t="n"/>
      <c r="D134" s="121" t="n"/>
      <c r="E134" s="121" t="n"/>
      <c r="F134" s="122" t="n"/>
      <c r="G134" s="122" t="n"/>
      <c r="H134" s="122" t="n"/>
      <c r="I134" s="122" t="n"/>
      <c r="J134" s="122" t="n"/>
      <c r="K134" s="122" t="n"/>
      <c r="L134" s="122" t="n"/>
      <c r="M134" s="122" t="n"/>
      <c r="N134" s="122" t="n"/>
      <c r="O134" s="122" t="n"/>
      <c r="P134" s="122" t="n"/>
      <c r="Q134" s="122" t="n"/>
      <c r="R134" s="122" t="n"/>
      <c r="S134" s="122" t="n"/>
      <c r="T134" s="3" t="n"/>
      <c r="U134" s="3" t="n"/>
      <c r="V134" s="3" t="n"/>
    </row>
    <row r="135" ht="8" customHeight="1">
      <c r="A135" s="3" t="n"/>
      <c r="B135" s="3" t="n"/>
      <c r="C135" s="3" t="n"/>
      <c r="D135" s="121" t="n"/>
      <c r="E135" s="121" t="n"/>
      <c r="F135" s="122" t="n"/>
      <c r="G135" s="122" t="n"/>
      <c r="H135" s="122" t="n"/>
      <c r="I135" s="122" t="n"/>
      <c r="J135" s="122" t="n"/>
      <c r="K135" s="122" t="n"/>
      <c r="L135" s="122" t="n"/>
      <c r="M135" s="122" t="n"/>
      <c r="N135" s="122" t="n"/>
      <c r="O135" s="122" t="n"/>
      <c r="P135" s="122" t="n"/>
      <c r="Q135" s="122" t="n"/>
      <c r="R135" s="122" t="n"/>
      <c r="S135" s="122" t="n"/>
      <c r="T135" s="3" t="n"/>
      <c r="U135" s="3" t="n"/>
      <c r="V135" s="3" t="n"/>
    </row>
    <row r="136" ht="8" customHeight="1">
      <c r="A136" s="3" t="n"/>
      <c r="B136" s="3" t="n"/>
      <c r="C136" s="3" t="n"/>
      <c r="D136" s="121" t="n"/>
      <c r="E136" s="121" t="n"/>
      <c r="F136" s="122" t="n"/>
      <c r="G136" s="122" t="n"/>
      <c r="H136" s="122" t="n"/>
      <c r="I136" s="122" t="n"/>
      <c r="J136" s="122" t="n"/>
      <c r="K136" s="122" t="n"/>
      <c r="L136" s="122" t="n"/>
      <c r="M136" s="122" t="n"/>
      <c r="N136" s="122" t="n"/>
      <c r="O136" s="122" t="n"/>
      <c r="P136" s="122" t="n"/>
      <c r="Q136" s="122" t="n"/>
      <c r="R136" s="122" t="n"/>
      <c r="S136" s="122" t="n"/>
      <c r="T136" s="3" t="n"/>
      <c r="U136" s="3" t="n"/>
      <c r="V136" s="3" t="n"/>
    </row>
    <row r="137" ht="8" customHeight="1">
      <c r="A137" s="3" t="n"/>
      <c r="B137" s="3" t="n"/>
      <c r="C137" s="3" t="n"/>
      <c r="D137" s="121" t="n"/>
      <c r="E137" s="121" t="n"/>
      <c r="F137" s="122" t="n"/>
      <c r="G137" s="122" t="n"/>
      <c r="H137" s="122" t="n"/>
      <c r="I137" s="122" t="n"/>
      <c r="J137" s="122" t="n"/>
      <c r="K137" s="122" t="n"/>
      <c r="L137" s="122" t="n"/>
      <c r="M137" s="122" t="n"/>
      <c r="N137" s="122" t="n"/>
      <c r="O137" s="122" t="n"/>
      <c r="P137" s="122" t="n"/>
      <c r="Q137" s="122" t="n"/>
      <c r="R137" s="122" t="n"/>
      <c r="S137" s="122" t="n"/>
      <c r="T137" s="3" t="n"/>
      <c r="U137" s="3" t="n"/>
      <c r="V137" s="3" t="n"/>
    </row>
    <row r="138" ht="8" customHeight="1">
      <c r="A138" s="3" t="n"/>
      <c r="B138" s="3" t="n"/>
      <c r="C138" s="3" t="n"/>
      <c r="D138" s="121" t="n"/>
      <c r="E138" s="121" t="n"/>
      <c r="F138" s="122" t="n"/>
      <c r="G138" s="122" t="n"/>
      <c r="H138" s="122" t="n"/>
      <c r="I138" s="122" t="n"/>
      <c r="J138" s="122" t="n"/>
      <c r="K138" s="122" t="n"/>
      <c r="L138" s="122" t="n"/>
      <c r="M138" s="122" t="n"/>
      <c r="N138" s="122" t="n"/>
      <c r="O138" s="122" t="n"/>
      <c r="P138" s="122" t="n"/>
      <c r="Q138" s="122" t="n"/>
      <c r="R138" s="122" t="n"/>
      <c r="S138" s="122" t="n"/>
      <c r="T138" s="3" t="n"/>
      <c r="U138" s="3" t="n"/>
      <c r="V138" s="3" t="n"/>
    </row>
    <row r="139" ht="8" customHeight="1">
      <c r="A139" s="3" t="n"/>
      <c r="B139" s="3" t="n"/>
      <c r="C139" s="3" t="n"/>
      <c r="D139" s="121" t="n"/>
      <c r="E139" s="121" t="n"/>
      <c r="F139" s="122" t="n"/>
      <c r="G139" s="122" t="n"/>
      <c r="H139" s="122" t="n"/>
      <c r="I139" s="122" t="n"/>
      <c r="J139" s="122" t="n"/>
      <c r="K139" s="122" t="n"/>
      <c r="L139" s="122" t="n"/>
      <c r="M139" s="122" t="n"/>
      <c r="N139" s="122" t="n"/>
      <c r="O139" s="122" t="n"/>
      <c r="P139" s="122" t="n"/>
      <c r="Q139" s="122" t="n"/>
      <c r="R139" s="122" t="n"/>
      <c r="S139" s="122" t="n"/>
      <c r="T139" s="3" t="n"/>
      <c r="U139" s="3" t="n"/>
      <c r="V139" s="3" t="n"/>
    </row>
    <row r="140" ht="8" customHeight="1">
      <c r="A140" s="3" t="n"/>
      <c r="B140" s="3" t="n"/>
      <c r="C140" s="3" t="n"/>
      <c r="D140" s="121" t="n"/>
      <c r="E140" s="121" t="n"/>
      <c r="F140" s="122" t="n"/>
      <c r="G140" s="122" t="n"/>
      <c r="H140" s="122" t="n"/>
      <c r="I140" s="122" t="n"/>
      <c r="J140" s="122" t="n"/>
      <c r="K140" s="122" t="n"/>
      <c r="L140" s="122" t="n"/>
      <c r="M140" s="122" t="n"/>
      <c r="N140" s="122" t="n"/>
      <c r="O140" s="122" t="n"/>
      <c r="P140" s="122" t="n"/>
      <c r="Q140" s="122" t="n"/>
      <c r="R140" s="122" t="n"/>
      <c r="S140" s="122" t="n"/>
      <c r="T140" s="3" t="n"/>
      <c r="U140" s="3" t="n"/>
      <c r="V140" s="3" t="n"/>
    </row>
    <row r="141" ht="8" customHeight="1">
      <c r="A141" s="3" t="n"/>
      <c r="B141" s="3" t="n"/>
      <c r="C141" s="3" t="n"/>
      <c r="D141" s="121" t="n"/>
      <c r="E141" s="121" t="n"/>
      <c r="F141" s="122" t="n"/>
      <c r="G141" s="122" t="n"/>
      <c r="H141" s="122" t="n"/>
      <c r="I141" s="122" t="n"/>
      <c r="J141" s="122" t="n"/>
      <c r="K141" s="122" t="n"/>
      <c r="L141" s="122" t="n"/>
      <c r="M141" s="122" t="n"/>
      <c r="N141" s="122" t="n"/>
      <c r="O141" s="122" t="n"/>
      <c r="P141" s="122" t="n"/>
      <c r="Q141" s="122" t="n"/>
      <c r="R141" s="122" t="n"/>
      <c r="S141" s="122" t="n"/>
      <c r="T141" s="3" t="n"/>
      <c r="U141" s="3" t="n"/>
      <c r="V141" s="3" t="n"/>
    </row>
    <row r="142" ht="8" customHeight="1">
      <c r="A142" s="3" t="n"/>
      <c r="B142" s="3" t="n"/>
      <c r="C142" s="3" t="n"/>
      <c r="D142" s="121" t="n"/>
      <c r="E142" s="121" t="n"/>
      <c r="F142" s="122" t="n"/>
      <c r="G142" s="122" t="n"/>
      <c r="H142" s="122" t="n"/>
      <c r="I142" s="122" t="n"/>
      <c r="J142" s="122" t="n"/>
      <c r="K142" s="122" t="n"/>
      <c r="L142" s="122" t="n"/>
      <c r="M142" s="122" t="n"/>
      <c r="N142" s="122" t="n"/>
      <c r="O142" s="122" t="n"/>
      <c r="P142" s="122" t="n"/>
      <c r="Q142" s="122" t="n"/>
      <c r="R142" s="122" t="n"/>
      <c r="S142" s="122" t="n"/>
      <c r="T142" s="3" t="n"/>
      <c r="U142" s="3" t="n"/>
      <c r="V142" s="3" t="n"/>
    </row>
    <row r="143" ht="8" customHeight="1">
      <c r="A143" s="3" t="n"/>
      <c r="B143" s="3" t="n"/>
      <c r="C143" s="3" t="n"/>
      <c r="D143" s="121" t="n"/>
      <c r="E143" s="121" t="n"/>
      <c r="F143" s="122" t="n"/>
      <c r="G143" s="122" t="n"/>
      <c r="H143" s="122" t="n"/>
      <c r="I143" s="122" t="n"/>
      <c r="J143" s="122" t="n"/>
      <c r="K143" s="122" t="n"/>
      <c r="L143" s="122" t="n"/>
      <c r="M143" s="122" t="n"/>
      <c r="N143" s="122" t="n"/>
      <c r="O143" s="122" t="n"/>
      <c r="P143" s="122" t="n"/>
      <c r="Q143" s="122" t="n"/>
      <c r="R143" s="122" t="n"/>
      <c r="S143" s="122" t="n"/>
      <c r="T143" s="3" t="n"/>
      <c r="U143" s="3" t="n"/>
      <c r="V143" s="3" t="n"/>
    </row>
    <row r="144" ht="8" customHeight="1">
      <c r="A144" s="3" t="n"/>
      <c r="B144" s="3" t="n"/>
      <c r="C144" s="3" t="n"/>
      <c r="D144" s="121" t="n"/>
      <c r="E144" s="121" t="n"/>
      <c r="F144" s="122" t="n"/>
      <c r="G144" s="122" t="n"/>
      <c r="H144" s="122" t="n"/>
      <c r="I144" s="122" t="n"/>
      <c r="J144" s="122" t="n"/>
      <c r="K144" s="122" t="n"/>
      <c r="L144" s="122" t="n"/>
      <c r="M144" s="122" t="n"/>
      <c r="N144" s="122" t="n"/>
      <c r="O144" s="122" t="n"/>
      <c r="P144" s="122" t="n"/>
      <c r="Q144" s="122" t="n"/>
      <c r="R144" s="122" t="n"/>
      <c r="S144" s="122" t="n"/>
      <c r="T144" s="3" t="n"/>
      <c r="U144" s="3" t="n"/>
      <c r="V144" s="3" t="n"/>
    </row>
    <row r="145" ht="8" customHeight="1">
      <c r="A145" s="3" t="n"/>
      <c r="B145" s="3" t="n"/>
      <c r="C145" s="3" t="n"/>
      <c r="D145" s="121" t="n"/>
      <c r="E145" s="121" t="n"/>
      <c r="F145" s="122" t="n"/>
      <c r="G145" s="122" t="n"/>
      <c r="H145" s="122" t="n"/>
      <c r="I145" s="122" t="n"/>
      <c r="J145" s="122" t="n"/>
      <c r="K145" s="122" t="n"/>
      <c r="L145" s="122" t="n"/>
      <c r="M145" s="122" t="n"/>
      <c r="N145" s="122" t="n"/>
      <c r="O145" s="122" t="n"/>
      <c r="P145" s="122" t="n"/>
      <c r="Q145" s="122" t="n"/>
      <c r="R145" s="122" t="n"/>
      <c r="S145" s="122" t="n"/>
      <c r="T145" s="3" t="n"/>
      <c r="U145" s="3" t="n"/>
      <c r="V145" s="3" t="n"/>
    </row>
    <row r="146" ht="8" customHeight="1">
      <c r="A146" s="3" t="n"/>
      <c r="B146" s="3" t="n"/>
      <c r="C146" s="3" t="n"/>
      <c r="D146" s="121" t="n"/>
      <c r="E146" s="121" t="n"/>
      <c r="F146" s="122" t="n"/>
      <c r="G146" s="122" t="n"/>
      <c r="H146" s="122" t="n"/>
      <c r="I146" s="122" t="n"/>
      <c r="J146" s="122" t="n"/>
      <c r="K146" s="122" t="n"/>
      <c r="L146" s="122" t="n"/>
      <c r="M146" s="122" t="n"/>
      <c r="N146" s="122" t="n"/>
      <c r="O146" s="122" t="n"/>
      <c r="P146" s="122" t="n"/>
      <c r="Q146" s="122" t="n"/>
      <c r="R146" s="122" t="n"/>
      <c r="S146" s="122" t="n"/>
      <c r="T146" s="3" t="n"/>
      <c r="U146" s="3" t="n"/>
      <c r="V146" s="3" t="n"/>
    </row>
    <row r="147" ht="8" customHeight="1">
      <c r="A147" s="3" t="n"/>
      <c r="B147" s="3" t="n"/>
      <c r="C147" s="3" t="n"/>
      <c r="D147" s="121" t="n"/>
      <c r="E147" s="121" t="n"/>
      <c r="F147" s="122" t="n"/>
      <c r="G147" s="122" t="n"/>
      <c r="H147" s="122" t="n"/>
      <c r="I147" s="122" t="n"/>
      <c r="J147" s="122" t="n"/>
      <c r="K147" s="122" t="n"/>
      <c r="L147" s="122" t="n"/>
      <c r="M147" s="122" t="n"/>
      <c r="N147" s="122" t="n"/>
      <c r="O147" s="122" t="n"/>
      <c r="P147" s="122" t="n"/>
      <c r="Q147" s="122" t="n"/>
      <c r="R147" s="122" t="n"/>
      <c r="S147" s="122" t="n"/>
      <c r="T147" s="3" t="n"/>
      <c r="U147" s="3" t="n"/>
      <c r="V147" s="3" t="n"/>
    </row>
    <row r="148" ht="8" customHeight="1">
      <c r="A148" s="3" t="n"/>
      <c r="B148" s="3" t="n"/>
      <c r="C148" s="3" t="n"/>
      <c r="D148" s="121" t="n"/>
      <c r="E148" s="121" t="n"/>
      <c r="F148" s="122" t="n"/>
      <c r="G148" s="122" t="n"/>
      <c r="H148" s="122" t="n"/>
      <c r="I148" s="122" t="n"/>
      <c r="J148" s="122" t="n"/>
      <c r="K148" s="122" t="n"/>
      <c r="L148" s="122" t="n"/>
      <c r="M148" s="122" t="n"/>
      <c r="N148" s="122" t="n"/>
      <c r="O148" s="122" t="n"/>
      <c r="P148" s="122" t="n"/>
      <c r="Q148" s="122" t="n"/>
      <c r="R148" s="122" t="n"/>
      <c r="S148" s="122" t="n"/>
      <c r="T148" s="3" t="n"/>
      <c r="U148" s="3" t="n"/>
      <c r="V148" s="3" t="n"/>
    </row>
    <row r="149" ht="8" customHeight="1">
      <c r="A149" s="3" t="n"/>
      <c r="B149" s="3" t="n"/>
      <c r="C149" s="3" t="n"/>
      <c r="D149" s="121" t="n"/>
      <c r="E149" s="121" t="n"/>
      <c r="F149" s="122" t="n"/>
      <c r="G149" s="122" t="n"/>
      <c r="H149" s="122" t="n"/>
      <c r="I149" s="122" t="n"/>
      <c r="J149" s="122" t="n"/>
      <c r="K149" s="122" t="n"/>
      <c r="L149" s="122" t="n"/>
      <c r="M149" s="122" t="n"/>
      <c r="N149" s="122" t="n"/>
      <c r="O149" s="122" t="n"/>
      <c r="P149" s="122" t="n"/>
      <c r="Q149" s="122" t="n"/>
      <c r="R149" s="122" t="n"/>
      <c r="S149" s="122" t="n"/>
      <c r="T149" s="3" t="n"/>
      <c r="U149" s="3" t="n"/>
      <c r="V149" s="3" t="n"/>
    </row>
    <row r="150" ht="8" customHeight="1">
      <c r="A150" s="3" t="n"/>
      <c r="B150" s="3" t="n"/>
      <c r="C150" s="3" t="n"/>
      <c r="D150" s="121" t="n"/>
      <c r="E150" s="121" t="n"/>
      <c r="F150" s="122" t="n"/>
      <c r="G150" s="122" t="n"/>
      <c r="H150" s="122" t="n"/>
      <c r="I150" s="122" t="n"/>
      <c r="J150" s="122" t="n"/>
      <c r="K150" s="122" t="n"/>
      <c r="L150" s="122" t="n"/>
      <c r="M150" s="122" t="n"/>
      <c r="N150" s="122" t="n"/>
      <c r="O150" s="122" t="n"/>
      <c r="P150" s="122" t="n"/>
      <c r="Q150" s="122" t="n"/>
      <c r="R150" s="122" t="n"/>
      <c r="S150" s="122" t="n"/>
      <c r="T150" s="3" t="n"/>
      <c r="U150" s="3" t="n"/>
      <c r="V150" s="3" t="n"/>
    </row>
    <row r="151" ht="8" customHeight="1">
      <c r="A151" s="3" t="n"/>
      <c r="B151" s="3" t="n"/>
      <c r="C151" s="3" t="n"/>
      <c r="D151" s="121" t="n"/>
      <c r="E151" s="121" t="n"/>
      <c r="F151" s="122" t="n"/>
      <c r="G151" s="122" t="n"/>
      <c r="H151" s="122" t="n"/>
      <c r="I151" s="122" t="n"/>
      <c r="J151" s="122" t="n"/>
      <c r="K151" s="122" t="n"/>
      <c r="L151" s="122" t="n"/>
      <c r="M151" s="122" t="n"/>
      <c r="N151" s="122" t="n"/>
      <c r="O151" s="122" t="n"/>
      <c r="P151" s="122" t="n"/>
      <c r="Q151" s="122" t="n"/>
      <c r="R151" s="122" t="n"/>
      <c r="S151" s="122" t="n"/>
      <c r="T151" s="3" t="n"/>
      <c r="U151" s="3" t="n"/>
      <c r="V151" s="3" t="n"/>
    </row>
    <row r="152" ht="8" customHeight="1">
      <c r="A152" s="3" t="n"/>
      <c r="B152" s="3" t="n"/>
      <c r="C152" s="3" t="n"/>
      <c r="D152" s="121" t="n"/>
      <c r="E152" s="121" t="n"/>
      <c r="F152" s="122" t="n"/>
      <c r="G152" s="122" t="n"/>
      <c r="H152" s="122" t="n"/>
      <c r="I152" s="122" t="n"/>
      <c r="J152" s="122" t="n"/>
      <c r="K152" s="122" t="n"/>
      <c r="L152" s="122" t="n"/>
      <c r="M152" s="122" t="n"/>
      <c r="N152" s="122" t="n"/>
      <c r="O152" s="122" t="n"/>
      <c r="P152" s="122" t="n"/>
      <c r="Q152" s="122" t="n"/>
      <c r="R152" s="122" t="n"/>
      <c r="S152" s="122" t="n"/>
      <c r="T152" s="3" t="n"/>
      <c r="U152" s="3" t="n"/>
      <c r="V152" s="3" t="n"/>
    </row>
    <row r="153" ht="8" customHeight="1">
      <c r="A153" s="3" t="n"/>
      <c r="B153" s="3" t="n"/>
      <c r="C153" s="3" t="n"/>
      <c r="D153" s="121" t="n"/>
      <c r="E153" s="121" t="n"/>
      <c r="F153" s="122" t="n"/>
      <c r="G153" s="122" t="n"/>
      <c r="H153" s="122" t="n"/>
      <c r="I153" s="122" t="n"/>
      <c r="J153" s="122" t="n"/>
      <c r="K153" s="122" t="n"/>
      <c r="L153" s="122" t="n"/>
      <c r="M153" s="122" t="n"/>
      <c r="N153" s="122" t="n"/>
      <c r="O153" s="122" t="n"/>
      <c r="P153" s="122" t="n"/>
      <c r="Q153" s="122" t="n"/>
      <c r="R153" s="122" t="n"/>
      <c r="S153" s="122" t="n"/>
      <c r="T153" s="3" t="n"/>
      <c r="U153" s="3" t="n"/>
      <c r="V153" s="3" t="n"/>
    </row>
    <row r="154" ht="8" customHeight="1">
      <c r="A154" s="3" t="n"/>
      <c r="B154" s="3" t="n"/>
      <c r="C154" s="3" t="n"/>
      <c r="D154" s="121" t="n"/>
      <c r="E154" s="121" t="n"/>
      <c r="F154" s="122" t="n"/>
      <c r="G154" s="122" t="n"/>
      <c r="H154" s="122" t="n"/>
      <c r="I154" s="122" t="n"/>
      <c r="J154" s="122" t="n"/>
      <c r="K154" s="122" t="n"/>
      <c r="L154" s="122" t="n"/>
      <c r="M154" s="122" t="n"/>
      <c r="N154" s="122" t="n"/>
      <c r="O154" s="122" t="n"/>
      <c r="P154" s="122" t="n"/>
      <c r="Q154" s="122" t="n"/>
      <c r="R154" s="122" t="n"/>
      <c r="S154" s="122" t="n"/>
      <c r="T154" s="3" t="n"/>
      <c r="U154" s="3" t="n"/>
      <c r="V154" s="3" t="n"/>
    </row>
    <row r="155" ht="8" customHeight="1">
      <c r="A155" s="3" t="n"/>
      <c r="B155" s="3" t="n"/>
      <c r="C155" s="3" t="n"/>
      <c r="D155" s="121" t="n"/>
      <c r="E155" s="121" t="n"/>
      <c r="F155" s="122" t="n"/>
      <c r="G155" s="122" t="n"/>
      <c r="H155" s="122" t="n"/>
      <c r="I155" s="122" t="n"/>
      <c r="J155" s="122" t="n"/>
      <c r="K155" s="122" t="n"/>
      <c r="L155" s="122" t="n"/>
      <c r="M155" s="122" t="n"/>
      <c r="N155" s="122" t="n"/>
      <c r="O155" s="122" t="n"/>
      <c r="P155" s="122" t="n"/>
      <c r="Q155" s="122" t="n"/>
      <c r="R155" s="122" t="n"/>
      <c r="S155" s="122" t="n"/>
      <c r="T155" s="3" t="n"/>
      <c r="U155" s="3" t="n"/>
      <c r="V155" s="3" t="n"/>
    </row>
    <row r="156" ht="8" customHeight="1">
      <c r="A156" s="3" t="n"/>
      <c r="B156" s="3" t="n"/>
      <c r="C156" s="3" t="n"/>
      <c r="D156" s="121" t="n"/>
      <c r="E156" s="121" t="n"/>
      <c r="F156" s="122" t="n"/>
      <c r="G156" s="122" t="n"/>
      <c r="H156" s="122" t="n"/>
      <c r="I156" s="122" t="n"/>
      <c r="J156" s="122" t="n"/>
      <c r="K156" s="122" t="n"/>
      <c r="L156" s="122" t="n"/>
      <c r="M156" s="122" t="n"/>
      <c r="N156" s="122" t="n"/>
      <c r="O156" s="122" t="n"/>
      <c r="P156" s="122" t="n"/>
      <c r="Q156" s="122" t="n"/>
      <c r="R156" s="122" t="n"/>
      <c r="S156" s="122" t="n"/>
      <c r="T156" s="3" t="n"/>
      <c r="U156" s="3" t="n"/>
      <c r="V156" s="3" t="n"/>
    </row>
    <row r="157" ht="8" customHeight="1">
      <c r="A157" s="3" t="n"/>
      <c r="B157" s="3" t="n"/>
      <c r="C157" s="3" t="n"/>
      <c r="D157" s="121" t="n"/>
      <c r="E157" s="121" t="n"/>
      <c r="F157" s="122" t="n"/>
      <c r="G157" s="122" t="n"/>
      <c r="H157" s="122" t="n"/>
      <c r="I157" s="122" t="n"/>
      <c r="J157" s="122" t="n"/>
      <c r="K157" s="122" t="n"/>
      <c r="L157" s="122" t="n"/>
      <c r="M157" s="122" t="n"/>
      <c r="N157" s="122" t="n"/>
      <c r="O157" s="122" t="n"/>
      <c r="P157" s="122" t="n"/>
      <c r="Q157" s="122" t="n"/>
      <c r="R157" s="122" t="n"/>
      <c r="S157" s="122" t="n"/>
      <c r="T157" s="3" t="n"/>
      <c r="U157" s="3" t="n"/>
      <c r="V157" s="3" t="n"/>
    </row>
    <row r="158" ht="8" customHeight="1">
      <c r="A158" s="3" t="n"/>
      <c r="B158" s="3" t="n"/>
      <c r="C158" s="3" t="n"/>
      <c r="D158" s="121" t="n"/>
      <c r="E158" s="121" t="n"/>
      <c r="F158" s="122" t="n"/>
      <c r="G158" s="122" t="n"/>
      <c r="H158" s="122" t="n"/>
      <c r="I158" s="122" t="n"/>
      <c r="J158" s="122" t="n"/>
      <c r="K158" s="122" t="n"/>
      <c r="L158" s="122" t="n"/>
      <c r="M158" s="122" t="n"/>
      <c r="N158" s="122" t="n"/>
      <c r="O158" s="122" t="n"/>
      <c r="P158" s="122" t="n"/>
      <c r="Q158" s="122" t="n"/>
      <c r="R158" s="122" t="n"/>
      <c r="S158" s="122" t="n"/>
      <c r="T158" s="3" t="n"/>
      <c r="U158" s="3" t="n"/>
      <c r="V158" s="3" t="n"/>
    </row>
    <row r="159" ht="8" customHeight="1">
      <c r="A159" s="3" t="n"/>
      <c r="B159" s="3" t="n"/>
      <c r="C159" s="3" t="n"/>
      <c r="D159" s="121" t="n"/>
      <c r="E159" s="121" t="n"/>
      <c r="F159" s="122" t="n"/>
      <c r="G159" s="122" t="n"/>
      <c r="H159" s="122" t="n"/>
      <c r="I159" s="122" t="n"/>
      <c r="J159" s="122" t="n"/>
      <c r="K159" s="122" t="n"/>
      <c r="L159" s="122" t="n"/>
      <c r="M159" s="122" t="n"/>
      <c r="N159" s="122" t="n"/>
      <c r="O159" s="122" t="n"/>
      <c r="P159" s="122" t="n"/>
      <c r="Q159" s="122" t="n"/>
      <c r="R159" s="122" t="n"/>
      <c r="S159" s="122" t="n"/>
      <c r="T159" s="3" t="n"/>
      <c r="U159" s="3" t="n"/>
      <c r="V159" s="3" t="n"/>
    </row>
    <row r="160" ht="8" customHeight="1">
      <c r="A160" s="3" t="n"/>
      <c r="B160" s="3" t="n"/>
      <c r="C160" s="3" t="n"/>
      <c r="D160" s="121" t="n"/>
      <c r="E160" s="121" t="n"/>
      <c r="F160" s="122" t="n"/>
      <c r="G160" s="122" t="n"/>
      <c r="H160" s="122" t="n"/>
      <c r="I160" s="122" t="n"/>
      <c r="J160" s="122" t="n"/>
      <c r="K160" s="122" t="n"/>
      <c r="L160" s="122" t="n"/>
      <c r="M160" s="122" t="n"/>
      <c r="N160" s="122" t="n"/>
      <c r="O160" s="122" t="n"/>
      <c r="P160" s="122" t="n"/>
      <c r="Q160" s="122" t="n"/>
      <c r="R160" s="122" t="n"/>
      <c r="S160" s="122" t="n"/>
      <c r="T160" s="3" t="n"/>
      <c r="U160" s="3" t="n"/>
      <c r="V160" s="3" t="n"/>
    </row>
    <row r="161" ht="8" customHeight="1">
      <c r="A161" s="3" t="n"/>
      <c r="B161" s="3" t="n"/>
      <c r="C161" s="3" t="n"/>
      <c r="D161" s="121" t="n"/>
      <c r="E161" s="121" t="n"/>
      <c r="F161" s="122" t="n"/>
      <c r="G161" s="122" t="n"/>
      <c r="H161" s="122" t="n"/>
      <c r="I161" s="122" t="n"/>
      <c r="J161" s="122" t="n"/>
      <c r="K161" s="122" t="n"/>
      <c r="L161" s="122" t="n"/>
      <c r="M161" s="122" t="n"/>
      <c r="N161" s="122" t="n"/>
      <c r="O161" s="122" t="n"/>
      <c r="P161" s="122" t="n"/>
      <c r="Q161" s="122" t="n"/>
      <c r="R161" s="122" t="n"/>
      <c r="S161" s="122" t="n"/>
      <c r="T161" s="3" t="n"/>
      <c r="U161" s="3" t="n"/>
      <c r="V161" s="3" t="n"/>
    </row>
    <row r="162" ht="8" customHeight="1">
      <c r="A162" s="3" t="n"/>
      <c r="B162" s="3" t="n"/>
      <c r="C162" s="3" t="n"/>
      <c r="D162" s="121" t="n"/>
      <c r="E162" s="121" t="n"/>
      <c r="F162" s="122" t="n"/>
      <c r="G162" s="122" t="n"/>
      <c r="H162" s="122" t="n"/>
      <c r="I162" s="122" t="n"/>
      <c r="J162" s="122" t="n"/>
      <c r="K162" s="122" t="n"/>
      <c r="L162" s="122" t="n"/>
      <c r="M162" s="122" t="n"/>
      <c r="N162" s="122" t="n"/>
      <c r="O162" s="122" t="n"/>
      <c r="P162" s="122" t="n"/>
      <c r="Q162" s="122" t="n"/>
      <c r="R162" s="122" t="n"/>
      <c r="S162" s="122" t="n"/>
      <c r="T162" s="3" t="n"/>
      <c r="U162" s="3" t="n"/>
      <c r="V162" s="3" t="n"/>
    </row>
    <row r="163" ht="8" customHeight="1">
      <c r="A163" s="3" t="n"/>
      <c r="B163" s="3" t="n"/>
      <c r="C163" s="3" t="n"/>
      <c r="D163" s="121" t="n"/>
      <c r="E163" s="121" t="n"/>
      <c r="F163" s="122" t="n"/>
      <c r="G163" s="122" t="n"/>
      <c r="H163" s="122" t="n"/>
      <c r="I163" s="122" t="n"/>
      <c r="J163" s="122" t="n"/>
      <c r="K163" s="122" t="n"/>
      <c r="L163" s="122" t="n"/>
      <c r="M163" s="122" t="n"/>
      <c r="N163" s="122" t="n"/>
      <c r="O163" s="122" t="n"/>
      <c r="P163" s="122" t="n"/>
      <c r="Q163" s="122" t="n"/>
      <c r="R163" s="122" t="n"/>
      <c r="S163" s="122" t="n"/>
      <c r="T163" s="3" t="n"/>
      <c r="U163" s="3" t="n"/>
      <c r="V163" s="3" t="n"/>
    </row>
    <row r="164" ht="8" customHeight="1">
      <c r="A164" s="3" t="n"/>
      <c r="B164" s="3" t="n"/>
      <c r="C164" s="3" t="n"/>
      <c r="D164" s="121" t="n"/>
      <c r="E164" s="121" t="n"/>
      <c r="F164" s="122" t="n"/>
      <c r="G164" s="122" t="n"/>
      <c r="H164" s="122" t="n"/>
      <c r="I164" s="122" t="n"/>
      <c r="J164" s="122" t="n"/>
      <c r="K164" s="122" t="n"/>
      <c r="L164" s="122" t="n"/>
      <c r="M164" s="122" t="n"/>
      <c r="N164" s="122" t="n"/>
      <c r="O164" s="122" t="n"/>
      <c r="P164" s="122" t="n"/>
      <c r="Q164" s="122" t="n"/>
      <c r="R164" s="122" t="n"/>
      <c r="S164" s="122" t="n"/>
      <c r="T164" s="3" t="n"/>
      <c r="U164" s="3" t="n"/>
      <c r="V164" s="3" t="n"/>
    </row>
    <row r="165" ht="8" customHeight="1">
      <c r="A165" s="3" t="n"/>
      <c r="B165" s="3" t="n"/>
      <c r="C165" s="3" t="n"/>
      <c r="D165" s="121" t="n"/>
      <c r="E165" s="121" t="n"/>
      <c r="F165" s="122" t="n"/>
      <c r="G165" s="122" t="n"/>
      <c r="H165" s="122" t="n"/>
      <c r="I165" s="122" t="n"/>
      <c r="J165" s="122" t="n"/>
      <c r="K165" s="122" t="n"/>
      <c r="L165" s="122" t="n"/>
      <c r="M165" s="122" t="n"/>
      <c r="N165" s="122" t="n"/>
      <c r="O165" s="122" t="n"/>
      <c r="P165" s="122" t="n"/>
      <c r="Q165" s="122" t="n"/>
      <c r="R165" s="122" t="n"/>
      <c r="S165" s="122" t="n"/>
      <c r="T165" s="3" t="n"/>
      <c r="U165" s="3" t="n"/>
      <c r="V165" s="3" t="n"/>
    </row>
    <row r="166" ht="8" customHeight="1">
      <c r="A166" s="3" t="n"/>
      <c r="B166" s="3" t="n"/>
      <c r="C166" s="3" t="n"/>
      <c r="D166" s="121" t="n"/>
      <c r="E166" s="121" t="n"/>
      <c r="F166" s="122" t="n"/>
      <c r="G166" s="122" t="n"/>
      <c r="H166" s="122" t="n"/>
      <c r="I166" s="122" t="n"/>
      <c r="J166" s="122" t="n"/>
      <c r="K166" s="122" t="n"/>
      <c r="L166" s="122" t="n"/>
      <c r="M166" s="122" t="n"/>
      <c r="N166" s="122" t="n"/>
      <c r="O166" s="122" t="n"/>
      <c r="P166" s="122" t="n"/>
      <c r="Q166" s="122" t="n"/>
      <c r="R166" s="122" t="n"/>
      <c r="S166" s="122" t="n"/>
      <c r="T166" s="3" t="n"/>
      <c r="U166" s="3" t="n"/>
      <c r="V166" s="3" t="n"/>
    </row>
    <row r="167" ht="8" customHeight="1">
      <c r="A167" s="3" t="n"/>
      <c r="B167" s="3" t="n"/>
      <c r="C167" s="3" t="n"/>
      <c r="D167" s="121" t="n"/>
      <c r="E167" s="121" t="n"/>
      <c r="F167" s="122" t="n"/>
      <c r="G167" s="122" t="n"/>
      <c r="H167" s="122" t="n"/>
      <c r="I167" s="122" t="n"/>
      <c r="J167" s="122" t="n"/>
      <c r="K167" s="122" t="n"/>
      <c r="L167" s="122" t="n"/>
      <c r="M167" s="122" t="n"/>
      <c r="N167" s="122" t="n"/>
      <c r="O167" s="122" t="n"/>
      <c r="P167" s="122" t="n"/>
      <c r="Q167" s="122" t="n"/>
      <c r="R167" s="122" t="n"/>
      <c r="S167" s="122" t="n"/>
      <c r="T167" s="3" t="n"/>
      <c r="U167" s="3" t="n"/>
      <c r="V167" s="3" t="n"/>
    </row>
    <row r="168" ht="8" customHeight="1">
      <c r="A168" s="3" t="n"/>
      <c r="B168" s="3" t="n"/>
      <c r="C168" s="3" t="n"/>
      <c r="D168" s="121" t="n"/>
      <c r="E168" s="121" t="n"/>
      <c r="F168" s="122" t="n"/>
      <c r="G168" s="122" t="n"/>
      <c r="H168" s="122" t="n"/>
      <c r="I168" s="122" t="n"/>
      <c r="J168" s="122" t="n"/>
      <c r="K168" s="122" t="n"/>
      <c r="L168" s="122" t="n"/>
      <c r="M168" s="122" t="n"/>
      <c r="N168" s="122" t="n"/>
      <c r="O168" s="122" t="n"/>
      <c r="P168" s="122" t="n"/>
      <c r="Q168" s="122" t="n"/>
      <c r="R168" s="122" t="n"/>
      <c r="S168" s="122" t="n"/>
      <c r="T168" s="3" t="n"/>
      <c r="U168" s="3" t="n"/>
      <c r="V168" s="3" t="n"/>
    </row>
    <row r="169" ht="8" customHeight="1">
      <c r="A169" s="3" t="n"/>
      <c r="B169" s="3" t="n"/>
      <c r="C169" s="3" t="n"/>
      <c r="D169" s="121" t="n"/>
      <c r="E169" s="121" t="n"/>
      <c r="F169" s="122" t="n"/>
      <c r="G169" s="122" t="n"/>
      <c r="H169" s="122" t="n"/>
      <c r="I169" s="122" t="n"/>
      <c r="J169" s="122" t="n"/>
      <c r="K169" s="122" t="n"/>
      <c r="L169" s="122" t="n"/>
      <c r="M169" s="122" t="n"/>
      <c r="N169" s="122" t="n"/>
      <c r="O169" s="122" t="n"/>
      <c r="P169" s="122" t="n"/>
      <c r="Q169" s="122" t="n"/>
      <c r="R169" s="122" t="n"/>
      <c r="S169" s="122" t="n"/>
      <c r="T169" s="3" t="n"/>
      <c r="U169" s="3" t="n"/>
      <c r="V169" s="3" t="n"/>
    </row>
    <row r="170" ht="8" customHeight="1">
      <c r="A170" s="3" t="n"/>
      <c r="B170" s="3" t="n"/>
      <c r="C170" s="3" t="n"/>
      <c r="D170" s="121" t="n"/>
      <c r="E170" s="121" t="n"/>
      <c r="F170" s="122" t="n"/>
      <c r="G170" s="122" t="n"/>
      <c r="H170" s="122" t="n"/>
      <c r="I170" s="122" t="n"/>
      <c r="J170" s="122" t="n"/>
      <c r="K170" s="122" t="n"/>
      <c r="L170" s="122" t="n"/>
      <c r="M170" s="122" t="n"/>
      <c r="N170" s="122" t="n"/>
      <c r="O170" s="122" t="n"/>
      <c r="P170" s="122" t="n"/>
      <c r="Q170" s="122" t="n"/>
      <c r="R170" s="122" t="n"/>
      <c r="S170" s="122" t="n"/>
      <c r="T170" s="3" t="n"/>
      <c r="U170" s="3" t="n"/>
      <c r="V170" s="3" t="n"/>
    </row>
    <row r="171" ht="8" customHeight="1">
      <c r="A171" s="3" t="n"/>
      <c r="B171" s="3" t="n"/>
      <c r="C171" s="3" t="n"/>
      <c r="D171" s="121" t="n"/>
      <c r="E171" s="121" t="n"/>
      <c r="F171" s="122" t="n"/>
      <c r="G171" s="122" t="n"/>
      <c r="H171" s="122" t="n"/>
      <c r="I171" s="122" t="n"/>
      <c r="J171" s="122" t="n"/>
      <c r="K171" s="122" t="n"/>
      <c r="L171" s="122" t="n"/>
      <c r="M171" s="122" t="n"/>
      <c r="N171" s="122" t="n"/>
      <c r="O171" s="122" t="n"/>
      <c r="P171" s="122" t="n"/>
      <c r="Q171" s="122" t="n"/>
      <c r="R171" s="122" t="n"/>
      <c r="S171" s="122" t="n"/>
      <c r="T171" s="3" t="n"/>
      <c r="U171" s="3" t="n"/>
      <c r="V171" s="3" t="n"/>
    </row>
    <row r="172" ht="8" customHeight="1">
      <c r="A172" s="3" t="n"/>
      <c r="B172" s="3" t="n"/>
      <c r="C172" s="3" t="n"/>
      <c r="D172" s="121" t="n"/>
      <c r="E172" s="121" t="n"/>
      <c r="F172" s="122" t="n"/>
      <c r="G172" s="122" t="n"/>
      <c r="H172" s="122" t="n"/>
      <c r="I172" s="122" t="n"/>
      <c r="J172" s="122" t="n"/>
      <c r="K172" s="122" t="n"/>
      <c r="L172" s="122" t="n"/>
      <c r="M172" s="122" t="n"/>
      <c r="N172" s="122" t="n"/>
      <c r="O172" s="122" t="n"/>
      <c r="P172" s="122" t="n"/>
      <c r="Q172" s="122" t="n"/>
      <c r="R172" s="122" t="n"/>
      <c r="S172" s="122" t="n"/>
      <c r="T172" s="3" t="n"/>
      <c r="U172" s="3" t="n"/>
      <c r="V172" s="3" t="n"/>
    </row>
    <row r="173" ht="8" customHeight="1">
      <c r="A173" s="3" t="n"/>
      <c r="B173" s="3" t="n"/>
      <c r="C173" s="3" t="n"/>
      <c r="D173" s="121" t="n"/>
      <c r="E173" s="121" t="n"/>
      <c r="F173" s="122" t="n"/>
      <c r="G173" s="122" t="n"/>
      <c r="H173" s="122" t="n"/>
      <c r="I173" s="122" t="n"/>
      <c r="J173" s="122" t="n"/>
      <c r="K173" s="122" t="n"/>
      <c r="L173" s="122" t="n"/>
      <c r="M173" s="122" t="n"/>
      <c r="N173" s="122" t="n"/>
      <c r="O173" s="122" t="n"/>
      <c r="P173" s="122" t="n"/>
      <c r="Q173" s="122" t="n"/>
      <c r="R173" s="122" t="n"/>
      <c r="S173" s="122" t="n"/>
      <c r="T173" s="3" t="n"/>
      <c r="U173" s="3" t="n"/>
      <c r="V173" s="3" t="n"/>
    </row>
    <row r="174" ht="8" customHeight="1">
      <c r="A174" s="3" t="n"/>
      <c r="B174" s="3" t="n"/>
      <c r="C174" s="3" t="n"/>
      <c r="D174" s="121" t="n"/>
      <c r="E174" s="121" t="n"/>
      <c r="F174" s="122" t="n"/>
      <c r="G174" s="122" t="n"/>
      <c r="H174" s="122" t="n"/>
      <c r="I174" s="122" t="n"/>
      <c r="J174" s="122" t="n"/>
      <c r="K174" s="122" t="n"/>
      <c r="L174" s="122" t="n"/>
      <c r="M174" s="122" t="n"/>
      <c r="N174" s="122" t="n"/>
      <c r="O174" s="122" t="n"/>
      <c r="P174" s="122" t="n"/>
      <c r="Q174" s="122" t="n"/>
      <c r="R174" s="122" t="n"/>
      <c r="S174" s="122" t="n"/>
      <c r="T174" s="3" t="n"/>
      <c r="U174" s="3" t="n"/>
      <c r="V174" s="3" t="n"/>
    </row>
    <row r="175" ht="8" customHeight="1">
      <c r="A175" s="3" t="n"/>
      <c r="B175" s="3" t="n"/>
      <c r="C175" s="3" t="n"/>
      <c r="D175" s="121" t="n"/>
      <c r="E175" s="121" t="n"/>
      <c r="F175" s="122" t="n"/>
      <c r="G175" s="122" t="n"/>
      <c r="H175" s="122" t="n"/>
      <c r="I175" s="122" t="n"/>
      <c r="J175" s="122" t="n"/>
      <c r="K175" s="122" t="n"/>
      <c r="L175" s="122" t="n"/>
      <c r="M175" s="122" t="n"/>
      <c r="N175" s="122" t="n"/>
      <c r="O175" s="122" t="n"/>
      <c r="P175" s="122" t="n"/>
      <c r="Q175" s="122" t="n"/>
      <c r="R175" s="122" t="n"/>
      <c r="S175" s="122" t="n"/>
      <c r="T175" s="3" t="n"/>
      <c r="U175" s="3" t="n"/>
      <c r="V175" s="3" t="n"/>
    </row>
    <row r="176" ht="8" customHeight="1">
      <c r="A176" s="3" t="n"/>
      <c r="B176" s="3" t="n"/>
      <c r="C176" s="3" t="n"/>
      <c r="D176" s="121" t="n"/>
      <c r="E176" s="121" t="n"/>
      <c r="F176" s="122" t="n"/>
      <c r="G176" s="122" t="n"/>
      <c r="H176" s="122" t="n"/>
      <c r="I176" s="122" t="n"/>
      <c r="J176" s="122" t="n"/>
      <c r="K176" s="122" t="n"/>
      <c r="L176" s="122" t="n"/>
      <c r="M176" s="122" t="n"/>
      <c r="N176" s="122" t="n"/>
      <c r="O176" s="122" t="n"/>
      <c r="P176" s="122" t="n"/>
      <c r="Q176" s="122" t="n"/>
      <c r="R176" s="122" t="n"/>
      <c r="S176" s="122" t="n"/>
      <c r="T176" s="3" t="n"/>
      <c r="U176" s="3" t="n"/>
      <c r="V176" s="3" t="n"/>
    </row>
    <row r="177" ht="8" customHeight="1">
      <c r="A177" s="3" t="n"/>
      <c r="B177" s="3" t="n"/>
      <c r="C177" s="3" t="n"/>
      <c r="D177" s="121" t="n"/>
      <c r="E177" s="121" t="n"/>
      <c r="F177" s="122" t="n"/>
      <c r="G177" s="122" t="n"/>
      <c r="H177" s="122" t="n"/>
      <c r="I177" s="122" t="n"/>
      <c r="J177" s="122" t="n"/>
      <c r="K177" s="122" t="n"/>
      <c r="L177" s="122" t="n"/>
      <c r="M177" s="122" t="n"/>
      <c r="N177" s="122" t="n"/>
      <c r="O177" s="122" t="n"/>
      <c r="P177" s="122" t="n"/>
      <c r="Q177" s="122" t="n"/>
      <c r="R177" s="122" t="n"/>
      <c r="S177" s="122" t="n"/>
      <c r="T177" s="3" t="n"/>
      <c r="U177" s="3" t="n"/>
      <c r="V177" s="3" t="n"/>
    </row>
    <row r="178" ht="8" customHeight="1">
      <c r="A178" s="3" t="n"/>
      <c r="B178" s="3" t="n"/>
      <c r="C178" s="3" t="n"/>
      <c r="D178" s="121" t="n"/>
      <c r="E178" s="121" t="n"/>
      <c r="F178" s="122" t="n"/>
      <c r="G178" s="122" t="n"/>
      <c r="H178" s="122" t="n"/>
      <c r="I178" s="122" t="n"/>
      <c r="J178" s="122" t="n"/>
      <c r="K178" s="122" t="n"/>
      <c r="L178" s="122" t="n"/>
      <c r="M178" s="122" t="n"/>
      <c r="N178" s="122" t="n"/>
      <c r="O178" s="122" t="n"/>
      <c r="P178" s="122" t="n"/>
      <c r="Q178" s="122" t="n"/>
      <c r="R178" s="122" t="n"/>
      <c r="S178" s="122" t="n"/>
      <c r="T178" s="3" t="n"/>
      <c r="U178" s="3" t="n"/>
      <c r="V178" s="3" t="n"/>
    </row>
    <row r="179" ht="8" customHeight="1">
      <c r="A179" s="3" t="n"/>
      <c r="B179" s="3" t="n"/>
      <c r="C179" s="3" t="n"/>
      <c r="D179" s="121" t="n"/>
      <c r="E179" s="121" t="n"/>
      <c r="F179" s="122" t="n"/>
      <c r="G179" s="122" t="n"/>
      <c r="H179" s="122" t="n"/>
      <c r="I179" s="122" t="n"/>
      <c r="J179" s="122" t="n"/>
      <c r="K179" s="122" t="n"/>
      <c r="L179" s="122" t="n"/>
      <c r="M179" s="122" t="n"/>
      <c r="N179" s="122" t="n"/>
      <c r="O179" s="122" t="n"/>
      <c r="P179" s="122" t="n"/>
      <c r="Q179" s="122" t="n"/>
      <c r="R179" s="122" t="n"/>
      <c r="S179" s="122" t="n"/>
      <c r="T179" s="3" t="n"/>
      <c r="U179" s="3" t="n"/>
      <c r="V179" s="3" t="n"/>
    </row>
    <row r="180" ht="8" customHeight="1">
      <c r="A180" s="3" t="n"/>
      <c r="B180" s="3" t="n"/>
      <c r="C180" s="3" t="n"/>
      <c r="D180" s="121" t="n"/>
      <c r="E180" s="121" t="n"/>
      <c r="F180" s="122" t="n"/>
      <c r="G180" s="122" t="n"/>
      <c r="H180" s="122" t="n"/>
      <c r="I180" s="122" t="n"/>
      <c r="J180" s="122" t="n"/>
      <c r="K180" s="122" t="n"/>
      <c r="L180" s="122" t="n"/>
      <c r="M180" s="122" t="n"/>
      <c r="N180" s="122" t="n"/>
      <c r="O180" s="122" t="n"/>
      <c r="P180" s="122" t="n"/>
      <c r="Q180" s="122" t="n"/>
      <c r="R180" s="122" t="n"/>
      <c r="S180" s="122" t="n"/>
      <c r="T180" s="3" t="n"/>
      <c r="U180" s="3" t="n"/>
      <c r="V180" s="3" t="n"/>
    </row>
    <row r="181" ht="8" customHeight="1">
      <c r="A181" s="3" t="n"/>
      <c r="B181" s="3" t="n"/>
      <c r="C181" s="3" t="n"/>
      <c r="D181" s="121" t="n"/>
      <c r="E181" s="121" t="n"/>
      <c r="F181" s="122" t="n"/>
      <c r="G181" s="122" t="n"/>
      <c r="H181" s="122" t="n"/>
      <c r="I181" s="122" t="n"/>
      <c r="J181" s="122" t="n"/>
      <c r="K181" s="122" t="n"/>
      <c r="L181" s="122" t="n"/>
      <c r="M181" s="122" t="n"/>
      <c r="N181" s="122" t="n"/>
      <c r="O181" s="122" t="n"/>
      <c r="P181" s="122" t="n"/>
      <c r="Q181" s="122" t="n"/>
      <c r="R181" s="122" t="n"/>
      <c r="S181" s="122" t="n"/>
      <c r="T181" s="3" t="n"/>
      <c r="U181" s="3" t="n"/>
      <c r="V181" s="3" t="n"/>
    </row>
    <row r="182" ht="8" customHeight="1">
      <c r="A182" s="3" t="n"/>
      <c r="B182" s="3" t="n"/>
      <c r="C182" s="3" t="n"/>
      <c r="D182" s="121" t="n"/>
      <c r="E182" s="121" t="n"/>
      <c r="F182" s="122" t="n"/>
      <c r="G182" s="122" t="n"/>
      <c r="H182" s="122" t="n"/>
      <c r="I182" s="122" t="n"/>
      <c r="J182" s="122" t="n"/>
      <c r="K182" s="122" t="n"/>
      <c r="L182" s="122" t="n"/>
      <c r="M182" s="122" t="n"/>
      <c r="N182" s="122" t="n"/>
      <c r="O182" s="122" t="n"/>
      <c r="P182" s="122" t="n"/>
      <c r="Q182" s="122" t="n"/>
      <c r="R182" s="122" t="n"/>
      <c r="S182" s="122" t="n"/>
      <c r="T182" s="3" t="n"/>
      <c r="U182" s="3" t="n"/>
      <c r="V182" s="3" t="n"/>
    </row>
    <row r="183" ht="8" customHeight="1">
      <c r="A183" s="3" t="n"/>
      <c r="B183" s="3" t="n"/>
      <c r="C183" s="3" t="n"/>
      <c r="D183" s="121" t="n"/>
      <c r="E183" s="121" t="n"/>
      <c r="F183" s="122" t="n"/>
      <c r="G183" s="122" t="n"/>
      <c r="H183" s="122" t="n"/>
      <c r="I183" s="122" t="n"/>
      <c r="J183" s="122" t="n"/>
      <c r="K183" s="122" t="n"/>
      <c r="L183" s="122" t="n"/>
      <c r="M183" s="122" t="n"/>
      <c r="N183" s="122" t="n"/>
      <c r="O183" s="122" t="n"/>
      <c r="P183" s="122" t="n"/>
      <c r="Q183" s="122" t="n"/>
      <c r="R183" s="122" t="n"/>
      <c r="S183" s="122" t="n"/>
      <c r="T183" s="3" t="n"/>
      <c r="U183" s="3" t="n"/>
      <c r="V183" s="3" t="n"/>
    </row>
    <row r="184" ht="8" customHeight="1">
      <c r="A184" s="3" t="n"/>
      <c r="B184" s="3" t="n"/>
      <c r="C184" s="3" t="n"/>
      <c r="D184" s="121" t="n"/>
      <c r="E184" s="121" t="n"/>
      <c r="F184" s="122" t="n"/>
      <c r="G184" s="122" t="n"/>
      <c r="H184" s="122" t="n"/>
      <c r="I184" s="122" t="n"/>
      <c r="J184" s="122" t="n"/>
      <c r="K184" s="122" t="n"/>
      <c r="L184" s="122" t="n"/>
      <c r="M184" s="122" t="n"/>
      <c r="N184" s="122" t="n"/>
      <c r="O184" s="122" t="n"/>
      <c r="P184" s="122" t="n"/>
      <c r="Q184" s="122" t="n"/>
      <c r="R184" s="122" t="n"/>
      <c r="S184" s="122" t="n"/>
      <c r="T184" s="3" t="n"/>
      <c r="U184" s="3" t="n"/>
      <c r="V184" s="3" t="n"/>
    </row>
    <row r="185" ht="8" customHeight="1">
      <c r="A185" s="3" t="n"/>
      <c r="B185" s="3" t="n"/>
      <c r="C185" s="3" t="n"/>
      <c r="D185" s="121" t="n"/>
      <c r="E185" s="121" t="n"/>
      <c r="F185" s="122" t="n"/>
      <c r="G185" s="122" t="n"/>
      <c r="H185" s="122" t="n"/>
      <c r="I185" s="122" t="n"/>
      <c r="J185" s="122" t="n"/>
      <c r="K185" s="122" t="n"/>
      <c r="L185" s="122" t="n"/>
      <c r="M185" s="122" t="n"/>
      <c r="N185" s="122" t="n"/>
      <c r="O185" s="122" t="n"/>
      <c r="P185" s="122" t="n"/>
      <c r="Q185" s="122" t="n"/>
      <c r="R185" s="122" t="n"/>
      <c r="S185" s="122" t="n"/>
      <c r="T185" s="3" t="n"/>
      <c r="U185" s="3" t="n"/>
      <c r="V185" s="3" t="n"/>
    </row>
    <row r="186" ht="8" customHeight="1">
      <c r="A186" s="3" t="n"/>
      <c r="B186" s="3" t="n"/>
      <c r="C186" s="3" t="n"/>
      <c r="D186" s="121" t="n"/>
      <c r="E186" s="121" t="n"/>
      <c r="F186" s="122" t="n"/>
      <c r="G186" s="122" t="n"/>
      <c r="H186" s="122" t="n"/>
      <c r="I186" s="122" t="n"/>
      <c r="J186" s="122" t="n"/>
      <c r="K186" s="122" t="n"/>
      <c r="L186" s="122" t="n"/>
      <c r="M186" s="122" t="n"/>
      <c r="N186" s="122" t="n"/>
      <c r="O186" s="122" t="n"/>
      <c r="P186" s="122" t="n"/>
      <c r="Q186" s="122" t="n"/>
      <c r="R186" s="122" t="n"/>
      <c r="S186" s="122" t="n"/>
      <c r="T186" s="3" t="n"/>
      <c r="U186" s="3" t="n"/>
      <c r="V186" s="3" t="n"/>
    </row>
    <row r="187" ht="8" customHeight="1">
      <c r="A187" s="3" t="n"/>
      <c r="B187" s="3" t="n"/>
      <c r="C187" s="3" t="n"/>
      <c r="D187" s="121" t="n"/>
      <c r="E187" s="121" t="n"/>
      <c r="F187" s="122" t="n"/>
      <c r="G187" s="122" t="n"/>
      <c r="H187" s="122" t="n"/>
      <c r="I187" s="122" t="n"/>
      <c r="J187" s="122" t="n"/>
      <c r="K187" s="122" t="n"/>
      <c r="L187" s="122" t="n"/>
      <c r="M187" s="122" t="n"/>
      <c r="N187" s="122" t="n"/>
      <c r="O187" s="122" t="n"/>
      <c r="P187" s="122" t="n"/>
      <c r="Q187" s="122" t="n"/>
      <c r="R187" s="122" t="n"/>
      <c r="S187" s="122" t="n"/>
      <c r="T187" s="3" t="n"/>
      <c r="U187" s="3" t="n"/>
      <c r="V187" s="3" t="n"/>
    </row>
    <row r="188" ht="8" customHeight="1">
      <c r="A188" s="3" t="n"/>
      <c r="B188" s="3" t="n"/>
      <c r="C188" s="3" t="n"/>
      <c r="D188" s="121" t="n"/>
      <c r="E188" s="121" t="n"/>
      <c r="F188" s="122" t="n"/>
      <c r="G188" s="122" t="n"/>
      <c r="H188" s="122" t="n"/>
      <c r="I188" s="122" t="n"/>
      <c r="J188" s="122" t="n"/>
      <c r="K188" s="122" t="n"/>
      <c r="L188" s="122" t="n"/>
      <c r="M188" s="122" t="n"/>
      <c r="N188" s="122" t="n"/>
      <c r="O188" s="122" t="n"/>
      <c r="P188" s="122" t="n"/>
      <c r="Q188" s="122" t="n"/>
      <c r="R188" s="122" t="n"/>
      <c r="S188" s="122" t="n"/>
      <c r="T188" s="3" t="n"/>
      <c r="U188" s="3" t="n"/>
      <c r="V188" s="3" t="n"/>
    </row>
    <row r="189" ht="8" customHeight="1">
      <c r="A189" s="3" t="n"/>
      <c r="B189" s="3" t="n"/>
      <c r="C189" s="3" t="n"/>
      <c r="D189" s="121" t="n"/>
      <c r="E189" s="121" t="n"/>
      <c r="F189" s="122" t="n"/>
      <c r="G189" s="122" t="n"/>
      <c r="H189" s="122" t="n"/>
      <c r="I189" s="122" t="n"/>
      <c r="J189" s="122" t="n"/>
      <c r="K189" s="122" t="n"/>
      <c r="L189" s="122" t="n"/>
      <c r="M189" s="122" t="n"/>
      <c r="N189" s="122" t="n"/>
      <c r="O189" s="122" t="n"/>
      <c r="P189" s="122" t="n"/>
      <c r="Q189" s="122" t="n"/>
      <c r="R189" s="122" t="n"/>
      <c r="S189" s="122" t="n"/>
      <c r="T189" s="3" t="n"/>
      <c r="U189" s="3" t="n"/>
      <c r="V189" s="3" t="n"/>
    </row>
    <row r="190" ht="8" customHeight="1">
      <c r="A190" s="3" t="n"/>
      <c r="B190" s="3" t="n"/>
      <c r="C190" s="3" t="n"/>
      <c r="D190" s="121" t="n"/>
      <c r="E190" s="121" t="n"/>
      <c r="F190" s="122" t="n"/>
      <c r="G190" s="122" t="n"/>
      <c r="H190" s="122" t="n"/>
      <c r="I190" s="122" t="n"/>
      <c r="J190" s="122" t="n"/>
      <c r="K190" s="122" t="n"/>
      <c r="L190" s="122" t="n"/>
      <c r="M190" s="122" t="n"/>
      <c r="N190" s="122" t="n"/>
      <c r="O190" s="122" t="n"/>
      <c r="P190" s="122" t="n"/>
      <c r="Q190" s="122" t="n"/>
      <c r="R190" s="122" t="n"/>
      <c r="S190" s="122" t="n"/>
      <c r="T190" s="3" t="n"/>
      <c r="U190" s="3" t="n"/>
      <c r="V190" s="3" t="n"/>
    </row>
    <row r="191" ht="8" customHeight="1">
      <c r="A191" s="3" t="n"/>
      <c r="B191" s="3" t="n"/>
      <c r="C191" s="3" t="n"/>
      <c r="D191" s="121" t="n"/>
      <c r="E191" s="121" t="n"/>
      <c r="F191" s="122" t="n"/>
      <c r="G191" s="122" t="n"/>
      <c r="H191" s="122" t="n"/>
      <c r="I191" s="122" t="n"/>
      <c r="J191" s="122" t="n"/>
      <c r="K191" s="122" t="n"/>
      <c r="L191" s="122" t="n"/>
      <c r="M191" s="122" t="n"/>
      <c r="N191" s="122" t="n"/>
      <c r="O191" s="122" t="n"/>
      <c r="P191" s="122" t="n"/>
      <c r="Q191" s="122" t="n"/>
      <c r="R191" s="122" t="n"/>
      <c r="S191" s="122" t="n"/>
      <c r="T191" s="3" t="n"/>
      <c r="U191" s="3" t="n"/>
      <c r="V191" s="3" t="n"/>
    </row>
    <row r="192" ht="8" customHeight="1">
      <c r="A192" s="3" t="n"/>
      <c r="B192" s="3" t="n"/>
      <c r="C192" s="3" t="n"/>
      <c r="D192" s="121" t="n"/>
      <c r="E192" s="121" t="n"/>
      <c r="F192" s="122" t="n"/>
      <c r="G192" s="122" t="n"/>
      <c r="H192" s="122" t="n"/>
      <c r="I192" s="122" t="n"/>
      <c r="J192" s="122" t="n"/>
      <c r="K192" s="122" t="n"/>
      <c r="L192" s="122" t="n"/>
      <c r="M192" s="122" t="n"/>
      <c r="N192" s="122" t="n"/>
      <c r="O192" s="122" t="n"/>
      <c r="P192" s="122" t="n"/>
      <c r="Q192" s="122" t="n"/>
      <c r="R192" s="122" t="n"/>
      <c r="S192" s="122" t="n"/>
      <c r="T192" s="3" t="n"/>
      <c r="U192" s="3" t="n"/>
      <c r="V192" s="3" t="n"/>
    </row>
    <row r="193" ht="8" customHeight="1">
      <c r="A193" s="3" t="n"/>
      <c r="B193" s="3" t="n"/>
      <c r="C193" s="3" t="n"/>
      <c r="D193" s="121" t="n"/>
      <c r="E193" s="121" t="n"/>
      <c r="F193" s="122" t="n"/>
      <c r="G193" s="122" t="n"/>
      <c r="H193" s="122" t="n"/>
      <c r="I193" s="122" t="n"/>
      <c r="J193" s="122" t="n"/>
      <c r="K193" s="122" t="n"/>
      <c r="L193" s="122" t="n"/>
      <c r="M193" s="122" t="n"/>
      <c r="N193" s="122" t="n"/>
      <c r="O193" s="122" t="n"/>
      <c r="P193" s="122" t="n"/>
      <c r="Q193" s="122" t="n"/>
      <c r="R193" s="122" t="n"/>
      <c r="S193" s="122" t="n"/>
      <c r="T193" s="3" t="n"/>
      <c r="U193" s="3" t="n"/>
      <c r="V193" s="3" t="n"/>
    </row>
    <row r="194" ht="8" customHeight="1">
      <c r="A194" s="3" t="n"/>
      <c r="B194" s="3" t="n"/>
      <c r="C194" s="3" t="n"/>
      <c r="D194" s="121" t="n"/>
      <c r="E194" s="121" t="n"/>
      <c r="F194" s="122" t="n"/>
      <c r="G194" s="122" t="n"/>
      <c r="H194" s="122" t="n"/>
      <c r="I194" s="122" t="n"/>
      <c r="J194" s="122" t="n"/>
      <c r="K194" s="122" t="n"/>
      <c r="L194" s="122" t="n"/>
      <c r="M194" s="122" t="n"/>
      <c r="N194" s="122" t="n"/>
      <c r="O194" s="122" t="n"/>
      <c r="P194" s="122" t="n"/>
      <c r="Q194" s="122" t="n"/>
      <c r="R194" s="122" t="n"/>
      <c r="S194" s="122" t="n"/>
      <c r="T194" s="3" t="n"/>
      <c r="U194" s="3" t="n"/>
      <c r="V194" s="3" t="n"/>
    </row>
    <row r="195" ht="8" customHeight="1">
      <c r="A195" s="3" t="n"/>
      <c r="B195" s="3" t="n"/>
      <c r="C195" s="3" t="n"/>
      <c r="D195" s="121" t="n"/>
      <c r="E195" s="121" t="n"/>
      <c r="F195" s="122" t="n"/>
      <c r="G195" s="122" t="n"/>
      <c r="H195" s="122" t="n"/>
      <c r="I195" s="122" t="n"/>
      <c r="J195" s="122" t="n"/>
      <c r="K195" s="122" t="n"/>
      <c r="L195" s="122" t="n"/>
      <c r="M195" s="122" t="n"/>
      <c r="N195" s="122" t="n"/>
      <c r="O195" s="122" t="n"/>
      <c r="P195" s="122" t="n"/>
      <c r="Q195" s="122" t="n"/>
      <c r="R195" s="122" t="n"/>
      <c r="S195" s="122" t="n"/>
      <c r="T195" s="3" t="n"/>
      <c r="U195" s="3" t="n"/>
      <c r="V195" s="3" t="n"/>
    </row>
    <row r="196" ht="8" customHeight="1">
      <c r="A196" s="3" t="n"/>
      <c r="B196" s="3" t="n"/>
      <c r="C196" s="3" t="n"/>
      <c r="D196" s="121" t="n"/>
      <c r="E196" s="121" t="n"/>
      <c r="F196" s="122" t="n"/>
      <c r="G196" s="122" t="n"/>
      <c r="H196" s="122" t="n"/>
      <c r="I196" s="122" t="n"/>
      <c r="J196" s="122" t="n"/>
      <c r="K196" s="122" t="n"/>
      <c r="L196" s="122" t="n"/>
      <c r="M196" s="122" t="n"/>
      <c r="N196" s="122" t="n"/>
      <c r="O196" s="122" t="n"/>
      <c r="P196" s="122" t="n"/>
      <c r="Q196" s="122" t="n"/>
      <c r="R196" s="122" t="n"/>
      <c r="S196" s="122" t="n"/>
      <c r="T196" s="3" t="n"/>
      <c r="U196" s="3" t="n"/>
      <c r="V196" s="3" t="n"/>
    </row>
    <row r="197" ht="8" customHeight="1">
      <c r="A197" s="3" t="n"/>
      <c r="B197" s="3" t="n"/>
      <c r="C197" s="3" t="n"/>
      <c r="D197" s="121" t="n"/>
      <c r="E197" s="121" t="n"/>
      <c r="F197" s="122" t="n"/>
      <c r="G197" s="122" t="n"/>
      <c r="H197" s="122" t="n"/>
      <c r="I197" s="122" t="n"/>
      <c r="J197" s="122" t="n"/>
      <c r="K197" s="122" t="n"/>
      <c r="L197" s="122" t="n"/>
      <c r="M197" s="122" t="n"/>
      <c r="N197" s="122" t="n"/>
      <c r="O197" s="122" t="n"/>
      <c r="P197" s="122" t="n"/>
      <c r="Q197" s="122" t="n"/>
      <c r="R197" s="122" t="n"/>
      <c r="S197" s="122" t="n"/>
      <c r="T197" s="3" t="n"/>
      <c r="U197" s="3" t="n"/>
      <c r="V197" s="3" t="n"/>
    </row>
    <row r="198" ht="8" customHeight="1">
      <c r="A198" s="3" t="n"/>
      <c r="B198" s="3" t="n"/>
      <c r="C198" s="3" t="n"/>
      <c r="D198" s="121" t="n"/>
      <c r="E198" s="121" t="n"/>
      <c r="F198" s="122" t="n"/>
      <c r="G198" s="122" t="n"/>
      <c r="H198" s="122" t="n"/>
      <c r="I198" s="122" t="n"/>
      <c r="J198" s="122" t="n"/>
      <c r="K198" s="122" t="n"/>
      <c r="L198" s="122" t="n"/>
      <c r="M198" s="122" t="n"/>
      <c r="N198" s="122" t="n"/>
      <c r="O198" s="122" t="n"/>
      <c r="P198" s="122" t="n"/>
      <c r="Q198" s="122" t="n"/>
      <c r="R198" s="122" t="n"/>
      <c r="S198" s="122" t="n"/>
      <c r="T198" s="3" t="n"/>
      <c r="U198" s="3" t="n"/>
      <c r="V198" s="3" t="n"/>
    </row>
    <row r="199" ht="8" customHeight="1">
      <c r="A199" s="3" t="n"/>
      <c r="B199" s="3" t="n"/>
      <c r="C199" s="3" t="n"/>
      <c r="D199" s="121" t="n"/>
      <c r="E199" s="121" t="n"/>
      <c r="F199" s="122" t="n"/>
      <c r="G199" s="122" t="n"/>
      <c r="H199" s="122" t="n"/>
      <c r="I199" s="122" t="n"/>
      <c r="J199" s="122" t="n"/>
      <c r="K199" s="122" t="n"/>
      <c r="L199" s="122" t="n"/>
      <c r="M199" s="122" t="n"/>
      <c r="N199" s="122" t="n"/>
      <c r="O199" s="122" t="n"/>
      <c r="P199" s="122" t="n"/>
      <c r="Q199" s="122" t="n"/>
      <c r="R199" s="122" t="n"/>
      <c r="S199" s="122" t="n"/>
      <c r="T199" s="3" t="n"/>
      <c r="U199" s="3" t="n"/>
      <c r="V199" s="3" t="n"/>
    </row>
    <row r="200" ht="8" customHeight="1">
      <c r="A200" s="3" t="n"/>
      <c r="B200" s="3" t="n"/>
      <c r="C200" s="3" t="n"/>
      <c r="D200" s="121" t="n"/>
      <c r="E200" s="121" t="n"/>
      <c r="F200" s="122" t="n"/>
      <c r="G200" s="122" t="n"/>
      <c r="H200" s="122" t="n"/>
      <c r="I200" s="122" t="n"/>
      <c r="J200" s="122" t="n"/>
      <c r="K200" s="122" t="n"/>
      <c r="L200" s="122" t="n"/>
      <c r="M200" s="122" t="n"/>
      <c r="N200" s="122" t="n"/>
      <c r="O200" s="122" t="n"/>
      <c r="P200" s="122" t="n"/>
      <c r="Q200" s="122" t="n"/>
      <c r="R200" s="122" t="n"/>
      <c r="S200" s="122" t="n"/>
      <c r="T200" s="3" t="n"/>
      <c r="U200" s="3" t="n"/>
      <c r="V200" s="3"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V200"/>
  <sheetViews>
    <sheetView showGridLines="0" workbookViewId="0">
      <pane ySplit="4" topLeftCell="A5" activePane="bottomLeft" state="frozen"/>
      <selection activeCell="A1" sqref="A1"/>
    </sheetView>
  </sheetViews>
  <sheetFormatPr baseColWidth="8" defaultRowHeight="15"/>
  <cols>
    <col width="28.1299991607666" customWidth="1" min="1" max="1"/>
    <col width="12.5" customWidth="1" min="2" max="2"/>
    <col width="15.63000011444092" customWidth="1" min="3" max="3"/>
    <col width="15" customWidth="1" min="4" max="4"/>
    <col width="40" customWidth="1" min="5" max="5"/>
    <col width="16.8799991607666" customWidth="1" min="6" max="6"/>
    <col width="16.8799991607666" customWidth="1" min="7" max="7"/>
    <col width="16.8799991607666" customWidth="1" min="8" max="8"/>
    <col width="16.8799991607666" customWidth="1" min="9" max="9"/>
    <col width="16.8799991607666" customWidth="1" min="10" max="10"/>
    <col width="16.8799991607666" customWidth="1" min="11" max="11"/>
    <col width="16.8799991607666" customWidth="1" min="12" max="12"/>
    <col width="16.8799991607666" customWidth="1" min="13" max="13"/>
    <col width="16.8799991607666" customWidth="1" min="14" max="14"/>
    <col width="16.8799991607666" customWidth="1" min="15" max="15"/>
    <col width="16.8799991607666" customWidth="1" min="16" max="16"/>
    <col width="16.8799991607666" customWidth="1" min="17" max="17"/>
    <col width="16.8799991607666" customWidth="1" min="18" max="18"/>
    <col width="16.8799991607666" customWidth="1" min="19" max="19"/>
    <col width="31.8799991607666" customWidth="1" min="20" max="20"/>
    <col width="36.25" customWidth="1" min="21" max="21"/>
    <col width="36.25" customWidth="1" min="22" max="22"/>
  </cols>
  <sheetData>
    <row r="1" ht="25" customHeight="1">
      <c r="A1" s="81" t="inlineStr">
        <is>
          <t>Model run</t>
        </is>
      </c>
      <c r="B1" s="3" t="n"/>
      <c r="C1" s="3" t="n"/>
      <c r="D1" s="3" t="n"/>
      <c r="E1" s="3" t="n"/>
      <c r="F1" s="3" t="n"/>
      <c r="G1" s="3" t="n"/>
      <c r="H1" s="3" t="n"/>
      <c r="I1" s="3" t="n"/>
      <c r="J1" s="3" t="n"/>
      <c r="K1" s="3" t="n"/>
      <c r="L1" s="3" t="n"/>
      <c r="M1" s="3" t="n"/>
      <c r="N1" s="3" t="n"/>
      <c r="O1" s="3" t="n"/>
      <c r="P1" s="3" t="n"/>
      <c r="Q1" s="3" t="n"/>
      <c r="R1" s="3" t="n"/>
      <c r="S1" s="3" t="n"/>
      <c r="T1" s="3" t="n"/>
      <c r="U1" s="3" t="n"/>
      <c r="V1" s="3" t="n"/>
    </row>
    <row r="2" ht="21" customHeight="1">
      <c r="A2" s="6" t="inlineStr">
        <is>
          <t>Frozen Python run inputs/results • changing an input here does NOT rerun the engine; rerun Python and refresh this workbook.</t>
        </is>
      </c>
      <c r="B2" s="3" t="n"/>
      <c r="C2" s="3" t="n"/>
      <c r="D2" s="3" t="n"/>
      <c r="E2" s="3" t="n"/>
      <c r="F2" s="3" t="n"/>
      <c r="G2" s="3" t="n"/>
      <c r="H2" s="3" t="n"/>
      <c r="I2" s="3" t="n"/>
      <c r="J2" s="3" t="n"/>
      <c r="K2" s="3" t="n"/>
      <c r="L2" s="3" t="n"/>
      <c r="M2" s="3" t="n"/>
      <c r="N2" s="3" t="n"/>
      <c r="O2" s="3" t="n"/>
      <c r="P2" s="3" t="n"/>
      <c r="Q2" s="3" t="n"/>
      <c r="R2" s="3" t="n"/>
      <c r="S2" s="3" t="n"/>
      <c r="T2" s="3" t="n"/>
      <c r="U2" s="3" t="n"/>
      <c r="V2" s="3" t="n"/>
    </row>
    <row r="3" ht="8" customHeight="1">
      <c r="A3" s="3" t="n"/>
      <c r="B3" s="3" t="n"/>
      <c r="C3" s="3" t="n"/>
      <c r="D3" s="3" t="n"/>
      <c r="E3" s="3" t="n"/>
      <c r="F3" s="3" t="n"/>
      <c r="G3" s="3" t="n"/>
      <c r="H3" s="3" t="n"/>
      <c r="I3" s="3" t="n"/>
      <c r="J3" s="3" t="n"/>
      <c r="K3" s="3" t="n"/>
      <c r="L3" s="3" t="n"/>
      <c r="M3" s="3" t="n"/>
      <c r="N3" s="3" t="n"/>
      <c r="O3" s="3" t="n"/>
      <c r="P3" s="3" t="n"/>
      <c r="Q3" s="3" t="n"/>
      <c r="R3" s="3" t="n"/>
      <c r="S3" s="3" t="n"/>
      <c r="T3" s="3" t="n"/>
      <c r="U3" s="3" t="n"/>
      <c r="V3" s="3" t="n"/>
    </row>
    <row r="4" ht="30" customHeight="1">
      <c r="A4" s="9" t="inlineStr">
        <is>
          <t>Series / driver</t>
        </is>
      </c>
      <c r="B4" s="9" t="inlineStr">
        <is>
          <t>Unit</t>
        </is>
      </c>
      <c r="C4" s="9" t="inlineStr">
        <is>
          <t>Role</t>
        </is>
      </c>
      <c r="D4" s="9" t="inlineStr">
        <is>
          <t>Scalar / latest</t>
        </is>
      </c>
      <c r="E4" s="9" t="inlineStr">
        <is>
          <t>Definition / period</t>
        </is>
      </c>
      <c r="F4" s="9" t="n">
        <v>2022</v>
      </c>
      <c r="G4" s="9" t="n">
        <v>2023</v>
      </c>
      <c r="H4" s="9" t="n">
        <v>2024</v>
      </c>
      <c r="I4" s="9" t="n">
        <v>2025</v>
      </c>
      <c r="J4" s="9" t="n">
        <v>2026</v>
      </c>
      <c r="K4" s="9" t="n">
        <v>2027</v>
      </c>
      <c r="L4" s="9" t="n">
        <v>2028</v>
      </c>
      <c r="M4" s="9" t="n">
        <v>2029</v>
      </c>
      <c r="N4" s="9" t="n">
        <v>2030</v>
      </c>
      <c r="O4" s="9" t="n">
        <v>2031</v>
      </c>
      <c r="P4" s="9" t="n">
        <v>2032</v>
      </c>
      <c r="Q4" s="9" t="n">
        <v>2033</v>
      </c>
      <c r="R4" s="9" t="n">
        <v>2034</v>
      </c>
      <c r="S4" s="9" t="n">
        <v>2035</v>
      </c>
      <c r="T4" s="9" t="inlineStr">
        <is>
          <t>Status</t>
        </is>
      </c>
      <c r="U4" s="9" t="inlineStr">
        <is>
          <t>Source / dependency</t>
        </is>
      </c>
      <c r="V4" s="9" t="inlineStr">
        <is>
          <t>Review action</t>
        </is>
      </c>
    </row>
    <row r="5" ht="30" customHeight="1">
      <c r="A5" s="16" t="inlineStr">
        <is>
          <t>Petrol: GDP per capita</t>
        </is>
      </c>
      <c r="B5" s="16" t="inlineStr">
        <is>
          <t>2015 ZAR/person</t>
        </is>
      </c>
      <c r="C5" s="16" t="inlineStr">
        <is>
          <t>Input series</t>
        </is>
      </c>
      <c r="D5" s="143" t="n"/>
      <c r="E5" s="116" t="inlineStr">
        <is>
          <t>Shared macro driver. Model forecasts beyond the source observation window.</t>
        </is>
      </c>
      <c r="F5" s="117" t="n">
        <v>76790.1650122451</v>
      </c>
      <c r="G5" s="117" t="n">
        <v>76777.92621036293</v>
      </c>
      <c r="H5" s="117" t="n">
        <v>76356.55727959426</v>
      </c>
      <c r="I5" s="117" t="n">
        <v>75873.5403538539</v>
      </c>
      <c r="J5" s="117" t="n">
        <v>76305.62080219547</v>
      </c>
      <c r="K5" s="117" t="n">
        <v>76770.11274129389</v>
      </c>
      <c r="L5" s="117" t="n">
        <v>77267.03031188184</v>
      </c>
      <c r="M5" s="117" t="n">
        <v>77793.85014588524</v>
      </c>
      <c r="N5" s="117" t="n">
        <v>78347.23662423984</v>
      </c>
      <c r="O5" s="117" t="n">
        <v>78904.55961677714</v>
      </c>
      <c r="P5" s="117" t="n">
        <v>79465.847125887</v>
      </c>
      <c r="Q5" s="117" t="n">
        <v>80031.12735315424</v>
      </c>
      <c r="R5" s="117" t="n">
        <v>80600.42870077565</v>
      </c>
      <c r="S5" s="117" t="n">
        <v>81173.77977298702</v>
      </c>
      <c r="T5" s="16" t="inlineStr">
        <is>
          <t>Frozen current high_demand; provisional</t>
        </is>
      </c>
      <c r="U5" s="16" t="inlineStr">
        <is>
          <t>Petrol 6: current engine input/result</t>
        </is>
      </c>
      <c r="V5" s="16" t="inlineStr">
        <is>
          <t>Engine dependency is in Python; Excel links expose… [N266]</t>
        </is>
      </c>
    </row>
    <row r="6" ht="30" customHeight="1">
      <c r="A6" s="16" t="inlineStr">
        <is>
          <t>Petrol: New-sales regression slope</t>
        </is>
      </c>
      <c r="B6" s="16" t="inlineStr">
        <is>
          <t>vehicles / ZAR pc</t>
        </is>
      </c>
      <c r="C6" s="16" t="inlineStr">
        <is>
          <t>Scalar</t>
        </is>
      </c>
      <c r="D6" s="143" t="n">
        <v>37.3149</v>
      </c>
      <c r="E6" s="116" t="inlineStr">
        <is>
          <t>Sales = max(0, slope × GDP/capita + intercept). Applies to all new vehicles.</t>
        </is>
      </c>
      <c r="F6" s="117" t="n"/>
      <c r="G6" s="117" t="n"/>
      <c r="H6" s="117" t="n"/>
      <c r="I6" s="117" t="n"/>
      <c r="J6" s="117" t="n"/>
      <c r="K6" s="117" t="n"/>
      <c r="L6" s="117" t="n"/>
      <c r="M6" s="117" t="n"/>
      <c r="N6" s="117" t="n"/>
      <c r="O6" s="117" t="n"/>
      <c r="P6" s="117" t="n"/>
      <c r="Q6" s="117" t="n"/>
      <c r="R6" s="117" t="n"/>
      <c r="S6" s="117" t="n"/>
      <c r="T6" s="16" t="inlineStr">
        <is>
          <t>Frozen current high_demand; provisional</t>
        </is>
      </c>
      <c r="U6" s="16" t="inlineStr">
        <is>
          <t>Petrol 7: current engine input/result</t>
        </is>
      </c>
      <c r="V6" s="16" t="inlineStr">
        <is>
          <t>Engine dependency is in Python; Excel links expose… [N267]</t>
        </is>
      </c>
    </row>
    <row r="7" ht="30" customHeight="1">
      <c r="A7" s="16" t="inlineStr">
        <is>
          <t>Petrol: New-sales regression intercept</t>
        </is>
      </c>
      <c r="B7" s="16" t="inlineStr">
        <is>
          <t>vehicles/year</t>
        </is>
      </c>
      <c r="C7" s="16" t="inlineStr">
        <is>
          <t>Scalar</t>
        </is>
      </c>
      <c r="D7" s="143" t="n">
        <v>-2387744</v>
      </c>
      <c r="E7" s="116" t="inlineStr">
        <is>
          <t>Legacy fitted parameter; historical validity needs review.</t>
        </is>
      </c>
      <c r="F7" s="117" t="n"/>
      <c r="G7" s="117" t="n"/>
      <c r="H7" s="117" t="n"/>
      <c r="I7" s="117" t="n"/>
      <c r="J7" s="117" t="n"/>
      <c r="K7" s="117" t="n"/>
      <c r="L7" s="117" t="n"/>
      <c r="M7" s="117" t="n"/>
      <c r="N7" s="117" t="n"/>
      <c r="O7" s="117" t="n"/>
      <c r="P7" s="117" t="n"/>
      <c r="Q7" s="117" t="n"/>
      <c r="R7" s="117" t="n"/>
      <c r="S7" s="117" t="n"/>
      <c r="T7" s="16" t="inlineStr">
        <is>
          <t>Frozen current high_demand; provisional</t>
        </is>
      </c>
      <c r="U7" s="16" t="inlineStr">
        <is>
          <t>Petrol 8: current engine input/result</t>
        </is>
      </c>
      <c r="V7" s="16" t="inlineStr">
        <is>
          <t>Engine dependency is in Python; Excel links expose… [N268]</t>
        </is>
      </c>
    </row>
    <row r="8" ht="30" customHeight="1">
      <c r="A8" s="16" t="inlineStr">
        <is>
          <t>Petrol: Passenger share of new sales</t>
        </is>
      </c>
      <c r="B8" s="16" t="inlineStr">
        <is>
          <t>share</t>
        </is>
      </c>
      <c r="C8" s="16" t="inlineStr">
        <is>
          <t>Scalar</t>
        </is>
      </c>
      <c r="D8" s="129" t="n">
        <v>0.78</v>
      </c>
      <c r="E8" s="129" t="inlineStr">
        <is>
          <t>Current provisional split of total modelled new sales.</t>
        </is>
      </c>
      <c r="F8" s="128" t="n"/>
      <c r="G8" s="128" t="n"/>
      <c r="H8" s="128" t="n"/>
      <c r="I8" s="128" t="n"/>
      <c r="J8" s="128" t="n"/>
      <c r="K8" s="128" t="n"/>
      <c r="L8" s="128" t="n"/>
      <c r="M8" s="128" t="n"/>
      <c r="N8" s="128" t="n"/>
      <c r="O8" s="128" t="n"/>
      <c r="P8" s="128" t="n"/>
      <c r="Q8" s="128" t="n"/>
      <c r="R8" s="128" t="n"/>
      <c r="S8" s="128" t="n"/>
      <c r="T8" s="16" t="inlineStr">
        <is>
          <t>Frozen current high_demand; provisional</t>
        </is>
      </c>
      <c r="U8" s="16" t="inlineStr">
        <is>
          <t>Petrol 9: current engine input/result</t>
        </is>
      </c>
      <c r="V8" s="16" t="inlineStr">
        <is>
          <t>Engine dependency is in Python; Excel links expose… [N269]</t>
        </is>
      </c>
    </row>
    <row r="9" ht="30" customHeight="1">
      <c r="A9" s="16" t="inlineStr">
        <is>
          <t>Petrol: Petrol share of passenger ICE sales</t>
        </is>
      </c>
      <c r="B9" s="16" t="inlineStr">
        <is>
          <t>share</t>
        </is>
      </c>
      <c r="C9" s="16" t="inlineStr">
        <is>
          <t>Scalar</t>
        </is>
      </c>
      <c r="D9" s="129" t="n">
        <v>0.83</v>
      </c>
      <c r="E9" s="129" t="inlineStr">
        <is>
          <t>Applies after current EV adjustment. Hybrids are not separately modelled.</t>
        </is>
      </c>
      <c r="F9" s="128" t="n"/>
      <c r="G9" s="128" t="n"/>
      <c r="H9" s="128" t="n"/>
      <c r="I9" s="128" t="n"/>
      <c r="J9" s="128" t="n"/>
      <c r="K9" s="128" t="n"/>
      <c r="L9" s="128" t="n"/>
      <c r="M9" s="128" t="n"/>
      <c r="N9" s="128" t="n"/>
      <c r="O9" s="128" t="n"/>
      <c r="P9" s="128" t="n"/>
      <c r="Q9" s="128" t="n"/>
      <c r="R9" s="128" t="n"/>
      <c r="S9" s="128" t="n"/>
      <c r="T9" s="16" t="inlineStr">
        <is>
          <t>Frozen current high_demand; provisional</t>
        </is>
      </c>
      <c r="U9" s="16" t="inlineStr">
        <is>
          <t>Petrol 10: current engine input/result</t>
        </is>
      </c>
      <c r="V9" s="16" t="inlineStr">
        <is>
          <t>Engine dependency is in Python; Excel links expose… [N270]</t>
        </is>
      </c>
    </row>
    <row r="10" ht="30" customHeight="1">
      <c r="A10" s="16" t="inlineStr">
        <is>
          <t>Petrol: Passenger annual mileage</t>
        </is>
      </c>
      <c r="B10" s="16" t="inlineStr">
        <is>
          <t>km/vehicle/year</t>
        </is>
      </c>
      <c r="C10" s="16" t="inlineStr">
        <is>
          <t>Scalar</t>
        </is>
      </c>
      <c r="D10" s="143" t="n">
        <v>17000</v>
      </c>
      <c r="E10" s="116" t="inlineStr">
        <is>
          <t>Current placeholder. Proposed HML brackets appear on HML sheet.</t>
        </is>
      </c>
      <c r="F10" s="117" t="n"/>
      <c r="G10" s="117" t="n"/>
      <c r="H10" s="117" t="n"/>
      <c r="I10" s="117" t="n"/>
      <c r="J10" s="117" t="n"/>
      <c r="K10" s="117" t="n"/>
      <c r="L10" s="117" t="n"/>
      <c r="M10" s="117" t="n"/>
      <c r="N10" s="117" t="n"/>
      <c r="O10" s="117" t="n"/>
      <c r="P10" s="117" t="n"/>
      <c r="Q10" s="117" t="n"/>
      <c r="R10" s="117" t="n"/>
      <c r="S10" s="117" t="n"/>
      <c r="T10" s="16" t="inlineStr">
        <is>
          <t>Frozen current high_demand; provisional</t>
        </is>
      </c>
      <c r="U10" s="16" t="inlineStr">
        <is>
          <t>Petrol 11: current engine input/result</t>
        </is>
      </c>
      <c r="V10" s="16" t="inlineStr">
        <is>
          <t>Engine dependency is in Python; Excel links expose… [N271]</t>
        </is>
      </c>
    </row>
    <row r="11" ht="30" customHeight="1">
      <c r="A11" s="16" t="inlineStr">
        <is>
          <t>Petrol: Passenger retirement rate</t>
        </is>
      </c>
      <c r="B11" s="16" t="inlineStr">
        <is>
          <t>share/year</t>
        </is>
      </c>
      <c r="C11" s="16" t="inlineStr">
        <is>
          <t>Scalar</t>
        </is>
      </c>
      <c r="D11" s="129" t="n">
        <v>0.04</v>
      </c>
      <c r="E11" s="129" t="inlineStr">
        <is>
          <t>Current engine scraps all cohorts, including additions, within the year.</t>
        </is>
      </c>
      <c r="F11" s="128" t="n"/>
      <c r="G11" s="128" t="n"/>
      <c r="H11" s="128" t="n"/>
      <c r="I11" s="128" t="n"/>
      <c r="J11" s="128" t="n"/>
      <c r="K11" s="128" t="n"/>
      <c r="L11" s="128" t="n"/>
      <c r="M11" s="128" t="n"/>
      <c r="N11" s="128" t="n"/>
      <c r="O11" s="128" t="n"/>
      <c r="P11" s="128" t="n"/>
      <c r="Q11" s="128" t="n"/>
      <c r="R11" s="128" t="n"/>
      <c r="S11" s="128" t="n"/>
      <c r="T11" s="16" t="inlineStr">
        <is>
          <t>Frozen current high_demand; provisional</t>
        </is>
      </c>
      <c r="U11" s="16" t="inlineStr">
        <is>
          <t>Petrol 12: current engine input/result</t>
        </is>
      </c>
      <c r="V11" s="16" t="inlineStr">
        <is>
          <t>Engine dependency is in Python; Excel links expose… [N272]</t>
        </is>
      </c>
    </row>
    <row r="12" ht="30" customHeight="1">
      <c r="A12" s="16" t="inlineStr">
        <is>
          <t>Petrol: Base new petrol vehicle consumption</t>
        </is>
      </c>
      <c r="B12" s="16" t="inlineStr">
        <is>
          <t>L/100 km</t>
        </is>
      </c>
      <c r="C12" s="16" t="inlineStr">
        <is>
          <t>Scalar</t>
        </is>
      </c>
      <c r="D12" s="143" t="n">
        <v>9.5</v>
      </c>
      <c r="E12" s="116" t="inlineStr">
        <is>
          <t>Entry-cohort baseline before cumulative efficiency gains.</t>
        </is>
      </c>
      <c r="F12" s="117" t="n"/>
      <c r="G12" s="117" t="n"/>
      <c r="H12" s="117" t="n"/>
      <c r="I12" s="117" t="n"/>
      <c r="J12" s="117" t="n"/>
      <c r="K12" s="117" t="n"/>
      <c r="L12" s="117" t="n"/>
      <c r="M12" s="117" t="n"/>
      <c r="N12" s="117" t="n"/>
      <c r="O12" s="117" t="n"/>
      <c r="P12" s="117" t="n"/>
      <c r="Q12" s="117" t="n"/>
      <c r="R12" s="117" t="n"/>
      <c r="S12" s="117" t="n"/>
      <c r="T12" s="16" t="inlineStr">
        <is>
          <t>Frozen current high_demand; provisional</t>
        </is>
      </c>
      <c r="U12" s="16" t="inlineStr">
        <is>
          <t>Petrol 13: current engine input/result</t>
        </is>
      </c>
      <c r="V12" s="16" t="inlineStr">
        <is>
          <t>Engine dependency is in Python; Excel links expose… [N273]</t>
        </is>
      </c>
    </row>
    <row r="13" ht="30" customHeight="1">
      <c r="A13" s="16" t="inlineStr">
        <is>
          <t>Petrol: New-cohort efficiency gain</t>
        </is>
      </c>
      <c r="B13" s="16" t="inlineStr">
        <is>
          <t>fraction/year</t>
        </is>
      </c>
      <c r="C13" s="16" t="inlineStr">
        <is>
          <t>Input series</t>
        </is>
      </c>
      <c r="D13" s="143" t="n"/>
      <c r="E13" s="116" t="inlineStr">
        <is>
          <t>Applied cumulatively to new cohorts; older cohorts retain their… [N274]</t>
        </is>
      </c>
      <c r="F13" s="117" t="n">
        <v>0.01</v>
      </c>
      <c r="G13" s="117" t="n">
        <v>0.01</v>
      </c>
      <c r="H13" s="117" t="n">
        <v>0.01</v>
      </c>
      <c r="I13" s="117" t="n">
        <v>0.01</v>
      </c>
      <c r="J13" s="117" t="n">
        <v>0.01</v>
      </c>
      <c r="K13" s="117" t="n">
        <v>0.01</v>
      </c>
      <c r="L13" s="117" t="n">
        <v>0.01</v>
      </c>
      <c r="M13" s="117" t="n">
        <v>0.01</v>
      </c>
      <c r="N13" s="117" t="n">
        <v>0.01</v>
      </c>
      <c r="O13" s="117" t="n">
        <v>0.01</v>
      </c>
      <c r="P13" s="117" t="n">
        <v>0.01</v>
      </c>
      <c r="Q13" s="117" t="n">
        <v>0.01</v>
      </c>
      <c r="R13" s="117" t="n">
        <v>0.01</v>
      </c>
      <c r="S13" s="117" t="n">
        <v>0.01</v>
      </c>
      <c r="T13" s="16" t="inlineStr">
        <is>
          <t>Frozen current high_demand; provisional</t>
        </is>
      </c>
      <c r="U13" s="16" t="inlineStr">
        <is>
          <t>Petrol 14: current engine input/result</t>
        </is>
      </c>
      <c r="V13" s="16" t="inlineStr">
        <is>
          <t>Engine dependency is in Python; Excel links expose… [N275]</t>
        </is>
      </c>
    </row>
    <row r="14" ht="30" customHeight="1">
      <c r="A14" s="16" t="inlineStr">
        <is>
          <t>Petrol: EV curve ceiling</t>
        </is>
      </c>
      <c r="B14" s="16" t="inlineStr">
        <is>
          <t>share</t>
        </is>
      </c>
      <c r="C14" s="16" t="inlineStr">
        <is>
          <t>Parameter</t>
        </is>
      </c>
      <c r="D14" s="129" t="n">
        <v>0.3</v>
      </c>
      <c r="E14" s="129" t="inlineStr">
        <is>
          <t>Current logistic curve parameter. Proposed BEV sales ranges are separate.</t>
        </is>
      </c>
      <c r="F14" s="128" t="n"/>
      <c r="G14" s="128" t="n"/>
      <c r="H14" s="128" t="n"/>
      <c r="I14" s="128" t="n"/>
      <c r="J14" s="128" t="n"/>
      <c r="K14" s="128" t="n"/>
      <c r="L14" s="128" t="n"/>
      <c r="M14" s="128" t="n"/>
      <c r="N14" s="128" t="n"/>
      <c r="O14" s="128" t="n"/>
      <c r="P14" s="128" t="n"/>
      <c r="Q14" s="128" t="n"/>
      <c r="R14" s="128" t="n"/>
      <c r="S14" s="128" t="n"/>
      <c r="T14" s="16" t="inlineStr">
        <is>
          <t>Frozen current high_demand; provisional</t>
        </is>
      </c>
      <c r="U14" s="16" t="inlineStr">
        <is>
          <t>Petrol 15: current engine input/result</t>
        </is>
      </c>
      <c r="V14" s="16" t="inlineStr">
        <is>
          <t>Engine dependency is in Python; Excel links expose… [N276]</t>
        </is>
      </c>
    </row>
    <row r="15" ht="30" customHeight="1">
      <c r="A15" s="16" t="inlineStr">
        <is>
          <t>Petrol: Passenger petrol fleet</t>
        </is>
      </c>
      <c r="B15" s="16" t="inlineStr">
        <is>
          <t>vehicles</t>
        </is>
      </c>
      <c r="C15" s="16" t="inlineStr">
        <is>
          <t>Engine output</t>
        </is>
      </c>
      <c r="D15" s="143" t="n"/>
      <c r="E15" s="116" t="inlineStr">
        <is>
          <t>Cohort stock from engine diagnostics. Opening stock is… [N277]</t>
        </is>
      </c>
      <c r="F15" s="117" t="n">
        <v>4105442.820063777</v>
      </c>
      <c r="G15" s="117" t="n">
        <v>4237510.411114601</v>
      </c>
      <c r="H15" s="117" t="n">
        <v>4354416.496447995</v>
      </c>
      <c r="I15" s="117" t="n">
        <v>4455304.547532654</v>
      </c>
      <c r="J15" s="117" t="n">
        <v>4561932.711510791</v>
      </c>
      <c r="K15" s="117" t="n">
        <v>4674714.360330738</v>
      </c>
      <c r="L15" s="117" t="n">
        <v>4793999.249590636</v>
      </c>
      <c r="M15" s="117" t="n">
        <v>4919998.09997983</v>
      </c>
      <c r="N15" s="117" t="n">
        <v>5052743.732514513</v>
      </c>
      <c r="O15" s="117" t="n">
        <v>5191624.005673832</v>
      </c>
      <c r="P15" s="117" t="n">
        <v>5335891.848160342</v>
      </c>
      <c r="Q15" s="117" t="n">
        <v>5484627.964432901</v>
      </c>
      <c r="R15" s="117" t="n">
        <v>5636707.366851823</v>
      </c>
      <c r="S15" s="117" t="n">
        <v>5790782.33635809</v>
      </c>
      <c r="T15" s="16" t="inlineStr">
        <is>
          <t>Frozen current high_demand; provisional</t>
        </is>
      </c>
      <c r="U15" s="16" t="inlineStr">
        <is>
          <t>Petrol 18: current engine input/result</t>
        </is>
      </c>
      <c r="V15" s="16" t="inlineStr">
        <is>
          <t>Engine dependency is in Python; Excel links expose… [N278]</t>
        </is>
      </c>
    </row>
    <row r="16" ht="30" customHeight="1">
      <c r="A16" s="16" t="inlineStr">
        <is>
          <t>Petrol: Passenger petrol vehicle-km</t>
        </is>
      </c>
      <c r="B16" s="16" t="inlineStr">
        <is>
          <t>km/year</t>
        </is>
      </c>
      <c r="C16" s="16" t="inlineStr">
        <is>
          <t>Engine output</t>
        </is>
      </c>
      <c r="D16" s="143" t="n"/>
      <c r="E16" s="116" t="inlineStr">
        <is>
          <t>Engine diagnostic activity for petrol passenger cohorts.</t>
        </is>
      </c>
      <c r="F16" s="117" t="n">
        <v>69792527941.08421</v>
      </c>
      <c r="G16" s="117" t="n">
        <v>72037676988.94823</v>
      </c>
      <c r="H16" s="117" t="n">
        <v>74025080439.61592</v>
      </c>
      <c r="I16" s="117" t="n">
        <v>75740177308.05513</v>
      </c>
      <c r="J16" s="117" t="n">
        <v>77552856095.68346</v>
      </c>
      <c r="K16" s="117" t="n">
        <v>79470144125.62254</v>
      </c>
      <c r="L16" s="117" t="n">
        <v>81497987243.04082</v>
      </c>
      <c r="M16" s="117" t="n">
        <v>83639967699.6571</v>
      </c>
      <c r="N16" s="117" t="n">
        <v>85896643452.74672</v>
      </c>
      <c r="O16" s="117" t="n">
        <v>88257608096.45515</v>
      </c>
      <c r="P16" s="117" t="n">
        <v>90710161418.72581</v>
      </c>
      <c r="Q16" s="117" t="n">
        <v>93238675395.35931</v>
      </c>
      <c r="R16" s="117" t="n">
        <v>95824025236.481</v>
      </c>
      <c r="S16" s="117" t="n">
        <v>98443299718.08752</v>
      </c>
      <c r="T16" s="16" t="inlineStr">
        <is>
          <t>Frozen current high_demand; provisional</t>
        </is>
      </c>
      <c r="U16" s="16" t="inlineStr">
        <is>
          <t>Petrol 19: current engine input/result</t>
        </is>
      </c>
      <c r="V16" s="16" t="inlineStr">
        <is>
          <t>Engine dependency is in Python; Excel links expose… [N279]</t>
        </is>
      </c>
    </row>
    <row r="17" ht="30" customHeight="1">
      <c r="A17" s="16" t="inlineStr">
        <is>
          <t>Petrol: Passenger petrol demand</t>
        </is>
      </c>
      <c r="B17" s="16" t="inlineStr">
        <is>
          <t>L/year</t>
        </is>
      </c>
      <c r="C17" s="16" t="inlineStr">
        <is>
          <t>Engine output</t>
        </is>
      </c>
      <c r="D17" s="143" t="n"/>
      <c r="E17" s="116" t="inlineStr">
        <is>
          <t>Calculated by the Python cohort engine.</t>
        </is>
      </c>
      <c r="F17" s="117" t="n">
        <v>6604446599.287105</v>
      </c>
      <c r="G17" s="117" t="n">
        <v>6799914661.651272</v>
      </c>
      <c r="H17" s="117" t="n">
        <v>6967795194.654524</v>
      </c>
      <c r="I17" s="117" t="n">
        <v>7107316650.590699</v>
      </c>
      <c r="J17" s="117" t="n">
        <v>7251790037.536386</v>
      </c>
      <c r="K17" s="117" t="n">
        <v>7401722983.680083</v>
      </c>
      <c r="L17" s="117" t="n">
        <v>7557508602.12469</v>
      </c>
      <c r="M17" s="117" t="n">
        <v>7719319498.873311</v>
      </c>
      <c r="N17" s="117" t="n">
        <v>7887060129.324876</v>
      </c>
      <c r="O17" s="117" t="n">
        <v>8059708885.814959</v>
      </c>
      <c r="P17" s="117" t="n">
        <v>8236078449.78074</v>
      </c>
      <c r="Q17" s="117" t="n">
        <v>8414771202.164529</v>
      </c>
      <c r="R17" s="117" t="n">
        <v>8594142435.126007</v>
      </c>
      <c r="S17" s="117" t="n">
        <v>8772288312.452164</v>
      </c>
      <c r="T17" s="16" t="inlineStr">
        <is>
          <t>Frozen current high_demand; provisional</t>
        </is>
      </c>
      <c r="U17" s="16" t="inlineStr">
        <is>
          <t>Petrol 20: current engine input/result</t>
        </is>
      </c>
      <c r="V17" s="16" t="inlineStr">
        <is>
          <t>Engine dependency is in Python; Excel links expose… [N280]</t>
        </is>
      </c>
    </row>
    <row r="18" ht="30" customHeight="1">
      <c r="A18" s="16" t="inlineStr">
        <is>
          <t>Petrol: All road petrol demand</t>
        </is>
      </c>
      <c r="B18" s="16" t="inlineStr">
        <is>
          <t>L/year</t>
        </is>
      </c>
      <c r="C18" s="16" t="inlineStr">
        <is>
          <t>Engine output</t>
        </is>
      </c>
      <c r="D18" s="143" t="n"/>
      <c r="E18" s="116" t="inlineStr">
        <is>
          <t>Includes passenger and LCV petrol. Does not claim all-product/sector coverage.</t>
        </is>
      </c>
      <c r="F18" s="117" t="n">
        <v>7524313292.876868</v>
      </c>
      <c r="G18" s="117" t="n">
        <v>7742855189.752118</v>
      </c>
      <c r="H18" s="117" t="n">
        <v>7929685371.405513</v>
      </c>
      <c r="I18" s="117" t="n">
        <v>8083956751.428673</v>
      </c>
      <c r="J18" s="117" t="n">
        <v>8244025240.866486</v>
      </c>
      <c r="K18" s="117" t="n">
        <v>8410462249.470676</v>
      </c>
      <c r="L18" s="117" t="n">
        <v>8583707326.682598</v>
      </c>
      <c r="M18" s="117" t="n">
        <v>8763946422.052998</v>
      </c>
      <c r="N18" s="117" t="n">
        <v>8951057412.033466</v>
      </c>
      <c r="O18" s="117" t="n">
        <v>9143853712.900026</v>
      </c>
      <c r="P18" s="117" t="n">
        <v>9340960238.495893</v>
      </c>
      <c r="Q18" s="117" t="n">
        <v>9540762254.104132</v>
      </c>
      <c r="R18" s="117" t="n">
        <v>9741363263.688969</v>
      </c>
      <c r="S18" s="117" t="n">
        <v>9940571409.724516</v>
      </c>
      <c r="T18" s="16" t="inlineStr">
        <is>
          <t>Frozen current high_demand; provisional</t>
        </is>
      </c>
      <c r="U18" s="16" t="inlineStr">
        <is>
          <t>Petrol 23: current engine input/result</t>
        </is>
      </c>
      <c r="V18" s="16" t="inlineStr">
        <is>
          <t>Engine dependency is in Python; Excel links expose… [N281]</t>
        </is>
      </c>
    </row>
    <row r="19" ht="30" customHeight="1">
      <c r="A19" s="16" t="inlineStr">
        <is>
          <t>Freight: GDP per capita</t>
        </is>
      </c>
      <c r="B19" s="16" t="inlineStr">
        <is>
          <t>2015 ZAR/person</t>
        </is>
      </c>
      <c r="C19" s="16" t="inlineStr">
        <is>
          <t>Input series</t>
        </is>
      </c>
      <c r="D19" s="143" t="n"/>
      <c r="E19" s="116" t="inlineStr">
        <is>
          <t>Same national vehicle-sales regression as Petrol sheet.</t>
        </is>
      </c>
      <c r="F19" s="117" t="n">
        <v>76790.1650122451</v>
      </c>
      <c r="G19" s="117" t="n">
        <v>76777.92621036293</v>
      </c>
      <c r="H19" s="117" t="n">
        <v>76356.55727959426</v>
      </c>
      <c r="I19" s="117" t="n">
        <v>75873.5403538539</v>
      </c>
      <c r="J19" s="117" t="n">
        <v>76305.62080219547</v>
      </c>
      <c r="K19" s="117" t="n">
        <v>76770.11274129389</v>
      </c>
      <c r="L19" s="117" t="n">
        <v>77267.03031188184</v>
      </c>
      <c r="M19" s="117" t="n">
        <v>77793.85014588524</v>
      </c>
      <c r="N19" s="117" t="n">
        <v>78347.23662423984</v>
      </c>
      <c r="O19" s="117" t="n">
        <v>78904.55961677714</v>
      </c>
      <c r="P19" s="117" t="n">
        <v>79465.847125887</v>
      </c>
      <c r="Q19" s="117" t="n">
        <v>80031.12735315424</v>
      </c>
      <c r="R19" s="117" t="n">
        <v>80600.42870077565</v>
      </c>
      <c r="S19" s="117" t="n">
        <v>81173.77977298702</v>
      </c>
      <c r="T19" s="16" t="inlineStr">
        <is>
          <t>Frozen current high_demand; provisional</t>
        </is>
      </c>
      <c r="U19" s="16" t="inlineStr">
        <is>
          <t>Freight 6: current engine input/result</t>
        </is>
      </c>
      <c r="V19" s="16" t="inlineStr">
        <is>
          <t>Engine dependency is in Python; Excel links expose… [N282]</t>
        </is>
      </c>
    </row>
    <row r="20" ht="30" customHeight="1">
      <c r="A20" s="16" t="inlineStr">
        <is>
          <t>Freight: HCV share of new vehicle sales</t>
        </is>
      </c>
      <c r="B20" s="16" t="inlineStr">
        <is>
          <t>share</t>
        </is>
      </c>
      <c r="C20" s="16" t="inlineStr">
        <is>
          <t>Scalar</t>
        </is>
      </c>
      <c r="D20" s="129" t="n">
        <v>0.04</v>
      </c>
      <c r="E20" s="129" t="inlineStr">
        <is>
          <t>Current provisional class split.</t>
        </is>
      </c>
      <c r="F20" s="128" t="n"/>
      <c r="G20" s="128" t="n"/>
      <c r="H20" s="128" t="n"/>
      <c r="I20" s="128" t="n"/>
      <c r="J20" s="128" t="n"/>
      <c r="K20" s="128" t="n"/>
      <c r="L20" s="128" t="n"/>
      <c r="M20" s="128" t="n"/>
      <c r="N20" s="128" t="n"/>
      <c r="O20" s="128" t="n"/>
      <c r="P20" s="128" t="n"/>
      <c r="Q20" s="128" t="n"/>
      <c r="R20" s="128" t="n"/>
      <c r="S20" s="128" t="n"/>
      <c r="T20" s="16" t="inlineStr">
        <is>
          <t>Frozen current high_demand; provisional</t>
        </is>
      </c>
      <c r="U20" s="16" t="inlineStr">
        <is>
          <t>Freight 7: current engine input/result</t>
        </is>
      </c>
      <c r="V20" s="16" t="inlineStr">
        <is>
          <t>Engine dependency is in Python; Excel links expose… [N283]</t>
        </is>
      </c>
    </row>
    <row r="21" ht="30" customHeight="1">
      <c r="A21" s="16" t="inlineStr">
        <is>
          <t>Freight: Diesel share of HCV ICE sales</t>
        </is>
      </c>
      <c r="B21" s="16" t="inlineStr">
        <is>
          <t>share</t>
        </is>
      </c>
      <c r="C21" s="16" t="inlineStr">
        <is>
          <t>Scalar</t>
        </is>
      </c>
      <c r="D21" s="129" t="n">
        <v>1</v>
      </c>
      <c r="E21" s="129" t="inlineStr">
        <is>
          <t>Current model applies its common EV adjustment before the diesel split.</t>
        </is>
      </c>
      <c r="F21" s="128" t="n"/>
      <c r="G21" s="128" t="n"/>
      <c r="H21" s="128" t="n"/>
      <c r="I21" s="128" t="n"/>
      <c r="J21" s="128" t="n"/>
      <c r="K21" s="128" t="n"/>
      <c r="L21" s="128" t="n"/>
      <c r="M21" s="128" t="n"/>
      <c r="N21" s="128" t="n"/>
      <c r="O21" s="128" t="n"/>
      <c r="P21" s="128" t="n"/>
      <c r="Q21" s="128" t="n"/>
      <c r="R21" s="128" t="n"/>
      <c r="S21" s="128" t="n"/>
      <c r="T21" s="16" t="inlineStr">
        <is>
          <t>Frozen current high_demand; provisional</t>
        </is>
      </c>
      <c r="U21" s="16" t="inlineStr">
        <is>
          <t>Freight 8: current engine input/result</t>
        </is>
      </c>
      <c r="V21" s="16" t="inlineStr">
        <is>
          <t>Engine dependency is in Python; Excel links expose… [N284]</t>
        </is>
      </c>
    </row>
    <row r="22" ht="30" customHeight="1">
      <c r="A22" s="16" t="inlineStr">
        <is>
          <t>Freight: Heavy-truck annual mileage</t>
        </is>
      </c>
      <c r="B22" s="16" t="inlineStr">
        <is>
          <t>km/vehicle/year</t>
        </is>
      </c>
      <c r="C22" s="16" t="inlineStr">
        <is>
          <t>Scalar</t>
        </is>
      </c>
      <c r="D22" s="143" t="n">
        <v>70000</v>
      </c>
      <c r="E22" s="116" t="inlineStr">
        <is>
          <t>Current provisional assumption.</t>
        </is>
      </c>
      <c r="F22" s="117" t="n"/>
      <c r="G22" s="117" t="n"/>
      <c r="H22" s="117" t="n"/>
      <c r="I22" s="117" t="n"/>
      <c r="J22" s="117" t="n"/>
      <c r="K22" s="117" t="n"/>
      <c r="L22" s="117" t="n"/>
      <c r="M22" s="117" t="n"/>
      <c r="N22" s="117" t="n"/>
      <c r="O22" s="117" t="n"/>
      <c r="P22" s="117" t="n"/>
      <c r="Q22" s="117" t="n"/>
      <c r="R22" s="117" t="n"/>
      <c r="S22" s="117" t="n"/>
      <c r="T22" s="16" t="inlineStr">
        <is>
          <t>Frozen current high_demand; provisional</t>
        </is>
      </c>
      <c r="U22" s="16" t="inlineStr">
        <is>
          <t>Freight 9: current engine input/result</t>
        </is>
      </c>
      <c r="V22" s="16" t="inlineStr">
        <is>
          <t>Engine dependency is in Python; Excel links expose… [N285]</t>
        </is>
      </c>
    </row>
    <row r="23" ht="30" customHeight="1">
      <c r="A23" s="16" t="inlineStr">
        <is>
          <t>Freight: Heavy-truck retirement rate</t>
        </is>
      </c>
      <c r="B23" s="16" t="inlineStr">
        <is>
          <t>share/year</t>
        </is>
      </c>
      <c r="C23" s="16" t="inlineStr">
        <is>
          <t>Scalar</t>
        </is>
      </c>
      <c r="D23" s="129" t="n">
        <v>0.06</v>
      </c>
      <c r="E23" s="129" t="inlineStr">
        <is>
          <t>Flat retirement assumption across cohorts.</t>
        </is>
      </c>
      <c r="F23" s="128" t="n"/>
      <c r="G23" s="128" t="n"/>
      <c r="H23" s="128" t="n"/>
      <c r="I23" s="128" t="n"/>
      <c r="J23" s="128" t="n"/>
      <c r="K23" s="128" t="n"/>
      <c r="L23" s="128" t="n"/>
      <c r="M23" s="128" t="n"/>
      <c r="N23" s="128" t="n"/>
      <c r="O23" s="128" t="n"/>
      <c r="P23" s="128" t="n"/>
      <c r="Q23" s="128" t="n"/>
      <c r="R23" s="128" t="n"/>
      <c r="S23" s="128" t="n"/>
      <c r="T23" s="16" t="inlineStr">
        <is>
          <t>Frozen current high_demand; provisional</t>
        </is>
      </c>
      <c r="U23" s="16" t="inlineStr">
        <is>
          <t>Freight 10: current engine input/result</t>
        </is>
      </c>
      <c r="V23" s="16" t="inlineStr">
        <is>
          <t>Engine dependency is in Python; Excel links expose… [N286]</t>
        </is>
      </c>
    </row>
    <row r="24" ht="30" customHeight="1">
      <c r="A24" s="16" t="inlineStr">
        <is>
          <t>Freight: Base new-truck consumption</t>
        </is>
      </c>
      <c r="B24" s="16" t="inlineStr">
        <is>
          <t>L/100 km</t>
        </is>
      </c>
      <c r="C24" s="16" t="inlineStr">
        <is>
          <t>Scalar</t>
        </is>
      </c>
      <c r="D24" s="143" t="n">
        <v>35</v>
      </c>
      <c r="E24" s="116" t="inlineStr">
        <is>
          <t>Entry-cohort baseline before efficiency improvement.</t>
        </is>
      </c>
      <c r="F24" s="117" t="n"/>
      <c r="G24" s="117" t="n"/>
      <c r="H24" s="117" t="n"/>
      <c r="I24" s="117" t="n"/>
      <c r="J24" s="117" t="n"/>
      <c r="K24" s="117" t="n"/>
      <c r="L24" s="117" t="n"/>
      <c r="M24" s="117" t="n"/>
      <c r="N24" s="117" t="n"/>
      <c r="O24" s="117" t="n"/>
      <c r="P24" s="117" t="n"/>
      <c r="Q24" s="117" t="n"/>
      <c r="R24" s="117" t="n"/>
      <c r="S24" s="117" t="n"/>
      <c r="T24" s="16" t="inlineStr">
        <is>
          <t>Frozen current high_demand; provisional</t>
        </is>
      </c>
      <c r="U24" s="16" t="inlineStr">
        <is>
          <t>Freight 11: current engine input/result</t>
        </is>
      </c>
      <c r="V24" s="16" t="inlineStr">
        <is>
          <t>Engine dependency is in Python; Excel links expose… [N287]</t>
        </is>
      </c>
    </row>
    <row r="25" ht="30" customHeight="1">
      <c r="A25" s="16" t="inlineStr">
        <is>
          <t>Freight: New-cohort efficiency gain</t>
        </is>
      </c>
      <c r="B25" s="16" t="inlineStr">
        <is>
          <t>fraction/year</t>
        </is>
      </c>
      <c r="C25" s="16" t="inlineStr">
        <is>
          <t>Input series</t>
        </is>
      </c>
      <c r="D25" s="143" t="n"/>
      <c r="E25" s="116" t="inlineStr">
        <is>
          <t>Applies to new cohorts only.</t>
        </is>
      </c>
      <c r="F25" s="117" t="n">
        <v>0.005</v>
      </c>
      <c r="G25" s="117" t="n">
        <v>0.005</v>
      </c>
      <c r="H25" s="117" t="n">
        <v>0.005</v>
      </c>
      <c r="I25" s="117" t="n">
        <v>0.005</v>
      </c>
      <c r="J25" s="117" t="n">
        <v>0.005</v>
      </c>
      <c r="K25" s="117" t="n">
        <v>0.005</v>
      </c>
      <c r="L25" s="117" t="n">
        <v>0.005</v>
      </c>
      <c r="M25" s="117" t="n">
        <v>0.005</v>
      </c>
      <c r="N25" s="117" t="n">
        <v>0.005</v>
      </c>
      <c r="O25" s="117" t="n">
        <v>0.005</v>
      </c>
      <c r="P25" s="117" t="n">
        <v>0.005</v>
      </c>
      <c r="Q25" s="117" t="n">
        <v>0.005</v>
      </c>
      <c r="R25" s="117" t="n">
        <v>0.005</v>
      </c>
      <c r="S25" s="117" t="n">
        <v>0.005</v>
      </c>
      <c r="T25" s="16" t="inlineStr">
        <is>
          <t>Frozen current high_demand; provisional</t>
        </is>
      </c>
      <c r="U25" s="16" t="inlineStr">
        <is>
          <t>Freight 12: current engine input/result</t>
        </is>
      </c>
      <c r="V25" s="16" t="inlineStr">
        <is>
          <t>Engine dependency is in Python; Excel links expose… [N288]</t>
        </is>
      </c>
    </row>
    <row r="26" ht="30" customHeight="1">
      <c r="A26" s="16" t="inlineStr">
        <is>
          <t>Freight: Heavy-truck diesel fleet</t>
        </is>
      </c>
      <c r="B26" s="16" t="inlineStr">
        <is>
          <t>vehicles</t>
        </is>
      </c>
      <c r="C26" s="16" t="inlineStr">
        <is>
          <t>Engine output</t>
        </is>
      </c>
      <c r="D26" s="143" t="n"/>
      <c r="E26" s="116" t="inlineStr">
        <is>
          <t>National HCV diesel cohort stock.</t>
        </is>
      </c>
      <c r="F26" s="117" t="n">
        <v>213882.4205907325</v>
      </c>
      <c r="G26" s="117" t="n">
        <v>218974.263329118</v>
      </c>
      <c r="H26" s="117" t="n">
        <v>223162.9437454724</v>
      </c>
      <c r="I26" s="117" t="n">
        <v>226414.1430942551</v>
      </c>
      <c r="J26" s="117" t="n">
        <v>230061.6807926254</v>
      </c>
      <c r="K26" s="117" t="n">
        <v>234120.6755894116</v>
      </c>
      <c r="L26" s="117" t="n">
        <v>238602.4907545889</v>
      </c>
      <c r="M26" s="117" t="n">
        <v>243510.2427580862</v>
      </c>
      <c r="N26" s="117" t="n">
        <v>248836.6083659767</v>
      </c>
      <c r="O26" s="117" t="n">
        <v>254535.7639590847</v>
      </c>
      <c r="P26" s="117" t="n">
        <v>260554.9909558677</v>
      </c>
      <c r="Q26" s="117" t="n">
        <v>266832.5067329813</v>
      </c>
      <c r="R26" s="117" t="n">
        <v>273295.5669443139</v>
      </c>
      <c r="S26" s="117" t="n">
        <v>279859.5946108957</v>
      </c>
      <c r="T26" s="16" t="inlineStr">
        <is>
          <t>Frozen current high_demand; provisional</t>
        </is>
      </c>
      <c r="U26" s="16" t="inlineStr">
        <is>
          <t>Freight 15: current engine input/result</t>
        </is>
      </c>
      <c r="V26" s="16" t="inlineStr">
        <is>
          <t>Engine dependency is in Python; Excel links expose… [N289]</t>
        </is>
      </c>
    </row>
    <row r="27" ht="30" customHeight="1">
      <c r="A27" s="16" t="inlineStr">
        <is>
          <t>Freight: Heavy-truck vehicle-km</t>
        </is>
      </c>
      <c r="B27" s="16" t="inlineStr">
        <is>
          <t>km/year</t>
        </is>
      </c>
      <c r="C27" s="16" t="inlineStr">
        <is>
          <t>Engine output</t>
        </is>
      </c>
      <c r="D27" s="143" t="n"/>
      <c r="E27" s="116" t="inlineStr">
        <is>
          <t>National HCV diesel activity.</t>
        </is>
      </c>
      <c r="F27" s="117" t="n">
        <v>14971769441.35127</v>
      </c>
      <c r="G27" s="117" t="n">
        <v>15328198433.03826</v>
      </c>
      <c r="H27" s="117" t="n">
        <v>15621406062.18307</v>
      </c>
      <c r="I27" s="117" t="n">
        <v>15848990016.59786</v>
      </c>
      <c r="J27" s="117" t="n">
        <v>16104317655.48378</v>
      </c>
      <c r="K27" s="117" t="n">
        <v>16388447291.25881</v>
      </c>
      <c r="L27" s="117" t="n">
        <v>16702174352.82122</v>
      </c>
      <c r="M27" s="117" t="n">
        <v>17045716993.06603</v>
      </c>
      <c r="N27" s="117" t="n">
        <v>17418562585.61837</v>
      </c>
      <c r="O27" s="117" t="n">
        <v>17817503477.13593</v>
      </c>
      <c r="P27" s="117" t="n">
        <v>18238849366.91074</v>
      </c>
      <c r="Q27" s="117" t="n">
        <v>18678275471.30869</v>
      </c>
      <c r="R27" s="117" t="n">
        <v>19130689686.10197</v>
      </c>
      <c r="S27" s="117" t="n">
        <v>19590171622.7627</v>
      </c>
      <c r="T27" s="16" t="inlineStr">
        <is>
          <t>Frozen current high_demand; provisional</t>
        </is>
      </c>
      <c r="U27" s="16" t="inlineStr">
        <is>
          <t>Freight 16: current engine input/result</t>
        </is>
      </c>
      <c r="V27" s="16" t="inlineStr">
        <is>
          <t>Engine dependency is in Python; Excel links expose… [N290]</t>
        </is>
      </c>
    </row>
    <row r="28" ht="30" customHeight="1">
      <c r="A28" s="16" t="inlineStr">
        <is>
          <t>Freight: Heavy-truck diesel demand</t>
        </is>
      </c>
      <c r="B28" s="16" t="inlineStr">
        <is>
          <t>L/year</t>
        </is>
      </c>
      <c r="C28" s="16" t="inlineStr">
        <is>
          <t>Engine output</t>
        </is>
      </c>
      <c r="D28" s="143" t="n"/>
      <c r="E28" s="116" t="inlineStr">
        <is>
          <t>Current Python engine output. Does not include LCV freight.</t>
        </is>
      </c>
      <c r="F28" s="117" t="n">
        <v>5228356913.313794</v>
      </c>
      <c r="G28" s="117" t="n">
        <v>5345095312.058235</v>
      </c>
      <c r="H28" s="117" t="n">
        <v>5438397159.087927</v>
      </c>
      <c r="I28" s="117" t="n">
        <v>5507717997.074704</v>
      </c>
      <c r="J28" s="117" t="n">
        <v>5584891423.650293</v>
      </c>
      <c r="K28" s="117" t="n">
        <v>5670231840.634418</v>
      </c>
      <c r="L28" s="117" t="n">
        <v>5763955345.599746</v>
      </c>
      <c r="M28" s="117" t="n">
        <v>5866077186.531343</v>
      </c>
      <c r="N28" s="117" t="n">
        <v>5976365141.460197</v>
      </c>
      <c r="O28" s="117" t="n">
        <v>6093697409.374835</v>
      </c>
      <c r="P28" s="117" t="n">
        <v>6216806465.79391</v>
      </c>
      <c r="Q28" s="117" t="n">
        <v>6344233164.457887</v>
      </c>
      <c r="R28" s="117" t="n">
        <v>6474288223.016267</v>
      </c>
      <c r="S28" s="117" t="n">
        <v>6605037980.344461</v>
      </c>
      <c r="T28" s="16" t="inlineStr">
        <is>
          <t>Frozen current high_demand; provisional</t>
        </is>
      </c>
      <c r="U28" s="16" t="inlineStr">
        <is>
          <t>Freight 17: current engine input/result</t>
        </is>
      </c>
      <c r="V28" s="16" t="inlineStr">
        <is>
          <t>Engine dependency is in Python; Excel links expose… [N291]</t>
        </is>
      </c>
    </row>
    <row r="29" ht="30" customHeight="1">
      <c r="A29" s="16" t="inlineStr">
        <is>
          <t>Freight: Current common EV share of new sales</t>
        </is>
      </c>
      <c r="B29" s="16" t="inlineStr">
        <is>
          <t>share</t>
        </is>
      </c>
      <c r="C29" s="16" t="inlineStr">
        <is>
          <t>Engine output</t>
        </is>
      </c>
      <c r="D29" s="129" t="n"/>
      <c r="E29" s="129" t="inlineStr">
        <is>
          <t>Existing engine curve applied to HCV as well as other classes.… [N292]</t>
        </is>
      </c>
      <c r="F29" s="128" t="n">
        <v>0.0007417869469904323</v>
      </c>
      <c r="G29" s="128" t="n">
        <v>0.001034235390469069</v>
      </c>
      <c r="H29" s="128" t="n">
        <v>0.001441425866147856</v>
      </c>
      <c r="I29" s="128" t="n">
        <v>0.002007855277285457</v>
      </c>
      <c r="J29" s="128" t="n">
        <v>0.002794787803520006</v>
      </c>
      <c r="K29" s="128" t="n">
        <v>0.003886118259208761</v>
      </c>
      <c r="L29" s="128" t="n">
        <v>0.005395862988627468</v>
      </c>
      <c r="M29" s="128" t="n">
        <v>0.007477327994134211</v>
      </c>
      <c r="N29" s="128" t="n">
        <v>0.01033355869986335</v>
      </c>
      <c r="O29" s="128" t="n">
        <v>0.01422776195327003</v>
      </c>
      <c r="P29" s="128" t="n">
        <v>0.01949075073859922</v>
      </c>
      <c r="Q29" s="128" t="n">
        <v>0.02651990316211752</v>
      </c>
      <c r="R29" s="128" t="n">
        <v>0.03576087660663526</v>
      </c>
      <c r="S29" s="128" t="n">
        <v>0.04766073146427455</v>
      </c>
      <c r="T29" s="16" t="inlineStr">
        <is>
          <t>Frozen current high_demand; provisional</t>
        </is>
      </c>
      <c r="U29" s="16" t="inlineStr">
        <is>
          <t>Freight 31: current engine input/result</t>
        </is>
      </c>
      <c r="V29" s="16" t="inlineStr">
        <is>
          <t>Engine dependency is in Python; Excel links expose… [N293]</t>
        </is>
      </c>
    </row>
    <row r="30" ht="30" customHeight="1">
      <c r="A30" s="16" t="inlineStr">
        <is>
          <t>Agriculture: Base year</t>
        </is>
      </c>
      <c r="B30" s="16" t="inlineStr">
        <is>
          <t>year</t>
        </is>
      </c>
      <c r="C30" s="16" t="inlineStr">
        <is>
          <t>Scalar</t>
        </is>
      </c>
      <c r="D30" s="143" t="n">
        <v>2024</v>
      </c>
      <c r="E30" s="116" t="inlineStr">
        <is>
          <t>A dated baseline, not a recurring annual observation.</t>
        </is>
      </c>
      <c r="F30" s="117" t="n"/>
      <c r="G30" s="117" t="n"/>
      <c r="H30" s="117" t="n"/>
      <c r="I30" s="117" t="n"/>
      <c r="J30" s="117" t="n"/>
      <c r="K30" s="117" t="n"/>
      <c r="L30" s="117" t="n"/>
      <c r="M30" s="117" t="n"/>
      <c r="N30" s="117" t="n"/>
      <c r="O30" s="117" t="n"/>
      <c r="P30" s="117" t="n"/>
      <c r="Q30" s="117" t="n"/>
      <c r="R30" s="117" t="n"/>
      <c r="S30" s="117" t="n"/>
      <c r="T30" s="16" t="inlineStr">
        <is>
          <t>Frozen current high_demand; provisional</t>
        </is>
      </c>
      <c r="U30" s="16" t="inlineStr">
        <is>
          <t>Agriculture 7: current engine input/result</t>
        </is>
      </c>
      <c r="V30" s="16" t="inlineStr">
        <is>
          <t>Engine dependency is in Python; Excel links expose… [N294]</t>
        </is>
      </c>
    </row>
    <row r="31" ht="30" customHeight="1">
      <c r="A31" s="16" t="inlineStr">
        <is>
          <t>Agriculture: GDP/capita elasticity</t>
        </is>
      </c>
      <c r="B31" s="16" t="inlineStr">
        <is>
          <t>dimensionless</t>
        </is>
      </c>
      <c r="C31" s="16" t="inlineStr">
        <is>
          <t>Scalar</t>
        </is>
      </c>
      <c r="D31" s="143" t="n">
        <v>0.2</v>
      </c>
      <c r="E31" s="116" t="inlineStr">
        <is>
          <t>Provisional GDP proxy, pending an agricultural driver.</t>
        </is>
      </c>
      <c r="F31" s="117" t="n"/>
      <c r="G31" s="117" t="n"/>
      <c r="H31" s="117" t="n"/>
      <c r="I31" s="117" t="n"/>
      <c r="J31" s="117" t="n"/>
      <c r="K31" s="117" t="n"/>
      <c r="L31" s="117" t="n"/>
      <c r="M31" s="117" t="n"/>
      <c r="N31" s="117" t="n"/>
      <c r="O31" s="117" t="n"/>
      <c r="P31" s="117" t="n"/>
      <c r="Q31" s="117" t="n"/>
      <c r="R31" s="117" t="n"/>
      <c r="S31" s="117" t="n"/>
      <c r="T31" s="16" t="inlineStr">
        <is>
          <t>Frozen current high_demand; provisional</t>
        </is>
      </c>
      <c r="U31" s="16" t="inlineStr">
        <is>
          <t>Agriculture 8: current engine input/result</t>
        </is>
      </c>
      <c r="V31" s="16" t="inlineStr">
        <is>
          <t>Engine dependency is in Python; Excel links expose… [N295]</t>
        </is>
      </c>
    </row>
    <row r="32" ht="30" customHeight="1">
      <c r="A32" s="16" t="inlineStr">
        <is>
          <t>Agriculture: GDP per capita</t>
        </is>
      </c>
      <c r="B32" s="16" t="inlineStr">
        <is>
          <t>2015 ZAR/person</t>
        </is>
      </c>
      <c r="C32" s="16" t="inlineStr">
        <is>
          <t>Input series</t>
        </is>
      </c>
      <c r="D32" s="143" t="n"/>
      <c r="E32" s="116" t="inlineStr">
        <is>
          <t>Current driver used by the held engine.</t>
        </is>
      </c>
      <c r="F32" s="117" t="n">
        <v>76790.1650122451</v>
      </c>
      <c r="G32" s="117" t="n">
        <v>76777.92621036293</v>
      </c>
      <c r="H32" s="117" t="n">
        <v>76356.55727959426</v>
      </c>
      <c r="I32" s="117" t="n">
        <v>75873.5403538539</v>
      </c>
      <c r="J32" s="117" t="n">
        <v>76305.62080219547</v>
      </c>
      <c r="K32" s="117" t="n">
        <v>76770.11274129389</v>
      </c>
      <c r="L32" s="117" t="n">
        <v>77267.03031188184</v>
      </c>
      <c r="M32" s="117" t="n">
        <v>77793.85014588524</v>
      </c>
      <c r="N32" s="117" t="n">
        <v>78347.23662423984</v>
      </c>
      <c r="O32" s="117" t="n">
        <v>78904.55961677714</v>
      </c>
      <c r="P32" s="117" t="n">
        <v>79465.847125887</v>
      </c>
      <c r="Q32" s="117" t="n">
        <v>80031.12735315424</v>
      </c>
      <c r="R32" s="117" t="n">
        <v>80600.42870077565</v>
      </c>
      <c r="S32" s="117" t="n">
        <v>81173.77977298702</v>
      </c>
      <c r="T32" s="16" t="inlineStr">
        <is>
          <t>Frozen current high_demand; provisional</t>
        </is>
      </c>
      <c r="U32" s="16" t="inlineStr">
        <is>
          <t>Agriculture 9: current engine input/result</t>
        </is>
      </c>
      <c r="V32" s="16" t="inlineStr">
        <is>
          <t>Engine dependency is in Python; Excel links expose… [N296]</t>
        </is>
      </c>
    </row>
    <row r="33" ht="30" customHeight="1">
      <c r="A33" s="16" t="inlineStr">
        <is>
          <t>Agriculture: Agricultural diesel demand</t>
        </is>
      </c>
      <c r="B33" s="16" t="inlineStr">
        <is>
          <t>L/year</t>
        </is>
      </c>
      <c r="C33" s="16" t="inlineStr">
        <is>
          <t>Engine output</t>
        </is>
      </c>
      <c r="D33" s="143" t="n"/>
      <c r="E33" s="116" t="inlineStr">
        <is>
          <t>Engine: baseline × (GDP/capita / base-year GDP/capita)^elasticity.</t>
        </is>
      </c>
      <c r="F33" s="117" t="n">
        <v>700793221.4567857</v>
      </c>
      <c r="G33" s="117" t="n">
        <v>700770881.5744826</v>
      </c>
      <c r="H33" s="117" t="n">
        <v>700000000</v>
      </c>
      <c r="I33" s="117" t="n">
        <v>699112137.4405431</v>
      </c>
      <c r="J33" s="117" t="n">
        <v>699906582.8701582</v>
      </c>
      <c r="K33" s="117" t="n">
        <v>700756617.9057957</v>
      </c>
      <c r="L33" s="117" t="n">
        <v>701661449.6704552</v>
      </c>
      <c r="M33" s="117" t="n">
        <v>702615660.3836949</v>
      </c>
      <c r="N33" s="117" t="n">
        <v>703612439.3352404</v>
      </c>
      <c r="O33" s="117" t="n">
        <v>704610632.3860354</v>
      </c>
      <c r="P33" s="117" t="n">
        <v>705610241.5422189</v>
      </c>
      <c r="Q33" s="117" t="n">
        <v>706611268.8127754</v>
      </c>
      <c r="R33" s="117" t="n">
        <v>707613716.2095395</v>
      </c>
      <c r="S33" s="117" t="n">
        <v>708617585.7472003</v>
      </c>
      <c r="T33" s="16" t="inlineStr">
        <is>
          <t>Frozen current high_demand; provisional</t>
        </is>
      </c>
      <c r="U33" s="16" t="inlineStr">
        <is>
          <t>Agriculture 12: current engine input/result</t>
        </is>
      </c>
      <c r="V33" s="16" t="inlineStr">
        <is>
          <t>Engine dependency is in Python; Excel links expose… [N297]</t>
        </is>
      </c>
    </row>
    <row r="34" ht="30" customHeight="1">
      <c r="A34" s="16" t="inlineStr">
        <is>
          <t>Manufacturing: Combined baseline year</t>
        </is>
      </c>
      <c r="B34" s="16" t="inlineStr">
        <is>
          <t>year</t>
        </is>
      </c>
      <c r="C34" s="16" t="inlineStr">
        <is>
          <t>Scalar</t>
        </is>
      </c>
      <c r="D34" s="143" t="n">
        <v>2024</v>
      </c>
      <c r="E34" s="116" t="inlineStr">
        <is>
          <t>Current main vintage; branch replacement proposals are not adopted here.</t>
        </is>
      </c>
      <c r="F34" s="117" t="n"/>
      <c r="G34" s="117" t="n"/>
      <c r="H34" s="117" t="n"/>
      <c r="I34" s="117" t="n"/>
      <c r="J34" s="117" t="n"/>
      <c r="K34" s="117" t="n"/>
      <c r="L34" s="117" t="n"/>
      <c r="M34" s="117" t="n"/>
      <c r="N34" s="117" t="n"/>
      <c r="O34" s="117" t="n"/>
      <c r="P34" s="117" t="n"/>
      <c r="Q34" s="117" t="n"/>
      <c r="R34" s="117" t="n"/>
      <c r="S34" s="117" t="n"/>
      <c r="T34" s="16" t="inlineStr">
        <is>
          <t>Frozen current high_demand; provisional</t>
        </is>
      </c>
      <c r="U34" s="16" t="inlineStr">
        <is>
          <t>Manufacturing 21: current engine input/result</t>
        </is>
      </c>
      <c r="V34" s="16" t="inlineStr">
        <is>
          <t>Engine dependency is in Python; Excel links expose… [N298]</t>
        </is>
      </c>
    </row>
    <row r="35" ht="30" customHeight="1">
      <c r="A35" s="16" t="inlineStr">
        <is>
          <t>Manufacturing: Combined GDP/capita elasticity</t>
        </is>
      </c>
      <c r="B35" s="16" t="inlineStr">
        <is>
          <t>dimensionless</t>
        </is>
      </c>
      <c r="C35" s="16" t="inlineStr">
        <is>
          <t>Scalar</t>
        </is>
      </c>
      <c r="D35" s="143" t="n">
        <v>1</v>
      </c>
      <c r="E35" s="116" t="inlineStr">
        <is>
          <t>Current combined held-method parameter. Not a manufacturing-specific estimate.</t>
        </is>
      </c>
      <c r="F35" s="117" t="n"/>
      <c r="G35" s="117" t="n"/>
      <c r="H35" s="117" t="n"/>
      <c r="I35" s="117" t="n"/>
      <c r="J35" s="117" t="n"/>
      <c r="K35" s="117" t="n"/>
      <c r="L35" s="117" t="n"/>
      <c r="M35" s="117" t="n"/>
      <c r="N35" s="117" t="n"/>
      <c r="O35" s="117" t="n"/>
      <c r="P35" s="117" t="n"/>
      <c r="Q35" s="117" t="n"/>
      <c r="R35" s="117" t="n"/>
      <c r="S35" s="117" t="n"/>
      <c r="T35" s="16" t="inlineStr">
        <is>
          <t>Frozen current high_demand; provisional</t>
        </is>
      </c>
      <c r="U35" s="16" t="inlineStr">
        <is>
          <t>Manufacturing 22: current engine input/result</t>
        </is>
      </c>
      <c r="V35" s="16" t="inlineStr">
        <is>
          <t>Engine dependency is in Python; Excel links expose… [N299]</t>
        </is>
      </c>
    </row>
    <row r="36" ht="30" customHeight="1">
      <c r="A36" s="16" t="inlineStr">
        <is>
          <t>Manufacturing: Combined industrial diesel</t>
        </is>
      </c>
      <c r="B36" s="16" t="inlineStr">
        <is>
          <t>L/year</t>
        </is>
      </c>
      <c r="C36" s="16" t="inlineStr">
        <is>
          <t>Engine output</t>
        </is>
      </c>
      <c r="D36" s="143" t="n"/>
      <c r="E36" s="116" t="inlineStr">
        <is>
          <t>Existing engine output shown ONCE as a reference for the future… [N300]</t>
        </is>
      </c>
      <c r="F36" s="117" t="n">
        <v>2514196807.324062</v>
      </c>
      <c r="G36" s="117" t="n">
        <v>2513796095.115504</v>
      </c>
      <c r="H36" s="117" t="n">
        <v>2500000000</v>
      </c>
      <c r="I36" s="117" t="n">
        <v>2484185479.84125</v>
      </c>
      <c r="J36" s="117" t="n">
        <v>2498332282.15056</v>
      </c>
      <c r="K36" s="117" t="n">
        <v>2513540273.305714</v>
      </c>
      <c r="L36" s="117" t="n">
        <v>2529809916.290284</v>
      </c>
      <c r="M36" s="117" t="n">
        <v>2547058593.18107</v>
      </c>
      <c r="N36" s="117" t="n">
        <v>2565177092.039271</v>
      </c>
      <c r="O36" s="117" t="n">
        <v>2583424476.821712</v>
      </c>
      <c r="P36" s="117" t="n">
        <v>2601801664.358291</v>
      </c>
      <c r="Q36" s="117" t="n">
        <v>2620309578.000774</v>
      </c>
      <c r="R36" s="117" t="n">
        <v>2638949147.669192</v>
      </c>
      <c r="S36" s="117" t="n">
        <v>2657721309.898559</v>
      </c>
      <c r="T36" s="16" t="inlineStr">
        <is>
          <t>Frozen current high_demand; provisional</t>
        </is>
      </c>
      <c r="U36" s="16" t="inlineStr">
        <is>
          <t>Manufacturing 23: current engine input/result</t>
        </is>
      </c>
      <c r="V36" s="16" t="inlineStr">
        <is>
          <t>Engine dependency is in Python; Excel links expose… [N301]</t>
        </is>
      </c>
    </row>
    <row r="37" ht="30" customHeight="1">
      <c r="A37" s="16" t="inlineStr">
        <is>
          <t>Other demand: Current engine load factor</t>
        </is>
      </c>
      <c r="B37" s="16" t="inlineStr">
        <is>
          <t>share</t>
        </is>
      </c>
      <c r="C37" s="16" t="inlineStr">
        <is>
          <t>Current input</t>
        </is>
      </c>
      <c r="D37" s="129" t="n"/>
      <c r="E37" s="129" t="inlineStr">
        <is>
          <t>Legacy scenario path. Not measured dispatch.</t>
        </is>
      </c>
      <c r="F37" s="128" t="n">
        <v>0.45</v>
      </c>
      <c r="G37" s="128" t="n">
        <v>0.5603</v>
      </c>
      <c r="H37" s="128" t="n">
        <v>0.5456</v>
      </c>
      <c r="I37" s="128" t="n">
        <v>0.626</v>
      </c>
      <c r="J37" s="128" t="n">
        <v>0.7</v>
      </c>
      <c r="K37" s="128" t="n">
        <v>0.71</v>
      </c>
      <c r="L37" s="128" t="n">
        <v>0.7</v>
      </c>
      <c r="M37" s="128" t="n">
        <v>0.7</v>
      </c>
      <c r="N37" s="128" t="n">
        <v>0.7</v>
      </c>
      <c r="O37" s="128" t="n">
        <v>0.7</v>
      </c>
      <c r="P37" s="128" t="n">
        <v>0.7</v>
      </c>
      <c r="Q37" s="128" t="n">
        <v>0.7</v>
      </c>
      <c r="R37" s="128" t="n">
        <v>0.7</v>
      </c>
      <c r="S37" s="128" t="n">
        <v>0.7</v>
      </c>
      <c r="T37" s="16" t="inlineStr">
        <is>
          <t>Frozen current high_demand; provisional</t>
        </is>
      </c>
      <c r="U37" s="16" t="inlineStr">
        <is>
          <t>https://github.com/Africa-International-Advisors/liq… [N302]</t>
        </is>
      </c>
      <c r="V37" s="16" t="inlineStr">
        <is>
          <t>Engine dependency is in Python; Excel links expose… [N303]</t>
        </is>
      </c>
    </row>
    <row r="38" ht="30" customHeight="1">
      <c r="A38" s="16" t="inlineStr">
        <is>
          <t>Other demand: Current thermal efficiency</t>
        </is>
      </c>
      <c r="B38" s="16" t="inlineStr">
        <is>
          <t>share</t>
        </is>
      </c>
      <c r="C38" s="16" t="inlineStr">
        <is>
          <t>Current scalar</t>
        </is>
      </c>
      <c r="D38" s="129" t="n">
        <v>0.4</v>
      </c>
      <c r="E38" s="129" t="inlineStr">
        <is>
          <t>Fraction of fuel energy converted to electricity.</t>
        </is>
      </c>
      <c r="F38" s="128" t="n"/>
      <c r="G38" s="128" t="n"/>
      <c r="H38" s="128" t="n"/>
      <c r="I38" s="128" t="n"/>
      <c r="J38" s="128" t="n"/>
      <c r="K38" s="128" t="n"/>
      <c r="L38" s="128" t="n"/>
      <c r="M38" s="128" t="n"/>
      <c r="N38" s="128" t="n"/>
      <c r="O38" s="128" t="n"/>
      <c r="P38" s="128" t="n"/>
      <c r="Q38" s="128" t="n"/>
      <c r="R38" s="128" t="n"/>
      <c r="S38" s="128" t="n"/>
      <c r="T38" s="16" t="inlineStr">
        <is>
          <t>Frozen current high_demand; provisional</t>
        </is>
      </c>
      <c r="U38" s="16" t="inlineStr">
        <is>
          <t>https://github.com/Africa-International-Advisors/liq… [N304]</t>
        </is>
      </c>
      <c r="V38" s="16" t="inlineStr">
        <is>
          <t>Engine dependency is in Python; Excel links expose… [N305]</t>
        </is>
      </c>
    </row>
    <row r="39" ht="30" customHeight="1">
      <c r="A39" s="16" t="inlineStr">
        <is>
          <t>Other demand: Diesel energy content</t>
        </is>
      </c>
      <c r="B39" s="16" t="inlineStr">
        <is>
          <t>MJ/L</t>
        </is>
      </c>
      <c r="C39" s="16" t="inlineStr">
        <is>
          <t>Current scalar</t>
        </is>
      </c>
      <c r="D39" s="143" t="n">
        <v>36.9</v>
      </c>
      <c r="E39" s="116" t="inlineStr">
        <is>
          <t>Current engine conversion input.</t>
        </is>
      </c>
      <c r="F39" s="117" t="n"/>
      <c r="G39" s="117" t="n"/>
      <c r="H39" s="117" t="n"/>
      <c r="I39" s="117" t="n"/>
      <c r="J39" s="117" t="n"/>
      <c r="K39" s="117" t="n"/>
      <c r="L39" s="117" t="n"/>
      <c r="M39" s="117" t="n"/>
      <c r="N39" s="117" t="n"/>
      <c r="O39" s="117" t="n"/>
      <c r="P39" s="117" t="n"/>
      <c r="Q39" s="117" t="n"/>
      <c r="R39" s="117" t="n"/>
      <c r="S39" s="117" t="n"/>
      <c r="T39" s="16" t="inlineStr">
        <is>
          <t>Frozen current high_demand; provisional</t>
        </is>
      </c>
      <c r="U39" s="16" t="inlineStr">
        <is>
          <t>https://github.com/Africa-International-Advisors/liq… [N306]</t>
        </is>
      </c>
      <c r="V39" s="16" t="inlineStr">
        <is>
          <t>Engine dependency is in Python; Excel links expose… [N307]</t>
        </is>
      </c>
    </row>
    <row r="40" ht="30" customHeight="1">
      <c r="A40" s="16" t="inlineStr">
        <is>
          <t>Other demand: Current OCGT diesel demand</t>
        </is>
      </c>
      <c r="B40" s="16" t="inlineStr">
        <is>
          <t>million L/year</t>
        </is>
      </c>
      <c r="C40" s="16" t="inlineStr">
        <is>
          <t>Model output</t>
        </is>
      </c>
      <c r="D40" s="143" t="n"/>
      <c r="E40" s="116" t="inlineStr">
        <is>
          <t>Calendar-year model output; do not directly tie to FY generation… [N308]</t>
        </is>
      </c>
      <c r="F40" s="117" t="n">
        <v>2953.615609756098</v>
      </c>
      <c r="G40" s="117" t="n">
        <v>3677.579613658537</v>
      </c>
      <c r="H40" s="117" t="n">
        <v>3581.09483707317</v>
      </c>
      <c r="I40" s="117" t="n">
        <v>4108.807492682927</v>
      </c>
      <c r="J40" s="117" t="n">
        <v>4594.513170731708</v>
      </c>
      <c r="K40" s="117" t="n">
        <v>4660.149073170731</v>
      </c>
      <c r="L40" s="117" t="n">
        <v>4594.513170731708</v>
      </c>
      <c r="M40" s="117" t="n">
        <v>4594.513170731708</v>
      </c>
      <c r="N40" s="117" t="n">
        <v>4594.513170731708</v>
      </c>
      <c r="O40" s="117" t="n">
        <v>4594.513170731708</v>
      </c>
      <c r="P40" s="117" t="n">
        <v>4594.513170731708</v>
      </c>
      <c r="Q40" s="117" t="n">
        <v>4594.513170731708</v>
      </c>
      <c r="R40" s="117" t="n">
        <v>4594.513170731708</v>
      </c>
      <c r="S40" s="117" t="n">
        <v>4594.513170731708</v>
      </c>
      <c r="T40" s="16" t="inlineStr">
        <is>
          <t>Frozen current high_demand; provisional</t>
        </is>
      </c>
      <c r="U40" s="16" t="inlineStr">
        <is>
          <t>https://github.com/Africa-International-Advisors/liq… [N309]</t>
        </is>
      </c>
      <c r="V40" s="16" t="inlineStr">
        <is>
          <t>Engine dependency is in Python; Excel links expose… [N310]</t>
        </is>
      </c>
    </row>
    <row r="41" ht="30" customHeight="1">
      <c r="A41" s="16" t="inlineStr">
        <is>
          <t>Other demand: Current engine passenger departures</t>
        </is>
      </c>
      <c r="B41" s="16" t="inlineStr">
        <is>
          <t>passengers/year</t>
        </is>
      </c>
      <c r="C41" s="16" t="inlineStr">
        <is>
          <t>Current input</t>
        </is>
      </c>
      <c r="D41" s="143" t="n"/>
      <c r="E41" s="116" t="inlineStr">
        <is>
          <t>Legacy regression driver; separate from new ACSA observations.</t>
        </is>
      </c>
      <c r="F41" s="117" t="n">
        <v>15813215</v>
      </c>
      <c r="G41" s="117" t="n">
        <v>17730490.28571429</v>
      </c>
      <c r="H41" s="117" t="n">
        <v>17000000</v>
      </c>
      <c r="I41" s="117" t="n">
        <v>19000000</v>
      </c>
      <c r="J41" s="117" t="n">
        <v>21000000</v>
      </c>
      <c r="K41" s="117" t="n">
        <v>22366222.61011254</v>
      </c>
      <c r="L41" s="117" t="n">
        <v>23832226.83755719</v>
      </c>
      <c r="M41" s="117" t="n">
        <v>25394320.97845525</v>
      </c>
      <c r="N41" s="117" t="n">
        <v>27058803.28986128</v>
      </c>
      <c r="O41" s="117" t="n">
        <v>28832384.85095128</v>
      </c>
      <c r="P41" s="117" t="n">
        <v>30722216.62163636</v>
      </c>
      <c r="Q41" s="117" t="n">
        <v>32735918.27474543</v>
      </c>
      <c r="R41" s="117" t="n">
        <v>34881608.91802647</v>
      </c>
      <c r="S41" s="117" t="n">
        <v>37167939.8298353</v>
      </c>
      <c r="T41" s="16" t="inlineStr">
        <is>
          <t>Frozen current high_demand; provisional</t>
        </is>
      </c>
      <c r="U41" s="16" t="inlineStr">
        <is>
          <t>https://github.com/Africa-International-Advisors/liq… [N311]</t>
        </is>
      </c>
      <c r="V41" s="16" t="inlineStr">
        <is>
          <t>Engine dependency is in Python; Excel links expose… [N312]</t>
        </is>
      </c>
    </row>
    <row r="42" ht="30" customHeight="1">
      <c r="A42" s="16" t="inlineStr">
        <is>
          <t>Other demand: Current jet demand</t>
        </is>
      </c>
      <c r="B42" s="16" t="inlineStr">
        <is>
          <t>million L/year</t>
        </is>
      </c>
      <c r="C42" s="16" t="inlineStr">
        <is>
          <t>Model output</t>
        </is>
      </c>
      <c r="D42" s="143" t="n"/>
      <c r="E42" s="116" t="inlineStr">
        <is>
          <t>Legacy two-driver regression.</t>
        </is>
      </c>
      <c r="F42" s="117" t="n">
        <v>1591.885842849324</v>
      </c>
      <c r="G42" s="117" t="n">
        <v>1742.458241097289</v>
      </c>
      <c r="H42" s="117" t="n">
        <v>1601.444539293681</v>
      </c>
      <c r="I42" s="117" t="n">
        <v>1666.18717411699</v>
      </c>
      <c r="J42" s="117" t="n">
        <v>1910.595391337534</v>
      </c>
      <c r="K42" s="117" t="n">
        <v>2110.799371315896</v>
      </c>
      <c r="L42" s="117" t="n">
        <v>2325.330997769632</v>
      </c>
      <c r="M42" s="117" t="n">
        <v>2553.400292222359</v>
      </c>
      <c r="N42" s="117" t="n">
        <v>2794.854880612478</v>
      </c>
      <c r="O42" s="117" t="n">
        <v>3045.787140513172</v>
      </c>
      <c r="P42" s="117" t="n">
        <v>3306.773129599316</v>
      </c>
      <c r="Q42" s="117" t="n">
        <v>3578.426342257959</v>
      </c>
      <c r="R42" s="117" t="n">
        <v>3861.400161109434</v>
      </c>
      <c r="S42" s="117" t="n">
        <v>4156.390469198261</v>
      </c>
      <c r="T42" s="16" t="inlineStr">
        <is>
          <t>Frozen current high_demand; provisional</t>
        </is>
      </c>
      <c r="U42" s="16" t="inlineStr">
        <is>
          <t>https://github.com/Africa-International-Advisors/liq… [N313]</t>
        </is>
      </c>
      <c r="V42" s="16" t="inlineStr">
        <is>
          <t>Engine dependency is in Python; Excel links expose… [N314]</t>
        </is>
      </c>
    </row>
    <row r="43" ht="30" customHeight="1">
      <c r="A43" s="16" t="inlineStr">
        <is>
          <t>Other demand: Legacy jet regression intercept</t>
        </is>
      </c>
      <c r="B43" s="16" t="inlineStr">
        <is>
          <t>L/year</t>
        </is>
      </c>
      <c r="C43" s="16" t="inlineStr">
        <is>
          <t>Current scalar</t>
        </is>
      </c>
      <c r="D43" s="143" t="n">
        <v>-14746408795.76744</v>
      </c>
      <c r="E43" s="116" t="inlineStr">
        <is>
          <t>Jet = intercept + GDP/capita coefficient × GDP/capita + passenger… [N315]</t>
        </is>
      </c>
      <c r="F43" s="117" t="n"/>
      <c r="G43" s="117" t="n"/>
      <c r="H43" s="117" t="n"/>
      <c r="I43" s="117" t="n"/>
      <c r="J43" s="117" t="n"/>
      <c r="K43" s="117" t="n"/>
      <c r="L43" s="117" t="n"/>
      <c r="M43" s="117" t="n"/>
      <c r="N43" s="117" t="n"/>
      <c r="O43" s="117" t="n"/>
      <c r="P43" s="117" t="n"/>
      <c r="Q43" s="117" t="n"/>
      <c r="R43" s="117" t="n"/>
      <c r="S43" s="117" t="n"/>
      <c r="T43" s="16" t="inlineStr">
        <is>
          <t>Frozen current high_demand; provisional</t>
        </is>
      </c>
      <c r="U43" s="16" t="inlineStr">
        <is>
          <t>https://github.com/Africa-International-Advisors/liq… [N316]</t>
        </is>
      </c>
      <c r="V43" s="16" t="inlineStr">
        <is>
          <t>Engine dependency is in Python; Excel links expose… [N317]</t>
        </is>
      </c>
    </row>
    <row r="44" ht="30" customHeight="1">
      <c r="A44" s="16" t="inlineStr">
        <is>
          <t>Other demand: GDP/capita coefficient</t>
        </is>
      </c>
      <c r="B44" s="16" t="inlineStr">
        <is>
          <t>L per ZAR/person</t>
        </is>
      </c>
      <c r="C44" s="16" t="inlineStr">
        <is>
          <t>Current scalar</t>
        </is>
      </c>
      <c r="D44" s="143" t="n">
        <v>196334.9338396717</v>
      </c>
      <c r="E44" s="116" t="inlineStr">
        <is>
          <t>Used with current macro path.</t>
        </is>
      </c>
      <c r="F44" s="117" t="n"/>
      <c r="G44" s="117" t="n"/>
      <c r="H44" s="117" t="n"/>
      <c r="I44" s="117" t="n"/>
      <c r="J44" s="117" t="n"/>
      <c r="K44" s="117" t="n"/>
      <c r="L44" s="117" t="n"/>
      <c r="M44" s="117" t="n"/>
      <c r="N44" s="117" t="n"/>
      <c r="O44" s="117" t="n"/>
      <c r="P44" s="117" t="n"/>
      <c r="Q44" s="117" t="n"/>
      <c r="R44" s="117" t="n"/>
      <c r="S44" s="117" t="n"/>
      <c r="T44" s="16" t="inlineStr">
        <is>
          <t>Frozen current high_demand; provisional</t>
        </is>
      </c>
      <c r="U44" s="16" t="inlineStr">
        <is>
          <t>https://github.com/Africa-International-Advisors/liq… [N318]</t>
        </is>
      </c>
      <c r="V44" s="16" t="inlineStr">
        <is>
          <t>Engine dependency is in Python; Excel links expose… [N319]</t>
        </is>
      </c>
    </row>
    <row r="45" ht="30" customHeight="1">
      <c r="A45" s="16" t="inlineStr">
        <is>
          <t>Other demand: Passenger coefficient</t>
        </is>
      </c>
      <c r="B45" s="16" t="inlineStr">
        <is>
          <t>L per departure</t>
        </is>
      </c>
      <c r="C45" s="16" t="inlineStr">
        <is>
          <t>Current scalar</t>
        </is>
      </c>
      <c r="D45" s="143" t="n">
        <v>79.78786549099274</v>
      </c>
      <c r="E45" s="116" t="inlineStr">
        <is>
          <t>Passenger departure basis.</t>
        </is>
      </c>
      <c r="F45" s="117" t="n"/>
      <c r="G45" s="117" t="n"/>
      <c r="H45" s="117" t="n"/>
      <c r="I45" s="117" t="n"/>
      <c r="J45" s="117" t="n"/>
      <c r="K45" s="117" t="n"/>
      <c r="L45" s="117" t="n"/>
      <c r="M45" s="117" t="n"/>
      <c r="N45" s="117" t="n"/>
      <c r="O45" s="117" t="n"/>
      <c r="P45" s="117" t="n"/>
      <c r="Q45" s="117" t="n"/>
      <c r="R45" s="117" t="n"/>
      <c r="S45" s="117" t="n"/>
      <c r="T45" s="16" t="inlineStr">
        <is>
          <t>Frozen current high_demand; provisional</t>
        </is>
      </c>
      <c r="U45" s="16" t="inlineStr">
        <is>
          <t>https://github.com/Africa-International-Advisors/liq… [N320]</t>
        </is>
      </c>
      <c r="V45" s="16" t="inlineStr">
        <is>
          <t>Engine dependency is in Python; Excel links expose… [N321]</t>
        </is>
      </c>
    </row>
    <row r="46" ht="30" customHeight="1">
      <c r="A46" s="16" t="inlineStr">
        <is>
          <t>Other demand: durban provisional port baseline</t>
        </is>
      </c>
      <c r="B46" s="16" t="inlineStr">
        <is>
          <t>million L/year</t>
        </is>
      </c>
      <c r="C46" s="16" t="inlineStr">
        <is>
          <t>Current scalar</t>
        </is>
      </c>
      <c r="D46" s="143" t="n">
        <v>1500</v>
      </c>
      <c r="E46" s="116" t="inlineStr">
        <is>
          <t>Current 2024 placeholder; not measured port bunkering.</t>
        </is>
      </c>
      <c r="F46" s="117" t="n"/>
      <c r="G46" s="117" t="n"/>
      <c r="H46" s="117" t="n"/>
      <c r="I46" s="117" t="n"/>
      <c r="J46" s="117" t="n"/>
      <c r="K46" s="117" t="n"/>
      <c r="L46" s="117" t="n"/>
      <c r="M46" s="117" t="n"/>
      <c r="N46" s="117" t="n"/>
      <c r="O46" s="117" t="n"/>
      <c r="P46" s="117" t="n"/>
      <c r="Q46" s="117" t="n"/>
      <c r="R46" s="117" t="n"/>
      <c r="S46" s="117" t="n"/>
      <c r="T46" s="16" t="inlineStr">
        <is>
          <t>Frozen current high_demand; provisional</t>
        </is>
      </c>
      <c r="U46" s="16" t="inlineStr">
        <is>
          <t>https://github.com/Africa-International-Advisors/liq… [N322]</t>
        </is>
      </c>
      <c r="V46" s="16" t="inlineStr">
        <is>
          <t>Engine dependency is in Python; Excel links expose… [N323]</t>
        </is>
      </c>
    </row>
    <row r="47" ht="30" customHeight="1">
      <c r="A47" s="16" t="inlineStr">
        <is>
          <t>Other demand: cape_town provisional port baseline</t>
        </is>
      </c>
      <c r="B47" s="16" t="inlineStr">
        <is>
          <t>million L/year</t>
        </is>
      </c>
      <c r="C47" s="16" t="inlineStr">
        <is>
          <t>Current scalar</t>
        </is>
      </c>
      <c r="D47" s="143" t="n">
        <v>500</v>
      </c>
      <c r="E47" s="116" t="inlineStr">
        <is>
          <t>Current 2024 placeholder; not measured port bunkering.</t>
        </is>
      </c>
      <c r="F47" s="117" t="n"/>
      <c r="G47" s="117" t="n"/>
      <c r="H47" s="117" t="n"/>
      <c r="I47" s="117" t="n"/>
      <c r="J47" s="117" t="n"/>
      <c r="K47" s="117" t="n"/>
      <c r="L47" s="117" t="n"/>
      <c r="M47" s="117" t="n"/>
      <c r="N47" s="117" t="n"/>
      <c r="O47" s="117" t="n"/>
      <c r="P47" s="117" t="n"/>
      <c r="Q47" s="117" t="n"/>
      <c r="R47" s="117" t="n"/>
      <c r="S47" s="117" t="n"/>
      <c r="T47" s="16" t="inlineStr">
        <is>
          <t>Frozen current high_demand; provisional</t>
        </is>
      </c>
      <c r="U47" s="16" t="inlineStr">
        <is>
          <t>https://github.com/Africa-International-Advisors/liq… [N324]</t>
        </is>
      </c>
      <c r="V47" s="16" t="inlineStr">
        <is>
          <t>Engine dependency is in Python; Excel links expose… [N325]</t>
        </is>
      </c>
    </row>
    <row r="48" ht="30" customHeight="1">
      <c r="A48" s="16" t="inlineStr">
        <is>
          <t>Other demand: saldanha provisional port baseline</t>
        </is>
      </c>
      <c r="B48" s="16" t="inlineStr">
        <is>
          <t>million L/year</t>
        </is>
      </c>
      <c r="C48" s="16" t="inlineStr">
        <is>
          <t>Current scalar</t>
        </is>
      </c>
      <c r="D48" s="143" t="n">
        <v>200</v>
      </c>
      <c r="E48" s="116" t="inlineStr">
        <is>
          <t>Current 2024 placeholder; not measured port bunkering.</t>
        </is>
      </c>
      <c r="F48" s="117" t="n"/>
      <c r="G48" s="117" t="n"/>
      <c r="H48" s="117" t="n"/>
      <c r="I48" s="117" t="n"/>
      <c r="J48" s="117" t="n"/>
      <c r="K48" s="117" t="n"/>
      <c r="L48" s="117" t="n"/>
      <c r="M48" s="117" t="n"/>
      <c r="N48" s="117" t="n"/>
      <c r="O48" s="117" t="n"/>
      <c r="P48" s="117" t="n"/>
      <c r="Q48" s="117" t="n"/>
      <c r="R48" s="117" t="n"/>
      <c r="S48" s="117" t="n"/>
      <c r="T48" s="16" t="inlineStr">
        <is>
          <t>Frozen current high_demand; provisional</t>
        </is>
      </c>
      <c r="U48" s="16" t="inlineStr">
        <is>
          <t>https://github.com/Africa-International-Advisors/liq… [N326]</t>
        </is>
      </c>
      <c r="V48" s="16" t="inlineStr">
        <is>
          <t>Engine dependency is in Python; Excel links expose… [N327]</t>
        </is>
      </c>
    </row>
    <row r="49" ht="30" customHeight="1">
      <c r="A49" s="16" t="inlineStr">
        <is>
          <t>Other demand: Marine GDP/capita elasticity</t>
        </is>
      </c>
      <c r="B49" s="16" t="inlineStr">
        <is>
          <t>dimensionless</t>
        </is>
      </c>
      <c r="C49" s="16" t="inlineStr">
        <is>
          <t>Current scalar</t>
        </is>
      </c>
      <c r="D49" s="143" t="n">
        <v>0.4</v>
      </c>
      <c r="E49" s="116" t="inlineStr">
        <is>
          <t>Current proxy response.</t>
        </is>
      </c>
      <c r="F49" s="117" t="n"/>
      <c r="G49" s="117" t="n"/>
      <c r="H49" s="117" t="n"/>
      <c r="I49" s="117" t="n"/>
      <c r="J49" s="117" t="n"/>
      <c r="K49" s="117" t="n"/>
      <c r="L49" s="117" t="n"/>
      <c r="M49" s="117" t="n"/>
      <c r="N49" s="117" t="n"/>
      <c r="O49" s="117" t="n"/>
      <c r="P49" s="117" t="n"/>
      <c r="Q49" s="117" t="n"/>
      <c r="R49" s="117" t="n"/>
      <c r="S49" s="117" t="n"/>
      <c r="T49" s="16" t="inlineStr">
        <is>
          <t>Frozen current high_demand; provisional</t>
        </is>
      </c>
      <c r="U49" s="16" t="inlineStr">
        <is>
          <t>https://github.com/Africa-International-Advisors/liq… [N328]</t>
        </is>
      </c>
      <c r="V49" s="16" t="inlineStr">
        <is>
          <t>Engine dependency is in Python; Excel links expose… [N329]</t>
        </is>
      </c>
    </row>
    <row r="50" ht="30" customHeight="1">
      <c r="A50" s="16" t="inlineStr">
        <is>
          <t>Other demand: Marine fuel-oil share</t>
        </is>
      </c>
      <c r="B50" s="16" t="inlineStr">
        <is>
          <t>share</t>
        </is>
      </c>
      <c r="C50" s="16" t="inlineStr">
        <is>
          <t>Current scalar</t>
        </is>
      </c>
      <c r="D50" s="129" t="n">
        <v>0.65</v>
      </c>
      <c r="E50" s="129" t="inlineStr">
        <is>
          <t>One provisional split across ports.</t>
        </is>
      </c>
      <c r="F50" s="128" t="n"/>
      <c r="G50" s="128" t="n"/>
      <c r="H50" s="128" t="n"/>
      <c r="I50" s="128" t="n"/>
      <c r="J50" s="128" t="n"/>
      <c r="K50" s="128" t="n"/>
      <c r="L50" s="128" t="n"/>
      <c r="M50" s="128" t="n"/>
      <c r="N50" s="128" t="n"/>
      <c r="O50" s="128" t="n"/>
      <c r="P50" s="128" t="n"/>
      <c r="Q50" s="128" t="n"/>
      <c r="R50" s="128" t="n"/>
      <c r="S50" s="128" t="n"/>
      <c r="T50" s="16" t="inlineStr">
        <is>
          <t>Frozen current high_demand; provisional</t>
        </is>
      </c>
      <c r="U50" s="16" t="inlineStr">
        <is>
          <t>https://github.com/Africa-International-Advisors/liq… [N330]</t>
        </is>
      </c>
      <c r="V50" s="16" t="inlineStr">
        <is>
          <t>Engine dependency is in Python; Excel links expose… [N331]</t>
        </is>
      </c>
    </row>
    <row r="51" ht="30" customHeight="1">
      <c r="A51" s="16" t="inlineStr">
        <is>
          <t>Other demand: Marine diesel share</t>
        </is>
      </c>
      <c r="B51" s="16" t="inlineStr">
        <is>
          <t>share</t>
        </is>
      </c>
      <c r="C51" s="16" t="inlineStr">
        <is>
          <t>Current scalar</t>
        </is>
      </c>
      <c r="D51" s="129" t="n">
        <v>0.35</v>
      </c>
      <c r="E51" s="129" t="inlineStr">
        <is>
          <t>Diesel_500ppm; part of total diesel comparison.</t>
        </is>
      </c>
      <c r="F51" s="128" t="n"/>
      <c r="G51" s="128" t="n"/>
      <c r="H51" s="128" t="n"/>
      <c r="I51" s="128" t="n"/>
      <c r="J51" s="128" t="n"/>
      <c r="K51" s="128" t="n"/>
      <c r="L51" s="128" t="n"/>
      <c r="M51" s="128" t="n"/>
      <c r="N51" s="128" t="n"/>
      <c r="O51" s="128" t="n"/>
      <c r="P51" s="128" t="n"/>
      <c r="Q51" s="128" t="n"/>
      <c r="R51" s="128" t="n"/>
      <c r="S51" s="128" t="n"/>
      <c r="T51" s="16" t="inlineStr">
        <is>
          <t>Frozen current high_demand; provisional</t>
        </is>
      </c>
      <c r="U51" s="16" t="inlineStr">
        <is>
          <t>https://github.com/Africa-International-Advisors/liq… [N332]</t>
        </is>
      </c>
      <c r="V51" s="16" t="inlineStr">
        <is>
          <t>Engine dependency is in Python; Excel links expose… [N333]</t>
        </is>
      </c>
    </row>
    <row r="52" ht="30" customHeight="1">
      <c r="A52" s="16" t="inlineStr">
        <is>
          <t>Other demand: Marine diesel demand</t>
        </is>
      </c>
      <c r="B52" s="16" t="inlineStr">
        <is>
          <t>million L/year</t>
        </is>
      </c>
      <c r="C52" s="16" t="inlineStr">
        <is>
          <t>Model output</t>
        </is>
      </c>
      <c r="D52" s="143" t="n"/>
      <c r="E52" s="116" t="inlineStr">
        <is>
          <t>No 2022–23 output from current marine engine.</t>
        </is>
      </c>
      <c r="F52" s="117" t="n"/>
      <c r="G52" s="117" t="n"/>
      <c r="H52" s="117" t="n">
        <v>770</v>
      </c>
      <c r="I52" s="117" t="n">
        <v>768.0479411262189</v>
      </c>
      <c r="J52" s="117" t="n">
        <v>769.7944960278282</v>
      </c>
      <c r="K52" s="117" t="n">
        <v>771.6654589894948</v>
      </c>
      <c r="L52" s="117" t="n">
        <v>773.6595270700128</v>
      </c>
      <c r="M52" s="117" t="n">
        <v>775.7652040543675</v>
      </c>
      <c r="N52" s="117" t="n">
        <v>777.9678732371657</v>
      </c>
      <c r="O52" s="117" t="n">
        <v>780.1767965694195</v>
      </c>
      <c r="P52" s="117" t="n">
        <v>782.3919918088507</v>
      </c>
      <c r="Q52" s="117" t="n">
        <v>784.6134767636006</v>
      </c>
      <c r="R52" s="117" t="n">
        <v>786.8412692923746</v>
      </c>
      <c r="S52" s="117" t="n">
        <v>789.0753873045852</v>
      </c>
      <c r="T52" s="16" t="inlineStr">
        <is>
          <t>Frozen current high_demand; provisional</t>
        </is>
      </c>
      <c r="U52" s="16" t="inlineStr">
        <is>
          <t>https://github.com/Africa-International-Advisors/liq… [N334]</t>
        </is>
      </c>
      <c r="V52" s="16" t="inlineStr">
        <is>
          <t>Engine dependency is in Python; Excel links expose… [N335]</t>
        </is>
      </c>
    </row>
    <row r="53" ht="30" customHeight="1">
      <c r="A53" s="16" t="inlineStr">
        <is>
          <t>Other demand: Marine fuel-oil demand</t>
        </is>
      </c>
      <c r="B53" s="16" t="inlineStr">
        <is>
          <t>million L/year</t>
        </is>
      </c>
      <c r="C53" s="16" t="inlineStr">
        <is>
          <t>Model output</t>
        </is>
      </c>
      <c r="D53" s="143" t="n"/>
      <c r="E53" s="116" t="inlineStr">
        <is>
          <t>Marine only; does not represent all national fuel-oil consumption.</t>
        </is>
      </c>
      <c r="F53" s="117" t="n"/>
      <c r="G53" s="117" t="n"/>
      <c r="H53" s="117" t="n">
        <v>1430</v>
      </c>
      <c r="I53" s="117" t="n">
        <v>1426.374747805835</v>
      </c>
      <c r="J53" s="117" t="n">
        <v>1429.618349765967</v>
      </c>
      <c r="K53" s="117" t="n">
        <v>1433.092995266205</v>
      </c>
      <c r="L53" s="117" t="n">
        <v>1436.796264558595</v>
      </c>
      <c r="M53" s="117" t="n">
        <v>1440.70680752954</v>
      </c>
      <c r="N53" s="117" t="n">
        <v>1444.797478869022</v>
      </c>
      <c r="O53" s="117" t="n">
        <v>1448.899765057493</v>
      </c>
      <c r="P53" s="117" t="n">
        <v>1453.01369907358</v>
      </c>
      <c r="Q53" s="117" t="n">
        <v>1457.139313989544</v>
      </c>
      <c r="R53" s="117" t="n">
        <v>1461.276642971553</v>
      </c>
      <c r="S53" s="117" t="n">
        <v>1465.425719279944</v>
      </c>
      <c r="T53" s="16" t="inlineStr">
        <is>
          <t>Frozen current high_demand; provisional</t>
        </is>
      </c>
      <c r="U53" s="16" t="inlineStr">
        <is>
          <t>https://github.com/Africa-International-Advisors/liq… [N336]</t>
        </is>
      </c>
      <c r="V53" s="16" t="inlineStr">
        <is>
          <t>Engine dependency is in Python; Excel links expose… [N337]</t>
        </is>
      </c>
    </row>
    <row r="54" ht="30" customHeight="1">
      <c r="A54" s="16" t="inlineStr">
        <is>
          <t>LCV petrol stock</t>
        </is>
      </c>
      <c r="B54" s="16" t="inlineStr">
        <is>
          <t>vehicles</t>
        </is>
      </c>
      <c r="C54" s="16" t="inlineStr">
        <is>
          <t>Python result</t>
        </is>
      </c>
      <c r="D54" s="143" t="n"/>
      <c r="E54" s="116" t="inlineStr">
        <is>
          <t>lcv / petrol_95 / stock</t>
        </is>
      </c>
      <c r="F54" s="117" t="n">
        <v>314192.8954495676</v>
      </c>
      <c r="G54" s="117" t="n">
        <v>322939.1449073407</v>
      </c>
      <c r="H54" s="117" t="n">
        <v>330432.6687227717</v>
      </c>
      <c r="I54" s="117" t="n">
        <v>336615.3455909181</v>
      </c>
      <c r="J54" s="117" t="n">
        <v>343295.7861935666</v>
      </c>
      <c r="K54" s="117" t="n">
        <v>350502.1747177935</v>
      </c>
      <c r="L54" s="117" t="n">
        <v>358257.3999563134</v>
      </c>
      <c r="M54" s="117" t="n">
        <v>366572.8848606796</v>
      </c>
      <c r="N54" s="117" t="n">
        <v>375445.4928222779</v>
      </c>
      <c r="O54" s="117" t="n">
        <v>384819.1161193799</v>
      </c>
      <c r="P54" s="117" t="n">
        <v>394627.2939942893</v>
      </c>
      <c r="Q54" s="117" t="n">
        <v>404790.206462875</v>
      </c>
      <c r="R54" s="117" t="n">
        <v>415212.0111547706</v>
      </c>
      <c r="S54" s="117" t="n">
        <v>425779.5588510279</v>
      </c>
      <c r="T54" s="16" t="inlineStr">
        <is>
          <t>Frozen high_demand</t>
        </is>
      </c>
      <c r="U54" s="16" t="inlineStr">
        <is>
          <t>src/lfm/model/demand/vehicles.py</t>
        </is>
      </c>
      <c r="V54" s="16" t="inlineStr">
        <is>
          <t>Uses vehicle inputs shown on sector tabs; refresh via Python.</t>
        </is>
      </c>
    </row>
    <row r="55" ht="30" customHeight="1">
      <c r="A55" s="16" t="inlineStr">
        <is>
          <t>LCV petrol vehicle kilometres</t>
        </is>
      </c>
      <c r="B55" s="16" t="inlineStr">
        <is>
          <t>vehicle km/year</t>
        </is>
      </c>
      <c r="C55" s="16" t="inlineStr">
        <is>
          <t>Python result</t>
        </is>
      </c>
      <c r="D55" s="143" t="n"/>
      <c r="E55" s="116" t="inlineStr">
        <is>
          <t>lcv / petrol_95 / vehicle_km</t>
        </is>
      </c>
      <c r="F55" s="117" t="n">
        <v>8797401072.587893</v>
      </c>
      <c r="G55" s="117" t="n">
        <v>9042296057.40554</v>
      </c>
      <c r="H55" s="117" t="n">
        <v>9252114724.23761</v>
      </c>
      <c r="I55" s="117" t="n">
        <v>9425229676.545706</v>
      </c>
      <c r="J55" s="117" t="n">
        <v>9612282013.419867</v>
      </c>
      <c r="K55" s="117" t="n">
        <v>9814060892.098217</v>
      </c>
      <c r="L55" s="117" t="n">
        <v>10031207198.77677</v>
      </c>
      <c r="M55" s="117" t="n">
        <v>10264040776.09903</v>
      </c>
      <c r="N55" s="117" t="n">
        <v>10512473799.02378</v>
      </c>
      <c r="O55" s="117" t="n">
        <v>10774935251.34264</v>
      </c>
      <c r="P55" s="117" t="n">
        <v>11049564231.8401</v>
      </c>
      <c r="Q55" s="117" t="n">
        <v>11334125780.9605</v>
      </c>
      <c r="R55" s="117" t="n">
        <v>11625936312.33358</v>
      </c>
      <c r="S55" s="117" t="n">
        <v>11921827647.82878</v>
      </c>
      <c r="T55" s="16" t="inlineStr">
        <is>
          <t>Frozen high_demand</t>
        </is>
      </c>
      <c r="U55" s="16" t="inlineStr">
        <is>
          <t>src/lfm/model/demand/vehicles.py</t>
        </is>
      </c>
      <c r="V55" s="16" t="inlineStr">
        <is>
          <t>Uses vehicle inputs shown on sector tabs; refresh via Python.</t>
        </is>
      </c>
    </row>
    <row r="56" ht="30" customHeight="1">
      <c r="A56" s="16" t="inlineStr">
        <is>
          <t>LCV petrol demand</t>
        </is>
      </c>
      <c r="B56" s="16" t="inlineStr">
        <is>
          <t>L/year</t>
        </is>
      </c>
      <c r="C56" s="16" t="inlineStr">
        <is>
          <t>Python result</t>
        </is>
      </c>
      <c r="D56" s="143" t="n"/>
      <c r="E56" s="116" t="inlineStr">
        <is>
          <t>lcv / petrol_95 / litres</t>
        </is>
      </c>
      <c r="F56" s="117" t="n">
        <v>919866693.5897633</v>
      </c>
      <c r="G56" s="117" t="n">
        <v>942940528.1008457</v>
      </c>
      <c r="H56" s="117" t="n">
        <v>961890176.7509885</v>
      </c>
      <c r="I56" s="117" t="n">
        <v>976640100.8379743</v>
      </c>
      <c r="J56" s="117" t="n">
        <v>992235203.3301032</v>
      </c>
      <c r="K56" s="117" t="n">
        <v>1008739265.790592</v>
      </c>
      <c r="L56" s="117" t="n">
        <v>1026198724.557906</v>
      </c>
      <c r="M56" s="117" t="n">
        <v>1044626923.179688</v>
      </c>
      <c r="N56" s="117" t="n">
        <v>1063997282.708591</v>
      </c>
      <c r="O56" s="117" t="n">
        <v>1084144827.085065</v>
      </c>
      <c r="P56" s="117" t="n">
        <v>1104881788.715154</v>
      </c>
      <c r="Q56" s="117" t="n">
        <v>1125991051.939601</v>
      </c>
      <c r="R56" s="117" t="n">
        <v>1147220828.562962</v>
      </c>
      <c r="S56" s="117" t="n">
        <v>1168283097.272352</v>
      </c>
      <c r="T56" s="16" t="inlineStr">
        <is>
          <t>Frozen high_demand</t>
        </is>
      </c>
      <c r="U56" s="16" t="inlineStr">
        <is>
          <t>src/lfm/model/demand/vehicles.py</t>
        </is>
      </c>
      <c r="V56" s="16" t="inlineStr">
        <is>
          <t>Uses vehicle inputs shown on sector tabs; refresh via Python.</t>
        </is>
      </c>
    </row>
    <row r="57" ht="30" customHeight="1">
      <c r="A57" s="16" t="inlineStr">
        <is>
          <t>Passenger diesel demand</t>
        </is>
      </c>
      <c r="B57" s="16" t="inlineStr">
        <is>
          <t>L/year</t>
        </is>
      </c>
      <c r="C57" s="16" t="inlineStr">
        <is>
          <t>Python result</t>
        </is>
      </c>
      <c r="D57" s="143" t="n"/>
      <c r="E57" s="116" t="inlineStr">
        <is>
          <t>passenger / diesel_50ppm / litres</t>
        </is>
      </c>
      <c r="F57" s="117" t="n">
        <v>1070017165.774483</v>
      </c>
      <c r="G57" s="117" t="n">
        <v>1103053881.220822</v>
      </c>
      <c r="H57" s="117" t="n">
        <v>1131873998.594546</v>
      </c>
      <c r="I57" s="117" t="n">
        <v>1156302504.824944</v>
      </c>
      <c r="J57" s="117" t="n">
        <v>1181870186.781693</v>
      </c>
      <c r="K57" s="117" t="n">
        <v>1208669881.483022</v>
      </c>
      <c r="L57" s="117" t="n">
        <v>1236776716.238646</v>
      </c>
      <c r="M57" s="117" t="n">
        <v>1266229710.811676</v>
      </c>
      <c r="N57" s="117" t="n">
        <v>1297022884.660583</v>
      </c>
      <c r="O57" s="117" t="n">
        <v>1328991310.377187</v>
      </c>
      <c r="P57" s="117" t="n">
        <v>1361939124.509505</v>
      </c>
      <c r="Q57" s="117" t="n">
        <v>1395631137.906538</v>
      </c>
      <c r="R57" s="117" t="n">
        <v>1429785597.406811</v>
      </c>
      <c r="S57" s="117" t="n">
        <v>1464071106.236353</v>
      </c>
      <c r="T57" s="16" t="inlineStr">
        <is>
          <t>Frozen high_demand</t>
        </is>
      </c>
      <c r="U57" s="16" t="inlineStr">
        <is>
          <t>src/lfm/model/demand/vehicles.py</t>
        </is>
      </c>
      <c r="V57" s="16" t="inlineStr">
        <is>
          <t>Uses vehicle inputs shown on sector tabs; refresh via Python.</t>
        </is>
      </c>
    </row>
    <row r="58" ht="30" customHeight="1">
      <c r="A58" s="16" t="inlineStr">
        <is>
          <t>LCV diesel demand</t>
        </is>
      </c>
      <c r="B58" s="16" t="inlineStr">
        <is>
          <t>L/year</t>
        </is>
      </c>
      <c r="C58" s="16" t="inlineStr">
        <is>
          <t>Python result</t>
        </is>
      </c>
      <c r="D58" s="143" t="n"/>
      <c r="E58" s="116" t="inlineStr">
        <is>
          <t>lcv / diesel_50ppm / litres</t>
        </is>
      </c>
      <c r="F58" s="117" t="n">
        <v>1843579855.991744</v>
      </c>
      <c r="G58" s="117" t="n">
        <v>1892347006.392814</v>
      </c>
      <c r="H58" s="117" t="n">
        <v>1933295112.178313</v>
      </c>
      <c r="I58" s="117" t="n">
        <v>1966176391.32085</v>
      </c>
      <c r="J58" s="117" t="n">
        <v>2001346844.807937</v>
      </c>
      <c r="K58" s="117" t="n">
        <v>2038949242.099122</v>
      </c>
      <c r="L58" s="117" t="n">
        <v>2079093201.761362</v>
      </c>
      <c r="M58" s="117" t="n">
        <v>2121821339.504445</v>
      </c>
      <c r="N58" s="117" t="n">
        <v>2167093406.580247</v>
      </c>
      <c r="O58" s="117" t="n">
        <v>2214575314.439119</v>
      </c>
      <c r="P58" s="117" t="n">
        <v>2263879922.464106</v>
      </c>
      <c r="Q58" s="117" t="n">
        <v>2314551798.318617</v>
      </c>
      <c r="R58" s="117" t="n">
        <v>2366054256.387237</v>
      </c>
      <c r="S58" s="117" t="n">
        <v>2417764235.278815</v>
      </c>
      <c r="T58" s="16" t="inlineStr">
        <is>
          <t>Frozen high_demand</t>
        </is>
      </c>
      <c r="U58" s="16" t="inlineStr">
        <is>
          <t>src/lfm/model/demand/vehicles.py</t>
        </is>
      </c>
      <c r="V58" s="16" t="inlineStr">
        <is>
          <t>Uses vehicle inputs shown on sector tabs; refresh via Python.</t>
        </is>
      </c>
    </row>
    <row r="59" ht="8" customHeight="1">
      <c r="A59" s="3" t="n"/>
      <c r="B59" s="3" t="n"/>
      <c r="C59" s="3" t="n"/>
      <c r="D59" s="144" t="n"/>
      <c r="E59" s="121" t="n"/>
      <c r="F59" s="122" t="n"/>
      <c r="G59" s="122" t="n"/>
      <c r="H59" s="122" t="n"/>
      <c r="I59" s="122" t="n"/>
      <c r="J59" s="122" t="n"/>
      <c r="K59" s="122" t="n"/>
      <c r="L59" s="122" t="n"/>
      <c r="M59" s="122" t="n"/>
      <c r="N59" s="122" t="n"/>
      <c r="O59" s="122" t="n"/>
      <c r="P59" s="122" t="n"/>
      <c r="Q59" s="122" t="n"/>
      <c r="R59" s="122" t="n"/>
      <c r="S59" s="122" t="n"/>
      <c r="T59" s="3" t="n"/>
      <c r="U59" s="3" t="n"/>
      <c r="V59" s="3" t="n"/>
    </row>
    <row r="60" ht="8" customHeight="1">
      <c r="A60" s="3" t="n"/>
      <c r="B60" s="3" t="n"/>
      <c r="C60" s="3" t="n"/>
      <c r="D60" s="144" t="n"/>
      <c r="E60" s="121" t="n"/>
      <c r="F60" s="122" t="n"/>
      <c r="G60" s="122" t="n"/>
      <c r="H60" s="122" t="n"/>
      <c r="I60" s="122" t="n"/>
      <c r="J60" s="122" t="n"/>
      <c r="K60" s="122" t="n"/>
      <c r="L60" s="122" t="n"/>
      <c r="M60" s="122" t="n"/>
      <c r="N60" s="122" t="n"/>
      <c r="O60" s="122" t="n"/>
      <c r="P60" s="122" t="n"/>
      <c r="Q60" s="122" t="n"/>
      <c r="R60" s="122" t="n"/>
      <c r="S60" s="122" t="n"/>
      <c r="T60" s="3" t="n"/>
      <c r="U60" s="3" t="n"/>
      <c r="V60" s="3" t="n"/>
    </row>
    <row r="61" ht="30" customHeight="1">
      <c r="A61" s="3" t="inlineStr">
        <is>
          <t>Run provenance</t>
        </is>
      </c>
      <c r="B61" s="3" t="inlineStr">
        <is>
          <t>record</t>
        </is>
      </c>
      <c r="C61" s="3" t="inlineStr">
        <is>
          <t>Frozen export</t>
        </is>
      </c>
      <c r="D61" s="144" t="n"/>
      <c r="E61" s="121" t="inlineStr">
        <is>
          <t>2026-10-07T10:48:46.852505+00:00;… [N338]</t>
        </is>
      </c>
      <c r="F61" s="122" t="n"/>
      <c r="G61" s="122" t="n"/>
      <c r="H61" s="122" t="n"/>
      <c r="I61" s="122" t="n"/>
      <c r="J61" s="122" t="n"/>
      <c r="K61" s="122" t="n"/>
      <c r="L61" s="122" t="n"/>
      <c r="M61" s="122" t="n"/>
      <c r="N61" s="122" t="n"/>
      <c r="O61" s="122" t="n"/>
      <c r="P61" s="122" t="n"/>
      <c r="Q61" s="122" t="n"/>
      <c r="R61" s="122" t="n"/>
      <c r="S61" s="122" t="n"/>
      <c r="T61" s="3" t="n"/>
      <c r="U61" s="3" t="n"/>
      <c r="V61" s="3" t="n"/>
    </row>
    <row r="62" ht="8" customHeight="1">
      <c r="A62" s="3" t="n"/>
      <c r="B62" s="3" t="n"/>
      <c r="C62" s="3" t="n"/>
      <c r="D62" s="144" t="n"/>
      <c r="E62" s="121" t="n"/>
      <c r="F62" s="122" t="n"/>
      <c r="G62" s="122" t="n"/>
      <c r="H62" s="122" t="n"/>
      <c r="I62" s="122" t="n"/>
      <c r="J62" s="122" t="n"/>
      <c r="K62" s="122" t="n"/>
      <c r="L62" s="122" t="n"/>
      <c r="M62" s="122" t="n"/>
      <c r="N62" s="122" t="n"/>
      <c r="O62" s="122" t="n"/>
      <c r="P62" s="122" t="n"/>
      <c r="Q62" s="122" t="n"/>
      <c r="R62" s="122" t="n"/>
      <c r="S62" s="122" t="n"/>
      <c r="T62" s="3" t="n"/>
      <c r="U62" s="3" t="n"/>
      <c r="V62" s="3" t="n"/>
    </row>
    <row r="63" ht="8" customHeight="1">
      <c r="A63" s="3" t="n"/>
      <c r="B63" s="3" t="n"/>
      <c r="C63" s="3" t="n"/>
      <c r="D63" s="144" t="n"/>
      <c r="E63" s="121" t="n"/>
      <c r="F63" s="122" t="n"/>
      <c r="G63" s="122" t="n"/>
      <c r="H63" s="122" t="n"/>
      <c r="I63" s="122" t="n"/>
      <c r="J63" s="122" t="n"/>
      <c r="K63" s="122" t="n"/>
      <c r="L63" s="122" t="n"/>
      <c r="M63" s="122" t="n"/>
      <c r="N63" s="122" t="n"/>
      <c r="O63" s="122" t="n"/>
      <c r="P63" s="122" t="n"/>
      <c r="Q63" s="122" t="n"/>
      <c r="R63" s="122" t="n"/>
      <c r="S63" s="122" t="n"/>
      <c r="T63" s="3" t="n"/>
      <c r="U63" s="3" t="n"/>
      <c r="V63" s="3" t="n"/>
    </row>
    <row r="64" ht="30" customHeight="1">
      <c r="A64" s="3" t="inlineStr">
        <is>
          <t>Input snapshot manifest</t>
        </is>
      </c>
      <c r="B64" s="3" t="inlineStr">
        <is>
          <t>SHA256</t>
        </is>
      </c>
      <c r="C64" s="3" t="inlineStr">
        <is>
          <t>Audit record</t>
        </is>
      </c>
      <c r="D64" s="144" t="n"/>
      <c r="E64" s="121" t="inlineStr">
        <is>
          <t>Paths and hashes identify the captured input files;… [N339]</t>
        </is>
      </c>
      <c r="F64" s="122" t="n"/>
      <c r="G64" s="122" t="n"/>
      <c r="H64" s="122" t="n"/>
      <c r="I64" s="122" t="n"/>
      <c r="J64" s="122" t="n"/>
      <c r="K64" s="122" t="n"/>
      <c r="L64" s="122" t="n"/>
      <c r="M64" s="122" t="n"/>
      <c r="N64" s="122" t="n"/>
      <c r="O64" s="122" t="n"/>
      <c r="P64" s="122" t="n"/>
      <c r="Q64" s="122" t="n"/>
      <c r="R64" s="122" t="n"/>
      <c r="S64" s="122" t="n"/>
      <c r="T64" s="3" t="n"/>
      <c r="U64" s="3" t="n"/>
      <c r="V64" s="3" t="n"/>
    </row>
    <row r="65" ht="30" customHeight="1">
      <c r="A65" s="3" t="inlineStr">
        <is>
          <t>assumptions/2026/_meta.yaml</t>
        </is>
      </c>
      <c r="B65" s="3" t="inlineStr">
        <is>
          <t>SHA256</t>
        </is>
      </c>
      <c r="C65" s="3" t="inlineStr">
        <is>
          <t>Frozen file</t>
        </is>
      </c>
      <c r="D65" s="144" t="n"/>
      <c r="E65" s="121" t="inlineStr">
        <is>
          <t>0e3bc69dba8106755b3e1e6403460b0fad8e2bbe007745c940233ba8a044b6a2</t>
        </is>
      </c>
      <c r="F65" s="122" t="n"/>
      <c r="G65" s="122" t="n"/>
      <c r="H65" s="122" t="n"/>
      <c r="I65" s="122" t="n"/>
      <c r="J65" s="122" t="n"/>
      <c r="K65" s="122" t="n"/>
      <c r="L65" s="122" t="n"/>
      <c r="M65" s="122" t="n"/>
      <c r="N65" s="122" t="n"/>
      <c r="O65" s="122" t="n"/>
      <c r="P65" s="122" t="n"/>
      <c r="Q65" s="122" t="n"/>
      <c r="R65" s="122" t="n"/>
      <c r="S65" s="122" t="n"/>
      <c r="T65" s="3" t="n"/>
      <c r="U65" s="3" t="n"/>
      <c r="V65" s="3" t="n"/>
    </row>
    <row r="66" ht="30" customHeight="1">
      <c r="A66" s="3" t="inlineStr">
        <is>
          <t>assumptions/2026/agriculture.yaml</t>
        </is>
      </c>
      <c r="B66" s="3" t="inlineStr">
        <is>
          <t>SHA256</t>
        </is>
      </c>
      <c r="C66" s="3" t="inlineStr">
        <is>
          <t>Frozen file</t>
        </is>
      </c>
      <c r="D66" s="144" t="n"/>
      <c r="E66" s="121" t="inlineStr">
        <is>
          <t>9af1efe4bf94b6efccfb04e67222961da53ec5192ecd7d8c708221b7ddbff407</t>
        </is>
      </c>
      <c r="F66" s="122" t="n"/>
      <c r="G66" s="122" t="n"/>
      <c r="H66" s="122" t="n"/>
      <c r="I66" s="122" t="n"/>
      <c r="J66" s="122" t="n"/>
      <c r="K66" s="122" t="n"/>
      <c r="L66" s="122" t="n"/>
      <c r="M66" s="122" t="n"/>
      <c r="N66" s="122" t="n"/>
      <c r="O66" s="122" t="n"/>
      <c r="P66" s="122" t="n"/>
      <c r="Q66" s="122" t="n"/>
      <c r="R66" s="122" t="n"/>
      <c r="S66" s="122" t="n"/>
      <c r="T66" s="3" t="n"/>
      <c r="U66" s="3" t="n"/>
      <c r="V66" s="3" t="n"/>
    </row>
    <row r="67" ht="30" customHeight="1">
      <c r="A67" s="3" t="inlineStr">
        <is>
          <t>assumptions/2026/aviation.yaml</t>
        </is>
      </c>
      <c r="B67" s="3" t="inlineStr">
        <is>
          <t>SHA256</t>
        </is>
      </c>
      <c r="C67" s="3" t="inlineStr">
        <is>
          <t>Frozen file</t>
        </is>
      </c>
      <c r="D67" s="144" t="n"/>
      <c r="E67" s="121" t="inlineStr">
        <is>
          <t>8eb68563f2d8466df52f7460028b9d4df1e480a463baf63645fbe34e92baee12</t>
        </is>
      </c>
      <c r="F67" s="122" t="n"/>
      <c r="G67" s="122" t="n"/>
      <c r="H67" s="122" t="n"/>
      <c r="I67" s="122" t="n"/>
      <c r="J67" s="122" t="n"/>
      <c r="K67" s="122" t="n"/>
      <c r="L67" s="122" t="n"/>
      <c r="M67" s="122" t="n"/>
      <c r="N67" s="122" t="n"/>
      <c r="O67" s="122" t="n"/>
      <c r="P67" s="122" t="n"/>
      <c r="Q67" s="122" t="n"/>
      <c r="R67" s="122" t="n"/>
      <c r="S67" s="122" t="n"/>
      <c r="T67" s="3" t="n"/>
      <c r="U67" s="3" t="n"/>
      <c r="V67" s="3" t="n"/>
    </row>
    <row r="68" ht="30" customHeight="1">
      <c r="A68" s="3" t="inlineStr">
        <is>
          <t>assumptions/2026/fuel_lever_design.yaml</t>
        </is>
      </c>
      <c r="B68" s="3" t="inlineStr">
        <is>
          <t>SHA256</t>
        </is>
      </c>
      <c r="C68" s="3" t="inlineStr">
        <is>
          <t>Frozen file</t>
        </is>
      </c>
      <c r="D68" s="144" t="n"/>
      <c r="E68" s="121" t="inlineStr">
        <is>
          <t>26bd2b42eb5f21e5167ce831acd2963e9c0f7f33870f6f356becb7d7622dc458</t>
        </is>
      </c>
      <c r="F68" s="122" t="n"/>
      <c r="G68" s="122" t="n"/>
      <c r="H68" s="122" t="n"/>
      <c r="I68" s="122" t="n"/>
      <c r="J68" s="122" t="n"/>
      <c r="K68" s="122" t="n"/>
      <c r="L68" s="122" t="n"/>
      <c r="M68" s="122" t="n"/>
      <c r="N68" s="122" t="n"/>
      <c r="O68" s="122" t="n"/>
      <c r="P68" s="122" t="n"/>
      <c r="Q68" s="122" t="n"/>
      <c r="R68" s="122" t="n"/>
      <c r="S68" s="122" t="n"/>
      <c r="T68" s="3" t="n"/>
      <c r="U68" s="3" t="n"/>
      <c r="V68" s="3" t="n"/>
    </row>
    <row r="69" ht="30" customHeight="1">
      <c r="A69" s="3" t="inlineStr">
        <is>
          <t>assumptions/2026/generation.yaml</t>
        </is>
      </c>
      <c r="B69" s="3" t="inlineStr">
        <is>
          <t>SHA256</t>
        </is>
      </c>
      <c r="C69" s="3" t="inlineStr">
        <is>
          <t>Frozen file</t>
        </is>
      </c>
      <c r="D69" s="144" t="n"/>
      <c r="E69" s="121" t="inlineStr">
        <is>
          <t>60afb39b8dade734943b98cec9295258d400b6d62a4031dd3110228a94557518</t>
        </is>
      </c>
      <c r="F69" s="122" t="n"/>
      <c r="G69" s="122" t="n"/>
      <c r="H69" s="122" t="n"/>
      <c r="I69" s="122" t="n"/>
      <c r="J69" s="122" t="n"/>
      <c r="K69" s="122" t="n"/>
      <c r="L69" s="122" t="n"/>
      <c r="M69" s="122" t="n"/>
      <c r="N69" s="122" t="n"/>
      <c r="O69" s="122" t="n"/>
      <c r="P69" s="122" t="n"/>
      <c r="Q69" s="122" t="n"/>
      <c r="R69" s="122" t="n"/>
      <c r="S69" s="122" t="n"/>
      <c r="T69" s="3" t="n"/>
      <c r="U69" s="3" t="n"/>
      <c r="V69" s="3" t="n"/>
    </row>
    <row r="70" ht="30" customHeight="1">
      <c r="A70" s="3" t="inlineStr">
        <is>
          <t>assumptions/2026/industrial.yaml</t>
        </is>
      </c>
      <c r="B70" s="3" t="inlineStr">
        <is>
          <t>SHA256</t>
        </is>
      </c>
      <c r="C70" s="3" t="inlineStr">
        <is>
          <t>Frozen file</t>
        </is>
      </c>
      <c r="D70" s="144" t="n"/>
      <c r="E70" s="121" t="inlineStr">
        <is>
          <t>371d67d323cbf21b5c018b4bca4a6c372480f860f29b659afcb132bc279262ab</t>
        </is>
      </c>
      <c r="F70" s="122" t="n"/>
      <c r="G70" s="122" t="n"/>
      <c r="H70" s="122" t="n"/>
      <c r="I70" s="122" t="n"/>
      <c r="J70" s="122" t="n"/>
      <c r="K70" s="122" t="n"/>
      <c r="L70" s="122" t="n"/>
      <c r="M70" s="122" t="n"/>
      <c r="N70" s="122" t="n"/>
      <c r="O70" s="122" t="n"/>
      <c r="P70" s="122" t="n"/>
      <c r="Q70" s="122" t="n"/>
      <c r="R70" s="122" t="n"/>
      <c r="S70" s="122" t="n"/>
      <c r="T70" s="3" t="n"/>
      <c r="U70" s="3" t="n"/>
      <c r="V70" s="3" t="n"/>
    </row>
    <row r="71" ht="30" customHeight="1">
      <c r="A71" s="3" t="inlineStr">
        <is>
          <t>assumptions/2026/infrastructure/storag… [N340]</t>
        </is>
      </c>
      <c r="B71" s="3" t="inlineStr">
        <is>
          <t>SHA256</t>
        </is>
      </c>
      <c r="C71" s="3" t="inlineStr">
        <is>
          <t>Frozen file</t>
        </is>
      </c>
      <c r="D71" s="144" t="n"/>
      <c r="E71" s="121" t="inlineStr">
        <is>
          <t>3fe3d166768ecfe702fbe7a487dd04083f42f75a70454f8dd48097e779d4ac73</t>
        </is>
      </c>
      <c r="F71" s="122" t="n"/>
      <c r="G71" s="122" t="n"/>
      <c r="H71" s="122" t="n"/>
      <c r="I71" s="122" t="n"/>
      <c r="J71" s="122" t="n"/>
      <c r="K71" s="122" t="n"/>
      <c r="L71" s="122" t="n"/>
      <c r="M71" s="122" t="n"/>
      <c r="N71" s="122" t="n"/>
      <c r="O71" s="122" t="n"/>
      <c r="P71" s="122" t="n"/>
      <c r="Q71" s="122" t="n"/>
      <c r="R71" s="122" t="n"/>
      <c r="S71" s="122" t="n"/>
      <c r="T71" s="3" t="n"/>
      <c r="U71" s="3" t="n"/>
      <c r="V71" s="3" t="n"/>
    </row>
    <row r="72" ht="30" customHeight="1">
      <c r="A72" s="3" t="inlineStr">
        <is>
          <t>assumptions/2026/infrastructure/storag… [N341]</t>
        </is>
      </c>
      <c r="B72" s="3" t="inlineStr">
        <is>
          <t>SHA256</t>
        </is>
      </c>
      <c r="C72" s="3" t="inlineStr">
        <is>
          <t>Frozen file</t>
        </is>
      </c>
      <c r="D72" s="144" t="n"/>
      <c r="E72" s="121" t="inlineStr">
        <is>
          <t>cc3bf1ce107458f5dbab71090bdfbcd379cdeb491a725368fea6c8b00d831e5a</t>
        </is>
      </c>
      <c r="F72" s="122" t="n"/>
      <c r="G72" s="122" t="n"/>
      <c r="H72" s="122" t="n"/>
      <c r="I72" s="122" t="n"/>
      <c r="J72" s="122" t="n"/>
      <c r="K72" s="122" t="n"/>
      <c r="L72" s="122" t="n"/>
      <c r="M72" s="122" t="n"/>
      <c r="N72" s="122" t="n"/>
      <c r="O72" s="122" t="n"/>
      <c r="P72" s="122" t="n"/>
      <c r="Q72" s="122" t="n"/>
      <c r="R72" s="122" t="n"/>
      <c r="S72" s="122" t="n"/>
      <c r="T72" s="3" t="n"/>
      <c r="U72" s="3" t="n"/>
      <c r="V72" s="3" t="n"/>
    </row>
    <row r="73" ht="30" customHeight="1">
      <c r="A73" s="3" t="inlineStr">
        <is>
          <t>assumptions/2026/macro.yaml</t>
        </is>
      </c>
      <c r="B73" s="3" t="inlineStr">
        <is>
          <t>SHA256</t>
        </is>
      </c>
      <c r="C73" s="3" t="inlineStr">
        <is>
          <t>Frozen file</t>
        </is>
      </c>
      <c r="D73" s="144" t="n"/>
      <c r="E73" s="121" t="inlineStr">
        <is>
          <t>d800f8024eaa02a9528cfbc1032c035c4e826dbd897da3bc3a6ead4d4ca68b29</t>
        </is>
      </c>
      <c r="F73" s="122" t="n"/>
      <c r="G73" s="122" t="n"/>
      <c r="H73" s="122" t="n"/>
      <c r="I73" s="122" t="n"/>
      <c r="J73" s="122" t="n"/>
      <c r="K73" s="122" t="n"/>
      <c r="L73" s="122" t="n"/>
      <c r="M73" s="122" t="n"/>
      <c r="N73" s="122" t="n"/>
      <c r="O73" s="122" t="n"/>
      <c r="P73" s="122" t="n"/>
      <c r="Q73" s="122" t="n"/>
      <c r="R73" s="122" t="n"/>
      <c r="S73" s="122" t="n"/>
      <c r="T73" s="3" t="n"/>
      <c r="U73" s="3" t="n"/>
      <c r="V73" s="3" t="n"/>
    </row>
    <row r="74" ht="30" customHeight="1">
      <c r="A74" s="3" t="inlineStr">
        <is>
          <t>assumptions/2026/marine.yaml</t>
        </is>
      </c>
      <c r="B74" s="3" t="inlineStr">
        <is>
          <t>SHA256</t>
        </is>
      </c>
      <c r="C74" s="3" t="inlineStr">
        <is>
          <t>Frozen file</t>
        </is>
      </c>
      <c r="D74" s="144" t="n"/>
      <c r="E74" s="121" t="inlineStr">
        <is>
          <t>cc38dd8c98d286e0f6fd4c748779e2d1aaf075e7630e76235a21d072da773a91</t>
        </is>
      </c>
      <c r="F74" s="122" t="n"/>
      <c r="G74" s="122" t="n"/>
      <c r="H74" s="122" t="n"/>
      <c r="I74" s="122" t="n"/>
      <c r="J74" s="122" t="n"/>
      <c r="K74" s="122" t="n"/>
      <c r="L74" s="122" t="n"/>
      <c r="M74" s="122" t="n"/>
      <c r="N74" s="122" t="n"/>
      <c r="O74" s="122" t="n"/>
      <c r="P74" s="122" t="n"/>
      <c r="Q74" s="122" t="n"/>
      <c r="R74" s="122" t="n"/>
      <c r="S74" s="122" t="n"/>
      <c r="T74" s="3" t="n"/>
      <c r="U74" s="3" t="n"/>
      <c r="V74" s="3" t="n"/>
    </row>
    <row r="75" ht="30" customHeight="1">
      <c r="A75" s="3" t="inlineStr">
        <is>
          <t>assumptions/2026/reference/fleet_fuel_… [N342]</t>
        </is>
      </c>
      <c r="B75" s="3" t="inlineStr">
        <is>
          <t>SHA256</t>
        </is>
      </c>
      <c r="C75" s="3" t="inlineStr">
        <is>
          <t>Frozen file</t>
        </is>
      </c>
      <c r="D75" s="144" t="n"/>
      <c r="E75" s="121" t="inlineStr">
        <is>
          <t>71e7b0804f8221d944d29b15b9a81b2b6142442cf699f748b0f6142d098468fb</t>
        </is>
      </c>
      <c r="F75" s="122" t="n"/>
      <c r="G75" s="122" t="n"/>
      <c r="H75" s="122" t="n"/>
      <c r="I75" s="122" t="n"/>
      <c r="J75" s="122" t="n"/>
      <c r="K75" s="122" t="n"/>
      <c r="L75" s="122" t="n"/>
      <c r="M75" s="122" t="n"/>
      <c r="N75" s="122" t="n"/>
      <c r="O75" s="122" t="n"/>
      <c r="P75" s="122" t="n"/>
      <c r="Q75" s="122" t="n"/>
      <c r="R75" s="122" t="n"/>
      <c r="S75" s="122" t="n"/>
      <c r="T75" s="3" t="n"/>
      <c r="U75" s="3" t="n"/>
      <c r="V75" s="3" t="n"/>
    </row>
    <row r="76" ht="30" customHeight="1">
      <c r="A76" s="3" t="inlineStr">
        <is>
          <t>assumptions/2026/reference/fleet_fuel_… [N343]</t>
        </is>
      </c>
      <c r="B76" s="3" t="inlineStr">
        <is>
          <t>SHA256</t>
        </is>
      </c>
      <c r="C76" s="3" t="inlineStr">
        <is>
          <t>Frozen file</t>
        </is>
      </c>
      <c r="D76" s="144" t="n"/>
      <c r="E76" s="121" t="inlineStr">
        <is>
          <t>868002df1a97e7f6c84079e1a7486842298d221cf56a2e87449ed666bad459e3</t>
        </is>
      </c>
      <c r="F76" s="122" t="n"/>
      <c r="G76" s="122" t="n"/>
      <c r="H76" s="122" t="n"/>
      <c r="I76" s="122" t="n"/>
      <c r="J76" s="122" t="n"/>
      <c r="K76" s="122" t="n"/>
      <c r="L76" s="122" t="n"/>
      <c r="M76" s="122" t="n"/>
      <c r="N76" s="122" t="n"/>
      <c r="O76" s="122" t="n"/>
      <c r="P76" s="122" t="n"/>
      <c r="Q76" s="122" t="n"/>
      <c r="R76" s="122" t="n"/>
      <c r="S76" s="122" t="n"/>
      <c r="T76" s="3" t="n"/>
      <c r="U76" s="3" t="n"/>
      <c r="V76" s="3" t="n"/>
    </row>
    <row r="77" ht="30" customHeight="1">
      <c r="A77" s="3" t="inlineStr">
        <is>
          <t>assumptions/2026/reference/vehicle_par… [N344]</t>
        </is>
      </c>
      <c r="B77" s="3" t="inlineStr">
        <is>
          <t>SHA256</t>
        </is>
      </c>
      <c r="C77" s="3" t="inlineStr">
        <is>
          <t>Frozen file</t>
        </is>
      </c>
      <c r="D77" s="144" t="n"/>
      <c r="E77" s="121" t="inlineStr">
        <is>
          <t>84ee5d2fae42b26d41312201022fdd017c30ee871f3bbd47071064aa6e1a96ec</t>
        </is>
      </c>
      <c r="F77" s="122" t="n"/>
      <c r="G77" s="122" t="n"/>
      <c r="H77" s="122" t="n"/>
      <c r="I77" s="122" t="n"/>
      <c r="J77" s="122" t="n"/>
      <c r="K77" s="122" t="n"/>
      <c r="L77" s="122" t="n"/>
      <c r="M77" s="122" t="n"/>
      <c r="N77" s="122" t="n"/>
      <c r="O77" s="122" t="n"/>
      <c r="P77" s="122" t="n"/>
      <c r="Q77" s="122" t="n"/>
      <c r="R77" s="122" t="n"/>
      <c r="S77" s="122" t="n"/>
      <c r="T77" s="3" t="n"/>
      <c r="U77" s="3" t="n"/>
      <c r="V77" s="3" t="n"/>
    </row>
    <row r="78" ht="30" customHeight="1">
      <c r="A78" s="3" t="inlineStr">
        <is>
          <t>assumptions/2026/reference/vehicle_par… [N345]</t>
        </is>
      </c>
      <c r="B78" s="3" t="inlineStr">
        <is>
          <t>SHA256</t>
        </is>
      </c>
      <c r="C78" s="3" t="inlineStr">
        <is>
          <t>Frozen file</t>
        </is>
      </c>
      <c r="D78" s="144" t="n"/>
      <c r="E78" s="121" t="inlineStr">
        <is>
          <t>c17b4fabf65b6d404aa961c0afa8a161158de6cc7a3f920573b0ff9c51356238</t>
        </is>
      </c>
      <c r="F78" s="122" t="n"/>
      <c r="G78" s="122" t="n"/>
      <c r="H78" s="122" t="n"/>
      <c r="I78" s="122" t="n"/>
      <c r="J78" s="122" t="n"/>
      <c r="K78" s="122" t="n"/>
      <c r="L78" s="122" t="n"/>
      <c r="M78" s="122" t="n"/>
      <c r="N78" s="122" t="n"/>
      <c r="O78" s="122" t="n"/>
      <c r="P78" s="122" t="n"/>
      <c r="Q78" s="122" t="n"/>
      <c r="R78" s="122" t="n"/>
      <c r="S78" s="122" t="n"/>
      <c r="T78" s="3" t="n"/>
      <c r="U78" s="3" t="n"/>
      <c r="V78" s="3" t="n"/>
    </row>
    <row r="79" ht="30" customHeight="1">
      <c r="A79" s="3" t="inlineStr">
        <is>
          <t>assumptions/2026/reference/vehicle_pop… [N346]</t>
        </is>
      </c>
      <c r="B79" s="3" t="inlineStr">
        <is>
          <t>SHA256</t>
        </is>
      </c>
      <c r="C79" s="3" t="inlineStr">
        <is>
          <t>Frozen file</t>
        </is>
      </c>
      <c r="D79" s="144" t="n"/>
      <c r="E79" s="121" t="inlineStr">
        <is>
          <t>8b19edbe057a7011d8da2d523dd22057109ef0164ed8d55e003817a11f536d1d</t>
        </is>
      </c>
      <c r="F79" s="122" t="n"/>
      <c r="G79" s="122" t="n"/>
      <c r="H79" s="122" t="n"/>
      <c r="I79" s="122" t="n"/>
      <c r="J79" s="122" t="n"/>
      <c r="K79" s="122" t="n"/>
      <c r="L79" s="122" t="n"/>
      <c r="M79" s="122" t="n"/>
      <c r="N79" s="122" t="n"/>
      <c r="O79" s="122" t="n"/>
      <c r="P79" s="122" t="n"/>
      <c r="Q79" s="122" t="n"/>
      <c r="R79" s="122" t="n"/>
      <c r="S79" s="122" t="n"/>
      <c r="T79" s="3" t="n"/>
      <c r="U79" s="3" t="n"/>
      <c r="V79" s="3" t="n"/>
    </row>
    <row r="80" ht="30" customHeight="1">
      <c r="A80" s="3" t="inlineStr">
        <is>
          <t>assumptions/2026/reference/vehicle_pop… [N347]</t>
        </is>
      </c>
      <c r="B80" s="3" t="inlineStr">
        <is>
          <t>SHA256</t>
        </is>
      </c>
      <c r="C80" s="3" t="inlineStr">
        <is>
          <t>Frozen file</t>
        </is>
      </c>
      <c r="D80" s="144" t="n"/>
      <c r="E80" s="121" t="inlineStr">
        <is>
          <t>98c5d5a0087e07bb5d466964385209787333423bacccdfa8a0d2c8965f6c8451</t>
        </is>
      </c>
      <c r="F80" s="122" t="n"/>
      <c r="G80" s="122" t="n"/>
      <c r="H80" s="122" t="n"/>
      <c r="I80" s="122" t="n"/>
      <c r="J80" s="122" t="n"/>
      <c r="K80" s="122" t="n"/>
      <c r="L80" s="122" t="n"/>
      <c r="M80" s="122" t="n"/>
      <c r="N80" s="122" t="n"/>
      <c r="O80" s="122" t="n"/>
      <c r="P80" s="122" t="n"/>
      <c r="Q80" s="122" t="n"/>
      <c r="R80" s="122" t="n"/>
      <c r="S80" s="122" t="n"/>
      <c r="T80" s="3" t="n"/>
      <c r="U80" s="3" t="n"/>
      <c r="V80" s="3" t="n"/>
    </row>
    <row r="81" ht="30" customHeight="1">
      <c r="A81" s="3" t="inlineStr">
        <is>
          <t>assumptions/2026/review_capacity_scenarios.yaml</t>
        </is>
      </c>
      <c r="B81" s="3" t="inlineStr">
        <is>
          <t>SHA256</t>
        </is>
      </c>
      <c r="C81" s="3" t="inlineStr">
        <is>
          <t>Frozen file</t>
        </is>
      </c>
      <c r="D81" s="144" t="n"/>
      <c r="E81" s="121" t="inlineStr">
        <is>
          <t>b2146915515f653c5a3e710564a290fd1d0e0aacd8276b9050ba82b067b5fcf7</t>
        </is>
      </c>
      <c r="F81" s="122" t="n"/>
      <c r="G81" s="122" t="n"/>
      <c r="H81" s="122" t="n"/>
      <c r="I81" s="122" t="n"/>
      <c r="J81" s="122" t="n"/>
      <c r="K81" s="122" t="n"/>
      <c r="L81" s="122" t="n"/>
      <c r="M81" s="122" t="n"/>
      <c r="N81" s="122" t="n"/>
      <c r="O81" s="122" t="n"/>
      <c r="P81" s="122" t="n"/>
      <c r="Q81" s="122" t="n"/>
      <c r="R81" s="122" t="n"/>
      <c r="S81" s="122" t="n"/>
      <c r="T81" s="3" t="n"/>
      <c r="U81" s="3" t="n"/>
      <c r="V81" s="3" t="n"/>
    </row>
    <row r="82" ht="30" customHeight="1">
      <c r="A82" s="3" t="inlineStr">
        <is>
          <t>assumptions/2026/sources.yaml</t>
        </is>
      </c>
      <c r="B82" s="3" t="inlineStr">
        <is>
          <t>SHA256</t>
        </is>
      </c>
      <c r="C82" s="3" t="inlineStr">
        <is>
          <t>Frozen file</t>
        </is>
      </c>
      <c r="D82" s="144" t="n"/>
      <c r="E82" s="121" t="inlineStr">
        <is>
          <t>7720ffdbd88f5432616a6f6915c1d6dec51549a1c876e6377284ce82664fe687</t>
        </is>
      </c>
      <c r="F82" s="122" t="n"/>
      <c r="G82" s="122" t="n"/>
      <c r="H82" s="122" t="n"/>
      <c r="I82" s="122" t="n"/>
      <c r="J82" s="122" t="n"/>
      <c r="K82" s="122" t="n"/>
      <c r="L82" s="122" t="n"/>
      <c r="M82" s="122" t="n"/>
      <c r="N82" s="122" t="n"/>
      <c r="O82" s="122" t="n"/>
      <c r="P82" s="122" t="n"/>
      <c r="Q82" s="122" t="n"/>
      <c r="R82" s="122" t="n"/>
      <c r="S82" s="122" t="n"/>
      <c r="T82" s="3" t="n"/>
      <c r="U82" s="3" t="n"/>
      <c r="V82" s="3" t="n"/>
    </row>
    <row r="83" ht="30" customHeight="1">
      <c r="A83" s="3" t="inlineStr">
        <is>
          <t>assumptions/2026/supply.yaml</t>
        </is>
      </c>
      <c r="B83" s="3" t="inlineStr">
        <is>
          <t>SHA256</t>
        </is>
      </c>
      <c r="C83" s="3" t="inlineStr">
        <is>
          <t>Frozen file</t>
        </is>
      </c>
      <c r="D83" s="144" t="n"/>
      <c r="E83" s="121" t="inlineStr">
        <is>
          <t>941ad87753ba74335a6d356dfd996f6185c9f96e00527ceb3abe9b74d8bb8907</t>
        </is>
      </c>
      <c r="F83" s="122" t="n"/>
      <c r="G83" s="122" t="n"/>
      <c r="H83" s="122" t="n"/>
      <c r="I83" s="122" t="n"/>
      <c r="J83" s="122" t="n"/>
      <c r="K83" s="122" t="n"/>
      <c r="L83" s="122" t="n"/>
      <c r="M83" s="122" t="n"/>
      <c r="N83" s="122" t="n"/>
      <c r="O83" s="122" t="n"/>
      <c r="P83" s="122" t="n"/>
      <c r="Q83" s="122" t="n"/>
      <c r="R83" s="122" t="n"/>
      <c r="S83" s="122" t="n"/>
      <c r="T83" s="3" t="n"/>
      <c r="U83" s="3" t="n"/>
      <c r="V83" s="3" t="n"/>
    </row>
    <row r="84" ht="30" customHeight="1">
      <c r="A84" s="3" t="inlineStr">
        <is>
          <t>assumptions/2026/terminal_handling.yaml</t>
        </is>
      </c>
      <c r="B84" s="3" t="inlineStr">
        <is>
          <t>SHA256</t>
        </is>
      </c>
      <c r="C84" s="3" t="inlineStr">
        <is>
          <t>Frozen file</t>
        </is>
      </c>
      <c r="D84" s="144" t="n"/>
      <c r="E84" s="121" t="inlineStr">
        <is>
          <t>5c3cdbcd436ef4ead0d81235c2b9eef2e4dd1f59d709f85ebd3fa066ada45fc9</t>
        </is>
      </c>
      <c r="F84" s="122" t="n"/>
      <c r="G84" s="122" t="n"/>
      <c r="H84" s="122" t="n"/>
      <c r="I84" s="122" t="n"/>
      <c r="J84" s="122" t="n"/>
      <c r="K84" s="122" t="n"/>
      <c r="L84" s="122" t="n"/>
      <c r="M84" s="122" t="n"/>
      <c r="N84" s="122" t="n"/>
      <c r="O84" s="122" t="n"/>
      <c r="P84" s="122" t="n"/>
      <c r="Q84" s="122" t="n"/>
      <c r="R84" s="122" t="n"/>
      <c r="S84" s="122" t="n"/>
      <c r="T84" s="3" t="n"/>
      <c r="U84" s="3" t="n"/>
      <c r="V84" s="3" t="n"/>
    </row>
    <row r="85" ht="30" customHeight="1">
      <c r="A85" s="3" t="inlineStr">
        <is>
          <t>assumptions/2026/timeseries/acsa.sources.yaml</t>
        </is>
      </c>
      <c r="B85" s="3" t="inlineStr">
        <is>
          <t>SHA256</t>
        </is>
      </c>
      <c r="C85" s="3" t="inlineStr">
        <is>
          <t>Frozen file</t>
        </is>
      </c>
      <c r="D85" s="144" t="n"/>
      <c r="E85" s="121" t="inlineStr">
        <is>
          <t>faa38d765948cd8fc8809d3bdee3fa8d1328b1da5859963f0c467d08a14129ee</t>
        </is>
      </c>
      <c r="F85" s="122" t="n"/>
      <c r="G85" s="122" t="n"/>
      <c r="H85" s="122" t="n"/>
      <c r="I85" s="122" t="n"/>
      <c r="J85" s="122" t="n"/>
      <c r="K85" s="122" t="n"/>
      <c r="L85" s="122" t="n"/>
      <c r="M85" s="122" t="n"/>
      <c r="N85" s="122" t="n"/>
      <c r="O85" s="122" t="n"/>
      <c r="P85" s="122" t="n"/>
      <c r="Q85" s="122" t="n"/>
      <c r="R85" s="122" t="n"/>
      <c r="S85" s="122" t="n"/>
      <c r="T85" s="3" t="n"/>
      <c r="U85" s="3" t="n"/>
      <c r="V85" s="3" t="n"/>
    </row>
    <row r="86" ht="30" customHeight="1">
      <c r="A86" s="3" t="inlineStr">
        <is>
          <t>assumptions/2026/timeseries/air_traffic_acsa.csv</t>
        </is>
      </c>
      <c r="B86" s="3" t="inlineStr">
        <is>
          <t>SHA256</t>
        </is>
      </c>
      <c r="C86" s="3" t="inlineStr">
        <is>
          <t>Frozen file</t>
        </is>
      </c>
      <c r="D86" s="144" t="n"/>
      <c r="E86" s="121" t="inlineStr">
        <is>
          <t>760a8ce2752b494346900eeaa7228b6abee32d8de6fc57ab609f3661d58b8c86</t>
        </is>
      </c>
      <c r="F86" s="122" t="n"/>
      <c r="G86" s="122" t="n"/>
      <c r="H86" s="122" t="n"/>
      <c r="I86" s="122" t="n"/>
      <c r="J86" s="122" t="n"/>
      <c r="K86" s="122" t="n"/>
      <c r="L86" s="122" t="n"/>
      <c r="M86" s="122" t="n"/>
      <c r="N86" s="122" t="n"/>
      <c r="O86" s="122" t="n"/>
      <c r="P86" s="122" t="n"/>
      <c r="Q86" s="122" t="n"/>
      <c r="R86" s="122" t="n"/>
      <c r="S86" s="122" t="n"/>
      <c r="T86" s="3" t="n"/>
      <c r="U86" s="3" t="n"/>
      <c r="V86" s="3" t="n"/>
    </row>
    <row r="87" ht="30" customHeight="1">
      <c r="A87" s="3" t="inlineStr">
        <is>
          <t>assumptions/2026/timeseries/air_traffi… [N348]</t>
        </is>
      </c>
      <c r="B87" s="3" t="inlineStr">
        <is>
          <t>SHA256</t>
        </is>
      </c>
      <c r="C87" s="3" t="inlineStr">
        <is>
          <t>Frozen file</t>
        </is>
      </c>
      <c r="D87" s="144" t="n"/>
      <c r="E87" s="121" t="inlineStr">
        <is>
          <t>8d51f267d626b855cbf0d66b6a59829f531c985ab01f4ff6ed744d54a0befe8e</t>
        </is>
      </c>
      <c r="F87" s="122" t="n"/>
      <c r="G87" s="122" t="n"/>
      <c r="H87" s="122" t="n"/>
      <c r="I87" s="122" t="n"/>
      <c r="J87" s="122" t="n"/>
      <c r="K87" s="122" t="n"/>
      <c r="L87" s="122" t="n"/>
      <c r="M87" s="122" t="n"/>
      <c r="N87" s="122" t="n"/>
      <c r="O87" s="122" t="n"/>
      <c r="P87" s="122" t="n"/>
      <c r="Q87" s="122" t="n"/>
      <c r="R87" s="122" t="n"/>
      <c r="S87" s="122" t="n"/>
      <c r="T87" s="3" t="n"/>
      <c r="U87" s="3" t="n"/>
      <c r="V87" s="3" t="n"/>
    </row>
    <row r="88" ht="30" customHeight="1">
      <c r="A88" s="3" t="inlineStr">
        <is>
          <t>assumptions/2026/timeseries/economy.sources.yaml</t>
        </is>
      </c>
      <c r="B88" s="3" t="inlineStr">
        <is>
          <t>SHA256</t>
        </is>
      </c>
      <c r="C88" s="3" t="inlineStr">
        <is>
          <t>Frozen file</t>
        </is>
      </c>
      <c r="D88" s="144" t="n"/>
      <c r="E88" s="121" t="inlineStr">
        <is>
          <t>e52fee7ad0e684f33f3343b175bee3a77fe816a59a0a3a1be17aed5240a3a1ea</t>
        </is>
      </c>
      <c r="F88" s="122" t="n"/>
      <c r="G88" s="122" t="n"/>
      <c r="H88" s="122" t="n"/>
      <c r="I88" s="122" t="n"/>
      <c r="J88" s="122" t="n"/>
      <c r="K88" s="122" t="n"/>
      <c r="L88" s="122" t="n"/>
      <c r="M88" s="122" t="n"/>
      <c r="N88" s="122" t="n"/>
      <c r="O88" s="122" t="n"/>
      <c r="P88" s="122" t="n"/>
      <c r="Q88" s="122" t="n"/>
      <c r="R88" s="122" t="n"/>
      <c r="S88" s="122" t="n"/>
      <c r="T88" s="3" t="n"/>
      <c r="U88" s="3" t="n"/>
      <c r="V88" s="3" t="n"/>
    </row>
    <row r="89" ht="30" customHeight="1">
      <c r="A89" s="3" t="inlineStr">
        <is>
          <t>assumptions/2026/timeseries/efficiency… [N349]</t>
        </is>
      </c>
      <c r="B89" s="3" t="inlineStr">
        <is>
          <t>SHA256</t>
        </is>
      </c>
      <c r="C89" s="3" t="inlineStr">
        <is>
          <t>Frozen file</t>
        </is>
      </c>
      <c r="D89" s="144" t="n"/>
      <c r="E89" s="121" t="inlineStr">
        <is>
          <t>c70b4b719df721c8b64e5496dc3f362ba1747faeb5ab3d1cdc654bdcfffa451c</t>
        </is>
      </c>
      <c r="F89" s="122" t="n"/>
      <c r="G89" s="122" t="n"/>
      <c r="H89" s="122" t="n"/>
      <c r="I89" s="122" t="n"/>
      <c r="J89" s="122" t="n"/>
      <c r="K89" s="122" t="n"/>
      <c r="L89" s="122" t="n"/>
      <c r="M89" s="122" t="n"/>
      <c r="N89" s="122" t="n"/>
      <c r="O89" s="122" t="n"/>
      <c r="P89" s="122" t="n"/>
      <c r="Q89" s="122" t="n"/>
      <c r="R89" s="122" t="n"/>
      <c r="S89" s="122" t="n"/>
      <c r="T89" s="3" t="n"/>
      <c r="U89" s="3" t="n"/>
      <c r="V89" s="3" t="n"/>
    </row>
    <row r="90" ht="30" customHeight="1">
      <c r="A90" s="3" t="inlineStr">
        <is>
          <t>assumptions/2026/timeseries/efficiency… [N350]</t>
        </is>
      </c>
      <c r="B90" s="3" t="inlineStr">
        <is>
          <t>SHA256</t>
        </is>
      </c>
      <c r="C90" s="3" t="inlineStr">
        <is>
          <t>Frozen file</t>
        </is>
      </c>
      <c r="D90" s="144" t="n"/>
      <c r="E90" s="121" t="inlineStr">
        <is>
          <t>404797987a9253b988754037185c70679e3cf6b32290cbd734d1356ae03b0337</t>
        </is>
      </c>
      <c r="F90" s="122" t="n"/>
      <c r="G90" s="122" t="n"/>
      <c r="H90" s="122" t="n"/>
      <c r="I90" s="122" t="n"/>
      <c r="J90" s="122" t="n"/>
      <c r="K90" s="122" t="n"/>
      <c r="L90" s="122" t="n"/>
      <c r="M90" s="122" t="n"/>
      <c r="N90" s="122" t="n"/>
      <c r="O90" s="122" t="n"/>
      <c r="P90" s="122" t="n"/>
      <c r="Q90" s="122" t="n"/>
      <c r="R90" s="122" t="n"/>
      <c r="S90" s="122" t="n"/>
      <c r="T90" s="3" t="n"/>
      <c r="U90" s="3" t="n"/>
      <c r="V90" s="3" t="n"/>
    </row>
    <row r="91" ht="30" customHeight="1">
      <c r="A91" s="3" t="inlineStr">
        <is>
          <t>assumptions/2026/timeseries/energy_bal… [N351]</t>
        </is>
      </c>
      <c r="B91" s="3" t="inlineStr">
        <is>
          <t>SHA256</t>
        </is>
      </c>
      <c r="C91" s="3" t="inlineStr">
        <is>
          <t>Frozen file</t>
        </is>
      </c>
      <c r="D91" s="144" t="n"/>
      <c r="E91" s="121" t="inlineStr">
        <is>
          <t>e7a3b6b2ae23c8bf60e414470914174ea2dd226782a8ed26d438c519dbe650e9</t>
        </is>
      </c>
      <c r="F91" s="122" t="n"/>
      <c r="G91" s="122" t="n"/>
      <c r="H91" s="122" t="n"/>
      <c r="I91" s="122" t="n"/>
      <c r="J91" s="122" t="n"/>
      <c r="K91" s="122" t="n"/>
      <c r="L91" s="122" t="n"/>
      <c r="M91" s="122" t="n"/>
      <c r="N91" s="122" t="n"/>
      <c r="O91" s="122" t="n"/>
      <c r="P91" s="122" t="n"/>
      <c r="Q91" s="122" t="n"/>
      <c r="R91" s="122" t="n"/>
      <c r="S91" s="122" t="n"/>
      <c r="T91" s="3" t="n"/>
      <c r="U91" s="3" t="n"/>
      <c r="V91" s="3" t="n"/>
    </row>
    <row r="92" ht="30" customHeight="1">
      <c r="A92" s="3" t="inlineStr">
        <is>
          <t>assumptions/2026/timeseries/energy_dep… [N352]</t>
        </is>
      </c>
      <c r="B92" s="3" t="inlineStr">
        <is>
          <t>SHA256</t>
        </is>
      </c>
      <c r="C92" s="3" t="inlineStr">
        <is>
          <t>Frozen file</t>
        </is>
      </c>
      <c r="D92" s="144" t="n"/>
      <c r="E92" s="121" t="inlineStr">
        <is>
          <t>e740f766e6c7940d253c343b590dc00af2ab67e018fb2d005a348280e19f3f59</t>
        </is>
      </c>
      <c r="F92" s="122" t="n"/>
      <c r="G92" s="122" t="n"/>
      <c r="H92" s="122" t="n"/>
      <c r="I92" s="122" t="n"/>
      <c r="J92" s="122" t="n"/>
      <c r="K92" s="122" t="n"/>
      <c r="L92" s="122" t="n"/>
      <c r="M92" s="122" t="n"/>
      <c r="N92" s="122" t="n"/>
      <c r="O92" s="122" t="n"/>
      <c r="P92" s="122" t="n"/>
      <c r="Q92" s="122" t="n"/>
      <c r="R92" s="122" t="n"/>
      <c r="S92" s="122" t="n"/>
      <c r="T92" s="3" t="n"/>
      <c r="U92" s="3" t="n"/>
      <c r="V92" s="3" t="n"/>
    </row>
    <row r="93" ht="30" customHeight="1">
      <c r="A93" s="3" t="inlineStr">
        <is>
          <t>assumptions/2026/timeseries/freight_pa… [N353]</t>
        </is>
      </c>
      <c r="B93" s="3" t="inlineStr">
        <is>
          <t>SHA256</t>
        </is>
      </c>
      <c r="C93" s="3" t="inlineStr">
        <is>
          <t>Frozen file</t>
        </is>
      </c>
      <c r="D93" s="144" t="n"/>
      <c r="E93" s="121" t="inlineStr">
        <is>
          <t>416ca6bafb0f3cb1e53c0484415f9335d515db14ca1442f4523d6ecfa75293e8</t>
        </is>
      </c>
      <c r="F93" s="122" t="n"/>
      <c r="G93" s="122" t="n"/>
      <c r="H93" s="122" t="n"/>
      <c r="I93" s="122" t="n"/>
      <c r="J93" s="122" t="n"/>
      <c r="K93" s="122" t="n"/>
      <c r="L93" s="122" t="n"/>
      <c r="M93" s="122" t="n"/>
      <c r="N93" s="122" t="n"/>
      <c r="O93" s="122" t="n"/>
      <c r="P93" s="122" t="n"/>
      <c r="Q93" s="122" t="n"/>
      <c r="R93" s="122" t="n"/>
      <c r="S93" s="122" t="n"/>
      <c r="T93" s="3" t="n"/>
      <c r="U93" s="3" t="n"/>
      <c r="V93" s="3" t="n"/>
    </row>
    <row r="94" ht="30" customHeight="1">
      <c r="A94" s="3" t="inlineStr">
        <is>
          <t>assumptions/2026/timeseries/fuel_lever… [N354]</t>
        </is>
      </c>
      <c r="B94" s="3" t="inlineStr">
        <is>
          <t>SHA256</t>
        </is>
      </c>
      <c r="C94" s="3" t="inlineStr">
        <is>
          <t>Frozen file</t>
        </is>
      </c>
      <c r="D94" s="144" t="n"/>
      <c r="E94" s="121" t="inlineStr">
        <is>
          <t>102d3292265eed7501c142d40de582d0be25df5955f1ea96c85c0b42649f1fb5</t>
        </is>
      </c>
      <c r="F94" s="122" t="n"/>
      <c r="G94" s="122" t="n"/>
      <c r="H94" s="122" t="n"/>
      <c r="I94" s="122" t="n"/>
      <c r="J94" s="122" t="n"/>
      <c r="K94" s="122" t="n"/>
      <c r="L94" s="122" t="n"/>
      <c r="M94" s="122" t="n"/>
      <c r="N94" s="122" t="n"/>
      <c r="O94" s="122" t="n"/>
      <c r="P94" s="122" t="n"/>
      <c r="Q94" s="122" t="n"/>
      <c r="R94" s="122" t="n"/>
      <c r="S94" s="122" t="n"/>
      <c r="T94" s="3" t="n"/>
      <c r="U94" s="3" t="n"/>
      <c r="V94" s="3" t="n"/>
    </row>
    <row r="95" ht="30" customHeight="1">
      <c r="A95" s="3" t="inlineStr">
        <is>
          <t>assumptions/2026/timeseries/fuel_price… [N355]</t>
        </is>
      </c>
      <c r="B95" s="3" t="inlineStr">
        <is>
          <t>SHA256</t>
        </is>
      </c>
      <c r="C95" s="3" t="inlineStr">
        <is>
          <t>Frozen file</t>
        </is>
      </c>
      <c r="D95" s="144" t="n"/>
      <c r="E95" s="121" t="inlineStr">
        <is>
          <t>8fd3952d569770796ab576de5f2e9c70f0a61e0e972fb6f9fd8509cc64c871cb</t>
        </is>
      </c>
      <c r="F95" s="122" t="n"/>
      <c r="G95" s="122" t="n"/>
      <c r="H95" s="122" t="n"/>
      <c r="I95" s="122" t="n"/>
      <c r="J95" s="122" t="n"/>
      <c r="K95" s="122" t="n"/>
      <c r="L95" s="122" t="n"/>
      <c r="M95" s="122" t="n"/>
      <c r="N95" s="122" t="n"/>
      <c r="O95" s="122" t="n"/>
      <c r="P95" s="122" t="n"/>
      <c r="Q95" s="122" t="n"/>
      <c r="R95" s="122" t="n"/>
      <c r="S95" s="122" t="n"/>
      <c r="T95" s="3" t="n"/>
      <c r="U95" s="3" t="n"/>
      <c r="V95" s="3" t="n"/>
    </row>
    <row r="96" ht="30" customHeight="1">
      <c r="A96" s="3" t="inlineStr">
        <is>
          <t>assumptions/2026/timeseries/fuel_price… [N356]</t>
        </is>
      </c>
      <c r="B96" s="3" t="inlineStr">
        <is>
          <t>SHA256</t>
        </is>
      </c>
      <c r="C96" s="3" t="inlineStr">
        <is>
          <t>Frozen file</t>
        </is>
      </c>
      <c r="D96" s="144" t="n"/>
      <c r="E96" s="121" t="inlineStr">
        <is>
          <t>604c8e85f767d9506ae3717251d126ce67189c8e6e4b6c5883c6ad72a3cdf0ee</t>
        </is>
      </c>
      <c r="F96" s="122" t="n"/>
      <c r="G96" s="122" t="n"/>
      <c r="H96" s="122" t="n"/>
      <c r="I96" s="122" t="n"/>
      <c r="J96" s="122" t="n"/>
      <c r="K96" s="122" t="n"/>
      <c r="L96" s="122" t="n"/>
      <c r="M96" s="122" t="n"/>
      <c r="N96" s="122" t="n"/>
      <c r="O96" s="122" t="n"/>
      <c r="P96" s="122" t="n"/>
      <c r="Q96" s="122" t="n"/>
      <c r="R96" s="122" t="n"/>
      <c r="S96" s="122" t="n"/>
      <c r="T96" s="3" t="n"/>
      <c r="U96" s="3" t="n"/>
      <c r="V96" s="3" t="n"/>
    </row>
    <row r="97" ht="30" customHeight="1">
      <c r="A97" s="3" t="inlineStr">
        <is>
          <t>assumptions/2026/timeseries/fuel_sales… [N357]</t>
        </is>
      </c>
      <c r="B97" s="3" t="inlineStr">
        <is>
          <t>SHA256</t>
        </is>
      </c>
      <c r="C97" s="3" t="inlineStr">
        <is>
          <t>Frozen file</t>
        </is>
      </c>
      <c r="D97" s="144" t="n"/>
      <c r="E97" s="121" t="inlineStr">
        <is>
          <t>41223a0fa4d749959a02499bc1f9672b39c41d28023f7ab6f7aaaa581b03428c</t>
        </is>
      </c>
      <c r="F97" s="122" t="n"/>
      <c r="G97" s="122" t="n"/>
      <c r="H97" s="122" t="n"/>
      <c r="I97" s="122" t="n"/>
      <c r="J97" s="122" t="n"/>
      <c r="K97" s="122" t="n"/>
      <c r="L97" s="122" t="n"/>
      <c r="M97" s="122" t="n"/>
      <c r="N97" s="122" t="n"/>
      <c r="O97" s="122" t="n"/>
      <c r="P97" s="122" t="n"/>
      <c r="Q97" s="122" t="n"/>
      <c r="R97" s="122" t="n"/>
      <c r="S97" s="122" t="n"/>
      <c r="T97" s="3" t="n"/>
      <c r="U97" s="3" t="n"/>
      <c r="V97" s="3" t="n"/>
    </row>
    <row r="98" ht="30" customHeight="1">
      <c r="A98" s="3" t="inlineStr">
        <is>
          <t>assumptions/2026/timeseries/fuel_sales… [N358]</t>
        </is>
      </c>
      <c r="B98" s="3" t="inlineStr">
        <is>
          <t>SHA256</t>
        </is>
      </c>
      <c r="C98" s="3" t="inlineStr">
        <is>
          <t>Frozen file</t>
        </is>
      </c>
      <c r="D98" s="144" t="n"/>
      <c r="E98" s="121" t="inlineStr">
        <is>
          <t>92d1d57a2e4b73d98fad393bb9226770868057b1ab9637b94e329a76ac2c0259</t>
        </is>
      </c>
      <c r="F98" s="122" t="n"/>
      <c r="G98" s="122" t="n"/>
      <c r="H98" s="122" t="n"/>
      <c r="I98" s="122" t="n"/>
      <c r="J98" s="122" t="n"/>
      <c r="K98" s="122" t="n"/>
      <c r="L98" s="122" t="n"/>
      <c r="M98" s="122" t="n"/>
      <c r="N98" s="122" t="n"/>
      <c r="O98" s="122" t="n"/>
      <c r="P98" s="122" t="n"/>
      <c r="Q98" s="122" t="n"/>
      <c r="R98" s="122" t="n"/>
      <c r="S98" s="122" t="n"/>
      <c r="T98" s="3" t="n"/>
      <c r="U98" s="3" t="n"/>
      <c r="V98" s="3" t="n"/>
    </row>
    <row r="99" ht="30" customHeight="1">
      <c r="A99" s="3" t="inlineStr">
        <is>
          <t>assumptions/2026/timeseries/fuel_sales… [N359]</t>
        </is>
      </c>
      <c r="B99" s="3" t="inlineStr">
        <is>
          <t>SHA256</t>
        </is>
      </c>
      <c r="C99" s="3" t="inlineStr">
        <is>
          <t>Frozen file</t>
        </is>
      </c>
      <c r="D99" s="144" t="n"/>
      <c r="E99" s="121" t="inlineStr">
        <is>
          <t>aec82481b33f70429b6b8e7c9c02767d62a6e8c7bf6bda09e21123a5bc56c9d6</t>
        </is>
      </c>
      <c r="F99" s="122" t="n"/>
      <c r="G99" s="122" t="n"/>
      <c r="H99" s="122" t="n"/>
      <c r="I99" s="122" t="n"/>
      <c r="J99" s="122" t="n"/>
      <c r="K99" s="122" t="n"/>
      <c r="L99" s="122" t="n"/>
      <c r="M99" s="122" t="n"/>
      <c r="N99" s="122" t="n"/>
      <c r="O99" s="122" t="n"/>
      <c r="P99" s="122" t="n"/>
      <c r="Q99" s="122" t="n"/>
      <c r="R99" s="122" t="n"/>
      <c r="S99" s="122" t="n"/>
      <c r="T99" s="3" t="n"/>
      <c r="U99" s="3" t="n"/>
      <c r="V99" s="3" t="n"/>
    </row>
    <row r="100" ht="30" customHeight="1">
      <c r="A100" s="3" t="inlineStr">
        <is>
          <t>assumptions/2026/timeseries/fuel_sales… [N360]</t>
        </is>
      </c>
      <c r="B100" s="3" t="inlineStr">
        <is>
          <t>SHA256</t>
        </is>
      </c>
      <c r="C100" s="3" t="inlineStr">
        <is>
          <t>Frozen file</t>
        </is>
      </c>
      <c r="D100" s="144" t="n"/>
      <c r="E100" s="121" t="inlineStr">
        <is>
          <t>9111da1ea931b8c499aec12ae898b9506320b529706445a473f08fee524fa8d0</t>
        </is>
      </c>
      <c r="F100" s="122" t="n"/>
      <c r="G100" s="122" t="n"/>
      <c r="H100" s="122" t="n"/>
      <c r="I100" s="122" t="n"/>
      <c r="J100" s="122" t="n"/>
      <c r="K100" s="122" t="n"/>
      <c r="L100" s="122" t="n"/>
      <c r="M100" s="122" t="n"/>
      <c r="N100" s="122" t="n"/>
      <c r="O100" s="122" t="n"/>
      <c r="P100" s="122" t="n"/>
      <c r="Q100" s="122" t="n"/>
      <c r="R100" s="122" t="n"/>
      <c r="S100" s="122" t="n"/>
      <c r="T100" s="3" t="n"/>
      <c r="U100" s="3" t="n"/>
      <c r="V100" s="3" t="n"/>
    </row>
    <row r="101" ht="30" customHeight="1">
      <c r="A101" s="3" t="inlineStr">
        <is>
          <t>assumptions/2026/timeseries/fuel_sales_fiasa.csv</t>
        </is>
      </c>
      <c r="B101" s="3" t="inlineStr">
        <is>
          <t>SHA256</t>
        </is>
      </c>
      <c r="C101" s="3" t="inlineStr">
        <is>
          <t>Frozen file</t>
        </is>
      </c>
      <c r="D101" s="144" t="n"/>
      <c r="E101" s="121" t="inlineStr">
        <is>
          <t>2f297c38bbdd7006614055381b67a3f31445549a8ca214ee78212a7b3e833bee</t>
        </is>
      </c>
      <c r="F101" s="122" t="n"/>
      <c r="G101" s="122" t="n"/>
      <c r="H101" s="122" t="n"/>
      <c r="I101" s="122" t="n"/>
      <c r="J101" s="122" t="n"/>
      <c r="K101" s="122" t="n"/>
      <c r="L101" s="122" t="n"/>
      <c r="M101" s="122" t="n"/>
      <c r="N101" s="122" t="n"/>
      <c r="O101" s="122" t="n"/>
      <c r="P101" s="122" t="n"/>
      <c r="Q101" s="122" t="n"/>
      <c r="R101" s="122" t="n"/>
      <c r="S101" s="122" t="n"/>
      <c r="T101" s="3" t="n"/>
      <c r="U101" s="3" t="n"/>
      <c r="V101" s="3" t="n"/>
    </row>
    <row r="102" ht="30" customHeight="1">
      <c r="A102" s="3" t="inlineStr">
        <is>
          <t>assumptions/2026/timeseries/fuel_sales… [N361]</t>
        </is>
      </c>
      <c r="B102" s="3" t="inlineStr">
        <is>
          <t>SHA256</t>
        </is>
      </c>
      <c r="C102" s="3" t="inlineStr">
        <is>
          <t>Frozen file</t>
        </is>
      </c>
      <c r="D102" s="144" t="n"/>
      <c r="E102" s="121" t="inlineStr">
        <is>
          <t>c00973df661ccdd826c3946b97fca6152b345738d01bb02f63181356ad8d39c9</t>
        </is>
      </c>
      <c r="F102" s="122" t="n"/>
      <c r="G102" s="122" t="n"/>
      <c r="H102" s="122" t="n"/>
      <c r="I102" s="122" t="n"/>
      <c r="J102" s="122" t="n"/>
      <c r="K102" s="122" t="n"/>
      <c r="L102" s="122" t="n"/>
      <c r="M102" s="122" t="n"/>
      <c r="N102" s="122" t="n"/>
      <c r="O102" s="122" t="n"/>
      <c r="P102" s="122" t="n"/>
      <c r="Q102" s="122" t="n"/>
      <c r="R102" s="122" t="n"/>
      <c r="S102" s="122" t="n"/>
      <c r="T102" s="3" t="n"/>
      <c r="U102" s="3" t="n"/>
      <c r="V102" s="3" t="n"/>
    </row>
    <row r="103" ht="30" customHeight="1">
      <c r="A103" s="3" t="inlineStr">
        <is>
          <t>assumptions/2026/timeseries/fuel_trade… [N362]</t>
        </is>
      </c>
      <c r="B103" s="3" t="inlineStr">
        <is>
          <t>SHA256</t>
        </is>
      </c>
      <c r="C103" s="3" t="inlineStr">
        <is>
          <t>Frozen file</t>
        </is>
      </c>
      <c r="D103" s="144" t="n"/>
      <c r="E103" s="121" t="inlineStr">
        <is>
          <t>e1b5788c6c307d695065fc160207b422c0899190b579ac7a0be4b26deb0623e8</t>
        </is>
      </c>
      <c r="F103" s="122" t="n"/>
      <c r="G103" s="122" t="n"/>
      <c r="H103" s="122" t="n"/>
      <c r="I103" s="122" t="n"/>
      <c r="J103" s="122" t="n"/>
      <c r="K103" s="122" t="n"/>
      <c r="L103" s="122" t="n"/>
      <c r="M103" s="122" t="n"/>
      <c r="N103" s="122" t="n"/>
      <c r="O103" s="122" t="n"/>
      <c r="P103" s="122" t="n"/>
      <c r="Q103" s="122" t="n"/>
      <c r="R103" s="122" t="n"/>
      <c r="S103" s="122" t="n"/>
      <c r="T103" s="3" t="n"/>
      <c r="U103" s="3" t="n"/>
      <c r="V103" s="3" t="n"/>
    </row>
    <row r="104" ht="30" customHeight="1">
      <c r="A104" s="3" t="inlineStr">
        <is>
          <t>assumptions/2026/timeseries/fuel_trade_fiasa.csv</t>
        </is>
      </c>
      <c r="B104" s="3" t="inlineStr">
        <is>
          <t>SHA256</t>
        </is>
      </c>
      <c r="C104" s="3" t="inlineStr">
        <is>
          <t>Frozen file</t>
        </is>
      </c>
      <c r="D104" s="144" t="n"/>
      <c r="E104" s="121" t="inlineStr">
        <is>
          <t>a0aaad23707a80643ceac79b6418c1ab386ed4a766e66d098f80e94dd04fafe3</t>
        </is>
      </c>
      <c r="F104" s="122" t="n"/>
      <c r="G104" s="122" t="n"/>
      <c r="H104" s="122" t="n"/>
      <c r="I104" s="122" t="n"/>
      <c r="J104" s="122" t="n"/>
      <c r="K104" s="122" t="n"/>
      <c r="L104" s="122" t="n"/>
      <c r="M104" s="122" t="n"/>
      <c r="N104" s="122" t="n"/>
      <c r="O104" s="122" t="n"/>
      <c r="P104" s="122" t="n"/>
      <c r="Q104" s="122" t="n"/>
      <c r="R104" s="122" t="n"/>
      <c r="S104" s="122" t="n"/>
      <c r="T104" s="3" t="n"/>
      <c r="U104" s="3" t="n"/>
      <c r="V104" s="3" t="n"/>
    </row>
    <row r="105" ht="30" customHeight="1">
      <c r="A105" s="3" t="inlineStr">
        <is>
          <t>assumptions/2026/timeseries/gdp.csv</t>
        </is>
      </c>
      <c r="B105" s="3" t="inlineStr">
        <is>
          <t>SHA256</t>
        </is>
      </c>
      <c r="C105" s="3" t="inlineStr">
        <is>
          <t>Frozen file</t>
        </is>
      </c>
      <c r="D105" s="144" t="n"/>
      <c r="E105" s="121" t="inlineStr">
        <is>
          <t>823725b7bab4bb1eee942a768d79302f4af3fba752ff3f14cd658320bb596cb9</t>
        </is>
      </c>
      <c r="F105" s="122" t="n"/>
      <c r="G105" s="122" t="n"/>
      <c r="H105" s="122" t="n"/>
      <c r="I105" s="122" t="n"/>
      <c r="J105" s="122" t="n"/>
      <c r="K105" s="122" t="n"/>
      <c r="L105" s="122" t="n"/>
      <c r="M105" s="122" t="n"/>
      <c r="N105" s="122" t="n"/>
      <c r="O105" s="122" t="n"/>
      <c r="P105" s="122" t="n"/>
      <c r="Q105" s="122" t="n"/>
      <c r="R105" s="122" t="n"/>
      <c r="S105" s="122" t="n"/>
      <c r="T105" s="3" t="n"/>
      <c r="U105" s="3" t="n"/>
      <c r="V105" s="3" t="n"/>
    </row>
    <row r="106" ht="30" customHeight="1">
      <c r="A106" s="3" t="inlineStr">
        <is>
          <t>assumptions/2026/timeseries/gdp_growth.csv</t>
        </is>
      </c>
      <c r="B106" s="3" t="inlineStr">
        <is>
          <t>SHA256</t>
        </is>
      </c>
      <c r="C106" s="3" t="inlineStr">
        <is>
          <t>Frozen file</t>
        </is>
      </c>
      <c r="D106" s="144" t="n"/>
      <c r="E106" s="121" t="inlineStr">
        <is>
          <t>14b82eab313c4027c55ee9d9997447ca2d7e3e5bf25d5d5c3f90547fc7879ea4</t>
        </is>
      </c>
      <c r="F106" s="122" t="n"/>
      <c r="G106" s="122" t="n"/>
      <c r="H106" s="122" t="n"/>
      <c r="I106" s="122" t="n"/>
      <c r="J106" s="122" t="n"/>
      <c r="K106" s="122" t="n"/>
      <c r="L106" s="122" t="n"/>
      <c r="M106" s="122" t="n"/>
      <c r="N106" s="122" t="n"/>
      <c r="O106" s="122" t="n"/>
      <c r="P106" s="122" t="n"/>
      <c r="Q106" s="122" t="n"/>
      <c r="R106" s="122" t="n"/>
      <c r="S106" s="122" t="n"/>
      <c r="T106" s="3" t="n"/>
      <c r="U106" s="3" t="n"/>
      <c r="V106" s="3" t="n"/>
    </row>
    <row r="107" ht="30" customHeight="1">
      <c r="A107" s="3" t="inlineStr">
        <is>
          <t>assumptions/2026/timeseries/gdp_growth… [N363]</t>
        </is>
      </c>
      <c r="B107" s="3" t="inlineStr">
        <is>
          <t>SHA256</t>
        </is>
      </c>
      <c r="C107" s="3" t="inlineStr">
        <is>
          <t>Frozen file</t>
        </is>
      </c>
      <c r="D107" s="144" t="n"/>
      <c r="E107" s="121" t="inlineStr">
        <is>
          <t>278b1c7782f17a1874edd2138376b860a4cd660440d6e5de71cf30c493e034c9</t>
        </is>
      </c>
      <c r="F107" s="122" t="n"/>
      <c r="G107" s="122" t="n"/>
      <c r="H107" s="122" t="n"/>
      <c r="I107" s="122" t="n"/>
      <c r="J107" s="122" t="n"/>
      <c r="K107" s="122" t="n"/>
      <c r="L107" s="122" t="n"/>
      <c r="M107" s="122" t="n"/>
      <c r="N107" s="122" t="n"/>
      <c r="O107" s="122" t="n"/>
      <c r="P107" s="122" t="n"/>
      <c r="Q107" s="122" t="n"/>
      <c r="R107" s="122" t="n"/>
      <c r="S107" s="122" t="n"/>
      <c r="T107" s="3" t="n"/>
      <c r="U107" s="3" t="n"/>
      <c r="V107" s="3" t="n"/>
    </row>
    <row r="108" ht="30" customHeight="1">
      <c r="A108" s="3" t="inlineStr">
        <is>
          <t>assumptions/2026/timeseries/gdp_per_capita.csv</t>
        </is>
      </c>
      <c r="B108" s="3" t="inlineStr">
        <is>
          <t>SHA256</t>
        </is>
      </c>
      <c r="C108" s="3" t="inlineStr">
        <is>
          <t>Frozen file</t>
        </is>
      </c>
      <c r="D108" s="144" t="n"/>
      <c r="E108" s="121" t="inlineStr">
        <is>
          <t>f48fe9427e6916c0a9047ed1cbcd20c3bd3cf361312b5172a42e494dd53b47ff</t>
        </is>
      </c>
      <c r="F108" s="122" t="n"/>
      <c r="G108" s="122" t="n"/>
      <c r="H108" s="122" t="n"/>
      <c r="I108" s="122" t="n"/>
      <c r="J108" s="122" t="n"/>
      <c r="K108" s="122" t="n"/>
      <c r="L108" s="122" t="n"/>
      <c r="M108" s="122" t="n"/>
      <c r="N108" s="122" t="n"/>
      <c r="O108" s="122" t="n"/>
      <c r="P108" s="122" t="n"/>
      <c r="Q108" s="122" t="n"/>
      <c r="R108" s="122" t="n"/>
      <c r="S108" s="122" t="n"/>
      <c r="T108" s="3" t="n"/>
      <c r="U108" s="3" t="n"/>
      <c r="V108" s="3" t="n"/>
    </row>
    <row r="109" ht="30" customHeight="1">
      <c r="A109" s="3" t="inlineStr">
        <is>
          <t>assumptions/2026/timeseries/historical_demand.csv</t>
        </is>
      </c>
      <c r="B109" s="3" t="inlineStr">
        <is>
          <t>SHA256</t>
        </is>
      </c>
      <c r="C109" s="3" t="inlineStr">
        <is>
          <t>Frozen file</t>
        </is>
      </c>
      <c r="D109" s="144" t="n"/>
      <c r="E109" s="121" t="inlineStr">
        <is>
          <t>729ea6ffca882148030264cdb3829d6b67afae46c4cbf818b4eca45d496a79a7</t>
        </is>
      </c>
      <c r="F109" s="122" t="n"/>
      <c r="G109" s="122" t="n"/>
      <c r="H109" s="122" t="n"/>
      <c r="I109" s="122" t="n"/>
      <c r="J109" s="122" t="n"/>
      <c r="K109" s="122" t="n"/>
      <c r="L109" s="122" t="n"/>
      <c r="M109" s="122" t="n"/>
      <c r="N109" s="122" t="n"/>
      <c r="O109" s="122" t="n"/>
      <c r="P109" s="122" t="n"/>
      <c r="Q109" s="122" t="n"/>
      <c r="R109" s="122" t="n"/>
      <c r="S109" s="122" t="n"/>
      <c r="T109" s="3" t="n"/>
      <c r="U109" s="3" t="n"/>
      <c r="V109" s="3" t="n"/>
    </row>
    <row r="110" ht="30" customHeight="1">
      <c r="A110" s="3" t="inlineStr">
        <is>
          <t>assumptions/2026/timeseries/macro_statssa.csv</t>
        </is>
      </c>
      <c r="B110" s="3" t="inlineStr">
        <is>
          <t>SHA256</t>
        </is>
      </c>
      <c r="C110" s="3" t="inlineStr">
        <is>
          <t>Frozen file</t>
        </is>
      </c>
      <c r="D110" s="144" t="n"/>
      <c r="E110" s="121" t="inlineStr">
        <is>
          <t>ce45c515a70e04bc4569bf29cfec41147db3dc444e93fb7e754bfab459af36d3</t>
        </is>
      </c>
      <c r="F110" s="122" t="n"/>
      <c r="G110" s="122" t="n"/>
      <c r="H110" s="122" t="n"/>
      <c r="I110" s="122" t="n"/>
      <c r="J110" s="122" t="n"/>
      <c r="K110" s="122" t="n"/>
      <c r="L110" s="122" t="n"/>
      <c r="M110" s="122" t="n"/>
      <c r="N110" s="122" t="n"/>
      <c r="O110" s="122" t="n"/>
      <c r="P110" s="122" t="n"/>
      <c r="Q110" s="122" t="n"/>
      <c r="R110" s="122" t="n"/>
      <c r="S110" s="122" t="n"/>
      <c r="T110" s="3" t="n"/>
      <c r="U110" s="3" t="n"/>
      <c r="V110" s="3" t="n"/>
    </row>
    <row r="111" ht="30" customHeight="1">
      <c r="A111" s="3" t="inlineStr">
        <is>
          <t>assumptions/2026/timeseries/macro_worldbank.csv</t>
        </is>
      </c>
      <c r="B111" s="3" t="inlineStr">
        <is>
          <t>SHA256</t>
        </is>
      </c>
      <c r="C111" s="3" t="inlineStr">
        <is>
          <t>Frozen file</t>
        </is>
      </c>
      <c r="D111" s="144" t="n"/>
      <c r="E111" s="121" t="inlineStr">
        <is>
          <t>354bc79e194f8085270320844d7674e796fda07cf6e9cb8a4589c25283bfc3f6</t>
        </is>
      </c>
      <c r="F111" s="122" t="n"/>
      <c r="G111" s="122" t="n"/>
      <c r="H111" s="122" t="n"/>
      <c r="I111" s="122" t="n"/>
      <c r="J111" s="122" t="n"/>
      <c r="K111" s="122" t="n"/>
      <c r="L111" s="122" t="n"/>
      <c r="M111" s="122" t="n"/>
      <c r="N111" s="122" t="n"/>
      <c r="O111" s="122" t="n"/>
      <c r="P111" s="122" t="n"/>
      <c r="Q111" s="122" t="n"/>
      <c r="R111" s="122" t="n"/>
      <c r="S111" s="122" t="n"/>
      <c r="T111" s="3" t="n"/>
      <c r="U111" s="3" t="n"/>
      <c r="V111" s="3" t="n"/>
    </row>
    <row r="112" ht="30" customHeight="1">
      <c r="A112" s="3" t="inlineStr">
        <is>
          <t>assumptions/2026/timeseries/naamsa.sources.yaml</t>
        </is>
      </c>
      <c r="B112" s="3" t="inlineStr">
        <is>
          <t>SHA256</t>
        </is>
      </c>
      <c r="C112" s="3" t="inlineStr">
        <is>
          <t>Frozen file</t>
        </is>
      </c>
      <c r="D112" s="144" t="n"/>
      <c r="E112" s="121" t="inlineStr">
        <is>
          <t>aca53bfa4fcf655931542ed6448496b33ed9ae9f106205e4ac1bb6cb5e8235dc</t>
        </is>
      </c>
      <c r="F112" s="122" t="n"/>
      <c r="G112" s="122" t="n"/>
      <c r="H112" s="122" t="n"/>
      <c r="I112" s="122" t="n"/>
      <c r="J112" s="122" t="n"/>
      <c r="K112" s="122" t="n"/>
      <c r="L112" s="122" t="n"/>
      <c r="M112" s="122" t="n"/>
      <c r="N112" s="122" t="n"/>
      <c r="O112" s="122" t="n"/>
      <c r="P112" s="122" t="n"/>
      <c r="Q112" s="122" t="n"/>
      <c r="R112" s="122" t="n"/>
      <c r="S112" s="122" t="n"/>
      <c r="T112" s="3" t="n"/>
      <c r="U112" s="3" t="n"/>
      <c r="V112" s="3" t="n"/>
    </row>
    <row r="113" ht="30" customHeight="1">
      <c r="A113" s="3" t="inlineStr">
        <is>
          <t>assumptions/2026/timeseries/natis.sources.yaml</t>
        </is>
      </c>
      <c r="B113" s="3" t="inlineStr">
        <is>
          <t>SHA256</t>
        </is>
      </c>
      <c r="C113" s="3" t="inlineStr">
        <is>
          <t>Frozen file</t>
        </is>
      </c>
      <c r="D113" s="144" t="n"/>
      <c r="E113" s="121" t="inlineStr">
        <is>
          <t>8787984be492aceb38fb483fd1d37933a11364515b42b8488304083c26946b1a</t>
        </is>
      </c>
      <c r="F113" s="122" t="n"/>
      <c r="G113" s="122" t="n"/>
      <c r="H113" s="122" t="n"/>
      <c r="I113" s="122" t="n"/>
      <c r="J113" s="122" t="n"/>
      <c r="K113" s="122" t="n"/>
      <c r="L113" s="122" t="n"/>
      <c r="M113" s="122" t="n"/>
      <c r="N113" s="122" t="n"/>
      <c r="O113" s="122" t="n"/>
      <c r="P113" s="122" t="n"/>
      <c r="Q113" s="122" t="n"/>
      <c r="R113" s="122" t="n"/>
      <c r="S113" s="122" t="n"/>
      <c r="T113" s="3" t="n"/>
      <c r="U113" s="3" t="n"/>
      <c r="V113" s="3" t="n"/>
    </row>
    <row r="114" ht="30" customHeight="1">
      <c r="A114" s="3" t="inlineStr">
        <is>
          <t>assumptions/2026/timeseries/nev_sales_naamsa.csv</t>
        </is>
      </c>
      <c r="B114" s="3" t="inlineStr">
        <is>
          <t>SHA256</t>
        </is>
      </c>
      <c r="C114" s="3" t="inlineStr">
        <is>
          <t>Frozen file</t>
        </is>
      </c>
      <c r="D114" s="144" t="n"/>
      <c r="E114" s="121" t="inlineStr">
        <is>
          <t>c047aeef4485c2bf43779f6cbf1362cc9d2dc32d629d8b5605cea764c9defb91</t>
        </is>
      </c>
      <c r="F114" s="122" t="n"/>
      <c r="G114" s="122" t="n"/>
      <c r="H114" s="122" t="n"/>
      <c r="I114" s="122" t="n"/>
      <c r="J114" s="122" t="n"/>
      <c r="K114" s="122" t="n"/>
      <c r="L114" s="122" t="n"/>
      <c r="M114" s="122" t="n"/>
      <c r="N114" s="122" t="n"/>
      <c r="O114" s="122" t="n"/>
      <c r="P114" s="122" t="n"/>
      <c r="Q114" s="122" t="n"/>
      <c r="R114" s="122" t="n"/>
      <c r="S114" s="122" t="n"/>
      <c r="T114" s="3" t="n"/>
      <c r="U114" s="3" t="n"/>
      <c r="V114" s="3" t="n"/>
    </row>
    <row r="115" ht="30" customHeight="1">
      <c r="A115" s="3" t="inlineStr">
        <is>
          <t>assumptions/2026/timeseries/new_vehicl… [N364]</t>
        </is>
      </c>
      <c r="B115" s="3" t="inlineStr">
        <is>
          <t>SHA256</t>
        </is>
      </c>
      <c r="C115" s="3" t="inlineStr">
        <is>
          <t>Frozen file</t>
        </is>
      </c>
      <c r="D115" s="144" t="n"/>
      <c r="E115" s="121" t="inlineStr">
        <is>
          <t>d044b44ad018367130d3442b7cd0dcc798e52dcc1475aaaaa88aedcc885d8c4e</t>
        </is>
      </c>
      <c r="F115" s="122" t="n"/>
      <c r="G115" s="122" t="n"/>
      <c r="H115" s="122" t="n"/>
      <c r="I115" s="122" t="n"/>
      <c r="J115" s="122" t="n"/>
      <c r="K115" s="122" t="n"/>
      <c r="L115" s="122" t="n"/>
      <c r="M115" s="122" t="n"/>
      <c r="N115" s="122" t="n"/>
      <c r="O115" s="122" t="n"/>
      <c r="P115" s="122" t="n"/>
      <c r="Q115" s="122" t="n"/>
      <c r="R115" s="122" t="n"/>
      <c r="S115" s="122" t="n"/>
      <c r="T115" s="3" t="n"/>
      <c r="U115" s="3" t="n"/>
      <c r="V115" s="3" t="n"/>
    </row>
    <row r="116" ht="30" customHeight="1">
      <c r="A116" s="3" t="inlineStr">
        <is>
          <t>assumptions/2026/timeseries/new_vehicl… [N365]</t>
        </is>
      </c>
      <c r="B116" s="3" t="inlineStr">
        <is>
          <t>SHA256</t>
        </is>
      </c>
      <c r="C116" s="3" t="inlineStr">
        <is>
          <t>Frozen file</t>
        </is>
      </c>
      <c r="D116" s="144" t="n"/>
      <c r="E116" s="121" t="inlineStr">
        <is>
          <t>0efea6b314167a5bbac20611e07e8df548117c4c37ba2a0e5a18b09d566af8fd</t>
        </is>
      </c>
      <c r="F116" s="122" t="n"/>
      <c r="G116" s="122" t="n"/>
      <c r="H116" s="122" t="n"/>
      <c r="I116" s="122" t="n"/>
      <c r="J116" s="122" t="n"/>
      <c r="K116" s="122" t="n"/>
      <c r="L116" s="122" t="n"/>
      <c r="M116" s="122" t="n"/>
      <c r="N116" s="122" t="n"/>
      <c r="O116" s="122" t="n"/>
      <c r="P116" s="122" t="n"/>
      <c r="Q116" s="122" t="n"/>
      <c r="R116" s="122" t="n"/>
      <c r="S116" s="122" t="n"/>
      <c r="T116" s="3" t="n"/>
      <c r="U116" s="3" t="n"/>
      <c r="V116" s="3" t="n"/>
    </row>
    <row r="117" ht="30" customHeight="1">
      <c r="A117" s="3" t="inlineStr">
        <is>
          <t>assumptions/2026/timeseries/new_vehicl… [N366]</t>
        </is>
      </c>
      <c r="B117" s="3" t="inlineStr">
        <is>
          <t>SHA256</t>
        </is>
      </c>
      <c r="C117" s="3" t="inlineStr">
        <is>
          <t>Frozen file</t>
        </is>
      </c>
      <c r="D117" s="144" t="n"/>
      <c r="E117" s="121" t="inlineStr">
        <is>
          <t>18c3f96d82da8c7340e6a5833bd0c5f8c7f3aa8e4d89d9eb45b388bb2aec2b58</t>
        </is>
      </c>
      <c r="F117" s="122" t="n"/>
      <c r="G117" s="122" t="n"/>
      <c r="H117" s="122" t="n"/>
      <c r="I117" s="122" t="n"/>
      <c r="J117" s="122" t="n"/>
      <c r="K117" s="122" t="n"/>
      <c r="L117" s="122" t="n"/>
      <c r="M117" s="122" t="n"/>
      <c r="N117" s="122" t="n"/>
      <c r="O117" s="122" t="n"/>
      <c r="P117" s="122" t="n"/>
      <c r="Q117" s="122" t="n"/>
      <c r="R117" s="122" t="n"/>
      <c r="S117" s="122" t="n"/>
      <c r="T117" s="3" t="n"/>
      <c r="U117" s="3" t="n"/>
      <c r="V117" s="3" t="n"/>
    </row>
    <row r="118" ht="30" customHeight="1">
      <c r="A118" s="3" t="inlineStr">
        <is>
          <t>assumptions/2026/timeseries/ocgt_gener… [N367]</t>
        </is>
      </c>
      <c r="B118" s="3" t="inlineStr">
        <is>
          <t>SHA256</t>
        </is>
      </c>
      <c r="C118" s="3" t="inlineStr">
        <is>
          <t>Frozen file</t>
        </is>
      </c>
      <c r="D118" s="144" t="n"/>
      <c r="E118" s="121" t="inlineStr">
        <is>
          <t>24084b32a3e8ca70c033728722db40c9088649991bba1d2972848e4f22884add</t>
        </is>
      </c>
      <c r="F118" s="122" t="n"/>
      <c r="G118" s="122" t="n"/>
      <c r="H118" s="122" t="n"/>
      <c r="I118" s="122" t="n"/>
      <c r="J118" s="122" t="n"/>
      <c r="K118" s="122" t="n"/>
      <c r="L118" s="122" t="n"/>
      <c r="M118" s="122" t="n"/>
      <c r="N118" s="122" t="n"/>
      <c r="O118" s="122" t="n"/>
      <c r="P118" s="122" t="n"/>
      <c r="Q118" s="122" t="n"/>
      <c r="R118" s="122" t="n"/>
      <c r="S118" s="122" t="n"/>
      <c r="T118" s="3" t="n"/>
      <c r="U118" s="3" t="n"/>
      <c r="V118" s="3" t="n"/>
    </row>
    <row r="119" ht="30" customHeight="1">
      <c r="A119" s="3" t="inlineStr">
        <is>
          <t>assumptions/2026/timeseries/ocgt_gener… [N368]</t>
        </is>
      </c>
      <c r="B119" s="3" t="inlineStr">
        <is>
          <t>SHA256</t>
        </is>
      </c>
      <c r="C119" s="3" t="inlineStr">
        <is>
          <t>Frozen file</t>
        </is>
      </c>
      <c r="D119" s="144" t="n"/>
      <c r="E119" s="121" t="inlineStr">
        <is>
          <t>25d54771dab6fcff609054926ae9eccac811e27ae4ab7b3f38a088fe0e91921e</t>
        </is>
      </c>
      <c r="F119" s="122" t="n"/>
      <c r="G119" s="122" t="n"/>
      <c r="H119" s="122" t="n"/>
      <c r="I119" s="122" t="n"/>
      <c r="J119" s="122" t="n"/>
      <c r="K119" s="122" t="n"/>
      <c r="L119" s="122" t="n"/>
      <c r="M119" s="122" t="n"/>
      <c r="N119" s="122" t="n"/>
      <c r="O119" s="122" t="n"/>
      <c r="P119" s="122" t="n"/>
      <c r="Q119" s="122" t="n"/>
      <c r="R119" s="122" t="n"/>
      <c r="S119" s="122" t="n"/>
      <c r="T119" s="3" t="n"/>
      <c r="U119" s="3" t="n"/>
      <c r="V119" s="3" t="n"/>
    </row>
    <row r="120" ht="30" customHeight="1">
      <c r="A120" s="3" t="inlineStr">
        <is>
          <t>assumptions/2026/timeseries/ocgt_load_factor.csv</t>
        </is>
      </c>
      <c r="B120" s="3" t="inlineStr">
        <is>
          <t>SHA256</t>
        </is>
      </c>
      <c r="C120" s="3" t="inlineStr">
        <is>
          <t>Frozen file</t>
        </is>
      </c>
      <c r="D120" s="144" t="n"/>
      <c r="E120" s="121" t="inlineStr">
        <is>
          <t>4ee8d166218567440aa1601d18357eb6f7b5c1bd83fa9393099515480d128b0c</t>
        </is>
      </c>
      <c r="F120" s="122" t="n"/>
      <c r="G120" s="122" t="n"/>
      <c r="H120" s="122" t="n"/>
      <c r="I120" s="122" t="n"/>
      <c r="J120" s="122" t="n"/>
      <c r="K120" s="122" t="n"/>
      <c r="L120" s="122" t="n"/>
      <c r="M120" s="122" t="n"/>
      <c r="N120" s="122" t="n"/>
      <c r="O120" s="122" t="n"/>
      <c r="P120" s="122" t="n"/>
      <c r="Q120" s="122" t="n"/>
      <c r="R120" s="122" t="n"/>
      <c r="S120" s="122" t="n"/>
      <c r="T120" s="3" t="n"/>
      <c r="U120" s="3" t="n"/>
      <c r="V120" s="3" t="n"/>
    </row>
    <row r="121" ht="30" customHeight="1">
      <c r="A121" s="3" t="inlineStr">
        <is>
          <t>assumptions/2026/timeseries/ocgt_load_shedding.csv</t>
        </is>
      </c>
      <c r="B121" s="3" t="inlineStr">
        <is>
          <t>SHA256</t>
        </is>
      </c>
      <c r="C121" s="3" t="inlineStr">
        <is>
          <t>Frozen file</t>
        </is>
      </c>
      <c r="D121" s="144" t="n"/>
      <c r="E121" s="121" t="inlineStr">
        <is>
          <t>a59366005a96f0750629cfa6abf0d46e3eb508cce396b98c1806401d46e854e3</t>
        </is>
      </c>
      <c r="F121" s="122" t="n"/>
      <c r="G121" s="122" t="n"/>
      <c r="H121" s="122" t="n"/>
      <c r="I121" s="122" t="n"/>
      <c r="J121" s="122" t="n"/>
      <c r="K121" s="122" t="n"/>
      <c r="L121" s="122" t="n"/>
      <c r="M121" s="122" t="n"/>
      <c r="N121" s="122" t="n"/>
      <c r="O121" s="122" t="n"/>
      <c r="P121" s="122" t="n"/>
      <c r="Q121" s="122" t="n"/>
      <c r="R121" s="122" t="n"/>
      <c r="S121" s="122" t="n"/>
      <c r="T121" s="3" t="n"/>
      <c r="U121" s="3" t="n"/>
      <c r="V121" s="3" t="n"/>
    </row>
    <row r="122" ht="30" customHeight="1">
      <c r="A122" s="3" t="inlineStr">
        <is>
          <t>assumptions/2026/timeseries/passenger_… [N369]</t>
        </is>
      </c>
      <c r="B122" s="3" t="inlineStr">
        <is>
          <t>SHA256</t>
        </is>
      </c>
      <c r="C122" s="3" t="inlineStr">
        <is>
          <t>Frozen file</t>
        </is>
      </c>
      <c r="D122" s="144" t="n"/>
      <c r="E122" s="121" t="inlineStr">
        <is>
          <t>c4fc42851b8fe56a95926f27e5d3af1dfe17fd0f7438d87efd45cd3750b7d7e7</t>
        </is>
      </c>
      <c r="F122" s="122" t="n"/>
      <c r="G122" s="122" t="n"/>
      <c r="H122" s="122" t="n"/>
      <c r="I122" s="122" t="n"/>
      <c r="J122" s="122" t="n"/>
      <c r="K122" s="122" t="n"/>
      <c r="L122" s="122" t="n"/>
      <c r="M122" s="122" t="n"/>
      <c r="N122" s="122" t="n"/>
      <c r="O122" s="122" t="n"/>
      <c r="P122" s="122" t="n"/>
      <c r="Q122" s="122" t="n"/>
      <c r="R122" s="122" t="n"/>
      <c r="S122" s="122" t="n"/>
      <c r="T122" s="3" t="n"/>
      <c r="U122" s="3" t="n"/>
      <c r="V122" s="3" t="n"/>
    </row>
    <row r="123" ht="30" customHeight="1">
      <c r="A123" s="3" t="inlineStr">
        <is>
          <t>assumptions/2026/timeseries/population.csv</t>
        </is>
      </c>
      <c r="B123" s="3" t="inlineStr">
        <is>
          <t>SHA256</t>
        </is>
      </c>
      <c r="C123" s="3" t="inlineStr">
        <is>
          <t>Frozen file</t>
        </is>
      </c>
      <c r="D123" s="144" t="n"/>
      <c r="E123" s="121" t="inlineStr">
        <is>
          <t>84ad50a18791de0cf8a3e90ec5ab76f29b07dc89307e05fb58ce67157b8a4962</t>
        </is>
      </c>
      <c r="F123" s="122" t="n"/>
      <c r="G123" s="122" t="n"/>
      <c r="H123" s="122" t="n"/>
      <c r="I123" s="122" t="n"/>
      <c r="J123" s="122" t="n"/>
      <c r="K123" s="122" t="n"/>
      <c r="L123" s="122" t="n"/>
      <c r="M123" s="122" t="n"/>
      <c r="N123" s="122" t="n"/>
      <c r="O123" s="122" t="n"/>
      <c r="P123" s="122" t="n"/>
      <c r="Q123" s="122" t="n"/>
      <c r="R123" s="122" t="n"/>
      <c r="S123" s="122" t="n"/>
      <c r="T123" s="3" t="n"/>
      <c r="U123" s="3" t="n"/>
      <c r="V123" s="3" t="n"/>
    </row>
    <row r="124" ht="30" customHeight="1">
      <c r="A124" s="3" t="inlineStr">
        <is>
          <t>assumptions/2026/timeseries/refinery_c… [N370]</t>
        </is>
      </c>
      <c r="B124" s="3" t="inlineStr">
        <is>
          <t>SHA256</t>
        </is>
      </c>
      <c r="C124" s="3" t="inlineStr">
        <is>
          <t>Frozen file</t>
        </is>
      </c>
      <c r="D124" s="144" t="n"/>
      <c r="E124" s="121" t="inlineStr">
        <is>
          <t>07df1233838f20c2ba38a8d46ae575261905ff4c064d1a27cd78aee280fc00d2</t>
        </is>
      </c>
      <c r="F124" s="122" t="n"/>
      <c r="G124" s="122" t="n"/>
      <c r="H124" s="122" t="n"/>
      <c r="I124" s="122" t="n"/>
      <c r="J124" s="122" t="n"/>
      <c r="K124" s="122" t="n"/>
      <c r="L124" s="122" t="n"/>
      <c r="M124" s="122" t="n"/>
      <c r="N124" s="122" t="n"/>
      <c r="O124" s="122" t="n"/>
      <c r="P124" s="122" t="n"/>
      <c r="Q124" s="122" t="n"/>
      <c r="R124" s="122" t="n"/>
      <c r="S124" s="122" t="n"/>
      <c r="T124" s="3" t="n"/>
      <c r="U124" s="3" t="n"/>
      <c r="V124" s="3" t="n"/>
    </row>
    <row r="125" ht="30" customHeight="1">
      <c r="A125" s="3" t="inlineStr">
        <is>
          <t>assumptions/2026/timeseries/refinery_p… [N371]</t>
        </is>
      </c>
      <c r="B125" s="3" t="inlineStr">
        <is>
          <t>SHA256</t>
        </is>
      </c>
      <c r="C125" s="3" t="inlineStr">
        <is>
          <t>Frozen file</t>
        </is>
      </c>
      <c r="D125" s="144" t="n"/>
      <c r="E125" s="121" t="inlineStr">
        <is>
          <t>d2d7241a40c7dbd819e1017106bac96b22e2cc1424cf488012d9f9c20ef11a04</t>
        </is>
      </c>
      <c r="F125" s="122" t="n"/>
      <c r="G125" s="122" t="n"/>
      <c r="H125" s="122" t="n"/>
      <c r="I125" s="122" t="n"/>
      <c r="J125" s="122" t="n"/>
      <c r="K125" s="122" t="n"/>
      <c r="L125" s="122" t="n"/>
      <c r="M125" s="122" t="n"/>
      <c r="N125" s="122" t="n"/>
      <c r="O125" s="122" t="n"/>
      <c r="P125" s="122" t="n"/>
      <c r="Q125" s="122" t="n"/>
      <c r="R125" s="122" t="n"/>
      <c r="S125" s="122" t="n"/>
      <c r="T125" s="3" t="n"/>
      <c r="U125" s="3" t="n"/>
      <c r="V125" s="3" t="n"/>
    </row>
    <row r="126" ht="30" customHeight="1">
      <c r="A126" s="3" t="inlineStr">
        <is>
          <t>assumptions/2026/timeseries/vehicle_po… [N372]</t>
        </is>
      </c>
      <c r="B126" s="3" t="inlineStr">
        <is>
          <t>SHA256</t>
        </is>
      </c>
      <c r="C126" s="3" t="inlineStr">
        <is>
          <t>Frozen file</t>
        </is>
      </c>
      <c r="D126" s="144" t="n"/>
      <c r="E126" s="121" t="inlineStr">
        <is>
          <t>fb103c7f4e1ccf92402b167f16c38c54462bc51b8951fc7c204b8484ad7254c4</t>
        </is>
      </c>
      <c r="F126" s="122" t="n"/>
      <c r="G126" s="122" t="n"/>
      <c r="H126" s="122" t="n"/>
      <c r="I126" s="122" t="n"/>
      <c r="J126" s="122" t="n"/>
      <c r="K126" s="122" t="n"/>
      <c r="L126" s="122" t="n"/>
      <c r="M126" s="122" t="n"/>
      <c r="N126" s="122" t="n"/>
      <c r="O126" s="122" t="n"/>
      <c r="P126" s="122" t="n"/>
      <c r="Q126" s="122" t="n"/>
      <c r="R126" s="122" t="n"/>
      <c r="S126" s="122" t="n"/>
      <c r="T126" s="3" t="n"/>
      <c r="U126" s="3" t="n"/>
      <c r="V126" s="3" t="n"/>
    </row>
    <row r="127" ht="30" customHeight="1">
      <c r="A127" s="3" t="inlineStr">
        <is>
          <t>assumptions/2026/vehicles.yaml</t>
        </is>
      </c>
      <c r="B127" s="3" t="inlineStr">
        <is>
          <t>SHA256</t>
        </is>
      </c>
      <c r="C127" s="3" t="inlineStr">
        <is>
          <t>Frozen file</t>
        </is>
      </c>
      <c r="D127" s="144" t="n"/>
      <c r="E127" s="121" t="inlineStr">
        <is>
          <t>e77eb3eceb54949da864a8d522d71db9950d738a69b97af6a58692e6666a028a</t>
        </is>
      </c>
      <c r="F127" s="122" t="n"/>
      <c r="G127" s="122" t="n"/>
      <c r="H127" s="122" t="n"/>
      <c r="I127" s="122" t="n"/>
      <c r="J127" s="122" t="n"/>
      <c r="K127" s="122" t="n"/>
      <c r="L127" s="122" t="n"/>
      <c r="M127" s="122" t="n"/>
      <c r="N127" s="122" t="n"/>
      <c r="O127" s="122" t="n"/>
      <c r="P127" s="122" t="n"/>
      <c r="Q127" s="122" t="n"/>
      <c r="R127" s="122" t="n"/>
      <c r="S127" s="122" t="n"/>
      <c r="T127" s="3" t="n"/>
      <c r="U127" s="3" t="n"/>
      <c r="V127" s="3" t="n"/>
    </row>
    <row r="128" ht="8" customHeight="1">
      <c r="A128" s="3" t="n"/>
      <c r="B128" s="3" t="n"/>
      <c r="C128" s="3" t="n"/>
      <c r="D128" s="144" t="n"/>
      <c r="E128" s="121" t="n"/>
      <c r="F128" s="122" t="n"/>
      <c r="G128" s="122" t="n"/>
      <c r="H128" s="122" t="n"/>
      <c r="I128" s="122" t="n"/>
      <c r="J128" s="122" t="n"/>
      <c r="K128" s="122" t="n"/>
      <c r="L128" s="122" t="n"/>
      <c r="M128" s="122" t="n"/>
      <c r="N128" s="122" t="n"/>
      <c r="O128" s="122" t="n"/>
      <c r="P128" s="122" t="n"/>
      <c r="Q128" s="122" t="n"/>
      <c r="R128" s="122" t="n"/>
      <c r="S128" s="122" t="n"/>
      <c r="T128" s="3" t="n"/>
      <c r="U128" s="3" t="n"/>
      <c r="V128" s="3" t="n"/>
    </row>
    <row r="129" ht="8" customHeight="1">
      <c r="A129" s="3" t="n"/>
      <c r="B129" s="3" t="n"/>
      <c r="C129" s="3" t="n"/>
      <c r="D129" s="144" t="n"/>
      <c r="E129" s="121" t="n"/>
      <c r="F129" s="122" t="n"/>
      <c r="G129" s="122" t="n"/>
      <c r="H129" s="122" t="n"/>
      <c r="I129" s="122" t="n"/>
      <c r="J129" s="122" t="n"/>
      <c r="K129" s="122" t="n"/>
      <c r="L129" s="122" t="n"/>
      <c r="M129" s="122" t="n"/>
      <c r="N129" s="122" t="n"/>
      <c r="O129" s="122" t="n"/>
      <c r="P129" s="122" t="n"/>
      <c r="Q129" s="122" t="n"/>
      <c r="R129" s="122" t="n"/>
      <c r="S129" s="122" t="n"/>
      <c r="T129" s="3" t="n"/>
      <c r="U129" s="3" t="n"/>
      <c r="V129" s="3" t="n"/>
    </row>
    <row r="130" ht="8" customHeight="1">
      <c r="A130" s="3" t="n"/>
      <c r="B130" s="3" t="n"/>
      <c r="C130" s="3" t="n"/>
      <c r="D130" s="144" t="n"/>
      <c r="E130" s="121" t="n"/>
      <c r="F130" s="122" t="n"/>
      <c r="G130" s="122" t="n"/>
      <c r="H130" s="122" t="n"/>
      <c r="I130" s="122" t="n"/>
      <c r="J130" s="122" t="n"/>
      <c r="K130" s="122" t="n"/>
      <c r="L130" s="122" t="n"/>
      <c r="M130" s="122" t="n"/>
      <c r="N130" s="122" t="n"/>
      <c r="O130" s="122" t="n"/>
      <c r="P130" s="122" t="n"/>
      <c r="Q130" s="122" t="n"/>
      <c r="R130" s="122" t="n"/>
      <c r="S130" s="122" t="n"/>
      <c r="T130" s="3" t="n"/>
      <c r="U130" s="3" t="n"/>
      <c r="V130" s="3" t="n"/>
    </row>
    <row r="131" ht="8" customHeight="1">
      <c r="A131" s="3" t="n"/>
      <c r="B131" s="3" t="n"/>
      <c r="C131" s="3" t="n"/>
      <c r="D131" s="144" t="n"/>
      <c r="E131" s="121" t="n"/>
      <c r="F131" s="122" t="n"/>
      <c r="G131" s="122" t="n"/>
      <c r="H131" s="122" t="n"/>
      <c r="I131" s="122" t="n"/>
      <c r="J131" s="122" t="n"/>
      <c r="K131" s="122" t="n"/>
      <c r="L131" s="122" t="n"/>
      <c r="M131" s="122" t="n"/>
      <c r="N131" s="122" t="n"/>
      <c r="O131" s="122" t="n"/>
      <c r="P131" s="122" t="n"/>
      <c r="Q131" s="122" t="n"/>
      <c r="R131" s="122" t="n"/>
      <c r="S131" s="122" t="n"/>
      <c r="T131" s="3" t="n"/>
      <c r="U131" s="3" t="n"/>
      <c r="V131" s="3" t="n"/>
    </row>
    <row r="132" ht="8" customHeight="1">
      <c r="A132" s="3" t="n"/>
      <c r="B132" s="3" t="n"/>
      <c r="C132" s="3" t="n"/>
      <c r="D132" s="144" t="n"/>
      <c r="E132" s="121" t="n"/>
      <c r="F132" s="122" t="n"/>
      <c r="G132" s="122" t="n"/>
      <c r="H132" s="122" t="n"/>
      <c r="I132" s="122" t="n"/>
      <c r="J132" s="122" t="n"/>
      <c r="K132" s="122" t="n"/>
      <c r="L132" s="122" t="n"/>
      <c r="M132" s="122" t="n"/>
      <c r="N132" s="122" t="n"/>
      <c r="O132" s="122" t="n"/>
      <c r="P132" s="122" t="n"/>
      <c r="Q132" s="122" t="n"/>
      <c r="R132" s="122" t="n"/>
      <c r="S132" s="122" t="n"/>
      <c r="T132" s="3" t="n"/>
      <c r="U132" s="3" t="n"/>
      <c r="V132" s="3" t="n"/>
    </row>
    <row r="133" ht="8" customHeight="1">
      <c r="A133" s="3" t="n"/>
      <c r="B133" s="3" t="n"/>
      <c r="C133" s="3" t="n"/>
      <c r="D133" s="144" t="n"/>
      <c r="E133" s="121" t="n"/>
      <c r="F133" s="122" t="n"/>
      <c r="G133" s="122" t="n"/>
      <c r="H133" s="122" t="n"/>
      <c r="I133" s="122" t="n"/>
      <c r="J133" s="122" t="n"/>
      <c r="K133" s="122" t="n"/>
      <c r="L133" s="122" t="n"/>
      <c r="M133" s="122" t="n"/>
      <c r="N133" s="122" t="n"/>
      <c r="O133" s="122" t="n"/>
      <c r="P133" s="122" t="n"/>
      <c r="Q133" s="122" t="n"/>
      <c r="R133" s="122" t="n"/>
      <c r="S133" s="122" t="n"/>
      <c r="T133" s="3" t="n"/>
      <c r="U133" s="3" t="n"/>
      <c r="V133" s="3" t="n"/>
    </row>
    <row r="134" ht="8" customHeight="1">
      <c r="A134" s="3" t="n"/>
      <c r="B134" s="3" t="n"/>
      <c r="C134" s="3" t="n"/>
      <c r="D134" s="144" t="n"/>
      <c r="E134" s="121" t="n"/>
      <c r="F134" s="122" t="n"/>
      <c r="G134" s="122" t="n"/>
      <c r="H134" s="122" t="n"/>
      <c r="I134" s="122" t="n"/>
      <c r="J134" s="122" t="n"/>
      <c r="K134" s="122" t="n"/>
      <c r="L134" s="122" t="n"/>
      <c r="M134" s="122" t="n"/>
      <c r="N134" s="122" t="n"/>
      <c r="O134" s="122" t="n"/>
      <c r="P134" s="122" t="n"/>
      <c r="Q134" s="122" t="n"/>
      <c r="R134" s="122" t="n"/>
      <c r="S134" s="122" t="n"/>
      <c r="T134" s="3" t="n"/>
      <c r="U134" s="3" t="n"/>
      <c r="V134" s="3" t="n"/>
    </row>
    <row r="135" ht="8" customHeight="1">
      <c r="A135" s="3" t="n"/>
      <c r="B135" s="3" t="n"/>
      <c r="C135" s="3" t="n"/>
      <c r="D135" s="144" t="n"/>
      <c r="E135" s="121" t="n"/>
      <c r="F135" s="122" t="n"/>
      <c r="G135" s="122" t="n"/>
      <c r="H135" s="122" t="n"/>
      <c r="I135" s="122" t="n"/>
      <c r="J135" s="122" t="n"/>
      <c r="K135" s="122" t="n"/>
      <c r="L135" s="122" t="n"/>
      <c r="M135" s="122" t="n"/>
      <c r="N135" s="122" t="n"/>
      <c r="O135" s="122" t="n"/>
      <c r="P135" s="122" t="n"/>
      <c r="Q135" s="122" t="n"/>
      <c r="R135" s="122" t="n"/>
      <c r="S135" s="122" t="n"/>
      <c r="T135" s="3" t="n"/>
      <c r="U135" s="3" t="n"/>
      <c r="V135" s="3" t="n"/>
    </row>
    <row r="136" ht="8" customHeight="1">
      <c r="A136" s="3" t="n"/>
      <c r="B136" s="3" t="n"/>
      <c r="C136" s="3" t="n"/>
      <c r="D136" s="144" t="n"/>
      <c r="E136" s="121" t="n"/>
      <c r="F136" s="122" t="n"/>
      <c r="G136" s="122" t="n"/>
      <c r="H136" s="122" t="n"/>
      <c r="I136" s="122" t="n"/>
      <c r="J136" s="122" t="n"/>
      <c r="K136" s="122" t="n"/>
      <c r="L136" s="122" t="n"/>
      <c r="M136" s="122" t="n"/>
      <c r="N136" s="122" t="n"/>
      <c r="O136" s="122" t="n"/>
      <c r="P136" s="122" t="n"/>
      <c r="Q136" s="122" t="n"/>
      <c r="R136" s="122" t="n"/>
      <c r="S136" s="122" t="n"/>
      <c r="T136" s="3" t="n"/>
      <c r="U136" s="3" t="n"/>
      <c r="V136" s="3" t="n"/>
    </row>
    <row r="137" ht="8" customHeight="1">
      <c r="A137" s="3" t="n"/>
      <c r="B137" s="3" t="n"/>
      <c r="C137" s="3" t="n"/>
      <c r="D137" s="144" t="n"/>
      <c r="E137" s="121" t="n"/>
      <c r="F137" s="122" t="n"/>
      <c r="G137" s="122" t="n"/>
      <c r="H137" s="122" t="n"/>
      <c r="I137" s="122" t="n"/>
      <c r="J137" s="122" t="n"/>
      <c r="K137" s="122" t="n"/>
      <c r="L137" s="122" t="n"/>
      <c r="M137" s="122" t="n"/>
      <c r="N137" s="122" t="n"/>
      <c r="O137" s="122" t="n"/>
      <c r="P137" s="122" t="n"/>
      <c r="Q137" s="122" t="n"/>
      <c r="R137" s="122" t="n"/>
      <c r="S137" s="122" t="n"/>
      <c r="T137" s="3" t="n"/>
      <c r="U137" s="3" t="n"/>
      <c r="V137" s="3" t="n"/>
    </row>
    <row r="138" ht="8" customHeight="1">
      <c r="A138" s="3" t="n"/>
      <c r="B138" s="3" t="n"/>
      <c r="C138" s="3" t="n"/>
      <c r="D138" s="144" t="n"/>
      <c r="E138" s="121" t="n"/>
      <c r="F138" s="122" t="n"/>
      <c r="G138" s="122" t="n"/>
      <c r="H138" s="122" t="n"/>
      <c r="I138" s="122" t="n"/>
      <c r="J138" s="122" t="n"/>
      <c r="K138" s="122" t="n"/>
      <c r="L138" s="122" t="n"/>
      <c r="M138" s="122" t="n"/>
      <c r="N138" s="122" t="n"/>
      <c r="O138" s="122" t="n"/>
      <c r="P138" s="122" t="n"/>
      <c r="Q138" s="122" t="n"/>
      <c r="R138" s="122" t="n"/>
      <c r="S138" s="122" t="n"/>
      <c r="T138" s="3" t="n"/>
      <c r="U138" s="3" t="n"/>
      <c r="V138" s="3" t="n"/>
    </row>
    <row r="139" ht="8" customHeight="1">
      <c r="A139" s="3" t="n"/>
      <c r="B139" s="3" t="n"/>
      <c r="C139" s="3" t="n"/>
      <c r="D139" s="144" t="n"/>
      <c r="E139" s="121" t="n"/>
      <c r="F139" s="122" t="n"/>
      <c r="G139" s="122" t="n"/>
      <c r="H139" s="122" t="n"/>
      <c r="I139" s="122" t="n"/>
      <c r="J139" s="122" t="n"/>
      <c r="K139" s="122" t="n"/>
      <c r="L139" s="122" t="n"/>
      <c r="M139" s="122" t="n"/>
      <c r="N139" s="122" t="n"/>
      <c r="O139" s="122" t="n"/>
      <c r="P139" s="122" t="n"/>
      <c r="Q139" s="122" t="n"/>
      <c r="R139" s="122" t="n"/>
      <c r="S139" s="122" t="n"/>
      <c r="T139" s="3" t="n"/>
      <c r="U139" s="3" t="n"/>
      <c r="V139" s="3" t="n"/>
    </row>
    <row r="140" ht="8" customHeight="1">
      <c r="A140" s="3" t="n"/>
      <c r="B140" s="3" t="n"/>
      <c r="C140" s="3" t="n"/>
      <c r="D140" s="144" t="n"/>
      <c r="E140" s="121" t="n"/>
      <c r="F140" s="122" t="n"/>
      <c r="G140" s="122" t="n"/>
      <c r="H140" s="122" t="n"/>
      <c r="I140" s="122" t="n"/>
      <c r="J140" s="122" t="n"/>
      <c r="K140" s="122" t="n"/>
      <c r="L140" s="122" t="n"/>
      <c r="M140" s="122" t="n"/>
      <c r="N140" s="122" t="n"/>
      <c r="O140" s="122" t="n"/>
      <c r="P140" s="122" t="n"/>
      <c r="Q140" s="122" t="n"/>
      <c r="R140" s="122" t="n"/>
      <c r="S140" s="122" t="n"/>
      <c r="T140" s="3" t="n"/>
      <c r="U140" s="3" t="n"/>
      <c r="V140" s="3" t="n"/>
    </row>
    <row r="141" ht="8" customHeight="1">
      <c r="A141" s="3" t="n"/>
      <c r="B141" s="3" t="n"/>
      <c r="C141" s="3" t="n"/>
      <c r="D141" s="144" t="n"/>
      <c r="E141" s="121" t="n"/>
      <c r="F141" s="122" t="n"/>
      <c r="G141" s="122" t="n"/>
      <c r="H141" s="122" t="n"/>
      <c r="I141" s="122" t="n"/>
      <c r="J141" s="122" t="n"/>
      <c r="K141" s="122" t="n"/>
      <c r="L141" s="122" t="n"/>
      <c r="M141" s="122" t="n"/>
      <c r="N141" s="122" t="n"/>
      <c r="O141" s="122" t="n"/>
      <c r="P141" s="122" t="n"/>
      <c r="Q141" s="122" t="n"/>
      <c r="R141" s="122" t="n"/>
      <c r="S141" s="122" t="n"/>
      <c r="T141" s="3" t="n"/>
      <c r="U141" s="3" t="n"/>
      <c r="V141" s="3" t="n"/>
    </row>
    <row r="142" ht="8" customHeight="1">
      <c r="A142" s="3" t="n"/>
      <c r="B142" s="3" t="n"/>
      <c r="C142" s="3" t="n"/>
      <c r="D142" s="144" t="n"/>
      <c r="E142" s="121" t="n"/>
      <c r="F142" s="122" t="n"/>
      <c r="G142" s="122" t="n"/>
      <c r="H142" s="122" t="n"/>
      <c r="I142" s="122" t="n"/>
      <c r="J142" s="122" t="n"/>
      <c r="K142" s="122" t="n"/>
      <c r="L142" s="122" t="n"/>
      <c r="M142" s="122" t="n"/>
      <c r="N142" s="122" t="n"/>
      <c r="O142" s="122" t="n"/>
      <c r="P142" s="122" t="n"/>
      <c r="Q142" s="122" t="n"/>
      <c r="R142" s="122" t="n"/>
      <c r="S142" s="122" t="n"/>
      <c r="T142" s="3" t="n"/>
      <c r="U142" s="3" t="n"/>
      <c r="V142" s="3" t="n"/>
    </row>
    <row r="143" ht="8" customHeight="1">
      <c r="A143" s="3" t="n"/>
      <c r="B143" s="3" t="n"/>
      <c r="C143" s="3" t="n"/>
      <c r="D143" s="144" t="n"/>
      <c r="E143" s="121" t="n"/>
      <c r="F143" s="122" t="n"/>
      <c r="G143" s="122" t="n"/>
      <c r="H143" s="122" t="n"/>
      <c r="I143" s="122" t="n"/>
      <c r="J143" s="122" t="n"/>
      <c r="K143" s="122" t="n"/>
      <c r="L143" s="122" t="n"/>
      <c r="M143" s="122" t="n"/>
      <c r="N143" s="122" t="n"/>
      <c r="O143" s="122" t="n"/>
      <c r="P143" s="122" t="n"/>
      <c r="Q143" s="122" t="n"/>
      <c r="R143" s="122" t="n"/>
      <c r="S143" s="122" t="n"/>
      <c r="T143" s="3" t="n"/>
      <c r="U143" s="3" t="n"/>
      <c r="V143" s="3" t="n"/>
    </row>
    <row r="144" ht="8" customHeight="1">
      <c r="A144" s="3" t="n"/>
      <c r="B144" s="3" t="n"/>
      <c r="C144" s="3" t="n"/>
      <c r="D144" s="144" t="n"/>
      <c r="E144" s="121" t="n"/>
      <c r="F144" s="122" t="n"/>
      <c r="G144" s="122" t="n"/>
      <c r="H144" s="122" t="n"/>
      <c r="I144" s="122" t="n"/>
      <c r="J144" s="122" t="n"/>
      <c r="K144" s="122" t="n"/>
      <c r="L144" s="122" t="n"/>
      <c r="M144" s="122" t="n"/>
      <c r="N144" s="122" t="n"/>
      <c r="O144" s="122" t="n"/>
      <c r="P144" s="122" t="n"/>
      <c r="Q144" s="122" t="n"/>
      <c r="R144" s="122" t="n"/>
      <c r="S144" s="122" t="n"/>
      <c r="T144" s="3" t="n"/>
      <c r="U144" s="3" t="n"/>
      <c r="V144" s="3" t="n"/>
    </row>
    <row r="145" ht="8" customHeight="1">
      <c r="A145" s="3" t="n"/>
      <c r="B145" s="3" t="n"/>
      <c r="C145" s="3" t="n"/>
      <c r="D145" s="144" t="n"/>
      <c r="E145" s="121" t="n"/>
      <c r="F145" s="122" t="n"/>
      <c r="G145" s="122" t="n"/>
      <c r="H145" s="122" t="n"/>
      <c r="I145" s="122" t="n"/>
      <c r="J145" s="122" t="n"/>
      <c r="K145" s="122" t="n"/>
      <c r="L145" s="122" t="n"/>
      <c r="M145" s="122" t="n"/>
      <c r="N145" s="122" t="n"/>
      <c r="O145" s="122" t="n"/>
      <c r="P145" s="122" t="n"/>
      <c r="Q145" s="122" t="n"/>
      <c r="R145" s="122" t="n"/>
      <c r="S145" s="122" t="n"/>
      <c r="T145" s="3" t="n"/>
      <c r="U145" s="3" t="n"/>
      <c r="V145" s="3" t="n"/>
    </row>
    <row r="146" ht="8" customHeight="1">
      <c r="A146" s="3" t="n"/>
      <c r="B146" s="3" t="n"/>
      <c r="C146" s="3" t="n"/>
      <c r="D146" s="144" t="n"/>
      <c r="E146" s="121" t="n"/>
      <c r="F146" s="122" t="n"/>
      <c r="G146" s="122" t="n"/>
      <c r="H146" s="122" t="n"/>
      <c r="I146" s="122" t="n"/>
      <c r="J146" s="122" t="n"/>
      <c r="K146" s="122" t="n"/>
      <c r="L146" s="122" t="n"/>
      <c r="M146" s="122" t="n"/>
      <c r="N146" s="122" t="n"/>
      <c r="O146" s="122" t="n"/>
      <c r="P146" s="122" t="n"/>
      <c r="Q146" s="122" t="n"/>
      <c r="R146" s="122" t="n"/>
      <c r="S146" s="122" t="n"/>
      <c r="T146" s="3" t="n"/>
      <c r="U146" s="3" t="n"/>
      <c r="V146" s="3" t="n"/>
    </row>
    <row r="147" ht="8" customHeight="1">
      <c r="A147" s="3" t="n"/>
      <c r="B147" s="3" t="n"/>
      <c r="C147" s="3" t="n"/>
      <c r="D147" s="144" t="n"/>
      <c r="E147" s="121" t="n"/>
      <c r="F147" s="122" t="n"/>
      <c r="G147" s="122" t="n"/>
      <c r="H147" s="122" t="n"/>
      <c r="I147" s="122" t="n"/>
      <c r="J147" s="122" t="n"/>
      <c r="K147" s="122" t="n"/>
      <c r="L147" s="122" t="n"/>
      <c r="M147" s="122" t="n"/>
      <c r="N147" s="122" t="n"/>
      <c r="O147" s="122" t="n"/>
      <c r="P147" s="122" t="n"/>
      <c r="Q147" s="122" t="n"/>
      <c r="R147" s="122" t="n"/>
      <c r="S147" s="122" t="n"/>
      <c r="T147" s="3" t="n"/>
      <c r="U147" s="3" t="n"/>
      <c r="V147" s="3" t="n"/>
    </row>
    <row r="148" ht="8" customHeight="1">
      <c r="A148" s="3" t="n"/>
      <c r="B148" s="3" t="n"/>
      <c r="C148" s="3" t="n"/>
      <c r="D148" s="144" t="n"/>
      <c r="E148" s="121" t="n"/>
      <c r="F148" s="122" t="n"/>
      <c r="G148" s="122" t="n"/>
      <c r="H148" s="122" t="n"/>
      <c r="I148" s="122" t="n"/>
      <c r="J148" s="122" t="n"/>
      <c r="K148" s="122" t="n"/>
      <c r="L148" s="122" t="n"/>
      <c r="M148" s="122" t="n"/>
      <c r="N148" s="122" t="n"/>
      <c r="O148" s="122" t="n"/>
      <c r="P148" s="122" t="n"/>
      <c r="Q148" s="122" t="n"/>
      <c r="R148" s="122" t="n"/>
      <c r="S148" s="122" t="n"/>
      <c r="T148" s="3" t="n"/>
      <c r="U148" s="3" t="n"/>
      <c r="V148" s="3" t="n"/>
    </row>
    <row r="149" ht="8" customHeight="1">
      <c r="A149" s="3" t="n"/>
      <c r="B149" s="3" t="n"/>
      <c r="C149" s="3" t="n"/>
      <c r="D149" s="144" t="n"/>
      <c r="E149" s="121" t="n"/>
      <c r="F149" s="122" t="n"/>
      <c r="G149" s="122" t="n"/>
      <c r="H149" s="122" t="n"/>
      <c r="I149" s="122" t="n"/>
      <c r="J149" s="122" t="n"/>
      <c r="K149" s="122" t="n"/>
      <c r="L149" s="122" t="n"/>
      <c r="M149" s="122" t="n"/>
      <c r="N149" s="122" t="n"/>
      <c r="O149" s="122" t="n"/>
      <c r="P149" s="122" t="n"/>
      <c r="Q149" s="122" t="n"/>
      <c r="R149" s="122" t="n"/>
      <c r="S149" s="122" t="n"/>
      <c r="T149" s="3" t="n"/>
      <c r="U149" s="3" t="n"/>
      <c r="V149" s="3" t="n"/>
    </row>
    <row r="150" ht="8" customHeight="1">
      <c r="A150" s="3" t="n"/>
      <c r="B150" s="3" t="n"/>
      <c r="C150" s="3" t="n"/>
      <c r="D150" s="144" t="n"/>
      <c r="E150" s="121" t="n"/>
      <c r="F150" s="122" t="n"/>
      <c r="G150" s="122" t="n"/>
      <c r="H150" s="122" t="n"/>
      <c r="I150" s="122" t="n"/>
      <c r="J150" s="122" t="n"/>
      <c r="K150" s="122" t="n"/>
      <c r="L150" s="122" t="n"/>
      <c r="M150" s="122" t="n"/>
      <c r="N150" s="122" t="n"/>
      <c r="O150" s="122" t="n"/>
      <c r="P150" s="122" t="n"/>
      <c r="Q150" s="122" t="n"/>
      <c r="R150" s="122" t="n"/>
      <c r="S150" s="122" t="n"/>
      <c r="T150" s="3" t="n"/>
      <c r="U150" s="3" t="n"/>
      <c r="V150" s="3" t="n"/>
    </row>
    <row r="151" ht="8" customHeight="1">
      <c r="A151" s="3" t="n"/>
      <c r="B151" s="3" t="n"/>
      <c r="C151" s="3" t="n"/>
      <c r="D151" s="144" t="n"/>
      <c r="E151" s="121" t="n"/>
      <c r="F151" s="122" t="n"/>
      <c r="G151" s="122" t="n"/>
      <c r="H151" s="122" t="n"/>
      <c r="I151" s="122" t="n"/>
      <c r="J151" s="122" t="n"/>
      <c r="K151" s="122" t="n"/>
      <c r="L151" s="122" t="n"/>
      <c r="M151" s="122" t="n"/>
      <c r="N151" s="122" t="n"/>
      <c r="O151" s="122" t="n"/>
      <c r="P151" s="122" t="n"/>
      <c r="Q151" s="122" t="n"/>
      <c r="R151" s="122" t="n"/>
      <c r="S151" s="122" t="n"/>
      <c r="T151" s="3" t="n"/>
      <c r="U151" s="3" t="n"/>
      <c r="V151" s="3" t="n"/>
    </row>
    <row r="152" ht="8" customHeight="1">
      <c r="A152" s="3" t="n"/>
      <c r="B152" s="3" t="n"/>
      <c r="C152" s="3" t="n"/>
      <c r="D152" s="144" t="n"/>
      <c r="E152" s="121" t="n"/>
      <c r="F152" s="122" t="n"/>
      <c r="G152" s="122" t="n"/>
      <c r="H152" s="122" t="n"/>
      <c r="I152" s="122" t="n"/>
      <c r="J152" s="122" t="n"/>
      <c r="K152" s="122" t="n"/>
      <c r="L152" s="122" t="n"/>
      <c r="M152" s="122" t="n"/>
      <c r="N152" s="122" t="n"/>
      <c r="O152" s="122" t="n"/>
      <c r="P152" s="122" t="n"/>
      <c r="Q152" s="122" t="n"/>
      <c r="R152" s="122" t="n"/>
      <c r="S152" s="122" t="n"/>
      <c r="T152" s="3" t="n"/>
      <c r="U152" s="3" t="n"/>
      <c r="V152" s="3" t="n"/>
    </row>
    <row r="153" ht="8" customHeight="1">
      <c r="A153" s="3" t="n"/>
      <c r="B153" s="3" t="n"/>
      <c r="C153" s="3" t="n"/>
      <c r="D153" s="144" t="n"/>
      <c r="E153" s="121" t="n"/>
      <c r="F153" s="122" t="n"/>
      <c r="G153" s="122" t="n"/>
      <c r="H153" s="122" t="n"/>
      <c r="I153" s="122" t="n"/>
      <c r="J153" s="122" t="n"/>
      <c r="K153" s="122" t="n"/>
      <c r="L153" s="122" t="n"/>
      <c r="M153" s="122" t="n"/>
      <c r="N153" s="122" t="n"/>
      <c r="O153" s="122" t="n"/>
      <c r="P153" s="122" t="n"/>
      <c r="Q153" s="122" t="n"/>
      <c r="R153" s="122" t="n"/>
      <c r="S153" s="122" t="n"/>
      <c r="T153" s="3" t="n"/>
      <c r="U153" s="3" t="n"/>
      <c r="V153" s="3" t="n"/>
    </row>
    <row r="154" ht="8" customHeight="1">
      <c r="A154" s="3" t="n"/>
      <c r="B154" s="3" t="n"/>
      <c r="C154" s="3" t="n"/>
      <c r="D154" s="144" t="n"/>
      <c r="E154" s="121" t="n"/>
      <c r="F154" s="122" t="n"/>
      <c r="G154" s="122" t="n"/>
      <c r="H154" s="122" t="n"/>
      <c r="I154" s="122" t="n"/>
      <c r="J154" s="122" t="n"/>
      <c r="K154" s="122" t="n"/>
      <c r="L154" s="122" t="n"/>
      <c r="M154" s="122" t="n"/>
      <c r="N154" s="122" t="n"/>
      <c r="O154" s="122" t="n"/>
      <c r="P154" s="122" t="n"/>
      <c r="Q154" s="122" t="n"/>
      <c r="R154" s="122" t="n"/>
      <c r="S154" s="122" t="n"/>
      <c r="T154" s="3" t="n"/>
      <c r="U154" s="3" t="n"/>
      <c r="V154" s="3" t="n"/>
    </row>
    <row r="155" ht="8" customHeight="1">
      <c r="A155" s="3" t="n"/>
      <c r="B155" s="3" t="n"/>
      <c r="C155" s="3" t="n"/>
      <c r="D155" s="144" t="n"/>
      <c r="E155" s="121" t="n"/>
      <c r="F155" s="122" t="n"/>
      <c r="G155" s="122" t="n"/>
      <c r="H155" s="122" t="n"/>
      <c r="I155" s="122" t="n"/>
      <c r="J155" s="122" t="n"/>
      <c r="K155" s="122" t="n"/>
      <c r="L155" s="122" t="n"/>
      <c r="M155" s="122" t="n"/>
      <c r="N155" s="122" t="n"/>
      <c r="O155" s="122" t="n"/>
      <c r="P155" s="122" t="n"/>
      <c r="Q155" s="122" t="n"/>
      <c r="R155" s="122" t="n"/>
      <c r="S155" s="122" t="n"/>
      <c r="T155" s="3" t="n"/>
      <c r="U155" s="3" t="n"/>
      <c r="V155" s="3" t="n"/>
    </row>
    <row r="156" ht="8" customHeight="1">
      <c r="A156" s="3" t="n"/>
      <c r="B156" s="3" t="n"/>
      <c r="C156" s="3" t="n"/>
      <c r="D156" s="144" t="n"/>
      <c r="E156" s="121" t="n"/>
      <c r="F156" s="122" t="n"/>
      <c r="G156" s="122" t="n"/>
      <c r="H156" s="122" t="n"/>
      <c r="I156" s="122" t="n"/>
      <c r="J156" s="122" t="n"/>
      <c r="K156" s="122" t="n"/>
      <c r="L156" s="122" t="n"/>
      <c r="M156" s="122" t="n"/>
      <c r="N156" s="122" t="n"/>
      <c r="O156" s="122" t="n"/>
      <c r="P156" s="122" t="n"/>
      <c r="Q156" s="122" t="n"/>
      <c r="R156" s="122" t="n"/>
      <c r="S156" s="122" t="n"/>
      <c r="T156" s="3" t="n"/>
      <c r="U156" s="3" t="n"/>
      <c r="V156" s="3" t="n"/>
    </row>
    <row r="157" ht="8" customHeight="1">
      <c r="A157" s="3" t="n"/>
      <c r="B157" s="3" t="n"/>
      <c r="C157" s="3" t="n"/>
      <c r="D157" s="144" t="n"/>
      <c r="E157" s="121" t="n"/>
      <c r="F157" s="122" t="n"/>
      <c r="G157" s="122" t="n"/>
      <c r="H157" s="122" t="n"/>
      <c r="I157" s="122" t="n"/>
      <c r="J157" s="122" t="n"/>
      <c r="K157" s="122" t="n"/>
      <c r="L157" s="122" t="n"/>
      <c r="M157" s="122" t="n"/>
      <c r="N157" s="122" t="n"/>
      <c r="O157" s="122" t="n"/>
      <c r="P157" s="122" t="n"/>
      <c r="Q157" s="122" t="n"/>
      <c r="R157" s="122" t="n"/>
      <c r="S157" s="122" t="n"/>
      <c r="T157" s="3" t="n"/>
      <c r="U157" s="3" t="n"/>
      <c r="V157" s="3" t="n"/>
    </row>
    <row r="158" ht="8" customHeight="1">
      <c r="A158" s="3" t="n"/>
      <c r="B158" s="3" t="n"/>
      <c r="C158" s="3" t="n"/>
      <c r="D158" s="144" t="n"/>
      <c r="E158" s="121" t="n"/>
      <c r="F158" s="122" t="n"/>
      <c r="G158" s="122" t="n"/>
      <c r="H158" s="122" t="n"/>
      <c r="I158" s="122" t="n"/>
      <c r="J158" s="122" t="n"/>
      <c r="K158" s="122" t="n"/>
      <c r="L158" s="122" t="n"/>
      <c r="M158" s="122" t="n"/>
      <c r="N158" s="122" t="n"/>
      <c r="O158" s="122" t="n"/>
      <c r="P158" s="122" t="n"/>
      <c r="Q158" s="122" t="n"/>
      <c r="R158" s="122" t="n"/>
      <c r="S158" s="122" t="n"/>
      <c r="T158" s="3" t="n"/>
      <c r="U158" s="3" t="n"/>
      <c r="V158" s="3" t="n"/>
    </row>
    <row r="159" ht="8" customHeight="1">
      <c r="A159" s="3" t="n"/>
      <c r="B159" s="3" t="n"/>
      <c r="C159" s="3" t="n"/>
      <c r="D159" s="144" t="n"/>
      <c r="E159" s="121" t="n"/>
      <c r="F159" s="122" t="n"/>
      <c r="G159" s="122" t="n"/>
      <c r="H159" s="122" t="n"/>
      <c r="I159" s="122" t="n"/>
      <c r="J159" s="122" t="n"/>
      <c r="K159" s="122" t="n"/>
      <c r="L159" s="122" t="n"/>
      <c r="M159" s="122" t="n"/>
      <c r="N159" s="122" t="n"/>
      <c r="O159" s="122" t="n"/>
      <c r="P159" s="122" t="n"/>
      <c r="Q159" s="122" t="n"/>
      <c r="R159" s="122" t="n"/>
      <c r="S159" s="122" t="n"/>
      <c r="T159" s="3" t="n"/>
      <c r="U159" s="3" t="n"/>
      <c r="V159" s="3" t="n"/>
    </row>
    <row r="160" ht="8" customHeight="1">
      <c r="A160" s="3" t="n"/>
      <c r="B160" s="3" t="n"/>
      <c r="C160" s="3" t="n"/>
      <c r="D160" s="144" t="n"/>
      <c r="E160" s="121" t="n"/>
      <c r="F160" s="122" t="n"/>
      <c r="G160" s="122" t="n"/>
      <c r="H160" s="122" t="n"/>
      <c r="I160" s="122" t="n"/>
      <c r="J160" s="122" t="n"/>
      <c r="K160" s="122" t="n"/>
      <c r="L160" s="122" t="n"/>
      <c r="M160" s="122" t="n"/>
      <c r="N160" s="122" t="n"/>
      <c r="O160" s="122" t="n"/>
      <c r="P160" s="122" t="n"/>
      <c r="Q160" s="122" t="n"/>
      <c r="R160" s="122" t="n"/>
      <c r="S160" s="122" t="n"/>
      <c r="T160" s="3" t="n"/>
      <c r="U160" s="3" t="n"/>
      <c r="V160" s="3" t="n"/>
    </row>
    <row r="161" ht="8" customHeight="1">
      <c r="A161" s="3" t="n"/>
      <c r="B161" s="3" t="n"/>
      <c r="C161" s="3" t="n"/>
      <c r="D161" s="144" t="n"/>
      <c r="E161" s="121" t="n"/>
      <c r="F161" s="122" t="n"/>
      <c r="G161" s="122" t="n"/>
      <c r="H161" s="122" t="n"/>
      <c r="I161" s="122" t="n"/>
      <c r="J161" s="122" t="n"/>
      <c r="K161" s="122" t="n"/>
      <c r="L161" s="122" t="n"/>
      <c r="M161" s="122" t="n"/>
      <c r="N161" s="122" t="n"/>
      <c r="O161" s="122" t="n"/>
      <c r="P161" s="122" t="n"/>
      <c r="Q161" s="122" t="n"/>
      <c r="R161" s="122" t="n"/>
      <c r="S161" s="122" t="n"/>
      <c r="T161" s="3" t="n"/>
      <c r="U161" s="3" t="n"/>
      <c r="V161" s="3" t="n"/>
    </row>
    <row r="162" ht="8" customHeight="1">
      <c r="A162" s="3" t="n"/>
      <c r="B162" s="3" t="n"/>
      <c r="C162" s="3" t="n"/>
      <c r="D162" s="144" t="n"/>
      <c r="E162" s="121" t="n"/>
      <c r="F162" s="122" t="n"/>
      <c r="G162" s="122" t="n"/>
      <c r="H162" s="122" t="n"/>
      <c r="I162" s="122" t="n"/>
      <c r="J162" s="122" t="n"/>
      <c r="K162" s="122" t="n"/>
      <c r="L162" s="122" t="n"/>
      <c r="M162" s="122" t="n"/>
      <c r="N162" s="122" t="n"/>
      <c r="O162" s="122" t="n"/>
      <c r="P162" s="122" t="n"/>
      <c r="Q162" s="122" t="n"/>
      <c r="R162" s="122" t="n"/>
      <c r="S162" s="122" t="n"/>
      <c r="T162" s="3" t="n"/>
      <c r="U162" s="3" t="n"/>
      <c r="V162" s="3" t="n"/>
    </row>
    <row r="163" ht="8" customHeight="1">
      <c r="A163" s="3" t="n"/>
      <c r="B163" s="3" t="n"/>
      <c r="C163" s="3" t="n"/>
      <c r="D163" s="144" t="n"/>
      <c r="E163" s="121" t="n"/>
      <c r="F163" s="122" t="n"/>
      <c r="G163" s="122" t="n"/>
      <c r="H163" s="122" t="n"/>
      <c r="I163" s="122" t="n"/>
      <c r="J163" s="122" t="n"/>
      <c r="K163" s="122" t="n"/>
      <c r="L163" s="122" t="n"/>
      <c r="M163" s="122" t="n"/>
      <c r="N163" s="122" t="n"/>
      <c r="O163" s="122" t="n"/>
      <c r="P163" s="122" t="n"/>
      <c r="Q163" s="122" t="n"/>
      <c r="R163" s="122" t="n"/>
      <c r="S163" s="122" t="n"/>
      <c r="T163" s="3" t="n"/>
      <c r="U163" s="3" t="n"/>
      <c r="V163" s="3" t="n"/>
    </row>
    <row r="164" ht="8" customHeight="1">
      <c r="A164" s="3" t="n"/>
      <c r="B164" s="3" t="n"/>
      <c r="C164" s="3" t="n"/>
      <c r="D164" s="144" t="n"/>
      <c r="E164" s="121" t="n"/>
      <c r="F164" s="122" t="n"/>
      <c r="G164" s="122" t="n"/>
      <c r="H164" s="122" t="n"/>
      <c r="I164" s="122" t="n"/>
      <c r="J164" s="122" t="n"/>
      <c r="K164" s="122" t="n"/>
      <c r="L164" s="122" t="n"/>
      <c r="M164" s="122" t="n"/>
      <c r="N164" s="122" t="n"/>
      <c r="O164" s="122" t="n"/>
      <c r="P164" s="122" t="n"/>
      <c r="Q164" s="122" t="n"/>
      <c r="R164" s="122" t="n"/>
      <c r="S164" s="122" t="n"/>
      <c r="T164" s="3" t="n"/>
      <c r="U164" s="3" t="n"/>
      <c r="V164" s="3" t="n"/>
    </row>
    <row r="165" ht="8" customHeight="1">
      <c r="A165" s="3" t="n"/>
      <c r="B165" s="3" t="n"/>
      <c r="C165" s="3" t="n"/>
      <c r="D165" s="144" t="n"/>
      <c r="E165" s="121" t="n"/>
      <c r="F165" s="122" t="n"/>
      <c r="G165" s="122" t="n"/>
      <c r="H165" s="122" t="n"/>
      <c r="I165" s="122" t="n"/>
      <c r="J165" s="122" t="n"/>
      <c r="K165" s="122" t="n"/>
      <c r="L165" s="122" t="n"/>
      <c r="M165" s="122" t="n"/>
      <c r="N165" s="122" t="n"/>
      <c r="O165" s="122" t="n"/>
      <c r="P165" s="122" t="n"/>
      <c r="Q165" s="122" t="n"/>
      <c r="R165" s="122" t="n"/>
      <c r="S165" s="122" t="n"/>
      <c r="T165" s="3" t="n"/>
      <c r="U165" s="3" t="n"/>
      <c r="V165" s="3" t="n"/>
    </row>
    <row r="166" ht="8" customHeight="1">
      <c r="A166" s="3" t="n"/>
      <c r="B166" s="3" t="n"/>
      <c r="C166" s="3" t="n"/>
      <c r="D166" s="144" t="n"/>
      <c r="E166" s="121" t="n"/>
      <c r="F166" s="122" t="n"/>
      <c r="G166" s="122" t="n"/>
      <c r="H166" s="122" t="n"/>
      <c r="I166" s="122" t="n"/>
      <c r="J166" s="122" t="n"/>
      <c r="K166" s="122" t="n"/>
      <c r="L166" s="122" t="n"/>
      <c r="M166" s="122" t="n"/>
      <c r="N166" s="122" t="n"/>
      <c r="O166" s="122" t="n"/>
      <c r="P166" s="122" t="n"/>
      <c r="Q166" s="122" t="n"/>
      <c r="R166" s="122" t="n"/>
      <c r="S166" s="122" t="n"/>
      <c r="T166" s="3" t="n"/>
      <c r="U166" s="3" t="n"/>
      <c r="V166" s="3" t="n"/>
    </row>
    <row r="167" ht="8" customHeight="1">
      <c r="A167" s="3" t="n"/>
      <c r="B167" s="3" t="n"/>
      <c r="C167" s="3" t="n"/>
      <c r="D167" s="144" t="n"/>
      <c r="E167" s="121" t="n"/>
      <c r="F167" s="122" t="n"/>
      <c r="G167" s="122" t="n"/>
      <c r="H167" s="122" t="n"/>
      <c r="I167" s="122" t="n"/>
      <c r="J167" s="122" t="n"/>
      <c r="K167" s="122" t="n"/>
      <c r="L167" s="122" t="n"/>
      <c r="M167" s="122" t="n"/>
      <c r="N167" s="122" t="n"/>
      <c r="O167" s="122" t="n"/>
      <c r="P167" s="122" t="n"/>
      <c r="Q167" s="122" t="n"/>
      <c r="R167" s="122" t="n"/>
      <c r="S167" s="122" t="n"/>
      <c r="T167" s="3" t="n"/>
      <c r="U167" s="3" t="n"/>
      <c r="V167" s="3" t="n"/>
    </row>
    <row r="168" ht="8" customHeight="1">
      <c r="A168" s="3" t="n"/>
      <c r="B168" s="3" t="n"/>
      <c r="C168" s="3" t="n"/>
      <c r="D168" s="144" t="n"/>
      <c r="E168" s="121" t="n"/>
      <c r="F168" s="122" t="n"/>
      <c r="G168" s="122" t="n"/>
      <c r="H168" s="122" t="n"/>
      <c r="I168" s="122" t="n"/>
      <c r="J168" s="122" t="n"/>
      <c r="K168" s="122" t="n"/>
      <c r="L168" s="122" t="n"/>
      <c r="M168" s="122" t="n"/>
      <c r="N168" s="122" t="n"/>
      <c r="O168" s="122" t="n"/>
      <c r="P168" s="122" t="n"/>
      <c r="Q168" s="122" t="n"/>
      <c r="R168" s="122" t="n"/>
      <c r="S168" s="122" t="n"/>
      <c r="T168" s="3" t="n"/>
      <c r="U168" s="3" t="n"/>
      <c r="V168" s="3" t="n"/>
    </row>
    <row r="169" ht="8" customHeight="1">
      <c r="A169" s="3" t="n"/>
      <c r="B169" s="3" t="n"/>
      <c r="C169" s="3" t="n"/>
      <c r="D169" s="144" t="n"/>
      <c r="E169" s="121" t="n"/>
      <c r="F169" s="122" t="n"/>
      <c r="G169" s="122" t="n"/>
      <c r="H169" s="122" t="n"/>
      <c r="I169" s="122" t="n"/>
      <c r="J169" s="122" t="n"/>
      <c r="K169" s="122" t="n"/>
      <c r="L169" s="122" t="n"/>
      <c r="M169" s="122" t="n"/>
      <c r="N169" s="122" t="n"/>
      <c r="O169" s="122" t="n"/>
      <c r="P169" s="122" t="n"/>
      <c r="Q169" s="122" t="n"/>
      <c r="R169" s="122" t="n"/>
      <c r="S169" s="122" t="n"/>
      <c r="T169" s="3" t="n"/>
      <c r="U169" s="3" t="n"/>
      <c r="V169" s="3" t="n"/>
    </row>
    <row r="170" ht="8" customHeight="1">
      <c r="A170" s="3" t="n"/>
      <c r="B170" s="3" t="n"/>
      <c r="C170" s="3" t="n"/>
      <c r="D170" s="144" t="n"/>
      <c r="E170" s="121" t="n"/>
      <c r="F170" s="122" t="n"/>
      <c r="G170" s="122" t="n"/>
      <c r="H170" s="122" t="n"/>
      <c r="I170" s="122" t="n"/>
      <c r="J170" s="122" t="n"/>
      <c r="K170" s="122" t="n"/>
      <c r="L170" s="122" t="n"/>
      <c r="M170" s="122" t="n"/>
      <c r="N170" s="122" t="n"/>
      <c r="O170" s="122" t="n"/>
      <c r="P170" s="122" t="n"/>
      <c r="Q170" s="122" t="n"/>
      <c r="R170" s="122" t="n"/>
      <c r="S170" s="122" t="n"/>
      <c r="T170" s="3" t="n"/>
      <c r="U170" s="3" t="n"/>
      <c r="V170" s="3" t="n"/>
    </row>
    <row r="171" ht="8" customHeight="1">
      <c r="A171" s="3" t="n"/>
      <c r="B171" s="3" t="n"/>
      <c r="C171" s="3" t="n"/>
      <c r="D171" s="144" t="n"/>
      <c r="E171" s="121" t="n"/>
      <c r="F171" s="122" t="n"/>
      <c r="G171" s="122" t="n"/>
      <c r="H171" s="122" t="n"/>
      <c r="I171" s="122" t="n"/>
      <c r="J171" s="122" t="n"/>
      <c r="K171" s="122" t="n"/>
      <c r="L171" s="122" t="n"/>
      <c r="M171" s="122" t="n"/>
      <c r="N171" s="122" t="n"/>
      <c r="O171" s="122" t="n"/>
      <c r="P171" s="122" t="n"/>
      <c r="Q171" s="122" t="n"/>
      <c r="R171" s="122" t="n"/>
      <c r="S171" s="122" t="n"/>
      <c r="T171" s="3" t="n"/>
      <c r="U171" s="3" t="n"/>
      <c r="V171" s="3" t="n"/>
    </row>
    <row r="172" ht="8" customHeight="1">
      <c r="A172" s="3" t="n"/>
      <c r="B172" s="3" t="n"/>
      <c r="C172" s="3" t="n"/>
      <c r="D172" s="144" t="n"/>
      <c r="E172" s="121" t="n"/>
      <c r="F172" s="122" t="n"/>
      <c r="G172" s="122" t="n"/>
      <c r="H172" s="122" t="n"/>
      <c r="I172" s="122" t="n"/>
      <c r="J172" s="122" t="n"/>
      <c r="K172" s="122" t="n"/>
      <c r="L172" s="122" t="n"/>
      <c r="M172" s="122" t="n"/>
      <c r="N172" s="122" t="n"/>
      <c r="O172" s="122" t="n"/>
      <c r="P172" s="122" t="n"/>
      <c r="Q172" s="122" t="n"/>
      <c r="R172" s="122" t="n"/>
      <c r="S172" s="122" t="n"/>
      <c r="T172" s="3" t="n"/>
      <c r="U172" s="3" t="n"/>
      <c r="V172" s="3" t="n"/>
    </row>
    <row r="173" ht="8" customHeight="1">
      <c r="A173" s="3" t="n"/>
      <c r="B173" s="3" t="n"/>
      <c r="C173" s="3" t="n"/>
      <c r="D173" s="144" t="n"/>
      <c r="E173" s="121" t="n"/>
      <c r="F173" s="122" t="n"/>
      <c r="G173" s="122" t="n"/>
      <c r="H173" s="122" t="n"/>
      <c r="I173" s="122" t="n"/>
      <c r="J173" s="122" t="n"/>
      <c r="K173" s="122" t="n"/>
      <c r="L173" s="122" t="n"/>
      <c r="M173" s="122" t="n"/>
      <c r="N173" s="122" t="n"/>
      <c r="O173" s="122" t="n"/>
      <c r="P173" s="122" t="n"/>
      <c r="Q173" s="122" t="n"/>
      <c r="R173" s="122" t="n"/>
      <c r="S173" s="122" t="n"/>
      <c r="T173" s="3" t="n"/>
      <c r="U173" s="3" t="n"/>
      <c r="V173" s="3" t="n"/>
    </row>
    <row r="174" ht="8" customHeight="1">
      <c r="A174" s="3" t="n"/>
      <c r="B174" s="3" t="n"/>
      <c r="C174" s="3" t="n"/>
      <c r="D174" s="144" t="n"/>
      <c r="E174" s="121" t="n"/>
      <c r="F174" s="122" t="n"/>
      <c r="G174" s="122" t="n"/>
      <c r="H174" s="122" t="n"/>
      <c r="I174" s="122" t="n"/>
      <c r="J174" s="122" t="n"/>
      <c r="K174" s="122" t="n"/>
      <c r="L174" s="122" t="n"/>
      <c r="M174" s="122" t="n"/>
      <c r="N174" s="122" t="n"/>
      <c r="O174" s="122" t="n"/>
      <c r="P174" s="122" t="n"/>
      <c r="Q174" s="122" t="n"/>
      <c r="R174" s="122" t="n"/>
      <c r="S174" s="122" t="n"/>
      <c r="T174" s="3" t="n"/>
      <c r="U174" s="3" t="n"/>
      <c r="V174" s="3" t="n"/>
    </row>
    <row r="175" ht="8" customHeight="1">
      <c r="A175" s="3" t="n"/>
      <c r="B175" s="3" t="n"/>
      <c r="C175" s="3" t="n"/>
      <c r="D175" s="144" t="n"/>
      <c r="E175" s="121" t="n"/>
      <c r="F175" s="122" t="n"/>
      <c r="G175" s="122" t="n"/>
      <c r="H175" s="122" t="n"/>
      <c r="I175" s="122" t="n"/>
      <c r="J175" s="122" t="n"/>
      <c r="K175" s="122" t="n"/>
      <c r="L175" s="122" t="n"/>
      <c r="M175" s="122" t="n"/>
      <c r="N175" s="122" t="n"/>
      <c r="O175" s="122" t="n"/>
      <c r="P175" s="122" t="n"/>
      <c r="Q175" s="122" t="n"/>
      <c r="R175" s="122" t="n"/>
      <c r="S175" s="122" t="n"/>
      <c r="T175" s="3" t="n"/>
      <c r="U175" s="3" t="n"/>
      <c r="V175" s="3" t="n"/>
    </row>
    <row r="176" ht="8" customHeight="1">
      <c r="A176" s="3" t="n"/>
      <c r="B176" s="3" t="n"/>
      <c r="C176" s="3" t="n"/>
      <c r="D176" s="144" t="n"/>
      <c r="E176" s="121" t="n"/>
      <c r="F176" s="122" t="n"/>
      <c r="G176" s="122" t="n"/>
      <c r="H176" s="122" t="n"/>
      <c r="I176" s="122" t="n"/>
      <c r="J176" s="122" t="n"/>
      <c r="K176" s="122" t="n"/>
      <c r="L176" s="122" t="n"/>
      <c r="M176" s="122" t="n"/>
      <c r="N176" s="122" t="n"/>
      <c r="O176" s="122" t="n"/>
      <c r="P176" s="122" t="n"/>
      <c r="Q176" s="122" t="n"/>
      <c r="R176" s="122" t="n"/>
      <c r="S176" s="122" t="n"/>
      <c r="T176" s="3" t="n"/>
      <c r="U176" s="3" t="n"/>
      <c r="V176" s="3" t="n"/>
    </row>
    <row r="177" ht="8" customHeight="1">
      <c r="A177" s="3" t="n"/>
      <c r="B177" s="3" t="n"/>
      <c r="C177" s="3" t="n"/>
      <c r="D177" s="144" t="n"/>
      <c r="E177" s="121" t="n"/>
      <c r="F177" s="122" t="n"/>
      <c r="G177" s="122" t="n"/>
      <c r="H177" s="122" t="n"/>
      <c r="I177" s="122" t="n"/>
      <c r="J177" s="122" t="n"/>
      <c r="K177" s="122" t="n"/>
      <c r="L177" s="122" t="n"/>
      <c r="M177" s="122" t="n"/>
      <c r="N177" s="122" t="n"/>
      <c r="O177" s="122" t="n"/>
      <c r="P177" s="122" t="n"/>
      <c r="Q177" s="122" t="n"/>
      <c r="R177" s="122" t="n"/>
      <c r="S177" s="122" t="n"/>
      <c r="T177" s="3" t="n"/>
      <c r="U177" s="3" t="n"/>
      <c r="V177" s="3" t="n"/>
    </row>
    <row r="178" ht="8" customHeight="1">
      <c r="A178" s="3" t="n"/>
      <c r="B178" s="3" t="n"/>
      <c r="C178" s="3" t="n"/>
      <c r="D178" s="144" t="n"/>
      <c r="E178" s="121" t="n"/>
      <c r="F178" s="122" t="n"/>
      <c r="G178" s="122" t="n"/>
      <c r="H178" s="122" t="n"/>
      <c r="I178" s="122" t="n"/>
      <c r="J178" s="122" t="n"/>
      <c r="K178" s="122" t="n"/>
      <c r="L178" s="122" t="n"/>
      <c r="M178" s="122" t="n"/>
      <c r="N178" s="122" t="n"/>
      <c r="O178" s="122" t="n"/>
      <c r="P178" s="122" t="n"/>
      <c r="Q178" s="122" t="n"/>
      <c r="R178" s="122" t="n"/>
      <c r="S178" s="122" t="n"/>
      <c r="T178" s="3" t="n"/>
      <c r="U178" s="3" t="n"/>
      <c r="V178" s="3" t="n"/>
    </row>
    <row r="179" ht="8" customHeight="1">
      <c r="A179" s="3" t="n"/>
      <c r="B179" s="3" t="n"/>
      <c r="C179" s="3" t="n"/>
      <c r="D179" s="144" t="n"/>
      <c r="E179" s="121" t="n"/>
      <c r="F179" s="122" t="n"/>
      <c r="G179" s="122" t="n"/>
      <c r="H179" s="122" t="n"/>
      <c r="I179" s="122" t="n"/>
      <c r="J179" s="122" t="n"/>
      <c r="K179" s="122" t="n"/>
      <c r="L179" s="122" t="n"/>
      <c r="M179" s="122" t="n"/>
      <c r="N179" s="122" t="n"/>
      <c r="O179" s="122" t="n"/>
      <c r="P179" s="122" t="n"/>
      <c r="Q179" s="122" t="n"/>
      <c r="R179" s="122" t="n"/>
      <c r="S179" s="122" t="n"/>
      <c r="T179" s="3" t="n"/>
      <c r="U179" s="3" t="n"/>
      <c r="V179" s="3" t="n"/>
    </row>
    <row r="180" ht="8" customHeight="1">
      <c r="A180" s="3" t="n"/>
      <c r="B180" s="3" t="n"/>
      <c r="C180" s="3" t="n"/>
      <c r="D180" s="144" t="n"/>
      <c r="E180" s="121" t="n"/>
      <c r="F180" s="122" t="n"/>
      <c r="G180" s="122" t="n"/>
      <c r="H180" s="122" t="n"/>
      <c r="I180" s="122" t="n"/>
      <c r="J180" s="122" t="n"/>
      <c r="K180" s="122" t="n"/>
      <c r="L180" s="122" t="n"/>
      <c r="M180" s="122" t="n"/>
      <c r="N180" s="122" t="n"/>
      <c r="O180" s="122" t="n"/>
      <c r="P180" s="122" t="n"/>
      <c r="Q180" s="122" t="n"/>
      <c r="R180" s="122" t="n"/>
      <c r="S180" s="122" t="n"/>
      <c r="T180" s="3" t="n"/>
      <c r="U180" s="3" t="n"/>
      <c r="V180" s="3" t="n"/>
    </row>
    <row r="181" ht="8" customHeight="1">
      <c r="A181" s="3" t="n"/>
      <c r="B181" s="3" t="n"/>
      <c r="C181" s="3" t="n"/>
      <c r="D181" s="144" t="n"/>
      <c r="E181" s="121" t="n"/>
      <c r="F181" s="122" t="n"/>
      <c r="G181" s="122" t="n"/>
      <c r="H181" s="122" t="n"/>
      <c r="I181" s="122" t="n"/>
      <c r="J181" s="122" t="n"/>
      <c r="K181" s="122" t="n"/>
      <c r="L181" s="122" t="n"/>
      <c r="M181" s="122" t="n"/>
      <c r="N181" s="122" t="n"/>
      <c r="O181" s="122" t="n"/>
      <c r="P181" s="122" t="n"/>
      <c r="Q181" s="122" t="n"/>
      <c r="R181" s="122" t="n"/>
      <c r="S181" s="122" t="n"/>
      <c r="T181" s="3" t="n"/>
      <c r="U181" s="3" t="n"/>
      <c r="V181" s="3" t="n"/>
    </row>
    <row r="182" ht="8" customHeight="1">
      <c r="A182" s="3" t="n"/>
      <c r="B182" s="3" t="n"/>
      <c r="C182" s="3" t="n"/>
      <c r="D182" s="144" t="n"/>
      <c r="E182" s="121" t="n"/>
      <c r="F182" s="122" t="n"/>
      <c r="G182" s="122" t="n"/>
      <c r="H182" s="122" t="n"/>
      <c r="I182" s="122" t="n"/>
      <c r="J182" s="122" t="n"/>
      <c r="K182" s="122" t="n"/>
      <c r="L182" s="122" t="n"/>
      <c r="M182" s="122" t="n"/>
      <c r="N182" s="122" t="n"/>
      <c r="O182" s="122" t="n"/>
      <c r="P182" s="122" t="n"/>
      <c r="Q182" s="122" t="n"/>
      <c r="R182" s="122" t="n"/>
      <c r="S182" s="122" t="n"/>
      <c r="T182" s="3" t="n"/>
      <c r="U182" s="3" t="n"/>
      <c r="V182" s="3" t="n"/>
    </row>
    <row r="183" ht="8" customHeight="1">
      <c r="A183" s="3" t="n"/>
      <c r="B183" s="3" t="n"/>
      <c r="C183" s="3" t="n"/>
      <c r="D183" s="144" t="n"/>
      <c r="E183" s="121" t="n"/>
      <c r="F183" s="122" t="n"/>
      <c r="G183" s="122" t="n"/>
      <c r="H183" s="122" t="n"/>
      <c r="I183" s="122" t="n"/>
      <c r="J183" s="122" t="n"/>
      <c r="K183" s="122" t="n"/>
      <c r="L183" s="122" t="n"/>
      <c r="M183" s="122" t="n"/>
      <c r="N183" s="122" t="n"/>
      <c r="O183" s="122" t="n"/>
      <c r="P183" s="122" t="n"/>
      <c r="Q183" s="122" t="n"/>
      <c r="R183" s="122" t="n"/>
      <c r="S183" s="122" t="n"/>
      <c r="T183" s="3" t="n"/>
      <c r="U183" s="3" t="n"/>
      <c r="V183" s="3" t="n"/>
    </row>
    <row r="184" ht="8" customHeight="1">
      <c r="A184" s="3" t="n"/>
      <c r="B184" s="3" t="n"/>
      <c r="C184" s="3" t="n"/>
      <c r="D184" s="144" t="n"/>
      <c r="E184" s="121" t="n"/>
      <c r="F184" s="122" t="n"/>
      <c r="G184" s="122" t="n"/>
      <c r="H184" s="122" t="n"/>
      <c r="I184" s="122" t="n"/>
      <c r="J184" s="122" t="n"/>
      <c r="K184" s="122" t="n"/>
      <c r="L184" s="122" t="n"/>
      <c r="M184" s="122" t="n"/>
      <c r="N184" s="122" t="n"/>
      <c r="O184" s="122" t="n"/>
      <c r="P184" s="122" t="n"/>
      <c r="Q184" s="122" t="n"/>
      <c r="R184" s="122" t="n"/>
      <c r="S184" s="122" t="n"/>
      <c r="T184" s="3" t="n"/>
      <c r="U184" s="3" t="n"/>
      <c r="V184" s="3" t="n"/>
    </row>
    <row r="185" ht="8" customHeight="1">
      <c r="A185" s="3" t="n"/>
      <c r="B185" s="3" t="n"/>
      <c r="C185" s="3" t="n"/>
      <c r="D185" s="144" t="n"/>
      <c r="E185" s="121" t="n"/>
      <c r="F185" s="122" t="n"/>
      <c r="G185" s="122" t="n"/>
      <c r="H185" s="122" t="n"/>
      <c r="I185" s="122" t="n"/>
      <c r="J185" s="122" t="n"/>
      <c r="K185" s="122" t="n"/>
      <c r="L185" s="122" t="n"/>
      <c r="M185" s="122" t="n"/>
      <c r="N185" s="122" t="n"/>
      <c r="O185" s="122" t="n"/>
      <c r="P185" s="122" t="n"/>
      <c r="Q185" s="122" t="n"/>
      <c r="R185" s="122" t="n"/>
      <c r="S185" s="122" t="n"/>
      <c r="T185" s="3" t="n"/>
      <c r="U185" s="3" t="n"/>
      <c r="V185" s="3" t="n"/>
    </row>
    <row r="186" ht="8" customHeight="1">
      <c r="A186" s="3" t="n"/>
      <c r="B186" s="3" t="n"/>
      <c r="C186" s="3" t="n"/>
      <c r="D186" s="144" t="n"/>
      <c r="E186" s="121" t="n"/>
      <c r="F186" s="122" t="n"/>
      <c r="G186" s="122" t="n"/>
      <c r="H186" s="122" t="n"/>
      <c r="I186" s="122" t="n"/>
      <c r="J186" s="122" t="n"/>
      <c r="K186" s="122" t="n"/>
      <c r="L186" s="122" t="n"/>
      <c r="M186" s="122" t="n"/>
      <c r="N186" s="122" t="n"/>
      <c r="O186" s="122" t="n"/>
      <c r="P186" s="122" t="n"/>
      <c r="Q186" s="122" t="n"/>
      <c r="R186" s="122" t="n"/>
      <c r="S186" s="122" t="n"/>
      <c r="T186" s="3" t="n"/>
      <c r="U186" s="3" t="n"/>
      <c r="V186" s="3" t="n"/>
    </row>
    <row r="187" ht="8" customHeight="1">
      <c r="A187" s="3" t="n"/>
      <c r="B187" s="3" t="n"/>
      <c r="C187" s="3" t="n"/>
      <c r="D187" s="144" t="n"/>
      <c r="E187" s="121" t="n"/>
      <c r="F187" s="122" t="n"/>
      <c r="G187" s="122" t="n"/>
      <c r="H187" s="122" t="n"/>
      <c r="I187" s="122" t="n"/>
      <c r="J187" s="122" t="n"/>
      <c r="K187" s="122" t="n"/>
      <c r="L187" s="122" t="n"/>
      <c r="M187" s="122" t="n"/>
      <c r="N187" s="122" t="n"/>
      <c r="O187" s="122" t="n"/>
      <c r="P187" s="122" t="n"/>
      <c r="Q187" s="122" t="n"/>
      <c r="R187" s="122" t="n"/>
      <c r="S187" s="122" t="n"/>
      <c r="T187" s="3" t="n"/>
      <c r="U187" s="3" t="n"/>
      <c r="V187" s="3" t="n"/>
    </row>
    <row r="188" ht="8" customHeight="1">
      <c r="A188" s="3" t="n"/>
      <c r="B188" s="3" t="n"/>
      <c r="C188" s="3" t="n"/>
      <c r="D188" s="144" t="n"/>
      <c r="E188" s="121" t="n"/>
      <c r="F188" s="122" t="n"/>
      <c r="G188" s="122" t="n"/>
      <c r="H188" s="122" t="n"/>
      <c r="I188" s="122" t="n"/>
      <c r="J188" s="122" t="n"/>
      <c r="K188" s="122" t="n"/>
      <c r="L188" s="122" t="n"/>
      <c r="M188" s="122" t="n"/>
      <c r="N188" s="122" t="n"/>
      <c r="O188" s="122" t="n"/>
      <c r="P188" s="122" t="n"/>
      <c r="Q188" s="122" t="n"/>
      <c r="R188" s="122" t="n"/>
      <c r="S188" s="122" t="n"/>
      <c r="T188" s="3" t="n"/>
      <c r="U188" s="3" t="n"/>
      <c r="V188" s="3" t="n"/>
    </row>
    <row r="189" ht="8" customHeight="1">
      <c r="A189" s="3" t="n"/>
      <c r="B189" s="3" t="n"/>
      <c r="C189" s="3" t="n"/>
      <c r="D189" s="144" t="n"/>
      <c r="E189" s="121" t="n"/>
      <c r="F189" s="122" t="n"/>
      <c r="G189" s="122" t="n"/>
      <c r="H189" s="122" t="n"/>
      <c r="I189" s="122" t="n"/>
      <c r="J189" s="122" t="n"/>
      <c r="K189" s="122" t="n"/>
      <c r="L189" s="122" t="n"/>
      <c r="M189" s="122" t="n"/>
      <c r="N189" s="122" t="n"/>
      <c r="O189" s="122" t="n"/>
      <c r="P189" s="122" t="n"/>
      <c r="Q189" s="122" t="n"/>
      <c r="R189" s="122" t="n"/>
      <c r="S189" s="122" t="n"/>
      <c r="T189" s="3" t="n"/>
      <c r="U189" s="3" t="n"/>
      <c r="V189" s="3" t="n"/>
    </row>
    <row r="190" ht="8" customHeight="1">
      <c r="A190" s="3" t="n"/>
      <c r="B190" s="3" t="n"/>
      <c r="C190" s="3" t="n"/>
      <c r="D190" s="144" t="n"/>
      <c r="E190" s="121" t="n"/>
      <c r="F190" s="122" t="n"/>
      <c r="G190" s="122" t="n"/>
      <c r="H190" s="122" t="n"/>
      <c r="I190" s="122" t="n"/>
      <c r="J190" s="122" t="n"/>
      <c r="K190" s="122" t="n"/>
      <c r="L190" s="122" t="n"/>
      <c r="M190" s="122" t="n"/>
      <c r="N190" s="122" t="n"/>
      <c r="O190" s="122" t="n"/>
      <c r="P190" s="122" t="n"/>
      <c r="Q190" s="122" t="n"/>
      <c r="R190" s="122" t="n"/>
      <c r="S190" s="122" t="n"/>
      <c r="T190" s="3" t="n"/>
      <c r="U190" s="3" t="n"/>
      <c r="V190" s="3" t="n"/>
    </row>
    <row r="191" ht="8" customHeight="1">
      <c r="A191" s="3" t="n"/>
      <c r="B191" s="3" t="n"/>
      <c r="C191" s="3" t="n"/>
      <c r="D191" s="144" t="n"/>
      <c r="E191" s="121" t="n"/>
      <c r="F191" s="122" t="n"/>
      <c r="G191" s="122" t="n"/>
      <c r="H191" s="122" t="n"/>
      <c r="I191" s="122" t="n"/>
      <c r="J191" s="122" t="n"/>
      <c r="K191" s="122" t="n"/>
      <c r="L191" s="122" t="n"/>
      <c r="M191" s="122" t="n"/>
      <c r="N191" s="122" t="n"/>
      <c r="O191" s="122" t="n"/>
      <c r="P191" s="122" t="n"/>
      <c r="Q191" s="122" t="n"/>
      <c r="R191" s="122" t="n"/>
      <c r="S191" s="122" t="n"/>
      <c r="T191" s="3" t="n"/>
      <c r="U191" s="3" t="n"/>
      <c r="V191" s="3" t="n"/>
    </row>
    <row r="192" ht="8" customHeight="1">
      <c r="A192" s="3" t="n"/>
      <c r="B192" s="3" t="n"/>
      <c r="C192" s="3" t="n"/>
      <c r="D192" s="144" t="n"/>
      <c r="E192" s="121" t="n"/>
      <c r="F192" s="122" t="n"/>
      <c r="G192" s="122" t="n"/>
      <c r="H192" s="122" t="n"/>
      <c r="I192" s="122" t="n"/>
      <c r="J192" s="122" t="n"/>
      <c r="K192" s="122" t="n"/>
      <c r="L192" s="122" t="n"/>
      <c r="M192" s="122" t="n"/>
      <c r="N192" s="122" t="n"/>
      <c r="O192" s="122" t="n"/>
      <c r="P192" s="122" t="n"/>
      <c r="Q192" s="122" t="n"/>
      <c r="R192" s="122" t="n"/>
      <c r="S192" s="122" t="n"/>
      <c r="T192" s="3" t="n"/>
      <c r="U192" s="3" t="n"/>
      <c r="V192" s="3" t="n"/>
    </row>
    <row r="193" ht="8" customHeight="1">
      <c r="A193" s="3" t="n"/>
      <c r="B193" s="3" t="n"/>
      <c r="C193" s="3" t="n"/>
      <c r="D193" s="144" t="n"/>
      <c r="E193" s="121" t="n"/>
      <c r="F193" s="122" t="n"/>
      <c r="G193" s="122" t="n"/>
      <c r="H193" s="122" t="n"/>
      <c r="I193" s="122" t="n"/>
      <c r="J193" s="122" t="n"/>
      <c r="K193" s="122" t="n"/>
      <c r="L193" s="122" t="n"/>
      <c r="M193" s="122" t="n"/>
      <c r="N193" s="122" t="n"/>
      <c r="O193" s="122" t="n"/>
      <c r="P193" s="122" t="n"/>
      <c r="Q193" s="122" t="n"/>
      <c r="R193" s="122" t="n"/>
      <c r="S193" s="122" t="n"/>
      <c r="T193" s="3" t="n"/>
      <c r="U193" s="3" t="n"/>
      <c r="V193" s="3" t="n"/>
    </row>
    <row r="194" ht="8" customHeight="1">
      <c r="A194" s="3" t="n"/>
      <c r="B194" s="3" t="n"/>
      <c r="C194" s="3" t="n"/>
      <c r="D194" s="144" t="n"/>
      <c r="E194" s="121" t="n"/>
      <c r="F194" s="122" t="n"/>
      <c r="G194" s="122" t="n"/>
      <c r="H194" s="122" t="n"/>
      <c r="I194" s="122" t="n"/>
      <c r="J194" s="122" t="n"/>
      <c r="K194" s="122" t="n"/>
      <c r="L194" s="122" t="n"/>
      <c r="M194" s="122" t="n"/>
      <c r="N194" s="122" t="n"/>
      <c r="O194" s="122" t="n"/>
      <c r="P194" s="122" t="n"/>
      <c r="Q194" s="122" t="n"/>
      <c r="R194" s="122" t="n"/>
      <c r="S194" s="122" t="n"/>
      <c r="T194" s="3" t="n"/>
      <c r="U194" s="3" t="n"/>
      <c r="V194" s="3" t="n"/>
    </row>
    <row r="195" ht="8" customHeight="1">
      <c r="A195" s="3" t="n"/>
      <c r="B195" s="3" t="n"/>
      <c r="C195" s="3" t="n"/>
      <c r="D195" s="144" t="n"/>
      <c r="E195" s="121" t="n"/>
      <c r="F195" s="122" t="n"/>
      <c r="G195" s="122" t="n"/>
      <c r="H195" s="122" t="n"/>
      <c r="I195" s="122" t="n"/>
      <c r="J195" s="122" t="n"/>
      <c r="K195" s="122" t="n"/>
      <c r="L195" s="122" t="n"/>
      <c r="M195" s="122" t="n"/>
      <c r="N195" s="122" t="n"/>
      <c r="O195" s="122" t="n"/>
      <c r="P195" s="122" t="n"/>
      <c r="Q195" s="122" t="n"/>
      <c r="R195" s="122" t="n"/>
      <c r="S195" s="122" t="n"/>
      <c r="T195" s="3" t="n"/>
      <c r="U195" s="3" t="n"/>
      <c r="V195" s="3" t="n"/>
    </row>
    <row r="196" ht="8" customHeight="1">
      <c r="A196" s="3" t="n"/>
      <c r="B196" s="3" t="n"/>
      <c r="C196" s="3" t="n"/>
      <c r="D196" s="144" t="n"/>
      <c r="E196" s="121" t="n"/>
      <c r="F196" s="122" t="n"/>
      <c r="G196" s="122" t="n"/>
      <c r="H196" s="122" t="n"/>
      <c r="I196" s="122" t="n"/>
      <c r="J196" s="122" t="n"/>
      <c r="K196" s="122" t="n"/>
      <c r="L196" s="122" t="n"/>
      <c r="M196" s="122" t="n"/>
      <c r="N196" s="122" t="n"/>
      <c r="O196" s="122" t="n"/>
      <c r="P196" s="122" t="n"/>
      <c r="Q196" s="122" t="n"/>
      <c r="R196" s="122" t="n"/>
      <c r="S196" s="122" t="n"/>
      <c r="T196" s="3" t="n"/>
      <c r="U196" s="3" t="n"/>
      <c r="V196" s="3" t="n"/>
    </row>
    <row r="197" ht="8" customHeight="1">
      <c r="A197" s="3" t="n"/>
      <c r="B197" s="3" t="n"/>
      <c r="C197" s="3" t="n"/>
      <c r="D197" s="144" t="n"/>
      <c r="E197" s="121" t="n"/>
      <c r="F197" s="122" t="n"/>
      <c r="G197" s="122" t="n"/>
      <c r="H197" s="122" t="n"/>
      <c r="I197" s="122" t="n"/>
      <c r="J197" s="122" t="n"/>
      <c r="K197" s="122" t="n"/>
      <c r="L197" s="122" t="n"/>
      <c r="M197" s="122" t="n"/>
      <c r="N197" s="122" t="n"/>
      <c r="O197" s="122" t="n"/>
      <c r="P197" s="122" t="n"/>
      <c r="Q197" s="122" t="n"/>
      <c r="R197" s="122" t="n"/>
      <c r="S197" s="122" t="n"/>
      <c r="T197" s="3" t="n"/>
      <c r="U197" s="3" t="n"/>
      <c r="V197" s="3" t="n"/>
    </row>
    <row r="198" ht="8" customHeight="1">
      <c r="A198" s="3" t="n"/>
      <c r="B198" s="3" t="n"/>
      <c r="C198" s="3" t="n"/>
      <c r="D198" s="144" t="n"/>
      <c r="E198" s="121" t="n"/>
      <c r="F198" s="122" t="n"/>
      <c r="G198" s="122" t="n"/>
      <c r="H198" s="122" t="n"/>
      <c r="I198" s="122" t="n"/>
      <c r="J198" s="122" t="n"/>
      <c r="K198" s="122" t="n"/>
      <c r="L198" s="122" t="n"/>
      <c r="M198" s="122" t="n"/>
      <c r="N198" s="122" t="n"/>
      <c r="O198" s="122" t="n"/>
      <c r="P198" s="122" t="n"/>
      <c r="Q198" s="122" t="n"/>
      <c r="R198" s="122" t="n"/>
      <c r="S198" s="122" t="n"/>
      <c r="T198" s="3" t="n"/>
      <c r="U198" s="3" t="n"/>
      <c r="V198" s="3" t="n"/>
    </row>
    <row r="199" ht="8" customHeight="1">
      <c r="A199" s="3" t="n"/>
      <c r="B199" s="3" t="n"/>
      <c r="C199" s="3" t="n"/>
      <c r="D199" s="144" t="n"/>
      <c r="E199" s="121" t="n"/>
      <c r="F199" s="122" t="n"/>
      <c r="G199" s="122" t="n"/>
      <c r="H199" s="122" t="n"/>
      <c r="I199" s="122" t="n"/>
      <c r="J199" s="122" t="n"/>
      <c r="K199" s="122" t="n"/>
      <c r="L199" s="122" t="n"/>
      <c r="M199" s="122" t="n"/>
      <c r="N199" s="122" t="n"/>
      <c r="O199" s="122" t="n"/>
      <c r="P199" s="122" t="n"/>
      <c r="Q199" s="122" t="n"/>
      <c r="R199" s="122" t="n"/>
      <c r="S199" s="122" t="n"/>
      <c r="T199" s="3" t="n"/>
      <c r="U199" s="3" t="n"/>
      <c r="V199" s="3" t="n"/>
    </row>
    <row r="200" ht="8" customHeight="1">
      <c r="A200" s="3" t="n"/>
      <c r="B200" s="3" t="n"/>
      <c r="C200" s="3" t="n"/>
      <c r="D200" s="144" t="n"/>
      <c r="E200" s="121" t="n"/>
      <c r="F200" s="122" t="n"/>
      <c r="G200" s="122" t="n"/>
      <c r="H200" s="122" t="n"/>
      <c r="I200" s="122" t="n"/>
      <c r="J200" s="122" t="n"/>
      <c r="K200" s="122" t="n"/>
      <c r="L200" s="122" t="n"/>
      <c r="M200" s="122" t="n"/>
      <c r="N200" s="122" t="n"/>
      <c r="O200" s="122" t="n"/>
      <c r="P200" s="122" t="n"/>
      <c r="Q200" s="122" t="n"/>
      <c r="R200" s="122" t="n"/>
      <c r="S200" s="122" t="n"/>
      <c r="T200" s="3" t="n"/>
      <c r="U200" s="3" t="n"/>
      <c r="V200" s="3"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activeCell="A1" sqref="A1"/>
    </sheetView>
  </sheetViews>
  <sheetFormatPr baseColWidth="8" defaultRowHeight="15"/>
  <cols>
    <col width="8.75" customWidth="1" min="1" max="1"/>
    <col width="21.25" customWidth="1" min="2" max="2"/>
    <col width="39.38000106811523" customWidth="1" min="3" max="3"/>
    <col width="39.38000106811523" customWidth="1" min="4" max="4"/>
    <col width="40" customWidth="1" min="5" max="5"/>
    <col width="17.5" customWidth="1" min="6" max="6"/>
    <col width="41.25" customWidth="1" min="7" max="7"/>
    <col width="28.75" customWidth="1" min="8" max="8"/>
  </cols>
  <sheetData>
    <row r="1" ht="28" customHeight="1">
      <c r="A1" s="5" t="inlineStr">
        <is>
          <t>Data needed to close the baseline</t>
        </is>
      </c>
      <c r="B1" s="3" t="n"/>
      <c r="C1" s="3" t="n"/>
      <c r="D1" s="3" t="n"/>
      <c r="E1" s="3" t="n"/>
      <c r="F1" s="3" t="n"/>
      <c r="G1" s="3" t="n"/>
      <c r="H1" s="3" t="n"/>
    </row>
    <row r="2" ht="25" customHeight="1">
      <c r="A2" s="6" t="inlineStr">
        <is>
          <t>Available does not mean approved • Owners follow the existing workplan; review triggers are explicit.</t>
        </is>
      </c>
      <c r="B2" s="3" t="n"/>
      <c r="C2" s="3" t="n"/>
      <c r="D2" s="3" t="n"/>
      <c r="E2" s="3" t="n"/>
      <c r="F2" s="3" t="n"/>
      <c r="G2" s="3" t="n"/>
      <c r="H2" s="3" t="n"/>
    </row>
    <row r="3" ht="12" customHeight="1">
      <c r="A3" s="3" t="n"/>
      <c r="B3" s="3" t="n"/>
      <c r="C3" s="3" t="n"/>
      <c r="D3" s="3" t="n"/>
      <c r="E3" s="3" t="n"/>
      <c r="F3" s="3" t="n"/>
      <c r="G3" s="3" t="n"/>
      <c r="H3" s="3" t="n"/>
    </row>
    <row r="4" ht="42" customHeight="1">
      <c r="A4" s="61" t="inlineStr">
        <is>
          <t>ID</t>
        </is>
      </c>
      <c r="B4" s="61" t="inlineStr">
        <is>
          <t>Demand component</t>
        </is>
      </c>
      <c r="C4" s="61" t="inlineStr">
        <is>
          <t>Available evidence</t>
        </is>
      </c>
      <c r="D4" s="61" t="inlineStr">
        <is>
          <t>Missing input / decision</t>
        </is>
      </c>
      <c r="E4" s="61" t="inlineStr">
        <is>
          <t>Retrieval starting point</t>
        </is>
      </c>
      <c r="F4" s="61" t="inlineStr">
        <is>
          <t>Owner / reviewer</t>
        </is>
      </c>
      <c r="G4" s="61" t="inlineStr">
        <is>
          <t>Next action</t>
        </is>
      </c>
      <c r="H4" s="61" t="inlineStr">
        <is>
          <t>Closure trigger</t>
        </is>
      </c>
    </row>
    <row r="5" ht="100" customHeight="1">
      <c r="A5" s="3" t="inlineStr">
        <is>
          <t>G01</t>
        </is>
      </c>
      <c r="B5" s="3" t="inlineStr">
        <is>
          <t>National fuel balance</t>
        </is>
      </c>
      <c r="C5" s="3" t="inlineStr">
        <is>
          <t>2022–24 reported sales; department comparison through 2023. Current engine output available.</t>
        </is>
      </c>
      <c r="D5" s="3" t="inlineStr">
        <is>
          <t>2024 source choice; 2025–26 sales; grades, bunkers and segment scope.</t>
        </is>
      </c>
      <c r="E5" s="3" t="inlineStr">
        <is>
          <t>FIASA editions and department originals; matched production/trade/stocks.</t>
        </is>
      </c>
      <c r="F5" s="3" t="inlineStr">
        <is>
          <t>Manish / Nigel</t>
        </is>
      </c>
      <c r="G5" s="3" t="inlineStr">
        <is>
          <t>Reconcile source/product/period; record adopted national baseline.</t>
        </is>
      </c>
      <c r="H5" s="3" t="inlineStr">
        <is>
          <t>Before calibration or forecast acceptance.</t>
        </is>
      </c>
    </row>
    <row r="6" ht="100" customHeight="1">
      <c r="A6" s="3" t="inlineStr">
        <is>
          <t>G02</t>
        </is>
      </c>
      <c r="B6" s="3" t="inlineStr">
        <is>
          <t>Fleet and new sales</t>
        </is>
      </c>
      <c r="C6" s="3" t="inlineStr">
        <is>
          <t>2022–25 sales and December fleet snapshots; June 2026 stock separately.</t>
        </is>
      </c>
      <c r="D6" s="3" t="inlineStr">
        <is>
          <t>Opening stock by age/fuel/drivetrain; class mapping; survival and mileage.</t>
        </is>
      </c>
      <c r="E6" s="3" t="inlineStr">
        <is>
          <t>eNaTIS, NAAMSA and registration/odometer evidence.</t>
        </is>
      </c>
      <c r="F6" s="3" t="inlineStr">
        <is>
          <t>Manish / Nigel</t>
        </is>
      </c>
      <c r="G6" s="3" t="inlineStr">
        <is>
          <t>Reconcile observed stock with engine backfill; fit sales and survival.</t>
        </is>
      </c>
      <c r="H6" s="3" t="inlineStr">
        <is>
          <t>Before vehicle baseline adoption.</t>
        </is>
      </c>
    </row>
    <row r="7" ht="100" customHeight="1">
      <c r="A7" s="3" t="inlineStr">
        <is>
          <t>G03</t>
        </is>
      </c>
      <c r="B7" s="3" t="inlineStr">
        <is>
          <t>Passenger electrification</t>
        </is>
      </c>
      <c r="C7" s="3" t="inlineStr">
        <is>
          <t>2022–25 BEV/PHEV/HEV sales for total market.</t>
        </is>
      </c>
      <c r="D7" s="3" t="inlineStr">
        <is>
          <t>Passenger-specific denominators, fleet stock and hybrid fuel savings.</t>
        </is>
      </c>
      <c r="E7" s="3" t="inlineStr">
        <is>
          <t>NAAMSA class/drivetrain data and vehicle-use evidence.</t>
        </is>
      </c>
      <c r="F7" s="3" t="inlineStr">
        <is>
          <t>Manish / Nigel</t>
        </is>
      </c>
      <c r="G7" s="3" t="inlineStr">
        <is>
          <t>Separate sales shares from fleet shares; calibrate electric distance and fuel use.</t>
        </is>
      </c>
      <c r="H7" s="3" t="inlineStr">
        <is>
          <t>Before passenger H/M/L integration.</t>
        </is>
      </c>
    </row>
    <row r="8" ht="100" customHeight="1">
      <c r="A8" s="3" t="inlineStr">
        <is>
          <t>G04</t>
        </is>
      </c>
      <c r="B8" s="3" t="inlineStr">
        <is>
          <t>Road freight activity</t>
        </is>
      </c>
      <c r="C8" s="3" t="inlineStr">
        <is>
          <t>Annual road/rail payload through 2025; Jan–Jul 2026 separately; truck sales/stock.</t>
        </is>
      </c>
      <c r="D8" s="3" t="inlineStr">
        <is>
          <t>Tonne-km, distance, payload, empty running; LCV freight scope.</t>
        </is>
      </c>
      <c r="E8" s="3" t="inlineStr">
        <is>
          <t>Stats SA transport evidence, operators, corridor studies and fleet records.</t>
        </is>
      </c>
      <c r="F8" s="3" t="inlineStr">
        <is>
          <t>Manish / Nigel</t>
        </is>
      </c>
      <c r="G8" s="3" t="inlineStr">
        <is>
          <t>Choose fleet or tonne-km method; retain other as cross-check.</t>
        </is>
      </c>
      <c r="H8" s="3" t="inlineStr">
        <is>
          <t>Before freight fuel calibration.</t>
        </is>
      </c>
    </row>
    <row r="9" ht="100" customHeight="1">
      <c r="A9" s="3" t="inlineStr">
        <is>
          <t>G05</t>
        </is>
      </c>
      <c r="B9" s="3" t="inlineStr">
        <is>
          <t>Freight electrification</t>
        </is>
      </c>
      <c r="C9" s="3" t="inlineStr">
        <is>
          <t>Current generic EV curve is visible. No truck-specific observations established.</t>
        </is>
      </c>
      <c r="D9" s="3" t="inlineStr">
        <is>
          <t>Truck BEV/hybrid sales/stock by duty cycle; utilisation and charging rollout.</t>
        </is>
      </c>
      <c r="E9" s="3" t="inlineStr">
        <is>
          <t>Commercial-vehicle registrations/sales; depot and fleet operating evidence.</t>
        </is>
      </c>
      <c r="F9" s="3" t="inlineStr">
        <is>
          <t>Manish / Nigel</t>
        </is>
      </c>
      <c r="G9" s="3" t="inlineStr">
        <is>
          <t>Define delivery/regional/long-haul paths and coherent work shares.</t>
        </is>
      </c>
      <c r="H9" s="3" t="inlineStr">
        <is>
          <t>Before freight H/M/L integration.</t>
        </is>
      </c>
    </row>
    <row r="10" ht="100" customHeight="1">
      <c r="A10" s="3" t="inlineStr">
        <is>
          <t>G06</t>
        </is>
      </c>
      <c r="B10" s="3" t="inlineStr">
        <is>
          <t>Manufacturing</t>
        </is>
      </c>
      <c r="C10" s="3" t="inlineStr">
        <is>
          <t>2022–25 production/GVA; Jan–Jul 2026 production. 2021 industry parent available.</t>
        </is>
      </c>
      <c r="D10" s="3" t="inlineStr">
        <is>
          <t>Manufacturing-only fuel baseline, subsector intensity and electrification.</t>
        </is>
      </c>
      <c r="E10" s="3" t="inlineStr">
        <is>
          <t>2021 energy-balance subsectors; newer department/industry fuel records.</t>
        </is>
      </c>
      <c r="F10" s="3" t="inlineStr">
        <is>
          <t>Manish / Nigel</t>
        </is>
      </c>
      <c r="G10" s="3" t="inlineStr">
        <is>
          <t>Reconcile manufacturing children and unspecified industry; do not assign industry parent to manufacturing.</t>
        </is>
      </c>
      <c r="H10" s="3" t="inlineStr">
        <is>
          <t>Before splitting industrial engine bucket.</t>
        </is>
      </c>
    </row>
    <row r="11" ht="100" customHeight="1">
      <c r="A11" s="3" t="inlineStr">
        <is>
          <t>G07</t>
        </is>
      </c>
      <c r="B11" s="3" t="inlineStr">
        <is>
          <t>Mining and construction</t>
        </is>
      </c>
      <c r="C11" s="3" t="inlineStr">
        <is>
          <t>2021 mining/construction diesel anchors; 2022–25 mining activity, Jan–Jul 2026 index.</t>
        </is>
      </c>
      <c r="D11" s="3" t="inlineStr">
        <is>
          <t>2022+ fuel use; site/commodity split; off-road/public-road boundary; electrification.</t>
        </is>
      </c>
      <c r="E11" s="3" t="inlineStr">
        <is>
          <t>Mine/site fuel and production records; energy balance; industry disclosures.</t>
        </is>
      </c>
      <c r="F11" s="3" t="inlineStr">
        <is>
          <t>Manish / Nigel</t>
        </is>
      </c>
      <c r="G11" s="3" t="inlineStr">
        <is>
          <t>Match baseline/activity; preserve construction and unresolved remainder.</t>
        </is>
      </c>
      <c r="H11" s="3" t="inlineStr">
        <is>
          <t>Before separate mining forecast.</t>
        </is>
      </c>
    </row>
    <row r="12" ht="100" customHeight="1">
      <c r="A12" s="3" t="inlineStr">
        <is>
          <t>G08</t>
        </is>
      </c>
      <c r="B12" s="3" t="inlineStr">
        <is>
          <t>Agriculture</t>
        </is>
      </c>
      <c r="C12" s="3" t="inlineStr">
        <is>
          <t>2021 agriculture/forestry fuel anchor; 2022–25 real GVA.</t>
        </is>
      </c>
      <c r="D12" s="3" t="inlineStr">
        <is>
          <t>Newer fuel baseline; crop/area/irrigation activity; intensity and scope.</t>
        </is>
      </c>
      <c r="E12" s="3" t="inlineStr">
        <is>
          <t>Department energy balance, agricultural statistics and sector fuel-use records.</t>
        </is>
      </c>
      <c r="F12" s="3" t="inlineStr">
        <is>
          <t>Manish / Nigel</t>
        </is>
      </c>
      <c r="G12" s="3" t="inlineStr">
        <is>
          <t>Choose activity proxy and base year; reconcile forestry/fishing/backup coverage.</t>
        </is>
      </c>
      <c r="H12" s="3" t="inlineStr">
        <is>
          <t>Before replacing held GDP proxy.</t>
        </is>
      </c>
    </row>
    <row r="13" ht="100" customHeight="1">
      <c r="A13" s="3" t="inlineStr">
        <is>
          <t>G09</t>
        </is>
      </c>
      <c r="B13" s="3" t="inlineStr">
        <is>
          <t>Generation</t>
        </is>
      </c>
      <c r="C13" s="3" t="inlineStr">
        <is>
          <t>Eskom/IPP FY generation through March 2026; current engine inputs/output.</t>
        </is>
      </c>
      <c r="D13" s="3" t="inlineStr">
        <is>
          <t>Matched fuel burn, calendar-year bridge; private-backup coverage.</t>
        </is>
      </c>
      <c r="E13" s="3" t="inlineStr">
        <is>
          <t>Eskom/IPP operating and fuel records; private generator evidence.</t>
        </is>
      </c>
      <c r="F13" s="3" t="inlineStr">
        <is>
          <t>Manish / Henry</t>
        </is>
      </c>
      <c r="G13" s="3" t="inlineStr">
        <is>
          <t>Reconcile GWh-to-litres and sector overlaps; count private backup once.</t>
        </is>
      </c>
      <c r="H13" s="3" t="inlineStr">
        <is>
          <t>Before generation calibration.</t>
        </is>
      </c>
    </row>
    <row r="14" ht="100" customHeight="1">
      <c r="A14" s="3" t="inlineStr">
        <is>
          <t>G10</t>
        </is>
      </c>
      <c r="B14" s="3" t="inlineStr">
        <is>
          <t>Aviation</t>
        </is>
      </c>
      <c r="C14" s="3" t="inlineStr">
        <is>
          <t>2022–25 ACSA departures; Jan–Aug 2026 separately; jet sales through 2024.</t>
        </is>
      </c>
      <c r="D14" s="3" t="inlineStr">
        <is>
          <t>Aircraft/route mix, cargo/non-ACSA coverage and matched jet uplift.</t>
        </is>
      </c>
      <c r="E14" s="3" t="inlineStr">
        <is>
          <t>ACSA and airport/airline fuel delivery records.</t>
        </is>
      </c>
      <c r="F14" s="3" t="inlineStr">
        <is>
          <t>Manish / Nigel</t>
        </is>
      </c>
      <c r="G14" s="3" t="inlineStr">
        <is>
          <t>Fit proposed movement model and back-test; preserve source coverage.</t>
        </is>
      </c>
      <c r="H14" s="3" t="inlineStr">
        <is>
          <t>Before jet driver replacement.</t>
        </is>
      </c>
    </row>
    <row r="15" ht="100" customHeight="1">
      <c r="A15" s="3" t="inlineStr">
        <is>
          <t>G11</t>
        </is>
      </c>
      <c r="B15" s="3" t="inlineStr">
        <is>
          <t>Provincial demand</t>
        </is>
      </c>
      <c r="C15" s="3" t="inlineStr">
        <is>
          <t>2022 full-year sales; Q1 2023 separately. National difference retained.</t>
        </is>
      </c>
      <c r="D15" s="3" t="inlineStr">
        <is>
          <t>2023+ complete provincial fuel sales and sector-specific distribution.</t>
        </is>
      </c>
      <c r="E15" s="3" t="inlineStr">
        <is>
          <t>Department district/provincial workbooks and provincial/site activity sources.</t>
        </is>
      </c>
      <c r="F15" s="3" t="inlineStr">
        <is>
          <t>Manish / Nigel</t>
        </is>
      </c>
      <c r="G15" s="3" t="inlineStr">
        <is>
          <t>Resolve completeness; choose allocation or local calculation by segment.</t>
        </is>
      </c>
      <c r="H15" s="3" t="inlineStr">
        <is>
          <t>Before provincial forecast acceptance.</t>
        </is>
      </c>
    </row>
    <row r="16" ht="100" customHeight="1">
      <c r="A16" s="3" t="inlineStr">
        <is>
          <t>G12</t>
        </is>
      </c>
      <c r="B16" s="3" t="inlineStr">
        <is>
          <t>Marine and other coverage</t>
        </is>
      </c>
      <c r="C16" s="3" t="inlineStr">
        <is>
          <t>Current provisional port assumptions; national fuel-oil comparison.</t>
        </is>
      </c>
      <c r="D16" s="3" t="inlineStr">
        <is>
          <t>Observed port/product bunker volumes, activity, 2022–23 model history and coverage.</t>
        </is>
      </c>
      <c r="E16" s="3" t="inlineStr">
        <is>
          <t>Port/operator bunker data; marine market and energy-balance sources.</t>
        </is>
      </c>
      <c r="F16" s="3" t="inlineStr">
        <is>
          <t>Manish / Nigel</t>
        </is>
      </c>
      <c r="G16" s="3" t="inlineStr">
        <is>
          <t>Separate domestic/international bunkers; reconcile diesel grades and national sales.</t>
        </is>
      </c>
      <c r="H16" s="3" t="inlineStr">
        <is>
          <t>Before marine baseline adoption.</t>
        </is>
      </c>
    </row>
    <row r="17" ht="100" customHeight="1">
      <c r="A17" s="3" t="inlineStr">
        <is>
          <t>G13</t>
        </is>
      </c>
      <c r="B17" s="3" t="inlineStr">
        <is>
          <t>Ranges and annual forecast paths</t>
        </is>
      </c>
      <c r="C17" s="3" t="inlineStr">
        <is>
          <t>Existing proposed H/M/L endpoints retained on last tab.</t>
        </is>
      </c>
      <c r="D17" s="3" t="inlineStr">
        <is>
          <t>Agreed medium/reference, annual paths and compatible provincial/sector settings.</t>
        </is>
      </c>
      <c r="E17" s="3" t="inlineStr">
        <is>
          <t>Review existing lever design against the above baseline evidence.</t>
        </is>
      </c>
      <c r="F17" s="3" t="inlineStr">
        <is>
          <t>Nigel / Henry</t>
        </is>
      </c>
      <c r="G17" s="3" t="inlineStr">
        <is>
          <t>Select input ranges and scenario combinations; record acceptance and implementation.</t>
        </is>
      </c>
      <c r="H17" s="3" t="inlineStr">
        <is>
          <t>Before forecast integration.</t>
        </is>
      </c>
    </row>
    <row r="18" ht="100" customHeight="1">
      <c r="A18" s="3" t="n"/>
      <c r="B18" s="3" t="n"/>
      <c r="C18" s="3" t="n"/>
      <c r="D18" s="3" t="n"/>
      <c r="E18" s="3" t="n"/>
      <c r="F18" s="3" t="n"/>
      <c r="G18" s="3" t="n"/>
      <c r="H18" s="3"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376"/>
  <sheetViews>
    <sheetView showGridLines="0" workbookViewId="0">
      <pane ySplit="4" topLeftCell="A5" activePane="bottomLeft" state="frozen"/>
      <selection activeCell="A1" sqref="A1"/>
    </sheetView>
  </sheetViews>
  <sheetFormatPr baseColWidth="8" defaultRowHeight="15"/>
  <cols>
    <col width="8.75" customWidth="1" min="1" max="1"/>
    <col width="16.25" customWidth="1" min="2" max="2"/>
    <col width="8.75" customWidth="1" min="3" max="3"/>
    <col width="31.25" customWidth="1" min="4" max="4"/>
    <col width="107.5" customWidth="1" min="5" max="5"/>
  </cols>
  <sheetData>
    <row r="1" ht="25" customHeight="1">
      <c r="A1" s="5" t="inlineStr">
        <is>
          <t>Detailed notes</t>
        </is>
      </c>
      <c r="B1" s="3" t="n"/>
      <c r="C1" s="3" t="n"/>
      <c r="D1" s="3" t="n"/>
      <c r="E1" s="3" t="n"/>
    </row>
    <row r="2" ht="21" customHeight="1">
      <c r="A2" s="6" t="inlineStr">
        <is>
          <t>Full descriptions retained from the working tables. Match the N-reference or sheet/cell below.</t>
        </is>
      </c>
      <c r="B2" s="3" t="n"/>
      <c r="C2" s="3" t="n"/>
      <c r="D2" s="3" t="n"/>
      <c r="E2" s="3" t="n"/>
    </row>
    <row r="3" ht="8" customHeight="1">
      <c r="A3" s="3" t="n"/>
      <c r="B3" s="3" t="n"/>
      <c r="C3" s="3" t="n"/>
      <c r="D3" s="3" t="n"/>
      <c r="E3" s="3" t="n"/>
    </row>
    <row r="4" ht="28" customHeight="1">
      <c r="A4" s="113" t="inlineStr">
        <is>
          <t>Reference</t>
        </is>
      </c>
      <c r="B4" s="113" t="inlineStr">
        <is>
          <t>Sheet</t>
        </is>
      </c>
      <c r="C4" s="113" t="inlineStr">
        <is>
          <t>Cell</t>
        </is>
      </c>
      <c r="D4" s="113" t="inlineStr">
        <is>
          <t>Driver / output</t>
        </is>
      </c>
      <c r="E4" s="113" t="inlineStr">
        <is>
          <t>Full text</t>
        </is>
      </c>
    </row>
    <row r="5" ht="42" customHeight="1">
      <c r="A5" s="3" t="inlineStr">
        <is>
          <t>N001</t>
        </is>
      </c>
      <c r="B5" s="3" t="inlineStr">
        <is>
          <t>Baseline</t>
        </is>
      </c>
      <c r="C5" s="3" t="inlineStr">
        <is>
          <t>E6</t>
        </is>
      </c>
      <c r="D5" s="3" t="inlineStr">
        <is>
          <t>Selected historical petrol sales</t>
        </is>
      </c>
      <c r="E5" s="3" t="inlineStr">
        <is>
          <t>Choice is explicit by year on Source selection. Alternative series remain on Evidence.</t>
        </is>
      </c>
    </row>
    <row r="6" ht="42" customHeight="1">
      <c r="A6" s="3" t="inlineStr">
        <is>
          <t>N002</t>
        </is>
      </c>
      <c r="B6" s="3" t="inlineStr">
        <is>
          <t>Baseline</t>
        </is>
      </c>
      <c r="C6" s="3" t="inlineStr">
        <is>
          <t>E7</t>
        </is>
      </c>
      <c r="D6" s="3" t="inlineStr">
        <is>
          <t>Historical source / status</t>
        </is>
      </c>
      <c r="E6" s="3" t="inlineStr">
        <is>
          <t>Source name shown when available; no automatic fallback if selected evidence is missing.</t>
        </is>
      </c>
    </row>
    <row r="7" ht="42" customHeight="1">
      <c r="A7" s="3" t="inlineStr">
        <is>
          <t>N003</t>
        </is>
      </c>
      <c r="B7" s="3" t="inlineStr">
        <is>
          <t>Baseline</t>
        </is>
      </c>
      <c r="C7" s="3" t="inlineStr">
        <is>
          <t>E8</t>
        </is>
      </c>
      <c r="D7" s="3" t="inlineStr">
        <is>
          <t>Current model road petrol</t>
        </is>
      </c>
      <c r="E7" s="3" t="inlineStr">
        <is>
          <t>Passenger + LCV petrol_95. Reported sales cover petrol grades; scope bridge remains open.</t>
        </is>
      </c>
    </row>
    <row r="8" ht="42" customHeight="1">
      <c r="A8" s="3" t="inlineStr">
        <is>
          <t>N004</t>
        </is>
      </c>
      <c r="B8" s="3" t="inlineStr">
        <is>
          <t>Baseline</t>
        </is>
      </c>
      <c r="C8" s="3" t="inlineStr">
        <is>
          <t>E9</t>
        </is>
      </c>
      <c r="D8" s="3" t="inlineStr">
        <is>
          <t>Model less selected historical sales</t>
        </is>
      </c>
      <c r="E8" s="3" t="inlineStr">
        <is>
          <t>Working discrepancy, not a calibrated residual or extra segment.</t>
        </is>
      </c>
    </row>
    <row r="9" ht="42" customHeight="1">
      <c r="A9" s="3" t="inlineStr">
        <is>
          <t>N005</t>
        </is>
      </c>
      <c r="B9" s="3" t="inlineStr">
        <is>
          <t>Baseline</t>
        </is>
      </c>
      <c r="C9" s="3" t="inlineStr">
        <is>
          <t>E12</t>
        </is>
      </c>
      <c r="D9" s="3" t="inlineStr">
        <is>
          <t>Selected historical diesel sales</t>
        </is>
      </c>
      <c r="E9" s="3" t="inlineStr">
        <is>
          <t>Choice is explicit by year on Source selection. Alternative series remain on Evidence.</t>
        </is>
      </c>
    </row>
    <row r="10" ht="42" customHeight="1">
      <c r="A10" s="3" t="inlineStr">
        <is>
          <t>N006</t>
        </is>
      </c>
      <c r="B10" s="3" t="inlineStr">
        <is>
          <t>Baseline</t>
        </is>
      </c>
      <c r="C10" s="3" t="inlineStr">
        <is>
          <t>E13</t>
        </is>
      </c>
      <c r="D10" s="3" t="inlineStr">
        <is>
          <t>Historical source / status</t>
        </is>
      </c>
      <c r="E10" s="3" t="inlineStr">
        <is>
          <t>Source name shown when available; no automatic fallback if selected evidence is missing.</t>
        </is>
      </c>
    </row>
    <row r="11" ht="42" customHeight="1">
      <c r="A11" s="3" t="inlineStr">
        <is>
          <t>N007</t>
        </is>
      </c>
      <c r="B11" s="3" t="inlineStr">
        <is>
          <t>Baseline</t>
        </is>
      </c>
      <c r="C11" s="3" t="inlineStr">
        <is>
          <t>E14</t>
        </is>
      </c>
      <c r="D11" s="3" t="inlineStr">
        <is>
          <t>All road diesel</t>
        </is>
      </c>
      <c r="E11" s="3" t="inlineStr">
        <is>
          <t>Passenger + LCV + HCV diesel; HCV alone is not national freight demand.</t>
        </is>
      </c>
    </row>
    <row r="12" ht="42" customHeight="1">
      <c r="A12" s="3" t="inlineStr">
        <is>
          <t>N008</t>
        </is>
      </c>
      <c r="B12" s="3" t="inlineStr">
        <is>
          <t>Baseline</t>
        </is>
      </c>
      <c r="C12" s="3" t="inlineStr">
        <is>
          <t>E15</t>
        </is>
      </c>
      <c r="D12" s="3" t="inlineStr">
        <is>
          <t>Grid OCGT diesel</t>
        </is>
      </c>
      <c r="E12" s="3" t="inlineStr">
        <is>
          <t>Operational plant set and current load-factor path. Private backup is not separately calibrated.</t>
        </is>
      </c>
    </row>
    <row r="13" ht="42" customHeight="1">
      <c r="A13" s="3" t="inlineStr">
        <is>
          <t>N009</t>
        </is>
      </c>
      <c r="B13" s="3" t="inlineStr">
        <is>
          <t>Baseline</t>
        </is>
      </c>
      <c r="C13" s="3" t="inlineStr">
        <is>
          <t>E16</t>
        </is>
      </c>
      <c r="D13" s="3" t="inlineStr">
        <is>
          <t>Agricultural diesel</t>
        </is>
      </c>
      <c r="E13" s="3" t="inlineStr">
        <is>
          <t>Held GDP/capita method with provisional 2024 baseline.</t>
        </is>
      </c>
    </row>
    <row r="14" ht="42" customHeight="1">
      <c r="A14" s="3" t="inlineStr">
        <is>
          <t>N010</t>
        </is>
      </c>
      <c r="B14" s="3" t="inlineStr">
        <is>
          <t>Baseline</t>
        </is>
      </c>
      <c r="C14" s="3" t="inlineStr">
        <is>
          <t>E17</t>
        </is>
      </c>
      <c r="D14" s="3" t="inlineStr">
        <is>
          <t>Combined industrial diesel</t>
        </is>
      </c>
      <c r="E14" s="3" t="inlineStr">
        <is>
          <t>Manufacturing + mining + construction remain ONE aggregate engine bucket.</t>
        </is>
      </c>
    </row>
    <row r="15" ht="42" customHeight="1">
      <c r="A15" s="3" t="inlineStr">
        <is>
          <t>N011</t>
        </is>
      </c>
      <c r="B15" s="3" t="inlineStr">
        <is>
          <t>Baseline</t>
        </is>
      </c>
      <c r="C15" s="3" t="inlineStr">
        <is>
          <t>E18</t>
        </is>
      </c>
      <c r="D15" s="3" t="inlineStr">
        <is>
          <t>Marine diesel</t>
        </is>
      </c>
      <c r="E15" s="3" t="inlineStr">
        <is>
          <t>Marine diesel_500ppm. No 2022-23 backcast provided by current marine engine.</t>
        </is>
      </c>
    </row>
    <row r="16" ht="42" customHeight="1">
      <c r="A16" s="3" t="inlineStr">
        <is>
          <t>N012</t>
        </is>
      </c>
      <c r="B16" s="3" t="inlineStr">
        <is>
          <t>Baseline</t>
        </is>
      </c>
      <c r="C16" s="3" t="inlineStr">
        <is>
          <t>E19</t>
        </is>
      </c>
      <c r="D16" s="3" t="inlineStr">
        <is>
          <t>Total model diesel</t>
        </is>
      </c>
      <c r="E16" s="3" t="inlineStr">
        <is>
          <t>Sum rows 14-18 once. Includes marine diesel; comparator bunker/grade scope unresolved.</t>
        </is>
      </c>
    </row>
    <row r="17" ht="42" customHeight="1">
      <c r="A17" s="3" t="inlineStr">
        <is>
          <t>N013</t>
        </is>
      </c>
      <c r="B17" s="3" t="inlineStr">
        <is>
          <t>Baseline</t>
        </is>
      </c>
      <c r="C17" s="3" t="inlineStr">
        <is>
          <t>E20</t>
        </is>
      </c>
      <c r="D17" s="3" t="inlineStr">
        <is>
          <t>Model less selected historical sales</t>
        </is>
      </c>
      <c r="E17" s="3" t="inlineStr">
        <is>
          <t>Difference is a diagnostic, not evidence of additional measured demand.</t>
        </is>
      </c>
    </row>
    <row r="18" ht="42" customHeight="1">
      <c r="A18" s="3" t="inlineStr">
        <is>
          <t>N014</t>
        </is>
      </c>
      <c r="B18" s="3" t="inlineStr">
        <is>
          <t>Baseline</t>
        </is>
      </c>
      <c r="C18" s="3" t="inlineStr">
        <is>
          <t>E21</t>
        </is>
      </c>
      <c r="D18" s="3" t="inlineStr">
        <is>
          <t>Manufacturing-only baseline</t>
        </is>
      </c>
      <c r="E18" s="3" t="inlineStr">
        <is>
          <t>Contained within the combined industrial model. Not added again.</t>
        </is>
      </c>
    </row>
    <row r="19" ht="42" customHeight="1">
      <c r="A19" s="3" t="inlineStr">
        <is>
          <t>N015</t>
        </is>
      </c>
      <c r="B19" s="3" t="inlineStr">
        <is>
          <t>Baseline</t>
        </is>
      </c>
      <c r="C19" s="3" t="inlineStr">
        <is>
          <t>U21</t>
        </is>
      </c>
      <c r="D19" s="3" t="inlineStr">
        <is>
          <t>Manufacturing-only baseline</t>
        </is>
      </c>
      <c r="E19" s="3" t="inlineStr">
        <is>
          <t>https://github.com/Africa-International-Advisors/liquid_fuels_model/blob/8c69f8333192483f19cd80911cb90fcd0943eb6b/assumptions/2026/timeseries/energy_balance_department.csv</t>
        </is>
      </c>
    </row>
    <row r="20" ht="42" customHeight="1">
      <c r="A20" s="3" t="inlineStr">
        <is>
          <t>N016</t>
        </is>
      </c>
      <c r="B20" s="3" t="inlineStr">
        <is>
          <t>Baseline</t>
        </is>
      </c>
      <c r="C20" s="3" t="inlineStr">
        <is>
          <t>E22</t>
        </is>
      </c>
      <c r="D20" s="3" t="inlineStr">
        <is>
          <t>Mining-only baseline</t>
        </is>
      </c>
      <c r="E20" s="3" t="inlineStr">
        <is>
          <t>D is a 2021 source anchor in million litres, NOT a 2022+ observation. Not added again.</t>
        </is>
      </c>
    </row>
    <row r="21" ht="42" customHeight="1">
      <c r="A21" s="3" t="inlineStr">
        <is>
          <t>N017</t>
        </is>
      </c>
      <c r="B21" s="3" t="inlineStr">
        <is>
          <t>Baseline</t>
        </is>
      </c>
      <c r="C21" s="3" t="inlineStr">
        <is>
          <t>U22</t>
        </is>
      </c>
      <c r="D21" s="3" t="inlineStr">
        <is>
          <t>Mining-only baseline</t>
        </is>
      </c>
      <c r="E21" s="3" t="inlineStr">
        <is>
          <t>https://github.com/Africa-International-Advisors/liquid_fuels_model/blob/8c69f8333192483f19cd80911cb90fcd0943eb6b/assumptions/2026/timeseries/energy_balance_department.csv</t>
        </is>
      </c>
    </row>
    <row r="22" ht="42" customHeight="1">
      <c r="A22" s="3" t="inlineStr">
        <is>
          <t>N018</t>
        </is>
      </c>
      <c r="B22" s="3" t="inlineStr">
        <is>
          <t>Baseline</t>
        </is>
      </c>
      <c r="C22" s="3" t="inlineStr">
        <is>
          <t>E23</t>
        </is>
      </c>
      <c r="D22" s="3" t="inlineStr">
        <is>
          <t>Private backup / other diesel</t>
        </is>
      </c>
      <c r="E22" s="3" t="inlineStr">
        <is>
          <t>No extra quantity assumed. Determine what is already embedded in sectors.</t>
        </is>
      </c>
    </row>
    <row r="23" ht="42" customHeight="1">
      <c r="A23" s="3" t="inlineStr">
        <is>
          <t>N019</t>
        </is>
      </c>
      <c r="B23" s="3" t="inlineStr">
        <is>
          <t>Baseline</t>
        </is>
      </c>
      <c r="C23" s="3" t="inlineStr">
        <is>
          <t>E26</t>
        </is>
      </c>
      <c r="D23" s="3" t="inlineStr">
        <is>
          <t>Selected historical jet sales</t>
        </is>
      </c>
      <c r="E23" s="3" t="inlineStr">
        <is>
          <t>Choice is explicit by year on Source selection. Alternative series remain on Evidence.</t>
        </is>
      </c>
    </row>
    <row r="24" ht="42" customHeight="1">
      <c r="A24" s="3" t="inlineStr">
        <is>
          <t>N020</t>
        </is>
      </c>
      <c r="B24" s="3" t="inlineStr">
        <is>
          <t>Baseline</t>
        </is>
      </c>
      <c r="C24" s="3" t="inlineStr">
        <is>
          <t>E27</t>
        </is>
      </c>
      <c r="D24" s="3" t="inlineStr">
        <is>
          <t>Historical source / status</t>
        </is>
      </c>
      <c r="E24" s="3" t="inlineStr">
        <is>
          <t>Source name shown when available; no automatic fallback if selected evidence is missing.</t>
        </is>
      </c>
    </row>
    <row r="25" ht="42" customHeight="1">
      <c r="A25" s="3" t="inlineStr">
        <is>
          <t>N021</t>
        </is>
      </c>
      <c r="B25" s="3" t="inlineStr">
        <is>
          <t>Baseline</t>
        </is>
      </c>
      <c r="C25" s="3" t="inlineStr">
        <is>
          <t>E28</t>
        </is>
      </c>
      <c r="D25" s="3" t="inlineStr">
        <is>
          <t>Current model jet</t>
        </is>
      </c>
      <c r="E25" s="3" t="inlineStr">
        <is>
          <t>Legacy GDP/capita and passenger regression; movement-driver proposal not integrated.</t>
        </is>
      </c>
    </row>
    <row r="26" ht="42" customHeight="1">
      <c r="A26" s="3" t="inlineStr">
        <is>
          <t>N022</t>
        </is>
      </c>
      <c r="B26" s="3" t="inlineStr">
        <is>
          <t>Baseline</t>
        </is>
      </c>
      <c r="C26" s="3" t="inlineStr">
        <is>
          <t>E29</t>
        </is>
      </c>
      <c r="D26" s="3" t="inlineStr">
        <is>
          <t>Model less selected historical sales</t>
        </is>
      </c>
      <c r="E26" s="3" t="inlineStr">
        <is>
          <t>Scope/reconciliation diagnostic.</t>
        </is>
      </c>
    </row>
    <row r="27" ht="42" customHeight="1">
      <c r="A27" s="3" t="inlineStr">
        <is>
          <t>N023</t>
        </is>
      </c>
      <c r="B27" s="3" t="inlineStr">
        <is>
          <t>Baseline</t>
        </is>
      </c>
      <c r="C27" s="3" t="inlineStr">
        <is>
          <t>E32</t>
        </is>
      </c>
      <c r="D27" s="3" t="inlineStr">
        <is>
          <t>Selected historical fuel oil sales</t>
        </is>
      </c>
      <c r="E27" s="3" t="inlineStr">
        <is>
          <t>Choice is explicit by year on Source selection. Alternative series remain on Evidence.</t>
        </is>
      </c>
    </row>
    <row r="28" ht="42" customHeight="1">
      <c r="A28" s="3" t="inlineStr">
        <is>
          <t>N024</t>
        </is>
      </c>
      <c r="B28" s="3" t="inlineStr">
        <is>
          <t>Baseline</t>
        </is>
      </c>
      <c r="C28" s="3" t="inlineStr">
        <is>
          <t>E33</t>
        </is>
      </c>
      <c r="D28" s="3" t="inlineStr">
        <is>
          <t>Current model marine fuel oil</t>
        </is>
      </c>
      <c r="E28" s="3" t="inlineStr">
        <is>
          <t>Marine component only. Do not treat difference from national fuel oil as a model error without scope bridge.</t>
        </is>
      </c>
    </row>
    <row r="29" ht="42" customHeight="1">
      <c r="A29" s="3" t="inlineStr">
        <is>
          <t>N025</t>
        </is>
      </c>
      <c r="B29" s="3" t="inlineStr">
        <is>
          <t>Baseline</t>
        </is>
      </c>
      <c r="C29" s="3" t="inlineStr">
        <is>
          <t>E35</t>
        </is>
      </c>
      <c r="D29" s="3" t="inlineStr">
        <is>
          <t>Baseline selection</t>
        </is>
      </c>
      <c r="E29" s="3" t="inlineStr">
        <is>
          <t>Historical comparator selection is explicit on Source selection. It does not calibrate the Python engine or approve a medium forecast.</t>
        </is>
      </c>
    </row>
    <row r="30" ht="42" customHeight="1">
      <c r="A30" s="3" t="inlineStr">
        <is>
          <t>N026</t>
        </is>
      </c>
      <c r="B30" s="3" t="inlineStr">
        <is>
          <t>Baseline</t>
        </is>
      </c>
      <c r="C30" s="3" t="inlineStr">
        <is>
          <t>E36</t>
        </is>
      </c>
      <c r="D30" s="3" t="inlineStr">
        <is>
          <t>Latest partial periods</t>
        </is>
      </c>
      <c r="E30" s="3" t="inlineStr">
        <is>
          <t>Full annual observations occupy year columns. A separate D value records latest YTD total, YTD mean or dated stock snapshot where available.</t>
        </is>
      </c>
    </row>
    <row r="31" ht="42" customHeight="1">
      <c r="A31" s="3" t="inlineStr">
        <is>
          <t>N027</t>
        </is>
      </c>
      <c r="B31" s="3" t="inlineStr">
        <is>
          <t>Baseline</t>
        </is>
      </c>
      <c r="C31" s="3" t="inlineStr">
        <is>
          <t>E37</t>
        </is>
      </c>
      <c r="D31" s="3" t="inlineStr">
        <is>
          <t>Run provenance</t>
        </is>
      </c>
      <c r="E31" s="3" t="inlineStr">
        <is>
          <t>Commit 8c69f8333192483f19cd80911cb90fcd0943eb6b; vintage 2026; high_demand; 2026-10-07T10:29:14.203830+00:00</t>
        </is>
      </c>
    </row>
    <row r="32" ht="42" customHeight="1">
      <c r="A32" s="3" t="inlineStr">
        <is>
          <t>N028</t>
        </is>
      </c>
      <c r="B32" s="3" t="inlineStr">
        <is>
          <t>Baseline</t>
        </is>
      </c>
      <c r="C32" s="3" t="inlineStr">
        <is>
          <t>U37</t>
        </is>
      </c>
      <c r="D32" s="3" t="inlineStr">
        <is>
          <t>Run provenance</t>
        </is>
      </c>
      <c r="E32" s="3" t="inlineStr">
        <is>
          <t>https://github.com/Africa-International-Advisors/liquid_fuels_model/blob/8c69f8333192483f19cd80911cb90fcd0943eb6b/GATE_CHECKLIST.md</t>
        </is>
      </c>
    </row>
    <row r="33" ht="42" customHeight="1">
      <c r="A33" s="3" t="inlineStr">
        <is>
          <t>N029</t>
        </is>
      </c>
      <c r="B33" s="3" t="inlineStr">
        <is>
          <t>Petrol</t>
        </is>
      </c>
      <c r="C33" s="3" t="inlineStr">
        <is>
          <t>E14</t>
        </is>
      </c>
      <c r="D33" s="3" t="inlineStr">
        <is>
          <t>New-cohort efficiency gain</t>
        </is>
      </c>
      <c r="E33" s="3" t="inlineStr">
        <is>
          <t>Applied cumulatively to new cohorts; older cohorts retain their entry efficiency.</t>
        </is>
      </c>
    </row>
    <row r="34" ht="42" customHeight="1">
      <c r="A34" s="3" t="inlineStr">
        <is>
          <t>N030</t>
        </is>
      </c>
      <c r="B34" s="3" t="inlineStr">
        <is>
          <t>Petrol</t>
        </is>
      </c>
      <c r="C34" s="3" t="inlineStr">
        <is>
          <t>E18</t>
        </is>
      </c>
      <c r="D34" s="3" t="inlineStr">
        <is>
          <t>Passenger petrol fleet</t>
        </is>
      </c>
      <c r="E34" s="3" t="inlineStr">
        <is>
          <t>Cohort stock from engine diagnostics. Opening stock is backfilled, not a verified registration total.</t>
        </is>
      </c>
    </row>
    <row r="35" ht="42" customHeight="1">
      <c r="A35" s="3" t="inlineStr">
        <is>
          <t>N031</t>
        </is>
      </c>
      <c r="B35" s="3" t="inlineStr">
        <is>
          <t>Petrol</t>
        </is>
      </c>
      <c r="C35" s="3" t="inlineStr">
        <is>
          <t>E26</t>
        </is>
      </c>
      <c r="D35" s="3" t="inlineStr">
        <is>
          <t>New passenger sales / BEV share</t>
        </is>
      </c>
      <c r="E35" s="3" t="inlineStr">
        <is>
          <t>New sales evidence is now in rows 35-41. Class-specific adoption remains missing.</t>
        </is>
      </c>
    </row>
    <row r="36" ht="42" customHeight="1">
      <c r="A36" s="3" t="inlineStr">
        <is>
          <t>N032</t>
        </is>
      </c>
      <c r="B36" s="3" t="inlineStr">
        <is>
          <t>Petrol</t>
        </is>
      </c>
      <c r="C36" s="3" t="inlineStr">
        <is>
          <t>E27</t>
        </is>
      </c>
      <c r="D36" s="3" t="inlineStr">
        <is>
          <t>Verified opening fleet</t>
        </is>
      </c>
      <c r="E36" s="3" t="inlineStr">
        <is>
          <t>All-drivetrain stock is in row 36. Petrol-only opening fleet and age distribution remain unresolved.</t>
        </is>
      </c>
    </row>
    <row r="37" ht="42" customHeight="1">
      <c r="A37" s="3" t="inlineStr">
        <is>
          <t>N033</t>
        </is>
      </c>
      <c r="B37" s="3" t="inlineStr">
        <is>
          <t>Petrol</t>
        </is>
      </c>
      <c r="C37" s="3" t="inlineStr">
        <is>
          <t>E28</t>
        </is>
      </c>
      <c r="D37" s="3" t="inlineStr">
        <is>
          <t>Reported total petrol sales</t>
        </is>
      </c>
      <c r="E37" s="3" t="inlineStr">
        <is>
          <t>FIASA staged reported sales; latest edition selected by existing extract. 2024 revisions unresolved; not verified consumption.</t>
        </is>
      </c>
    </row>
    <row r="38" ht="42" customHeight="1">
      <c r="A38" s="3" t="inlineStr">
        <is>
          <t>N034</t>
        </is>
      </c>
      <c r="B38" s="3" t="inlineStr">
        <is>
          <t>Petrol</t>
        </is>
      </c>
      <c r="C38" s="3" t="inlineStr">
        <is>
          <t>T28</t>
        </is>
      </c>
      <c r="D38" s="3" t="inlineStr">
        <is>
          <t>Reported total petrol sales</t>
        </is>
      </c>
      <c r="E38" s="3" t="inlineStr">
        <is>
          <t>Unreviewed source extract; annual cells contain complete periods only.</t>
        </is>
      </c>
    </row>
    <row r="39" ht="42" customHeight="1">
      <c r="A39" s="3" t="inlineStr">
        <is>
          <t>N035</t>
        </is>
      </c>
      <c r="B39" s="3" t="inlineStr">
        <is>
          <t>Petrol</t>
        </is>
      </c>
      <c r="C39" s="3" t="inlineStr">
        <is>
          <t>V28</t>
        </is>
      </c>
      <c r="D39" s="3" t="inlineStr">
        <is>
          <t>Reported total petrol sales</t>
        </is>
      </c>
      <c r="E39" s="3" t="inlineStr">
        <is>
          <t>All-product comparator; compare with road total, not just passenger demand.</t>
        </is>
      </c>
    </row>
    <row r="40" ht="42" customHeight="1">
      <c r="A40" s="3" t="inlineStr">
        <is>
          <t>N036</t>
        </is>
      </c>
      <c r="B40" s="3" t="inlineStr">
        <is>
          <t>Petrol</t>
        </is>
      </c>
      <c r="C40" s="3" t="inlineStr">
        <is>
          <t>E30</t>
        </is>
      </c>
      <c r="D40" s="3" t="inlineStr">
        <is>
          <t>Source</t>
        </is>
      </c>
      <c r="E40" s="3" t="inlineStr">
        <is>
          <t>https://github.com/Africa-International-Advisors/liquid_fuels_model/blob/8c69f8333192483f19cd80911cb90fcd0943eb6b/assumptions/2026/vehicles.yaml</t>
        </is>
      </c>
    </row>
    <row r="41" ht="42" customHeight="1">
      <c r="A41" s="3" t="inlineStr">
        <is>
          <t>N037</t>
        </is>
      </c>
      <c r="B41" s="3" t="inlineStr">
        <is>
          <t>Petrol</t>
        </is>
      </c>
      <c r="C41" s="3" t="inlineStr">
        <is>
          <t>E31</t>
        </is>
      </c>
      <c r="D41" s="3" t="inlineStr">
        <is>
          <t>Calculation source</t>
        </is>
      </c>
      <c r="E41" s="3" t="inlineStr">
        <is>
          <t>https://github.com/Africa-International-Advisors/liquid_fuels_model/blob/8c69f8333192483f19cd80911cb90fcd0943eb6b/src/lfm/model/demand/vehicles.py</t>
        </is>
      </c>
    </row>
    <row r="42" ht="42" customHeight="1">
      <c r="A42" s="3" t="inlineStr">
        <is>
          <t>N038</t>
        </is>
      </c>
      <c r="B42" s="3" t="inlineStr">
        <is>
          <t>Petrol</t>
        </is>
      </c>
      <c r="C42" s="3" t="inlineStr">
        <is>
          <t>E32</t>
        </is>
      </c>
      <c r="D42" s="3" t="inlineStr">
        <is>
          <t>Macro / efficiency sources</t>
        </is>
      </c>
      <c r="E42" s="3" t="inlineStr">
        <is>
          <t>https://github.com/Africa-International-Advisors/liquid_fuels_model/blob/8c69f8333192483f19cd80911cb90fcd0943eb6b/assumptions/2026/macro.yaml</t>
        </is>
      </c>
    </row>
    <row r="43" ht="42" customHeight="1">
      <c r="A43" s="3" t="inlineStr">
        <is>
          <t>N039</t>
        </is>
      </c>
      <c r="B43" s="3" t="inlineStr">
        <is>
          <t>Petrol</t>
        </is>
      </c>
      <c r="C43" s="3" t="inlineStr">
        <is>
          <t>E35</t>
        </is>
      </c>
      <c r="D43" s="3" t="inlineStr">
        <is>
          <t>New passenger-car sales</t>
        </is>
      </c>
      <c r="E43" s="3" t="inlineStr">
        <is>
          <t>NAAMSA actual new sales. Published 2026/27 projections excluded from observed rows.</t>
        </is>
      </c>
    </row>
    <row r="44" ht="42" customHeight="1">
      <c r="A44" s="3" t="inlineStr">
        <is>
          <t>N040</t>
        </is>
      </c>
      <c r="B44" s="3" t="inlineStr">
        <is>
          <t>Petrol</t>
        </is>
      </c>
      <c r="C44" s="3" t="inlineStr">
        <is>
          <t>T35</t>
        </is>
      </c>
      <c r="D44" s="3" t="inlineStr">
        <is>
          <t>New passenger-car sales</t>
        </is>
      </c>
      <c r="E44" s="3" t="inlineStr">
        <is>
          <t>Unreviewed source extract; annual cells contain complete periods only.</t>
        </is>
      </c>
    </row>
    <row r="45" ht="42" customHeight="1">
      <c r="A45" s="3" t="inlineStr">
        <is>
          <t>N041</t>
        </is>
      </c>
      <c r="B45" s="3" t="inlineStr">
        <is>
          <t>Petrol</t>
        </is>
      </c>
      <c r="C45" s="3" t="inlineStr">
        <is>
          <t>U35</t>
        </is>
      </c>
      <c r="D45" s="3" t="inlineStr">
        <is>
          <t>New passenger-car sales</t>
        </is>
      </c>
      <c r="E45" s="3" t="inlineStr">
        <is>
          <t>Evidence row 13; assumptions/2026/timeseries/new_vehicle_market_naamsa.csv</t>
        </is>
      </c>
    </row>
    <row r="46" ht="42" customHeight="1">
      <c r="A46" s="3" t="inlineStr">
        <is>
          <t>N042</t>
        </is>
      </c>
      <c r="B46" s="3" t="inlineStr">
        <is>
          <t>Petrol</t>
        </is>
      </c>
      <c r="C46" s="3" t="inlineStr">
        <is>
          <t>V35</t>
        </is>
      </c>
      <c r="D46" s="3" t="inlineStr">
        <is>
          <t>New passenger-car sales</t>
        </is>
      </c>
      <c r="E46" s="3" t="inlineStr">
        <is>
          <t>G02: fit class-specific sales and compare with current regression.</t>
        </is>
      </c>
    </row>
    <row r="47" ht="42" customHeight="1">
      <c r="A47" s="3" t="inlineStr">
        <is>
          <t>N043</t>
        </is>
      </c>
      <c r="B47" s="3" t="inlineStr">
        <is>
          <t>Petrol</t>
        </is>
      </c>
      <c r="C47" s="3" t="inlineStr">
        <is>
          <t>E36</t>
        </is>
      </c>
      <c r="D47" s="3" t="inlineStr">
        <is>
          <t>Registered cars, all drivetrains</t>
        </is>
      </c>
      <c r="E47" s="3" t="inlineStr">
        <is>
          <t>eNaTIS December snapshots; latest June 2026 kept separately. No fuel/drivetrain split. Latest value in D: 2026-06, snapshot.</t>
        </is>
      </c>
    </row>
    <row r="48" ht="42" customHeight="1">
      <c r="A48" s="3" t="inlineStr">
        <is>
          <t>N044</t>
        </is>
      </c>
      <c r="B48" s="3" t="inlineStr">
        <is>
          <t>Petrol</t>
        </is>
      </c>
      <c r="C48" s="3" t="inlineStr">
        <is>
          <t>T36</t>
        </is>
      </c>
      <c r="D48" s="3" t="inlineStr">
        <is>
          <t>Registered cars, all drivetrains</t>
        </is>
      </c>
      <c r="E48" s="3" t="inlineStr">
        <is>
          <t>Unreviewed source extract; annual cells contain complete periods only.</t>
        </is>
      </c>
    </row>
    <row r="49" ht="42" customHeight="1">
      <c r="A49" s="3" t="inlineStr">
        <is>
          <t>N045</t>
        </is>
      </c>
      <c r="B49" s="3" t="inlineStr">
        <is>
          <t>Petrol</t>
        </is>
      </c>
      <c r="C49" s="3" t="inlineStr">
        <is>
          <t>U36</t>
        </is>
      </c>
      <c r="D49" s="3" t="inlineStr">
        <is>
          <t>Registered cars, all drivetrains</t>
        </is>
      </c>
      <c r="E49" s="3" t="inlineStr">
        <is>
          <t>Evidence row 20; assumptions/2026/timeseries/vehicle_population_natis.csv</t>
        </is>
      </c>
    </row>
    <row r="50" ht="42" customHeight="1">
      <c r="A50" s="3" t="inlineStr">
        <is>
          <t>N046</t>
        </is>
      </c>
      <c r="B50" s="3" t="inlineStr">
        <is>
          <t>Petrol</t>
        </is>
      </c>
      <c r="C50" s="3" t="inlineStr">
        <is>
          <t>E37</t>
        </is>
      </c>
      <c r="D50" s="3" t="inlineStr">
        <is>
          <t>BEV new sales - all market</t>
        </is>
      </c>
      <c r="E50" s="3" t="inlineStr">
        <is>
          <t>All-market drivetrain sales; passenger/truck split is not supplied. Do not assign all to passenger or freight.</t>
        </is>
      </c>
    </row>
    <row r="51" ht="42" customHeight="1">
      <c r="A51" s="3" t="inlineStr">
        <is>
          <t>N047</t>
        </is>
      </c>
      <c r="B51" s="3" t="inlineStr">
        <is>
          <t>Petrol</t>
        </is>
      </c>
      <c r="C51" s="3" t="inlineStr">
        <is>
          <t>T37</t>
        </is>
      </c>
      <c r="D51" s="3" t="inlineStr">
        <is>
          <t>BEV new sales - all market</t>
        </is>
      </c>
      <c r="E51" s="3" t="inlineStr">
        <is>
          <t>Unreviewed source extract; annual cells contain complete periods only.</t>
        </is>
      </c>
    </row>
    <row r="52" ht="42" customHeight="1">
      <c r="A52" s="3" t="inlineStr">
        <is>
          <t>N048</t>
        </is>
      </c>
      <c r="B52" s="3" t="inlineStr">
        <is>
          <t>Petrol</t>
        </is>
      </c>
      <c r="C52" s="3" t="inlineStr">
        <is>
          <t>U37</t>
        </is>
      </c>
      <c r="D52" s="3" t="inlineStr">
        <is>
          <t>BEV new sales - all market</t>
        </is>
      </c>
      <c r="E52" s="3" t="inlineStr">
        <is>
          <t>Evidence row 17; assumptions/2026/timeseries/nev_sales_naamsa.csv</t>
        </is>
      </c>
    </row>
    <row r="53" ht="42" customHeight="1">
      <c r="A53" s="3" t="inlineStr">
        <is>
          <t>N049</t>
        </is>
      </c>
      <c r="B53" s="3" t="inlineStr">
        <is>
          <t>Petrol</t>
        </is>
      </c>
      <c r="C53" s="3" t="inlineStr">
        <is>
          <t>V37</t>
        </is>
      </c>
      <c r="D53" s="3" t="inlineStr">
        <is>
          <t>BEV new sales - all market</t>
        </is>
      </c>
      <c r="E53" s="3" t="inlineStr">
        <is>
          <t>G03: class split missing; do not treat as passenger-only or truck uptake.</t>
        </is>
      </c>
    </row>
    <row r="54" ht="42" customHeight="1">
      <c r="A54" s="3" t="inlineStr">
        <is>
          <t>N050</t>
        </is>
      </c>
      <c r="B54" s="3" t="inlineStr">
        <is>
          <t>Petrol</t>
        </is>
      </c>
      <c r="C54" s="3" t="inlineStr">
        <is>
          <t>E38</t>
        </is>
      </c>
      <c r="D54" s="3" t="inlineStr">
        <is>
          <t>PHEV new sales - all market</t>
        </is>
      </c>
      <c r="E54" s="3" t="inlineStr">
        <is>
          <t>All-market drivetrain sales; passenger/truck split is not supplied. Do not assign all to passenger or freight.</t>
        </is>
      </c>
    </row>
    <row r="55" ht="42" customHeight="1">
      <c r="A55" s="3" t="inlineStr">
        <is>
          <t>N051</t>
        </is>
      </c>
      <c r="B55" s="3" t="inlineStr">
        <is>
          <t>Petrol</t>
        </is>
      </c>
      <c r="C55" s="3" t="inlineStr">
        <is>
          <t>T38</t>
        </is>
      </c>
      <c r="D55" s="3" t="inlineStr">
        <is>
          <t>PHEV new sales - all market</t>
        </is>
      </c>
      <c r="E55" s="3" t="inlineStr">
        <is>
          <t>Unreviewed source extract; annual cells contain complete periods only.</t>
        </is>
      </c>
    </row>
    <row r="56" ht="42" customHeight="1">
      <c r="A56" s="3" t="inlineStr">
        <is>
          <t>N052</t>
        </is>
      </c>
      <c r="B56" s="3" t="inlineStr">
        <is>
          <t>Petrol</t>
        </is>
      </c>
      <c r="C56" s="3" t="inlineStr">
        <is>
          <t>U38</t>
        </is>
      </c>
      <c r="D56" s="3" t="inlineStr">
        <is>
          <t>PHEV new sales - all market</t>
        </is>
      </c>
      <c r="E56" s="3" t="inlineStr">
        <is>
          <t>Evidence row 18; assumptions/2026/timeseries/nev_sales_naamsa.csv</t>
        </is>
      </c>
    </row>
    <row r="57" ht="42" customHeight="1">
      <c r="A57" s="3" t="inlineStr">
        <is>
          <t>N053</t>
        </is>
      </c>
      <c r="B57" s="3" t="inlineStr">
        <is>
          <t>Petrol</t>
        </is>
      </c>
      <c r="C57" s="3" t="inlineStr">
        <is>
          <t>E39</t>
        </is>
      </c>
      <c r="D57" s="3" t="inlineStr">
        <is>
          <t>Conventional hybrid new sales</t>
        </is>
      </c>
      <c r="E57" s="3" t="inlineStr">
        <is>
          <t>All-market drivetrain sales; passenger/truck split is not supplied. Do not assign all to passenger or freight.</t>
        </is>
      </c>
    </row>
    <row r="58" ht="42" customHeight="1">
      <c r="A58" s="3" t="inlineStr">
        <is>
          <t>N054</t>
        </is>
      </c>
      <c r="B58" s="3" t="inlineStr">
        <is>
          <t>Petrol</t>
        </is>
      </c>
      <c r="C58" s="3" t="inlineStr">
        <is>
          <t>T39</t>
        </is>
      </c>
      <c r="D58" s="3" t="inlineStr">
        <is>
          <t>Conventional hybrid new sales</t>
        </is>
      </c>
      <c r="E58" s="3" t="inlineStr">
        <is>
          <t>Unreviewed source extract; annual cells contain complete periods only.</t>
        </is>
      </c>
    </row>
    <row r="59" ht="42" customHeight="1">
      <c r="A59" s="3" t="inlineStr">
        <is>
          <t>N055</t>
        </is>
      </c>
      <c r="B59" s="3" t="inlineStr">
        <is>
          <t>Petrol</t>
        </is>
      </c>
      <c r="C59" s="3" t="inlineStr">
        <is>
          <t>U39</t>
        </is>
      </c>
      <c r="D59" s="3" t="inlineStr">
        <is>
          <t>Conventional hybrid new sales</t>
        </is>
      </c>
      <c r="E59" s="3" t="inlineStr">
        <is>
          <t>Evidence row 19; assumptions/2026/timeseries/nev_sales_naamsa.csv</t>
        </is>
      </c>
    </row>
    <row r="60" ht="42" customHeight="1">
      <c r="A60" s="3" t="inlineStr">
        <is>
          <t>N056</t>
        </is>
      </c>
      <c r="B60" s="3" t="inlineStr">
        <is>
          <t>Petrol</t>
        </is>
      </c>
      <c r="C60" s="3" t="inlineStr">
        <is>
          <t>E40</t>
        </is>
      </c>
      <c r="D60" s="3" t="inlineStr">
        <is>
          <t>Total new-vehicle sales</t>
        </is>
      </c>
      <c r="E60" s="3" t="inlineStr">
        <is>
          <t>NAAMSA actual new sales. Published 2026/27 projections excluded from observed rows.</t>
        </is>
      </c>
    </row>
    <row r="61" ht="42" customHeight="1">
      <c r="A61" s="3" t="inlineStr">
        <is>
          <t>N057</t>
        </is>
      </c>
      <c r="B61" s="3" t="inlineStr">
        <is>
          <t>Petrol</t>
        </is>
      </c>
      <c r="C61" s="3" t="inlineStr">
        <is>
          <t>T40</t>
        </is>
      </c>
      <c r="D61" s="3" t="inlineStr">
        <is>
          <t>Total new-vehicle sales</t>
        </is>
      </c>
      <c r="E61" s="3" t="inlineStr">
        <is>
          <t>Unreviewed source extract; annual cells contain complete periods only.</t>
        </is>
      </c>
    </row>
    <row r="62" ht="42" customHeight="1">
      <c r="A62" s="3" t="inlineStr">
        <is>
          <t>N058</t>
        </is>
      </c>
      <c r="B62" s="3" t="inlineStr">
        <is>
          <t>Petrol</t>
        </is>
      </c>
      <c r="C62" s="3" t="inlineStr">
        <is>
          <t>U40</t>
        </is>
      </c>
      <c r="D62" s="3" t="inlineStr">
        <is>
          <t>Total new-vehicle sales</t>
        </is>
      </c>
      <c r="E62" s="3" t="inlineStr">
        <is>
          <t>Evidence row 16; assumptions/2026/timeseries/new_vehicle_market_naamsa.csv</t>
        </is>
      </c>
    </row>
    <row r="63" ht="42" customHeight="1">
      <c r="A63" s="3" t="inlineStr">
        <is>
          <t>N059</t>
        </is>
      </c>
      <c r="B63" s="3" t="inlineStr">
        <is>
          <t>Petrol</t>
        </is>
      </c>
      <c r="C63" s="3" t="inlineStr">
        <is>
          <t>V40</t>
        </is>
      </c>
      <c r="D63" s="3" t="inlineStr">
        <is>
          <t>Total new-vehicle sales</t>
        </is>
      </c>
      <c r="E63" s="3" t="inlineStr">
        <is>
          <t>G02/G03: same-market denominator only; reconcile sales definitions.</t>
        </is>
      </c>
    </row>
    <row r="64" ht="42" customHeight="1">
      <c r="A64" s="3" t="inlineStr">
        <is>
          <t>N060</t>
        </is>
      </c>
      <c r="B64" s="3" t="inlineStr">
        <is>
          <t>Petrol</t>
        </is>
      </c>
      <c r="C64" s="3" t="inlineStr">
        <is>
          <t>U41</t>
        </is>
      </c>
      <c r="D64" s="3" t="inlineStr">
        <is>
          <t>BEV share of total market sales</t>
        </is>
      </c>
      <c r="E64" s="3" t="inlineStr">
        <is>
          <t>https://github.com/Africa-International-Advisors/liquid_fuels_model/blob/8c69f8333192483f19cd80911cb90fcd0943eb6b/assumptions/2026/timeseries/nev_sales_naamsa.csv</t>
        </is>
      </c>
    </row>
    <row r="65" ht="42" customHeight="1">
      <c r="A65" s="3" t="inlineStr">
        <is>
          <t>N061</t>
        </is>
      </c>
      <c r="B65" s="3" t="inlineStr">
        <is>
          <t>Petrol</t>
        </is>
      </c>
      <c r="C65" s="3" t="inlineStr">
        <is>
          <t>E42</t>
        </is>
      </c>
      <c r="D65" s="3" t="inlineStr">
        <is>
          <t>Updated observed GDP per capita</t>
        </is>
      </c>
      <c r="E65" s="3" t="inlineStr">
        <is>
          <t>Stats SA annual actual in staged reporting copy. Sector value added is an activity proxy, not measured fuel use.</t>
        </is>
      </c>
    </row>
    <row r="66" ht="42" customHeight="1">
      <c r="A66" s="3" t="inlineStr">
        <is>
          <t>N062</t>
        </is>
      </c>
      <c r="B66" s="3" t="inlineStr">
        <is>
          <t>Petrol</t>
        </is>
      </c>
      <c r="C66" s="3" t="inlineStr">
        <is>
          <t>T42</t>
        </is>
      </c>
      <c r="D66" s="3" t="inlineStr">
        <is>
          <t>Updated observed GDP per capita</t>
        </is>
      </c>
      <c r="E66" s="3" t="inlineStr">
        <is>
          <t>Unreviewed source extract; annual cells contain complete periods only.</t>
        </is>
      </c>
    </row>
    <row r="67" ht="42" customHeight="1">
      <c r="A67" s="3" t="inlineStr">
        <is>
          <t>N063</t>
        </is>
      </c>
      <c r="B67" s="3" t="inlineStr">
        <is>
          <t>Petrol</t>
        </is>
      </c>
      <c r="C67" s="3" t="inlineStr">
        <is>
          <t>U42</t>
        </is>
      </c>
      <c r="D67" s="3" t="inlineStr">
        <is>
          <t>Updated observed GDP per capita</t>
        </is>
      </c>
      <c r="E67" s="3" t="inlineStr">
        <is>
          <t>Evidence row 25; pptx/story/evidence_2026_10_06/macro_statssa.csv</t>
        </is>
      </c>
    </row>
    <row r="68" ht="42" customHeight="1">
      <c r="A68" s="3" t="inlineStr">
        <is>
          <t>N064</t>
        </is>
      </c>
      <c r="B68" s="3" t="inlineStr">
        <is>
          <t>Freight</t>
        </is>
      </c>
      <c r="C68" s="3" t="inlineStr">
        <is>
          <t>E23</t>
        </is>
      </c>
      <c r="D68" s="3" t="inlineStr">
        <is>
          <t>Road work diverted to rail</t>
        </is>
      </c>
      <c r="E68" s="3" t="inlineStr">
        <is>
          <t>Deduct once. If already reflected in the road activity path, do not deduct again.</t>
        </is>
      </c>
    </row>
    <row r="69" ht="42" customHeight="1">
      <c r="A69" s="3" t="inlineStr">
        <is>
          <t>N065</t>
        </is>
      </c>
      <c r="B69" s="3" t="inlineStr">
        <is>
          <t>Freight</t>
        </is>
      </c>
      <c r="C69" s="3" t="inlineStr">
        <is>
          <t>E25</t>
        </is>
      </c>
      <c r="D69" s="3" t="inlineStr">
        <is>
          <t>Alternative freight demand</t>
        </is>
      </c>
      <c r="E69" s="3" t="inlineStr">
        <is>
          <t>Reference tonne-km × (1 − eligible diversion share) × L/tonne-km / 1,000,000. Not calculated here.</t>
        </is>
      </c>
    </row>
    <row r="70" ht="42" customHeight="1">
      <c r="A70" s="3" t="inlineStr">
        <is>
          <t>N066</t>
        </is>
      </c>
      <c r="B70" s="3" t="inlineStr">
        <is>
          <t>Freight</t>
        </is>
      </c>
      <c r="C70" s="3" t="inlineStr">
        <is>
          <t>E26</t>
        </is>
      </c>
      <c r="D70" s="3" t="inlineStr">
        <is>
          <t>Geographic definition</t>
        </is>
      </c>
      <c r="E70" s="3" t="inlineStr">
        <is>
          <t>Agree fuel sales location versus consumption/corridor. Do not allocate solely by truck registrations.</t>
        </is>
      </c>
    </row>
    <row r="71" ht="42" customHeight="1">
      <c r="A71" s="3" t="inlineStr">
        <is>
          <t>N067</t>
        </is>
      </c>
      <c r="B71" s="3" t="inlineStr">
        <is>
          <t>Freight</t>
        </is>
      </c>
      <c r="C71" s="3" t="inlineStr">
        <is>
          <t>E28</t>
        </is>
      </c>
      <c r="D71" s="3" t="inlineStr">
        <is>
          <t>Source</t>
        </is>
      </c>
      <c r="E71" s="3" t="inlineStr">
        <is>
          <t>https://github.com/Africa-International-Advisors/liquid_fuels_model/blob/8c69f8333192483f19cd80911cb90fcd0943eb6b/assumptions/2026/vehicles.yaml</t>
        </is>
      </c>
    </row>
    <row r="72" ht="42" customHeight="1">
      <c r="A72" s="3" t="inlineStr">
        <is>
          <t>N068</t>
        </is>
      </c>
      <c r="B72" s="3" t="inlineStr">
        <is>
          <t>Freight</t>
        </is>
      </c>
      <c r="C72" s="3" t="inlineStr">
        <is>
          <t>E31</t>
        </is>
      </c>
      <c r="D72" s="3" t="inlineStr">
        <is>
          <t>Current common EV share of new sales</t>
        </is>
      </c>
      <c r="E72" s="3" t="inlineStr">
        <is>
          <t>Existing engine curve applied to HCV as well as other classes. This is not a calibrated truck-specific forecast.</t>
        </is>
      </c>
    </row>
    <row r="73" ht="42" customHeight="1">
      <c r="A73" s="3" t="inlineStr">
        <is>
          <t>N069</t>
        </is>
      </c>
      <c r="B73" s="3" t="inlineStr">
        <is>
          <t>Freight</t>
        </is>
      </c>
      <c r="C73" s="3" t="inlineStr">
        <is>
          <t>E32</t>
        </is>
      </c>
      <c r="D73" s="3" t="inlineStr">
        <is>
          <t>Truck BEV share of new sales</t>
        </is>
      </c>
      <c r="E73" s="3" t="inlineStr">
        <is>
          <t>Separate light delivery, regional and long-haul cohorts. Use truck-specific opening shares and trajectories.</t>
        </is>
      </c>
    </row>
    <row r="74" ht="42" customHeight="1">
      <c r="A74" s="3" t="inlineStr">
        <is>
          <t>N070</t>
        </is>
      </c>
      <c r="B74" s="3" t="inlineStr">
        <is>
          <t>Freight</t>
        </is>
      </c>
      <c r="C74" s="3" t="inlineStr">
        <is>
          <t>E33</t>
        </is>
      </c>
      <c r="D74" s="3" t="inlineStr">
        <is>
          <t>Truck hybrid / PHEV new-sales share</t>
        </is>
      </c>
      <c r="E74" s="3" t="inlineStr">
        <is>
          <t>Separate from BEVs. Record residual diesel use; PHEV electric-distance fraction requires evidence.</t>
        </is>
      </c>
    </row>
    <row r="75" ht="42" customHeight="1">
      <c r="A75" s="3" t="inlineStr">
        <is>
          <t>N071</t>
        </is>
      </c>
      <c r="B75" s="3" t="inlineStr">
        <is>
          <t>Freight</t>
        </is>
      </c>
      <c r="C75" s="3" t="inlineStr">
        <is>
          <t>E34</t>
        </is>
      </c>
      <c r="D75" s="3" t="inlineStr">
        <is>
          <t>Opening fleet and survival by drivetrain</t>
        </is>
      </c>
      <c r="E75" s="3" t="inlineStr">
        <is>
          <t>New-sales shares become stock through cohort additions and retirements; do not apply sales shares directly to the total fleet.</t>
        </is>
      </c>
    </row>
    <row r="76" ht="42" customHeight="1">
      <c r="A76" s="3" t="inlineStr">
        <is>
          <t>N072</t>
        </is>
      </c>
      <c r="B76" s="3" t="inlineStr">
        <is>
          <t>Freight</t>
        </is>
      </c>
      <c r="C76" s="3" t="inlineStr">
        <is>
          <t>E35</t>
        </is>
      </c>
      <c r="D76" s="3" t="inlineStr">
        <is>
          <t>Mileage by drivetrain / duty cycle</t>
        </is>
      </c>
      <c r="E76" s="3" t="inlineStr">
        <is>
          <t>Electric and diesel trucks can perform different annual work. Use mileage/work shares rather than stock shares alone.</t>
        </is>
      </c>
    </row>
    <row r="77" ht="42" customHeight="1">
      <c r="A77" s="3" t="inlineStr">
        <is>
          <t>N073</t>
        </is>
      </c>
      <c r="B77" s="3" t="inlineStr">
        <is>
          <t>Freight</t>
        </is>
      </c>
      <c r="C77" s="3" t="inlineStr">
        <is>
          <t>E36</t>
        </is>
      </c>
      <c r="D77" s="3" t="inlineStr">
        <is>
          <t>Truck electricity intensity</t>
        </is>
      </c>
      <c r="E77" s="3" t="inlineStr">
        <is>
          <t>Optional electricity requirement and charging-feasibility check. BEV tailpipe diesel use is zero; backup/auxiliary fuel needs separate scope.</t>
        </is>
      </c>
    </row>
    <row r="78" ht="42" customHeight="1">
      <c r="A78" s="3" t="inlineStr">
        <is>
          <t>N074</t>
        </is>
      </c>
      <c r="B78" s="3" t="inlineStr">
        <is>
          <t>Freight</t>
        </is>
      </c>
      <c r="C78" s="3" t="inlineStr">
        <is>
          <t>E37</t>
        </is>
      </c>
      <c r="D78" s="3" t="inlineStr">
        <is>
          <t>Charging and operating constraints</t>
        </is>
      </c>
      <c r="E78" s="3" t="inlineStr">
        <is>
          <t>Depot/corridor access, charging power, dwell time, grid connection, range and payload constrain uptake. They do not create a second fuel discount.</t>
        </is>
      </c>
    </row>
    <row r="79" ht="42" customHeight="1">
      <c r="A79" s="3" t="inlineStr">
        <is>
          <t>N075</t>
        </is>
      </c>
      <c r="B79" s="3" t="inlineStr">
        <is>
          <t>Freight</t>
        </is>
      </c>
      <c r="C79" s="3" t="inlineStr">
        <is>
          <t>E38</t>
        </is>
      </c>
      <c r="D79" s="3" t="inlineStr">
        <is>
          <t>Electric freight share of road work</t>
        </is>
      </c>
      <c r="E79" s="3" t="inlineStr">
        <is>
          <t>For tonne-km method: derive consistent work share from drivetrain fleets, mileage and payload; exclude BEV work from diesel work once.</t>
        </is>
      </c>
    </row>
    <row r="80" ht="42" customHeight="1">
      <c r="A80" s="3" t="inlineStr">
        <is>
          <t>N076</t>
        </is>
      </c>
      <c r="B80" s="3" t="inlineStr">
        <is>
          <t>Freight</t>
        </is>
      </c>
      <c r="C80" s="3" t="inlineStr">
        <is>
          <t>E39</t>
        </is>
      </c>
      <c r="D80" s="3" t="inlineStr">
        <is>
          <t>Truck diesel demand after transition</t>
        </is>
      </c>
      <c r="E80" s="3" t="inlineStr">
        <is>
          <t>Fleet method: sum diesel/hybrid cohort vehicles × km × L/100 km / 100. BEVs contribute zero truck diesel. Proposed replacement not yet run.</t>
        </is>
      </c>
    </row>
    <row r="81" ht="42" customHeight="1">
      <c r="A81" s="3" t="inlineStr">
        <is>
          <t>N077</t>
        </is>
      </c>
      <c r="B81" s="3" t="inlineStr">
        <is>
          <t>Freight</t>
        </is>
      </c>
      <c r="C81" s="3" t="inlineStr">
        <is>
          <t>E40</t>
        </is>
      </c>
      <c r="D81" s="3" t="inlineStr">
        <is>
          <t>Rail and electrification interaction</t>
        </is>
      </c>
      <c r="E81" s="3" t="inlineStr">
        <is>
          <t>Rail diversion first defines remaining road work. Drivetrain shares divide that road work; do not subtract electrification again in efficiency.</t>
        </is>
      </c>
    </row>
    <row r="82" ht="42" customHeight="1">
      <c r="A82" s="3" t="inlineStr">
        <is>
          <t>N078</t>
        </is>
      </c>
      <c r="B82" s="3" t="inlineStr">
        <is>
          <t>Freight</t>
        </is>
      </c>
      <c r="C82" s="3" t="inlineStr">
        <is>
          <t>E41</t>
        </is>
      </c>
      <c r="D82" s="3" t="inlineStr">
        <is>
          <t>Province / corridor treatment</t>
        </is>
      </c>
      <c r="E82" s="3" t="inlineStr">
        <is>
          <t>Electrify feasible routes/depot fleets first; reconcile provincial/corridor work with the national total. Do not copy passenger uptake.</t>
        </is>
      </c>
    </row>
    <row r="83" ht="42" customHeight="1">
      <c r="A83" s="3" t="inlineStr">
        <is>
          <t>N079</t>
        </is>
      </c>
      <c r="B83" s="3" t="inlineStr">
        <is>
          <t>Freight</t>
        </is>
      </c>
      <c r="C83" s="3" t="inlineStr">
        <is>
          <t>E43</t>
        </is>
      </c>
      <c r="D83" s="3" t="inlineStr">
        <is>
          <t>H/M/L brackets</t>
        </is>
      </c>
      <c r="E83" s="3" t="inlineStr">
        <is>
          <t>Set truck BEV shares, hybrid treatment and rollout dates by duty cycle for 2030/2035; agree annual paths. Higher BEV uptake generally lowers road diesel.</t>
        </is>
      </c>
    </row>
    <row r="84" ht="42" customHeight="1">
      <c r="A84" s="3" t="inlineStr">
        <is>
          <t>N080</t>
        </is>
      </c>
      <c r="B84" s="3" t="inlineStr">
        <is>
          <t>Freight</t>
        </is>
      </c>
      <c r="C84" s="3" t="inlineStr">
        <is>
          <t>E45</t>
        </is>
      </c>
      <c r="D84" s="3" t="inlineStr">
        <is>
          <t>Current curve source</t>
        </is>
      </c>
      <c r="E84" s="3" t="inlineStr">
        <is>
          <t>https://github.com/Africa-International-Advisors/liquid_fuels_model/blob/8c69f8333192483f19cd80911cb90fcd0943eb6b/assumptions/2026/vehicles.yaml</t>
        </is>
      </c>
    </row>
    <row r="85" ht="42" customHeight="1">
      <c r="A85" s="3" t="inlineStr">
        <is>
          <t>N081</t>
        </is>
      </c>
      <c r="B85" s="3" t="inlineStr">
        <is>
          <t>Freight</t>
        </is>
      </c>
      <c r="C85" s="3" t="inlineStr">
        <is>
          <t>E48</t>
        </is>
      </c>
      <c r="D85" s="3" t="inlineStr">
        <is>
          <t>Medium/heavy commercial new sales</t>
        </is>
      </c>
      <c r="E85" s="3" t="inlineStr">
        <is>
          <t>NAAMSA actual new sales. Published 2026/27 projections excluded from observed rows.</t>
        </is>
      </c>
    </row>
    <row r="86" ht="42" customHeight="1">
      <c r="A86" s="3" t="inlineStr">
        <is>
          <t>N082</t>
        </is>
      </c>
      <c r="B86" s="3" t="inlineStr">
        <is>
          <t>Freight</t>
        </is>
      </c>
      <c r="C86" s="3" t="inlineStr">
        <is>
          <t>T48</t>
        </is>
      </c>
      <c r="D86" s="3" t="inlineStr">
        <is>
          <t>Medium/heavy commercial new sales</t>
        </is>
      </c>
      <c r="E86" s="3" t="inlineStr">
        <is>
          <t>Unreviewed source extract; annual cells contain complete periods only.</t>
        </is>
      </c>
    </row>
    <row r="87" ht="42" customHeight="1">
      <c r="A87" s="3" t="inlineStr">
        <is>
          <t>N083</t>
        </is>
      </c>
      <c r="B87" s="3" t="inlineStr">
        <is>
          <t>Freight</t>
        </is>
      </c>
      <c r="C87" s="3" t="inlineStr">
        <is>
          <t>U48</t>
        </is>
      </c>
      <c r="D87" s="3" t="inlineStr">
        <is>
          <t>Medium/heavy commercial new sales</t>
        </is>
      </c>
      <c r="E87" s="3" t="inlineStr">
        <is>
          <t>Evidence row 15; assumptions/2026/timeseries/new_vehicle_market_naamsa.csv</t>
        </is>
      </c>
    </row>
    <row r="88" ht="42" customHeight="1">
      <c r="A88" s="3" t="inlineStr">
        <is>
          <t>N084</t>
        </is>
      </c>
      <c r="B88" s="3" t="inlineStr">
        <is>
          <t>Freight</t>
        </is>
      </c>
      <c r="C88" s="3" t="inlineStr">
        <is>
          <t>V48</t>
        </is>
      </c>
      <c r="D88" s="3" t="inlineStr">
        <is>
          <t>Medium/heavy commercial new sales</t>
        </is>
      </c>
      <c r="E88" s="3" t="inlineStr">
        <is>
          <t>G04: align medium/heavy sales with HCV engine and LCV freight scope.</t>
        </is>
      </c>
    </row>
    <row r="89" ht="42" customHeight="1">
      <c r="A89" s="3" t="inlineStr">
        <is>
          <t>N085</t>
        </is>
      </c>
      <c r="B89" s="3" t="inlineStr">
        <is>
          <t>Freight</t>
        </is>
      </c>
      <c r="C89" s="3" t="inlineStr">
        <is>
          <t>E49</t>
        </is>
      </c>
      <c r="D89" s="3" t="inlineStr">
        <is>
          <t>Registered trucks, all drivetrains</t>
        </is>
      </c>
      <c r="E89" s="3" t="inlineStr">
        <is>
          <t>eNaTIS December snapshots; latest June 2026 kept separately. No fuel/drivetrain split. Latest value in D: 2026-06, snapshot.</t>
        </is>
      </c>
    </row>
    <row r="90" ht="42" customHeight="1">
      <c r="A90" s="3" t="inlineStr">
        <is>
          <t>N086</t>
        </is>
      </c>
      <c r="B90" s="3" t="inlineStr">
        <is>
          <t>Freight</t>
        </is>
      </c>
      <c r="C90" s="3" t="inlineStr">
        <is>
          <t>T49</t>
        </is>
      </c>
      <c r="D90" s="3" t="inlineStr">
        <is>
          <t>Registered trucks, all drivetrains</t>
        </is>
      </c>
      <c r="E90" s="3" t="inlineStr">
        <is>
          <t>Unreviewed source extract; annual cells contain complete periods only.</t>
        </is>
      </c>
    </row>
    <row r="91" ht="42" customHeight="1">
      <c r="A91" s="3" t="inlineStr">
        <is>
          <t>N087</t>
        </is>
      </c>
      <c r="B91" s="3" t="inlineStr">
        <is>
          <t>Freight</t>
        </is>
      </c>
      <c r="C91" s="3" t="inlineStr">
        <is>
          <t>U49</t>
        </is>
      </c>
      <c r="D91" s="3" t="inlineStr">
        <is>
          <t>Registered trucks, all drivetrains</t>
        </is>
      </c>
      <c r="E91" s="3" t="inlineStr">
        <is>
          <t>Evidence row 22; assumptions/2026/timeseries/vehicle_population_natis.csv</t>
        </is>
      </c>
    </row>
    <row r="92" ht="42" customHeight="1">
      <c r="A92" s="3" t="inlineStr">
        <is>
          <t>N088</t>
        </is>
      </c>
      <c r="B92" s="3" t="inlineStr">
        <is>
          <t>Freight</t>
        </is>
      </c>
      <c r="C92" s="3" t="inlineStr">
        <is>
          <t>V49</t>
        </is>
      </c>
      <c r="D92" s="3" t="inlineStr">
        <is>
          <t>Registered trucks, all drivetrains</t>
        </is>
      </c>
      <c r="E92" s="3" t="inlineStr">
        <is>
          <t>G04: reconcile vehicle definition, drivetrain and duty-cycle split.</t>
        </is>
      </c>
    </row>
    <row r="93" ht="42" customHeight="1">
      <c r="A93" s="3" t="inlineStr">
        <is>
          <t>N089</t>
        </is>
      </c>
      <c r="B93" s="3" t="inlineStr">
        <is>
          <t>Freight</t>
        </is>
      </c>
      <c r="C93" s="3" t="inlineStr">
        <is>
          <t>E50</t>
        </is>
      </c>
      <c r="D93" s="3" t="inlineStr">
        <is>
          <t>Road freight payload</t>
        </is>
      </c>
      <c r="E93" s="3" t="inlineStr">
        <is>
          <t>Complete calendar years only; 2026 Jan-Jul shown separately. Tonnes do not measure tonne-km. Latest value in D: 2026-01 to 2026-07, 7 months; sum; not annualised.</t>
        </is>
      </c>
    </row>
    <row r="94" ht="42" customHeight="1">
      <c r="A94" s="3" t="inlineStr">
        <is>
          <t>N090</t>
        </is>
      </c>
      <c r="B94" s="3" t="inlineStr">
        <is>
          <t>Freight</t>
        </is>
      </c>
      <c r="C94" s="3" t="inlineStr">
        <is>
          <t>T50</t>
        </is>
      </c>
      <c r="D94" s="3" t="inlineStr">
        <is>
          <t>Road freight payload</t>
        </is>
      </c>
      <c r="E94" s="3" t="inlineStr">
        <is>
          <t>Unreviewed source extract; annual cells contain complete periods only.</t>
        </is>
      </c>
    </row>
    <row r="95" ht="42" customHeight="1">
      <c r="A95" s="3" t="inlineStr">
        <is>
          <t>N091</t>
        </is>
      </c>
      <c r="B95" s="3" t="inlineStr">
        <is>
          <t>Freight</t>
        </is>
      </c>
      <c r="C95" s="3" t="inlineStr">
        <is>
          <t>U50</t>
        </is>
      </c>
      <c r="D95" s="3" t="inlineStr">
        <is>
          <t>Road freight payload</t>
        </is>
      </c>
      <c r="E95" s="3" t="inlineStr">
        <is>
          <t>Evidence row 32; pptx/story/evidence_2026_10_06/activity_statssa_monthly.csv</t>
        </is>
      </c>
    </row>
    <row r="96" ht="42" customHeight="1">
      <c r="A96" s="3" t="inlineStr">
        <is>
          <t>N092</t>
        </is>
      </c>
      <c r="B96" s="3" t="inlineStr">
        <is>
          <t>Freight</t>
        </is>
      </c>
      <c r="C96" s="3" t="inlineStr">
        <is>
          <t>V50</t>
        </is>
      </c>
      <c r="D96" s="3" t="inlineStr">
        <is>
          <t>Road freight payload</t>
        </is>
      </c>
      <c r="E96" s="3" t="inlineStr">
        <is>
          <t>G04: tonnes need distance/payload/empty-running bridge to tonne-km and litres.</t>
        </is>
      </c>
    </row>
    <row r="97" ht="42" customHeight="1">
      <c r="A97" s="3" t="inlineStr">
        <is>
          <t>N093</t>
        </is>
      </c>
      <c r="B97" s="3" t="inlineStr">
        <is>
          <t>Freight</t>
        </is>
      </c>
      <c r="C97" s="3" t="inlineStr">
        <is>
          <t>E51</t>
        </is>
      </c>
      <c r="D97" s="3" t="inlineStr">
        <is>
          <t>Rail freight payload</t>
        </is>
      </c>
      <c r="E97" s="3" t="inlineStr">
        <is>
          <t>Complete calendar years only; 2026 Jan-Jul shown separately. Tonnes do not measure tonne-km. Latest value in D: 2026-01 to 2026-07, 7 months; sum; not annualised.</t>
        </is>
      </c>
    </row>
    <row r="98" ht="42" customHeight="1">
      <c r="A98" s="3" t="inlineStr">
        <is>
          <t>N094</t>
        </is>
      </c>
      <c r="B98" s="3" t="inlineStr">
        <is>
          <t>Freight</t>
        </is>
      </c>
      <c r="C98" s="3" t="inlineStr">
        <is>
          <t>T51</t>
        </is>
      </c>
      <c r="D98" s="3" t="inlineStr">
        <is>
          <t>Rail freight payload</t>
        </is>
      </c>
      <c r="E98" s="3" t="inlineStr">
        <is>
          <t>Unreviewed source extract; annual cells contain complete periods only.</t>
        </is>
      </c>
    </row>
    <row r="99" ht="42" customHeight="1">
      <c r="A99" s="3" t="inlineStr">
        <is>
          <t>N095</t>
        </is>
      </c>
      <c r="B99" s="3" t="inlineStr">
        <is>
          <t>Freight</t>
        </is>
      </c>
      <c r="C99" s="3" t="inlineStr">
        <is>
          <t>U51</t>
        </is>
      </c>
      <c r="D99" s="3" t="inlineStr">
        <is>
          <t>Rail freight payload</t>
        </is>
      </c>
      <c r="E99" s="3" t="inlineStr">
        <is>
          <t>Evidence row 33; pptx/story/evidence_2026_10_06/activity_statssa_monthly.csv</t>
        </is>
      </c>
    </row>
    <row r="100" ht="42" customHeight="1">
      <c r="A100" s="3" t="inlineStr">
        <is>
          <t>N096</t>
        </is>
      </c>
      <c r="B100" s="3" t="inlineStr">
        <is>
          <t>Freight</t>
        </is>
      </c>
      <c r="C100" s="3" t="inlineStr">
        <is>
          <t>V51</t>
        </is>
      </c>
      <c r="D100" s="3" t="inlineStr">
        <is>
          <t>Rail freight payload</t>
        </is>
      </c>
      <c r="E100" s="3" t="inlineStr">
        <is>
          <t>G04: source feasible diversion by commodity/corridor; no automatic diesel saving.</t>
        </is>
      </c>
    </row>
    <row r="101" ht="42" customHeight="1">
      <c r="A101" s="3" t="inlineStr">
        <is>
          <t>N097</t>
        </is>
      </c>
      <c r="B101" s="3" t="inlineStr">
        <is>
          <t>Freight</t>
        </is>
      </c>
      <c r="C101" s="3" t="inlineStr">
        <is>
          <t>E52</t>
        </is>
      </c>
      <c r="D101" s="3" t="inlineStr">
        <is>
          <t>LCV new sales</t>
        </is>
      </c>
      <c r="E101" s="3" t="inlineStr">
        <is>
          <t>NAAMSA actual new sales. Published 2026/27 projections excluded from observed rows.</t>
        </is>
      </c>
    </row>
    <row r="102" ht="42" customHeight="1">
      <c r="A102" s="3" t="inlineStr">
        <is>
          <t>N098</t>
        </is>
      </c>
      <c r="B102" s="3" t="inlineStr">
        <is>
          <t>Freight</t>
        </is>
      </c>
      <c r="C102" s="3" t="inlineStr">
        <is>
          <t>T52</t>
        </is>
      </c>
      <c r="D102" s="3" t="inlineStr">
        <is>
          <t>LCV new sales</t>
        </is>
      </c>
      <c r="E102" s="3" t="inlineStr">
        <is>
          <t>Unreviewed source extract; annual cells contain complete periods only.</t>
        </is>
      </c>
    </row>
    <row r="103" ht="42" customHeight="1">
      <c r="A103" s="3" t="inlineStr">
        <is>
          <t>N099</t>
        </is>
      </c>
      <c r="B103" s="3" t="inlineStr">
        <is>
          <t>Freight</t>
        </is>
      </c>
      <c r="C103" s="3" t="inlineStr">
        <is>
          <t>U52</t>
        </is>
      </c>
      <c r="D103" s="3" t="inlineStr">
        <is>
          <t>LCV new sales</t>
        </is>
      </c>
      <c r="E103" s="3" t="inlineStr">
        <is>
          <t>Evidence row 14; assumptions/2026/timeseries/new_vehicle_market_naamsa.csv</t>
        </is>
      </c>
    </row>
    <row r="104" ht="42" customHeight="1">
      <c r="A104" s="3" t="inlineStr">
        <is>
          <t>N100</t>
        </is>
      </c>
      <c r="B104" s="3" t="inlineStr">
        <is>
          <t>Freight</t>
        </is>
      </c>
      <c r="C104" s="3" t="inlineStr">
        <is>
          <t>E53</t>
        </is>
      </c>
      <c r="D104" s="3" t="inlineStr">
        <is>
          <t>Truck-specific BEV sales / fleet</t>
        </is>
      </c>
      <c r="E104" s="3" t="inlineStr">
        <is>
          <t>All-market NEV data exists on Petrol sheet; no truck-specific split established.</t>
        </is>
      </c>
    </row>
    <row r="105" ht="42" customHeight="1">
      <c r="A105" s="3" t="inlineStr">
        <is>
          <t>N101</t>
        </is>
      </c>
      <c r="B105" s="3" t="inlineStr">
        <is>
          <t>Freight</t>
        </is>
      </c>
      <c r="C105" s="3" t="inlineStr">
        <is>
          <t>V53</t>
        </is>
      </c>
      <c r="D105" s="3" t="inlineStr">
        <is>
          <t>Truck-specific BEV sales / fleet</t>
        </is>
      </c>
      <c r="E105" s="3" t="inlineStr">
        <is>
          <t>G05: source truck registrations/sales, fleet pilots, duty cycles and charging.</t>
        </is>
      </c>
    </row>
    <row r="106" ht="42" customHeight="1">
      <c r="A106" s="3" t="inlineStr">
        <is>
          <t>N102</t>
        </is>
      </c>
      <c r="B106" s="3" t="inlineStr">
        <is>
          <t>Agriculture</t>
        </is>
      </c>
      <c r="C106" s="3" t="inlineStr">
        <is>
          <t>E16</t>
        </is>
      </c>
      <c r="D106" s="3" t="inlineStr">
        <is>
          <t>Reviewed baseline demand</t>
        </is>
      </c>
      <c r="E106" s="3" t="inlineStr">
        <is>
          <t>A 2021 source anchor is available in row 30, but has not been selected as the new model baseline.</t>
        </is>
      </c>
    </row>
    <row r="107" ht="42" customHeight="1">
      <c r="A107" s="3" t="inlineStr">
        <is>
          <t>N103</t>
        </is>
      </c>
      <c r="B107" s="3" t="inlineStr">
        <is>
          <t>Agriculture</t>
        </is>
      </c>
      <c r="C107" s="3" t="inlineStr">
        <is>
          <t>E17</t>
        </is>
      </c>
      <c r="D107" s="3" t="inlineStr">
        <is>
          <t>Agricultural activity index</t>
        </is>
      </c>
      <c r="E107" s="3" t="inlineStr">
        <is>
          <t>Real agricultural GVA is available in row 29. Select/rebase an activity measure only after matching fuel coverage.</t>
        </is>
      </c>
    </row>
    <row r="108" ht="42" customHeight="1">
      <c r="A108" s="3" t="inlineStr">
        <is>
          <t>N104</t>
        </is>
      </c>
      <c r="B108" s="3" t="inlineStr">
        <is>
          <t>Agriculture</t>
        </is>
      </c>
      <c r="C108" s="3" t="inlineStr">
        <is>
          <t>E18</t>
        </is>
      </c>
      <c r="D108" s="3" t="inlineStr">
        <is>
          <t>Relative fuel intensity</t>
        </is>
      </c>
      <c r="E108" s="3" t="inlineStr">
        <is>
          <t>Lower values mean less fuel per activity unit; mechanisation can increase intensity.</t>
        </is>
      </c>
    </row>
    <row r="109" ht="42" customHeight="1">
      <c r="A109" s="3" t="inlineStr">
        <is>
          <t>N105</t>
        </is>
      </c>
      <c r="B109" s="3" t="inlineStr">
        <is>
          <t>Agriculture</t>
        </is>
      </c>
      <c r="C109" s="3" t="inlineStr">
        <is>
          <t>E19</t>
        </is>
      </c>
      <c r="D109" s="3" t="inlineStr">
        <is>
          <t>Proposed agricultural demand</t>
        </is>
      </c>
      <c r="E109" s="3" t="inlineStr">
        <is>
          <t>Reviewed base demand × activity index / 100 × relative intensity. No engine change or new forecast here.</t>
        </is>
      </c>
    </row>
    <row r="110" ht="42" customHeight="1">
      <c r="A110" s="3" t="inlineStr">
        <is>
          <t>N106</t>
        </is>
      </c>
      <c r="B110" s="3" t="inlineStr">
        <is>
          <t>Agriculture</t>
        </is>
      </c>
      <c r="C110" s="3" t="inlineStr">
        <is>
          <t>E20</t>
        </is>
      </c>
      <c r="D110" s="3" t="inlineStr">
        <is>
          <t>Provincial activity / baseline shares</t>
        </is>
      </c>
      <c r="E110" s="3" t="inlineStr">
        <is>
          <t>Use local agricultural evidence; confirm that national allocations sum to 100%.</t>
        </is>
      </c>
    </row>
    <row r="111" ht="42" customHeight="1">
      <c r="A111" s="3" t="inlineStr">
        <is>
          <t>N107</t>
        </is>
      </c>
      <c r="B111" s="3" t="inlineStr">
        <is>
          <t>Agriculture</t>
        </is>
      </c>
      <c r="C111" s="3" t="inlineStr">
        <is>
          <t>E21</t>
        </is>
      </c>
      <c r="D111" s="3" t="inlineStr">
        <is>
          <t>Sector boundaries</t>
        </is>
      </c>
      <c r="E111" s="3" t="inlineStr">
        <is>
          <t>Resolve irrigation, off-road machinery, road vehicles and backup generation; avoid overlapping litres.</t>
        </is>
      </c>
    </row>
    <row r="112" ht="42" customHeight="1">
      <c r="A112" s="3" t="inlineStr">
        <is>
          <t>N108</t>
        </is>
      </c>
      <c r="B112" s="3" t="inlineStr">
        <is>
          <t>Agriculture</t>
        </is>
      </c>
      <c r="C112" s="3" t="inlineStr">
        <is>
          <t>E23</t>
        </is>
      </c>
      <c r="D112" s="3" t="inlineStr">
        <is>
          <t>Industry / mining extension</t>
        </is>
      </c>
      <c r="E112" s="3" t="inlineStr">
        <is>
          <t>Apply the same structure separately to mining, manufacturing and construction after baseline splits reconcile.</t>
        </is>
      </c>
    </row>
    <row r="113" ht="42" customHeight="1">
      <c r="A113" s="3" t="inlineStr">
        <is>
          <t>N109</t>
        </is>
      </c>
      <c r="B113" s="3" t="inlineStr">
        <is>
          <t>Agriculture</t>
        </is>
      </c>
      <c r="C113" s="3" t="inlineStr">
        <is>
          <t>E25</t>
        </is>
      </c>
      <c r="D113" s="3" t="inlineStr">
        <is>
          <t>Source</t>
        </is>
      </c>
      <c r="E113" s="3" t="inlineStr">
        <is>
          <t>https://github.com/Africa-International-Advisors/liquid_fuels_model/blob/8c69f8333192483f19cd80911cb90fcd0943eb6b/assumptions/2026/agriculture.yaml</t>
        </is>
      </c>
    </row>
    <row r="114" ht="42" customHeight="1">
      <c r="A114" s="3" t="inlineStr">
        <is>
          <t>N110</t>
        </is>
      </c>
      <c r="B114" s="3" t="inlineStr">
        <is>
          <t>Agriculture</t>
        </is>
      </c>
      <c r="C114" s="3" t="inlineStr">
        <is>
          <t>E26</t>
        </is>
      </c>
      <c r="D114" s="3" t="inlineStr">
        <is>
          <t>Calculation source</t>
        </is>
      </c>
      <c r="E114" s="3" t="inlineStr">
        <is>
          <t>https://github.com/Africa-International-Advisors/liquid_fuels_model/blob/8c69f8333192483f19cd80911cb90fcd0943eb6b/src/lfm/model/demand/agriculture.py</t>
        </is>
      </c>
    </row>
    <row r="115" ht="42" customHeight="1">
      <c r="A115" s="3" t="inlineStr">
        <is>
          <t>N111</t>
        </is>
      </c>
      <c r="B115" s="3" t="inlineStr">
        <is>
          <t>Agriculture</t>
        </is>
      </c>
      <c r="C115" s="3" t="inlineStr">
        <is>
          <t>E29</t>
        </is>
      </c>
      <c r="D115" s="3" t="inlineStr">
        <is>
          <t>Agriculture/forestry/fishing real GVA</t>
        </is>
      </c>
      <c r="E115" s="3" t="inlineStr">
        <is>
          <t>Stats SA annual actual in staged reporting copy. Sector value added is an activity proxy, not measured fuel use.</t>
        </is>
      </c>
    </row>
    <row r="116" ht="42" customHeight="1">
      <c r="A116" s="3" t="inlineStr">
        <is>
          <t>N112</t>
        </is>
      </c>
      <c r="B116" s="3" t="inlineStr">
        <is>
          <t>Agriculture</t>
        </is>
      </c>
      <c r="C116" s="3" t="inlineStr">
        <is>
          <t>T29</t>
        </is>
      </c>
      <c r="D116" s="3" t="inlineStr">
        <is>
          <t>Agriculture/forestry/fishing real GVA</t>
        </is>
      </c>
      <c r="E116" s="3" t="inlineStr">
        <is>
          <t>Unreviewed source extract; annual cells contain complete periods only.</t>
        </is>
      </c>
    </row>
    <row r="117" ht="42" customHeight="1">
      <c r="A117" s="3" t="inlineStr">
        <is>
          <t>N113</t>
        </is>
      </c>
      <c r="B117" s="3" t="inlineStr">
        <is>
          <t>Agriculture</t>
        </is>
      </c>
      <c r="C117" s="3" t="inlineStr">
        <is>
          <t>U29</t>
        </is>
      </c>
      <c r="D117" s="3" t="inlineStr">
        <is>
          <t>Agriculture/forestry/fishing real GVA</t>
        </is>
      </c>
      <c r="E117" s="3" t="inlineStr">
        <is>
          <t>Evidence row 26; pptx/story/evidence_2026_10_06/macro_statssa.csv</t>
        </is>
      </c>
    </row>
    <row r="118" ht="42" customHeight="1">
      <c r="A118" s="3" t="inlineStr">
        <is>
          <t>N114</t>
        </is>
      </c>
      <c r="B118" s="3" t="inlineStr">
        <is>
          <t>Agriculture</t>
        </is>
      </c>
      <c r="C118" s="3" t="inlineStr">
        <is>
          <t>V29</t>
        </is>
      </c>
      <c r="D118" s="3" t="inlineStr">
        <is>
          <t>Agriculture/forestry/fishing real GVA</t>
        </is>
      </c>
      <c r="E118" s="3" t="inlineStr">
        <is>
          <t>G08: choose crop/area/output proxy and rebase to agreed fuel baseline.</t>
        </is>
      </c>
    </row>
    <row r="119" ht="42" customHeight="1">
      <c r="A119" s="3" t="inlineStr">
        <is>
          <t>N115</t>
        </is>
      </c>
      <c r="B119" s="3" t="inlineStr">
        <is>
          <t>Agriculture</t>
        </is>
      </c>
      <c r="C119" s="3" t="inlineStr">
        <is>
          <t>U30</t>
        </is>
      </c>
      <c r="D119" s="3" t="inlineStr">
        <is>
          <t>2021 agriculture/forestry diesel</t>
        </is>
      </c>
      <c r="E119" s="3" t="inlineStr">
        <is>
          <t>https://github.com/Africa-International-Advisors/liquid_fuels_model/blob/8c69f8333192483f19cd80911cb90fcd0943eb6b/assumptions/2026/timeseries/energy_balance_department.csv</t>
        </is>
      </c>
    </row>
    <row r="120" ht="42" customHeight="1">
      <c r="A120" s="3" t="inlineStr">
        <is>
          <t>N116</t>
        </is>
      </c>
      <c r="B120" s="3" t="inlineStr">
        <is>
          <t>Agriculture</t>
        </is>
      </c>
      <c r="C120" s="3" t="inlineStr">
        <is>
          <t>V30</t>
        </is>
      </c>
      <c r="D120" s="3" t="inlineStr">
        <is>
          <t>2021 agriculture/forestry diesel</t>
        </is>
      </c>
      <c r="E120" s="3" t="inlineStr">
        <is>
          <t>G08: reconcile forestry/fishing and machinery/irrigation/backup scope; source newer fuel data.</t>
        </is>
      </c>
    </row>
    <row r="121" ht="42" customHeight="1">
      <c r="A121" s="3" t="inlineStr">
        <is>
          <t>N117</t>
        </is>
      </c>
      <c r="B121" s="3" t="inlineStr">
        <is>
          <t>Manufacturing</t>
        </is>
      </c>
      <c r="C121" s="3" t="inlineStr">
        <is>
          <t>E6</t>
        </is>
      </c>
      <c r="D121" s="3" t="inlineStr">
        <is>
          <t>Reviewed manufacturing baseline</t>
        </is>
      </c>
      <c r="E121" s="3" t="inlineStr">
        <is>
          <t>2021 industry parent exists (row 34), but is not manufacturing-only. A matched manufacturing baseline remains missing.</t>
        </is>
      </c>
    </row>
    <row r="122" ht="42" customHeight="1">
      <c r="A122" s="3" t="inlineStr">
        <is>
          <t>N118</t>
        </is>
      </c>
      <c r="B122" s="3" t="inlineStr">
        <is>
          <t>Manufacturing</t>
        </is>
      </c>
      <c r="C122" s="3" t="inlineStr">
        <is>
          <t>E8</t>
        </is>
      </c>
      <c r="D122" s="3" t="inlineStr">
        <is>
          <t>Manufacturing production index</t>
        </is>
      </c>
      <c r="E122" s="3" t="inlineStr">
        <is>
          <t>Observed production indices now appear in row 32. Rebase to the agreed baseline before using the proposed equation.</t>
        </is>
      </c>
    </row>
    <row r="123" ht="42" customHeight="1">
      <c r="A123" s="3" t="inlineStr">
        <is>
          <t>N119</t>
        </is>
      </c>
      <c r="B123" s="3" t="inlineStr">
        <is>
          <t>Manufacturing</t>
        </is>
      </c>
      <c r="C123" s="3" t="inlineStr">
        <is>
          <t>E9</t>
        </is>
      </c>
      <c r="D123" s="3" t="inlineStr">
        <is>
          <t>Relative fuel intensity</t>
        </is>
      </c>
      <c r="E123" s="3" t="inlineStr">
        <is>
          <t>Efficiency and process mix for continuing diesel uses. Exclude electrification if separately modelled below.</t>
        </is>
      </c>
    </row>
    <row r="124" ht="42" customHeight="1">
      <c r="A124" s="3" t="inlineStr">
        <is>
          <t>N120</t>
        </is>
      </c>
      <c r="B124" s="3" t="inlineStr">
        <is>
          <t>Manufacturing</t>
        </is>
      </c>
      <c r="C124" s="3" t="inlineStr">
        <is>
          <t>E10</t>
        </is>
      </c>
      <c r="D124" s="3" t="inlineStr">
        <is>
          <t>Electrification: remaining diesel fraction</t>
        </is>
      </c>
      <c r="E124" s="3" t="inlineStr">
        <is>
          <t>After baseline, fraction of counterfactual diesel retained as processes/equipment switch. Eligible use, timing and conversion efficiency need evidence.</t>
        </is>
      </c>
    </row>
    <row r="125" ht="42" customHeight="1">
      <c r="A125" s="3" t="inlineStr">
        <is>
          <t>N121</t>
        </is>
      </c>
      <c r="B125" s="3" t="inlineStr">
        <is>
          <t>Manufacturing</t>
        </is>
      </c>
      <c r="C125" s="3" t="inlineStr">
        <is>
          <t>E11</t>
        </is>
      </c>
      <c r="D125" s="3" t="inlineStr">
        <is>
          <t>Private backup generation</t>
        </is>
      </c>
      <c r="E125" s="3" t="inlineStr">
        <is>
          <t>Include here OR in generation. Record whether the baseline already includes backup fuel.</t>
        </is>
      </c>
    </row>
    <row r="126" ht="42" customHeight="1">
      <c r="A126" s="3" t="inlineStr">
        <is>
          <t>N122</t>
        </is>
      </c>
      <c r="B126" s="3" t="inlineStr">
        <is>
          <t>Manufacturing</t>
        </is>
      </c>
      <c r="C126" s="3" t="inlineStr">
        <is>
          <t>E12</t>
        </is>
      </c>
      <c r="D126" s="3" t="inlineStr">
        <is>
          <t>Provincial baseline / activity</t>
        </is>
      </c>
      <c r="E126" s="3" t="inlineStr">
        <is>
          <t>Use manufacturing establishments/production, not population by default. National = provinces + unallocated.</t>
        </is>
      </c>
    </row>
    <row r="127" ht="42" customHeight="1">
      <c r="A127" s="3" t="inlineStr">
        <is>
          <t>N123</t>
        </is>
      </c>
      <c r="B127" s="3" t="inlineStr">
        <is>
          <t>Manufacturing</t>
        </is>
      </c>
      <c r="C127" s="3" t="inlineStr">
        <is>
          <t>E15</t>
        </is>
      </c>
      <c r="D127" s="3" t="inlineStr">
        <is>
          <t>Manufacturing diesel demand</t>
        </is>
      </c>
      <c r="E127" s="3" t="inlineStr">
        <is>
          <t>Baseline × activity/100 × relative intensity × remaining diesel fraction. Not calculated until inputs and scope are agreed.</t>
        </is>
      </c>
    </row>
    <row r="128" ht="42" customHeight="1">
      <c r="A128" s="3" t="inlineStr">
        <is>
          <t>N124</t>
        </is>
      </c>
      <c r="B128" s="3" t="inlineStr">
        <is>
          <t>Manufacturing</t>
        </is>
      </c>
      <c r="C128" s="3" t="inlineStr">
        <is>
          <t>E16</t>
        </is>
      </c>
      <c r="D128" s="3" t="inlineStr">
        <is>
          <t>Observed manufacturing diesel</t>
        </is>
      </c>
      <c r="E128" s="3" t="inlineStr">
        <is>
          <t>Matched-period comparator; total national diesel sales cannot validate this segment alone.</t>
        </is>
      </c>
    </row>
    <row r="129" ht="42" customHeight="1">
      <c r="A129" s="3" t="inlineStr">
        <is>
          <t>N125</t>
        </is>
      </c>
      <c r="B129" s="3" t="inlineStr">
        <is>
          <t>Manufacturing</t>
        </is>
      </c>
      <c r="C129" s="3" t="inlineStr">
        <is>
          <t>E17</t>
        </is>
      </c>
      <c r="D129" s="3" t="inlineStr">
        <is>
          <t>Calculated less observed demand</t>
        </is>
      </c>
      <c r="E129" s="3" t="inlineStr">
        <is>
          <t>Reconcile only against matched manufacturing scope. No manufactured zero or assumed residual allocation.</t>
        </is>
      </c>
    </row>
    <row r="130" ht="42" customHeight="1">
      <c r="A130" s="3" t="inlineStr">
        <is>
          <t>N126</t>
        </is>
      </c>
      <c r="B130" s="3" t="inlineStr">
        <is>
          <t>Manufacturing</t>
        </is>
      </c>
      <c r="C130" s="3" t="inlineStr">
        <is>
          <t>E20</t>
        </is>
      </c>
      <c r="D130" s="3" t="inlineStr">
        <is>
          <t>Current combined industrial baseline</t>
        </is>
      </c>
      <c r="E130" s="3" t="inlineStr">
        <is>
          <t>ONE provisional total for manufacturing + mining + construction. Do not give the whole total to each sector.</t>
        </is>
      </c>
    </row>
    <row r="131" ht="42" customHeight="1">
      <c r="A131" s="3" t="inlineStr">
        <is>
          <t>N127</t>
        </is>
      </c>
      <c r="B131" s="3" t="inlineStr">
        <is>
          <t>Manufacturing</t>
        </is>
      </c>
      <c r="C131" s="3" t="inlineStr">
        <is>
          <t>E23</t>
        </is>
      </c>
      <c r="D131" s="3" t="inlineStr">
        <is>
          <t>Combined industrial diesel</t>
        </is>
      </c>
      <c r="E131" s="3" t="inlineStr">
        <is>
          <t>Existing engine output shown ONCE as a reference for the future split; includes mining and construction.</t>
        </is>
      </c>
    </row>
    <row r="132" ht="42" customHeight="1">
      <c r="A132" s="3" t="inlineStr">
        <is>
          <t>N128</t>
        </is>
      </c>
      <c r="B132" s="3" t="inlineStr">
        <is>
          <t>Manufacturing</t>
        </is>
      </c>
      <c r="C132" s="3" t="inlineStr">
        <is>
          <t>E26</t>
        </is>
      </c>
      <c r="D132" s="3" t="inlineStr">
        <is>
          <t>Split and reconcile the combined total</t>
        </is>
      </c>
      <c r="E132" s="3" t="inlineStr">
        <is>
          <t>Manufacturing + mining + construction/other + unallocated must explain the retained total or a reviewed revision. Do not silently drop construction.</t>
        </is>
      </c>
    </row>
    <row r="133" ht="42" customHeight="1">
      <c r="A133" s="3" t="inlineStr">
        <is>
          <t>N129</t>
        </is>
      </c>
      <c r="B133" s="3" t="inlineStr">
        <is>
          <t>Manufacturing</t>
        </is>
      </c>
      <c r="C133" s="3" t="inlineStr">
        <is>
          <t>E28</t>
        </is>
      </c>
      <c r="D133" s="3" t="inlineStr">
        <is>
          <t>Input source</t>
        </is>
      </c>
      <c r="E133" s="3" t="inlineStr">
        <is>
          <t>https://github.com/Africa-International-Advisors/liquid_fuels_model/blob/8c69f8333192483f19cd80911cb90fcd0943eb6b/assumptions/2026/industrial.yaml</t>
        </is>
      </c>
    </row>
    <row r="134" ht="42" customHeight="1">
      <c r="A134" s="3" t="inlineStr">
        <is>
          <t>N130</t>
        </is>
      </c>
      <c r="B134" s="3" t="inlineStr">
        <is>
          <t>Manufacturing</t>
        </is>
      </c>
      <c r="C134" s="3" t="inlineStr">
        <is>
          <t>E29</t>
        </is>
      </c>
      <c r="D134" s="3" t="inlineStr">
        <is>
          <t>Calculation source</t>
        </is>
      </c>
      <c r="E134" s="3" t="inlineStr">
        <is>
          <t>https://github.com/Africa-International-Advisors/liquid_fuels_model/blob/8c69f8333192483f19cd80911cb90fcd0943eb6b/src/lfm/model/demand/industrial.py</t>
        </is>
      </c>
    </row>
    <row r="135" ht="42" customHeight="1">
      <c r="A135" s="3" t="inlineStr">
        <is>
          <t>N131</t>
        </is>
      </c>
      <c r="B135" s="3" t="inlineStr">
        <is>
          <t>Manufacturing</t>
        </is>
      </c>
      <c r="C135" s="3" t="inlineStr">
        <is>
          <t>E32</t>
        </is>
      </c>
      <c r="D135" s="3" t="inlineStr">
        <is>
          <t>Manufacturing production volume</t>
        </is>
      </c>
      <c r="E135" s="3" t="inlineStr">
        <is>
          <t>Arithmetic mean of all 12 monthly production indices; 2026 Jan-Jul mean shown separately. Latest value in D: 2026-01 to 2026-07, 7 months; mean; not annualised.</t>
        </is>
      </c>
    </row>
    <row r="136" ht="42" customHeight="1">
      <c r="A136" s="3" t="inlineStr">
        <is>
          <t>N132</t>
        </is>
      </c>
      <c r="B136" s="3" t="inlineStr">
        <is>
          <t>Manufacturing</t>
        </is>
      </c>
      <c r="C136" s="3" t="inlineStr">
        <is>
          <t>T32</t>
        </is>
      </c>
      <c r="D136" s="3" t="inlineStr">
        <is>
          <t>Manufacturing production volume</t>
        </is>
      </c>
      <c r="E136" s="3" t="inlineStr">
        <is>
          <t>Unreviewed source extract; annual cells contain complete periods only.</t>
        </is>
      </c>
    </row>
    <row r="137" ht="42" customHeight="1">
      <c r="A137" s="3" t="inlineStr">
        <is>
          <t>N133</t>
        </is>
      </c>
      <c r="B137" s="3" t="inlineStr">
        <is>
          <t>Manufacturing</t>
        </is>
      </c>
      <c r="C137" s="3" t="inlineStr">
        <is>
          <t>U32</t>
        </is>
      </c>
      <c r="D137" s="3" t="inlineStr">
        <is>
          <t>Manufacturing production volume</t>
        </is>
      </c>
      <c r="E137" s="3" t="inlineStr">
        <is>
          <t>Evidence row 30; pptx/story/evidence_2026_10_06/activity_statssa_monthly.csv</t>
        </is>
      </c>
    </row>
    <row r="138" ht="42" customHeight="1">
      <c r="A138" s="3" t="inlineStr">
        <is>
          <t>N134</t>
        </is>
      </c>
      <c r="B138" s="3" t="inlineStr">
        <is>
          <t>Manufacturing</t>
        </is>
      </c>
      <c r="C138" s="3" t="inlineStr">
        <is>
          <t>V32</t>
        </is>
      </c>
      <c r="D138" s="3" t="inlineStr">
        <is>
          <t>Manufacturing production volume</t>
        </is>
      </c>
      <c r="E138" s="3" t="inlineStr">
        <is>
          <t>G06: match subsectors to fuel scope; rebase to chosen fuel-baseline year.</t>
        </is>
      </c>
    </row>
    <row r="139" ht="42" customHeight="1">
      <c r="A139" s="3" t="inlineStr">
        <is>
          <t>N135</t>
        </is>
      </c>
      <c r="B139" s="3" t="inlineStr">
        <is>
          <t>Manufacturing</t>
        </is>
      </c>
      <c r="C139" s="3" t="inlineStr">
        <is>
          <t>E33</t>
        </is>
      </c>
      <c r="D139" s="3" t="inlineStr">
        <is>
          <t>Manufacturing real GVA</t>
        </is>
      </c>
      <c r="E139" s="3" t="inlineStr">
        <is>
          <t>Stats SA annual actual in staged reporting copy. Sector value added is an activity proxy, not measured fuel use.</t>
        </is>
      </c>
    </row>
    <row r="140" ht="42" customHeight="1">
      <c r="A140" s="3" t="inlineStr">
        <is>
          <t>N136</t>
        </is>
      </c>
      <c r="B140" s="3" t="inlineStr">
        <is>
          <t>Manufacturing</t>
        </is>
      </c>
      <c r="C140" s="3" t="inlineStr">
        <is>
          <t>T33</t>
        </is>
      </c>
      <c r="D140" s="3" t="inlineStr">
        <is>
          <t>Manufacturing real GVA</t>
        </is>
      </c>
      <c r="E140" s="3" t="inlineStr">
        <is>
          <t>Unreviewed source extract; annual cells contain complete periods only.</t>
        </is>
      </c>
    </row>
    <row r="141" ht="42" customHeight="1">
      <c r="A141" s="3" t="inlineStr">
        <is>
          <t>N137</t>
        </is>
      </c>
      <c r="B141" s="3" t="inlineStr">
        <is>
          <t>Manufacturing</t>
        </is>
      </c>
      <c r="C141" s="3" t="inlineStr">
        <is>
          <t>U33</t>
        </is>
      </c>
      <c r="D141" s="3" t="inlineStr">
        <is>
          <t>Manufacturing real GVA</t>
        </is>
      </c>
      <c r="E141" s="3" t="inlineStr">
        <is>
          <t>Evidence row 27; pptx/story/evidence_2026_10_06/macro_statssa.csv</t>
        </is>
      </c>
    </row>
    <row r="142" ht="42" customHeight="1">
      <c r="A142" s="3" t="inlineStr">
        <is>
          <t>N138</t>
        </is>
      </c>
      <c r="B142" s="3" t="inlineStr">
        <is>
          <t>Manufacturing</t>
        </is>
      </c>
      <c r="C142" s="3" t="inlineStr">
        <is>
          <t>V33</t>
        </is>
      </c>
      <c r="D142" s="3" t="inlineStr">
        <is>
          <t>Manufacturing real GVA</t>
        </is>
      </c>
      <c r="E142" s="3" t="inlineStr">
        <is>
          <t>G06: alternative activity proxy, not additive to production-index growth.</t>
        </is>
      </c>
    </row>
    <row r="143" ht="42" customHeight="1">
      <c r="A143" s="3" t="inlineStr">
        <is>
          <t>N139</t>
        </is>
      </c>
      <c r="B143" s="3" t="inlineStr">
        <is>
          <t>Manufacturing</t>
        </is>
      </c>
      <c r="C143" s="3" t="inlineStr">
        <is>
          <t>E34</t>
        </is>
      </c>
      <c r="D143" s="3" t="inlineStr">
        <is>
          <t>2021 energy-balance industry total</t>
        </is>
      </c>
      <c r="E143" s="3" t="inlineStr">
        <is>
          <t>Parent industry total includes mining and construction. It is not manufacturing fuel demand.</t>
        </is>
      </c>
    </row>
    <row r="144" ht="42" customHeight="1">
      <c r="A144" s="3" t="inlineStr">
        <is>
          <t>N140</t>
        </is>
      </c>
      <c r="B144" s="3" t="inlineStr">
        <is>
          <t>Manufacturing</t>
        </is>
      </c>
      <c r="C144" s="3" t="inlineStr">
        <is>
          <t>U34</t>
        </is>
      </c>
      <c r="D144" s="3" t="inlineStr">
        <is>
          <t>2021 energy-balance industry total</t>
        </is>
      </c>
      <c r="E144" s="3" t="inlineStr">
        <is>
          <t>https://github.com/Africa-International-Advisors/liquid_fuels_model/blob/8c69f8333192483f19cd80911cb90fcd0943eb6b/assumptions/2026/timeseries/energy_balance_department.csv</t>
        </is>
      </c>
    </row>
    <row r="145" ht="42" customHeight="1">
      <c r="A145" s="3" t="inlineStr">
        <is>
          <t>N141</t>
        </is>
      </c>
      <c r="B145" s="3" t="inlineStr">
        <is>
          <t>Manufacturing</t>
        </is>
      </c>
      <c r="C145" s="3" t="inlineStr">
        <is>
          <t>V34</t>
        </is>
      </c>
      <c r="D145" s="3" t="inlineStr">
        <is>
          <t>2021 energy-balance industry total</t>
        </is>
      </c>
      <c r="E145" s="3" t="inlineStr">
        <is>
          <t>G06: reconcile manufacturing subsector rows and unspecified industry; do not double count parent and children.</t>
        </is>
      </c>
    </row>
    <row r="146" ht="42" customHeight="1">
      <c r="A146" s="3" t="inlineStr">
        <is>
          <t>N142</t>
        </is>
      </c>
      <c r="B146" s="3" t="inlineStr">
        <is>
          <t>Manufacturing</t>
        </is>
      </c>
      <c r="C146" s="3" t="inlineStr">
        <is>
          <t>E35</t>
        </is>
      </c>
      <c r="D146" s="3" t="inlineStr">
        <is>
          <t>2021 construction diesel</t>
        </is>
      </c>
      <c r="E146" s="3" t="inlineStr">
        <is>
          <t>Construction child of source industry total, shown separately to preserve scope.</t>
        </is>
      </c>
    </row>
    <row r="147" ht="42" customHeight="1">
      <c r="A147" s="3" t="inlineStr">
        <is>
          <t>N143</t>
        </is>
      </c>
      <c r="B147" s="3" t="inlineStr">
        <is>
          <t>Manufacturing</t>
        </is>
      </c>
      <c r="C147" s="3" t="inlineStr">
        <is>
          <t>U35</t>
        </is>
      </c>
      <c r="D147" s="3" t="inlineStr">
        <is>
          <t>2021 construction diesel</t>
        </is>
      </c>
      <c r="E147" s="3" t="inlineStr">
        <is>
          <t>https://github.com/Africa-International-Advisors/liquid_fuels_model/blob/8c69f8333192483f19cd80911cb90fcd0943eb6b/assumptions/2026/timeseries/energy_balance_department.csv</t>
        </is>
      </c>
    </row>
    <row r="148" ht="42" customHeight="1">
      <c r="A148" s="3" t="inlineStr">
        <is>
          <t>N144</t>
        </is>
      </c>
      <c r="B148" s="3" t="inlineStr">
        <is>
          <t>Manufacturing</t>
        </is>
      </c>
      <c r="C148" s="3" t="inlineStr">
        <is>
          <t>V35</t>
        </is>
      </c>
      <c r="D148" s="3" t="inlineStr">
        <is>
          <t>2021 construction diesel</t>
        </is>
      </c>
      <c r="E148" s="3" t="inlineStr">
        <is>
          <t>G06/G07: retain construction/other when splitting the model bucket.</t>
        </is>
      </c>
    </row>
    <row r="149" ht="42" customHeight="1">
      <c r="A149" s="3" t="inlineStr">
        <is>
          <t>N145</t>
        </is>
      </c>
      <c r="B149" s="3" t="inlineStr">
        <is>
          <t>Mining</t>
        </is>
      </c>
      <c r="C149" s="3" t="inlineStr">
        <is>
          <t>E6</t>
        </is>
      </c>
      <c r="D149" s="3" t="inlineStr">
        <is>
          <t>Reviewed mining baseline</t>
        </is>
      </c>
      <c r="E149" s="3" t="inlineStr">
        <is>
          <t>2021 mining fuel is shown in row 31. Source newer years and review scope before selecting a baseline.</t>
        </is>
      </c>
    </row>
    <row r="150" ht="42" customHeight="1">
      <c r="A150" s="3" t="inlineStr">
        <is>
          <t>N146</t>
        </is>
      </c>
      <c r="B150" s="3" t="inlineStr">
        <is>
          <t>Mining</t>
        </is>
      </c>
      <c r="C150" s="3" t="inlineStr">
        <is>
          <t>E8</t>
        </is>
      </c>
      <c r="D150" s="3" t="inlineStr">
        <is>
          <t>Mining activity index</t>
        </is>
      </c>
      <c r="E150" s="3" t="inlineStr">
        <is>
          <t>Production index and GVA now appear in rows 29-30. Select one coherent activity path, with mine-specific work where supported.</t>
        </is>
      </c>
    </row>
    <row r="151" ht="42" customHeight="1">
      <c r="A151" s="3" t="inlineStr">
        <is>
          <t>N147</t>
        </is>
      </c>
      <c r="B151" s="3" t="inlineStr">
        <is>
          <t>Mining</t>
        </is>
      </c>
      <c r="C151" s="3" t="inlineStr">
        <is>
          <t>E9</t>
        </is>
      </c>
      <c r="D151" s="3" t="inlineStr">
        <is>
          <t>Relative operating intensity</t>
        </is>
      </c>
      <c r="E151" s="3" t="inlineStr">
        <is>
          <t>Reflect depth, haul work, equipment mix and efficiency. Avoid duplicating work already embedded in the activity measure.</t>
        </is>
      </c>
    </row>
    <row r="152" ht="42" customHeight="1">
      <c r="A152" s="3" t="inlineStr">
        <is>
          <t>N148</t>
        </is>
      </c>
      <c r="B152" s="3" t="inlineStr">
        <is>
          <t>Mining</t>
        </is>
      </c>
      <c r="C152" s="3" t="inlineStr">
        <is>
          <t>E10</t>
        </is>
      </c>
      <c r="D152" s="3" t="inlineStr">
        <is>
          <t>Electrification: remaining diesel fraction</t>
        </is>
      </c>
      <c r="E152" s="3" t="inlineStr">
        <is>
          <t>Eligible off-road diesel work retained after switching equipment or haul systems. Fit by mine/equipment; do not apply road-truck uptake automatically.</t>
        </is>
      </c>
    </row>
    <row r="153" ht="42" customHeight="1">
      <c r="A153" s="3" t="inlineStr">
        <is>
          <t>N149</t>
        </is>
      </c>
      <c r="B153" s="3" t="inlineStr">
        <is>
          <t>Mining</t>
        </is>
      </c>
      <c r="C153" s="3" t="inlineStr">
        <is>
          <t>E12</t>
        </is>
      </c>
      <c r="D153" s="3" t="inlineStr">
        <is>
          <t>Provincial site / activity allocation</t>
        </is>
      </c>
      <c r="E153" s="3" t="inlineStr">
        <is>
          <t>Locate mine demand by site/activity; use explicit unallocated coverage if sites or fuel use are unknown.</t>
        </is>
      </c>
    </row>
    <row r="154" ht="42" customHeight="1">
      <c r="A154" s="3" t="inlineStr">
        <is>
          <t>N150</t>
        </is>
      </c>
      <c r="B154" s="3" t="inlineStr">
        <is>
          <t>Mining</t>
        </is>
      </c>
      <c r="C154" s="3" t="inlineStr">
        <is>
          <t>E15</t>
        </is>
      </c>
      <c r="D154" s="3" t="inlineStr">
        <is>
          <t>Mining diesel demand</t>
        </is>
      </c>
      <c r="E154" s="3" t="inlineStr">
        <is>
          <t>Baseline × activity/100 × relative intensity × remaining diesel fraction. Aggregate subsectors/sites where supported.</t>
        </is>
      </c>
    </row>
    <row r="155" ht="42" customHeight="1">
      <c r="A155" s="3" t="inlineStr">
        <is>
          <t>N151</t>
        </is>
      </c>
      <c r="B155" s="3" t="inlineStr">
        <is>
          <t>Mining</t>
        </is>
      </c>
      <c r="C155" s="3" t="inlineStr">
        <is>
          <t>E17</t>
        </is>
      </c>
      <c r="D155" s="3" t="inlineStr">
        <is>
          <t>Calculated less observed demand</t>
        </is>
      </c>
      <c r="E155" s="3" t="inlineStr">
        <is>
          <t>No numerical forecast or observed comparison until the sector baseline is sourced.</t>
        </is>
      </c>
    </row>
    <row r="156" ht="42" customHeight="1">
      <c r="A156" s="3" t="inlineStr">
        <is>
          <t>N152</t>
        </is>
      </c>
      <c r="B156" s="3" t="inlineStr">
        <is>
          <t>Mining</t>
        </is>
      </c>
      <c r="C156" s="3" t="inlineStr">
        <is>
          <t>E20</t>
        </is>
      </c>
      <c r="D156" s="3" t="inlineStr">
        <is>
          <t>Current combined model reference</t>
        </is>
      </c>
      <c r="E156" s="3" t="inlineStr">
        <is>
          <t>Manufacturing rows 20-24 hold the combined industrial baseline/output once. Mining has no separate current-engine result.</t>
        </is>
      </c>
    </row>
    <row r="157" ht="42" customHeight="1">
      <c r="A157" s="3" t="inlineStr">
        <is>
          <t>N153</t>
        </is>
      </c>
      <c r="B157" s="3" t="inlineStr">
        <is>
          <t>Mining</t>
        </is>
      </c>
      <c r="C157" s="3" t="inlineStr">
        <is>
          <t>E21</t>
        </is>
      </c>
      <c r="D157" s="3" t="inlineStr">
        <is>
          <t>Public-road freight boundary</t>
        </is>
      </c>
      <c r="E157" s="3" t="inlineStr">
        <is>
          <t>Mine-to-port road trucks belong to freight if already in that fleet/activity. Keep mine-site machinery and haulage in mining.</t>
        </is>
      </c>
    </row>
    <row r="158" ht="42" customHeight="1">
      <c r="A158" s="3" t="inlineStr">
        <is>
          <t>N154</t>
        </is>
      </c>
      <c r="B158" s="3" t="inlineStr">
        <is>
          <t>Mining</t>
        </is>
      </c>
      <c r="C158" s="3" t="inlineStr">
        <is>
          <t>E22</t>
        </is>
      </c>
      <c r="D158" s="3" t="inlineStr">
        <is>
          <t>Construction and other remainder</t>
        </is>
      </c>
      <c r="E158" s="3" t="inlineStr">
        <is>
          <t>Reconcile the combined baseline with manufacturing, mining and construction/other; retain unallocated demand explicitly.</t>
        </is>
      </c>
    </row>
    <row r="159" ht="42" customHeight="1">
      <c r="A159" s="3" t="inlineStr">
        <is>
          <t>N155</t>
        </is>
      </c>
      <c r="B159" s="3" t="inlineStr">
        <is>
          <t>Mining</t>
        </is>
      </c>
      <c r="C159" s="3" t="inlineStr">
        <is>
          <t>E24</t>
        </is>
      </c>
      <c r="D159" s="3" t="inlineStr">
        <is>
          <t>H/M/L brackets and reference case</t>
        </is>
      </c>
      <c r="E159" s="3" t="inlineStr">
        <is>
          <t>Agree mining activity, intensity and electrification separately. Higher remaining-diesel fraction raises fuel demand.</t>
        </is>
      </c>
    </row>
    <row r="160" ht="42" customHeight="1">
      <c r="A160" s="3" t="inlineStr">
        <is>
          <t>N156</t>
        </is>
      </c>
      <c r="B160" s="3" t="inlineStr">
        <is>
          <t>Mining</t>
        </is>
      </c>
      <c r="C160" s="3" t="inlineStr">
        <is>
          <t>E26</t>
        </is>
      </c>
      <c r="D160" s="3" t="inlineStr">
        <is>
          <t>Input source</t>
        </is>
      </c>
      <c r="E160" s="3" t="inlineStr">
        <is>
          <t>https://github.com/Africa-International-Advisors/liquid_fuels_model/blob/8c69f8333192483f19cd80911cb90fcd0943eb6b/assumptions/2026/industrial.yaml</t>
        </is>
      </c>
    </row>
    <row r="161" ht="42" customHeight="1">
      <c r="A161" s="3" t="inlineStr">
        <is>
          <t>N157</t>
        </is>
      </c>
      <c r="B161" s="3" t="inlineStr">
        <is>
          <t>Mining</t>
        </is>
      </c>
      <c r="C161" s="3" t="inlineStr">
        <is>
          <t>E29</t>
        </is>
      </c>
      <c r="D161" s="3" t="inlineStr">
        <is>
          <t>Mining production volume</t>
        </is>
      </c>
      <c r="E161" s="3" t="inlineStr">
        <is>
          <t>Arithmetic mean of all 12 monthly production indices; 2026 Jan-Jul mean shown separately. Latest value in D: 2026-01 to 2026-07, 7 months; mean; not annualised.</t>
        </is>
      </c>
    </row>
    <row r="162" ht="42" customHeight="1">
      <c r="A162" s="3" t="inlineStr">
        <is>
          <t>N158</t>
        </is>
      </c>
      <c r="B162" s="3" t="inlineStr">
        <is>
          <t>Mining</t>
        </is>
      </c>
      <c r="C162" s="3" t="inlineStr">
        <is>
          <t>T29</t>
        </is>
      </c>
      <c r="D162" s="3" t="inlineStr">
        <is>
          <t>Mining production volume</t>
        </is>
      </c>
      <c r="E162" s="3" t="inlineStr">
        <is>
          <t>Unreviewed source extract; annual cells contain complete periods only.</t>
        </is>
      </c>
    </row>
    <row r="163" ht="42" customHeight="1">
      <c r="A163" s="3" t="inlineStr">
        <is>
          <t>N159</t>
        </is>
      </c>
      <c r="B163" s="3" t="inlineStr">
        <is>
          <t>Mining</t>
        </is>
      </c>
      <c r="C163" s="3" t="inlineStr">
        <is>
          <t>U29</t>
        </is>
      </c>
      <c r="D163" s="3" t="inlineStr">
        <is>
          <t>Mining production volume</t>
        </is>
      </c>
      <c r="E163" s="3" t="inlineStr">
        <is>
          <t>Evidence row 31; pptx/story/evidence_2026_10_06/activity_statssa_monthly.csv</t>
        </is>
      </c>
    </row>
    <row r="164" ht="42" customHeight="1">
      <c r="A164" s="3" t="inlineStr">
        <is>
          <t>N160</t>
        </is>
      </c>
      <c r="B164" s="3" t="inlineStr">
        <is>
          <t>Mining</t>
        </is>
      </c>
      <c r="C164" s="3" t="inlineStr">
        <is>
          <t>V29</t>
        </is>
      </c>
      <c r="D164" s="3" t="inlineStr">
        <is>
          <t>Mining production volume</t>
        </is>
      </c>
      <c r="E164" s="3" t="inlineStr">
        <is>
          <t>G07: test commodity output versus material moved/haul work as diesel driver.</t>
        </is>
      </c>
    </row>
    <row r="165" ht="42" customHeight="1">
      <c r="A165" s="3" t="inlineStr">
        <is>
          <t>N161</t>
        </is>
      </c>
      <c r="B165" s="3" t="inlineStr">
        <is>
          <t>Mining</t>
        </is>
      </c>
      <c r="C165" s="3" t="inlineStr">
        <is>
          <t>E30</t>
        </is>
      </c>
      <c r="D165" s="3" t="inlineStr">
        <is>
          <t>Mining/quarrying real GVA</t>
        </is>
      </c>
      <c r="E165" s="3" t="inlineStr">
        <is>
          <t>Stats SA annual actual in staged reporting copy. Sector value added is an activity proxy, not measured fuel use.</t>
        </is>
      </c>
    </row>
    <row r="166" ht="42" customHeight="1">
      <c r="A166" s="3" t="inlineStr">
        <is>
          <t>N162</t>
        </is>
      </c>
      <c r="B166" s="3" t="inlineStr">
        <is>
          <t>Mining</t>
        </is>
      </c>
      <c r="C166" s="3" t="inlineStr">
        <is>
          <t>T30</t>
        </is>
      </c>
      <c r="D166" s="3" t="inlineStr">
        <is>
          <t>Mining/quarrying real GVA</t>
        </is>
      </c>
      <c r="E166" s="3" t="inlineStr">
        <is>
          <t>Unreviewed source extract; annual cells contain complete periods only.</t>
        </is>
      </c>
    </row>
    <row r="167" ht="42" customHeight="1">
      <c r="A167" s="3" t="inlineStr">
        <is>
          <t>N163</t>
        </is>
      </c>
      <c r="B167" s="3" t="inlineStr">
        <is>
          <t>Mining</t>
        </is>
      </c>
      <c r="C167" s="3" t="inlineStr">
        <is>
          <t>U30</t>
        </is>
      </c>
      <c r="D167" s="3" t="inlineStr">
        <is>
          <t>Mining/quarrying real GVA</t>
        </is>
      </c>
      <c r="E167" s="3" t="inlineStr">
        <is>
          <t>Evidence row 28; pptx/story/evidence_2026_10_06/macro_statssa.csv</t>
        </is>
      </c>
    </row>
    <row r="168" ht="42" customHeight="1">
      <c r="A168" s="3" t="inlineStr">
        <is>
          <t>N164</t>
        </is>
      </c>
      <c r="B168" s="3" t="inlineStr">
        <is>
          <t>Mining</t>
        </is>
      </c>
      <c r="C168" s="3" t="inlineStr">
        <is>
          <t>V30</t>
        </is>
      </c>
      <c r="D168" s="3" t="inlineStr">
        <is>
          <t>Mining/quarrying real GVA</t>
        </is>
      </c>
      <c r="E168" s="3" t="inlineStr">
        <is>
          <t>G07: alternative activity proxy; do not multiply both indices without calibration.</t>
        </is>
      </c>
    </row>
    <row r="169" ht="42" customHeight="1">
      <c r="A169" s="3" t="inlineStr">
        <is>
          <t>N165</t>
        </is>
      </c>
      <c r="B169" s="3" t="inlineStr">
        <is>
          <t>Mining</t>
        </is>
      </c>
      <c r="C169" s="3" t="inlineStr">
        <is>
          <t>U31</t>
        </is>
      </c>
      <c r="D169" s="3" t="inlineStr">
        <is>
          <t>2021 mining/quarrying diesel</t>
        </is>
      </c>
      <c r="E169" s="3" t="inlineStr">
        <is>
          <t>https://github.com/Africa-International-Advisors/liquid_fuels_model/blob/8c69f8333192483f19cd80911cb90fcd0943eb6b/assumptions/2026/timeseries/energy_balance_department.csv</t>
        </is>
      </c>
    </row>
    <row r="170" ht="42" customHeight="1">
      <c r="A170" s="3" t="inlineStr">
        <is>
          <t>N166</t>
        </is>
      </c>
      <c r="B170" s="3" t="inlineStr">
        <is>
          <t>Mining</t>
        </is>
      </c>
      <c r="C170" s="3" t="inlineStr">
        <is>
          <t>V31</t>
        </is>
      </c>
      <c r="D170" s="3" t="inlineStr">
        <is>
          <t>2021 mining/quarrying diesel</t>
        </is>
      </c>
      <c r="E170" s="3" t="inlineStr">
        <is>
          <t>G07: verify machinery/haulage/backup boundaries and newer fuel use.</t>
        </is>
      </c>
    </row>
    <row r="171" ht="42" customHeight="1">
      <c r="A171" s="3" t="inlineStr">
        <is>
          <t>N167</t>
        </is>
      </c>
      <c r="B171" s="3" t="inlineStr">
        <is>
          <t>Other demand</t>
        </is>
      </c>
      <c r="C171" s="3" t="inlineStr">
        <is>
          <t>E6</t>
        </is>
      </c>
      <c r="D171" s="3" t="inlineStr">
        <is>
          <t>Eskom OCGT generation</t>
        </is>
      </c>
      <c r="E171" s="3" t="inlineStr">
        <is>
          <t>Full financial year ending 31 March in the column year. Not calendar-year generation; fuel-burn bridge still required.</t>
        </is>
      </c>
    </row>
    <row r="172" ht="42" customHeight="1">
      <c r="A172" s="3" t="inlineStr">
        <is>
          <t>N168</t>
        </is>
      </c>
      <c r="B172" s="3" t="inlineStr">
        <is>
          <t>Other demand</t>
        </is>
      </c>
      <c r="C172" s="3" t="inlineStr">
        <is>
          <t>T6</t>
        </is>
      </c>
      <c r="D172" s="3" t="inlineStr">
        <is>
          <t>Eskom OCGT generation</t>
        </is>
      </c>
      <c r="E172" s="3" t="inlineStr">
        <is>
          <t>Unreviewed source extract; annual cells contain complete periods only.</t>
        </is>
      </c>
    </row>
    <row r="173" ht="42" customHeight="1">
      <c r="A173" s="3" t="inlineStr">
        <is>
          <t>N169</t>
        </is>
      </c>
      <c r="B173" s="3" t="inlineStr">
        <is>
          <t>Other demand</t>
        </is>
      </c>
      <c r="C173" s="3" t="inlineStr">
        <is>
          <t>U6</t>
        </is>
      </c>
      <c r="D173" s="3" t="inlineStr">
        <is>
          <t>Eskom OCGT generation</t>
        </is>
      </c>
      <c r="E173" s="3" t="inlineStr">
        <is>
          <t>Evidence row 34; assumptions/2026/timeseries/ocgt_generation_eskom.csv</t>
        </is>
      </c>
    </row>
    <row r="174" ht="42" customHeight="1">
      <c r="A174" s="3" t="inlineStr">
        <is>
          <t>N170</t>
        </is>
      </c>
      <c r="B174" s="3" t="inlineStr">
        <is>
          <t>Other demand</t>
        </is>
      </c>
      <c r="C174" s="3" t="inlineStr">
        <is>
          <t>V6</t>
        </is>
      </c>
      <c r="D174" s="3" t="inlineStr">
        <is>
          <t>Eskom OCGT generation</t>
        </is>
      </c>
      <c r="E174" s="3" t="inlineStr">
        <is>
          <t>G09: source matched litres and convert FY evidence to calendar-year basis.</t>
        </is>
      </c>
    </row>
    <row r="175" ht="42" customHeight="1">
      <c r="A175" s="3" t="inlineStr">
        <is>
          <t>N171</t>
        </is>
      </c>
      <c r="B175" s="3" t="inlineStr">
        <is>
          <t>Other demand</t>
        </is>
      </c>
      <c r="C175" s="3" t="inlineStr">
        <is>
          <t>E7</t>
        </is>
      </c>
      <c r="D175" s="3" t="inlineStr">
        <is>
          <t>IPP OCGT generation</t>
        </is>
      </c>
      <c r="E175" s="3" t="inlineStr">
        <is>
          <t>Full financial year ending 31 March in the column year. Not calendar-year generation; fuel-burn bridge still required.</t>
        </is>
      </c>
    </row>
    <row r="176" ht="42" customHeight="1">
      <c r="A176" s="3" t="inlineStr">
        <is>
          <t>N172</t>
        </is>
      </c>
      <c r="B176" s="3" t="inlineStr">
        <is>
          <t>Other demand</t>
        </is>
      </c>
      <c r="C176" s="3" t="inlineStr">
        <is>
          <t>T7</t>
        </is>
      </c>
      <c r="D176" s="3" t="inlineStr">
        <is>
          <t>IPP OCGT generation</t>
        </is>
      </c>
      <c r="E176" s="3" t="inlineStr">
        <is>
          <t>Unreviewed source extract; annual cells contain complete periods only.</t>
        </is>
      </c>
    </row>
    <row r="177" ht="42" customHeight="1">
      <c r="A177" s="3" t="inlineStr">
        <is>
          <t>N173</t>
        </is>
      </c>
      <c r="B177" s="3" t="inlineStr">
        <is>
          <t>Other demand</t>
        </is>
      </c>
      <c r="C177" s="3" t="inlineStr">
        <is>
          <t>U7</t>
        </is>
      </c>
      <c r="D177" s="3" t="inlineStr">
        <is>
          <t>IPP OCGT generation</t>
        </is>
      </c>
      <c r="E177" s="3" t="inlineStr">
        <is>
          <t>Evidence row 35; assumptions/2026/timeseries/ocgt_generation_eskom.csv</t>
        </is>
      </c>
    </row>
    <row r="178" ht="42" customHeight="1">
      <c r="A178" s="3" t="inlineStr">
        <is>
          <t>N174</t>
        </is>
      </c>
      <c r="B178" s="3" t="inlineStr">
        <is>
          <t>Other demand</t>
        </is>
      </c>
      <c r="C178" s="3" t="inlineStr">
        <is>
          <t>E8</t>
        </is>
      </c>
      <c r="D178" s="3" t="inlineStr">
        <is>
          <t>Combined OCGT generation</t>
        </is>
      </c>
      <c r="E178" s="3" t="inlineStr">
        <is>
          <t>Full financial year ending 31 March in the column year. Not calendar-year generation; fuel-burn bridge still required.</t>
        </is>
      </c>
    </row>
    <row r="179" ht="42" customHeight="1">
      <c r="A179" s="3" t="inlineStr">
        <is>
          <t>N175</t>
        </is>
      </c>
      <c r="B179" s="3" t="inlineStr">
        <is>
          <t>Other demand</t>
        </is>
      </c>
      <c r="C179" s="3" t="inlineStr">
        <is>
          <t>T8</t>
        </is>
      </c>
      <c r="D179" s="3" t="inlineStr">
        <is>
          <t>Combined OCGT generation</t>
        </is>
      </c>
      <c r="E179" s="3" t="inlineStr">
        <is>
          <t>Unreviewed source extract; annual cells contain complete periods only.</t>
        </is>
      </c>
    </row>
    <row r="180" ht="42" customHeight="1">
      <c r="A180" s="3" t="inlineStr">
        <is>
          <t>N176</t>
        </is>
      </c>
      <c r="B180" s="3" t="inlineStr">
        <is>
          <t>Other demand</t>
        </is>
      </c>
      <c r="C180" s="3" t="inlineStr">
        <is>
          <t>U8</t>
        </is>
      </c>
      <c r="D180" s="3" t="inlineStr">
        <is>
          <t>Combined OCGT generation</t>
        </is>
      </c>
      <c r="E180" s="3" t="inlineStr">
        <is>
          <t>Evidence row 36; assumptions/2026/timeseries/ocgt_generation_eskom.csv</t>
        </is>
      </c>
    </row>
    <row r="181" ht="42" customHeight="1">
      <c r="A181" s="3" t="inlineStr">
        <is>
          <t>N177</t>
        </is>
      </c>
      <c r="B181" s="3" t="inlineStr">
        <is>
          <t>Other demand</t>
        </is>
      </c>
      <c r="C181" s="3" t="inlineStr">
        <is>
          <t>U9</t>
        </is>
      </c>
      <c r="D181" s="3" t="inlineStr">
        <is>
          <t>Current engine load factor</t>
        </is>
      </c>
      <c r="E181" s="3" t="inlineStr">
        <is>
          <t>https://github.com/Africa-International-Advisors/liquid_fuels_model/blob/8c69f8333192483f19cd80911cb90fcd0943eb6b/assumptions/2026/generation.yaml</t>
        </is>
      </c>
    </row>
    <row r="182" ht="42" customHeight="1">
      <c r="A182" s="3" t="inlineStr">
        <is>
          <t>N178</t>
        </is>
      </c>
      <c r="B182" s="3" t="inlineStr">
        <is>
          <t>Other demand</t>
        </is>
      </c>
      <c r="C182" s="3" t="inlineStr">
        <is>
          <t>U10</t>
        </is>
      </c>
      <c r="D182" s="3" t="inlineStr">
        <is>
          <t>Current thermal efficiency</t>
        </is>
      </c>
      <c r="E182" s="3" t="inlineStr">
        <is>
          <t>https://github.com/Africa-International-Advisors/liquid_fuels_model/blob/8c69f8333192483f19cd80911cb90fcd0943eb6b/assumptions/2026/generation.yaml</t>
        </is>
      </c>
    </row>
    <row r="183" ht="42" customHeight="1">
      <c r="A183" s="3" t="inlineStr">
        <is>
          <t>N179</t>
        </is>
      </c>
      <c r="B183" s="3" t="inlineStr">
        <is>
          <t>Other demand</t>
        </is>
      </c>
      <c r="C183" s="3" t="inlineStr">
        <is>
          <t>U11</t>
        </is>
      </c>
      <c r="D183" s="3" t="inlineStr">
        <is>
          <t>Diesel energy content</t>
        </is>
      </c>
      <c r="E183" s="3" t="inlineStr">
        <is>
          <t>https://github.com/Africa-International-Advisors/liquid_fuels_model/blob/8c69f8333192483f19cd80911cb90fcd0943eb6b/assumptions/2026/generation.yaml</t>
        </is>
      </c>
    </row>
    <row r="184" ht="42" customHeight="1">
      <c r="A184" s="3" t="inlineStr">
        <is>
          <t>N180</t>
        </is>
      </c>
      <c r="B184" s="3" t="inlineStr">
        <is>
          <t>Other demand</t>
        </is>
      </c>
      <c r="C184" s="3" t="inlineStr">
        <is>
          <t>E12</t>
        </is>
      </c>
      <c r="D184" s="3" t="inlineStr">
        <is>
          <t>Current OCGT diesel demand</t>
        </is>
      </c>
      <c r="E184" s="3" t="inlineStr">
        <is>
          <t>Calendar-year model output; do not directly tie to FY generation without a bridge.</t>
        </is>
      </c>
    </row>
    <row r="185" ht="42" customHeight="1">
      <c r="A185" s="3" t="inlineStr">
        <is>
          <t>N181</t>
        </is>
      </c>
      <c r="B185" s="3" t="inlineStr">
        <is>
          <t>Other demand</t>
        </is>
      </c>
      <c r="C185" s="3" t="inlineStr">
        <is>
          <t>U12</t>
        </is>
      </c>
      <c r="D185" s="3" t="inlineStr">
        <is>
          <t>Current OCGT diesel demand</t>
        </is>
      </c>
      <c r="E185" s="3" t="inlineStr">
        <is>
          <t>https://github.com/Africa-International-Advisors/liquid_fuels_model/blob/8c69f8333192483f19cd80911cb90fcd0943eb6b/src/lfm/model/demand/generation.py</t>
        </is>
      </c>
    </row>
    <row r="186" ht="42" customHeight="1">
      <c r="A186" s="3" t="inlineStr">
        <is>
          <t>N182</t>
        </is>
      </c>
      <c r="B186" s="3" t="inlineStr">
        <is>
          <t>Other demand</t>
        </is>
      </c>
      <c r="C186" s="3" t="inlineStr">
        <is>
          <t>E13</t>
        </is>
      </c>
      <c r="D186" s="3" t="inlineStr">
        <is>
          <t>Private backup diesel baseline</t>
        </is>
      </c>
      <c r="E186" s="3" t="inlineStr">
        <is>
          <t>No separate observed litres established. Some may already be in sector fuel records.</t>
        </is>
      </c>
    </row>
    <row r="187" ht="42" customHeight="1">
      <c r="A187" s="3" t="inlineStr">
        <is>
          <t>N183</t>
        </is>
      </c>
      <c r="B187" s="3" t="inlineStr">
        <is>
          <t>Other demand</t>
        </is>
      </c>
      <c r="C187" s="3" t="inlineStr">
        <is>
          <t>E17</t>
        </is>
      </c>
      <c r="D187" s="3" t="inlineStr">
        <is>
          <t>ACSA aircraft departures</t>
        </is>
      </c>
      <c r="E187" s="3" t="inlineStr">
        <is>
          <t>ACSA departures only; sums monthly total-flight rows without double counting flight categories. 2026 is Jan-Aug, not annualised. Latest value in D: 2026-01 to 2026-08, 8 months; sum; not annualised.</t>
        </is>
      </c>
    </row>
    <row r="188" ht="42" customHeight="1">
      <c r="A188" s="3" t="inlineStr">
        <is>
          <t>N184</t>
        </is>
      </c>
      <c r="B188" s="3" t="inlineStr">
        <is>
          <t>Other demand</t>
        </is>
      </c>
      <c r="C188" s="3" t="inlineStr">
        <is>
          <t>T17</t>
        </is>
      </c>
      <c r="D188" s="3" t="inlineStr">
        <is>
          <t>ACSA aircraft departures</t>
        </is>
      </c>
      <c r="E188" s="3" t="inlineStr">
        <is>
          <t>Unreviewed source extract; annual cells contain complete periods only.</t>
        </is>
      </c>
    </row>
    <row r="189" ht="42" customHeight="1">
      <c r="A189" s="3" t="inlineStr">
        <is>
          <t>N185</t>
        </is>
      </c>
      <c r="B189" s="3" t="inlineStr">
        <is>
          <t>Other demand</t>
        </is>
      </c>
      <c r="C189" s="3" t="inlineStr">
        <is>
          <t>U17</t>
        </is>
      </c>
      <c r="D189" s="3" t="inlineStr">
        <is>
          <t>ACSA aircraft departures</t>
        </is>
      </c>
      <c r="E189" s="3" t="inlineStr">
        <is>
          <t>Evidence row 38; assumptions/2026/timeseries/air_traffic_acsa.csv</t>
        </is>
      </c>
    </row>
    <row r="190" ht="42" customHeight="1">
      <c r="A190" s="3" t="inlineStr">
        <is>
          <t>N186</t>
        </is>
      </c>
      <c r="B190" s="3" t="inlineStr">
        <is>
          <t>Other demand</t>
        </is>
      </c>
      <c r="C190" s="3" t="inlineStr">
        <is>
          <t>V17</t>
        </is>
      </c>
      <c r="D190" s="3" t="inlineStr">
        <is>
          <t>ACSA aircraft departures</t>
        </is>
      </c>
      <c r="E190" s="3" t="inlineStr">
        <is>
          <t>G10: fit movements to jet uplift, aircraft/route mix and non-ACSA coverage.</t>
        </is>
      </c>
    </row>
    <row r="191" ht="42" customHeight="1">
      <c r="A191" s="3" t="inlineStr">
        <is>
          <t>N187</t>
        </is>
      </c>
      <c r="B191" s="3" t="inlineStr">
        <is>
          <t>Other demand</t>
        </is>
      </c>
      <c r="C191" s="3" t="inlineStr">
        <is>
          <t>E18</t>
        </is>
      </c>
      <c r="D191" s="3" t="inlineStr">
        <is>
          <t>ACSA passenger departures</t>
        </is>
      </c>
      <c r="E191" s="3" t="inlineStr">
        <is>
          <t>ACSA departures only; sums monthly total-flight rows without double counting flight categories. 2026 is Jan-Aug, not annualised. Latest value in D: 2026-01 to 2026-08, 8 months; sum; not annualised.</t>
        </is>
      </c>
    </row>
    <row r="192" ht="42" customHeight="1">
      <c r="A192" s="3" t="inlineStr">
        <is>
          <t>N188</t>
        </is>
      </c>
      <c r="B192" s="3" t="inlineStr">
        <is>
          <t>Other demand</t>
        </is>
      </c>
      <c r="C192" s="3" t="inlineStr">
        <is>
          <t>T18</t>
        </is>
      </c>
      <c r="D192" s="3" t="inlineStr">
        <is>
          <t>ACSA passenger departures</t>
        </is>
      </c>
      <c r="E192" s="3" t="inlineStr">
        <is>
          <t>Unreviewed source extract; annual cells contain complete periods only.</t>
        </is>
      </c>
    </row>
    <row r="193" ht="42" customHeight="1">
      <c r="A193" s="3" t="inlineStr">
        <is>
          <t>N189</t>
        </is>
      </c>
      <c r="B193" s="3" t="inlineStr">
        <is>
          <t>Other demand</t>
        </is>
      </c>
      <c r="C193" s="3" t="inlineStr">
        <is>
          <t>U18</t>
        </is>
      </c>
      <c r="D193" s="3" t="inlineStr">
        <is>
          <t>ACSA passenger departures</t>
        </is>
      </c>
      <c r="E193" s="3" t="inlineStr">
        <is>
          <t>Evidence row 37; assumptions/2026/timeseries/air_traffic_acsa.csv</t>
        </is>
      </c>
    </row>
    <row r="194" ht="42" customHeight="1">
      <c r="A194" s="3" t="inlineStr">
        <is>
          <t>N190</t>
        </is>
      </c>
      <c r="B194" s="3" t="inlineStr">
        <is>
          <t>Other demand</t>
        </is>
      </c>
      <c r="C194" s="3" t="inlineStr">
        <is>
          <t>U19</t>
        </is>
      </c>
      <c r="D194" s="3" t="inlineStr">
        <is>
          <t>Current engine passenger departures</t>
        </is>
      </c>
      <c r="E194" s="3" t="inlineStr">
        <is>
          <t>https://github.com/Africa-International-Advisors/liquid_fuels_model/blob/8c69f8333192483f19cd80911cb90fcd0943eb6b/assumptions/2026/aviation.yaml</t>
        </is>
      </c>
    </row>
    <row r="195" ht="42" customHeight="1">
      <c r="A195" s="3" t="inlineStr">
        <is>
          <t>N191</t>
        </is>
      </c>
      <c r="B195" s="3" t="inlineStr">
        <is>
          <t>Other demand</t>
        </is>
      </c>
      <c r="C195" s="3" t="inlineStr">
        <is>
          <t>V19</t>
        </is>
      </c>
      <c r="D195" s="3" t="inlineStr">
        <is>
          <t>Current engine passenger departures</t>
        </is>
      </c>
      <c r="E195" s="3" t="inlineStr">
        <is>
          <t>Fit proposed movement-based model before replacing passenger relationship.</t>
        </is>
      </c>
    </row>
    <row r="196" ht="42" customHeight="1">
      <c r="A196" s="3" t="inlineStr">
        <is>
          <t>N192</t>
        </is>
      </c>
      <c r="B196" s="3" t="inlineStr">
        <is>
          <t>Other demand</t>
        </is>
      </c>
      <c r="C196" s="3" t="inlineStr">
        <is>
          <t>U20</t>
        </is>
      </c>
      <c r="D196" s="3" t="inlineStr">
        <is>
          <t>Current jet demand</t>
        </is>
      </c>
      <c r="E196" s="3" t="inlineStr">
        <is>
          <t>https://github.com/Africa-International-Advisors/liquid_fuels_model/blob/8c69f8333192483f19cd80911cb90fcd0943eb6b/src/lfm/model/demand/aviation.py</t>
        </is>
      </c>
    </row>
    <row r="197" ht="42" customHeight="1">
      <c r="A197" s="3" t="inlineStr">
        <is>
          <t>N193</t>
        </is>
      </c>
      <c r="B197" s="3" t="inlineStr">
        <is>
          <t>Other demand</t>
        </is>
      </c>
      <c r="C197" s="3" t="inlineStr">
        <is>
          <t>E21</t>
        </is>
      </c>
      <c r="D197" s="3" t="inlineStr">
        <is>
          <t>Reported jet sales - FIASA</t>
        </is>
      </c>
      <c r="E197" s="3" t="inlineStr">
        <is>
          <t>FIASA staged reported sales; latest edition selected by existing extract. 2024 revisions unresolved; not verified consumption.</t>
        </is>
      </c>
    </row>
    <row r="198" ht="42" customHeight="1">
      <c r="A198" s="3" t="inlineStr">
        <is>
          <t>N194</t>
        </is>
      </c>
      <c r="B198" s="3" t="inlineStr">
        <is>
          <t>Other demand</t>
        </is>
      </c>
      <c r="C198" s="3" t="inlineStr">
        <is>
          <t>T21</t>
        </is>
      </c>
      <c r="D198" s="3" t="inlineStr">
        <is>
          <t>Reported jet sales - FIASA</t>
        </is>
      </c>
      <c r="E198" s="3" t="inlineStr">
        <is>
          <t>Unreviewed source extract; annual cells contain complete periods only.</t>
        </is>
      </c>
    </row>
    <row r="199" ht="42" customHeight="1">
      <c r="A199" s="3" t="inlineStr">
        <is>
          <t>N195</t>
        </is>
      </c>
      <c r="B199" s="3" t="inlineStr">
        <is>
          <t>Other demand</t>
        </is>
      </c>
      <c r="C199" s="3" t="inlineStr">
        <is>
          <t>V21</t>
        </is>
      </c>
      <c r="D199" s="3" t="inlineStr">
        <is>
          <t>Reported jet sales - FIASA</t>
        </is>
      </c>
      <c r="E199" s="3" t="inlineStr">
        <is>
          <t>G10: match fuel product, airport/airline and international coverage.</t>
        </is>
      </c>
    </row>
    <row r="200" ht="42" customHeight="1">
      <c r="A200" s="3" t="inlineStr">
        <is>
          <t>N196</t>
        </is>
      </c>
      <c r="B200" s="3" t="inlineStr">
        <is>
          <t>Other demand</t>
        </is>
      </c>
      <c r="C200" s="3" t="inlineStr">
        <is>
          <t>E22</t>
        </is>
      </c>
      <c r="D200" s="3" t="inlineStr">
        <is>
          <t>Legacy jet regression intercept</t>
        </is>
      </c>
      <c r="E200" s="3" t="inlineStr">
        <is>
          <t>Jet = intercept + GDP/capita coefficient × GDP/capita + passenger coefficient × departures.</t>
        </is>
      </c>
    </row>
    <row r="201" ht="42" customHeight="1">
      <c r="A201" s="3" t="inlineStr">
        <is>
          <t>N197</t>
        </is>
      </c>
      <c r="B201" s="3" t="inlineStr">
        <is>
          <t>Other demand</t>
        </is>
      </c>
      <c r="C201" s="3" t="inlineStr">
        <is>
          <t>U22</t>
        </is>
      </c>
      <c r="D201" s="3" t="inlineStr">
        <is>
          <t>Legacy jet regression intercept</t>
        </is>
      </c>
      <c r="E201" s="3" t="inlineStr">
        <is>
          <t>https://github.com/Africa-International-Advisors/liquid_fuels_model/blob/8c69f8333192483f19cd80911cb90fcd0943eb6b/assumptions/2026/aviation.yaml</t>
        </is>
      </c>
    </row>
    <row r="202" ht="42" customHeight="1">
      <c r="A202" s="3" t="inlineStr">
        <is>
          <t>N198</t>
        </is>
      </c>
      <c r="B202" s="3" t="inlineStr">
        <is>
          <t>Other demand</t>
        </is>
      </c>
      <c r="C202" s="3" t="inlineStr">
        <is>
          <t>U23</t>
        </is>
      </c>
      <c r="D202" s="3" t="inlineStr">
        <is>
          <t>GDP/capita coefficient</t>
        </is>
      </c>
      <c r="E202" s="3" t="inlineStr">
        <is>
          <t>https://github.com/Africa-International-Advisors/liquid_fuels_model/blob/8c69f8333192483f19cd80911cb90fcd0943eb6b/assumptions/2026/aviation.yaml</t>
        </is>
      </c>
    </row>
    <row r="203" ht="42" customHeight="1">
      <c r="A203" s="3" t="inlineStr">
        <is>
          <t>N199</t>
        </is>
      </c>
      <c r="B203" s="3" t="inlineStr">
        <is>
          <t>Other demand</t>
        </is>
      </c>
      <c r="C203" s="3" t="inlineStr">
        <is>
          <t>U24</t>
        </is>
      </c>
      <c r="D203" s="3" t="inlineStr">
        <is>
          <t>Passenger coefficient</t>
        </is>
      </c>
      <c r="E203" s="3" t="inlineStr">
        <is>
          <t>https://github.com/Africa-International-Advisors/liquid_fuels_model/blob/8c69f8333192483f19cd80911cb90fcd0943eb6b/assumptions/2026/aviation.yaml</t>
        </is>
      </c>
    </row>
    <row r="204" ht="42" customHeight="1">
      <c r="A204" s="3" t="inlineStr">
        <is>
          <t>N200</t>
        </is>
      </c>
      <c r="B204" s="3" t="inlineStr">
        <is>
          <t>Other demand</t>
        </is>
      </c>
      <c r="C204" s="3" t="inlineStr">
        <is>
          <t>U28</t>
        </is>
      </c>
      <c r="D204" s="3" t="inlineStr">
        <is>
          <t>durban provisional port baseline</t>
        </is>
      </c>
      <c r="E204" s="3" t="inlineStr">
        <is>
          <t>https://github.com/Africa-International-Advisors/liquid_fuels_model/blob/8c69f8333192483f19cd80911cb90fcd0943eb6b/assumptions/2026/marine.yaml</t>
        </is>
      </c>
    </row>
    <row r="205" ht="42" customHeight="1">
      <c r="A205" s="3" t="inlineStr">
        <is>
          <t>N201</t>
        </is>
      </c>
      <c r="B205" s="3" t="inlineStr">
        <is>
          <t>Other demand</t>
        </is>
      </c>
      <c r="C205" s="3" t="inlineStr">
        <is>
          <t>U29</t>
        </is>
      </c>
      <c r="D205" s="3" t="inlineStr">
        <is>
          <t>cape_town provisional port baseline</t>
        </is>
      </c>
      <c r="E205" s="3" t="inlineStr">
        <is>
          <t>https://github.com/Africa-International-Advisors/liquid_fuels_model/blob/8c69f8333192483f19cd80911cb90fcd0943eb6b/assumptions/2026/marine.yaml</t>
        </is>
      </c>
    </row>
    <row r="206" ht="42" customHeight="1">
      <c r="A206" s="3" t="inlineStr">
        <is>
          <t>N202</t>
        </is>
      </c>
      <c r="B206" s="3" t="inlineStr">
        <is>
          <t>Other demand</t>
        </is>
      </c>
      <c r="C206" s="3" t="inlineStr">
        <is>
          <t>U30</t>
        </is>
      </c>
      <c r="D206" s="3" t="inlineStr">
        <is>
          <t>saldanha provisional port baseline</t>
        </is>
      </c>
      <c r="E206" s="3" t="inlineStr">
        <is>
          <t>https://github.com/Africa-International-Advisors/liquid_fuels_model/blob/8c69f8333192483f19cd80911cb90fcd0943eb6b/assumptions/2026/marine.yaml</t>
        </is>
      </c>
    </row>
    <row r="207" ht="42" customHeight="1">
      <c r="A207" s="3" t="inlineStr">
        <is>
          <t>N203</t>
        </is>
      </c>
      <c r="B207" s="3" t="inlineStr">
        <is>
          <t>Other demand</t>
        </is>
      </c>
      <c r="C207" s="3" t="inlineStr">
        <is>
          <t>U31</t>
        </is>
      </c>
      <c r="D207" s="3" t="inlineStr">
        <is>
          <t>Marine GDP/capita elasticity</t>
        </is>
      </c>
      <c r="E207" s="3" t="inlineStr">
        <is>
          <t>https://github.com/Africa-International-Advisors/liquid_fuels_model/blob/8c69f8333192483f19cd80911cb90fcd0943eb6b/assumptions/2026/marine.yaml</t>
        </is>
      </c>
    </row>
    <row r="208" ht="42" customHeight="1">
      <c r="A208" s="3" t="inlineStr">
        <is>
          <t>N204</t>
        </is>
      </c>
      <c r="B208" s="3" t="inlineStr">
        <is>
          <t>Other demand</t>
        </is>
      </c>
      <c r="C208" s="3" t="inlineStr">
        <is>
          <t>U32</t>
        </is>
      </c>
      <c r="D208" s="3" t="inlineStr">
        <is>
          <t>Marine fuel-oil share</t>
        </is>
      </c>
      <c r="E208" s="3" t="inlineStr">
        <is>
          <t>https://github.com/Africa-International-Advisors/liquid_fuels_model/blob/8c69f8333192483f19cd80911cb90fcd0943eb6b/assumptions/2026/marine.yaml</t>
        </is>
      </c>
    </row>
    <row r="209" ht="42" customHeight="1">
      <c r="A209" s="3" t="inlineStr">
        <is>
          <t>N205</t>
        </is>
      </c>
      <c r="B209" s="3" t="inlineStr">
        <is>
          <t>Other demand</t>
        </is>
      </c>
      <c r="C209" s="3" t="inlineStr">
        <is>
          <t>U33</t>
        </is>
      </c>
      <c r="D209" s="3" t="inlineStr">
        <is>
          <t>Marine diesel share</t>
        </is>
      </c>
      <c r="E209" s="3" t="inlineStr">
        <is>
          <t>https://github.com/Africa-International-Advisors/liquid_fuels_model/blob/8c69f8333192483f19cd80911cb90fcd0943eb6b/assumptions/2026/marine.yaml</t>
        </is>
      </c>
    </row>
    <row r="210" ht="42" customHeight="1">
      <c r="A210" s="3" t="inlineStr">
        <is>
          <t>N206</t>
        </is>
      </c>
      <c r="B210" s="3" t="inlineStr">
        <is>
          <t>Other demand</t>
        </is>
      </c>
      <c r="C210" s="3" t="inlineStr">
        <is>
          <t>U34</t>
        </is>
      </c>
      <c r="D210" s="3" t="inlineStr">
        <is>
          <t>Marine diesel demand</t>
        </is>
      </c>
      <c r="E210" s="3" t="inlineStr">
        <is>
          <t>https://github.com/Africa-International-Advisors/liquid_fuels_model/blob/8c69f8333192483f19cd80911cb90fcd0943eb6b/src/lfm/model/demand/marine.py</t>
        </is>
      </c>
    </row>
    <row r="211" ht="42" customHeight="1">
      <c r="A211" s="3" t="inlineStr">
        <is>
          <t>N207</t>
        </is>
      </c>
      <c r="B211" s="3" t="inlineStr">
        <is>
          <t>Other demand</t>
        </is>
      </c>
      <c r="C211" s="3" t="inlineStr">
        <is>
          <t>U35</t>
        </is>
      </c>
      <c r="D211" s="3" t="inlineStr">
        <is>
          <t>Marine fuel-oil demand</t>
        </is>
      </c>
      <c r="E211" s="3" t="inlineStr">
        <is>
          <t>https://github.com/Africa-International-Advisors/liquid_fuels_model/blob/8c69f8333192483f19cd80911cb90fcd0943eb6b/src/lfm/model/demand/marine.py</t>
        </is>
      </c>
    </row>
    <row r="212" ht="42" customHeight="1">
      <c r="A212" s="3" t="inlineStr">
        <is>
          <t>N208</t>
        </is>
      </c>
      <c r="B212" s="3" t="inlineStr">
        <is>
          <t>Evidence</t>
        </is>
      </c>
      <c r="C212" s="3" t="inlineStr">
        <is>
          <t>E5</t>
        </is>
      </c>
      <c r="D212" s="3" t="inlineStr">
        <is>
          <t>sales_petrol</t>
        </is>
      </c>
      <c r="E212" s="3" t="inlineStr">
        <is>
          <t>FIASA staged reported sales; latest edition selected by existing extract. 2024 revisions unresolved; not verified consumption.</t>
        </is>
      </c>
    </row>
    <row r="213" ht="42" customHeight="1">
      <c r="A213" s="3" t="inlineStr">
        <is>
          <t>N209</t>
        </is>
      </c>
      <c r="B213" s="3" t="inlineStr">
        <is>
          <t>Evidence</t>
        </is>
      </c>
      <c r="C213" s="3" t="inlineStr">
        <is>
          <t>E6</t>
        </is>
      </c>
      <c r="D213" s="3" t="inlineStr">
        <is>
          <t>dept_petrol</t>
        </is>
      </c>
      <c r="E213" s="3" t="inlineStr">
        <is>
          <t>Department sales with four reported quarters. Preserve differences from FIASA; no automatic source selection.</t>
        </is>
      </c>
    </row>
    <row r="214" ht="42" customHeight="1">
      <c r="A214" s="3" t="inlineStr">
        <is>
          <t>N210</t>
        </is>
      </c>
      <c r="B214" s="3" t="inlineStr">
        <is>
          <t>Evidence</t>
        </is>
      </c>
      <c r="C214" s="3" t="inlineStr">
        <is>
          <t>E7</t>
        </is>
      </c>
      <c r="D214" s="3" t="inlineStr">
        <is>
          <t>sales_diesel</t>
        </is>
      </c>
      <c r="E214" s="3" t="inlineStr">
        <is>
          <t>FIASA staged reported sales; latest edition selected by existing extract. 2024 revisions unresolved; not verified consumption.</t>
        </is>
      </c>
    </row>
    <row r="215" ht="42" customHeight="1">
      <c r="A215" s="3" t="inlineStr">
        <is>
          <t>N211</t>
        </is>
      </c>
      <c r="B215" s="3" t="inlineStr">
        <is>
          <t>Evidence</t>
        </is>
      </c>
      <c r="C215" s="3" t="inlineStr">
        <is>
          <t>E8</t>
        </is>
      </c>
      <c r="D215" s="3" t="inlineStr">
        <is>
          <t>dept_diesel</t>
        </is>
      </c>
      <c r="E215" s="3" t="inlineStr">
        <is>
          <t>Department sales with four reported quarters. Preserve differences from FIASA; no automatic source selection.</t>
        </is>
      </c>
    </row>
    <row r="216" ht="42" customHeight="1">
      <c r="A216" s="3" t="inlineStr">
        <is>
          <t>N212</t>
        </is>
      </c>
      <c r="B216" s="3" t="inlineStr">
        <is>
          <t>Evidence</t>
        </is>
      </c>
      <c r="C216" s="3" t="inlineStr">
        <is>
          <t>E9</t>
        </is>
      </c>
      <c r="D216" s="3" t="inlineStr">
        <is>
          <t>sales_jet</t>
        </is>
      </c>
      <c r="E216" s="3" t="inlineStr">
        <is>
          <t>FIASA staged reported sales; latest edition selected by existing extract. 2024 revisions unresolved; not verified consumption.</t>
        </is>
      </c>
    </row>
    <row r="217" ht="42" customHeight="1">
      <c r="A217" s="3" t="inlineStr">
        <is>
          <t>N213</t>
        </is>
      </c>
      <c r="B217" s="3" t="inlineStr">
        <is>
          <t>Evidence</t>
        </is>
      </c>
      <c r="C217" s="3" t="inlineStr">
        <is>
          <t>E10</t>
        </is>
      </c>
      <c r="D217" s="3" t="inlineStr">
        <is>
          <t>dept_jet</t>
        </is>
      </c>
      <c r="E217" s="3" t="inlineStr">
        <is>
          <t>Department sales with four reported quarters. Preserve differences from FIASA; no automatic source selection.</t>
        </is>
      </c>
    </row>
    <row r="218" ht="42" customHeight="1">
      <c r="A218" s="3" t="inlineStr">
        <is>
          <t>N214</t>
        </is>
      </c>
      <c r="B218" s="3" t="inlineStr">
        <is>
          <t>Evidence</t>
        </is>
      </c>
      <c r="C218" s="3" t="inlineStr">
        <is>
          <t>E11</t>
        </is>
      </c>
      <c r="D218" s="3" t="inlineStr">
        <is>
          <t>sales_fuel_oil</t>
        </is>
      </c>
      <c r="E218" s="3" t="inlineStr">
        <is>
          <t>FIASA staged reported sales; latest edition selected by existing extract. 2024 revisions unresolved; not verified consumption.</t>
        </is>
      </c>
    </row>
    <row r="219" ht="42" customHeight="1">
      <c r="A219" s="3" t="inlineStr">
        <is>
          <t>N215</t>
        </is>
      </c>
      <c r="B219" s="3" t="inlineStr">
        <is>
          <t>Evidence</t>
        </is>
      </c>
      <c r="C219" s="3" t="inlineStr">
        <is>
          <t>E12</t>
        </is>
      </c>
      <c r="D219" s="3" t="inlineStr">
        <is>
          <t>dept_fuel_oil</t>
        </is>
      </c>
      <c r="E219" s="3" t="inlineStr">
        <is>
          <t>Department sales with four reported quarters. Preserve differences from FIASA; no automatic source selection.</t>
        </is>
      </c>
    </row>
    <row r="220" ht="42" customHeight="1">
      <c r="A220" s="3" t="inlineStr">
        <is>
          <t>N216</t>
        </is>
      </c>
      <c r="B220" s="3" t="inlineStr">
        <is>
          <t>Evidence</t>
        </is>
      </c>
      <c r="C220" s="3" t="inlineStr">
        <is>
          <t>E13</t>
        </is>
      </c>
      <c r="D220" s="3" t="inlineStr">
        <is>
          <t>sales_vehicles_cars</t>
        </is>
      </c>
      <c r="E220" s="3" t="inlineStr">
        <is>
          <t>NAAMSA actual new sales. Published 2026/27 projections excluded from observed rows.</t>
        </is>
      </c>
    </row>
    <row r="221" ht="42" customHeight="1">
      <c r="A221" s="3" t="inlineStr">
        <is>
          <t>N217</t>
        </is>
      </c>
      <c r="B221" s="3" t="inlineStr">
        <is>
          <t>Evidence</t>
        </is>
      </c>
      <c r="C221" s="3" t="inlineStr">
        <is>
          <t>E14</t>
        </is>
      </c>
      <c r="D221" s="3" t="inlineStr">
        <is>
          <t>sales_vehicles_light_commercial</t>
        </is>
      </c>
      <c r="E221" s="3" t="inlineStr">
        <is>
          <t>NAAMSA actual new sales. Published 2026/27 projections excluded from observed rows.</t>
        </is>
      </c>
    </row>
    <row r="222" ht="42" customHeight="1">
      <c r="A222" s="3" t="inlineStr">
        <is>
          <t>N218</t>
        </is>
      </c>
      <c r="B222" s="3" t="inlineStr">
        <is>
          <t>Evidence</t>
        </is>
      </c>
      <c r="C222" s="3" t="inlineStr">
        <is>
          <t>E15</t>
        </is>
      </c>
      <c r="D222" s="3" t="inlineStr">
        <is>
          <t>sales_vehicles_medium_heavy_commercial</t>
        </is>
      </c>
      <c r="E222" s="3" t="inlineStr">
        <is>
          <t>NAAMSA actual new sales. Published 2026/27 projections excluded from observed rows.</t>
        </is>
      </c>
    </row>
    <row r="223" ht="42" customHeight="1">
      <c r="A223" s="3" t="inlineStr">
        <is>
          <t>N219</t>
        </is>
      </c>
      <c r="B223" s="3" t="inlineStr">
        <is>
          <t>Evidence</t>
        </is>
      </c>
      <c r="C223" s="3" t="inlineStr">
        <is>
          <t>E16</t>
        </is>
      </c>
      <c r="D223" s="3" t="inlineStr">
        <is>
          <t>sales_vehicles_total</t>
        </is>
      </c>
      <c r="E223" s="3" t="inlineStr">
        <is>
          <t>NAAMSA actual new sales. Published 2026/27 projections excluded from observed rows.</t>
        </is>
      </c>
    </row>
    <row r="224" ht="42" customHeight="1">
      <c r="A224" s="3" t="inlineStr">
        <is>
          <t>N220</t>
        </is>
      </c>
      <c r="B224" s="3" t="inlineStr">
        <is>
          <t>Evidence</t>
        </is>
      </c>
      <c r="C224" s="3" t="inlineStr">
        <is>
          <t>E17</t>
        </is>
      </c>
      <c r="D224" s="3" t="inlineStr">
        <is>
          <t>nev_battery_electric</t>
        </is>
      </c>
      <c r="E224" s="3" t="inlineStr">
        <is>
          <t>All-market drivetrain sales; passenger/truck split is not supplied. Do not assign all to passenger or freight.</t>
        </is>
      </c>
    </row>
    <row r="225" ht="42" customHeight="1">
      <c r="A225" s="3" t="inlineStr">
        <is>
          <t>N221</t>
        </is>
      </c>
      <c r="B225" s="3" t="inlineStr">
        <is>
          <t>Evidence</t>
        </is>
      </c>
      <c r="C225" s="3" t="inlineStr">
        <is>
          <t>E18</t>
        </is>
      </c>
      <c r="D225" s="3" t="inlineStr">
        <is>
          <t>nev_plug_in_hybrid</t>
        </is>
      </c>
      <c r="E225" s="3" t="inlineStr">
        <is>
          <t>All-market drivetrain sales; passenger/truck split is not supplied. Do not assign all to passenger or freight.</t>
        </is>
      </c>
    </row>
    <row r="226" ht="42" customHeight="1">
      <c r="A226" s="3" t="inlineStr">
        <is>
          <t>N222</t>
        </is>
      </c>
      <c r="B226" s="3" t="inlineStr">
        <is>
          <t>Evidence</t>
        </is>
      </c>
      <c r="C226" s="3" t="inlineStr">
        <is>
          <t>E19</t>
        </is>
      </c>
      <c r="D226" s="3" t="inlineStr">
        <is>
          <t>nev_traditional_hybrid</t>
        </is>
      </c>
      <c r="E226" s="3" t="inlineStr">
        <is>
          <t>All-market drivetrain sales; passenger/truck split is not supplied. Do not assign all to passenger or freight.</t>
        </is>
      </c>
    </row>
    <row r="227" ht="42" customHeight="1">
      <c r="A227" s="3" t="inlineStr">
        <is>
          <t>N223</t>
        </is>
      </c>
      <c r="B227" s="3" t="inlineStr">
        <is>
          <t>Evidence</t>
        </is>
      </c>
      <c r="C227" s="3" t="inlineStr">
        <is>
          <t>E20</t>
        </is>
      </c>
      <c r="D227" s="3" t="inlineStr">
        <is>
          <t>stock_cars</t>
        </is>
      </c>
      <c r="E227" s="3" t="inlineStr">
        <is>
          <t>eNaTIS December snapshots; latest June 2026 kept separately. No fuel/drivetrain split. Latest: 2026-06; snapshot.</t>
        </is>
      </c>
    </row>
    <row r="228" ht="42" customHeight="1">
      <c r="A228" s="3" t="inlineStr">
        <is>
          <t>N224</t>
        </is>
      </c>
      <c r="B228" s="3" t="inlineStr">
        <is>
          <t>Evidence</t>
        </is>
      </c>
      <c r="C228" s="3" t="inlineStr">
        <is>
          <t>E21</t>
        </is>
      </c>
      <c r="D228" s="3" t="inlineStr">
        <is>
          <t>stock_light_commercial</t>
        </is>
      </c>
      <c r="E228" s="3" t="inlineStr">
        <is>
          <t>eNaTIS December snapshots; latest June 2026 kept separately. No fuel/drivetrain split. Latest: 2026-06; snapshot.</t>
        </is>
      </c>
    </row>
    <row r="229" ht="42" customHeight="1">
      <c r="A229" s="3" t="inlineStr">
        <is>
          <t>N225</t>
        </is>
      </c>
      <c r="B229" s="3" t="inlineStr">
        <is>
          <t>Evidence</t>
        </is>
      </c>
      <c r="C229" s="3" t="inlineStr">
        <is>
          <t>E22</t>
        </is>
      </c>
      <c r="D229" s="3" t="inlineStr">
        <is>
          <t>stock_trucks</t>
        </is>
      </c>
      <c r="E229" s="3" t="inlineStr">
        <is>
          <t>eNaTIS December snapshots; latest June 2026 kept separately. No fuel/drivetrain split. Latest: 2026-06; snapshot.</t>
        </is>
      </c>
    </row>
    <row r="230" ht="42" customHeight="1">
      <c r="A230" s="3" t="inlineStr">
        <is>
          <t>N226</t>
        </is>
      </c>
      <c r="B230" s="3" t="inlineStr">
        <is>
          <t>Evidence</t>
        </is>
      </c>
      <c r="C230" s="3" t="inlineStr">
        <is>
          <t>E23</t>
        </is>
      </c>
      <c r="D230" s="3" t="inlineStr">
        <is>
          <t>stock_buses</t>
        </is>
      </c>
      <c r="E230" s="3" t="inlineStr">
        <is>
          <t>eNaTIS December snapshots; latest June 2026 kept separately. No fuel/drivetrain split. Latest: 2026-06; snapshot.</t>
        </is>
      </c>
    </row>
    <row r="231" ht="42" customHeight="1">
      <c r="A231" s="3" t="inlineStr">
        <is>
          <t>N227</t>
        </is>
      </c>
      <c r="B231" s="3" t="inlineStr">
        <is>
          <t>Evidence</t>
        </is>
      </c>
      <c r="C231" s="3" t="inlineStr">
        <is>
          <t>E24</t>
        </is>
      </c>
      <c r="D231" s="3" t="inlineStr">
        <is>
          <t>stock_minibuses</t>
        </is>
      </c>
      <c r="E231" s="3" t="inlineStr">
        <is>
          <t>eNaTIS December snapshots; latest June 2026 kept separately. No fuel/drivetrain split. Latest: 2026-06; snapshot.</t>
        </is>
      </c>
    </row>
    <row r="232" ht="42" customHeight="1">
      <c r="A232" s="3" t="inlineStr">
        <is>
          <t>N228</t>
        </is>
      </c>
      <c r="B232" s="3" t="inlineStr">
        <is>
          <t>Evidence</t>
        </is>
      </c>
      <c r="C232" s="3" t="inlineStr">
        <is>
          <t>E25</t>
        </is>
      </c>
      <c r="D232" s="3" t="inlineStr">
        <is>
          <t>macro_gdp_per_capita</t>
        </is>
      </c>
      <c r="E232" s="3" t="inlineStr">
        <is>
          <t>Stats SA annual actual in staged reporting copy. Sector value added is an activity proxy, not measured fuel use.</t>
        </is>
      </c>
    </row>
    <row r="233" ht="42" customHeight="1">
      <c r="A233" s="3" t="inlineStr">
        <is>
          <t>N229</t>
        </is>
      </c>
      <c r="B233" s="3" t="inlineStr">
        <is>
          <t>Evidence</t>
        </is>
      </c>
      <c r="C233" s="3" t="inlineStr">
        <is>
          <t>E26</t>
        </is>
      </c>
      <c r="D233" s="3" t="inlineStr">
        <is>
          <t>macro_agriculture_forestry_and_fishing</t>
        </is>
      </c>
      <c r="E233" s="3" t="inlineStr">
        <is>
          <t>Stats SA annual actual in staged reporting copy. Sector value added is an activity proxy, not measured fuel use.</t>
        </is>
      </c>
    </row>
    <row r="234" ht="42" customHeight="1">
      <c r="A234" s="3" t="inlineStr">
        <is>
          <t>N230</t>
        </is>
      </c>
      <c r="B234" s="3" t="inlineStr">
        <is>
          <t>Evidence</t>
        </is>
      </c>
      <c r="C234" s="3" t="inlineStr">
        <is>
          <t>E27</t>
        </is>
      </c>
      <c r="D234" s="3" t="inlineStr">
        <is>
          <t>macro_manufacturing</t>
        </is>
      </c>
      <c r="E234" s="3" t="inlineStr">
        <is>
          <t>Stats SA annual actual in staged reporting copy. Sector value added is an activity proxy, not measured fuel use.</t>
        </is>
      </c>
    </row>
    <row r="235" ht="42" customHeight="1">
      <c r="A235" s="3" t="inlineStr">
        <is>
          <t>N231</t>
        </is>
      </c>
      <c r="B235" s="3" t="inlineStr">
        <is>
          <t>Evidence</t>
        </is>
      </c>
      <c r="C235" s="3" t="inlineStr">
        <is>
          <t>E28</t>
        </is>
      </c>
      <c r="D235" s="3" t="inlineStr">
        <is>
          <t>macro_mining_and_quarrying</t>
        </is>
      </c>
      <c r="E235" s="3" t="inlineStr">
        <is>
          <t>Stats SA annual actual in staged reporting copy. Sector value added is an activity proxy, not measured fuel use.</t>
        </is>
      </c>
    </row>
    <row r="236" ht="42" customHeight="1">
      <c r="A236" s="3" t="inlineStr">
        <is>
          <t>N232</t>
        </is>
      </c>
      <c r="B236" s="3" t="inlineStr">
        <is>
          <t>Evidence</t>
        </is>
      </c>
      <c r="C236" s="3" t="inlineStr">
        <is>
          <t>E29</t>
        </is>
      </c>
      <c r="D236" s="3" t="inlineStr">
        <is>
          <t>macro_construction</t>
        </is>
      </c>
      <c r="E236" s="3" t="inlineStr">
        <is>
          <t>Stats SA annual actual in staged reporting copy. Sector value added is an activity proxy, not measured fuel use.</t>
        </is>
      </c>
    </row>
    <row r="237" ht="42" customHeight="1">
      <c r="A237" s="3" t="inlineStr">
        <is>
          <t>N233</t>
        </is>
      </c>
      <c r="B237" s="3" t="inlineStr">
        <is>
          <t>Evidence</t>
        </is>
      </c>
      <c r="C237" s="3" t="inlineStr">
        <is>
          <t>E30</t>
        </is>
      </c>
      <c r="D237" s="3" t="inlineStr">
        <is>
          <t>manufacturing_volume_total</t>
        </is>
      </c>
      <c r="E237" s="3" t="inlineStr">
        <is>
          <t>Arithmetic mean of all 12 monthly production indices; 2026 Jan-Jul mean shown separately. Latest: 2026-01 to 2026-07; 7 months; mean; not annualised.</t>
        </is>
      </c>
    </row>
    <row r="238" ht="42" customHeight="1">
      <c r="A238" s="3" t="inlineStr">
        <is>
          <t>N234</t>
        </is>
      </c>
      <c r="B238" s="3" t="inlineStr">
        <is>
          <t>Evidence</t>
        </is>
      </c>
      <c r="C238" s="3" t="inlineStr">
        <is>
          <t>E31</t>
        </is>
      </c>
      <c r="D238" s="3" t="inlineStr">
        <is>
          <t>mining_volume_total</t>
        </is>
      </c>
      <c r="E238" s="3" t="inlineStr">
        <is>
          <t>Arithmetic mean of all 12 monthly production indices; 2026 Jan-Jul mean shown separately. Latest: 2026-01 to 2026-07; 7 months; mean; not annualised.</t>
        </is>
      </c>
    </row>
    <row r="239" ht="42" customHeight="1">
      <c r="A239" s="3" t="inlineStr">
        <is>
          <t>N235</t>
        </is>
      </c>
      <c r="B239" s="3" t="inlineStr">
        <is>
          <t>Evidence</t>
        </is>
      </c>
      <c r="C239" s="3" t="inlineStr">
        <is>
          <t>E32</t>
        </is>
      </c>
      <c r="D239" s="3" t="inlineStr">
        <is>
          <t>freight_payload_road</t>
        </is>
      </c>
      <c r="E239" s="3" t="inlineStr">
        <is>
          <t>Complete calendar years only; 2026 Jan-Jul shown separately. Tonnes do not measure tonne-km. Latest: 2026-01 to 2026-07; 7 months; sum; not annualised.</t>
        </is>
      </c>
    </row>
    <row r="240" ht="42" customHeight="1">
      <c r="A240" s="3" t="inlineStr">
        <is>
          <t>N236</t>
        </is>
      </c>
      <c r="B240" s="3" t="inlineStr">
        <is>
          <t>Evidence</t>
        </is>
      </c>
      <c r="C240" s="3" t="inlineStr">
        <is>
          <t>E33</t>
        </is>
      </c>
      <c r="D240" s="3" t="inlineStr">
        <is>
          <t>freight_payload_rail</t>
        </is>
      </c>
      <c r="E240" s="3" t="inlineStr">
        <is>
          <t>Complete calendar years only; 2026 Jan-Jul shown separately. Tonnes do not measure tonne-km. Latest: 2026-01 to 2026-07; 7 months; sum; not annualised.</t>
        </is>
      </c>
    </row>
    <row r="241" ht="42" customHeight="1">
      <c r="A241" s="3" t="inlineStr">
        <is>
          <t>N237</t>
        </is>
      </c>
      <c r="B241" s="3" t="inlineStr">
        <is>
          <t>Evidence</t>
        </is>
      </c>
      <c r="C241" s="3" t="inlineStr">
        <is>
          <t>E34</t>
        </is>
      </c>
      <c r="D241" s="3" t="inlineStr">
        <is>
          <t>eskom_ocgt</t>
        </is>
      </c>
      <c r="E241" s="3" t="inlineStr">
        <is>
          <t>Full financial year ending 31 March in the column year. Not calendar-year generation; fuel-burn bridge still required.</t>
        </is>
      </c>
    </row>
    <row r="242" ht="42" customHeight="1">
      <c r="A242" s="3" t="inlineStr">
        <is>
          <t>N238</t>
        </is>
      </c>
      <c r="B242" s="3" t="inlineStr">
        <is>
          <t>Evidence</t>
        </is>
      </c>
      <c r="C242" s="3" t="inlineStr">
        <is>
          <t>E35</t>
        </is>
      </c>
      <c r="D242" s="3" t="inlineStr">
        <is>
          <t>ipp_ocgt</t>
        </is>
      </c>
      <c r="E242" s="3" t="inlineStr">
        <is>
          <t>Full financial year ending 31 March in the column year. Not calendar-year generation; fuel-burn bridge still required.</t>
        </is>
      </c>
    </row>
    <row r="243" ht="42" customHeight="1">
      <c r="A243" s="3" t="inlineStr">
        <is>
          <t>N239</t>
        </is>
      </c>
      <c r="B243" s="3" t="inlineStr">
        <is>
          <t>Evidence</t>
        </is>
      </c>
      <c r="C243" s="3" t="inlineStr">
        <is>
          <t>E36</t>
        </is>
      </c>
      <c r="D243" s="3" t="inlineStr">
        <is>
          <t>eskom_and_ipp_ocgt</t>
        </is>
      </c>
      <c r="E243" s="3" t="inlineStr">
        <is>
          <t>Full financial year ending 31 March in the column year. Not calendar-year generation; fuel-burn bridge still required.</t>
        </is>
      </c>
    </row>
    <row r="244" ht="42" customHeight="1">
      <c r="A244" s="3" t="inlineStr">
        <is>
          <t>N240</t>
        </is>
      </c>
      <c r="B244" s="3" t="inlineStr">
        <is>
          <t>Evidence</t>
        </is>
      </c>
      <c r="C244" s="3" t="inlineStr">
        <is>
          <t>E37</t>
        </is>
      </c>
      <c r="D244" s="3" t="inlineStr">
        <is>
          <t>acsa_passengers</t>
        </is>
      </c>
      <c r="E244" s="3" t="inlineStr">
        <is>
          <t>ACSA departures only; sums monthly total-flight rows without double counting flight categories. 2026 is Jan-Aug, not annualised. Latest: 2026-01 to 2026-08; 8 months; sum; not annualised.</t>
        </is>
      </c>
    </row>
    <row r="245" ht="42" customHeight="1">
      <c r="A245" s="3" t="inlineStr">
        <is>
          <t>N241</t>
        </is>
      </c>
      <c r="B245" s="3" t="inlineStr">
        <is>
          <t>Evidence</t>
        </is>
      </c>
      <c r="C245" s="3" t="inlineStr">
        <is>
          <t>E38</t>
        </is>
      </c>
      <c r="D245" s="3" t="inlineStr">
        <is>
          <t>acsa_aircraft_movements</t>
        </is>
      </c>
      <c r="E245" s="3" t="inlineStr">
        <is>
          <t>ACSA departures only; sums monthly total-flight rows without double counting flight categories. 2026 is Jan-Aug, not annualised. Latest: 2026-01 to 2026-08; 8 months; sum; not annualised.</t>
        </is>
      </c>
    </row>
    <row r="246" ht="42" customHeight="1">
      <c r="A246" s="3" t="inlineStr">
        <is>
          <t>N242</t>
        </is>
      </c>
      <c r="B246" s="3" t="inlineStr">
        <is>
          <t>Evidence</t>
        </is>
      </c>
      <c r="C246" s="3" t="inlineStr">
        <is>
          <t>U39</t>
        </is>
      </c>
      <c r="D246" s="3" t="inlineStr">
        <is>
          <t>Agriculture: 2021 agriculture/forestry diesel</t>
        </is>
      </c>
      <c r="E246" s="3" t="inlineStr">
        <is>
          <t>https://github.com/Africa-International-Advisors/liquid_fuels_model/blob/8c69f8333192483f19cd80911cb90fcd0943eb6b/assumptions/2026/timeseries/energy_balance_department.csv</t>
        </is>
      </c>
    </row>
    <row r="247" ht="42" customHeight="1">
      <c r="A247" s="3" t="inlineStr">
        <is>
          <t>N243</t>
        </is>
      </c>
      <c r="B247" s="3" t="inlineStr">
        <is>
          <t>Evidence</t>
        </is>
      </c>
      <c r="C247" s="3" t="inlineStr">
        <is>
          <t>E40</t>
        </is>
      </c>
      <c r="D247" s="3" t="inlineStr">
        <is>
          <t>Manufacturing: 2021 energy-balance industry total</t>
        </is>
      </c>
      <c r="E247" s="3" t="inlineStr">
        <is>
          <t>Parent industry total includes mining and construction. It is not manufacturing fuel demand.</t>
        </is>
      </c>
    </row>
    <row r="248" ht="42" customHeight="1">
      <c r="A248" s="3" t="inlineStr">
        <is>
          <t>N244</t>
        </is>
      </c>
      <c r="B248" s="3" t="inlineStr">
        <is>
          <t>Evidence</t>
        </is>
      </c>
      <c r="C248" s="3" t="inlineStr">
        <is>
          <t>U40</t>
        </is>
      </c>
      <c r="D248" s="3" t="inlineStr">
        <is>
          <t>Manufacturing: 2021 energy-balance industry total</t>
        </is>
      </c>
      <c r="E248" s="3" t="inlineStr">
        <is>
          <t>https://github.com/Africa-International-Advisors/liquid_fuels_model/blob/8c69f8333192483f19cd80911cb90fcd0943eb6b/assumptions/2026/timeseries/energy_balance_department.csv</t>
        </is>
      </c>
    </row>
    <row r="249" ht="42" customHeight="1">
      <c r="A249" s="3" t="inlineStr">
        <is>
          <t>N245</t>
        </is>
      </c>
      <c r="B249" s="3" t="inlineStr">
        <is>
          <t>Evidence</t>
        </is>
      </c>
      <c r="C249" s="3" t="inlineStr">
        <is>
          <t>E41</t>
        </is>
      </c>
      <c r="D249" s="3" t="inlineStr">
        <is>
          <t>Manufacturing: 2021 construction diesel</t>
        </is>
      </c>
      <c r="E249" s="3" t="inlineStr">
        <is>
          <t>Construction child of source industry total, shown separately to preserve scope.</t>
        </is>
      </c>
    </row>
    <row r="250" ht="42" customHeight="1">
      <c r="A250" s="3" t="inlineStr">
        <is>
          <t>N246</t>
        </is>
      </c>
      <c r="B250" s="3" t="inlineStr">
        <is>
          <t>Evidence</t>
        </is>
      </c>
      <c r="C250" s="3" t="inlineStr">
        <is>
          <t>U41</t>
        </is>
      </c>
      <c r="D250" s="3" t="inlineStr">
        <is>
          <t>Manufacturing: 2021 construction diesel</t>
        </is>
      </c>
      <c r="E250" s="3" t="inlineStr">
        <is>
          <t>https://github.com/Africa-International-Advisors/liquid_fuels_model/blob/8c69f8333192483f19cd80911cb90fcd0943eb6b/assumptions/2026/timeseries/energy_balance_department.csv</t>
        </is>
      </c>
    </row>
    <row r="251" ht="42" customHeight="1">
      <c r="A251" s="3" t="inlineStr">
        <is>
          <t>N247</t>
        </is>
      </c>
      <c r="B251" s="3" t="inlineStr">
        <is>
          <t>Evidence</t>
        </is>
      </c>
      <c r="C251" s="3" t="inlineStr">
        <is>
          <t>U42</t>
        </is>
      </c>
      <c r="D251" s="3" t="inlineStr">
        <is>
          <t>Mining: 2021 mining/quarrying diesel</t>
        </is>
      </c>
      <c r="E251" s="3" t="inlineStr">
        <is>
          <t>https://github.com/Africa-International-Advisors/liquid_fuels_model/blob/8c69f8333192483f19cd80911cb90fcd0943eb6b/assumptions/2026/timeseries/energy_balance_department.csv</t>
        </is>
      </c>
    </row>
    <row r="252" ht="42" customHeight="1">
      <c r="A252" s="3" t="inlineStr">
        <is>
          <t>N248</t>
        </is>
      </c>
      <c r="B252" s="3" t="inlineStr">
        <is>
          <t>Evidence</t>
        </is>
      </c>
      <c r="C252" s="3" t="inlineStr">
        <is>
          <t>U43</t>
        </is>
      </c>
      <c r="D252" s="3" t="inlineStr">
        <is>
          <t>Provincial: EC petrol / million L/year</t>
        </is>
      </c>
      <c r="E252" s="3" t="inlineStr">
        <is>
          <t>https://github.com/Africa-International-Advisors/liquid_fuels_model/blob/8c69f8333192483f19cd80911cb90fcd0943eb6b/assumptions/2026/timeseries/fuel_sales_department_by_province_quarterly.csv</t>
        </is>
      </c>
    </row>
    <row r="253" ht="42" customHeight="1">
      <c r="A253" s="3" t="inlineStr">
        <is>
          <t>N249</t>
        </is>
      </c>
      <c r="B253" s="3" t="inlineStr">
        <is>
          <t>Evidence</t>
        </is>
      </c>
      <c r="C253" s="3" t="inlineStr">
        <is>
          <t>U44</t>
        </is>
      </c>
      <c r="D253" s="3" t="inlineStr">
        <is>
          <t>Provincial: FS petrol / million L/year</t>
        </is>
      </c>
      <c r="E253" s="3" t="inlineStr">
        <is>
          <t>https://github.com/Africa-International-Advisors/liquid_fuels_model/blob/8c69f8333192483f19cd80911cb90fcd0943eb6b/assumptions/2026/timeseries/fuel_sales_department_by_province_quarterly.csv</t>
        </is>
      </c>
    </row>
    <row r="254" ht="42" customHeight="1">
      <c r="A254" s="3" t="inlineStr">
        <is>
          <t>N250</t>
        </is>
      </c>
      <c r="B254" s="3" t="inlineStr">
        <is>
          <t>Evidence</t>
        </is>
      </c>
      <c r="C254" s="3" t="inlineStr">
        <is>
          <t>U45</t>
        </is>
      </c>
      <c r="D254" s="3" t="inlineStr">
        <is>
          <t>Provincial: GP petrol / million L/year</t>
        </is>
      </c>
      <c r="E254" s="3" t="inlineStr">
        <is>
          <t>https://github.com/Africa-International-Advisors/liquid_fuels_model/blob/8c69f8333192483f19cd80911cb90fcd0943eb6b/assumptions/2026/timeseries/fuel_sales_department_by_province_quarterly.csv</t>
        </is>
      </c>
    </row>
    <row r="255" ht="42" customHeight="1">
      <c r="A255" s="3" t="inlineStr">
        <is>
          <t>N251</t>
        </is>
      </c>
      <c r="B255" s="3" t="inlineStr">
        <is>
          <t>Evidence</t>
        </is>
      </c>
      <c r="C255" s="3" t="inlineStr">
        <is>
          <t>U46</t>
        </is>
      </c>
      <c r="D255" s="3" t="inlineStr">
        <is>
          <t>Provincial: KZN petrol / million L/year</t>
        </is>
      </c>
      <c r="E255" s="3" t="inlineStr">
        <is>
          <t>https://github.com/Africa-International-Advisors/liquid_fuels_model/blob/8c69f8333192483f19cd80911cb90fcd0943eb6b/assumptions/2026/timeseries/fuel_sales_department_by_province_quarterly.csv</t>
        </is>
      </c>
    </row>
    <row r="256" ht="42" customHeight="1">
      <c r="A256" s="3" t="inlineStr">
        <is>
          <t>N252</t>
        </is>
      </c>
      <c r="B256" s="3" t="inlineStr">
        <is>
          <t>Evidence</t>
        </is>
      </c>
      <c r="C256" s="3" t="inlineStr">
        <is>
          <t>U47</t>
        </is>
      </c>
      <c r="D256" s="3" t="inlineStr">
        <is>
          <t>Provincial: LP petrol / million L/year</t>
        </is>
      </c>
      <c r="E256" s="3" t="inlineStr">
        <is>
          <t>https://github.com/Africa-International-Advisors/liquid_fuels_model/blob/8c69f8333192483f19cd80911cb90fcd0943eb6b/assumptions/2026/timeseries/fuel_sales_department_by_province_quarterly.csv</t>
        </is>
      </c>
    </row>
    <row r="257" ht="42" customHeight="1">
      <c r="A257" s="3" t="inlineStr">
        <is>
          <t>N253</t>
        </is>
      </c>
      <c r="B257" s="3" t="inlineStr">
        <is>
          <t>Evidence</t>
        </is>
      </c>
      <c r="C257" s="3" t="inlineStr">
        <is>
          <t>U48</t>
        </is>
      </c>
      <c r="D257" s="3" t="inlineStr">
        <is>
          <t>Provincial: MP petrol / million L/year</t>
        </is>
      </c>
      <c r="E257" s="3" t="inlineStr">
        <is>
          <t>https://github.com/Africa-International-Advisors/liquid_fuels_model/blob/8c69f8333192483f19cd80911cb90fcd0943eb6b/assumptions/2026/timeseries/fuel_sales_department_by_province_quarterly.csv</t>
        </is>
      </c>
    </row>
    <row r="258" ht="42" customHeight="1">
      <c r="A258" s="3" t="inlineStr">
        <is>
          <t>N254</t>
        </is>
      </c>
      <c r="B258" s="3" t="inlineStr">
        <is>
          <t>Evidence</t>
        </is>
      </c>
      <c r="C258" s="3" t="inlineStr">
        <is>
          <t>U49</t>
        </is>
      </c>
      <c r="D258" s="3" t="inlineStr">
        <is>
          <t>Provincial: NC petrol / million L/year</t>
        </is>
      </c>
      <c r="E258" s="3" t="inlineStr">
        <is>
          <t>https://github.com/Africa-International-Advisors/liquid_fuels_model/blob/8c69f8333192483f19cd80911cb90fcd0943eb6b/assumptions/2026/timeseries/fuel_sales_department_by_province_quarterly.csv</t>
        </is>
      </c>
    </row>
    <row r="259" ht="42" customHeight="1">
      <c r="A259" s="3" t="inlineStr">
        <is>
          <t>N255</t>
        </is>
      </c>
      <c r="B259" s="3" t="inlineStr">
        <is>
          <t>Evidence</t>
        </is>
      </c>
      <c r="C259" s="3" t="inlineStr">
        <is>
          <t>U50</t>
        </is>
      </c>
      <c r="D259" s="3" t="inlineStr">
        <is>
          <t>Provincial: NW petrol / million L/year</t>
        </is>
      </c>
      <c r="E259" s="3" t="inlineStr">
        <is>
          <t>https://github.com/Africa-International-Advisors/liquid_fuels_model/blob/8c69f8333192483f19cd80911cb90fcd0943eb6b/assumptions/2026/timeseries/fuel_sales_department_by_province_quarterly.csv</t>
        </is>
      </c>
    </row>
    <row r="260" ht="42" customHeight="1">
      <c r="A260" s="3" t="inlineStr">
        <is>
          <t>N256</t>
        </is>
      </c>
      <c r="B260" s="3" t="inlineStr">
        <is>
          <t>Evidence</t>
        </is>
      </c>
      <c r="C260" s="3" t="inlineStr">
        <is>
          <t>U51</t>
        </is>
      </c>
      <c r="D260" s="3" t="inlineStr">
        <is>
          <t>Provincial: WC petrol / million L/year</t>
        </is>
      </c>
      <c r="E260" s="3" t="inlineStr">
        <is>
          <t>https://github.com/Africa-International-Advisors/liquid_fuels_model/blob/8c69f8333192483f19cd80911cb90fcd0943eb6b/assumptions/2026/timeseries/fuel_sales_department_by_province_quarterly.csv</t>
        </is>
      </c>
    </row>
    <row r="261" ht="42" customHeight="1">
      <c r="A261" s="3" t="inlineStr">
        <is>
          <t>N257</t>
        </is>
      </c>
      <c r="B261" s="3" t="inlineStr">
        <is>
          <t>Evidence</t>
        </is>
      </c>
      <c r="C261" s="3" t="inlineStr">
        <is>
          <t>U52</t>
        </is>
      </c>
      <c r="D261" s="3" t="inlineStr">
        <is>
          <t>Provincial: EC diesel / million L/year</t>
        </is>
      </c>
      <c r="E261" s="3" t="inlineStr">
        <is>
          <t>https://github.com/Africa-International-Advisors/liquid_fuels_model/blob/8c69f8333192483f19cd80911cb90fcd0943eb6b/assumptions/2026/timeseries/fuel_sales_department_by_province_quarterly.csv</t>
        </is>
      </c>
    </row>
    <row r="262" ht="42" customHeight="1">
      <c r="A262" s="3" t="inlineStr">
        <is>
          <t>N258</t>
        </is>
      </c>
      <c r="B262" s="3" t="inlineStr">
        <is>
          <t>Evidence</t>
        </is>
      </c>
      <c r="C262" s="3" t="inlineStr">
        <is>
          <t>U53</t>
        </is>
      </c>
      <c r="D262" s="3" t="inlineStr">
        <is>
          <t>Provincial: FS diesel / million L/year</t>
        </is>
      </c>
      <c r="E262" s="3" t="inlineStr">
        <is>
          <t>https://github.com/Africa-International-Advisors/liquid_fuels_model/blob/8c69f8333192483f19cd80911cb90fcd0943eb6b/assumptions/2026/timeseries/fuel_sales_department_by_province_quarterly.csv</t>
        </is>
      </c>
    </row>
    <row r="263" ht="42" customHeight="1">
      <c r="A263" s="3" t="inlineStr">
        <is>
          <t>N259</t>
        </is>
      </c>
      <c r="B263" s="3" t="inlineStr">
        <is>
          <t>Evidence</t>
        </is>
      </c>
      <c r="C263" s="3" t="inlineStr">
        <is>
          <t>U54</t>
        </is>
      </c>
      <c r="D263" s="3" t="inlineStr">
        <is>
          <t>Provincial: GP diesel / million L/year</t>
        </is>
      </c>
      <c r="E263" s="3" t="inlineStr">
        <is>
          <t>https://github.com/Africa-International-Advisors/liquid_fuels_model/blob/8c69f8333192483f19cd80911cb90fcd0943eb6b/assumptions/2026/timeseries/fuel_sales_department_by_province_quarterly.csv</t>
        </is>
      </c>
    </row>
    <row r="264" ht="42" customHeight="1">
      <c r="A264" s="3" t="inlineStr">
        <is>
          <t>N260</t>
        </is>
      </c>
      <c r="B264" s="3" t="inlineStr">
        <is>
          <t>Evidence</t>
        </is>
      </c>
      <c r="C264" s="3" t="inlineStr">
        <is>
          <t>U55</t>
        </is>
      </c>
      <c r="D264" s="3" t="inlineStr">
        <is>
          <t>Provincial: KZN diesel / million L/year</t>
        </is>
      </c>
      <c r="E264" s="3" t="inlineStr">
        <is>
          <t>https://github.com/Africa-International-Advisors/liquid_fuels_model/blob/8c69f8333192483f19cd80911cb90fcd0943eb6b/assumptions/2026/timeseries/fuel_sales_department_by_province_quarterly.csv</t>
        </is>
      </c>
    </row>
    <row r="265" ht="42" customHeight="1">
      <c r="A265" s="3" t="inlineStr">
        <is>
          <t>N261</t>
        </is>
      </c>
      <c r="B265" s="3" t="inlineStr">
        <is>
          <t>Evidence</t>
        </is>
      </c>
      <c r="C265" s="3" t="inlineStr">
        <is>
          <t>U56</t>
        </is>
      </c>
      <c r="D265" s="3" t="inlineStr">
        <is>
          <t>Provincial: LP diesel / million L/year</t>
        </is>
      </c>
      <c r="E265" s="3" t="inlineStr">
        <is>
          <t>https://github.com/Africa-International-Advisors/liquid_fuels_model/blob/8c69f8333192483f19cd80911cb90fcd0943eb6b/assumptions/2026/timeseries/fuel_sales_department_by_province_quarterly.csv</t>
        </is>
      </c>
    </row>
    <row r="266" ht="42" customHeight="1">
      <c r="A266" s="3" t="inlineStr">
        <is>
          <t>N262</t>
        </is>
      </c>
      <c r="B266" s="3" t="inlineStr">
        <is>
          <t>Evidence</t>
        </is>
      </c>
      <c r="C266" s="3" t="inlineStr">
        <is>
          <t>U57</t>
        </is>
      </c>
      <c r="D266" s="3" t="inlineStr">
        <is>
          <t>Provincial: MP diesel / million L/year</t>
        </is>
      </c>
      <c r="E266" s="3" t="inlineStr">
        <is>
          <t>https://github.com/Africa-International-Advisors/liquid_fuels_model/blob/8c69f8333192483f19cd80911cb90fcd0943eb6b/assumptions/2026/timeseries/fuel_sales_department_by_province_quarterly.csv</t>
        </is>
      </c>
    </row>
    <row r="267" ht="42" customHeight="1">
      <c r="A267" s="3" t="inlineStr">
        <is>
          <t>N263</t>
        </is>
      </c>
      <c r="B267" s="3" t="inlineStr">
        <is>
          <t>Evidence</t>
        </is>
      </c>
      <c r="C267" s="3" t="inlineStr">
        <is>
          <t>U58</t>
        </is>
      </c>
      <c r="D267" s="3" t="inlineStr">
        <is>
          <t>Provincial: NC diesel / million L/year</t>
        </is>
      </c>
      <c r="E267" s="3" t="inlineStr">
        <is>
          <t>https://github.com/Africa-International-Advisors/liquid_fuels_model/blob/8c69f8333192483f19cd80911cb90fcd0943eb6b/assumptions/2026/timeseries/fuel_sales_department_by_province_quarterly.csv</t>
        </is>
      </c>
    </row>
    <row r="268" ht="42" customHeight="1">
      <c r="A268" s="3" t="inlineStr">
        <is>
          <t>N264</t>
        </is>
      </c>
      <c r="B268" s="3" t="inlineStr">
        <is>
          <t>Evidence</t>
        </is>
      </c>
      <c r="C268" s="3" t="inlineStr">
        <is>
          <t>U59</t>
        </is>
      </c>
      <c r="D268" s="3" t="inlineStr">
        <is>
          <t>Provincial: NW diesel / million L/year</t>
        </is>
      </c>
      <c r="E268" s="3" t="inlineStr">
        <is>
          <t>https://github.com/Africa-International-Advisors/liquid_fuels_model/blob/8c69f8333192483f19cd80911cb90fcd0943eb6b/assumptions/2026/timeseries/fuel_sales_department_by_province_quarterly.csv</t>
        </is>
      </c>
    </row>
    <row r="269" ht="42" customHeight="1">
      <c r="A269" s="3" t="inlineStr">
        <is>
          <t>N265</t>
        </is>
      </c>
      <c r="B269" s="3" t="inlineStr">
        <is>
          <t>Evidence</t>
        </is>
      </c>
      <c r="C269" s="3" t="inlineStr">
        <is>
          <t>U60</t>
        </is>
      </c>
      <c r="D269" s="3" t="inlineStr">
        <is>
          <t>Provincial: WC diesel / million L/year</t>
        </is>
      </c>
      <c r="E269" s="3" t="inlineStr">
        <is>
          <t>https://github.com/Africa-International-Advisors/liquid_fuels_model/blob/8c69f8333192483f19cd80911cb90fcd0943eb6b/assumptions/2026/timeseries/fuel_sales_department_by_province_quarterly.csv</t>
        </is>
      </c>
    </row>
    <row r="270" ht="42" customHeight="1">
      <c r="A270" s="3" t="inlineStr">
        <is>
          <t>N266</t>
        </is>
      </c>
      <c r="B270" s="3" t="inlineStr">
        <is>
          <t>Model run</t>
        </is>
      </c>
      <c r="C270" s="3" t="inlineStr">
        <is>
          <t>V5</t>
        </is>
      </c>
      <c r="D270" s="3" t="inlineStr">
        <is>
          <t>Petrol: GDP per capita</t>
        </is>
      </c>
      <c r="E270" s="3" t="inlineStr">
        <is>
          <t>Engine dependency is in Python; Excel links expose the recorded run.</t>
        </is>
      </c>
    </row>
    <row r="271" ht="42" customHeight="1">
      <c r="A271" s="3" t="inlineStr">
        <is>
          <t>N267</t>
        </is>
      </c>
      <c r="B271" s="3" t="inlineStr">
        <is>
          <t>Model run</t>
        </is>
      </c>
      <c r="C271" s="3" t="inlineStr">
        <is>
          <t>V6</t>
        </is>
      </c>
      <c r="D271" s="3" t="inlineStr">
        <is>
          <t>Petrol: New-sales regression slope</t>
        </is>
      </c>
      <c r="E271" s="3" t="inlineStr">
        <is>
          <t>Engine dependency is in Python; Excel links expose the recorded run.</t>
        </is>
      </c>
    </row>
    <row r="272" ht="42" customHeight="1">
      <c r="A272" s="3" t="inlineStr">
        <is>
          <t>N268</t>
        </is>
      </c>
      <c r="B272" s="3" t="inlineStr">
        <is>
          <t>Model run</t>
        </is>
      </c>
      <c r="C272" s="3" t="inlineStr">
        <is>
          <t>V7</t>
        </is>
      </c>
      <c r="D272" s="3" t="inlineStr">
        <is>
          <t>Petrol: New-sales regression intercept</t>
        </is>
      </c>
      <c r="E272" s="3" t="inlineStr">
        <is>
          <t>Engine dependency is in Python; Excel links expose the recorded run.</t>
        </is>
      </c>
    </row>
    <row r="273" ht="42" customHeight="1">
      <c r="A273" s="3" t="inlineStr">
        <is>
          <t>N269</t>
        </is>
      </c>
      <c r="B273" s="3" t="inlineStr">
        <is>
          <t>Model run</t>
        </is>
      </c>
      <c r="C273" s="3" t="inlineStr">
        <is>
          <t>V8</t>
        </is>
      </c>
      <c r="D273" s="3" t="inlineStr">
        <is>
          <t>Petrol: Passenger share of new sales</t>
        </is>
      </c>
      <c r="E273" s="3" t="inlineStr">
        <is>
          <t>Engine dependency is in Python; Excel links expose the recorded run.</t>
        </is>
      </c>
    </row>
    <row r="274" ht="42" customHeight="1">
      <c r="A274" s="3" t="inlineStr">
        <is>
          <t>N270</t>
        </is>
      </c>
      <c r="B274" s="3" t="inlineStr">
        <is>
          <t>Model run</t>
        </is>
      </c>
      <c r="C274" s="3" t="inlineStr">
        <is>
          <t>V9</t>
        </is>
      </c>
      <c r="D274" s="3" t="inlineStr">
        <is>
          <t>Petrol: Petrol share of passenger ICE sales</t>
        </is>
      </c>
      <c r="E274" s="3" t="inlineStr">
        <is>
          <t>Engine dependency is in Python; Excel links expose the recorded run.</t>
        </is>
      </c>
    </row>
    <row r="275" ht="42" customHeight="1">
      <c r="A275" s="3" t="inlineStr">
        <is>
          <t>N271</t>
        </is>
      </c>
      <c r="B275" s="3" t="inlineStr">
        <is>
          <t>Model run</t>
        </is>
      </c>
      <c r="C275" s="3" t="inlineStr">
        <is>
          <t>V10</t>
        </is>
      </c>
      <c r="D275" s="3" t="inlineStr">
        <is>
          <t>Petrol: Passenger annual mileage</t>
        </is>
      </c>
      <c r="E275" s="3" t="inlineStr">
        <is>
          <t>Engine dependency is in Python; Excel links expose the recorded run.</t>
        </is>
      </c>
    </row>
    <row r="276" ht="42" customHeight="1">
      <c r="A276" s="3" t="inlineStr">
        <is>
          <t>N272</t>
        </is>
      </c>
      <c r="B276" s="3" t="inlineStr">
        <is>
          <t>Model run</t>
        </is>
      </c>
      <c r="C276" s="3" t="inlineStr">
        <is>
          <t>V11</t>
        </is>
      </c>
      <c r="D276" s="3" t="inlineStr">
        <is>
          <t>Petrol: Passenger retirement rate</t>
        </is>
      </c>
      <c r="E276" s="3" t="inlineStr">
        <is>
          <t>Engine dependency is in Python; Excel links expose the recorded run.</t>
        </is>
      </c>
    </row>
    <row r="277" ht="42" customHeight="1">
      <c r="A277" s="3" t="inlineStr">
        <is>
          <t>N273</t>
        </is>
      </c>
      <c r="B277" s="3" t="inlineStr">
        <is>
          <t>Model run</t>
        </is>
      </c>
      <c r="C277" s="3" t="inlineStr">
        <is>
          <t>V12</t>
        </is>
      </c>
      <c r="D277" s="3" t="inlineStr">
        <is>
          <t>Petrol: Base new petrol vehicle consumption</t>
        </is>
      </c>
      <c r="E277" s="3" t="inlineStr">
        <is>
          <t>Engine dependency is in Python; Excel links expose the recorded run.</t>
        </is>
      </c>
    </row>
    <row r="278" ht="42" customHeight="1">
      <c r="A278" s="3" t="inlineStr">
        <is>
          <t>N274</t>
        </is>
      </c>
      <c r="B278" s="3" t="inlineStr">
        <is>
          <t>Model run</t>
        </is>
      </c>
      <c r="C278" s="3" t="inlineStr">
        <is>
          <t>E13</t>
        </is>
      </c>
      <c r="D278" s="3" t="inlineStr">
        <is>
          <t>Petrol: New-cohort efficiency gain</t>
        </is>
      </c>
      <c r="E278" s="3" t="inlineStr">
        <is>
          <t>Applied cumulatively to new cohorts; older cohorts retain their entry efficiency.</t>
        </is>
      </c>
    </row>
    <row r="279" ht="42" customHeight="1">
      <c r="A279" s="3" t="inlineStr">
        <is>
          <t>N275</t>
        </is>
      </c>
      <c r="B279" s="3" t="inlineStr">
        <is>
          <t>Model run</t>
        </is>
      </c>
      <c r="C279" s="3" t="inlineStr">
        <is>
          <t>V13</t>
        </is>
      </c>
      <c r="D279" s="3" t="inlineStr">
        <is>
          <t>Petrol: New-cohort efficiency gain</t>
        </is>
      </c>
      <c r="E279" s="3" t="inlineStr">
        <is>
          <t>Engine dependency is in Python; Excel links expose the recorded run.</t>
        </is>
      </c>
    </row>
    <row r="280" ht="42" customHeight="1">
      <c r="A280" s="3" t="inlineStr">
        <is>
          <t>N276</t>
        </is>
      </c>
      <c r="B280" s="3" t="inlineStr">
        <is>
          <t>Model run</t>
        </is>
      </c>
      <c r="C280" s="3" t="inlineStr">
        <is>
          <t>V14</t>
        </is>
      </c>
      <c r="D280" s="3" t="inlineStr">
        <is>
          <t>Petrol: EV curve ceiling</t>
        </is>
      </c>
      <c r="E280" s="3" t="inlineStr">
        <is>
          <t>Engine dependency is in Python; Excel links expose the recorded run.</t>
        </is>
      </c>
    </row>
    <row r="281" ht="42" customHeight="1">
      <c r="A281" s="3" t="inlineStr">
        <is>
          <t>N277</t>
        </is>
      </c>
      <c r="B281" s="3" t="inlineStr">
        <is>
          <t>Model run</t>
        </is>
      </c>
      <c r="C281" s="3" t="inlineStr">
        <is>
          <t>E15</t>
        </is>
      </c>
      <c r="D281" s="3" t="inlineStr">
        <is>
          <t>Petrol: Passenger petrol fleet</t>
        </is>
      </c>
      <c r="E281" s="3" t="inlineStr">
        <is>
          <t>Cohort stock from engine diagnostics. Opening stock is backfilled, not a verified registration total.</t>
        </is>
      </c>
    </row>
    <row r="282" ht="42" customHeight="1">
      <c r="A282" s="3" t="inlineStr">
        <is>
          <t>N278</t>
        </is>
      </c>
      <c r="B282" s="3" t="inlineStr">
        <is>
          <t>Model run</t>
        </is>
      </c>
      <c r="C282" s="3" t="inlineStr">
        <is>
          <t>V15</t>
        </is>
      </c>
      <c r="D282" s="3" t="inlineStr">
        <is>
          <t>Petrol: Passenger petrol fleet</t>
        </is>
      </c>
      <c r="E282" s="3" t="inlineStr">
        <is>
          <t>Engine dependency is in Python; Excel links expose the recorded run.</t>
        </is>
      </c>
    </row>
    <row r="283" ht="42" customHeight="1">
      <c r="A283" s="3" t="inlineStr">
        <is>
          <t>N279</t>
        </is>
      </c>
      <c r="B283" s="3" t="inlineStr">
        <is>
          <t>Model run</t>
        </is>
      </c>
      <c r="C283" s="3" t="inlineStr">
        <is>
          <t>V16</t>
        </is>
      </c>
      <c r="D283" s="3" t="inlineStr">
        <is>
          <t>Petrol: Passenger petrol vehicle-km</t>
        </is>
      </c>
      <c r="E283" s="3" t="inlineStr">
        <is>
          <t>Engine dependency is in Python; Excel links expose the recorded run.</t>
        </is>
      </c>
    </row>
    <row r="284" ht="42" customHeight="1">
      <c r="A284" s="3" t="inlineStr">
        <is>
          <t>N280</t>
        </is>
      </c>
      <c r="B284" s="3" t="inlineStr">
        <is>
          <t>Model run</t>
        </is>
      </c>
      <c r="C284" s="3" t="inlineStr">
        <is>
          <t>V17</t>
        </is>
      </c>
      <c r="D284" s="3" t="inlineStr">
        <is>
          <t>Petrol: Passenger petrol demand</t>
        </is>
      </c>
      <c r="E284" s="3" t="inlineStr">
        <is>
          <t>Engine dependency is in Python; Excel links expose the recorded run.</t>
        </is>
      </c>
    </row>
    <row r="285" ht="42" customHeight="1">
      <c r="A285" s="3" t="inlineStr">
        <is>
          <t>N281</t>
        </is>
      </c>
      <c r="B285" s="3" t="inlineStr">
        <is>
          <t>Model run</t>
        </is>
      </c>
      <c r="C285" s="3" t="inlineStr">
        <is>
          <t>V18</t>
        </is>
      </c>
      <c r="D285" s="3" t="inlineStr">
        <is>
          <t>Petrol: All road petrol demand</t>
        </is>
      </c>
      <c r="E285" s="3" t="inlineStr">
        <is>
          <t>Engine dependency is in Python; Excel links expose the recorded run.</t>
        </is>
      </c>
    </row>
    <row r="286" ht="42" customHeight="1">
      <c r="A286" s="3" t="inlineStr">
        <is>
          <t>N282</t>
        </is>
      </c>
      <c r="B286" s="3" t="inlineStr">
        <is>
          <t>Model run</t>
        </is>
      </c>
      <c r="C286" s="3" t="inlineStr">
        <is>
          <t>V19</t>
        </is>
      </c>
      <c r="D286" s="3" t="inlineStr">
        <is>
          <t>Freight: GDP per capita</t>
        </is>
      </c>
      <c r="E286" s="3" t="inlineStr">
        <is>
          <t>Engine dependency is in Python; Excel links expose the recorded run.</t>
        </is>
      </c>
    </row>
    <row r="287" ht="42" customHeight="1">
      <c r="A287" s="3" t="inlineStr">
        <is>
          <t>N283</t>
        </is>
      </c>
      <c r="B287" s="3" t="inlineStr">
        <is>
          <t>Model run</t>
        </is>
      </c>
      <c r="C287" s="3" t="inlineStr">
        <is>
          <t>V20</t>
        </is>
      </c>
      <c r="D287" s="3" t="inlineStr">
        <is>
          <t>Freight: HCV share of new vehicle sales</t>
        </is>
      </c>
      <c r="E287" s="3" t="inlineStr">
        <is>
          <t>Engine dependency is in Python; Excel links expose the recorded run.</t>
        </is>
      </c>
    </row>
    <row r="288" ht="42" customHeight="1">
      <c r="A288" s="3" t="inlineStr">
        <is>
          <t>N284</t>
        </is>
      </c>
      <c r="B288" s="3" t="inlineStr">
        <is>
          <t>Model run</t>
        </is>
      </c>
      <c r="C288" s="3" t="inlineStr">
        <is>
          <t>V21</t>
        </is>
      </c>
      <c r="D288" s="3" t="inlineStr">
        <is>
          <t>Freight: Diesel share of HCV ICE sales</t>
        </is>
      </c>
      <c r="E288" s="3" t="inlineStr">
        <is>
          <t>Engine dependency is in Python; Excel links expose the recorded run.</t>
        </is>
      </c>
    </row>
    <row r="289" ht="42" customHeight="1">
      <c r="A289" s="3" t="inlineStr">
        <is>
          <t>N285</t>
        </is>
      </c>
      <c r="B289" s="3" t="inlineStr">
        <is>
          <t>Model run</t>
        </is>
      </c>
      <c r="C289" s="3" t="inlineStr">
        <is>
          <t>V22</t>
        </is>
      </c>
      <c r="D289" s="3" t="inlineStr">
        <is>
          <t>Freight: Heavy-truck annual mileage</t>
        </is>
      </c>
      <c r="E289" s="3" t="inlineStr">
        <is>
          <t>Engine dependency is in Python; Excel links expose the recorded run.</t>
        </is>
      </c>
    </row>
    <row r="290" ht="42" customHeight="1">
      <c r="A290" s="3" t="inlineStr">
        <is>
          <t>N286</t>
        </is>
      </c>
      <c r="B290" s="3" t="inlineStr">
        <is>
          <t>Model run</t>
        </is>
      </c>
      <c r="C290" s="3" t="inlineStr">
        <is>
          <t>V23</t>
        </is>
      </c>
      <c r="D290" s="3" t="inlineStr">
        <is>
          <t>Freight: Heavy-truck retirement rate</t>
        </is>
      </c>
      <c r="E290" s="3" t="inlineStr">
        <is>
          <t>Engine dependency is in Python; Excel links expose the recorded run.</t>
        </is>
      </c>
    </row>
    <row r="291" ht="42" customHeight="1">
      <c r="A291" s="3" t="inlineStr">
        <is>
          <t>N287</t>
        </is>
      </c>
      <c r="B291" s="3" t="inlineStr">
        <is>
          <t>Model run</t>
        </is>
      </c>
      <c r="C291" s="3" t="inlineStr">
        <is>
          <t>V24</t>
        </is>
      </c>
      <c r="D291" s="3" t="inlineStr">
        <is>
          <t>Freight: Base new-truck consumption</t>
        </is>
      </c>
      <c r="E291" s="3" t="inlineStr">
        <is>
          <t>Engine dependency is in Python; Excel links expose the recorded run.</t>
        </is>
      </c>
    </row>
    <row r="292" ht="42" customHeight="1">
      <c r="A292" s="3" t="inlineStr">
        <is>
          <t>N288</t>
        </is>
      </c>
      <c r="B292" s="3" t="inlineStr">
        <is>
          <t>Model run</t>
        </is>
      </c>
      <c r="C292" s="3" t="inlineStr">
        <is>
          <t>V25</t>
        </is>
      </c>
      <c r="D292" s="3" t="inlineStr">
        <is>
          <t>Freight: New-cohort efficiency gain</t>
        </is>
      </c>
      <c r="E292" s="3" t="inlineStr">
        <is>
          <t>Engine dependency is in Python; Excel links expose the recorded run.</t>
        </is>
      </c>
    </row>
    <row r="293" ht="42" customHeight="1">
      <c r="A293" s="3" t="inlineStr">
        <is>
          <t>N289</t>
        </is>
      </c>
      <c r="B293" s="3" t="inlineStr">
        <is>
          <t>Model run</t>
        </is>
      </c>
      <c r="C293" s="3" t="inlineStr">
        <is>
          <t>V26</t>
        </is>
      </c>
      <c r="D293" s="3" t="inlineStr">
        <is>
          <t>Freight: Heavy-truck diesel fleet</t>
        </is>
      </c>
      <c r="E293" s="3" t="inlineStr">
        <is>
          <t>Engine dependency is in Python; Excel links expose the recorded run.</t>
        </is>
      </c>
    </row>
    <row r="294" ht="42" customHeight="1">
      <c r="A294" s="3" t="inlineStr">
        <is>
          <t>N290</t>
        </is>
      </c>
      <c r="B294" s="3" t="inlineStr">
        <is>
          <t>Model run</t>
        </is>
      </c>
      <c r="C294" s="3" t="inlineStr">
        <is>
          <t>V27</t>
        </is>
      </c>
      <c r="D294" s="3" t="inlineStr">
        <is>
          <t>Freight: Heavy-truck vehicle-km</t>
        </is>
      </c>
      <c r="E294" s="3" t="inlineStr">
        <is>
          <t>Engine dependency is in Python; Excel links expose the recorded run.</t>
        </is>
      </c>
    </row>
    <row r="295" ht="42" customHeight="1">
      <c r="A295" s="3" t="inlineStr">
        <is>
          <t>N291</t>
        </is>
      </c>
      <c r="B295" s="3" t="inlineStr">
        <is>
          <t>Model run</t>
        </is>
      </c>
      <c r="C295" s="3" t="inlineStr">
        <is>
          <t>V28</t>
        </is>
      </c>
      <c r="D295" s="3" t="inlineStr">
        <is>
          <t>Freight: Heavy-truck diesel demand</t>
        </is>
      </c>
      <c r="E295" s="3" t="inlineStr">
        <is>
          <t>Engine dependency is in Python; Excel links expose the recorded run.</t>
        </is>
      </c>
    </row>
    <row r="296" ht="42" customHeight="1">
      <c r="A296" s="3" t="inlineStr">
        <is>
          <t>N292</t>
        </is>
      </c>
      <c r="B296" s="3" t="inlineStr">
        <is>
          <t>Model run</t>
        </is>
      </c>
      <c r="C296" s="3" t="inlineStr">
        <is>
          <t>E29</t>
        </is>
      </c>
      <c r="D296" s="3" t="inlineStr">
        <is>
          <t>Freight: Current common EV share of new sales</t>
        </is>
      </c>
      <c r="E296" s="3" t="inlineStr">
        <is>
          <t>Existing engine curve applied to HCV as well as other classes. This is not a calibrated truck-specific forecast.</t>
        </is>
      </c>
    </row>
    <row r="297" ht="42" customHeight="1">
      <c r="A297" s="3" t="inlineStr">
        <is>
          <t>N293</t>
        </is>
      </c>
      <c r="B297" s="3" t="inlineStr">
        <is>
          <t>Model run</t>
        </is>
      </c>
      <c r="C297" s="3" t="inlineStr">
        <is>
          <t>V29</t>
        </is>
      </c>
      <c r="D297" s="3" t="inlineStr">
        <is>
          <t>Freight: Current common EV share of new sales</t>
        </is>
      </c>
      <c r="E297" s="3" t="inlineStr">
        <is>
          <t>Engine dependency is in Python; Excel links expose the recorded run.</t>
        </is>
      </c>
    </row>
    <row r="298" ht="42" customHeight="1">
      <c r="A298" s="3" t="inlineStr">
        <is>
          <t>N294</t>
        </is>
      </c>
      <c r="B298" s="3" t="inlineStr">
        <is>
          <t>Model run</t>
        </is>
      </c>
      <c r="C298" s="3" t="inlineStr">
        <is>
          <t>V30</t>
        </is>
      </c>
      <c r="D298" s="3" t="inlineStr">
        <is>
          <t>Agriculture: Base year</t>
        </is>
      </c>
      <c r="E298" s="3" t="inlineStr">
        <is>
          <t>Engine dependency is in Python; Excel links expose the recorded run.</t>
        </is>
      </c>
    </row>
    <row r="299" ht="42" customHeight="1">
      <c r="A299" s="3" t="inlineStr">
        <is>
          <t>N295</t>
        </is>
      </c>
      <c r="B299" s="3" t="inlineStr">
        <is>
          <t>Model run</t>
        </is>
      </c>
      <c r="C299" s="3" t="inlineStr">
        <is>
          <t>V31</t>
        </is>
      </c>
      <c r="D299" s="3" t="inlineStr">
        <is>
          <t>Agriculture: GDP/capita elasticity</t>
        </is>
      </c>
      <c r="E299" s="3" t="inlineStr">
        <is>
          <t>Engine dependency is in Python; Excel links expose the recorded run.</t>
        </is>
      </c>
    </row>
    <row r="300" ht="42" customHeight="1">
      <c r="A300" s="3" t="inlineStr">
        <is>
          <t>N296</t>
        </is>
      </c>
      <c r="B300" s="3" t="inlineStr">
        <is>
          <t>Model run</t>
        </is>
      </c>
      <c r="C300" s="3" t="inlineStr">
        <is>
          <t>V32</t>
        </is>
      </c>
      <c r="D300" s="3" t="inlineStr">
        <is>
          <t>Agriculture: GDP per capita</t>
        </is>
      </c>
      <c r="E300" s="3" t="inlineStr">
        <is>
          <t>Engine dependency is in Python; Excel links expose the recorded run.</t>
        </is>
      </c>
    </row>
    <row r="301" ht="42" customHeight="1">
      <c r="A301" s="3" t="inlineStr">
        <is>
          <t>N297</t>
        </is>
      </c>
      <c r="B301" s="3" t="inlineStr">
        <is>
          <t>Model run</t>
        </is>
      </c>
      <c r="C301" s="3" t="inlineStr">
        <is>
          <t>V33</t>
        </is>
      </c>
      <c r="D301" s="3" t="inlineStr">
        <is>
          <t>Agriculture: Agricultural diesel demand</t>
        </is>
      </c>
      <c r="E301" s="3" t="inlineStr">
        <is>
          <t>Engine dependency is in Python; Excel links expose the recorded run.</t>
        </is>
      </c>
    </row>
    <row r="302" ht="42" customHeight="1">
      <c r="A302" s="3" t="inlineStr">
        <is>
          <t>N298</t>
        </is>
      </c>
      <c r="B302" s="3" t="inlineStr">
        <is>
          <t>Model run</t>
        </is>
      </c>
      <c r="C302" s="3" t="inlineStr">
        <is>
          <t>V34</t>
        </is>
      </c>
      <c r="D302" s="3" t="inlineStr">
        <is>
          <t>Manufacturing: Combined baseline year</t>
        </is>
      </c>
      <c r="E302" s="3" t="inlineStr">
        <is>
          <t>Engine dependency is in Python; Excel links expose the recorded run.</t>
        </is>
      </c>
    </row>
    <row r="303" ht="42" customHeight="1">
      <c r="A303" s="3" t="inlineStr">
        <is>
          <t>N299</t>
        </is>
      </c>
      <c r="B303" s="3" t="inlineStr">
        <is>
          <t>Model run</t>
        </is>
      </c>
      <c r="C303" s="3" t="inlineStr">
        <is>
          <t>V35</t>
        </is>
      </c>
      <c r="D303" s="3" t="inlineStr">
        <is>
          <t>Manufacturing: Combined GDP/capita elasticity</t>
        </is>
      </c>
      <c r="E303" s="3" t="inlineStr">
        <is>
          <t>Engine dependency is in Python; Excel links expose the recorded run.</t>
        </is>
      </c>
    </row>
    <row r="304" ht="42" customHeight="1">
      <c r="A304" s="3" t="inlineStr">
        <is>
          <t>N300</t>
        </is>
      </c>
      <c r="B304" s="3" t="inlineStr">
        <is>
          <t>Model run</t>
        </is>
      </c>
      <c r="C304" s="3" t="inlineStr">
        <is>
          <t>E36</t>
        </is>
      </c>
      <c r="D304" s="3" t="inlineStr">
        <is>
          <t>Manufacturing: Combined industrial diesel</t>
        </is>
      </c>
      <c r="E304" s="3" t="inlineStr">
        <is>
          <t>Existing engine output shown ONCE as a reference for the future split; includes mining and construction.</t>
        </is>
      </c>
    </row>
    <row r="305" ht="42" customHeight="1">
      <c r="A305" s="3" t="inlineStr">
        <is>
          <t>N301</t>
        </is>
      </c>
      <c r="B305" s="3" t="inlineStr">
        <is>
          <t>Model run</t>
        </is>
      </c>
      <c r="C305" s="3" t="inlineStr">
        <is>
          <t>V36</t>
        </is>
      </c>
      <c r="D305" s="3" t="inlineStr">
        <is>
          <t>Manufacturing: Combined industrial diesel</t>
        </is>
      </c>
      <c r="E305" s="3" t="inlineStr">
        <is>
          <t>Engine dependency is in Python; Excel links expose the recorded run.</t>
        </is>
      </c>
    </row>
    <row r="306" ht="42" customHeight="1">
      <c r="A306" s="3" t="inlineStr">
        <is>
          <t>N302</t>
        </is>
      </c>
      <c r="B306" s="3" t="inlineStr">
        <is>
          <t>Model run</t>
        </is>
      </c>
      <c r="C306" s="3" t="inlineStr">
        <is>
          <t>U37</t>
        </is>
      </c>
      <c r="D306" s="3" t="inlineStr">
        <is>
          <t>Other demand: Current engine load factor</t>
        </is>
      </c>
      <c r="E306" s="3" t="inlineStr">
        <is>
          <t>https://github.com/Africa-International-Advisors/liquid_fuels_model/blob/8c69f8333192483f19cd80911cb90fcd0943eb6b/assumptions/2026/generation.yaml</t>
        </is>
      </c>
    </row>
    <row r="307" ht="42" customHeight="1">
      <c r="A307" s="3" t="inlineStr">
        <is>
          <t>N303</t>
        </is>
      </c>
      <c r="B307" s="3" t="inlineStr">
        <is>
          <t>Model run</t>
        </is>
      </c>
      <c r="C307" s="3" t="inlineStr">
        <is>
          <t>V37</t>
        </is>
      </c>
      <c r="D307" s="3" t="inlineStr">
        <is>
          <t>Other demand: Current engine load factor</t>
        </is>
      </c>
      <c r="E307" s="3" t="inlineStr">
        <is>
          <t>Engine dependency is in Python; Excel links expose the recorded run.</t>
        </is>
      </c>
    </row>
    <row r="308" ht="42" customHeight="1">
      <c r="A308" s="3" t="inlineStr">
        <is>
          <t>N304</t>
        </is>
      </c>
      <c r="B308" s="3" t="inlineStr">
        <is>
          <t>Model run</t>
        </is>
      </c>
      <c r="C308" s="3" t="inlineStr">
        <is>
          <t>U38</t>
        </is>
      </c>
      <c r="D308" s="3" t="inlineStr">
        <is>
          <t>Other demand: Current thermal efficiency</t>
        </is>
      </c>
      <c r="E308" s="3" t="inlineStr">
        <is>
          <t>https://github.com/Africa-International-Advisors/liquid_fuels_model/blob/8c69f8333192483f19cd80911cb90fcd0943eb6b/assumptions/2026/generation.yaml</t>
        </is>
      </c>
    </row>
    <row r="309" ht="42" customHeight="1">
      <c r="A309" s="3" t="inlineStr">
        <is>
          <t>N305</t>
        </is>
      </c>
      <c r="B309" s="3" t="inlineStr">
        <is>
          <t>Model run</t>
        </is>
      </c>
      <c r="C309" s="3" t="inlineStr">
        <is>
          <t>V38</t>
        </is>
      </c>
      <c r="D309" s="3" t="inlineStr">
        <is>
          <t>Other demand: Current thermal efficiency</t>
        </is>
      </c>
      <c r="E309" s="3" t="inlineStr">
        <is>
          <t>Engine dependency is in Python; Excel links expose the recorded run.</t>
        </is>
      </c>
    </row>
    <row r="310" ht="42" customHeight="1">
      <c r="A310" s="3" t="inlineStr">
        <is>
          <t>N306</t>
        </is>
      </c>
      <c r="B310" s="3" t="inlineStr">
        <is>
          <t>Model run</t>
        </is>
      </c>
      <c r="C310" s="3" t="inlineStr">
        <is>
          <t>U39</t>
        </is>
      </c>
      <c r="D310" s="3" t="inlineStr">
        <is>
          <t>Other demand: Diesel energy content</t>
        </is>
      </c>
      <c r="E310" s="3" t="inlineStr">
        <is>
          <t>https://github.com/Africa-International-Advisors/liquid_fuels_model/blob/8c69f8333192483f19cd80911cb90fcd0943eb6b/assumptions/2026/generation.yaml</t>
        </is>
      </c>
    </row>
    <row r="311" ht="42" customHeight="1">
      <c r="A311" s="3" t="inlineStr">
        <is>
          <t>N307</t>
        </is>
      </c>
      <c r="B311" s="3" t="inlineStr">
        <is>
          <t>Model run</t>
        </is>
      </c>
      <c r="C311" s="3" t="inlineStr">
        <is>
          <t>V39</t>
        </is>
      </c>
      <c r="D311" s="3" t="inlineStr">
        <is>
          <t>Other demand: Diesel energy content</t>
        </is>
      </c>
      <c r="E311" s="3" t="inlineStr">
        <is>
          <t>Engine dependency is in Python; Excel links expose the recorded run.</t>
        </is>
      </c>
    </row>
    <row r="312" ht="42" customHeight="1">
      <c r="A312" s="3" t="inlineStr">
        <is>
          <t>N308</t>
        </is>
      </c>
      <c r="B312" s="3" t="inlineStr">
        <is>
          <t>Model run</t>
        </is>
      </c>
      <c r="C312" s="3" t="inlineStr">
        <is>
          <t>E40</t>
        </is>
      </c>
      <c r="D312" s="3" t="inlineStr">
        <is>
          <t>Other demand: Current OCGT diesel demand</t>
        </is>
      </c>
      <c r="E312" s="3" t="inlineStr">
        <is>
          <t>Calendar-year model output; do not directly tie to FY generation without a bridge.</t>
        </is>
      </c>
    </row>
    <row r="313" ht="42" customHeight="1">
      <c r="A313" s="3" t="inlineStr">
        <is>
          <t>N309</t>
        </is>
      </c>
      <c r="B313" s="3" t="inlineStr">
        <is>
          <t>Model run</t>
        </is>
      </c>
      <c r="C313" s="3" t="inlineStr">
        <is>
          <t>U40</t>
        </is>
      </c>
      <c r="D313" s="3" t="inlineStr">
        <is>
          <t>Other demand: Current OCGT diesel demand</t>
        </is>
      </c>
      <c r="E313" s="3" t="inlineStr">
        <is>
          <t>https://github.com/Africa-International-Advisors/liquid_fuels_model/blob/8c69f8333192483f19cd80911cb90fcd0943eb6b/src/lfm/model/demand/generation.py</t>
        </is>
      </c>
    </row>
    <row r="314" ht="42" customHeight="1">
      <c r="A314" s="3" t="inlineStr">
        <is>
          <t>N310</t>
        </is>
      </c>
      <c r="B314" s="3" t="inlineStr">
        <is>
          <t>Model run</t>
        </is>
      </c>
      <c r="C314" s="3" t="inlineStr">
        <is>
          <t>V40</t>
        </is>
      </c>
      <c r="D314" s="3" t="inlineStr">
        <is>
          <t>Other demand: Current OCGT diesel demand</t>
        </is>
      </c>
      <c r="E314" s="3" t="inlineStr">
        <is>
          <t>Engine dependency is in Python; Excel links expose the recorded run.</t>
        </is>
      </c>
    </row>
    <row r="315" ht="42" customHeight="1">
      <c r="A315" s="3" t="inlineStr">
        <is>
          <t>N311</t>
        </is>
      </c>
      <c r="B315" s="3" t="inlineStr">
        <is>
          <t>Model run</t>
        </is>
      </c>
      <c r="C315" s="3" t="inlineStr">
        <is>
          <t>U41</t>
        </is>
      </c>
      <c r="D315" s="3" t="inlineStr">
        <is>
          <t>Other demand: Current engine passenger departures</t>
        </is>
      </c>
      <c r="E315" s="3" t="inlineStr">
        <is>
          <t>https://github.com/Africa-International-Advisors/liquid_fuels_model/blob/8c69f8333192483f19cd80911cb90fcd0943eb6b/assumptions/2026/aviation.yaml</t>
        </is>
      </c>
    </row>
    <row r="316" ht="42" customHeight="1">
      <c r="A316" s="3" t="inlineStr">
        <is>
          <t>N312</t>
        </is>
      </c>
      <c r="B316" s="3" t="inlineStr">
        <is>
          <t>Model run</t>
        </is>
      </c>
      <c r="C316" s="3" t="inlineStr">
        <is>
          <t>V41</t>
        </is>
      </c>
      <c r="D316" s="3" t="inlineStr">
        <is>
          <t>Other demand: Current engine passenger departures</t>
        </is>
      </c>
      <c r="E316" s="3" t="inlineStr">
        <is>
          <t>Engine dependency is in Python; Excel links expose the recorded run.</t>
        </is>
      </c>
    </row>
    <row r="317" ht="42" customHeight="1">
      <c r="A317" s="3" t="inlineStr">
        <is>
          <t>N313</t>
        </is>
      </c>
      <c r="B317" s="3" t="inlineStr">
        <is>
          <t>Model run</t>
        </is>
      </c>
      <c r="C317" s="3" t="inlineStr">
        <is>
          <t>U42</t>
        </is>
      </c>
      <c r="D317" s="3" t="inlineStr">
        <is>
          <t>Other demand: Current jet demand</t>
        </is>
      </c>
      <c r="E317" s="3" t="inlineStr">
        <is>
          <t>https://github.com/Africa-International-Advisors/liquid_fuels_model/blob/8c69f8333192483f19cd80911cb90fcd0943eb6b/src/lfm/model/demand/aviation.py</t>
        </is>
      </c>
    </row>
    <row r="318" ht="42" customHeight="1">
      <c r="A318" s="3" t="inlineStr">
        <is>
          <t>N314</t>
        </is>
      </c>
      <c r="B318" s="3" t="inlineStr">
        <is>
          <t>Model run</t>
        </is>
      </c>
      <c r="C318" s="3" t="inlineStr">
        <is>
          <t>V42</t>
        </is>
      </c>
      <c r="D318" s="3" t="inlineStr">
        <is>
          <t>Other demand: Current jet demand</t>
        </is>
      </c>
      <c r="E318" s="3" t="inlineStr">
        <is>
          <t>Engine dependency is in Python; Excel links expose the recorded run.</t>
        </is>
      </c>
    </row>
    <row r="319" ht="42" customHeight="1">
      <c r="A319" s="3" t="inlineStr">
        <is>
          <t>N315</t>
        </is>
      </c>
      <c r="B319" s="3" t="inlineStr">
        <is>
          <t>Model run</t>
        </is>
      </c>
      <c r="C319" s="3" t="inlineStr">
        <is>
          <t>E43</t>
        </is>
      </c>
      <c r="D319" s="3" t="inlineStr">
        <is>
          <t>Other demand: Legacy jet regression intercept</t>
        </is>
      </c>
      <c r="E319" s="3" t="inlineStr">
        <is>
          <t>Jet = intercept + GDP/capita coefficient × GDP/capita + passenger coefficient × departures.</t>
        </is>
      </c>
    </row>
    <row r="320" ht="42" customHeight="1">
      <c r="A320" s="3" t="inlineStr">
        <is>
          <t>N316</t>
        </is>
      </c>
      <c r="B320" s="3" t="inlineStr">
        <is>
          <t>Model run</t>
        </is>
      </c>
      <c r="C320" s="3" t="inlineStr">
        <is>
          <t>U43</t>
        </is>
      </c>
      <c r="D320" s="3" t="inlineStr">
        <is>
          <t>Other demand: Legacy jet regression intercept</t>
        </is>
      </c>
      <c r="E320" s="3" t="inlineStr">
        <is>
          <t>https://github.com/Africa-International-Advisors/liquid_fuels_model/blob/8c69f8333192483f19cd80911cb90fcd0943eb6b/assumptions/2026/aviation.yaml</t>
        </is>
      </c>
    </row>
    <row r="321" ht="42" customHeight="1">
      <c r="A321" s="3" t="inlineStr">
        <is>
          <t>N317</t>
        </is>
      </c>
      <c r="B321" s="3" t="inlineStr">
        <is>
          <t>Model run</t>
        </is>
      </c>
      <c r="C321" s="3" t="inlineStr">
        <is>
          <t>V43</t>
        </is>
      </c>
      <c r="D321" s="3" t="inlineStr">
        <is>
          <t>Other demand: Legacy jet regression intercept</t>
        </is>
      </c>
      <c r="E321" s="3" t="inlineStr">
        <is>
          <t>Engine dependency is in Python; Excel links expose the recorded run.</t>
        </is>
      </c>
    </row>
    <row r="322" ht="42" customHeight="1">
      <c r="A322" s="3" t="inlineStr">
        <is>
          <t>N318</t>
        </is>
      </c>
      <c r="B322" s="3" t="inlineStr">
        <is>
          <t>Model run</t>
        </is>
      </c>
      <c r="C322" s="3" t="inlineStr">
        <is>
          <t>U44</t>
        </is>
      </c>
      <c r="D322" s="3" t="inlineStr">
        <is>
          <t>Other demand: GDP/capita coefficient</t>
        </is>
      </c>
      <c r="E322" s="3" t="inlineStr">
        <is>
          <t>https://github.com/Africa-International-Advisors/liquid_fuels_model/blob/8c69f8333192483f19cd80911cb90fcd0943eb6b/assumptions/2026/aviation.yaml</t>
        </is>
      </c>
    </row>
    <row r="323" ht="42" customHeight="1">
      <c r="A323" s="3" t="inlineStr">
        <is>
          <t>N319</t>
        </is>
      </c>
      <c r="B323" s="3" t="inlineStr">
        <is>
          <t>Model run</t>
        </is>
      </c>
      <c r="C323" s="3" t="inlineStr">
        <is>
          <t>V44</t>
        </is>
      </c>
      <c r="D323" s="3" t="inlineStr">
        <is>
          <t>Other demand: GDP/capita coefficient</t>
        </is>
      </c>
      <c r="E323" s="3" t="inlineStr">
        <is>
          <t>Engine dependency is in Python; Excel links expose the recorded run.</t>
        </is>
      </c>
    </row>
    <row r="324" ht="42" customHeight="1">
      <c r="A324" s="3" t="inlineStr">
        <is>
          <t>N320</t>
        </is>
      </c>
      <c r="B324" s="3" t="inlineStr">
        <is>
          <t>Model run</t>
        </is>
      </c>
      <c r="C324" s="3" t="inlineStr">
        <is>
          <t>U45</t>
        </is>
      </c>
      <c r="D324" s="3" t="inlineStr">
        <is>
          <t>Other demand: Passenger coefficient</t>
        </is>
      </c>
      <c r="E324" s="3" t="inlineStr">
        <is>
          <t>https://github.com/Africa-International-Advisors/liquid_fuels_model/blob/8c69f8333192483f19cd80911cb90fcd0943eb6b/assumptions/2026/aviation.yaml</t>
        </is>
      </c>
    </row>
    <row r="325" ht="42" customHeight="1">
      <c r="A325" s="3" t="inlineStr">
        <is>
          <t>N321</t>
        </is>
      </c>
      <c r="B325" s="3" t="inlineStr">
        <is>
          <t>Model run</t>
        </is>
      </c>
      <c r="C325" s="3" t="inlineStr">
        <is>
          <t>V45</t>
        </is>
      </c>
      <c r="D325" s="3" t="inlineStr">
        <is>
          <t>Other demand: Passenger coefficient</t>
        </is>
      </c>
      <c r="E325" s="3" t="inlineStr">
        <is>
          <t>Engine dependency is in Python; Excel links expose the recorded run.</t>
        </is>
      </c>
    </row>
    <row r="326" ht="42" customHeight="1">
      <c r="A326" s="3" t="inlineStr">
        <is>
          <t>N322</t>
        </is>
      </c>
      <c r="B326" s="3" t="inlineStr">
        <is>
          <t>Model run</t>
        </is>
      </c>
      <c r="C326" s="3" t="inlineStr">
        <is>
          <t>U46</t>
        </is>
      </c>
      <c r="D326" s="3" t="inlineStr">
        <is>
          <t>Other demand: durban provisional port baseline</t>
        </is>
      </c>
      <c r="E326" s="3" t="inlineStr">
        <is>
          <t>https://github.com/Africa-International-Advisors/liquid_fuels_model/blob/8c69f8333192483f19cd80911cb90fcd0943eb6b/assumptions/2026/marine.yaml</t>
        </is>
      </c>
    </row>
    <row r="327" ht="42" customHeight="1">
      <c r="A327" s="3" t="inlineStr">
        <is>
          <t>N323</t>
        </is>
      </c>
      <c r="B327" s="3" t="inlineStr">
        <is>
          <t>Model run</t>
        </is>
      </c>
      <c r="C327" s="3" t="inlineStr">
        <is>
          <t>V46</t>
        </is>
      </c>
      <c r="D327" s="3" t="inlineStr">
        <is>
          <t>Other demand: durban provisional port baseline</t>
        </is>
      </c>
      <c r="E327" s="3" t="inlineStr">
        <is>
          <t>Engine dependency is in Python; Excel links expose the recorded run.</t>
        </is>
      </c>
    </row>
    <row r="328" ht="42" customHeight="1">
      <c r="A328" s="3" t="inlineStr">
        <is>
          <t>N324</t>
        </is>
      </c>
      <c r="B328" s="3" t="inlineStr">
        <is>
          <t>Model run</t>
        </is>
      </c>
      <c r="C328" s="3" t="inlineStr">
        <is>
          <t>U47</t>
        </is>
      </c>
      <c r="D328" s="3" t="inlineStr">
        <is>
          <t>Other demand: cape_town provisional port baseline</t>
        </is>
      </c>
      <c r="E328" s="3" t="inlineStr">
        <is>
          <t>https://github.com/Africa-International-Advisors/liquid_fuels_model/blob/8c69f8333192483f19cd80911cb90fcd0943eb6b/assumptions/2026/marine.yaml</t>
        </is>
      </c>
    </row>
    <row r="329" ht="42" customHeight="1">
      <c r="A329" s="3" t="inlineStr">
        <is>
          <t>N325</t>
        </is>
      </c>
      <c r="B329" s="3" t="inlineStr">
        <is>
          <t>Model run</t>
        </is>
      </c>
      <c r="C329" s="3" t="inlineStr">
        <is>
          <t>V47</t>
        </is>
      </c>
      <c r="D329" s="3" t="inlineStr">
        <is>
          <t>Other demand: cape_town provisional port baseline</t>
        </is>
      </c>
      <c r="E329" s="3" t="inlineStr">
        <is>
          <t>Engine dependency is in Python; Excel links expose the recorded run.</t>
        </is>
      </c>
    </row>
    <row r="330" ht="42" customHeight="1">
      <c r="A330" s="3" t="inlineStr">
        <is>
          <t>N326</t>
        </is>
      </c>
      <c r="B330" s="3" t="inlineStr">
        <is>
          <t>Model run</t>
        </is>
      </c>
      <c r="C330" s="3" t="inlineStr">
        <is>
          <t>U48</t>
        </is>
      </c>
      <c r="D330" s="3" t="inlineStr">
        <is>
          <t>Other demand: saldanha provisional port baseline</t>
        </is>
      </c>
      <c r="E330" s="3" t="inlineStr">
        <is>
          <t>https://github.com/Africa-International-Advisors/liquid_fuels_model/blob/8c69f8333192483f19cd80911cb90fcd0943eb6b/assumptions/2026/marine.yaml</t>
        </is>
      </c>
    </row>
    <row r="331" ht="42" customHeight="1">
      <c r="A331" s="3" t="inlineStr">
        <is>
          <t>N327</t>
        </is>
      </c>
      <c r="B331" s="3" t="inlineStr">
        <is>
          <t>Model run</t>
        </is>
      </c>
      <c r="C331" s="3" t="inlineStr">
        <is>
          <t>V48</t>
        </is>
      </c>
      <c r="D331" s="3" t="inlineStr">
        <is>
          <t>Other demand: saldanha provisional port baseline</t>
        </is>
      </c>
      <c r="E331" s="3" t="inlineStr">
        <is>
          <t>Engine dependency is in Python; Excel links expose the recorded run.</t>
        </is>
      </c>
    </row>
    <row r="332" ht="42" customHeight="1">
      <c r="A332" s="3" t="inlineStr">
        <is>
          <t>N328</t>
        </is>
      </c>
      <c r="B332" s="3" t="inlineStr">
        <is>
          <t>Model run</t>
        </is>
      </c>
      <c r="C332" s="3" t="inlineStr">
        <is>
          <t>U49</t>
        </is>
      </c>
      <c r="D332" s="3" t="inlineStr">
        <is>
          <t>Other demand: Marine GDP/capita elasticity</t>
        </is>
      </c>
      <c r="E332" s="3" t="inlineStr">
        <is>
          <t>https://github.com/Africa-International-Advisors/liquid_fuels_model/blob/8c69f8333192483f19cd80911cb90fcd0943eb6b/assumptions/2026/marine.yaml</t>
        </is>
      </c>
    </row>
    <row r="333" ht="42" customHeight="1">
      <c r="A333" s="3" t="inlineStr">
        <is>
          <t>N329</t>
        </is>
      </c>
      <c r="B333" s="3" t="inlineStr">
        <is>
          <t>Model run</t>
        </is>
      </c>
      <c r="C333" s="3" t="inlineStr">
        <is>
          <t>V49</t>
        </is>
      </c>
      <c r="D333" s="3" t="inlineStr">
        <is>
          <t>Other demand: Marine GDP/capita elasticity</t>
        </is>
      </c>
      <c r="E333" s="3" t="inlineStr">
        <is>
          <t>Engine dependency is in Python; Excel links expose the recorded run.</t>
        </is>
      </c>
    </row>
    <row r="334" ht="42" customHeight="1">
      <c r="A334" s="3" t="inlineStr">
        <is>
          <t>N330</t>
        </is>
      </c>
      <c r="B334" s="3" t="inlineStr">
        <is>
          <t>Model run</t>
        </is>
      </c>
      <c r="C334" s="3" t="inlineStr">
        <is>
          <t>U50</t>
        </is>
      </c>
      <c r="D334" s="3" t="inlineStr">
        <is>
          <t>Other demand: Marine fuel-oil share</t>
        </is>
      </c>
      <c r="E334" s="3" t="inlineStr">
        <is>
          <t>https://github.com/Africa-International-Advisors/liquid_fuels_model/blob/8c69f8333192483f19cd80911cb90fcd0943eb6b/assumptions/2026/marine.yaml</t>
        </is>
      </c>
    </row>
    <row r="335" ht="42" customHeight="1">
      <c r="A335" s="3" t="inlineStr">
        <is>
          <t>N331</t>
        </is>
      </c>
      <c r="B335" s="3" t="inlineStr">
        <is>
          <t>Model run</t>
        </is>
      </c>
      <c r="C335" s="3" t="inlineStr">
        <is>
          <t>V50</t>
        </is>
      </c>
      <c r="D335" s="3" t="inlineStr">
        <is>
          <t>Other demand: Marine fuel-oil share</t>
        </is>
      </c>
      <c r="E335" s="3" t="inlineStr">
        <is>
          <t>Engine dependency is in Python; Excel links expose the recorded run.</t>
        </is>
      </c>
    </row>
    <row r="336" ht="42" customHeight="1">
      <c r="A336" s="3" t="inlineStr">
        <is>
          <t>N332</t>
        </is>
      </c>
      <c r="B336" s="3" t="inlineStr">
        <is>
          <t>Model run</t>
        </is>
      </c>
      <c r="C336" s="3" t="inlineStr">
        <is>
          <t>U51</t>
        </is>
      </c>
      <c r="D336" s="3" t="inlineStr">
        <is>
          <t>Other demand: Marine diesel share</t>
        </is>
      </c>
      <c r="E336" s="3" t="inlineStr">
        <is>
          <t>https://github.com/Africa-International-Advisors/liquid_fuels_model/blob/8c69f8333192483f19cd80911cb90fcd0943eb6b/assumptions/2026/marine.yaml</t>
        </is>
      </c>
    </row>
    <row r="337" ht="42" customHeight="1">
      <c r="A337" s="3" t="inlineStr">
        <is>
          <t>N333</t>
        </is>
      </c>
      <c r="B337" s="3" t="inlineStr">
        <is>
          <t>Model run</t>
        </is>
      </c>
      <c r="C337" s="3" t="inlineStr">
        <is>
          <t>V51</t>
        </is>
      </c>
      <c r="D337" s="3" t="inlineStr">
        <is>
          <t>Other demand: Marine diesel share</t>
        </is>
      </c>
      <c r="E337" s="3" t="inlineStr">
        <is>
          <t>Engine dependency is in Python; Excel links expose the recorded run.</t>
        </is>
      </c>
    </row>
    <row r="338" ht="42" customHeight="1">
      <c r="A338" s="3" t="inlineStr">
        <is>
          <t>N334</t>
        </is>
      </c>
      <c r="B338" s="3" t="inlineStr">
        <is>
          <t>Model run</t>
        </is>
      </c>
      <c r="C338" s="3" t="inlineStr">
        <is>
          <t>U52</t>
        </is>
      </c>
      <c r="D338" s="3" t="inlineStr">
        <is>
          <t>Other demand: Marine diesel demand</t>
        </is>
      </c>
      <c r="E338" s="3" t="inlineStr">
        <is>
          <t>https://github.com/Africa-International-Advisors/liquid_fuels_model/blob/8c69f8333192483f19cd80911cb90fcd0943eb6b/src/lfm/model/demand/marine.py</t>
        </is>
      </c>
    </row>
    <row r="339" ht="42" customHeight="1">
      <c r="A339" s="3" t="inlineStr">
        <is>
          <t>N335</t>
        </is>
      </c>
      <c r="B339" s="3" t="inlineStr">
        <is>
          <t>Model run</t>
        </is>
      </c>
      <c r="C339" s="3" t="inlineStr">
        <is>
          <t>V52</t>
        </is>
      </c>
      <c r="D339" s="3" t="inlineStr">
        <is>
          <t>Other demand: Marine diesel demand</t>
        </is>
      </c>
      <c r="E339" s="3" t="inlineStr">
        <is>
          <t>Engine dependency is in Python; Excel links expose the recorded run.</t>
        </is>
      </c>
    </row>
    <row r="340" ht="42" customHeight="1">
      <c r="A340" s="3" t="inlineStr">
        <is>
          <t>N336</t>
        </is>
      </c>
      <c r="B340" s="3" t="inlineStr">
        <is>
          <t>Model run</t>
        </is>
      </c>
      <c r="C340" s="3" t="inlineStr">
        <is>
          <t>U53</t>
        </is>
      </c>
      <c r="D340" s="3" t="inlineStr">
        <is>
          <t>Other demand: Marine fuel-oil demand</t>
        </is>
      </c>
      <c r="E340" s="3" t="inlineStr">
        <is>
          <t>https://github.com/Africa-International-Advisors/liquid_fuels_model/blob/8c69f8333192483f19cd80911cb90fcd0943eb6b/src/lfm/model/demand/marine.py</t>
        </is>
      </c>
    </row>
    <row r="341" ht="42" customHeight="1">
      <c r="A341" s="3" t="inlineStr">
        <is>
          <t>N337</t>
        </is>
      </c>
      <c r="B341" s="3" t="inlineStr">
        <is>
          <t>Model run</t>
        </is>
      </c>
      <c r="C341" s="3" t="inlineStr">
        <is>
          <t>V53</t>
        </is>
      </c>
      <c r="D341" s="3" t="inlineStr">
        <is>
          <t>Other demand: Marine fuel-oil demand</t>
        </is>
      </c>
      <c r="E341" s="3" t="inlineStr">
        <is>
          <t>Engine dependency is in Python; Excel links expose the recorded run.</t>
        </is>
      </c>
    </row>
    <row r="342" ht="42" customHeight="1">
      <c r="A342" s="3" t="inlineStr">
        <is>
          <t>N338</t>
        </is>
      </c>
      <c r="B342" s="3" t="inlineStr">
        <is>
          <t>Model run</t>
        </is>
      </c>
      <c r="C342" s="3" t="inlineStr">
        <is>
          <t>E61</t>
        </is>
      </c>
      <c r="D342" s="3" t="inlineStr">
        <is>
          <t>Run provenance</t>
        </is>
      </c>
      <c r="E342" s="3" t="inlineStr">
        <is>
          <t>2026-10-07T10:48:46.852505+00:00; 8c69f8333192483f19cd80911cb90fcd0943eb6b; vintage 2026; high_demand. Input hashes: workshop_data.json. Engine inputs resolve before model calculation.</t>
        </is>
      </c>
    </row>
    <row r="343" ht="42" customHeight="1">
      <c r="A343" s="3" t="inlineStr">
        <is>
          <t>N339</t>
        </is>
      </c>
      <c r="B343" s="3" t="inlineStr">
        <is>
          <t>Model run</t>
        </is>
      </c>
      <c r="C343" s="3" t="inlineStr">
        <is>
          <t>E64</t>
        </is>
      </c>
      <c r="D343" s="3" t="inlineStr">
        <is>
          <t>Input snapshot manifest</t>
        </is>
      </c>
      <c r="E343" s="3" t="inlineStr">
        <is>
          <t>Paths and hashes identify the captured input files; source/assumption changes require rerun.</t>
        </is>
      </c>
    </row>
    <row r="344" ht="42" customHeight="1">
      <c r="A344" s="3" t="inlineStr">
        <is>
          <t>N340</t>
        </is>
      </c>
      <c r="B344" s="3" t="inlineStr">
        <is>
          <t>Model run</t>
        </is>
      </c>
      <c r="C344" s="3" t="inlineStr">
        <is>
          <t>A71</t>
        </is>
      </c>
      <c r="D344" s="3" t="inlineStr">
        <is>
          <t>assumptions/2026/infrastructure/storage_transnet_pipelines_depots.csv</t>
        </is>
      </c>
      <c r="E344" s="3" t="inlineStr">
        <is>
          <t>assumptions/2026/infrastructure/storage_transnet_pipelines_depots.csv</t>
        </is>
      </c>
    </row>
    <row r="345" ht="42" customHeight="1">
      <c r="A345" s="3" t="inlineStr">
        <is>
          <t>N341</t>
        </is>
      </c>
      <c r="B345" s="3" t="inlineStr">
        <is>
          <t>Model run</t>
        </is>
      </c>
      <c r="C345" s="3" t="inlineStr">
        <is>
          <t>A72</t>
        </is>
      </c>
      <c r="D345" s="3" t="inlineStr">
        <is>
          <t>assumptions/2026/infrastructure/storage_transnet_pipelines_depots.sources.yaml</t>
        </is>
      </c>
      <c r="E345" s="3" t="inlineStr">
        <is>
          <t>assumptions/2026/infrastructure/storage_transnet_pipelines_depots.sources.yaml</t>
        </is>
      </c>
    </row>
    <row r="346" ht="42" customHeight="1">
      <c r="A346" s="3" t="inlineStr">
        <is>
          <t>N342</t>
        </is>
      </c>
      <c r="B346" s="3" t="inlineStr">
        <is>
          <t>Model run</t>
        </is>
      </c>
      <c r="C346" s="3" t="inlineStr">
        <is>
          <t>A75</t>
        </is>
      </c>
      <c r="D346" s="3" t="inlineStr">
        <is>
          <t>assumptions/2026/reference/fleet_fuel_split_2023.csv</t>
        </is>
      </c>
      <c r="E346" s="3" t="inlineStr">
        <is>
          <t>assumptions/2026/reference/fleet_fuel_split_2023.csv</t>
        </is>
      </c>
    </row>
    <row r="347" ht="42" customHeight="1">
      <c r="A347" s="3" t="inlineStr">
        <is>
          <t>N343</t>
        </is>
      </c>
      <c r="B347" s="3" t="inlineStr">
        <is>
          <t>Model run</t>
        </is>
      </c>
      <c r="C347" s="3" t="inlineStr">
        <is>
          <t>A76</t>
        </is>
      </c>
      <c r="D347" s="3" t="inlineStr">
        <is>
          <t>assumptions/2026/reference/fleet_fuel_split_2023.sources.yaml</t>
        </is>
      </c>
      <c r="E347" s="3" t="inlineStr">
        <is>
          <t>assumptions/2026/reference/fleet_fuel_split_2023.sources.yaml</t>
        </is>
      </c>
    </row>
    <row r="348" ht="42" customHeight="1">
      <c r="A348" s="3" t="inlineStr">
        <is>
          <t>N344</t>
        </is>
      </c>
      <c r="B348" s="3" t="inlineStr">
        <is>
          <t>Model run</t>
        </is>
      </c>
      <c r="C348" s="3" t="inlineStr">
        <is>
          <t>A77</t>
        </is>
      </c>
      <c r="D348" s="3" t="inlineStr">
        <is>
          <t>assumptions/2026/reference/vehicle_parameters_stone2018.csv</t>
        </is>
      </c>
      <c r="E348" s="3" t="inlineStr">
        <is>
          <t>assumptions/2026/reference/vehicle_parameters_stone2018.csv</t>
        </is>
      </c>
    </row>
    <row r="349" ht="42" customHeight="1">
      <c r="A349" s="3" t="inlineStr">
        <is>
          <t>N345</t>
        </is>
      </c>
      <c r="B349" s="3" t="inlineStr">
        <is>
          <t>Model run</t>
        </is>
      </c>
      <c r="C349" s="3" t="inlineStr">
        <is>
          <t>A78</t>
        </is>
      </c>
      <c r="D349" s="3" t="inlineStr">
        <is>
          <t>assumptions/2026/reference/vehicle_parameters_stone2018.sources.yaml</t>
        </is>
      </c>
      <c r="E349" s="3" t="inlineStr">
        <is>
          <t>assumptions/2026/reference/vehicle_parameters_stone2018.sources.yaml</t>
        </is>
      </c>
    </row>
    <row r="350" ht="42" customHeight="1">
      <c r="A350" s="3" t="inlineStr">
        <is>
          <t>N346</t>
        </is>
      </c>
      <c r="B350" s="3" t="inlineStr">
        <is>
          <t>Model run</t>
        </is>
      </c>
      <c r="C350" s="3" t="inlineStr">
        <is>
          <t>A79</t>
        </is>
      </c>
      <c r="D350" s="3" t="inlineStr">
        <is>
          <t>assumptions/2026/reference/vehicle_population_by_fuel_dot2023.csv</t>
        </is>
      </c>
      <c r="E350" s="3" t="inlineStr">
        <is>
          <t>assumptions/2026/reference/vehicle_population_by_fuel_dot2023.csv</t>
        </is>
      </c>
    </row>
    <row r="351" ht="42" customHeight="1">
      <c r="A351" s="3" t="inlineStr">
        <is>
          <t>N347</t>
        </is>
      </c>
      <c r="B351" s="3" t="inlineStr">
        <is>
          <t>Model run</t>
        </is>
      </c>
      <c r="C351" s="3" t="inlineStr">
        <is>
          <t>A80</t>
        </is>
      </c>
      <c r="D351" s="3" t="inlineStr">
        <is>
          <t>assumptions/2026/reference/vehicle_population_by_fuel_dot2023.sources.yaml</t>
        </is>
      </c>
      <c r="E351" s="3" t="inlineStr">
        <is>
          <t>assumptions/2026/reference/vehicle_population_by_fuel_dot2023.sources.yaml</t>
        </is>
      </c>
    </row>
    <row r="352" ht="42" customHeight="1">
      <c r="A352" s="3" t="inlineStr">
        <is>
          <t>N348</t>
        </is>
      </c>
      <c r="B352" s="3" t="inlineStr">
        <is>
          <t>Model run</t>
        </is>
      </c>
      <c r="C352" s="3" t="inlineStr">
        <is>
          <t>A87</t>
        </is>
      </c>
      <c r="D352" s="3" t="inlineStr">
        <is>
          <t>assumptions/2026/timeseries/air_traffic_acsa_annual.csv</t>
        </is>
      </c>
      <c r="E352" s="3" t="inlineStr">
        <is>
          <t>assumptions/2026/timeseries/air_traffic_acsa_annual.csv</t>
        </is>
      </c>
    </row>
    <row r="353" ht="42" customHeight="1">
      <c r="A353" s="3" t="inlineStr">
        <is>
          <t>N349</t>
        </is>
      </c>
      <c r="B353" s="3" t="inlineStr">
        <is>
          <t>Model run</t>
        </is>
      </c>
      <c r="C353" s="3" t="inlineStr">
        <is>
          <t>A89</t>
        </is>
      </c>
      <c r="D353" s="3" t="inlineStr">
        <is>
          <t>assumptions/2026/timeseries/efficiency_improvement_diesel.csv</t>
        </is>
      </c>
      <c r="E353" s="3" t="inlineStr">
        <is>
          <t>assumptions/2026/timeseries/efficiency_improvement_diesel.csv</t>
        </is>
      </c>
    </row>
    <row r="354" ht="42" customHeight="1">
      <c r="A354" s="3" t="inlineStr">
        <is>
          <t>N350</t>
        </is>
      </c>
      <c r="B354" s="3" t="inlineStr">
        <is>
          <t>Model run</t>
        </is>
      </c>
      <c r="C354" s="3" t="inlineStr">
        <is>
          <t>A90</t>
        </is>
      </c>
      <c r="D354" s="3" t="inlineStr">
        <is>
          <t>assumptions/2026/timeseries/efficiency_improvement_gasoline.csv</t>
        </is>
      </c>
      <c r="E354" s="3" t="inlineStr">
        <is>
          <t>assumptions/2026/timeseries/efficiency_improvement_gasoline.csv</t>
        </is>
      </c>
    </row>
    <row r="355" ht="42" customHeight="1">
      <c r="A355" s="3" t="inlineStr">
        <is>
          <t>N351</t>
        </is>
      </c>
      <c r="B355" s="3" t="inlineStr">
        <is>
          <t>Model run</t>
        </is>
      </c>
      <c r="C355" s="3" t="inlineStr">
        <is>
          <t>A91</t>
        </is>
      </c>
      <c r="D355" s="3" t="inlineStr">
        <is>
          <t>assumptions/2026/timeseries/energy_balance_department.csv</t>
        </is>
      </c>
      <c r="E355" s="3" t="inlineStr">
        <is>
          <t>assumptions/2026/timeseries/energy_balance_department.csv</t>
        </is>
      </c>
    </row>
    <row r="356" ht="42" customHeight="1">
      <c r="A356" s="3" t="inlineStr">
        <is>
          <t>N352</t>
        </is>
      </c>
      <c r="B356" s="3" t="inlineStr">
        <is>
          <t>Model run</t>
        </is>
      </c>
      <c r="C356" s="3" t="inlineStr">
        <is>
          <t>A92</t>
        </is>
      </c>
      <c r="D356" s="3" t="inlineStr">
        <is>
          <t>assumptions/2026/timeseries/energy_department.sources.yaml</t>
        </is>
      </c>
      <c r="E356" s="3" t="inlineStr">
        <is>
          <t>assumptions/2026/timeseries/energy_department.sources.yaml</t>
        </is>
      </c>
    </row>
    <row r="357" ht="42" customHeight="1">
      <c r="A357" s="3" t="inlineStr">
        <is>
          <t>N353</t>
        </is>
      </c>
      <c r="B357" s="3" t="inlineStr">
        <is>
          <t>Model run</t>
        </is>
      </c>
      <c r="C357" s="3" t="inlineStr">
        <is>
          <t>A93</t>
        </is>
      </c>
      <c r="D357" s="3" t="inlineStr">
        <is>
          <t>assumptions/2026/timeseries/freight_payload_statssa_review.csv</t>
        </is>
      </c>
      <c r="E357" s="3" t="inlineStr">
        <is>
          <t>assumptions/2026/timeseries/freight_payload_statssa_review.csv</t>
        </is>
      </c>
    </row>
    <row r="358" ht="42" customHeight="1">
      <c r="A358" s="3" t="inlineStr">
        <is>
          <t>N354</t>
        </is>
      </c>
      <c r="B358" s="3" t="inlineStr">
        <is>
          <t>Model run</t>
        </is>
      </c>
      <c r="C358" s="3" t="inlineStr">
        <is>
          <t>A94</t>
        </is>
      </c>
      <c r="D358" s="3" t="inlineStr">
        <is>
          <t>assumptions/2026/timeseries/fuel_lever_design_2026_10_07.csv</t>
        </is>
      </c>
      <c r="E358" s="3" t="inlineStr">
        <is>
          <t>assumptions/2026/timeseries/fuel_lever_design_2026_10_07.csv</t>
        </is>
      </c>
    </row>
    <row r="359" ht="42" customHeight="1">
      <c r="A359" s="3" t="inlineStr">
        <is>
          <t>N355</t>
        </is>
      </c>
      <c r="B359" s="3" t="inlineStr">
        <is>
          <t>Model run</t>
        </is>
      </c>
      <c r="C359" s="3" t="inlineStr">
        <is>
          <t>A95</t>
        </is>
      </c>
      <c r="D359" s="3" t="inlineStr">
        <is>
          <t>assumptions/2026/timeseries/fuel_prices_department.csv</t>
        </is>
      </c>
      <c r="E359" s="3" t="inlineStr">
        <is>
          <t>assumptions/2026/timeseries/fuel_prices_department.csv</t>
        </is>
      </c>
    </row>
    <row r="360" ht="42" customHeight="1">
      <c r="A360" s="3" t="inlineStr">
        <is>
          <t>N356</t>
        </is>
      </c>
      <c r="B360" s="3" t="inlineStr">
        <is>
          <t>Model run</t>
        </is>
      </c>
      <c r="C360" s="3" t="inlineStr">
        <is>
          <t>A96</t>
        </is>
      </c>
      <c r="D360" s="3" t="inlineStr">
        <is>
          <t>assumptions/2026/timeseries/fuel_prices_department_annual.csv</t>
        </is>
      </c>
      <c r="E360" s="3" t="inlineStr">
        <is>
          <t>assumptions/2026/timeseries/fuel_prices_department_annual.csv</t>
        </is>
      </c>
    </row>
    <row r="361" ht="42" customHeight="1">
      <c r="A361" s="3" t="inlineStr">
        <is>
          <t>N357</t>
        </is>
      </c>
      <c r="B361" s="3" t="inlineStr">
        <is>
          <t>Model run</t>
        </is>
      </c>
      <c r="C361" s="3" t="inlineStr">
        <is>
          <t>A97</t>
        </is>
      </c>
      <c r="D361" s="3" t="inlineStr">
        <is>
          <t>assumptions/2026/timeseries/fuel_sales_department.csv</t>
        </is>
      </c>
      <c r="E361" s="3" t="inlineStr">
        <is>
          <t>assumptions/2026/timeseries/fuel_sales_department.csv</t>
        </is>
      </c>
    </row>
    <row r="362" ht="42" customHeight="1">
      <c r="A362" s="3" t="inlineStr">
        <is>
          <t>N358</t>
        </is>
      </c>
      <c r="B362" s="3" t="inlineStr">
        <is>
          <t>Model run</t>
        </is>
      </c>
      <c r="C362" s="3" t="inlineStr">
        <is>
          <t>A98</t>
        </is>
      </c>
      <c r="D362" s="3" t="inlineStr">
        <is>
          <t>assumptions/2026/timeseries/fuel_sales_department_by_province.csv</t>
        </is>
      </c>
      <c r="E362" s="3" t="inlineStr">
        <is>
          <t>assumptions/2026/timeseries/fuel_sales_department_by_province.csv</t>
        </is>
      </c>
    </row>
    <row r="363" ht="42" customHeight="1">
      <c r="A363" s="3" t="inlineStr">
        <is>
          <t>N359</t>
        </is>
      </c>
      <c r="B363" s="3" t="inlineStr">
        <is>
          <t>Model run</t>
        </is>
      </c>
      <c r="C363" s="3" t="inlineStr">
        <is>
          <t>A99</t>
        </is>
      </c>
      <c r="D363" s="3" t="inlineStr">
        <is>
          <t>assumptions/2026/timeseries/fuel_sales_department_by_province_quarterly.csv</t>
        </is>
      </c>
      <c r="E363" s="3" t="inlineStr">
        <is>
          <t>assumptions/2026/timeseries/fuel_sales_department_by_province_quarterly.csv</t>
        </is>
      </c>
    </row>
    <row r="364" ht="42" customHeight="1">
      <c r="A364" s="3" t="inlineStr">
        <is>
          <t>N360</t>
        </is>
      </c>
      <c r="B364" s="3" t="inlineStr">
        <is>
          <t>Model run</t>
        </is>
      </c>
      <c r="C364" s="3" t="inlineStr">
        <is>
          <t>A100</t>
        </is>
      </c>
      <c r="D364" s="3" t="inlineStr">
        <is>
          <t>assumptions/2026/timeseries/fuel_sales_department_quarterly.csv</t>
        </is>
      </c>
      <c r="E364" s="3" t="inlineStr">
        <is>
          <t>assumptions/2026/timeseries/fuel_sales_department_quarterly.csv</t>
        </is>
      </c>
    </row>
    <row r="365" ht="42" customHeight="1">
      <c r="A365" s="3" t="inlineStr">
        <is>
          <t>N361</t>
        </is>
      </c>
      <c r="B365" s="3" t="inlineStr">
        <is>
          <t>Model run</t>
        </is>
      </c>
      <c r="C365" s="3" t="inlineStr">
        <is>
          <t>A102</t>
        </is>
      </c>
      <c r="D365" s="3" t="inlineStr">
        <is>
          <t>assumptions/2026/timeseries/fuel_sales_fiasa.sources.yaml</t>
        </is>
      </c>
      <c r="E365" s="3" t="inlineStr">
        <is>
          <t>assumptions/2026/timeseries/fuel_sales_fiasa.sources.yaml</t>
        </is>
      </c>
    </row>
    <row r="366" ht="42" customHeight="1">
      <c r="A366" s="3" t="inlineStr">
        <is>
          <t>N362</t>
        </is>
      </c>
      <c r="B366" s="3" t="inlineStr">
        <is>
          <t>Model run</t>
        </is>
      </c>
      <c r="C366" s="3" t="inlineStr">
        <is>
          <t>A103</t>
        </is>
      </c>
      <c r="D366" s="3" t="inlineStr">
        <is>
          <t>assumptions/2026/timeseries/fuel_trade_department_review.csv</t>
        </is>
      </c>
      <c r="E366" s="3" t="inlineStr">
        <is>
          <t>assumptions/2026/timeseries/fuel_trade_department_review.csv</t>
        </is>
      </c>
    </row>
    <row r="367" ht="42" customHeight="1">
      <c r="A367" s="3" t="inlineStr">
        <is>
          <t>N363</t>
        </is>
      </c>
      <c r="B367" s="3" t="inlineStr">
        <is>
          <t>Model run</t>
        </is>
      </c>
      <c r="C367" s="3" t="inlineStr">
        <is>
          <t>A107</t>
        </is>
      </c>
      <c r="D367" s="3" t="inlineStr">
        <is>
          <t>assumptions/2026/timeseries/gdp_growth_treasury.csv</t>
        </is>
      </c>
      <c r="E367" s="3" t="inlineStr">
        <is>
          <t>assumptions/2026/timeseries/gdp_growth_treasury.csv</t>
        </is>
      </c>
    </row>
    <row r="368" ht="42" customHeight="1">
      <c r="A368" s="3" t="inlineStr">
        <is>
          <t>N364</t>
        </is>
      </c>
      <c r="B368" s="3" t="inlineStr">
        <is>
          <t>Model run</t>
        </is>
      </c>
      <c r="C368" s="3" t="inlineStr">
        <is>
          <t>A115</t>
        </is>
      </c>
      <c r="D368" s="3" t="inlineStr">
        <is>
          <t>assumptions/2026/timeseries/new_vehicle_market_naamsa.csv</t>
        </is>
      </c>
      <c r="E368" s="3" t="inlineStr">
        <is>
          <t>assumptions/2026/timeseries/new_vehicle_market_naamsa.csv</t>
        </is>
      </c>
    </row>
    <row r="369" ht="42" customHeight="1">
      <c r="A369" s="3" t="inlineStr">
        <is>
          <t>N365</t>
        </is>
      </c>
      <c r="B369" s="3" t="inlineStr">
        <is>
          <t>Model run</t>
        </is>
      </c>
      <c r="C369" s="3" t="inlineStr">
        <is>
          <t>A116</t>
        </is>
      </c>
      <c r="D369" s="3" t="inlineStr">
        <is>
          <t>assumptions/2026/timeseries/new_vehicle_registrations_natis.csv</t>
        </is>
      </c>
      <c r="E369" s="3" t="inlineStr">
        <is>
          <t>assumptions/2026/timeseries/new_vehicle_registrations_natis.csv</t>
        </is>
      </c>
    </row>
    <row r="370" ht="42" customHeight="1">
      <c r="A370" s="3" t="inlineStr">
        <is>
          <t>N366</t>
        </is>
      </c>
      <c r="B370" s="3" t="inlineStr">
        <is>
          <t>Model run</t>
        </is>
      </c>
      <c r="C370" s="3" t="inlineStr">
        <is>
          <t>A117</t>
        </is>
      </c>
      <c r="D370" s="3" t="inlineStr">
        <is>
          <t>assumptions/2026/timeseries/new_vehicle_registrations_natis_annual.csv</t>
        </is>
      </c>
      <c r="E370" s="3" t="inlineStr">
        <is>
          <t>assumptions/2026/timeseries/new_vehicle_registrations_natis_annual.csv</t>
        </is>
      </c>
    </row>
    <row r="371" ht="42" customHeight="1">
      <c r="A371" s="3" t="inlineStr">
        <is>
          <t>N367</t>
        </is>
      </c>
      <c r="B371" s="3" t="inlineStr">
        <is>
          <t>Model run</t>
        </is>
      </c>
      <c r="C371" s="3" t="inlineStr">
        <is>
          <t>A118</t>
        </is>
      </c>
      <c r="D371" s="3" t="inlineStr">
        <is>
          <t>assumptions/2026/timeseries/ocgt_generation_eskom.csv</t>
        </is>
      </c>
      <c r="E371" s="3" t="inlineStr">
        <is>
          <t>assumptions/2026/timeseries/ocgt_generation_eskom.csv</t>
        </is>
      </c>
    </row>
    <row r="372" ht="42" customHeight="1">
      <c r="A372" s="3" t="inlineStr">
        <is>
          <t>N368</t>
        </is>
      </c>
      <c r="B372" s="3" t="inlineStr">
        <is>
          <t>Model run</t>
        </is>
      </c>
      <c r="C372" s="3" t="inlineStr">
        <is>
          <t>A119</t>
        </is>
      </c>
      <c r="D372" s="3" t="inlineStr">
        <is>
          <t>assumptions/2026/timeseries/ocgt_generation_eskom.sources.yaml</t>
        </is>
      </c>
      <c r="E372" s="3" t="inlineStr">
        <is>
          <t>assumptions/2026/timeseries/ocgt_generation_eskom.sources.yaml</t>
        </is>
      </c>
    </row>
    <row r="373" ht="42" customHeight="1">
      <c r="A373" s="3" t="inlineStr">
        <is>
          <t>N369</t>
        </is>
      </c>
      <c r="B373" s="3" t="inlineStr">
        <is>
          <t>Model run</t>
        </is>
      </c>
      <c r="C373" s="3" t="inlineStr">
        <is>
          <t>A122</t>
        </is>
      </c>
      <c r="D373" s="3" t="inlineStr">
        <is>
          <t>assumptions/2026/timeseries/passenger_departures.csv</t>
        </is>
      </c>
      <c r="E373" s="3" t="inlineStr">
        <is>
          <t>assumptions/2026/timeseries/passenger_departures.csv</t>
        </is>
      </c>
    </row>
    <row r="374" ht="42" customHeight="1">
      <c r="A374" s="3" t="inlineStr">
        <is>
          <t>N370</t>
        </is>
      </c>
      <c r="B374" s="3" t="inlineStr">
        <is>
          <t>Model run</t>
        </is>
      </c>
      <c r="C374" s="3" t="inlineStr">
        <is>
          <t>A124</t>
        </is>
      </c>
      <c r="D374" s="3" t="inlineStr">
        <is>
          <t>assumptions/2026/timeseries/refinery_capacity_reported.csv</t>
        </is>
      </c>
      <c r="E374" s="3" t="inlineStr">
        <is>
          <t>assumptions/2026/timeseries/refinery_capacity_reported.csv</t>
        </is>
      </c>
    </row>
    <row r="375" ht="42" customHeight="1">
      <c r="A375" s="3" t="inlineStr">
        <is>
          <t>N371</t>
        </is>
      </c>
      <c r="B375" s="3" t="inlineStr">
        <is>
          <t>Model run</t>
        </is>
      </c>
      <c r="C375" s="3" t="inlineStr">
        <is>
          <t>A125</t>
        </is>
      </c>
      <c r="D375" s="3" t="inlineStr">
        <is>
          <t>assumptions/2026/timeseries/refinery_production.csv</t>
        </is>
      </c>
      <c r="E375" s="3" t="inlineStr">
        <is>
          <t>assumptions/2026/timeseries/refinery_production.csv</t>
        </is>
      </c>
    </row>
    <row r="376" ht="42" customHeight="1">
      <c r="A376" s="3" t="inlineStr">
        <is>
          <t>N372</t>
        </is>
      </c>
      <c r="B376" s="3" t="inlineStr">
        <is>
          <t>Model run</t>
        </is>
      </c>
      <c r="C376" s="3" t="inlineStr">
        <is>
          <t>A126</t>
        </is>
      </c>
      <c r="D376" s="3" t="inlineStr">
        <is>
          <t>assumptions/2026/timeseries/vehicle_population_natis.csv</t>
        </is>
      </c>
      <c r="E376" s="3" t="inlineStr">
        <is>
          <t>assumptions/2026/timeseries/vehicle_population_natis.csv</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90"/>
  <sheetViews>
    <sheetView showGridLines="0" workbookViewId="0">
      <pane ySplit="4" topLeftCell="A5" activePane="bottomLeft" state="frozen"/>
      <selection activeCell="A1" sqref="A1"/>
    </sheetView>
  </sheetViews>
  <sheetFormatPr baseColWidth="8" defaultRowHeight="15"/>
  <cols>
    <col width="17.5" customWidth="1" min="1" max="1"/>
    <col width="26.25" customWidth="1" min="2" max="2"/>
    <col width="17.5" customWidth="1" min="3" max="3"/>
    <col width="8.75" customWidth="1" min="4" max="4"/>
    <col width="10" customWidth="1" min="5" max="5"/>
    <col width="10" customWidth="1" min="6" max="6"/>
    <col width="10" customWidth="1" min="7" max="7"/>
    <col width="23.1299991607666" customWidth="1" min="8" max="8"/>
    <col width="42.5" customWidth="1" min="9" max="9"/>
    <col width="38.75" customWidth="1" min="10" max="10"/>
    <col width="15.63000011444092" customWidth="1" min="11" max="11"/>
    <col width="28.75" customWidth="1" min="12" max="12"/>
    <col width="37.5" customWidth="1" min="13" max="13"/>
  </cols>
  <sheetData>
    <row r="1" ht="28" customHeight="1">
      <c r="A1" s="5" t="inlineStr">
        <is>
          <t>Demand input ranges</t>
        </is>
      </c>
      <c r="B1" s="3" t="n"/>
      <c r="C1" s="3" t="n"/>
      <c r="D1" s="3" t="n"/>
      <c r="E1" s="3" t="n"/>
      <c r="F1" s="3" t="n"/>
      <c r="G1" s="3" t="n"/>
      <c r="H1" s="3" t="n"/>
      <c r="I1" s="3" t="n"/>
      <c r="J1" s="3" t="n"/>
      <c r="K1" s="3" t="n"/>
      <c r="L1" s="3" t="n"/>
      <c r="M1" s="3" t="n"/>
    </row>
    <row r="2" ht="24" customHeight="1">
      <c r="A2" s="7" t="inlineStr">
        <is>
          <t>L/M/H orders each input; it does not order fuel demand. Existing values are proposals. Blanks require workshop decisions.</t>
        </is>
      </c>
      <c r="B2" s="3" t="n"/>
      <c r="C2" s="3" t="n"/>
      <c r="D2" s="3" t="n"/>
      <c r="E2" s="3" t="n"/>
      <c r="F2" s="3" t="n"/>
      <c r="G2" s="3" t="n"/>
      <c r="H2" s="3" t="n"/>
      <c r="I2" s="3" t="n"/>
      <c r="J2" s="3" t="n"/>
      <c r="K2" s="3" t="n"/>
      <c r="L2" s="3" t="n"/>
      <c r="M2" s="3" t="n"/>
    </row>
    <row r="3">
      <c r="A3" s="3" t="n"/>
      <c r="B3" s="3" t="n"/>
      <c r="C3" s="3" t="n"/>
      <c r="D3" s="3" t="n"/>
      <c r="E3" s="3" t="n"/>
      <c r="F3" s="3" t="n"/>
      <c r="G3" s="3" t="n"/>
      <c r="H3" s="3" t="n"/>
      <c r="I3" s="3" t="n"/>
      <c r="J3" s="3" t="n"/>
      <c r="K3" s="3" t="n"/>
      <c r="L3" s="3" t="n"/>
      <c r="M3" s="3" t="n"/>
    </row>
    <row r="4" ht="38" customHeight="1">
      <c r="A4" s="9" t="inlineStr">
        <is>
          <t>Fuel / segment</t>
        </is>
      </c>
      <c r="B4" s="9" t="inlineStr">
        <is>
          <t>Driver</t>
        </is>
      </c>
      <c r="C4" s="9" t="inlineStr">
        <is>
          <t>Unit</t>
        </is>
      </c>
      <c r="D4" s="9" t="inlineStr">
        <is>
          <t>Year</t>
        </is>
      </c>
      <c r="E4" s="9" t="inlineStr">
        <is>
          <t>Low</t>
        </is>
      </c>
      <c r="F4" s="9" t="inlineStr">
        <is>
          <t>Medium</t>
        </is>
      </c>
      <c r="G4" s="9" t="inlineStr">
        <is>
          <t>High</t>
        </is>
      </c>
      <c r="H4" s="9" t="inlineStr">
        <is>
          <t>Higher input means</t>
        </is>
      </c>
      <c r="I4" s="9" t="inlineStr">
        <is>
          <t>Basis / rationale</t>
        </is>
      </c>
      <c r="J4" s="9" t="inlineStr">
        <is>
          <t>Annual path and dependencies</t>
        </is>
      </c>
      <c r="K4" s="9" t="inlineStr">
        <is>
          <t>Accepted reference</t>
        </is>
      </c>
      <c r="L4" s="9" t="inlineStr">
        <is>
          <t>Decision / owner</t>
        </is>
      </c>
      <c r="M4" s="9" t="inlineStr">
        <is>
          <t>Source</t>
        </is>
      </c>
    </row>
    <row r="5" ht="100" customHeight="1">
      <c r="A5" s="3" t="inlineStr">
        <is>
          <t>diesel</t>
        </is>
      </c>
      <c r="B5" s="3" t="inlineStr">
        <is>
          <t>Freight activity 2024 = 100</t>
        </is>
      </c>
      <c r="C5" s="3" t="inlineStr">
        <is>
          <t>index_2024_100</t>
        </is>
      </c>
      <c r="D5" s="120" t="n">
        <v>2030</v>
      </c>
      <c r="E5" s="118" t="n">
        <v>95</v>
      </c>
      <c r="F5" s="118" t="n">
        <v>115</v>
      </c>
      <c r="G5" s="118" t="n">
        <v>135</v>
      </c>
      <c r="H5" s="3" t="inlineStr">
        <is>
          <t>More diesel</t>
        </is>
      </c>
      <c r="I5" s="3" t="inlineStr">
        <is>
          <t>2024 = 100 Observed proxy. Observed freight proxy, not fuel demand</t>
        </is>
      </c>
      <c r="J5" s="3" t="inlineStr">
        <is>
          <t>Authored flat / recovery / expansion tests. Apply before rail diversion; calibrate litres per activity unit. Annual path not agreed.</t>
        </is>
      </c>
      <c r="K5" s="10" t="n"/>
      <c r="L5" s="10" t="inlineStr">
        <is>
          <t>Proposed; Manish evidence, Nigel decision</t>
        </is>
      </c>
      <c r="M5" s="3" t="inlineStr">
        <is>
          <t>https://github.com/Africa-International-Advisors/liquid_fuels_model/blob/8c69f8333192483f19cd80911cb90fcd0943eb6b/assumptions/2026/timeseries/fuel_lever_design_2026_10_07.csv</t>
        </is>
      </c>
    </row>
    <row r="6" ht="100" customHeight="1">
      <c r="A6" s="3" t="inlineStr">
        <is>
          <t>diesel</t>
        </is>
      </c>
      <c r="B6" s="3" t="inlineStr">
        <is>
          <t>Freight activity 2024 = 100</t>
        </is>
      </c>
      <c r="C6" s="3" t="inlineStr">
        <is>
          <t>index_2024_100</t>
        </is>
      </c>
      <c r="D6" s="120" t="n">
        <v>2035</v>
      </c>
      <c r="E6" s="118" t="n">
        <v>95</v>
      </c>
      <c r="F6" s="118" t="n">
        <v>135</v>
      </c>
      <c r="G6" s="118" t="n">
        <v>175</v>
      </c>
      <c r="H6" s="3" t="inlineStr">
        <is>
          <t>More diesel</t>
        </is>
      </c>
      <c r="I6" s="3" t="inlineStr">
        <is>
          <t>2024 = 100 Observed proxy. Observed freight proxy, not fuel demand</t>
        </is>
      </c>
      <c r="J6" s="3" t="inlineStr">
        <is>
          <t>Authored flat / recovery / expansion tests. Apply before rail diversion; calibrate litres per activity unit. Annual path not agreed.</t>
        </is>
      </c>
      <c r="K6" s="10" t="n"/>
      <c r="L6" s="10" t="inlineStr">
        <is>
          <t>Proposed; Manish evidence, Nigel decision</t>
        </is>
      </c>
      <c r="M6" s="3" t="inlineStr">
        <is>
          <t>https://github.com/Africa-International-Advisors/liquid_fuels_model/blob/8c69f8333192483f19cd80911cb90fcd0943eb6b/assumptions/2026/timeseries/fuel_lever_design_2026_10_07.csv</t>
        </is>
      </c>
    </row>
    <row r="7" ht="100" customHeight="1">
      <c r="A7" s="3" t="inlineStr">
        <is>
          <t>diesel</t>
        </is>
      </c>
      <c r="B7" s="3" t="inlineStr">
        <is>
          <t>Road freight moved to rail % of reference road work</t>
        </is>
      </c>
      <c r="C7" s="3" t="inlineStr">
        <is>
          <t>%</t>
        </is>
      </c>
      <c r="D7" s="120" t="n">
        <v>2030</v>
      </c>
      <c r="E7" s="145" t="n">
        <v>0</v>
      </c>
      <c r="F7" s="145" t="n">
        <v>0.1</v>
      </c>
      <c r="G7" s="145" t="n">
        <v>0.2</v>
      </c>
      <c r="H7" s="3" t="inlineStr">
        <is>
          <t>Less road diesel</t>
        </is>
      </c>
      <c r="I7" s="3" t="inlineStr">
        <is>
          <t>No agreed diversion M is proposed. Authored modal-shift sensitivity; rail capacity unverified</t>
        </is>
      </c>
      <c r="J7" s="3" t="inlineStr">
        <is>
          <t>Higher diversion lowers road diesel. Avoid subtracting rail again if already embedded in the activity path. Annual path not agreed.</t>
        </is>
      </c>
      <c r="K7" s="10" t="n"/>
      <c r="L7" s="10" t="inlineStr">
        <is>
          <t>Proposed; Manish evidence, Nigel decision</t>
        </is>
      </c>
      <c r="M7" s="3" t="inlineStr">
        <is>
          <t>https://github.com/Africa-International-Advisors/liquid_fuels_model/blob/8c69f8333192483f19cd80911cb90fcd0943eb6b/assumptions/2026/timeseries/fuel_lever_design_2026_10_07.csv</t>
        </is>
      </c>
    </row>
    <row r="8" ht="100" customHeight="1">
      <c r="A8" s="3" t="inlineStr">
        <is>
          <t>diesel</t>
        </is>
      </c>
      <c r="B8" s="3" t="inlineStr">
        <is>
          <t>Road freight moved to rail % of reference road work</t>
        </is>
      </c>
      <c r="C8" s="3" t="inlineStr">
        <is>
          <t>%</t>
        </is>
      </c>
      <c r="D8" s="120" t="n">
        <v>2035</v>
      </c>
      <c r="E8" s="145" t="n">
        <v>0</v>
      </c>
      <c r="F8" s="145" t="n">
        <v>0.2</v>
      </c>
      <c r="G8" s="145" t="n">
        <v>0.35</v>
      </c>
      <c r="H8" s="3" t="inlineStr">
        <is>
          <t>Less road diesel</t>
        </is>
      </c>
      <c r="I8" s="3" t="inlineStr">
        <is>
          <t>No agreed diversion M is proposed. Authored modal-shift sensitivity; rail capacity unverified</t>
        </is>
      </c>
      <c r="J8" s="3" t="inlineStr">
        <is>
          <t>Higher diversion lowers road diesel. Avoid subtracting rail again if already embedded in the activity path. Annual path not agreed.</t>
        </is>
      </c>
      <c r="K8" s="10" t="n"/>
      <c r="L8" s="10" t="inlineStr">
        <is>
          <t>Proposed; Manish evidence, Nigel decision</t>
        </is>
      </c>
      <c r="M8" s="3" t="inlineStr">
        <is>
          <t>https://github.com/Africa-International-Advisors/liquid_fuels_model/blob/8c69f8333192483f19cd80911cb90fcd0943eb6b/assumptions/2026/timeseries/fuel_lever_design_2026_10_07.csv</t>
        </is>
      </c>
    </row>
    <row r="9" ht="100" customHeight="1">
      <c r="A9" s="3" t="inlineStr">
        <is>
          <t>diesel</t>
        </is>
      </c>
      <c r="B9" s="3" t="inlineStr">
        <is>
          <t>Diesel OCGT generation FY2024 = 100</t>
        </is>
      </c>
      <c r="C9" s="3" t="inlineStr">
        <is>
          <t>index_FY2024_100</t>
        </is>
      </c>
      <c r="D9" s="120" t="n">
        <v>2030</v>
      </c>
      <c r="E9" s="118" t="n">
        <v>10</v>
      </c>
      <c r="F9" s="118" t="n">
        <v>25</v>
      </c>
      <c r="G9" s="118" t="n">
        <v>60</v>
      </c>
      <c r="H9" s="3" t="inlineStr">
        <is>
          <t>More diesel</t>
        </is>
      </c>
      <c r="I9" s="3" t="inlineStr">
        <is>
          <t>FY2024 = 100 Latest trend is lower. Observed OCGT trend; all target-year indices authored</t>
        </is>
      </c>
      <c r="J9" s="3" t="inlineStr">
        <is>
          <t>Test grid recovery versus stress. Use one generation path; do not add a second load-shedding allowance. Annual path not agreed.</t>
        </is>
      </c>
      <c r="K9" s="10" t="n"/>
      <c r="L9" s="10" t="inlineStr">
        <is>
          <t>Proposed; Manish evidence, Nigel decision</t>
        </is>
      </c>
      <c r="M9" s="3" t="inlineStr">
        <is>
          <t>https://github.com/Africa-International-Advisors/liquid_fuels_model/blob/8c69f8333192483f19cd80911cb90fcd0943eb6b/assumptions/2026/timeseries/fuel_lever_design_2026_10_07.csv</t>
        </is>
      </c>
    </row>
    <row r="10" ht="100" customHeight="1">
      <c r="A10" s="3" t="inlineStr">
        <is>
          <t>diesel</t>
        </is>
      </c>
      <c r="B10" s="3" t="inlineStr">
        <is>
          <t>Diesel OCGT generation FY2024 = 100</t>
        </is>
      </c>
      <c r="C10" s="3" t="inlineStr">
        <is>
          <t>index_FY2024_100</t>
        </is>
      </c>
      <c r="D10" s="120" t="n">
        <v>2035</v>
      </c>
      <c r="E10" s="118" t="n">
        <v>5</v>
      </c>
      <c r="F10" s="118" t="n">
        <v>15</v>
      </c>
      <c r="G10" s="118" t="n">
        <v>50</v>
      </c>
      <c r="H10" s="3" t="inlineStr">
        <is>
          <t>More diesel</t>
        </is>
      </c>
      <c r="I10" s="3" t="inlineStr">
        <is>
          <t>FY2024 = 100 Latest trend is lower. Observed OCGT trend; all target-year indices authored</t>
        </is>
      </c>
      <c r="J10" s="3" t="inlineStr">
        <is>
          <t>Test grid recovery versus stress. Use one generation path; do not add a second load-shedding allowance. Annual path not agreed.</t>
        </is>
      </c>
      <c r="K10" s="10" t="n"/>
      <c r="L10" s="10" t="inlineStr">
        <is>
          <t>Proposed; Manish evidence, Nigel decision</t>
        </is>
      </c>
      <c r="M10" s="3" t="inlineStr">
        <is>
          <t>https://github.com/Africa-International-Advisors/liquid_fuels_model/blob/8c69f8333192483f19cd80911cb90fcd0943eb6b/assumptions/2026/timeseries/fuel_lever_design_2026_10_07.csv</t>
        </is>
      </c>
    </row>
    <row r="11" ht="100" customHeight="1">
      <c r="A11" s="3" t="inlineStr">
        <is>
          <t>diesel</t>
        </is>
      </c>
      <c r="B11" s="3" t="inlineStr">
        <is>
          <t>New-vehicle efficiency gain % per year</t>
        </is>
      </c>
      <c r="C11" s="3" t="inlineStr">
        <is>
          <t>% per year</t>
        </is>
      </c>
      <c r="D11" s="120" t="n">
        <v>2030</v>
      </c>
      <c r="E11" s="145" t="n">
        <v>0.005</v>
      </c>
      <c r="F11" s="145" t="n">
        <v>0.0075</v>
      </c>
      <c r="G11" s="145" t="n">
        <v>0.01</v>
      </c>
      <c r="H11" s="3" t="inlineStr">
        <is>
          <t>Less fuel</t>
        </is>
      </c>
      <c r="I11" s="3" t="inlineStr">
        <is>
          <t>Legacy: 0.5–1.0% New cohorts only. Registered diesel efficiency CSV; unreviewed</t>
        </is>
      </c>
      <c r="J11" s="3" t="inlineStr">
        <is>
          <t>Existing low/high input endpoints; M is a proposed midpoint. Higher gain lowers new-cohort fuel use. Annual path not agreed.</t>
        </is>
      </c>
      <c r="K11" s="10" t="n"/>
      <c r="L11" s="10" t="inlineStr">
        <is>
          <t>Proposed; Manish evidence, Nigel decision</t>
        </is>
      </c>
      <c r="M11" s="3" t="inlineStr">
        <is>
          <t>https://github.com/Africa-International-Advisors/liquid_fuels_model/blob/8c69f8333192483f19cd80911cb90fcd0943eb6b/assumptions/2026/timeseries/fuel_lever_design_2026_10_07.csv</t>
        </is>
      </c>
    </row>
    <row r="12" ht="100" customHeight="1">
      <c r="A12" s="3" t="inlineStr">
        <is>
          <t>diesel</t>
        </is>
      </c>
      <c r="B12" s="3" t="inlineStr">
        <is>
          <t>New-vehicle efficiency gain % per year</t>
        </is>
      </c>
      <c r="C12" s="3" t="inlineStr">
        <is>
          <t>% per year</t>
        </is>
      </c>
      <c r="D12" s="120" t="n">
        <v>2035</v>
      </c>
      <c r="E12" s="145" t="n">
        <v>0.005</v>
      </c>
      <c r="F12" s="145" t="n">
        <v>0.0075</v>
      </c>
      <c r="G12" s="145" t="n">
        <v>0.01</v>
      </c>
      <c r="H12" s="3" t="inlineStr">
        <is>
          <t>Less fuel</t>
        </is>
      </c>
      <c r="I12" s="3" t="inlineStr">
        <is>
          <t>Legacy: 0.5–1.0% New cohorts only. Registered diesel efficiency CSV; unreviewed</t>
        </is>
      </c>
      <c r="J12" s="3" t="inlineStr">
        <is>
          <t>Existing low/high input endpoints; M is a proposed midpoint. Higher gain lowers new-cohort fuel use. Annual path not agreed.</t>
        </is>
      </c>
      <c r="K12" s="10" t="n"/>
      <c r="L12" s="10" t="inlineStr">
        <is>
          <t>Proposed; Manish evidence, Nigel decision</t>
        </is>
      </c>
      <c r="M12" s="3" t="inlineStr">
        <is>
          <t>https://github.com/Africa-International-Advisors/liquid_fuels_model/blob/8c69f8333192483f19cd80911cb90fcd0943eb6b/assumptions/2026/timeseries/fuel_lever_design_2026_10_07.csv</t>
        </is>
      </c>
    </row>
    <row r="13" ht="100" customHeight="1">
      <c r="A13" s="3" t="inlineStr">
        <is>
          <t>jet</t>
        </is>
      </c>
      <c r="B13" s="3" t="inlineStr">
        <is>
          <t>Aircraft movements 2024 = 100</t>
        </is>
      </c>
      <c r="C13" s="3" t="inlineStr">
        <is>
          <t>index_2024_100</t>
        </is>
      </c>
      <c r="D13" s="120" t="n">
        <v>2030</v>
      </c>
      <c r="E13" s="118" t="n">
        <v>100</v>
      </c>
      <c r="F13" s="118" t="n">
        <v>120</v>
      </c>
      <c r="G13" s="118" t="n">
        <v>140</v>
      </c>
      <c r="H13" s="3" t="inlineStr">
        <is>
          <t>More jet</t>
        </is>
      </c>
      <c r="I13" s="3" t="inlineStr">
        <is>
          <t>2024 = 100 ACSA coverage only. Registered ACSA movement source; target indices authored</t>
        </is>
      </c>
      <c r="J13" s="3" t="inlineStr">
        <is>
          <t>Authored flat / recovery / expansion tests. Follow Manish's movement driver; re-fit against matched jet deliveries. Annual path not agreed.</t>
        </is>
      </c>
      <c r="K13" s="10" t="n"/>
      <c r="L13" s="10" t="inlineStr">
        <is>
          <t>Proposed; Manish evidence, Nigel decision</t>
        </is>
      </c>
      <c r="M13" s="3" t="inlineStr">
        <is>
          <t>https://github.com/Africa-International-Advisors/liquid_fuels_model/blob/8c69f8333192483f19cd80911cb90fcd0943eb6b/assumptions/2026/timeseries/fuel_lever_design_2026_10_07.csv</t>
        </is>
      </c>
    </row>
    <row r="14" ht="100" customHeight="1">
      <c r="A14" s="3" t="inlineStr">
        <is>
          <t>jet</t>
        </is>
      </c>
      <c r="B14" s="3" t="inlineStr">
        <is>
          <t>Aircraft movements 2024 = 100</t>
        </is>
      </c>
      <c r="C14" s="3" t="inlineStr">
        <is>
          <t>index_2024_100</t>
        </is>
      </c>
      <c r="D14" s="120" t="n">
        <v>2035</v>
      </c>
      <c r="E14" s="118" t="n">
        <v>100</v>
      </c>
      <c r="F14" s="118" t="n">
        <v>145</v>
      </c>
      <c r="G14" s="118" t="n">
        <v>190</v>
      </c>
      <c r="H14" s="3" t="inlineStr">
        <is>
          <t>More jet</t>
        </is>
      </c>
      <c r="I14" s="3" t="inlineStr">
        <is>
          <t>2024 = 100 ACSA coverage only. Registered ACSA movement source; target indices authored</t>
        </is>
      </c>
      <c r="J14" s="3" t="inlineStr">
        <is>
          <t>Authored flat / recovery / expansion tests. Follow Manish's movement driver; re-fit against matched jet deliveries. Annual path not agreed.</t>
        </is>
      </c>
      <c r="K14" s="10" t="n"/>
      <c r="L14" s="10" t="inlineStr">
        <is>
          <t>Proposed; Manish evidence, Nigel decision</t>
        </is>
      </c>
      <c r="M14" s="3" t="inlineStr">
        <is>
          <t>https://github.com/Africa-International-Advisors/liquid_fuels_model/blob/8c69f8333192483f19cd80911cb90fcd0943eb6b/assumptions/2026/timeseries/fuel_lever_design_2026_10_07.csv</t>
        </is>
      </c>
    </row>
    <row r="15" ht="100" customHeight="1">
      <c r="A15" s="3" t="inlineStr">
        <is>
          <t>jet</t>
        </is>
      </c>
      <c r="B15" s="3" t="inlineStr">
        <is>
          <t>Fuel burn per movement 2024 = 100</t>
        </is>
      </c>
      <c r="C15" s="3" t="inlineStr">
        <is>
          <t>index_2024_100</t>
        </is>
      </c>
      <c r="D15" s="120" t="n">
        <v>2030</v>
      </c>
      <c r="E15" s="118" t="n">
        <v>80</v>
      </c>
      <c r="F15" s="118" t="n">
        <v>90</v>
      </c>
      <c r="G15" s="118" t="n">
        <v>100</v>
      </c>
      <c r="H15" s="3" t="inlineStr">
        <is>
          <t>Confirm fuel effect</t>
        </is>
      </c>
      <c r="I15" s="3" t="inlineStr">
        <is>
          <t>2024 = 100 assumed Not yet measured. Authored intensity tests; ICAO supports mechanism, not these SA values</t>
        </is>
      </c>
      <c r="J15" s="3" t="inlineStr">
        <is>
          <t>Lower burn lowers litres. Separate aircraft efficiency from route length, aircraft size and international mix. Annual path not agreed.</t>
        </is>
      </c>
      <c r="K15" s="10" t="n"/>
      <c r="L15" s="10" t="inlineStr">
        <is>
          <t>Proposed; Manish evidence, Nigel decision</t>
        </is>
      </c>
      <c r="M15" s="3" t="inlineStr">
        <is>
          <t>https://github.com/Africa-International-Advisors/liquid_fuels_model/blob/8c69f8333192483f19cd80911cb90fcd0943eb6b/assumptions/2026/timeseries/fuel_lever_design_2026_10_07.csv</t>
        </is>
      </c>
    </row>
    <row r="16" ht="100" customHeight="1">
      <c r="A16" s="3" t="inlineStr">
        <is>
          <t>jet</t>
        </is>
      </c>
      <c r="B16" s="3" t="inlineStr">
        <is>
          <t>Fuel burn per movement 2024 = 100</t>
        </is>
      </c>
      <c r="C16" s="3" t="inlineStr">
        <is>
          <t>index_2024_100</t>
        </is>
      </c>
      <c r="D16" s="120" t="n">
        <v>2035</v>
      </c>
      <c r="E16" s="118" t="n">
        <v>65</v>
      </c>
      <c r="F16" s="118" t="n">
        <v>80</v>
      </c>
      <c r="G16" s="118" t="n">
        <v>100</v>
      </c>
      <c r="H16" s="3" t="inlineStr">
        <is>
          <t>Confirm fuel effect</t>
        </is>
      </c>
      <c r="I16" s="3" t="inlineStr">
        <is>
          <t>2024 = 100 assumed Not yet measured. Authored intensity tests; ICAO supports mechanism, not these SA values</t>
        </is>
      </c>
      <c r="J16" s="3" t="inlineStr">
        <is>
          <t>Lower burn lowers litres. Separate aircraft efficiency from route length, aircraft size and international mix. Annual path not agreed.</t>
        </is>
      </c>
      <c r="K16" s="10" t="n"/>
      <c r="L16" s="10" t="inlineStr">
        <is>
          <t>Proposed; Manish evidence, Nigel decision</t>
        </is>
      </c>
      <c r="M16" s="3" t="inlineStr">
        <is>
          <t>https://github.com/Africa-International-Advisors/liquid_fuels_model/blob/8c69f8333192483f19cd80911cb90fcd0943eb6b/assumptions/2026/timeseries/fuel_lever_design_2026_10_07.csv</t>
        </is>
      </c>
    </row>
    <row r="17" ht="100" customHeight="1">
      <c r="A17" s="3" t="inlineStr">
        <is>
          <t>jet</t>
        </is>
      </c>
      <c r="B17" s="3" t="inlineStr">
        <is>
          <t>SAF share of jet deliveries % by volume</t>
        </is>
      </c>
      <c r="C17" s="3" t="inlineStr">
        <is>
          <t>%</t>
        </is>
      </c>
      <c r="D17" s="120" t="n">
        <v>2030</v>
      </c>
      <c r="E17" s="145" t="n">
        <v>0</v>
      </c>
      <c r="F17" s="145" t="n">
        <v>0.02</v>
      </c>
      <c r="G17" s="145" t="n">
        <v>0.05</v>
      </c>
      <c r="H17" s="3" t="inlineStr">
        <is>
          <t>Confirm fuel effect</t>
        </is>
      </c>
      <c r="I17" s="3" t="inlineStr">
        <is>
          <t>SA blend baseline unknown Not a local mandate. Authored SA sensitivity; ICAO global framework only</t>
        </is>
      </c>
      <c r="J17" s="3" t="inlineStr">
        <is>
          <t>Changes fossil jet share, not total jet litres. Authored blend tests; ICAO's 5% emissions vision is not a volume target. Annual path not agreed.</t>
        </is>
      </c>
      <c r="K17" s="10" t="n"/>
      <c r="L17" s="10" t="inlineStr">
        <is>
          <t>Proposed; Manish evidence, Nigel decision</t>
        </is>
      </c>
      <c r="M17" s="3" t="inlineStr">
        <is>
          <t>https://github.com/Africa-International-Advisors/liquid_fuels_model/blob/8c69f8333192483f19cd80911cb90fcd0943eb6b/assumptions/2026/timeseries/fuel_lever_design_2026_10_07.csv</t>
        </is>
      </c>
    </row>
    <row r="18" ht="100" customHeight="1">
      <c r="A18" s="3" t="inlineStr">
        <is>
          <t>jet</t>
        </is>
      </c>
      <c r="B18" s="3" t="inlineStr">
        <is>
          <t>SAF share of jet deliveries % by volume</t>
        </is>
      </c>
      <c r="C18" s="3" t="inlineStr">
        <is>
          <t>%</t>
        </is>
      </c>
      <c r="D18" s="120" t="n">
        <v>2035</v>
      </c>
      <c r="E18" s="145" t="n">
        <v>0</v>
      </c>
      <c r="F18" s="145" t="n">
        <v>0.05</v>
      </c>
      <c r="G18" s="145" t="n">
        <v>0.1</v>
      </c>
      <c r="H18" s="3" t="inlineStr">
        <is>
          <t>Confirm fuel effect</t>
        </is>
      </c>
      <c r="I18" s="3" t="inlineStr">
        <is>
          <t>SA blend baseline unknown Not a local mandate. Authored SA sensitivity; ICAO global framework only</t>
        </is>
      </c>
      <c r="J18" s="3" t="inlineStr">
        <is>
          <t>Changes fossil jet share, not total jet litres. Authored blend tests; ICAO's 5% emissions vision is not a volume target. Annual path not agreed.</t>
        </is>
      </c>
      <c r="K18" s="10" t="n"/>
      <c r="L18" s="10" t="inlineStr">
        <is>
          <t>Proposed; Manish evidence, Nigel decision</t>
        </is>
      </c>
      <c r="M18" s="3" t="inlineStr">
        <is>
          <t>https://github.com/Africa-International-Advisors/liquid_fuels_model/blob/8c69f8333192483f19cd80911cb90fcd0943eb6b/assumptions/2026/timeseries/fuel_lever_design_2026_10_07.csv</t>
        </is>
      </c>
    </row>
    <row r="19" ht="100" customHeight="1">
      <c r="A19" s="3" t="inlineStr">
        <is>
          <t>petrol</t>
        </is>
      </c>
      <c r="B19" s="3" t="inlineStr">
        <is>
          <t>Passenger mileage km / vehicle / year</t>
        </is>
      </c>
      <c r="C19" s="3" t="inlineStr">
        <is>
          <t>km_per_vehicle_year</t>
        </is>
      </c>
      <c r="D19" s="120" t="n">
        <v>2030</v>
      </c>
      <c r="E19" s="118" t="n">
        <v>13600</v>
      </c>
      <c r="F19" s="118" t="n">
        <v>17000</v>
      </c>
      <c r="G19" s="118" t="n">
        <v>20400</v>
      </c>
      <c r="H19" s="3" t="inlineStr">
        <is>
          <t>More petrol</t>
        </is>
      </c>
      <c r="I19" s="3" t="inlineStr">
        <is>
          <t>Registered: 17,000 Provisional placeholder. Registered provisional passenger mileage</t>
        </is>
      </c>
      <c r="J19" s="3" t="inlineStr">
        <is>
          <t>Authored ±20% around the current mileage placeholder. Higher mileage raises petrol demand at a given fleet. Annual path not agreed.</t>
        </is>
      </c>
      <c r="K19" s="10" t="n"/>
      <c r="L19" s="10" t="inlineStr">
        <is>
          <t>Proposed; Manish evidence, Nigel decision</t>
        </is>
      </c>
      <c r="M19" s="3" t="inlineStr">
        <is>
          <t>https://github.com/Africa-International-Advisors/liquid_fuels_model/blob/8c69f8333192483f19cd80911cb90fcd0943eb6b/assumptions/2026/timeseries/fuel_lever_design_2026_10_07.csv</t>
        </is>
      </c>
    </row>
    <row r="20" ht="100" customHeight="1">
      <c r="A20" s="3" t="inlineStr">
        <is>
          <t>petrol</t>
        </is>
      </c>
      <c r="B20" s="3" t="inlineStr">
        <is>
          <t>Passenger mileage km / vehicle / year</t>
        </is>
      </c>
      <c r="C20" s="3" t="inlineStr">
        <is>
          <t>km_per_vehicle_year</t>
        </is>
      </c>
      <c r="D20" s="120" t="n">
        <v>2035</v>
      </c>
      <c r="E20" s="118" t="n">
        <v>13600</v>
      </c>
      <c r="F20" s="118" t="n">
        <v>17000</v>
      </c>
      <c r="G20" s="118" t="n">
        <v>20400</v>
      </c>
      <c r="H20" s="3" t="inlineStr">
        <is>
          <t>More petrol</t>
        </is>
      </c>
      <c r="I20" s="3" t="inlineStr">
        <is>
          <t>Registered: 17,000 Provisional placeholder. Registered provisional passenger mileage</t>
        </is>
      </c>
      <c r="J20" s="3" t="inlineStr">
        <is>
          <t>Authored ±20% around the current mileage placeholder. Higher mileage raises petrol demand at a given fleet. Annual path not agreed.</t>
        </is>
      </c>
      <c r="K20" s="10" t="n"/>
      <c r="L20" s="10" t="inlineStr">
        <is>
          <t>Proposed; Manish evidence, Nigel decision</t>
        </is>
      </c>
      <c r="M20" s="3" t="inlineStr">
        <is>
          <t>https://github.com/Africa-International-Advisors/liquid_fuels_model/blob/8c69f8333192483f19cd80911cb90fcd0943eb6b/assumptions/2026/timeseries/fuel_lever_design_2026_10_07.csv</t>
        </is>
      </c>
    </row>
    <row r="21" ht="100" customHeight="1">
      <c r="A21" s="3" t="inlineStr">
        <is>
          <t>petrol</t>
        </is>
      </c>
      <c r="B21" s="3" t="inlineStr">
        <is>
          <t>Real GDP growth % per year</t>
        </is>
      </c>
      <c r="C21" s="3" t="inlineStr">
        <is>
          <t>% per year</t>
        </is>
      </c>
      <c r="D21" s="120" t="n">
        <v>2030</v>
      </c>
      <c r="E21" s="145" t="n">
        <v>0.01</v>
      </c>
      <c r="F21" s="145" t="n">
        <v>0.02</v>
      </c>
      <c r="G21" s="145" t="n">
        <v>0.03</v>
      </c>
      <c r="H21" s="3" t="inlineStr">
        <is>
          <t>More sales via GDP/capita</t>
        </is>
      </c>
      <c r="I21" s="3" t="inlineStr">
        <is>
          <t>Team continuation: 2% Beyond official 2028. Registered macro proposal; outer range authored</t>
        </is>
      </c>
      <c r="J21" s="3" t="inlineStr">
        <is>
          <t>Bracket the 2% continuation proposal. Drives fleet additions through the fitted relationship, not a second fuel multiplier. Annual path not agreed.</t>
        </is>
      </c>
      <c r="K21" s="10" t="n"/>
      <c r="L21" s="10" t="inlineStr">
        <is>
          <t>Proposed; Manish evidence, Nigel decision</t>
        </is>
      </c>
      <c r="M21" s="3" t="inlineStr">
        <is>
          <t>https://github.com/Africa-International-Advisors/liquid_fuels_model/blob/8c69f8333192483f19cd80911cb90fcd0943eb6b/assumptions/2026/timeseries/fuel_lever_design_2026_10_07.csv</t>
        </is>
      </c>
    </row>
    <row r="22" ht="100" customHeight="1">
      <c r="A22" s="3" t="inlineStr">
        <is>
          <t>petrol</t>
        </is>
      </c>
      <c r="B22" s="3" t="inlineStr">
        <is>
          <t>Real GDP growth % per year</t>
        </is>
      </c>
      <c r="C22" s="3" t="inlineStr">
        <is>
          <t>% per year</t>
        </is>
      </c>
      <c r="D22" s="120" t="n">
        <v>2035</v>
      </c>
      <c r="E22" s="145" t="n">
        <v>0.01</v>
      </c>
      <c r="F22" s="145" t="n">
        <v>0.02</v>
      </c>
      <c r="G22" s="145" t="n">
        <v>0.03</v>
      </c>
      <c r="H22" s="3" t="inlineStr">
        <is>
          <t>More sales via GDP/capita</t>
        </is>
      </c>
      <c r="I22" s="3" t="inlineStr">
        <is>
          <t>Team continuation: 2% Beyond official 2028. Registered macro proposal; outer range authored</t>
        </is>
      </c>
      <c r="J22" s="3" t="inlineStr">
        <is>
          <t>Bracket the 2% continuation proposal. Drives fleet additions through the fitted relationship, not a second fuel multiplier. Annual path not agreed.</t>
        </is>
      </c>
      <c r="K22" s="10" t="n"/>
      <c r="L22" s="10" t="inlineStr">
        <is>
          <t>Proposed; Manish evidence, Nigel decision</t>
        </is>
      </c>
      <c r="M22" s="3" t="inlineStr">
        <is>
          <t>https://github.com/Africa-International-Advisors/liquid_fuels_model/blob/8c69f8333192483f19cd80911cb90fcd0943eb6b/assumptions/2026/timeseries/fuel_lever_design_2026_10_07.csv</t>
        </is>
      </c>
    </row>
    <row r="23" ht="100" customHeight="1">
      <c r="A23" s="3" t="inlineStr">
        <is>
          <t>petrol</t>
        </is>
      </c>
      <c r="B23" s="3" t="inlineStr">
        <is>
          <t>BEV share of new sales % of passenger sales</t>
        </is>
      </c>
      <c r="C23" s="3" t="inlineStr">
        <is>
          <t>%</t>
        </is>
      </c>
      <c r="D23" s="120" t="n">
        <v>2030</v>
      </c>
      <c r="E23" s="145" t="n">
        <v>0.05</v>
      </c>
      <c r="F23" s="145" t="n">
        <v>0.15</v>
      </c>
      <c r="G23" s="145" t="n">
        <v>0.3</v>
      </c>
      <c r="H23" s="3" t="inlineStr">
        <is>
          <t>Less petrol over fleet turnover</t>
        </is>
      </c>
      <c r="I23" s="3" t="inlineStr">
        <is>
          <t>Legacy uptake curves Sales/fleet basis to resolve. Authored replacement design, not values from legacy S-curves</t>
        </is>
      </c>
      <c r="J23" s="3" t="inlineStr">
        <is>
          <t>Authored sales-share tests. Higher BEV uptake lowers new ICE additions; total-fleet effect depends on survival. Annual path not agreed.</t>
        </is>
      </c>
      <c r="K23" s="10" t="n"/>
      <c r="L23" s="10" t="inlineStr">
        <is>
          <t>Proposed; Manish evidence, Nigel decision</t>
        </is>
      </c>
      <c r="M23" s="3" t="inlineStr">
        <is>
          <t>https://github.com/Africa-International-Advisors/liquid_fuels_model/blob/8c69f8333192483f19cd80911cb90fcd0943eb6b/assumptions/2026/timeseries/fuel_lever_design_2026_10_07.csv</t>
        </is>
      </c>
    </row>
    <row r="24" ht="100" customHeight="1">
      <c r="A24" s="3" t="inlineStr">
        <is>
          <t>petrol</t>
        </is>
      </c>
      <c r="B24" s="3" t="inlineStr">
        <is>
          <t>BEV share of new sales % of passenger sales</t>
        </is>
      </c>
      <c r="C24" s="3" t="inlineStr">
        <is>
          <t>%</t>
        </is>
      </c>
      <c r="D24" s="120" t="n">
        <v>2035</v>
      </c>
      <c r="E24" s="145" t="n">
        <v>0.15</v>
      </c>
      <c r="F24" s="145" t="n">
        <v>0.35</v>
      </c>
      <c r="G24" s="145" t="n">
        <v>0.6</v>
      </c>
      <c r="H24" s="3" t="inlineStr">
        <is>
          <t>Less petrol over fleet turnover</t>
        </is>
      </c>
      <c r="I24" s="3" t="inlineStr">
        <is>
          <t>Legacy uptake curves Sales/fleet basis to resolve. Authored replacement design, not values from legacy S-curves</t>
        </is>
      </c>
      <c r="J24" s="3" t="inlineStr">
        <is>
          <t>Authored sales-share tests. Higher BEV uptake lowers new ICE additions; total-fleet effect depends on survival. Annual path not agreed.</t>
        </is>
      </c>
      <c r="K24" s="10" t="n"/>
      <c r="L24" s="10" t="inlineStr">
        <is>
          <t>Proposed; Manish evidence, Nigel decision</t>
        </is>
      </c>
      <c r="M24" s="3" t="inlineStr">
        <is>
          <t>https://github.com/Africa-International-Advisors/liquid_fuels_model/blob/8c69f8333192483f19cd80911cb90fcd0943eb6b/assumptions/2026/timeseries/fuel_lever_design_2026_10_07.csv</t>
        </is>
      </c>
    </row>
    <row r="25" ht="100" customHeight="1">
      <c r="A25" s="3" t="inlineStr">
        <is>
          <t>petrol</t>
        </is>
      </c>
      <c r="B25" s="3" t="inlineStr">
        <is>
          <t>New-vehicle efficiency gain % per year</t>
        </is>
      </c>
      <c r="C25" s="3" t="inlineStr">
        <is>
          <t>% per year</t>
        </is>
      </c>
      <c r="D25" s="120" t="n">
        <v>2030</v>
      </c>
      <c r="E25" s="145" t="n">
        <v>0.01</v>
      </c>
      <c r="F25" s="145" t="n">
        <v>0.0125</v>
      </c>
      <c r="G25" s="145" t="n">
        <v>0.015</v>
      </c>
      <c r="H25" s="3" t="inlineStr">
        <is>
          <t>Less fuel</t>
        </is>
      </c>
      <c r="I25" s="3" t="inlineStr">
        <is>
          <t>Legacy: 1.0–1.5% New cohorts only. Registered gasoline efficiency CSV; unreviewed</t>
        </is>
      </c>
      <c r="J25" s="3" t="inlineStr">
        <is>
          <t>Existing low/high input endpoints; M is a proposed midpoint. Preserve each cohort's entry-year consumption. Annual path not agreed.</t>
        </is>
      </c>
      <c r="K25" s="10" t="n"/>
      <c r="L25" s="10" t="inlineStr">
        <is>
          <t>Proposed; Manish evidence, Nigel decision</t>
        </is>
      </c>
      <c r="M25" s="3" t="inlineStr">
        <is>
          <t>https://github.com/Africa-International-Advisors/liquid_fuels_model/blob/8c69f8333192483f19cd80911cb90fcd0943eb6b/assumptions/2026/timeseries/fuel_lever_design_2026_10_07.csv</t>
        </is>
      </c>
    </row>
    <row r="26" ht="100" customHeight="1">
      <c r="A26" s="3" t="inlineStr">
        <is>
          <t>petrol</t>
        </is>
      </c>
      <c r="B26" s="3" t="inlineStr">
        <is>
          <t>New-vehicle efficiency gain % per year</t>
        </is>
      </c>
      <c r="C26" s="3" t="inlineStr">
        <is>
          <t>% per year</t>
        </is>
      </c>
      <c r="D26" s="120" t="n">
        <v>2035</v>
      </c>
      <c r="E26" s="145" t="n">
        <v>0.01</v>
      </c>
      <c r="F26" s="145" t="n">
        <v>0.0125</v>
      </c>
      <c r="G26" s="145" t="n">
        <v>0.015</v>
      </c>
      <c r="H26" s="3" t="inlineStr">
        <is>
          <t>Less fuel</t>
        </is>
      </c>
      <c r="I26" s="3" t="inlineStr">
        <is>
          <t>Legacy: 1.0–1.5% New cohorts only. Registered gasoline efficiency CSV; unreviewed</t>
        </is>
      </c>
      <c r="J26" s="3" t="inlineStr">
        <is>
          <t>Existing low/high input endpoints; M is a proposed midpoint. Preserve each cohort's entry-year consumption. Annual path not agreed.</t>
        </is>
      </c>
      <c r="K26" s="10" t="n"/>
      <c r="L26" s="10" t="inlineStr">
        <is>
          <t>Proposed; Manish evidence, Nigel decision</t>
        </is>
      </c>
      <c r="M26" s="3" t="inlineStr">
        <is>
          <t>https://github.com/Africa-International-Advisors/liquid_fuels_model/blob/8c69f8333192483f19cd80911cb90fcd0943eb6b/assumptions/2026/timeseries/fuel_lever_design_2026_10_07.csv</t>
        </is>
      </c>
    </row>
    <row r="27" ht="100" customHeight="1">
      <c r="A27" s="3" t="inlineStr">
        <is>
          <t>Petrol</t>
        </is>
      </c>
      <c r="B27" s="3" t="inlineStr">
        <is>
          <t>Hybrid / PHEV new-sales shares</t>
        </is>
      </c>
      <c r="C27" s="3" t="inlineStr">
        <is>
          <t>%</t>
        </is>
      </c>
      <c r="D27" s="120" t="n">
        <v>2030</v>
      </c>
      <c r="E27" s="145" t="n"/>
      <c r="F27" s="145" t="n"/>
      <c r="G27" s="145" t="n"/>
      <c r="H27" s="3" t="inlineStr">
        <is>
          <t>Less fuel per km; not zero</t>
        </is>
      </c>
      <c r="I27" s="3" t="inlineStr">
        <is>
          <t>No numerical range proposed in this workbook.</t>
        </is>
      </c>
      <c r="J27" s="3" t="inlineStr">
        <is>
          <t>Separate drivetrains; shares reconcile; PHEV electric-distance fraction needed. Specify annual path.</t>
        </is>
      </c>
      <c r="K27" s="10" t="n"/>
      <c r="L27" s="10" t="inlineStr">
        <is>
          <t>Open; Manish evidence, Nigel decision</t>
        </is>
      </c>
      <c r="M27" s="3" t="inlineStr">
        <is>
          <t>https://github.com/Africa-International-Advisors/liquid_fuels_model/blob/8c69f8333192483f19cd80911cb90fcd0943eb6b/workstreams/WS0_governance/workplan/fuel_lever_review_2026-10-07.md</t>
        </is>
      </c>
    </row>
    <row r="28" ht="100" customHeight="1">
      <c r="A28" s="3" t="inlineStr">
        <is>
          <t>Petrol</t>
        </is>
      </c>
      <c r="B28" s="3" t="inlineStr">
        <is>
          <t>Hybrid / PHEV new-sales shares</t>
        </is>
      </c>
      <c r="C28" s="3" t="inlineStr">
        <is>
          <t>%</t>
        </is>
      </c>
      <c r="D28" s="120" t="n">
        <v>2035</v>
      </c>
      <c r="E28" s="145" t="n"/>
      <c r="F28" s="145" t="n"/>
      <c r="G28" s="145" t="n"/>
      <c r="H28" s="3" t="inlineStr">
        <is>
          <t>Less fuel per km; not zero</t>
        </is>
      </c>
      <c r="I28" s="3" t="inlineStr">
        <is>
          <t>No numerical range proposed in this workbook.</t>
        </is>
      </c>
      <c r="J28" s="3" t="inlineStr">
        <is>
          <t>Separate drivetrains; shares reconcile; PHEV electric-distance fraction needed. Specify annual path.</t>
        </is>
      </c>
      <c r="K28" s="10" t="n"/>
      <c r="L28" s="10" t="inlineStr">
        <is>
          <t>Open; Manish evidence, Nigel decision</t>
        </is>
      </c>
      <c r="M28" s="3" t="inlineStr">
        <is>
          <t>https://github.com/Africa-International-Advisors/liquid_fuels_model/blob/8c69f8333192483f19cd80911cb90fcd0943eb6b/workstreams/WS0_governance/workplan/fuel_lever_review_2026-10-07.md</t>
        </is>
      </c>
    </row>
    <row r="29" ht="100" customHeight="1">
      <c r="A29" s="3" t="inlineStr">
        <is>
          <t>Road vehicles</t>
        </is>
      </c>
      <c r="B29" s="3" t="inlineStr">
        <is>
          <t>Retirement / survival</t>
        </is>
      </c>
      <c r="C29" s="3" t="inlineStr">
        <is>
          <t>% per year</t>
        </is>
      </c>
      <c r="D29" s="120" t="n">
        <v>2030</v>
      </c>
      <c r="E29" s="145" t="n"/>
      <c r="F29" s="145" t="n"/>
      <c r="G29" s="145" t="n"/>
      <c r="H29" s="3" t="inlineStr">
        <is>
          <t>Depends on replacement and fleet mix</t>
        </is>
      </c>
      <c r="I29" s="3" t="inlineStr">
        <is>
          <t>No numerical range proposed in this workbook.</t>
        </is>
      </c>
      <c r="J29" s="3" t="inlineStr">
        <is>
          <t>Fit opening fleet and cohort survival; current flat rates are provisional. Specify annual path.</t>
        </is>
      </c>
      <c r="K29" s="10" t="n"/>
      <c r="L29" s="10" t="inlineStr">
        <is>
          <t>Open; Manish evidence, Nigel decision</t>
        </is>
      </c>
      <c r="M29" s="3" t="inlineStr">
        <is>
          <t>https://github.com/Africa-International-Advisors/liquid_fuels_model/blob/8c69f8333192483f19cd80911cb90fcd0943eb6b/workstreams/WS0_governance/workplan/fuel_lever_review_2026-10-07.md</t>
        </is>
      </c>
    </row>
    <row r="30" ht="100" customHeight="1">
      <c r="A30" s="3" t="inlineStr">
        <is>
          <t>Road vehicles</t>
        </is>
      </c>
      <c r="B30" s="3" t="inlineStr">
        <is>
          <t>Retirement / survival</t>
        </is>
      </c>
      <c r="C30" s="3" t="inlineStr">
        <is>
          <t>% per year</t>
        </is>
      </c>
      <c r="D30" s="120" t="n">
        <v>2035</v>
      </c>
      <c r="E30" s="145" t="n"/>
      <c r="F30" s="145" t="n"/>
      <c r="G30" s="145" t="n"/>
      <c r="H30" s="3" t="inlineStr">
        <is>
          <t>Depends on replacement and fleet mix</t>
        </is>
      </c>
      <c r="I30" s="3" t="inlineStr">
        <is>
          <t>No numerical range proposed in this workbook.</t>
        </is>
      </c>
      <c r="J30" s="3" t="inlineStr">
        <is>
          <t>Fit opening fleet and cohort survival; current flat rates are provisional. Specify annual path.</t>
        </is>
      </c>
      <c r="K30" s="10" t="n"/>
      <c r="L30" s="10" t="inlineStr">
        <is>
          <t>Open; Manish evidence, Nigel decision</t>
        </is>
      </c>
      <c r="M30" s="3" t="inlineStr">
        <is>
          <t>https://github.com/Africa-International-Advisors/liquid_fuels_model/blob/8c69f8333192483f19cd80911cb90fcd0943eb6b/workstreams/WS0_governance/workplan/fuel_lever_review_2026-10-07.md</t>
        </is>
      </c>
    </row>
    <row r="31" ht="100" customHeight="1">
      <c r="A31" s="3" t="inlineStr">
        <is>
          <t>Diesel freight</t>
        </is>
      </c>
      <c r="B31" s="3" t="inlineStr">
        <is>
          <t>Payload / empty running</t>
        </is>
      </c>
      <c r="C31" s="3" t="inlineStr">
        <is>
          <t>definition due</t>
        </is>
      </c>
      <c r="D31" s="120" t="n">
        <v>2030</v>
      </c>
      <c r="E31" s="118" t="n"/>
      <c r="F31" s="118" t="n"/>
      <c r="G31" s="118" t="n"/>
      <c r="H31" s="3" t="inlineStr">
        <is>
          <t>Depends on metric</t>
        </is>
      </c>
      <c r="I31" s="3" t="inlineStr">
        <is>
          <t>No numerical range proposed in this workbook.</t>
        </is>
      </c>
      <c r="J31" s="3" t="inlineStr">
        <is>
          <t>Choose tonne-km or fleet method; separate load factor from empty-running share. Specify annual path.</t>
        </is>
      </c>
      <c r="K31" s="10" t="n"/>
      <c r="L31" s="10" t="inlineStr">
        <is>
          <t>Open; Manish evidence, Nigel decision</t>
        </is>
      </c>
      <c r="M31" s="3" t="inlineStr">
        <is>
          <t>https://github.com/Africa-International-Advisors/liquid_fuels_model/blob/8c69f8333192483f19cd80911cb90fcd0943eb6b/workstreams/WS0_governance/workplan/fuel_lever_review_2026-10-07.md</t>
        </is>
      </c>
    </row>
    <row r="32" ht="100" customHeight="1">
      <c r="A32" s="3" t="inlineStr">
        <is>
          <t>Diesel freight</t>
        </is>
      </c>
      <c r="B32" s="3" t="inlineStr">
        <is>
          <t>Payload / empty running</t>
        </is>
      </c>
      <c r="C32" s="3" t="inlineStr">
        <is>
          <t>definition due</t>
        </is>
      </c>
      <c r="D32" s="120" t="n">
        <v>2035</v>
      </c>
      <c r="E32" s="118" t="n"/>
      <c r="F32" s="118" t="n"/>
      <c r="G32" s="118" t="n"/>
      <c r="H32" s="3" t="inlineStr">
        <is>
          <t>Depends on metric</t>
        </is>
      </c>
      <c r="I32" s="3" t="inlineStr">
        <is>
          <t>No numerical range proposed in this workbook.</t>
        </is>
      </c>
      <c r="J32" s="3" t="inlineStr">
        <is>
          <t>Choose tonne-km or fleet method; separate load factor from empty-running share. Specify annual path.</t>
        </is>
      </c>
      <c r="K32" s="10" t="n"/>
      <c r="L32" s="10" t="inlineStr">
        <is>
          <t>Open; Manish evidence, Nigel decision</t>
        </is>
      </c>
      <c r="M32" s="3" t="inlineStr">
        <is>
          <t>https://github.com/Africa-International-Advisors/liquid_fuels_model/blob/8c69f8333192483f19cd80911cb90fcd0943eb6b/workstreams/WS0_governance/workplan/fuel_lever_review_2026-10-07.md</t>
        </is>
      </c>
    </row>
    <row r="33" ht="100" customHeight="1">
      <c r="A33" s="3" t="inlineStr">
        <is>
          <t>Diesel agriculture</t>
        </is>
      </c>
      <c r="B33" s="3" t="inlineStr">
        <is>
          <t>Agricultural activity</t>
        </is>
      </c>
      <c r="C33" s="3" t="inlineStr">
        <is>
          <t>index, base = 100</t>
        </is>
      </c>
      <c r="D33" s="120" t="n">
        <v>2030</v>
      </c>
      <c r="E33" s="118" t="n"/>
      <c r="F33" s="118" t="n"/>
      <c r="G33" s="118" t="n"/>
      <c r="H33" s="3" t="inlineStr">
        <is>
          <t>More diesel</t>
        </is>
      </c>
      <c r="I33" s="3" t="inlineStr">
        <is>
          <t>No numerical range proposed in this workbook.</t>
        </is>
      </c>
      <c r="J33" s="3" t="inlineStr">
        <is>
          <t>Choose activity and baseline year; reconcile provincial/sector scope. Specify annual path.</t>
        </is>
      </c>
      <c r="K33" s="10" t="n"/>
      <c r="L33" s="10" t="inlineStr">
        <is>
          <t>Open; Manish evidence, Nigel decision</t>
        </is>
      </c>
      <c r="M33" s="3" t="inlineStr">
        <is>
          <t>https://github.com/Africa-International-Advisors/liquid_fuels_model/blob/8c69f8333192483f19cd80911cb90fcd0943eb6b/workstreams/WS0_governance/workplan/fuel_lever_review_2026-10-07.md</t>
        </is>
      </c>
    </row>
    <row r="34" ht="100" customHeight="1">
      <c r="A34" s="3" t="inlineStr">
        <is>
          <t>Diesel agriculture</t>
        </is>
      </c>
      <c r="B34" s="3" t="inlineStr">
        <is>
          <t>Agricultural activity</t>
        </is>
      </c>
      <c r="C34" s="3" t="inlineStr">
        <is>
          <t>index, base = 100</t>
        </is>
      </c>
      <c r="D34" s="120" t="n">
        <v>2035</v>
      </c>
      <c r="E34" s="118" t="n"/>
      <c r="F34" s="118" t="n"/>
      <c r="G34" s="118" t="n"/>
      <c r="H34" s="3" t="inlineStr">
        <is>
          <t>More diesel</t>
        </is>
      </c>
      <c r="I34" s="3" t="inlineStr">
        <is>
          <t>No numerical range proposed in this workbook.</t>
        </is>
      </c>
      <c r="J34" s="3" t="inlineStr">
        <is>
          <t>Choose activity and baseline year; reconcile provincial/sector scope. Specify annual path.</t>
        </is>
      </c>
      <c r="K34" s="10" t="n"/>
      <c r="L34" s="10" t="inlineStr">
        <is>
          <t>Open; Manish evidence, Nigel decision</t>
        </is>
      </c>
      <c r="M34" s="3" t="inlineStr">
        <is>
          <t>https://github.com/Africa-International-Advisors/liquid_fuels_model/blob/8c69f8333192483f19cd80911cb90fcd0943eb6b/workstreams/WS0_governance/workplan/fuel_lever_review_2026-10-07.md</t>
        </is>
      </c>
    </row>
    <row r="35" ht="100" customHeight="1">
      <c r="A35" s="3" t="inlineStr">
        <is>
          <t>Diesel agriculture</t>
        </is>
      </c>
      <c r="B35" s="3" t="inlineStr">
        <is>
          <t>Relative fuel intensity</t>
        </is>
      </c>
      <c r="C35" s="3" t="inlineStr">
        <is>
          <t>base = 1</t>
        </is>
      </c>
      <c r="D35" s="120" t="n">
        <v>2030</v>
      </c>
      <c r="E35" s="118" t="n"/>
      <c r="F35" s="118" t="n"/>
      <c r="G35" s="118" t="n"/>
      <c r="H35" s="3" t="inlineStr">
        <is>
          <t>More diesel</t>
        </is>
      </c>
      <c r="I35" s="3" t="inlineStr">
        <is>
          <t>No numerical range proposed in this workbook.</t>
        </is>
      </c>
      <c r="J35" s="3" t="inlineStr">
        <is>
          <t>Separate intensity changes from activity; avoid overlapping efficiency effects. Specify annual path.</t>
        </is>
      </c>
      <c r="K35" s="10" t="n"/>
      <c r="L35" s="10" t="inlineStr">
        <is>
          <t>Open; Manish evidence, Nigel decision</t>
        </is>
      </c>
      <c r="M35" s="3" t="inlineStr">
        <is>
          <t>https://github.com/Africa-International-Advisors/liquid_fuels_model/blob/8c69f8333192483f19cd80911cb90fcd0943eb6b/workstreams/WS0_governance/workplan/fuel_lever_review_2026-10-07.md</t>
        </is>
      </c>
    </row>
    <row r="36" ht="100" customHeight="1">
      <c r="A36" s="3" t="inlineStr">
        <is>
          <t>Diesel agriculture</t>
        </is>
      </c>
      <c r="B36" s="3" t="inlineStr">
        <is>
          <t>Relative fuel intensity</t>
        </is>
      </c>
      <c r="C36" s="3" t="inlineStr">
        <is>
          <t>base = 1</t>
        </is>
      </c>
      <c r="D36" s="120" t="n">
        <v>2035</v>
      </c>
      <c r="E36" s="118" t="n"/>
      <c r="F36" s="118" t="n"/>
      <c r="G36" s="118" t="n"/>
      <c r="H36" s="3" t="inlineStr">
        <is>
          <t>More diesel</t>
        </is>
      </c>
      <c r="I36" s="3" t="inlineStr">
        <is>
          <t>No numerical range proposed in this workbook.</t>
        </is>
      </c>
      <c r="J36" s="3" t="inlineStr">
        <is>
          <t>Separate intensity changes from activity; avoid overlapping efficiency effects. Specify annual path.</t>
        </is>
      </c>
      <c r="K36" s="10" t="n"/>
      <c r="L36" s="10" t="inlineStr">
        <is>
          <t>Open; Manish evidence, Nigel decision</t>
        </is>
      </c>
      <c r="M36" s="3" t="inlineStr">
        <is>
          <t>https://github.com/Africa-International-Advisors/liquid_fuels_model/blob/8c69f8333192483f19cd80911cb90fcd0943eb6b/workstreams/WS0_governance/workplan/fuel_lever_review_2026-10-07.md</t>
        </is>
      </c>
    </row>
    <row r="37" ht="100" customHeight="1">
      <c r="A37" s="3" t="inlineStr">
        <is>
          <t>Diesel manufacturing</t>
        </is>
      </c>
      <c r="B37" s="3" t="inlineStr">
        <is>
          <t>Sector activity</t>
        </is>
      </c>
      <c r="C37" s="3" t="inlineStr">
        <is>
          <t>index, base = 100</t>
        </is>
      </c>
      <c r="D37" s="120" t="n">
        <v>2030</v>
      </c>
      <c r="E37" s="118" t="n"/>
      <c r="F37" s="118" t="n"/>
      <c r="G37" s="118" t="n"/>
      <c r="H37" s="3" t="inlineStr">
        <is>
          <t>More diesel</t>
        </is>
      </c>
      <c r="I37" s="3" t="inlineStr">
        <is>
          <t>No numerical range proposed in this workbook.</t>
        </is>
      </c>
      <c r="J37" s="3" t="inlineStr">
        <is>
          <t>Manufacturing-specific activity and intensity; electrification separate unless already embedded. Reconcile baseline split. Specify annual path.</t>
        </is>
      </c>
      <c r="K37" s="10" t="n"/>
      <c r="L37" s="10" t="inlineStr">
        <is>
          <t>Open; Manish evidence, Nigel decision</t>
        </is>
      </c>
      <c r="M37" s="3" t="inlineStr">
        <is>
          <t>https://github.com/Africa-International-Advisors/liquid_fuels_model/blob/8c69f8333192483f19cd80911cb90fcd0943eb6b/workstreams/WS0_governance/workplan/fuel_lever_review_2026-10-07.md</t>
        </is>
      </c>
    </row>
    <row r="38" ht="100" customHeight="1">
      <c r="A38" s="3" t="inlineStr">
        <is>
          <t>Diesel manufacturing</t>
        </is>
      </c>
      <c r="B38" s="3" t="inlineStr">
        <is>
          <t>Sector activity</t>
        </is>
      </c>
      <c r="C38" s="3" t="inlineStr">
        <is>
          <t>index, base = 100</t>
        </is>
      </c>
      <c r="D38" s="120" t="n">
        <v>2035</v>
      </c>
      <c r="E38" s="118" t="n"/>
      <c r="F38" s="118" t="n"/>
      <c r="G38" s="118" t="n"/>
      <c r="H38" s="3" t="inlineStr">
        <is>
          <t>More diesel</t>
        </is>
      </c>
      <c r="I38" s="3" t="inlineStr">
        <is>
          <t>No numerical range proposed in this workbook.</t>
        </is>
      </c>
      <c r="J38" s="3" t="inlineStr">
        <is>
          <t>Manufacturing-specific activity and intensity; electrification separate unless already embedded. Reconcile baseline split. Specify annual path.</t>
        </is>
      </c>
      <c r="K38" s="10" t="n"/>
      <c r="L38" s="10" t="inlineStr">
        <is>
          <t>Open; Manish evidence, Nigel decision</t>
        </is>
      </c>
      <c r="M38" s="3" t="inlineStr">
        <is>
          <t>https://github.com/Africa-International-Advisors/liquid_fuels_model/blob/8c69f8333192483f19cd80911cb90fcd0943eb6b/workstreams/WS0_governance/workplan/fuel_lever_review_2026-10-07.md</t>
        </is>
      </c>
    </row>
    <row r="39" ht="100" customHeight="1">
      <c r="A39" s="3" t="inlineStr">
        <is>
          <t>Diesel manufacturing</t>
        </is>
      </c>
      <c r="B39" s="3" t="inlineStr">
        <is>
          <t>Relative sector fuel intensity</t>
        </is>
      </c>
      <c r="C39" s="3" t="inlineStr">
        <is>
          <t>base = 1</t>
        </is>
      </c>
      <c r="D39" s="120" t="n">
        <v>2030</v>
      </c>
      <c r="E39" s="118" t="n"/>
      <c r="F39" s="118" t="n"/>
      <c r="G39" s="118" t="n"/>
      <c r="H39" s="3" t="inlineStr">
        <is>
          <t>More diesel</t>
        </is>
      </c>
      <c r="I39" s="3" t="inlineStr">
        <is>
          <t>No numerical range proposed in this workbook.</t>
        </is>
      </c>
      <c r="J39" s="3" t="inlineStr">
        <is>
          <t>Manufacturing-specific activity and intensity; electrification separate unless already embedded. Reconcile baseline split. Specify annual path.</t>
        </is>
      </c>
      <c r="K39" s="10" t="n"/>
      <c r="L39" s="10" t="inlineStr">
        <is>
          <t>Open; Manish evidence, Nigel decision</t>
        </is>
      </c>
      <c r="M39" s="3" t="inlineStr">
        <is>
          <t>https://github.com/Africa-International-Advisors/liquid_fuels_model/blob/8c69f8333192483f19cd80911cb90fcd0943eb6b/workstreams/WS0_governance/workplan/fuel_lever_review_2026-10-07.md</t>
        </is>
      </c>
    </row>
    <row r="40" ht="100" customHeight="1">
      <c r="A40" s="3" t="inlineStr">
        <is>
          <t>Diesel manufacturing</t>
        </is>
      </c>
      <c r="B40" s="3" t="inlineStr">
        <is>
          <t>Relative sector fuel intensity</t>
        </is>
      </c>
      <c r="C40" s="3" t="inlineStr">
        <is>
          <t>base = 1</t>
        </is>
      </c>
      <c r="D40" s="120" t="n">
        <v>2035</v>
      </c>
      <c r="E40" s="118" t="n"/>
      <c r="F40" s="118" t="n"/>
      <c r="G40" s="118" t="n"/>
      <c r="H40" s="3" t="inlineStr">
        <is>
          <t>More diesel</t>
        </is>
      </c>
      <c r="I40" s="3" t="inlineStr">
        <is>
          <t>No numerical range proposed in this workbook.</t>
        </is>
      </c>
      <c r="J40" s="3" t="inlineStr">
        <is>
          <t>Manufacturing-specific activity and intensity; electrification separate unless already embedded. Reconcile baseline split. Specify annual path.</t>
        </is>
      </c>
      <c r="K40" s="10" t="n"/>
      <c r="L40" s="10" t="inlineStr">
        <is>
          <t>Open; Manish evidence, Nigel decision</t>
        </is>
      </c>
      <c r="M40" s="3" t="inlineStr">
        <is>
          <t>https://github.com/Africa-International-Advisors/liquid_fuels_model/blob/8c69f8333192483f19cd80911cb90fcd0943eb6b/workstreams/WS0_governance/workplan/fuel_lever_review_2026-10-07.md</t>
        </is>
      </c>
    </row>
    <row r="41" ht="100" customHeight="1">
      <c r="A41" s="3" t="inlineStr">
        <is>
          <t>Diesel private backup</t>
        </is>
      </c>
      <c r="B41" s="3" t="inlineStr">
        <is>
          <t>Generation / fuel burn</t>
        </is>
      </c>
      <c r="C41" s="3" t="inlineStr">
        <is>
          <t>definition due</t>
        </is>
      </c>
      <c r="D41" s="120" t="n">
        <v>2030</v>
      </c>
      <c r="E41" s="118" t="n"/>
      <c r="F41" s="118" t="n"/>
      <c r="G41" s="118" t="n"/>
      <c r="H41" s="3" t="inlineStr">
        <is>
          <t>More diesel</t>
        </is>
      </c>
      <c r="I41" s="3" t="inlineStr">
        <is>
          <t>No numerical range proposed in this workbook.</t>
        </is>
      </c>
      <c r="J41" s="3" t="inlineStr">
        <is>
          <t>Avoid overlap with grid OCGT and sector baselines. Specify annual path.</t>
        </is>
      </c>
      <c r="K41" s="10" t="n"/>
      <c r="L41" s="10" t="inlineStr">
        <is>
          <t>Open; Manish evidence, Nigel decision</t>
        </is>
      </c>
      <c r="M41" s="3" t="inlineStr">
        <is>
          <t>https://github.com/Africa-International-Advisors/liquid_fuels_model/blob/8c69f8333192483f19cd80911cb90fcd0943eb6b/workstreams/WS0_governance/workplan/fuel_lever_review_2026-10-07.md</t>
        </is>
      </c>
    </row>
    <row r="42" ht="100" customHeight="1">
      <c r="A42" s="3" t="inlineStr">
        <is>
          <t>Diesel private backup</t>
        </is>
      </c>
      <c r="B42" s="3" t="inlineStr">
        <is>
          <t>Generation / fuel burn</t>
        </is>
      </c>
      <c r="C42" s="3" t="inlineStr">
        <is>
          <t>definition due</t>
        </is>
      </c>
      <c r="D42" s="120" t="n">
        <v>2035</v>
      </c>
      <c r="E42" s="118" t="n"/>
      <c r="F42" s="118" t="n"/>
      <c r="G42" s="118" t="n"/>
      <c r="H42" s="3" t="inlineStr">
        <is>
          <t>More diesel</t>
        </is>
      </c>
      <c r="I42" s="3" t="inlineStr">
        <is>
          <t>No numerical range proposed in this workbook.</t>
        </is>
      </c>
      <c r="J42" s="3" t="inlineStr">
        <is>
          <t>Avoid overlap with grid OCGT and sector baselines. Specify annual path.</t>
        </is>
      </c>
      <c r="K42" s="10" t="n"/>
      <c r="L42" s="10" t="inlineStr">
        <is>
          <t>Open; Manish evidence, Nigel decision</t>
        </is>
      </c>
      <c r="M42" s="3" t="inlineStr">
        <is>
          <t>https://github.com/Africa-International-Advisors/liquid_fuels_model/blob/8c69f8333192483f19cd80911cb90fcd0943eb6b/workstreams/WS0_governance/workplan/fuel_lever_review_2026-10-07.md</t>
        </is>
      </c>
    </row>
    <row r="43" ht="100" customHeight="1">
      <c r="A43" s="3" t="inlineStr">
        <is>
          <t>Marine</t>
        </is>
      </c>
      <c r="B43" s="3" t="inlineStr">
        <is>
          <t>Activity / fuel intensity</t>
        </is>
      </c>
      <c r="C43" s="3" t="inlineStr">
        <is>
          <t>definition due</t>
        </is>
      </c>
      <c r="D43" s="120" t="n">
        <v>2030</v>
      </c>
      <c r="E43" s="118" t="n"/>
      <c r="F43" s="118" t="n"/>
      <c r="G43" s="118" t="n"/>
      <c r="H43" s="3" t="inlineStr">
        <is>
          <t>Depends on metric</t>
        </is>
      </c>
      <c r="I43" s="3" t="inlineStr">
        <is>
          <t>No numerical range proposed in this workbook.</t>
        </is>
      </c>
      <c r="J43" s="3" t="inlineStr">
        <is>
          <t>Separate product split, activity, efficiency and bunker coverage. Specify annual path.</t>
        </is>
      </c>
      <c r="K43" s="10" t="n"/>
      <c r="L43" s="10" t="inlineStr">
        <is>
          <t>Open; Manish evidence, Nigel decision</t>
        </is>
      </c>
      <c r="M43" s="3" t="inlineStr">
        <is>
          <t>https://github.com/Africa-International-Advisors/liquid_fuels_model/blob/8c69f8333192483f19cd80911cb90fcd0943eb6b/workstreams/WS0_governance/workplan/fuel_lever_review_2026-10-07.md</t>
        </is>
      </c>
    </row>
    <row r="44" ht="100" customHeight="1">
      <c r="A44" s="3" t="inlineStr">
        <is>
          <t>Marine</t>
        </is>
      </c>
      <c r="B44" s="3" t="inlineStr">
        <is>
          <t>Activity / fuel intensity</t>
        </is>
      </c>
      <c r="C44" s="3" t="inlineStr">
        <is>
          <t>definition due</t>
        </is>
      </c>
      <c r="D44" s="120" t="n">
        <v>2035</v>
      </c>
      <c r="E44" s="118" t="n"/>
      <c r="F44" s="118" t="n"/>
      <c r="G44" s="118" t="n"/>
      <c r="H44" s="3" t="inlineStr">
        <is>
          <t>Depends on metric</t>
        </is>
      </c>
      <c r="I44" s="3" t="inlineStr">
        <is>
          <t>No numerical range proposed in this workbook.</t>
        </is>
      </c>
      <c r="J44" s="3" t="inlineStr">
        <is>
          <t>Separate product split, activity, efficiency and bunker coverage. Specify annual path.</t>
        </is>
      </c>
      <c r="K44" s="10" t="n"/>
      <c r="L44" s="10" t="inlineStr">
        <is>
          <t>Open; Manish evidence, Nigel decision</t>
        </is>
      </c>
      <c r="M44" s="3" t="inlineStr">
        <is>
          <t>https://github.com/Africa-International-Advisors/liquid_fuels_model/blob/8c69f8333192483f19cd80911cb90fcd0943eb6b/workstreams/WS0_governance/workplan/fuel_lever_review_2026-10-07.md</t>
        </is>
      </c>
    </row>
    <row r="45" ht="52" customHeight="1">
      <c r="A45" s="3" t="n"/>
      <c r="B45" s="3" t="n"/>
      <c r="C45" s="3" t="n"/>
      <c r="D45" s="3" t="n"/>
      <c r="E45" s="3" t="n"/>
      <c r="F45" s="3" t="n"/>
      <c r="G45" s="3" t="n"/>
      <c r="H45" s="3" t="n"/>
      <c r="I45" s="3" t="n"/>
      <c r="J45" s="3" t="n"/>
      <c r="K45" s="3" t="n"/>
      <c r="L45" s="3" t="n"/>
      <c r="M45" s="3" t="n"/>
    </row>
    <row r="46" ht="100" customHeight="1">
      <c r="A46" s="56" t="inlineStr">
        <is>
          <t>Diesel freight</t>
        </is>
      </c>
      <c r="B46" s="57" t="inlineStr">
        <is>
          <t>Truck BEV new-sales share by duty cycle</t>
        </is>
      </c>
      <c r="C46" s="57" t="inlineStr">
        <is>
          <t>%</t>
        </is>
      </c>
      <c r="D46" s="146" t="n">
        <v>2030</v>
      </c>
      <c r="E46" s="147" t="n"/>
      <c r="F46" s="147" t="n"/>
      <c r="G46" s="147" t="n"/>
      <c r="H46" s="57" t="inlineStr">
        <is>
          <t>Less road diesel over fleet turnover</t>
        </is>
      </c>
      <c r="I46" s="57" t="inlineStr">
        <is>
          <t>No numerical brackets agreed.</t>
        </is>
      </c>
      <c r="J46" s="57" t="inlineStr">
        <is>
          <t>Separate delivery, regional and long haul; shares are new sales, not fleet or tonne-km. Annual path to agree.</t>
        </is>
      </c>
      <c r="K46" s="41" t="n"/>
      <c r="L46" s="41" t="inlineStr">
        <is>
          <t>Open; Manish evidence, Nigel decision</t>
        </is>
      </c>
      <c r="M46" s="57" t="inlineStr">
        <is>
          <t>Workshop proposal, 7 October 2026; no numerical assumption adopted.</t>
        </is>
      </c>
    </row>
    <row r="47" ht="100" customHeight="1">
      <c r="A47" s="57" t="inlineStr">
        <is>
          <t>Diesel freight</t>
        </is>
      </c>
      <c r="B47" s="57" t="inlineStr">
        <is>
          <t>Truck BEV new-sales share by duty cycle</t>
        </is>
      </c>
      <c r="C47" s="57" t="inlineStr">
        <is>
          <t>%</t>
        </is>
      </c>
      <c r="D47" s="146" t="n">
        <v>2035</v>
      </c>
      <c r="E47" s="147" t="n"/>
      <c r="F47" s="147" t="n"/>
      <c r="G47" s="147" t="n"/>
      <c r="H47" s="57" t="inlineStr">
        <is>
          <t>Less road diesel over fleet turnover</t>
        </is>
      </c>
      <c r="I47" s="57" t="inlineStr">
        <is>
          <t>No numerical brackets agreed.</t>
        </is>
      </c>
      <c r="J47" s="57" t="inlineStr">
        <is>
          <t>Separate delivery, regional and long haul; shares are new sales, not fleet or tonne-km. Annual path to agree.</t>
        </is>
      </c>
      <c r="K47" s="41" t="n"/>
      <c r="L47" s="41" t="inlineStr">
        <is>
          <t>Open; Manish evidence, Nigel decision</t>
        </is>
      </c>
      <c r="M47" s="57" t="inlineStr">
        <is>
          <t>Workshop proposal, 7 October 2026; no numerical assumption adopted.</t>
        </is>
      </c>
    </row>
    <row r="48" ht="100" customHeight="1">
      <c r="A48" s="57" t="inlineStr">
        <is>
          <t>Diesel freight</t>
        </is>
      </c>
      <c r="B48" s="57" t="inlineStr">
        <is>
          <t>Truck hybrid / PHEV shares</t>
        </is>
      </c>
      <c r="C48" s="57" t="inlineStr">
        <is>
          <t>%</t>
        </is>
      </c>
      <c r="D48" s="146" t="n">
        <v>2030</v>
      </c>
      <c r="E48" s="147" t="n"/>
      <c r="F48" s="147" t="n"/>
      <c r="G48" s="147" t="n"/>
      <c r="H48" s="57" t="inlineStr">
        <is>
          <t>Less diesel per km; not zero</t>
        </is>
      </c>
      <c r="I48" s="57" t="inlineStr">
        <is>
          <t>No numerical brackets agreed.</t>
        </is>
      </c>
      <c r="J48" s="57" t="inlineStr">
        <is>
          <t>Separate drivetrains and electric-distance fraction; shares reconcile with BEV and diesel. Annual path to agree.</t>
        </is>
      </c>
      <c r="K48" s="41" t="n"/>
      <c r="L48" s="41" t="inlineStr">
        <is>
          <t>Open; Manish evidence, Nigel decision</t>
        </is>
      </c>
      <c r="M48" s="57" t="inlineStr">
        <is>
          <t>Workshop proposal, 7 October 2026; no numerical assumption adopted.</t>
        </is>
      </c>
    </row>
    <row r="49" ht="100" customHeight="1">
      <c r="A49" s="57" t="inlineStr">
        <is>
          <t>Diesel freight</t>
        </is>
      </c>
      <c r="B49" s="57" t="inlineStr">
        <is>
          <t>Truck hybrid / PHEV shares</t>
        </is>
      </c>
      <c r="C49" s="57" t="inlineStr">
        <is>
          <t>%</t>
        </is>
      </c>
      <c r="D49" s="146" t="n">
        <v>2035</v>
      </c>
      <c r="E49" s="147" t="n"/>
      <c r="F49" s="147" t="n"/>
      <c r="G49" s="147" t="n"/>
      <c r="H49" s="57" t="inlineStr">
        <is>
          <t>Less diesel per km; not zero</t>
        </is>
      </c>
      <c r="I49" s="57" t="inlineStr">
        <is>
          <t>No numerical brackets agreed.</t>
        </is>
      </c>
      <c r="J49" s="57" t="inlineStr">
        <is>
          <t>Separate drivetrains and electric-distance fraction; shares reconcile with BEV and diesel. Annual path to agree.</t>
        </is>
      </c>
      <c r="K49" s="41" t="n"/>
      <c r="L49" s="41" t="inlineStr">
        <is>
          <t>Open; Manish evidence, Nigel decision</t>
        </is>
      </c>
      <c r="M49" s="57" t="inlineStr">
        <is>
          <t>Workshop proposal, 7 October 2026; no numerical assumption adopted.</t>
        </is>
      </c>
    </row>
    <row r="50" ht="100" customHeight="1">
      <c r="A50" s="57" t="inlineStr">
        <is>
          <t>Diesel freight</t>
        </is>
      </c>
      <c r="B50" s="57" t="inlineStr">
        <is>
          <t>Truck mileage by drivetrain</t>
        </is>
      </c>
      <c r="C50" s="57" t="inlineStr">
        <is>
          <t>km/vehicle/year</t>
        </is>
      </c>
      <c r="D50" s="146" t="n">
        <v>2030</v>
      </c>
      <c r="E50" s="148" t="n"/>
      <c r="F50" s="148" t="n"/>
      <c r="G50" s="148" t="n"/>
      <c r="H50" s="57" t="inlineStr">
        <is>
          <t>More work; fuel depends on drivetrain</t>
        </is>
      </c>
      <c r="I50" s="57" t="inlineStr">
        <is>
          <t>No numerical brackets agreed.</t>
        </is>
      </c>
      <c r="J50" s="57" t="inlineStr">
        <is>
          <t>Use fleet × mileage × payload to reconcile work shares; do not assume equal BEV and diesel utilisation. Annual path to agree.</t>
        </is>
      </c>
      <c r="K50" s="41" t="n"/>
      <c r="L50" s="41" t="inlineStr">
        <is>
          <t>Open; Manish evidence, Nigel decision</t>
        </is>
      </c>
      <c r="M50" s="57" t="inlineStr">
        <is>
          <t>Workshop proposal, 7 October 2026; no numerical assumption adopted.</t>
        </is>
      </c>
    </row>
    <row r="51" ht="100" customHeight="1">
      <c r="A51" s="57" t="inlineStr">
        <is>
          <t>Diesel freight</t>
        </is>
      </c>
      <c r="B51" s="57" t="inlineStr">
        <is>
          <t>Truck mileage by drivetrain</t>
        </is>
      </c>
      <c r="C51" s="57" t="inlineStr">
        <is>
          <t>km/vehicle/year</t>
        </is>
      </c>
      <c r="D51" s="146" t="n">
        <v>2035</v>
      </c>
      <c r="E51" s="148" t="n"/>
      <c r="F51" s="148" t="n"/>
      <c r="G51" s="148" t="n"/>
      <c r="H51" s="57" t="inlineStr">
        <is>
          <t>More work; fuel depends on drivetrain</t>
        </is>
      </c>
      <c r="I51" s="57" t="inlineStr">
        <is>
          <t>No numerical brackets agreed.</t>
        </is>
      </c>
      <c r="J51" s="57" t="inlineStr">
        <is>
          <t>Use fleet × mileage × payload to reconcile work shares; do not assume equal BEV and diesel utilisation. Annual path to agree.</t>
        </is>
      </c>
      <c r="K51" s="41" t="n"/>
      <c r="L51" s="41" t="inlineStr">
        <is>
          <t>Open; Manish evidence, Nigel decision</t>
        </is>
      </c>
      <c r="M51" s="57" t="inlineStr">
        <is>
          <t>Workshop proposal, 7 October 2026; no numerical assumption adopted.</t>
        </is>
      </c>
    </row>
    <row r="52" ht="100" customHeight="1">
      <c r="A52" s="57" t="inlineStr">
        <is>
          <t>Diesel freight</t>
        </is>
      </c>
      <c r="B52" s="57" t="inlineStr">
        <is>
          <t>Charging rollout and eligible duty cycles</t>
        </is>
      </c>
      <c r="C52" s="57" t="inlineStr">
        <is>
          <t>definition due</t>
        </is>
      </c>
      <c r="D52" s="146" t="n">
        <v>2030</v>
      </c>
      <c r="E52" s="148" t="n"/>
      <c r="F52" s="148" t="n"/>
      <c r="G52" s="148" t="n"/>
      <c r="H52" s="57" t="inlineStr">
        <is>
          <t>Constrains feasible uptake</t>
        </is>
      </c>
      <c r="I52" s="57" t="inlineStr">
        <is>
          <t>No numerical brackets agreed.</t>
        </is>
      </c>
      <c r="J52" s="57" t="inlineStr">
        <is>
          <t>Record route/depot access, dwell, grid power and timing. Not a second diesel reduction. Annual path to agree.</t>
        </is>
      </c>
      <c r="K52" s="41" t="n"/>
      <c r="L52" s="41" t="inlineStr">
        <is>
          <t>Open; Manish evidence, Nigel decision</t>
        </is>
      </c>
      <c r="M52" s="57" t="inlineStr">
        <is>
          <t>Workshop proposal, 7 October 2026; no numerical assumption adopted.</t>
        </is>
      </c>
    </row>
    <row r="53" ht="100" customHeight="1">
      <c r="A53" s="57" t="inlineStr">
        <is>
          <t>Diesel freight</t>
        </is>
      </c>
      <c r="B53" s="57" t="inlineStr">
        <is>
          <t>Charging rollout and eligible duty cycles</t>
        </is>
      </c>
      <c r="C53" s="57" t="inlineStr">
        <is>
          <t>definition due</t>
        </is>
      </c>
      <c r="D53" s="146" t="n">
        <v>2035</v>
      </c>
      <c r="E53" s="148" t="n"/>
      <c r="F53" s="148" t="n"/>
      <c r="G53" s="148" t="n"/>
      <c r="H53" s="57" t="inlineStr">
        <is>
          <t>Constrains feasible uptake</t>
        </is>
      </c>
      <c r="I53" s="57" t="inlineStr">
        <is>
          <t>No numerical brackets agreed.</t>
        </is>
      </c>
      <c r="J53" s="57" t="inlineStr">
        <is>
          <t>Record route/depot access, dwell, grid power and timing. Not a second diesel reduction. Annual path to agree.</t>
        </is>
      </c>
      <c r="K53" s="41" t="n"/>
      <c r="L53" s="41" t="inlineStr">
        <is>
          <t>Open; Manish evidence, Nigel decision</t>
        </is>
      </c>
      <c r="M53" s="57" t="inlineStr">
        <is>
          <t>Workshop proposal, 7 October 2026; no numerical assumption adopted.</t>
        </is>
      </c>
    </row>
    <row r="54" ht="100" customHeight="1">
      <c r="A54" s="57" t="inlineStr">
        <is>
          <t>Diesel manufacturing</t>
        </is>
      </c>
      <c r="B54" s="57" t="inlineStr">
        <is>
          <t>Remaining diesel fraction after electrification</t>
        </is>
      </c>
      <c r="C54" s="57" t="inlineStr">
        <is>
          <t>base year = 1</t>
        </is>
      </c>
      <c r="D54" s="146" t="n">
        <v>2030</v>
      </c>
      <c r="E54" s="148" t="n"/>
      <c r="F54" s="148" t="n"/>
      <c r="G54" s="148" t="n"/>
      <c r="H54" s="57" t="inlineStr">
        <is>
          <t>More diesel</t>
        </is>
      </c>
      <c r="I54" s="57" t="inlineStr">
        <is>
          <t>No numerical brackets agreed.</t>
        </is>
      </c>
      <c r="J54" s="57" t="inlineStr">
        <is>
          <t>Eligible manufacturing uses only; separate from efficiency and backup generation. Annual path to agree.</t>
        </is>
      </c>
      <c r="K54" s="41" t="n"/>
      <c r="L54" s="41" t="inlineStr">
        <is>
          <t>Open; Manish evidence, Nigel decision</t>
        </is>
      </c>
      <c r="M54" s="57" t="inlineStr">
        <is>
          <t>Workshop proposal, 7 October 2026; no numerical assumption adopted.</t>
        </is>
      </c>
    </row>
    <row r="55" ht="100" customHeight="1">
      <c r="A55" s="57" t="inlineStr">
        <is>
          <t>Diesel manufacturing</t>
        </is>
      </c>
      <c r="B55" s="57" t="inlineStr">
        <is>
          <t>Remaining diesel fraction after electrification</t>
        </is>
      </c>
      <c r="C55" s="57" t="inlineStr">
        <is>
          <t>base year = 1</t>
        </is>
      </c>
      <c r="D55" s="146" t="n">
        <v>2035</v>
      </c>
      <c r="E55" s="148" t="n"/>
      <c r="F55" s="148" t="n"/>
      <c r="G55" s="148" t="n"/>
      <c r="H55" s="57" t="inlineStr">
        <is>
          <t>More diesel</t>
        </is>
      </c>
      <c r="I55" s="57" t="inlineStr">
        <is>
          <t>No numerical brackets agreed.</t>
        </is>
      </c>
      <c r="J55" s="57" t="inlineStr">
        <is>
          <t>Eligible manufacturing uses only; separate from efficiency and backup generation. Annual path to agree.</t>
        </is>
      </c>
      <c r="K55" s="41" t="n"/>
      <c r="L55" s="41" t="inlineStr">
        <is>
          <t>Open; Manish evidence, Nigel decision</t>
        </is>
      </c>
      <c r="M55" s="57" t="inlineStr">
        <is>
          <t>Workshop proposal, 7 October 2026; no numerical assumption adopted.</t>
        </is>
      </c>
    </row>
    <row r="56" ht="100" customHeight="1">
      <c r="A56" s="57" t="inlineStr">
        <is>
          <t>Diesel mining</t>
        </is>
      </c>
      <c r="B56" s="57" t="inlineStr">
        <is>
          <t>Mining activity</t>
        </is>
      </c>
      <c r="C56" s="57" t="inlineStr">
        <is>
          <t>index, base = 100</t>
        </is>
      </c>
      <c r="D56" s="146" t="n">
        <v>2030</v>
      </c>
      <c r="E56" s="148" t="n"/>
      <c r="F56" s="148" t="n"/>
      <c r="G56" s="148" t="n"/>
      <c r="H56" s="57" t="inlineStr">
        <is>
          <t>More diesel</t>
        </is>
      </c>
      <c r="I56" s="57" t="inlineStr">
        <is>
          <t>No numerical brackets agreed.</t>
        </is>
      </c>
      <c r="J56" s="57" t="inlineStr">
        <is>
          <t>Commodity output or material moved by mine/subsector; specify matched base year. Annual path to agree.</t>
        </is>
      </c>
      <c r="K56" s="41" t="n"/>
      <c r="L56" s="41" t="inlineStr">
        <is>
          <t>Open; Manish evidence, Nigel decision</t>
        </is>
      </c>
      <c r="M56" s="57" t="inlineStr">
        <is>
          <t>Workshop proposal, 7 October 2026; no numerical assumption adopted.</t>
        </is>
      </c>
    </row>
    <row r="57" ht="100" customHeight="1">
      <c r="A57" s="57" t="inlineStr">
        <is>
          <t>Diesel mining</t>
        </is>
      </c>
      <c r="B57" s="57" t="inlineStr">
        <is>
          <t>Mining activity</t>
        </is>
      </c>
      <c r="C57" s="57" t="inlineStr">
        <is>
          <t>index, base = 100</t>
        </is>
      </c>
      <c r="D57" s="146" t="n">
        <v>2035</v>
      </c>
      <c r="E57" s="148" t="n"/>
      <c r="F57" s="148" t="n"/>
      <c r="G57" s="148" t="n"/>
      <c r="H57" s="57" t="inlineStr">
        <is>
          <t>More diesel</t>
        </is>
      </c>
      <c r="I57" s="57" t="inlineStr">
        <is>
          <t>No numerical brackets agreed.</t>
        </is>
      </c>
      <c r="J57" s="57" t="inlineStr">
        <is>
          <t>Commodity output or material moved by mine/subsector; specify matched base year. Annual path to agree.</t>
        </is>
      </c>
      <c r="K57" s="41" t="n"/>
      <c r="L57" s="41" t="inlineStr">
        <is>
          <t>Open; Manish evidence, Nigel decision</t>
        </is>
      </c>
      <c r="M57" s="57" t="inlineStr">
        <is>
          <t>Workshop proposal, 7 October 2026; no numerical assumption adopted.</t>
        </is>
      </c>
    </row>
    <row r="58" ht="100" customHeight="1">
      <c r="A58" s="57" t="inlineStr">
        <is>
          <t>Diesel mining</t>
        </is>
      </c>
      <c r="B58" s="57" t="inlineStr">
        <is>
          <t>Relative mining operating intensity</t>
        </is>
      </c>
      <c r="C58" s="57" t="inlineStr">
        <is>
          <t>base = 1</t>
        </is>
      </c>
      <c r="D58" s="146" t="n">
        <v>2030</v>
      </c>
      <c r="E58" s="148" t="n"/>
      <c r="F58" s="148" t="n"/>
      <c r="G58" s="148" t="n"/>
      <c r="H58" s="57" t="inlineStr">
        <is>
          <t>More diesel</t>
        </is>
      </c>
      <c r="I58" s="57" t="inlineStr">
        <is>
          <t>No numerical brackets agreed.</t>
        </is>
      </c>
      <c r="J58" s="57" t="inlineStr">
        <is>
          <t>Haul work, depth, grade and equipment mix; avoid overlap with activity and electrification. Annual path to agree.</t>
        </is>
      </c>
      <c r="K58" s="41" t="n"/>
      <c r="L58" s="41" t="inlineStr">
        <is>
          <t>Open; Manish evidence, Nigel decision</t>
        </is>
      </c>
      <c r="M58" s="57" t="inlineStr">
        <is>
          <t>Workshop proposal, 7 October 2026; no numerical assumption adopted.</t>
        </is>
      </c>
    </row>
    <row r="59" ht="100" customHeight="1">
      <c r="A59" s="57" t="inlineStr">
        <is>
          <t>Diesel mining</t>
        </is>
      </c>
      <c r="B59" s="57" t="inlineStr">
        <is>
          <t>Relative mining operating intensity</t>
        </is>
      </c>
      <c r="C59" s="57" t="inlineStr">
        <is>
          <t>base = 1</t>
        </is>
      </c>
      <c r="D59" s="146" t="n">
        <v>2035</v>
      </c>
      <c r="E59" s="148" t="n"/>
      <c r="F59" s="148" t="n"/>
      <c r="G59" s="148" t="n"/>
      <c r="H59" s="57" t="inlineStr">
        <is>
          <t>More diesel</t>
        </is>
      </c>
      <c r="I59" s="57" t="inlineStr">
        <is>
          <t>No numerical brackets agreed.</t>
        </is>
      </c>
      <c r="J59" s="57" t="inlineStr">
        <is>
          <t>Haul work, depth, grade and equipment mix; avoid overlap with activity and electrification. Annual path to agree.</t>
        </is>
      </c>
      <c r="K59" s="41" t="n"/>
      <c r="L59" s="41" t="inlineStr">
        <is>
          <t>Open; Manish evidence, Nigel decision</t>
        </is>
      </c>
      <c r="M59" s="57" t="inlineStr">
        <is>
          <t>Workshop proposal, 7 October 2026; no numerical assumption adopted.</t>
        </is>
      </c>
    </row>
    <row r="60" ht="100" customHeight="1">
      <c r="A60" s="57" t="inlineStr">
        <is>
          <t>Diesel mining</t>
        </is>
      </c>
      <c r="B60" s="57" t="inlineStr">
        <is>
          <t>Remaining diesel fraction after electrification</t>
        </is>
      </c>
      <c r="C60" s="57" t="inlineStr">
        <is>
          <t>base year = 1</t>
        </is>
      </c>
      <c r="D60" s="146" t="n">
        <v>2030</v>
      </c>
      <c r="E60" s="148" t="n"/>
      <c r="F60" s="148" t="n"/>
      <c r="G60" s="148" t="n"/>
      <c r="H60" s="57" t="inlineStr">
        <is>
          <t>More diesel</t>
        </is>
      </c>
      <c r="I60" s="57" t="inlineStr">
        <is>
          <t>No numerical brackets agreed.</t>
        </is>
      </c>
      <c r="J60" s="57" t="inlineStr">
        <is>
          <t>Mine-equipment-specific transition; do not borrow road-truck uptake. Annual path to agree.</t>
        </is>
      </c>
      <c r="K60" s="41" t="n"/>
      <c r="L60" s="41" t="inlineStr">
        <is>
          <t>Open; Manish evidence, Nigel decision</t>
        </is>
      </c>
      <c r="M60" s="57" t="inlineStr">
        <is>
          <t>Workshop proposal, 7 October 2026; no numerical assumption adopted.</t>
        </is>
      </c>
    </row>
    <row r="61" ht="100" customHeight="1">
      <c r="A61" s="57" t="inlineStr">
        <is>
          <t>Diesel mining</t>
        </is>
      </c>
      <c r="B61" s="57" t="inlineStr">
        <is>
          <t>Remaining diesel fraction after electrification</t>
        </is>
      </c>
      <c r="C61" s="57" t="inlineStr">
        <is>
          <t>base year = 1</t>
        </is>
      </c>
      <c r="D61" s="146" t="n">
        <v>2035</v>
      </c>
      <c r="E61" s="148" t="n"/>
      <c r="F61" s="148" t="n"/>
      <c r="G61" s="148" t="n"/>
      <c r="H61" s="57" t="inlineStr">
        <is>
          <t>More diesel</t>
        </is>
      </c>
      <c r="I61" s="57" t="inlineStr">
        <is>
          <t>No numerical brackets agreed.</t>
        </is>
      </c>
      <c r="J61" s="57" t="inlineStr">
        <is>
          <t>Mine-equipment-specific transition; do not borrow road-truck uptake. Annual path to agree.</t>
        </is>
      </c>
      <c r="K61" s="41" t="n"/>
      <c r="L61" s="41" t="inlineStr">
        <is>
          <t>Open; Manish evidence, Nigel decision</t>
        </is>
      </c>
      <c r="M61" s="57" t="inlineStr">
        <is>
          <t>Workshop proposal, 7 October 2026; no numerical assumption adopted.</t>
        </is>
      </c>
    </row>
    <row r="62" ht="52" customHeight="1">
      <c r="A62" s="3" t="n"/>
      <c r="B62" s="3" t="n"/>
      <c r="C62" s="3" t="n"/>
      <c r="D62" s="3" t="n"/>
      <c r="E62" s="3" t="n"/>
      <c r="F62" s="3" t="n"/>
      <c r="G62" s="3" t="n"/>
      <c r="H62" s="3" t="n"/>
      <c r="I62" s="3" t="n"/>
      <c r="J62" s="3" t="n"/>
      <c r="K62" s="3" t="n"/>
      <c r="L62" s="3" t="n"/>
      <c r="M62" s="3" t="n"/>
    </row>
    <row r="63" ht="100" customHeight="1">
      <c r="A63" s="37" t="inlineStr">
        <is>
          <t>Workshop rules</t>
        </is>
      </c>
      <c r="B63" s="37" t="n"/>
      <c r="C63" s="37" t="n"/>
      <c r="D63" s="37" t="n"/>
      <c r="E63" s="37" t="n"/>
      <c r="F63" s="37" t="n"/>
      <c r="G63" s="37" t="n"/>
      <c r="H63" s="37" t="n"/>
      <c r="I63" s="37" t="n"/>
      <c r="J63" s="37" t="n"/>
      <c r="K63" s="37" t="n"/>
      <c r="L63" s="37" t="n"/>
      <c r="M63" s="37" t="n"/>
    </row>
    <row r="64" ht="100" customHeight="1">
      <c r="A64" s="3" t="inlineStr">
        <is>
          <t>Scenario construction</t>
        </is>
      </c>
      <c r="B64" s="3" t="inlineStr">
        <is>
          <t>Select low / medium / high independently for each input. Do not select all highs and call it high demand.</t>
        </is>
      </c>
      <c r="C64" s="3" t="n"/>
      <c r="D64" s="3" t="n"/>
      <c r="E64" s="3" t="n"/>
      <c r="F64" s="3" t="n"/>
      <c r="G64" s="3" t="n"/>
      <c r="H64" s="3" t="n"/>
      <c r="I64" s="3" t="inlineStr">
        <is>
          <t>Medium is a proposed reference, not an approved baseline.</t>
        </is>
      </c>
      <c r="J64" s="3" t="inlineStr">
        <is>
          <t>Keep supply utilisation, yields and restarts on an independent supply axis.</t>
        </is>
      </c>
      <c r="K64" s="3" t="n"/>
      <c r="L64" s="3" t="inlineStr">
        <is>
          <t>Nigel / Henry</t>
        </is>
      </c>
      <c r="M64" s="3" t="n"/>
    </row>
    <row r="65" ht="100" customHeight="1">
      <c r="A65" s="3" t="inlineStr">
        <is>
          <t>Annual paths</t>
        </is>
      </c>
      <c r="B65" s="3" t="inlineStr">
        <is>
          <t>Endpoints do not define the intervening years.</t>
        </is>
      </c>
      <c r="C65" s="3" t="n"/>
      <c r="D65" s="3" t="n"/>
      <c r="E65" s="3" t="n"/>
      <c r="F65" s="3" t="n"/>
      <c r="G65" s="3" t="n"/>
      <c r="H65" s="3" t="n"/>
      <c r="I65" s="3" t="inlineStr">
        <is>
          <t>Agree opening observation, timing, ramp, constraints and post-2035 treatment.</t>
        </is>
      </c>
      <c r="J65" s="3" t="inlineStr">
        <is>
          <t>Reconcile provincial weighted adoption with a national target when one is imposed.</t>
        </is>
      </c>
      <c r="K65" s="3" t="n"/>
      <c r="L65" s="3" t="inlineStr">
        <is>
          <t>Manish / Nigel</t>
        </is>
      </c>
      <c r="M65" s="3" t="n"/>
    </row>
    <row r="66" ht="52" customHeight="1">
      <c r="A66" s="3" t="n"/>
      <c r="B66" s="3" t="n"/>
      <c r="C66" s="3" t="n"/>
      <c r="D66" s="3" t="n"/>
      <c r="E66" s="3" t="n"/>
      <c r="F66" s="3" t="n"/>
      <c r="G66" s="3" t="n"/>
      <c r="H66" s="3" t="n"/>
      <c r="I66" s="3" t="n"/>
      <c r="J66" s="3" t="n"/>
      <c r="K66" s="3" t="n"/>
      <c r="L66" s="3" t="n"/>
      <c r="M66" s="3" t="n"/>
    </row>
    <row r="67" ht="52" customHeight="1">
      <c r="A67" s="3" t="n"/>
      <c r="B67" s="3" t="n"/>
      <c r="C67" s="3" t="n"/>
      <c r="D67" s="3" t="n"/>
      <c r="E67" s="3" t="n"/>
      <c r="F67" s="3" t="n"/>
      <c r="G67" s="3" t="n"/>
      <c r="H67" s="3" t="n"/>
      <c r="I67" s="3" t="n"/>
      <c r="J67" s="3" t="n"/>
      <c r="K67" s="3" t="n"/>
      <c r="L67" s="3" t="n"/>
      <c r="M67" s="3" t="n"/>
    </row>
    <row r="68" ht="52" customHeight="1">
      <c r="A68" s="3" t="n"/>
      <c r="B68" s="3" t="n"/>
      <c r="C68" s="3" t="n"/>
      <c r="D68" s="3" t="n"/>
      <c r="E68" s="3" t="n"/>
      <c r="F68" s="3" t="n"/>
      <c r="G68" s="3" t="n"/>
      <c r="H68" s="3" t="n"/>
      <c r="I68" s="3" t="n"/>
      <c r="J68" s="3" t="n"/>
      <c r="K68" s="3" t="n"/>
      <c r="L68" s="3" t="n"/>
      <c r="M68" s="3" t="n"/>
    </row>
    <row r="69" ht="52" customHeight="1">
      <c r="A69" s="3" t="n"/>
      <c r="B69" s="3" t="n"/>
      <c r="C69" s="3" t="n"/>
      <c r="D69" s="3" t="n"/>
      <c r="E69" s="3" t="n"/>
      <c r="F69" s="3" t="n"/>
      <c r="G69" s="3" t="n"/>
      <c r="H69" s="3" t="n"/>
      <c r="I69" s="3" t="n"/>
      <c r="J69" s="3" t="n"/>
      <c r="K69" s="3" t="n"/>
      <c r="L69" s="3" t="n"/>
      <c r="M69" s="3" t="n"/>
    </row>
    <row r="70" ht="52" customHeight="1">
      <c r="A70" s="3" t="n"/>
      <c r="B70" s="3" t="n"/>
      <c r="C70" s="3" t="n"/>
      <c r="D70" s="3" t="n"/>
      <c r="E70" s="3" t="n"/>
      <c r="F70" s="3" t="n"/>
      <c r="G70" s="3" t="n"/>
      <c r="H70" s="3" t="n"/>
      <c r="I70" s="3" t="n"/>
      <c r="J70" s="3" t="n"/>
      <c r="K70" s="3" t="n"/>
      <c r="L70" s="3" t="n"/>
      <c r="M70" s="3" t="n"/>
    </row>
    <row r="71" ht="52" customHeight="1">
      <c r="A71" s="3" t="n"/>
      <c r="B71" s="3" t="n"/>
      <c r="C71" s="3" t="n"/>
      <c r="D71" s="3" t="n"/>
      <c r="E71" s="3" t="n"/>
      <c r="F71" s="3" t="n"/>
      <c r="G71" s="3" t="n"/>
      <c r="H71" s="3" t="n"/>
      <c r="I71" s="3" t="n"/>
      <c r="J71" s="3" t="n"/>
      <c r="K71" s="3" t="n"/>
      <c r="L71" s="3" t="n"/>
      <c r="M71" s="3" t="n"/>
    </row>
    <row r="72" ht="52" customHeight="1">
      <c r="A72" s="3" t="n"/>
      <c r="B72" s="3" t="n"/>
      <c r="C72" s="3" t="n"/>
      <c r="D72" s="3" t="n"/>
      <c r="E72" s="3" t="n"/>
      <c r="F72" s="3" t="n"/>
      <c r="G72" s="3" t="n"/>
      <c r="H72" s="3" t="n"/>
      <c r="I72" s="3" t="n"/>
      <c r="J72" s="3" t="n"/>
      <c r="K72" s="3" t="n"/>
      <c r="L72" s="3" t="n"/>
      <c r="M72" s="3" t="n"/>
    </row>
    <row r="73" ht="52" customHeight="1">
      <c r="A73" s="3" t="n"/>
      <c r="B73" s="3" t="n"/>
      <c r="C73" s="3" t="n"/>
      <c r="D73" s="3" t="n"/>
      <c r="E73" s="3" t="n"/>
      <c r="F73" s="3" t="n"/>
      <c r="G73" s="3" t="n"/>
      <c r="H73" s="3" t="n"/>
      <c r="I73" s="3" t="n"/>
      <c r="J73" s="3" t="n"/>
      <c r="K73" s="3" t="n"/>
      <c r="L73" s="3" t="n"/>
      <c r="M73" s="3" t="n"/>
    </row>
    <row r="74" ht="52" customHeight="1">
      <c r="A74" s="3" t="n"/>
      <c r="B74" s="3" t="n"/>
      <c r="C74" s="3" t="n"/>
      <c r="D74" s="3" t="n"/>
      <c r="E74" s="3" t="n"/>
      <c r="F74" s="3" t="n"/>
      <c r="G74" s="3" t="n"/>
      <c r="H74" s="3" t="n"/>
      <c r="I74" s="3" t="n"/>
      <c r="J74" s="3" t="n"/>
      <c r="K74" s="3" t="n"/>
      <c r="L74" s="3" t="n"/>
      <c r="M74" s="3" t="n"/>
    </row>
    <row r="75" ht="52" customHeight="1">
      <c r="A75" s="3" t="n"/>
      <c r="B75" s="3" t="n"/>
      <c r="C75" s="3" t="n"/>
      <c r="D75" s="3" t="n"/>
      <c r="E75" s="3" t="n"/>
      <c r="F75" s="3" t="n"/>
      <c r="G75" s="3" t="n"/>
      <c r="H75" s="3" t="n"/>
      <c r="I75" s="3" t="n"/>
      <c r="J75" s="3" t="n"/>
      <c r="K75" s="3" t="n"/>
      <c r="L75" s="3" t="n"/>
      <c r="M75" s="3" t="n"/>
    </row>
    <row r="76" ht="52" customHeight="1">
      <c r="A76" s="3" t="n"/>
      <c r="B76" s="3" t="n"/>
      <c r="C76" s="3" t="n"/>
      <c r="D76" s="3" t="n"/>
      <c r="E76" s="3" t="n"/>
      <c r="F76" s="3" t="n"/>
      <c r="G76" s="3" t="n"/>
      <c r="H76" s="3" t="n"/>
      <c r="I76" s="3" t="n"/>
      <c r="J76" s="3" t="n"/>
      <c r="K76" s="3" t="n"/>
      <c r="L76" s="3" t="n"/>
      <c r="M76" s="3" t="n"/>
    </row>
    <row r="77" ht="52" customHeight="1">
      <c r="A77" s="3" t="n"/>
      <c r="B77" s="3" t="n"/>
      <c r="C77" s="3" t="n"/>
      <c r="D77" s="3" t="n"/>
      <c r="E77" s="3" t="n"/>
      <c r="F77" s="3" t="n"/>
      <c r="G77" s="3" t="n"/>
      <c r="H77" s="3" t="n"/>
      <c r="I77" s="3" t="n"/>
      <c r="J77" s="3" t="n"/>
      <c r="K77" s="3" t="n"/>
      <c r="L77" s="3" t="n"/>
      <c r="M77" s="3" t="n"/>
    </row>
    <row r="78" ht="52" customHeight="1">
      <c r="A78" s="3" t="n"/>
      <c r="B78" s="3" t="n"/>
      <c r="C78" s="3" t="n"/>
      <c r="D78" s="3" t="n"/>
      <c r="E78" s="3" t="n"/>
      <c r="F78" s="3" t="n"/>
      <c r="G78" s="3" t="n"/>
      <c r="H78" s="3" t="n"/>
      <c r="I78" s="3" t="n"/>
      <c r="J78" s="3" t="n"/>
      <c r="K78" s="3" t="n"/>
      <c r="L78" s="3" t="n"/>
      <c r="M78" s="3" t="n"/>
    </row>
    <row r="79" ht="52" customHeight="1">
      <c r="A79" s="3" t="n"/>
      <c r="B79" s="3" t="n"/>
      <c r="C79" s="3" t="n"/>
      <c r="D79" s="3" t="n"/>
      <c r="E79" s="3" t="n"/>
      <c r="F79" s="3" t="n"/>
      <c r="G79" s="3" t="n"/>
      <c r="H79" s="3" t="n"/>
      <c r="I79" s="3" t="n"/>
      <c r="J79" s="3" t="n"/>
      <c r="K79" s="3" t="n"/>
      <c r="L79" s="3" t="n"/>
      <c r="M79" s="3" t="n"/>
    </row>
    <row r="80" ht="52" customHeight="1">
      <c r="A80" s="3" t="n"/>
      <c r="B80" s="3" t="n"/>
      <c r="C80" s="3" t="n"/>
      <c r="D80" s="3" t="n"/>
      <c r="E80" s="3" t="n"/>
      <c r="F80" s="3" t="n"/>
      <c r="G80" s="3" t="n"/>
      <c r="H80" s="3" t="n"/>
      <c r="I80" s="3" t="n"/>
      <c r="J80" s="3" t="n"/>
      <c r="K80" s="3" t="n"/>
      <c r="L80" s="3" t="n"/>
      <c r="M80" s="3" t="n"/>
    </row>
    <row r="81" ht="52" customHeight="1">
      <c r="A81" s="3" t="n"/>
      <c r="B81" s="3" t="n"/>
      <c r="C81" s="3" t="n"/>
      <c r="D81" s="3" t="n"/>
      <c r="E81" s="3" t="n"/>
      <c r="F81" s="3" t="n"/>
      <c r="G81" s="3" t="n"/>
      <c r="H81" s="3" t="n"/>
      <c r="I81" s="3" t="n"/>
      <c r="J81" s="3" t="n"/>
      <c r="K81" s="3" t="n"/>
      <c r="L81" s="3" t="n"/>
      <c r="M81" s="3" t="n"/>
    </row>
    <row r="82" ht="52" customHeight="1">
      <c r="A82" s="3" t="n"/>
      <c r="B82" s="3" t="n"/>
      <c r="C82" s="3" t="n"/>
      <c r="D82" s="3" t="n"/>
      <c r="E82" s="3" t="n"/>
      <c r="F82" s="3" t="n"/>
      <c r="G82" s="3" t="n"/>
      <c r="H82" s="3" t="n"/>
      <c r="I82" s="3" t="n"/>
      <c r="J82" s="3" t="n"/>
      <c r="K82" s="3" t="n"/>
      <c r="L82" s="3" t="n"/>
      <c r="M82" s="3" t="n"/>
    </row>
    <row r="83" ht="52" customHeight="1">
      <c r="A83" s="3" t="n"/>
      <c r="B83" s="3" t="n"/>
      <c r="C83" s="3" t="n"/>
      <c r="D83" s="3" t="n"/>
      <c r="E83" s="3" t="n"/>
      <c r="F83" s="3" t="n"/>
      <c r="G83" s="3" t="n"/>
      <c r="H83" s="3" t="n"/>
      <c r="I83" s="3" t="n"/>
      <c r="J83" s="3" t="n"/>
      <c r="K83" s="3" t="n"/>
      <c r="L83" s="3" t="n"/>
      <c r="M83" s="3" t="n"/>
    </row>
    <row r="84" ht="52" customHeight="1">
      <c r="A84" s="3" t="n"/>
      <c r="B84" s="3" t="n"/>
      <c r="C84" s="3" t="n"/>
      <c r="D84" s="3" t="n"/>
      <c r="E84" s="3" t="n"/>
      <c r="F84" s="3" t="n"/>
      <c r="G84" s="3" t="n"/>
      <c r="H84" s="3" t="n"/>
      <c r="I84" s="3" t="n"/>
      <c r="J84" s="3" t="n"/>
      <c r="K84" s="3" t="n"/>
      <c r="L84" s="3" t="n"/>
      <c r="M84" s="3" t="n"/>
    </row>
    <row r="85" ht="52" customHeight="1">
      <c r="A85" s="3" t="n"/>
      <c r="B85" s="3" t="n"/>
      <c r="C85" s="3" t="n"/>
      <c r="D85" s="3" t="n"/>
      <c r="E85" s="3" t="n"/>
      <c r="F85" s="3" t="n"/>
      <c r="G85" s="3" t="n"/>
      <c r="H85" s="3" t="n"/>
      <c r="I85" s="3" t="n"/>
      <c r="J85" s="3" t="n"/>
      <c r="K85" s="3" t="n"/>
      <c r="L85" s="3" t="n"/>
      <c r="M85" s="3" t="n"/>
    </row>
    <row r="86" ht="52" customHeight="1">
      <c r="A86" s="3" t="n"/>
      <c r="B86" s="3" t="n"/>
      <c r="C86" s="3" t="n"/>
      <c r="D86" s="3" t="n"/>
      <c r="E86" s="3" t="n"/>
      <c r="F86" s="3" t="n"/>
      <c r="G86" s="3" t="n"/>
      <c r="H86" s="3" t="n"/>
      <c r="I86" s="3" t="n"/>
      <c r="J86" s="3" t="n"/>
      <c r="K86" s="3" t="n"/>
      <c r="L86" s="3" t="n"/>
      <c r="M86" s="3" t="n"/>
    </row>
    <row r="87" ht="52" customHeight="1">
      <c r="A87" s="3" t="n"/>
      <c r="B87" s="3" t="n"/>
      <c r="C87" s="3" t="n"/>
      <c r="D87" s="3" t="n"/>
      <c r="E87" s="3" t="n"/>
      <c r="F87" s="3" t="n"/>
      <c r="G87" s="3" t="n"/>
      <c r="H87" s="3" t="n"/>
      <c r="I87" s="3" t="n"/>
      <c r="J87" s="3" t="n"/>
      <c r="K87" s="3" t="n"/>
      <c r="L87" s="3" t="n"/>
      <c r="M87" s="3" t="n"/>
    </row>
    <row r="88" ht="52" customHeight="1">
      <c r="A88" s="3" t="n"/>
      <c r="B88" s="3" t="n"/>
      <c r="C88" s="3" t="n"/>
      <c r="D88" s="3" t="n"/>
      <c r="E88" s="3" t="n"/>
      <c r="F88" s="3" t="n"/>
      <c r="G88" s="3" t="n"/>
      <c r="H88" s="3" t="n"/>
      <c r="I88" s="3" t="n"/>
      <c r="J88" s="3" t="n"/>
      <c r="K88" s="3" t="n"/>
      <c r="L88" s="3" t="n"/>
      <c r="M88" s="3" t="n"/>
    </row>
    <row r="89" ht="52" customHeight="1">
      <c r="A89" s="3" t="n"/>
      <c r="B89" s="3" t="n"/>
      <c r="C89" s="3" t="n"/>
      <c r="D89" s="3" t="n"/>
      <c r="E89" s="3" t="n"/>
      <c r="F89" s="3" t="n"/>
      <c r="G89" s="3" t="n"/>
      <c r="H89" s="3" t="n"/>
      <c r="I89" s="3" t="n"/>
      <c r="J89" s="3" t="n"/>
      <c r="K89" s="3" t="n"/>
      <c r="L89" s="3" t="n"/>
      <c r="M89" s="3" t="n"/>
    </row>
    <row r="90" ht="52" customHeight="1">
      <c r="A90" s="3" t="n"/>
      <c r="B90" s="3" t="n"/>
      <c r="C90" s="3" t="n"/>
      <c r="D90" s="3" t="n"/>
      <c r="E90" s="3" t="n"/>
      <c r="F90" s="3" t="n"/>
      <c r="G90" s="3" t="n"/>
      <c r="H90" s="3" t="n"/>
      <c r="I90" s="3" t="n"/>
      <c r="J90" s="3" t="n"/>
      <c r="K90" s="3" t="n"/>
      <c r="L90" s="3" t="n"/>
      <c r="M90" s="3"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V1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7" customWidth="1" min="3" max="3"/>
    <col width="15" customWidth="1" min="4" max="4"/>
    <col width="44"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26" customWidth="1" min="20" max="20"/>
    <col width="44" customWidth="1" min="21" max="21"/>
    <col width="44" customWidth="1" min="22" max="22"/>
  </cols>
  <sheetData>
    <row r="1">
      <c r="A1" s="149" t="inlineStr">
        <is>
          <t>Historical baseline, 2012-2025</t>
        </is>
      </c>
    </row>
    <row r="2">
      <c r="A2" s="1" t="inlineStr">
        <is>
          <t>Layout follows the table drawn at the 7 October check-in. Observations are values from the registered inputs; totals and balances are formulas. Million litres a year, calendar years unless a row says otherwise.</t>
        </is>
      </c>
    </row>
    <row r="4">
      <c r="A4" s="150" t="inlineStr">
        <is>
          <t>Driver / output</t>
        </is>
      </c>
      <c r="B4" s="150" t="inlineStr">
        <is>
          <t>Unit</t>
        </is>
      </c>
      <c r="C4" s="150" t="inlineStr">
        <is>
          <t>Role</t>
        </is>
      </c>
      <c r="D4" s="150" t="inlineStr">
        <is>
          <t>Scalar / latest value</t>
        </is>
      </c>
      <c r="E4" s="150" t="inlineStr">
        <is>
          <t>Definition / period</t>
        </is>
      </c>
      <c r="F4" s="150" t="n">
        <v>2012</v>
      </c>
      <c r="G4" s="150" t="n">
        <v>2013</v>
      </c>
      <c r="H4" s="150" t="n">
        <v>2014</v>
      </c>
      <c r="I4" s="150" t="n">
        <v>2015</v>
      </c>
      <c r="J4" s="150" t="n">
        <v>2016</v>
      </c>
      <c r="K4" s="150" t="n">
        <v>2017</v>
      </c>
      <c r="L4" s="150" t="n">
        <v>2018</v>
      </c>
      <c r="M4" s="150" t="n">
        <v>2019</v>
      </c>
      <c r="N4" s="150" t="n">
        <v>2020</v>
      </c>
      <c r="O4" s="150" t="n">
        <v>2021</v>
      </c>
      <c r="P4" s="150" t="n">
        <v>2022</v>
      </c>
      <c r="Q4" s="150" t="n">
        <v>2023</v>
      </c>
      <c r="R4" s="150" t="n">
        <v>2024</v>
      </c>
      <c r="S4" s="150" t="n">
        <v>2025</v>
      </c>
      <c r="T4" s="150" t="inlineStr">
        <is>
          <t>Coverage / status</t>
        </is>
      </c>
      <c r="U4" s="150" t="inlineStr">
        <is>
          <t>Source</t>
        </is>
      </c>
      <c r="V4" s="150" t="inlineStr">
        <is>
          <t>Missing evidence / next action</t>
        </is>
      </c>
    </row>
    <row r="5">
      <c r="A5" s="151" t="inlineStr">
        <is>
          <t>1. Department sales by province: petrol</t>
        </is>
      </c>
      <c r="B5" s="151" t="n"/>
      <c r="C5" s="151" t="n"/>
      <c r="D5" s="151" t="n"/>
      <c r="E5" s="151" t="n"/>
      <c r="F5" s="151" t="n"/>
      <c r="G5" s="151" t="n"/>
      <c r="H5" s="151" t="n"/>
      <c r="I5" s="151" t="n"/>
      <c r="J5" s="151" t="n"/>
      <c r="K5" s="151" t="n"/>
      <c r="L5" s="151" t="n"/>
      <c r="M5" s="151" t="n"/>
      <c r="N5" s="151" t="n"/>
      <c r="O5" s="151" t="n"/>
      <c r="P5" s="151" t="n"/>
      <c r="Q5" s="151" t="n"/>
      <c r="R5" s="151" t="n"/>
      <c r="S5" s="151" t="n"/>
      <c r="T5" s="151" t="n"/>
      <c r="U5" s="151" t="n"/>
      <c r="V5" s="151" t="n"/>
    </row>
    <row r="6">
      <c r="A6" s="152" t="inlineStr">
        <is>
          <t>Gauteng petrol</t>
        </is>
      </c>
      <c r="B6" s="153" t="inlineStr">
        <is>
          <t>million L/year</t>
        </is>
      </c>
      <c r="C6" s="153" t="inlineStr">
        <is>
          <t>Observation to 2022; estimate after</t>
        </is>
      </c>
      <c r="D6" s="154" t="n"/>
      <c r="E6" s="152" t="inlineStr">
        <is>
          <t>District-level sales summed to province, 2013-2022. Shows where fuel was sold, not where it was used. 2023 (yellow, italic) holds ESTIMATES from section 6, not department data; 2024 and 2025 are blank.</t>
        </is>
      </c>
      <c r="F6" s="154" t="n"/>
      <c r="G6" s="154" t="n">
        <v>4171.983524</v>
      </c>
      <c r="H6" s="154" t="n">
        <v>3979.997125</v>
      </c>
      <c r="I6" s="154" t="n">
        <v>4119.366712</v>
      </c>
      <c r="J6" s="154" t="n">
        <v>4176.977822376999</v>
      </c>
      <c r="K6" s="154" t="n">
        <v>4088.405053397992</v>
      </c>
      <c r="L6" s="154" t="n">
        <v>3997.042005330989</v>
      </c>
      <c r="M6" s="154" t="n">
        <v>4076.24462588499</v>
      </c>
      <c r="N6" s="154" t="n">
        <v>3135.066820591998</v>
      </c>
      <c r="O6" s="154" t="n">
        <v>3440.817407428995</v>
      </c>
      <c r="P6" s="154" t="n">
        <v>3530.440256933996</v>
      </c>
      <c r="Q6" s="155">
        <f>IF(ISNUMBER(Q86),Q86,"")</f>
        <v/>
      </c>
      <c r="R6" s="155">
        <f>IF(ISNUMBER(R86),R86,"")</f>
        <v/>
      </c>
      <c r="S6" s="155">
        <f>IF(ISNUMBER(S86),S86,"")</f>
        <v/>
      </c>
      <c r="T6" s="152" t="inlineStr">
        <is>
          <t>2013-2022 observed; 2023-2025 estimated</t>
        </is>
      </c>
      <c r="U6" s="152" t="inlineStr">
        <is>
          <t>Department of Mineral and Petroleum Resources, sales volumes, district workbooks; estimates: see section 6</t>
        </is>
      </c>
      <c r="V6" s="152" t="inlineStr">
        <is>
          <t>Replace the estimates when the department publishes district data after 2023 quarter 1</t>
        </is>
      </c>
    </row>
    <row r="7">
      <c r="A7" s="152" t="inlineStr">
        <is>
          <t>KwaZulu-Natal petrol</t>
        </is>
      </c>
      <c r="B7" s="153" t="inlineStr">
        <is>
          <t>million L/year</t>
        </is>
      </c>
      <c r="C7" s="153" t="inlineStr">
        <is>
          <t>Observation to 2022; estimate after</t>
        </is>
      </c>
      <c r="D7" s="154" t="n"/>
      <c r="E7" s="152" t="inlineStr">
        <is>
          <t>District-level sales summed to province, 2013-2022. Shows where fuel was sold, not where it was used. 2023 (yellow, italic) holds ESTIMATES from section 6, not department data; 2024 and 2025 are blank.</t>
        </is>
      </c>
      <c r="F7" s="154" t="n"/>
      <c r="G7" s="154" t="n">
        <v>1812.811997</v>
      </c>
      <c r="H7" s="154" t="n">
        <v>1720.802481</v>
      </c>
      <c r="I7" s="154" t="n">
        <v>1787.55299</v>
      </c>
      <c r="J7" s="154" t="n">
        <v>1765.676202214999</v>
      </c>
      <c r="K7" s="154" t="n">
        <v>1725.656013445999</v>
      </c>
      <c r="L7" s="154" t="n">
        <v>1631.980330118998</v>
      </c>
      <c r="M7" s="154" t="n">
        <v>1678.493347827998</v>
      </c>
      <c r="N7" s="154" t="n">
        <v>1448.369960555999</v>
      </c>
      <c r="O7" s="154" t="n">
        <v>1549.922121068</v>
      </c>
      <c r="P7" s="154" t="n">
        <v>1498.937893394999</v>
      </c>
      <c r="Q7" s="155">
        <f>IF(ISNUMBER(Q87),Q87,"")</f>
        <v/>
      </c>
      <c r="R7" s="155">
        <f>IF(ISNUMBER(R87),R87,"")</f>
        <v/>
      </c>
      <c r="S7" s="155">
        <f>IF(ISNUMBER(S87),S87,"")</f>
        <v/>
      </c>
      <c r="T7" s="152" t="inlineStr">
        <is>
          <t>2013-2022 observed; 2023-2025 estimated</t>
        </is>
      </c>
      <c r="U7" s="152" t="inlineStr">
        <is>
          <t>Department of Mineral and Petroleum Resources, sales volumes, district workbooks; estimates: see section 6</t>
        </is>
      </c>
      <c r="V7" s="152" t="inlineStr">
        <is>
          <t>Replace the estimates when the department publishes district data after 2023 quarter 1</t>
        </is>
      </c>
    </row>
    <row r="8">
      <c r="A8" s="152" t="inlineStr">
        <is>
          <t>Western Cape petrol</t>
        </is>
      </c>
      <c r="B8" s="153" t="inlineStr">
        <is>
          <t>million L/year</t>
        </is>
      </c>
      <c r="C8" s="153" t="inlineStr">
        <is>
          <t>Observation to 2022; estimate after</t>
        </is>
      </c>
      <c r="D8" s="154" t="n"/>
      <c r="E8" s="152" t="inlineStr">
        <is>
          <t>District-level sales summed to province, 2013-2022. Shows where fuel was sold, not where it was used. 2023 (yellow, italic) holds ESTIMATES from section 6, not department data; 2024 and 2025 are blank.</t>
        </is>
      </c>
      <c r="F8" s="154" t="n"/>
      <c r="G8" s="154" t="n">
        <v>1723.881868</v>
      </c>
      <c r="H8" s="154" t="n">
        <v>1721.127181</v>
      </c>
      <c r="I8" s="154" t="n">
        <v>1745.448213</v>
      </c>
      <c r="J8" s="154" t="n">
        <v>1825.199833514999</v>
      </c>
      <c r="K8" s="154" t="n">
        <v>1773.042771191996</v>
      </c>
      <c r="L8" s="154" t="n">
        <v>1693.799014629997</v>
      </c>
      <c r="M8" s="154" t="n">
        <v>1657.998099955999</v>
      </c>
      <c r="N8" s="154" t="n">
        <v>1307.477143670998</v>
      </c>
      <c r="O8" s="154" t="n">
        <v>1401.742918922</v>
      </c>
      <c r="P8" s="154" t="n">
        <v>1431.005460082997</v>
      </c>
      <c r="Q8" s="155">
        <f>IF(ISNUMBER(Q88),Q88,"")</f>
        <v/>
      </c>
      <c r="R8" s="155">
        <f>IF(ISNUMBER(R88),R88,"")</f>
        <v/>
      </c>
      <c r="S8" s="155">
        <f>IF(ISNUMBER(S88),S88,"")</f>
        <v/>
      </c>
      <c r="T8" s="152" t="inlineStr">
        <is>
          <t>2013-2022 observed; 2023-2025 estimated</t>
        </is>
      </c>
      <c r="U8" s="152" t="inlineStr">
        <is>
          <t>Department of Mineral and Petroleum Resources, sales volumes, district workbooks; estimates: see section 6</t>
        </is>
      </c>
      <c r="V8" s="152" t="inlineStr">
        <is>
          <t>Replace the estimates when the department publishes district data after 2023 quarter 1</t>
        </is>
      </c>
    </row>
    <row r="9">
      <c r="A9" s="152" t="inlineStr">
        <is>
          <t>Eastern Cape petrol</t>
        </is>
      </c>
      <c r="B9" s="153" t="inlineStr">
        <is>
          <t>million L/year</t>
        </is>
      </c>
      <c r="C9" s="153" t="inlineStr">
        <is>
          <t>Observation to 2022; estimate after</t>
        </is>
      </c>
      <c r="D9" s="154" t="n"/>
      <c r="E9" s="152" t="inlineStr">
        <is>
          <t>District-level sales summed to province, 2013-2022. Shows where fuel was sold, not where it was used. 2023 (yellow, italic) holds ESTIMATES from section 6, not department data; 2024 and 2025 are blank.</t>
        </is>
      </c>
      <c r="F9" s="154" t="n"/>
      <c r="G9" s="154" t="n">
        <v>803.774683</v>
      </c>
      <c r="H9" s="154" t="n">
        <v>819.491591</v>
      </c>
      <c r="I9" s="154" t="n">
        <v>869.8724989999999</v>
      </c>
      <c r="J9" s="154" t="n">
        <v>857.7412373969998</v>
      </c>
      <c r="K9" s="154" t="n">
        <v>831.6881186979991</v>
      </c>
      <c r="L9" s="154" t="n">
        <v>809.7136954959999</v>
      </c>
      <c r="M9" s="154" t="n">
        <v>793.1127999850002</v>
      </c>
      <c r="N9" s="154" t="n">
        <v>678.8019054649999</v>
      </c>
      <c r="O9" s="154" t="n">
        <v>734.7899636659989</v>
      </c>
      <c r="P9" s="154" t="n">
        <v>703.132444716999</v>
      </c>
      <c r="Q9" s="155">
        <f>IF(ISNUMBER(Q89),Q89,"")</f>
        <v/>
      </c>
      <c r="R9" s="155">
        <f>IF(ISNUMBER(R89),R89,"")</f>
        <v/>
      </c>
      <c r="S9" s="155">
        <f>IF(ISNUMBER(S89),S89,"")</f>
        <v/>
      </c>
      <c r="T9" s="152" t="inlineStr">
        <is>
          <t>2013-2022 observed; 2023-2025 estimated</t>
        </is>
      </c>
      <c r="U9" s="152" t="inlineStr">
        <is>
          <t>Department of Mineral and Petroleum Resources, sales volumes, district workbooks; estimates: see section 6</t>
        </is>
      </c>
      <c r="V9" s="152" t="inlineStr">
        <is>
          <t>Replace the estimates when the department publishes district data after 2023 quarter 1</t>
        </is>
      </c>
    </row>
    <row r="10">
      <c r="A10" s="152" t="inlineStr">
        <is>
          <t>Mpumalanga petrol</t>
        </is>
      </c>
      <c r="B10" s="153" t="inlineStr">
        <is>
          <t>million L/year</t>
        </is>
      </c>
      <c r="C10" s="153" t="inlineStr">
        <is>
          <t>Observation to 2022; estimate after</t>
        </is>
      </c>
      <c r="D10" s="154" t="n"/>
      <c r="E10" s="152" t="inlineStr">
        <is>
          <t>District-level sales summed to province, 2013-2022. Shows where fuel was sold, not where it was used. 2023 (yellow, italic) holds ESTIMATES from section 6, not department data; 2024 and 2025 are blank.</t>
        </is>
      </c>
      <c r="F10" s="154" t="n"/>
      <c r="G10" s="154" t="n">
        <v>831.700207</v>
      </c>
      <c r="H10" s="154" t="n">
        <v>827.866839</v>
      </c>
      <c r="I10" s="154" t="n">
        <v>955.039003</v>
      </c>
      <c r="J10" s="154" t="n">
        <v>1029.394273387</v>
      </c>
      <c r="K10" s="154" t="n">
        <v>962.780173855999</v>
      </c>
      <c r="L10" s="154" t="n">
        <v>879.9551351020001</v>
      </c>
      <c r="M10" s="154" t="n">
        <v>801.5741130669999</v>
      </c>
      <c r="N10" s="154" t="n">
        <v>690.5111551299999</v>
      </c>
      <c r="O10" s="154" t="n">
        <v>661.62120883</v>
      </c>
      <c r="P10" s="154" t="n">
        <v>612.2656460789989</v>
      </c>
      <c r="Q10" s="155">
        <f>IF(ISNUMBER(Q90),Q90,"")</f>
        <v/>
      </c>
      <c r="R10" s="155">
        <f>IF(ISNUMBER(R90),R90,"")</f>
        <v/>
      </c>
      <c r="S10" s="155">
        <f>IF(ISNUMBER(S90),S90,"")</f>
        <v/>
      </c>
      <c r="T10" s="152" t="inlineStr">
        <is>
          <t>2013-2022 observed; 2023-2025 estimated</t>
        </is>
      </c>
      <c r="U10" s="152" t="inlineStr">
        <is>
          <t>Department of Mineral and Petroleum Resources, sales volumes, district workbooks; estimates: see section 6</t>
        </is>
      </c>
      <c r="V10" s="152" t="inlineStr">
        <is>
          <t>Replace the estimates when the department publishes district data after 2023 quarter 1</t>
        </is>
      </c>
    </row>
    <row r="11">
      <c r="A11" s="152" t="inlineStr">
        <is>
          <t>Free State petrol</t>
        </is>
      </c>
      <c r="B11" s="153" t="inlineStr">
        <is>
          <t>million L/year</t>
        </is>
      </c>
      <c r="C11" s="153" t="inlineStr">
        <is>
          <t>Observation to 2022; estimate after</t>
        </is>
      </c>
      <c r="D11" s="154" t="n"/>
      <c r="E11" s="152" t="inlineStr">
        <is>
          <t>District-level sales summed to province, 2013-2022. Shows where fuel was sold, not where it was used. 2023 (yellow, italic) holds ESTIMATES from section 6, not department data; 2024 and 2025 are blank.</t>
        </is>
      </c>
      <c r="F11" s="154" t="n"/>
      <c r="G11" s="154" t="n">
        <v>966.969476</v>
      </c>
      <c r="H11" s="154" t="n">
        <v>936.721229</v>
      </c>
      <c r="I11" s="154" t="n">
        <v>921.287592</v>
      </c>
      <c r="J11" s="154" t="n">
        <v>814.793779638</v>
      </c>
      <c r="K11" s="154" t="n">
        <v>813.970951595</v>
      </c>
      <c r="L11" s="154" t="n">
        <v>970.6248663350001</v>
      </c>
      <c r="M11" s="154" t="n">
        <v>824.69138896</v>
      </c>
      <c r="N11" s="154" t="n">
        <v>724.0952293349998</v>
      </c>
      <c r="O11" s="154" t="n">
        <v>694.6956084940001</v>
      </c>
      <c r="P11" s="154" t="n">
        <v>587.4580081820001</v>
      </c>
      <c r="Q11" s="155">
        <f>IF(ISNUMBER(Q91),Q91,"")</f>
        <v/>
      </c>
      <c r="R11" s="155">
        <f>IF(ISNUMBER(R91),R91,"")</f>
        <v/>
      </c>
      <c r="S11" s="155">
        <f>IF(ISNUMBER(S91),S91,"")</f>
        <v/>
      </c>
      <c r="T11" s="152" t="inlineStr">
        <is>
          <t>2013-2022 observed; 2023-2025 estimated</t>
        </is>
      </c>
      <c r="U11" s="152" t="inlineStr">
        <is>
          <t>Department of Mineral and Petroleum Resources, sales volumes, district workbooks; estimates: see section 6</t>
        </is>
      </c>
      <c r="V11" s="152" t="inlineStr">
        <is>
          <t>Replace the estimates when the department publishes district data after 2023 quarter 1</t>
        </is>
      </c>
    </row>
    <row r="12">
      <c r="A12" s="152" t="inlineStr">
        <is>
          <t>North West petrol</t>
        </is>
      </c>
      <c r="B12" s="153" t="inlineStr">
        <is>
          <t>million L/year</t>
        </is>
      </c>
      <c r="C12" s="153" t="inlineStr">
        <is>
          <t>Observation to 2022; estimate after</t>
        </is>
      </c>
      <c r="D12" s="154" t="n"/>
      <c r="E12" s="152" t="inlineStr">
        <is>
          <t>District-level sales summed to province, 2013-2022. Shows where fuel was sold, not where it was used. 2023 (yellow, italic) holds ESTIMATES from section 6, not department data; 2024 and 2025 are blank.</t>
        </is>
      </c>
      <c r="F12" s="154" t="n"/>
      <c r="G12" s="154" t="n">
        <v>603.840792</v>
      </c>
      <c r="H12" s="154" t="n">
        <v>521.00824</v>
      </c>
      <c r="I12" s="154" t="n">
        <v>529.806494</v>
      </c>
      <c r="J12" s="154" t="n">
        <v>514.437385502</v>
      </c>
      <c r="K12" s="154" t="n">
        <v>514.143216471999</v>
      </c>
      <c r="L12" s="154" t="n">
        <v>477.701288098997</v>
      </c>
      <c r="M12" s="154" t="n">
        <v>488.9077239649991</v>
      </c>
      <c r="N12" s="154" t="n">
        <v>411.781362114999</v>
      </c>
      <c r="O12" s="154" t="n">
        <v>445.2178577829989</v>
      </c>
      <c r="P12" s="154" t="n">
        <v>448.1562321239999</v>
      </c>
      <c r="Q12" s="155">
        <f>IF(ISNUMBER(Q92),Q92,"")</f>
        <v/>
      </c>
      <c r="R12" s="155">
        <f>IF(ISNUMBER(R92),R92,"")</f>
        <v/>
      </c>
      <c r="S12" s="155">
        <f>IF(ISNUMBER(S92),S92,"")</f>
        <v/>
      </c>
      <c r="T12" s="152" t="inlineStr">
        <is>
          <t>2013-2022 observed; 2023-2025 estimated</t>
        </is>
      </c>
      <c r="U12" s="152" t="inlineStr">
        <is>
          <t>Department of Mineral and Petroleum Resources, sales volumes, district workbooks; estimates: see section 6</t>
        </is>
      </c>
      <c r="V12" s="152" t="inlineStr">
        <is>
          <t>Replace the estimates when the department publishes district data after 2023 quarter 1</t>
        </is>
      </c>
    </row>
    <row r="13">
      <c r="A13" s="152" t="inlineStr">
        <is>
          <t>Limpopo petrol</t>
        </is>
      </c>
      <c r="B13" s="153" t="inlineStr">
        <is>
          <t>million L/year</t>
        </is>
      </c>
      <c r="C13" s="153" t="inlineStr">
        <is>
          <t>Observation to 2022; estimate after</t>
        </is>
      </c>
      <c r="D13" s="154" t="n"/>
      <c r="E13" s="152" t="inlineStr">
        <is>
          <t>District-level sales summed to province, 2013-2022. Shows where fuel was sold, not where it was used. 2023 (yellow, italic) holds ESTIMATES from section 6, not department data; 2024 and 2025 are blank.</t>
        </is>
      </c>
      <c r="F13" s="154" t="n"/>
      <c r="G13" s="154" t="n">
        <v>403.187827</v>
      </c>
      <c r="H13" s="154" t="n">
        <v>382.400652</v>
      </c>
      <c r="I13" s="154" t="n">
        <v>410.456596</v>
      </c>
      <c r="J13" s="154" t="n">
        <v>357.192487984</v>
      </c>
      <c r="K13" s="154" t="n">
        <v>355.7936672359999</v>
      </c>
      <c r="L13" s="154" t="n">
        <v>366.571940750999</v>
      </c>
      <c r="M13" s="154" t="n">
        <v>350.0576575879999</v>
      </c>
      <c r="N13" s="154" t="n">
        <v>276.512089095</v>
      </c>
      <c r="O13" s="154" t="n">
        <v>276.417064935999</v>
      </c>
      <c r="P13" s="154" t="n">
        <v>273.644045045999</v>
      </c>
      <c r="Q13" s="155">
        <f>IF(ISNUMBER(Q93),Q93,"")</f>
        <v/>
      </c>
      <c r="R13" s="155">
        <f>IF(ISNUMBER(R93),R93,"")</f>
        <v/>
      </c>
      <c r="S13" s="155">
        <f>IF(ISNUMBER(S93),S93,"")</f>
        <v/>
      </c>
      <c r="T13" s="152" t="inlineStr">
        <is>
          <t>2013-2022 observed; 2023-2025 estimated</t>
        </is>
      </c>
      <c r="U13" s="152" t="inlineStr">
        <is>
          <t>Department of Mineral and Petroleum Resources, sales volumes, district workbooks; estimates: see section 6</t>
        </is>
      </c>
      <c r="V13" s="152" t="inlineStr">
        <is>
          <t>Replace the estimates when the department publishes district data after 2023 quarter 1</t>
        </is>
      </c>
    </row>
    <row r="14">
      <c r="A14" s="152" t="inlineStr">
        <is>
          <t>Northern Cape petrol</t>
        </is>
      </c>
      <c r="B14" s="153" t="inlineStr">
        <is>
          <t>million L/year</t>
        </is>
      </c>
      <c r="C14" s="153" t="inlineStr">
        <is>
          <t>Observation to 2022; estimate after</t>
        </is>
      </c>
      <c r="D14" s="154" t="n"/>
      <c r="E14" s="152" t="inlineStr">
        <is>
          <t>District-level sales summed to province, 2013-2022. Shows where fuel was sold, not where it was used. 2023 (yellow, italic) holds ESTIMATES from section 6, not department data; 2024 and 2025 are blank.</t>
        </is>
      </c>
      <c r="F14" s="154" t="n"/>
      <c r="G14" s="154" t="n">
        <v>121.963655</v>
      </c>
      <c r="H14" s="154" t="n">
        <v>121.249527</v>
      </c>
      <c r="I14" s="154" t="n">
        <v>130.824373</v>
      </c>
      <c r="J14" s="154" t="n">
        <v>120.839444671</v>
      </c>
      <c r="K14" s="154" t="n">
        <v>108.331038477</v>
      </c>
      <c r="L14" s="154" t="n">
        <v>101.610966637</v>
      </c>
      <c r="M14" s="154" t="n">
        <v>102.128307828</v>
      </c>
      <c r="N14" s="154" t="n">
        <v>88.855295537</v>
      </c>
      <c r="O14" s="154" t="n">
        <v>96.36007655499999</v>
      </c>
      <c r="P14" s="154" t="n">
        <v>99.829929013</v>
      </c>
      <c r="Q14" s="155">
        <f>IF(ISNUMBER(Q94),Q94,"")</f>
        <v/>
      </c>
      <c r="R14" s="155">
        <f>IF(ISNUMBER(R94),R94,"")</f>
        <v/>
      </c>
      <c r="S14" s="155">
        <f>IF(ISNUMBER(S94),S94,"")</f>
        <v/>
      </c>
      <c r="T14" s="152" t="inlineStr">
        <is>
          <t>2013-2022 observed; 2023-2025 estimated</t>
        </is>
      </c>
      <c r="U14" s="152" t="inlineStr">
        <is>
          <t>Department of Mineral and Petroleum Resources, sales volumes, district workbooks; estimates: see section 6</t>
        </is>
      </c>
      <c r="V14" s="152" t="inlineStr">
        <is>
          <t>Replace the estimates when the department publishes district data after 2023 quarter 1</t>
        </is>
      </c>
    </row>
    <row r="15">
      <c r="A15" s="156" t="inlineStr">
        <is>
          <t>Sum of nine provinces, petrol</t>
        </is>
      </c>
      <c r="B15" s="157" t="inlineStr">
        <is>
          <t>million L/year</t>
        </is>
      </c>
      <c r="C15" s="157" t="inlineStr">
        <is>
          <t>Reporting formula</t>
        </is>
      </c>
      <c r="D15" s="158" t="n"/>
      <c r="E15" s="156" t="inlineStr">
        <is>
          <t>Sum of the nine rows above. From 2023 it sums estimates, which add to the national figure by construction.</t>
        </is>
      </c>
      <c r="F15" s="158">
        <f>IF(COUNT(F6:F14)&lt;9,"",SUM(F6:F14))</f>
        <v/>
      </c>
      <c r="G15" s="158">
        <f>IF(COUNT(G6:G14)&lt;9,"",SUM(G6:G14))</f>
        <v/>
      </c>
      <c r="H15" s="158">
        <f>IF(COUNT(H6:H14)&lt;9,"",SUM(H6:H14))</f>
        <v/>
      </c>
      <c r="I15" s="158">
        <f>IF(COUNT(I6:I14)&lt;9,"",SUM(I6:I14))</f>
        <v/>
      </c>
      <c r="J15" s="158">
        <f>IF(COUNT(J6:J14)&lt;9,"",SUM(J6:J14))</f>
        <v/>
      </c>
      <c r="K15" s="158">
        <f>IF(COUNT(K6:K14)&lt;9,"",SUM(K6:K14))</f>
        <v/>
      </c>
      <c r="L15" s="158">
        <f>IF(COUNT(L6:L14)&lt;9,"",SUM(L6:L14))</f>
        <v/>
      </c>
      <c r="M15" s="158">
        <f>IF(COUNT(M6:M14)&lt;9,"",SUM(M6:M14))</f>
        <v/>
      </c>
      <c r="N15" s="158">
        <f>IF(COUNT(N6:N14)&lt;9,"",SUM(N6:N14))</f>
        <v/>
      </c>
      <c r="O15" s="158">
        <f>IF(COUNT(O6:O14)&lt;9,"",SUM(O6:O14))</f>
        <v/>
      </c>
      <c r="P15" s="158">
        <f>IF(COUNT(P6:P14)&lt;9,"",SUM(P6:P14))</f>
        <v/>
      </c>
      <c r="Q15" s="158">
        <f>IF(COUNT(Q6:Q14)&lt;9,"",SUM(Q6:Q14))</f>
        <v/>
      </c>
      <c r="R15" s="158">
        <f>IF(COUNT(R6:R14)&lt;9,"",SUM(R6:R14))</f>
        <v/>
      </c>
      <c r="S15" s="158">
        <f>IF(COUNT(S6:S14)&lt;9,"",SUM(S6:S14))</f>
        <v/>
      </c>
      <c r="T15" s="156" t="inlineStr"/>
      <c r="U15" s="156" t="inlineStr">
        <is>
          <t>Calculated in this workbook from the rows named in the definition</t>
        </is>
      </c>
      <c r="V15" s="156" t="inlineStr"/>
    </row>
    <row r="16">
      <c r="A16" s="152" t="inlineStr">
        <is>
          <t>Department national file, petrol</t>
        </is>
      </c>
      <c r="B16" s="153" t="inlineStr">
        <is>
          <t>million L/year</t>
        </is>
      </c>
      <c r="C16" s="153" t="inlineStr">
        <is>
          <t>Source observation</t>
        </is>
      </c>
      <c r="D16" s="154" t="n"/>
      <c r="E16" s="152" t="inlineStr">
        <is>
          <t>National annual workbook, years with four quarters reported.</t>
        </is>
      </c>
      <c r="F16" s="154" t="n">
        <v>12060.330013</v>
      </c>
      <c r="G16" s="154" t="n">
        <v>11439.925235</v>
      </c>
      <c r="H16" s="154" t="n">
        <v>10890.207679</v>
      </c>
      <c r="I16" s="154" t="n">
        <v>11475.709420318</v>
      </c>
      <c r="J16" s="154" t="n">
        <v>11462.252466686</v>
      </c>
      <c r="K16" s="154" t="n">
        <v>11174.08298037</v>
      </c>
      <c r="L16" s="154" t="n">
        <v>11141.630546702</v>
      </c>
      <c r="M16" s="154" t="n">
        <v>10773.208065062</v>
      </c>
      <c r="N16" s="154" t="n">
        <v>8761.470961496001</v>
      </c>
      <c r="O16" s="154" t="n">
        <v>9301.584227683001</v>
      </c>
      <c r="P16" s="154" t="n">
        <v>9184.869915572999</v>
      </c>
      <c r="Q16" s="154" t="n">
        <v>9036.950113492001</v>
      </c>
      <c r="R16" s="154" t="n"/>
      <c r="S16" s="154" t="n"/>
      <c r="T16" s="152" t="inlineStr">
        <is>
          <t>2012-2023; nothing published for 2024 or 2025</t>
        </is>
      </c>
      <c r="U16" s="152" t="inlineStr">
        <is>
          <t>Department of Mineral and Petroleum Resources, sales volumes, national workbooks</t>
        </is>
      </c>
      <c r="V16" s="152" t="inlineStr">
        <is>
          <t>Add 2024 and 2025 when the department publishes them</t>
        </is>
      </c>
    </row>
    <row r="17">
      <c r="A17" s="156" t="inlineStr">
        <is>
          <t>Provinces less national, petrol</t>
        </is>
      </c>
      <c r="B17" s="157" t="inlineStr">
        <is>
          <t>million L/year</t>
        </is>
      </c>
      <c r="C17" s="157" t="inlineStr">
        <is>
          <t>Reporting formula</t>
        </is>
      </c>
      <c r="D17" s="158" t="n"/>
      <c r="E17" s="156" t="inlineStr">
        <is>
          <t>Difference between the department's two files. The provincial figures are used as published. 2014: the district file's third quarter is higher than the national file. 2018: the first-quarter district sheet lists six fewer districts, so the provincial sum is about 2% low. Zero from 2023 only because the estimates are shares of the national figure.</t>
        </is>
      </c>
      <c r="F17" s="158">
        <f>IF(COUNT(F15,F16)&lt;2,"",F15-F16)</f>
        <v/>
      </c>
      <c r="G17" s="158">
        <f>IF(COUNT(G15,G16)&lt;2,"",G15-G16)</f>
        <v/>
      </c>
      <c r="H17" s="158">
        <f>IF(COUNT(H15,H16)&lt;2,"",H15-H16)</f>
        <v/>
      </c>
      <c r="I17" s="158">
        <f>IF(COUNT(I15,I16)&lt;2,"",I15-I16)</f>
        <v/>
      </c>
      <c r="J17" s="158">
        <f>IF(COUNT(J15,J16)&lt;2,"",J15-J16)</f>
        <v/>
      </c>
      <c r="K17" s="158">
        <f>IF(COUNT(K15,K16)&lt;2,"",K15-K16)</f>
        <v/>
      </c>
      <c r="L17" s="158">
        <f>IF(COUNT(L15,L16)&lt;2,"",L15-L16)</f>
        <v/>
      </c>
      <c r="M17" s="158">
        <f>IF(COUNT(M15,M16)&lt;2,"",M15-M16)</f>
        <v/>
      </c>
      <c r="N17" s="158">
        <f>IF(COUNT(N15,N16)&lt;2,"",N15-N16)</f>
        <v/>
      </c>
      <c r="O17" s="158">
        <f>IF(COUNT(O15,O16)&lt;2,"",O15-O16)</f>
        <v/>
      </c>
      <c r="P17" s="158">
        <f>IF(COUNT(P15,P16)&lt;2,"",P15-P16)</f>
        <v/>
      </c>
      <c r="Q17" s="158">
        <f>IF(COUNT(Q15,Q16)&lt;2,"",Q15-Q16)</f>
        <v/>
      </c>
      <c r="R17" s="158">
        <f>IF(COUNT(R15,R16)&lt;2,"",R15-R16)</f>
        <v/>
      </c>
      <c r="S17" s="158">
        <f>IF(COUNT(S15,S16)&lt;2,"",S15-S16)</f>
        <v/>
      </c>
      <c r="T17" s="156" t="inlineStr"/>
      <c r="U17" s="156" t="inlineStr">
        <is>
          <t>Calculated in this workbook from the rows named in the definition</t>
        </is>
      </c>
      <c r="V17" s="156" t="inlineStr">
        <is>
          <t>See integrity_flag_log_2026-10-06.md</t>
        </is>
      </c>
    </row>
    <row r="18">
      <c r="A18" s="159" t="inlineStr">
        <is>
          <t>Why 2024 and 2025 are blank, petrol</t>
        </is>
      </c>
      <c r="B18" s="160" t="inlineStr"/>
      <c r="C18" s="160" t="inlineStr">
        <is>
          <t>Note</t>
        </is>
      </c>
      <c r="D18" s="161" t="n"/>
      <c r="E18" s="159" t="inlineStr">
        <is>
          <t>The department has published no petrol sales after 2023, by province or nationally, so there is no total to split. FIASA and JODI each have a national 2024 figure (9,029 and 10,138 million litres) but neither is reliable, so FIASA is not used and JODI is not used. FIASA: its 2024 and 2025 annual reports give different figures for 2024 (8,763 in the 2024 edition), its 2025 row is a copy of its 2024 row, and it attributes its sales to the department, which has published none. JODI: its demand was 2,648 and 3,035 million litres above department sales in 2022 and 2023, so it is not on the same basis, and every entry carries JODI's lowest reliability code. Neither has provincial data, and neither has a 2025 figure.</t>
        </is>
      </c>
      <c r="F18" s="161" t="n"/>
      <c r="G18" s="161" t="n"/>
      <c r="H18" s="161" t="n"/>
      <c r="I18" s="161" t="n"/>
      <c r="J18" s="161" t="n"/>
      <c r="K18" s="161" t="n"/>
      <c r="L18" s="161" t="n"/>
      <c r="M18" s="161" t="n"/>
      <c r="N18" s="161" t="n"/>
      <c r="O18" s="161" t="n"/>
      <c r="P18" s="161" t="n"/>
      <c r="Q18" s="161" t="n"/>
      <c r="R18" s="161" t="n"/>
      <c r="S18" s="161" t="n"/>
      <c r="T18" s="159" t="inlineStr">
        <is>
          <t>2024 and 2025 blank</t>
        </is>
      </c>
      <c r="U18" s="159" t="inlineStr">
        <is>
          <t>FIASA annual reports 2024 (p.32) and 2025 (p.47); JODI oil database; department sales volumes page</t>
        </is>
      </c>
      <c r="V18" s="159" t="inlineStr">
        <is>
          <t>Fill in when the department publishes</t>
        </is>
      </c>
    </row>
    <row r="20">
      <c r="A20" s="151" t="inlineStr">
        <is>
          <t>1. Department sales by province: diesel</t>
        </is>
      </c>
      <c r="B20" s="151" t="n"/>
      <c r="C20" s="151" t="n"/>
      <c r="D20" s="151" t="n"/>
      <c r="E20" s="151" t="n"/>
      <c r="F20" s="151" t="n"/>
      <c r="G20" s="151" t="n"/>
      <c r="H20" s="151" t="n"/>
      <c r="I20" s="151" t="n"/>
      <c r="J20" s="151" t="n"/>
      <c r="K20" s="151" t="n"/>
      <c r="L20" s="151" t="n"/>
      <c r="M20" s="151" t="n"/>
      <c r="N20" s="151" t="n"/>
      <c r="O20" s="151" t="n"/>
      <c r="P20" s="151" t="n"/>
      <c r="Q20" s="151" t="n"/>
      <c r="R20" s="151" t="n"/>
      <c r="S20" s="151" t="n"/>
      <c r="T20" s="151" t="n"/>
      <c r="U20" s="151" t="n"/>
      <c r="V20" s="151" t="n"/>
    </row>
    <row r="21">
      <c r="A21" s="152" t="inlineStr">
        <is>
          <t>Gauteng diesel</t>
        </is>
      </c>
      <c r="B21" s="153" t="inlineStr">
        <is>
          <t>million L/year</t>
        </is>
      </c>
      <c r="C21" s="153" t="inlineStr">
        <is>
          <t>Observation to 2022; estimate after</t>
        </is>
      </c>
      <c r="D21" s="154" t="n"/>
      <c r="E21" s="152" t="inlineStr">
        <is>
          <t>District-level sales summed to province, 2013-2022. Shows where fuel was sold, not where it was used. 2023 (yellow, italic) holds ESTIMATES from section 6, not department data; 2024 and 2025 are blank.</t>
        </is>
      </c>
      <c r="F21" s="154" t="n"/>
      <c r="G21" s="154" t="n">
        <v>2785.429802</v>
      </c>
      <c r="H21" s="154" t="n">
        <v>3118.078004</v>
      </c>
      <c r="I21" s="154" t="n">
        <v>3160.426878</v>
      </c>
      <c r="J21" s="154" t="n">
        <v>2953.325706855998</v>
      </c>
      <c r="K21" s="154" t="n">
        <v>3125.523429546999</v>
      </c>
      <c r="L21" s="154" t="n">
        <v>3320.043256458996</v>
      </c>
      <c r="M21" s="154" t="n">
        <v>3565.209035882996</v>
      </c>
      <c r="N21" s="154" t="n">
        <v>2950.670842131997</v>
      </c>
      <c r="O21" s="154" t="n">
        <v>3205.191324365998</v>
      </c>
      <c r="P21" s="154" t="n">
        <v>3278.990501961999</v>
      </c>
      <c r="Q21" s="155">
        <f>IF(ISNUMBER(Q106),Q106,"")</f>
        <v/>
      </c>
      <c r="R21" s="155">
        <f>IF(ISNUMBER(R106),R106,"")</f>
        <v/>
      </c>
      <c r="S21" s="155">
        <f>IF(ISNUMBER(S106),S106,"")</f>
        <v/>
      </c>
      <c r="T21" s="152" t="inlineStr">
        <is>
          <t>2013-2022 observed; 2023-2025 estimated</t>
        </is>
      </c>
      <c r="U21" s="152" t="inlineStr">
        <is>
          <t>Department of Mineral and Petroleum Resources, sales volumes, district workbooks; estimates: see section 6</t>
        </is>
      </c>
      <c r="V21" s="152" t="inlineStr">
        <is>
          <t>Replace the estimates when the department publishes district data after 2023 quarter 1</t>
        </is>
      </c>
    </row>
    <row r="22">
      <c r="A22" s="152" t="inlineStr">
        <is>
          <t>KwaZulu-Natal diesel</t>
        </is>
      </c>
      <c r="B22" s="153" t="inlineStr">
        <is>
          <t>million L/year</t>
        </is>
      </c>
      <c r="C22" s="153" t="inlineStr">
        <is>
          <t>Observation to 2022; estimate after</t>
        </is>
      </c>
      <c r="D22" s="154" t="n"/>
      <c r="E22" s="152" t="inlineStr">
        <is>
          <t>District-level sales summed to province, 2013-2022. Shows where fuel was sold, not where it was used. 2023 (yellow, italic) holds ESTIMATES from section 6, not department data; 2024 and 2025 are blank.</t>
        </is>
      </c>
      <c r="F22" s="154" t="n"/>
      <c r="G22" s="154" t="n">
        <v>2252.156455</v>
      </c>
      <c r="H22" s="154" t="n">
        <v>2131.256221</v>
      </c>
      <c r="I22" s="154" t="n">
        <v>2125.006744</v>
      </c>
      <c r="J22" s="154" t="n">
        <v>2176.897259443</v>
      </c>
      <c r="K22" s="154" t="n">
        <v>2459.701383962</v>
      </c>
      <c r="L22" s="154" t="n">
        <v>2374.693964448</v>
      </c>
      <c r="M22" s="154" t="n">
        <v>2576.035405942</v>
      </c>
      <c r="N22" s="154" t="n">
        <v>2610.320287135</v>
      </c>
      <c r="O22" s="154" t="n">
        <v>2724.422486838</v>
      </c>
      <c r="P22" s="154" t="n">
        <v>2785.554802503</v>
      </c>
      <c r="Q22" s="155">
        <f>IF(ISNUMBER(Q107),Q107,"")</f>
        <v/>
      </c>
      <c r="R22" s="155">
        <f>IF(ISNUMBER(R107),R107,"")</f>
        <v/>
      </c>
      <c r="S22" s="155">
        <f>IF(ISNUMBER(S107),S107,"")</f>
        <v/>
      </c>
      <c r="T22" s="152" t="inlineStr">
        <is>
          <t>2013-2022 observed; 2023-2025 estimated</t>
        </is>
      </c>
      <c r="U22" s="152" t="inlineStr">
        <is>
          <t>Department of Mineral and Petroleum Resources, sales volumes, district workbooks; estimates: see section 6</t>
        </is>
      </c>
      <c r="V22" s="152" t="inlineStr">
        <is>
          <t>Replace the estimates when the department publishes district data after 2023 quarter 1</t>
        </is>
      </c>
    </row>
    <row r="23">
      <c r="A23" s="152" t="inlineStr">
        <is>
          <t>Western Cape diesel</t>
        </is>
      </c>
      <c r="B23" s="153" t="inlineStr">
        <is>
          <t>million L/year</t>
        </is>
      </c>
      <c r="C23" s="153" t="inlineStr">
        <is>
          <t>Observation to 2022; estimate after</t>
        </is>
      </c>
      <c r="D23" s="154" t="n"/>
      <c r="E23" s="152" t="inlineStr">
        <is>
          <t>District-level sales summed to province, 2013-2022. Shows where fuel was sold, not where it was used. 2023 (yellow, italic) holds ESTIMATES from section 6, not department data; 2024 and 2025 are blank.</t>
        </is>
      </c>
      <c r="F23" s="154" t="n"/>
      <c r="G23" s="154" t="n">
        <v>1987.532805</v>
      </c>
      <c r="H23" s="154" t="n">
        <v>2371.62726</v>
      </c>
      <c r="I23" s="154" t="n">
        <v>2951.017107</v>
      </c>
      <c r="J23" s="154" t="n">
        <v>1896.010479563</v>
      </c>
      <c r="K23" s="154" t="n">
        <v>1854.222386571999</v>
      </c>
      <c r="L23" s="154" t="n">
        <v>1849.560718467999</v>
      </c>
      <c r="M23" s="154" t="n">
        <v>2061.836736</v>
      </c>
      <c r="N23" s="154" t="n">
        <v>1849.409077413</v>
      </c>
      <c r="O23" s="154" t="n">
        <v>2608.371193924998</v>
      </c>
      <c r="P23" s="154" t="n">
        <v>2499.769547067</v>
      </c>
      <c r="Q23" s="155">
        <f>IF(ISNUMBER(Q108),Q108,"")</f>
        <v/>
      </c>
      <c r="R23" s="155">
        <f>IF(ISNUMBER(R108),R108,"")</f>
        <v/>
      </c>
      <c r="S23" s="155">
        <f>IF(ISNUMBER(S108),S108,"")</f>
        <v/>
      </c>
      <c r="T23" s="152" t="inlineStr">
        <is>
          <t>2013-2022 observed; 2023-2025 estimated</t>
        </is>
      </c>
      <c r="U23" s="152" t="inlineStr">
        <is>
          <t>Department of Mineral and Petroleum Resources, sales volumes, district workbooks; estimates: see section 6</t>
        </is>
      </c>
      <c r="V23" s="152" t="inlineStr">
        <is>
          <t>Replace the estimates when the department publishes district data after 2023 quarter 1</t>
        </is>
      </c>
    </row>
    <row r="24">
      <c r="A24" s="152" t="inlineStr">
        <is>
          <t>Eastern Cape diesel</t>
        </is>
      </c>
      <c r="B24" s="153" t="inlineStr">
        <is>
          <t>million L/year</t>
        </is>
      </c>
      <c r="C24" s="153" t="inlineStr">
        <is>
          <t>Observation to 2022; estimate after</t>
        </is>
      </c>
      <c r="D24" s="154" t="n"/>
      <c r="E24" s="152" t="inlineStr">
        <is>
          <t>District-level sales summed to province, 2013-2022. Shows where fuel was sold, not where it was used. 2023 (yellow, italic) holds ESTIMATES from section 6, not department data; 2024 and 2025 are blank.</t>
        </is>
      </c>
      <c r="F24" s="154" t="n"/>
      <c r="G24" s="154" t="n">
        <v>782.1488440000001</v>
      </c>
      <c r="H24" s="154" t="n">
        <v>807.224237</v>
      </c>
      <c r="I24" s="154" t="n">
        <v>929.269033</v>
      </c>
      <c r="J24" s="154" t="n">
        <v>928.1418288860002</v>
      </c>
      <c r="K24" s="154" t="n">
        <v>937.323412165999</v>
      </c>
      <c r="L24" s="154" t="n">
        <v>960.6054126530001</v>
      </c>
      <c r="M24" s="154" t="n">
        <v>999.0317762660002</v>
      </c>
      <c r="N24" s="154" t="n">
        <v>936.8169864540001</v>
      </c>
      <c r="O24" s="154" t="n">
        <v>1036.454764805</v>
      </c>
      <c r="P24" s="154" t="n">
        <v>1032.35218272</v>
      </c>
      <c r="Q24" s="155">
        <f>IF(ISNUMBER(Q109),Q109,"")</f>
        <v/>
      </c>
      <c r="R24" s="155">
        <f>IF(ISNUMBER(R109),R109,"")</f>
        <v/>
      </c>
      <c r="S24" s="155">
        <f>IF(ISNUMBER(S109),S109,"")</f>
        <v/>
      </c>
      <c r="T24" s="152" t="inlineStr">
        <is>
          <t>2013-2022 observed; 2023-2025 estimated</t>
        </is>
      </c>
      <c r="U24" s="152" t="inlineStr">
        <is>
          <t>Department of Mineral and Petroleum Resources, sales volumes, district workbooks; estimates: see section 6</t>
        </is>
      </c>
      <c r="V24" s="152" t="inlineStr">
        <is>
          <t>Replace the estimates when the department publishes district data after 2023 quarter 1</t>
        </is>
      </c>
    </row>
    <row r="25">
      <c r="A25" s="152" t="inlineStr">
        <is>
          <t>Mpumalanga diesel</t>
        </is>
      </c>
      <c r="B25" s="153" t="inlineStr">
        <is>
          <t>million L/year</t>
        </is>
      </c>
      <c r="C25" s="153" t="inlineStr">
        <is>
          <t>Observation to 2022; estimate after</t>
        </is>
      </c>
      <c r="D25" s="154" t="n"/>
      <c r="E25" s="152" t="inlineStr">
        <is>
          <t>District-level sales summed to province, 2013-2022. Shows where fuel was sold, not where it was used. 2023 (yellow, italic) holds ESTIMATES from section 6, not department data; 2024 and 2025 are blank.</t>
        </is>
      </c>
      <c r="F25" s="154" t="n"/>
      <c r="G25" s="154" t="n">
        <v>1488.831128</v>
      </c>
      <c r="H25" s="154" t="n">
        <v>1513.316515</v>
      </c>
      <c r="I25" s="154" t="n">
        <v>1499.329399</v>
      </c>
      <c r="J25" s="154" t="n">
        <v>1631.206634515</v>
      </c>
      <c r="K25" s="154" t="n">
        <v>1546.048578055</v>
      </c>
      <c r="L25" s="154" t="n">
        <v>1576.691392181</v>
      </c>
      <c r="M25" s="154" t="n">
        <v>1435.128292351999</v>
      </c>
      <c r="N25" s="154" t="n">
        <v>1307.424417362</v>
      </c>
      <c r="O25" s="154" t="n">
        <v>1275.609358918997</v>
      </c>
      <c r="P25" s="154" t="n">
        <v>1144.924075864997</v>
      </c>
      <c r="Q25" s="155">
        <f>IF(ISNUMBER(Q110),Q110,"")</f>
        <v/>
      </c>
      <c r="R25" s="155">
        <f>IF(ISNUMBER(R110),R110,"")</f>
        <v/>
      </c>
      <c r="S25" s="155">
        <f>IF(ISNUMBER(S110),S110,"")</f>
        <v/>
      </c>
      <c r="T25" s="152" t="inlineStr">
        <is>
          <t>2013-2022 observed; 2023-2025 estimated</t>
        </is>
      </c>
      <c r="U25" s="152" t="inlineStr">
        <is>
          <t>Department of Mineral and Petroleum Resources, sales volumes, district workbooks; estimates: see section 6</t>
        </is>
      </c>
      <c r="V25" s="152" t="inlineStr">
        <is>
          <t>Replace the estimates when the department publishes district data after 2023 quarter 1</t>
        </is>
      </c>
    </row>
    <row r="26">
      <c r="A26" s="152" t="inlineStr">
        <is>
          <t>Free State diesel</t>
        </is>
      </c>
      <c r="B26" s="153" t="inlineStr">
        <is>
          <t>million L/year</t>
        </is>
      </c>
      <c r="C26" s="153" t="inlineStr">
        <is>
          <t>Observation to 2022; estimate after</t>
        </is>
      </c>
      <c r="D26" s="154" t="n"/>
      <c r="E26" s="152" t="inlineStr">
        <is>
          <t>District-level sales summed to province, 2013-2022. Shows where fuel was sold, not where it was used. 2023 (yellow, italic) holds ESTIMATES from section 6, not department data; 2024 and 2025 are blank.</t>
        </is>
      </c>
      <c r="F26" s="154" t="n"/>
      <c r="G26" s="154" t="n">
        <v>1292.525069</v>
      </c>
      <c r="H26" s="154" t="n">
        <v>1249.179829</v>
      </c>
      <c r="I26" s="154" t="n">
        <v>1259.015189</v>
      </c>
      <c r="J26" s="154" t="n">
        <v>1124.907207231</v>
      </c>
      <c r="K26" s="154" t="n">
        <v>930.163930832</v>
      </c>
      <c r="L26" s="154" t="n">
        <v>1007.279195237</v>
      </c>
      <c r="M26" s="154" t="n">
        <v>1059.053904877</v>
      </c>
      <c r="N26" s="154" t="n">
        <v>1030.588800552</v>
      </c>
      <c r="O26" s="154" t="n">
        <v>1025.652327622999</v>
      </c>
      <c r="P26" s="154" t="n">
        <v>781.8611598310002</v>
      </c>
      <c r="Q26" s="155">
        <f>IF(ISNUMBER(Q111),Q111,"")</f>
        <v/>
      </c>
      <c r="R26" s="155">
        <f>IF(ISNUMBER(R111),R111,"")</f>
        <v/>
      </c>
      <c r="S26" s="155">
        <f>IF(ISNUMBER(S111),S111,"")</f>
        <v/>
      </c>
      <c r="T26" s="152" t="inlineStr">
        <is>
          <t>2013-2022 observed; 2023-2025 estimated</t>
        </is>
      </c>
      <c r="U26" s="152" t="inlineStr">
        <is>
          <t>Department of Mineral and Petroleum Resources, sales volumes, district workbooks; estimates: see section 6</t>
        </is>
      </c>
      <c r="V26" s="152" t="inlineStr">
        <is>
          <t>Replace the estimates when the department publishes district data after 2023 quarter 1</t>
        </is>
      </c>
    </row>
    <row r="27">
      <c r="A27" s="152" t="inlineStr">
        <is>
          <t>North West diesel</t>
        </is>
      </c>
      <c r="B27" s="153" t="inlineStr">
        <is>
          <t>million L/year</t>
        </is>
      </c>
      <c r="C27" s="153" t="inlineStr">
        <is>
          <t>Observation to 2022; estimate after</t>
        </is>
      </c>
      <c r="D27" s="154" t="n"/>
      <c r="E27" s="152" t="inlineStr">
        <is>
          <t>District-level sales summed to province, 2013-2022. Shows where fuel was sold, not where it was used. 2023 (yellow, italic) holds ESTIMATES from section 6, not department data; 2024 and 2025 are blank.</t>
        </is>
      </c>
      <c r="F27" s="154" t="n"/>
      <c r="G27" s="154" t="n">
        <v>662.591762</v>
      </c>
      <c r="H27" s="154" t="n">
        <v>637.2781210000001</v>
      </c>
      <c r="I27" s="154" t="n">
        <v>659.0079469999999</v>
      </c>
      <c r="J27" s="154" t="n">
        <v>650.4184553739999</v>
      </c>
      <c r="K27" s="154" t="n">
        <v>587.1623233729999</v>
      </c>
      <c r="L27" s="154" t="n">
        <v>514.025031385</v>
      </c>
      <c r="M27" s="154" t="n">
        <v>518.359393999</v>
      </c>
      <c r="N27" s="154" t="n">
        <v>436.165795866</v>
      </c>
      <c r="O27" s="154" t="n">
        <v>500.4056482319999</v>
      </c>
      <c r="P27" s="154" t="n">
        <v>619.906488913</v>
      </c>
      <c r="Q27" s="155">
        <f>IF(ISNUMBER(Q112),Q112,"")</f>
        <v/>
      </c>
      <c r="R27" s="155">
        <f>IF(ISNUMBER(R112),R112,"")</f>
        <v/>
      </c>
      <c r="S27" s="155">
        <f>IF(ISNUMBER(S112),S112,"")</f>
        <v/>
      </c>
      <c r="T27" s="152" t="inlineStr">
        <is>
          <t>2013-2022 observed; 2023-2025 estimated</t>
        </is>
      </c>
      <c r="U27" s="152" t="inlineStr">
        <is>
          <t>Department of Mineral and Petroleum Resources, sales volumes, district workbooks; estimates: see section 6</t>
        </is>
      </c>
      <c r="V27" s="152" t="inlineStr">
        <is>
          <t>Replace the estimates when the department publishes district data after 2023 quarter 1</t>
        </is>
      </c>
    </row>
    <row r="28">
      <c r="A28" s="152" t="inlineStr">
        <is>
          <t>Limpopo diesel</t>
        </is>
      </c>
      <c r="B28" s="153" t="inlineStr">
        <is>
          <t>million L/year</t>
        </is>
      </c>
      <c r="C28" s="153" t="inlineStr">
        <is>
          <t>Observation to 2022; estimate after</t>
        </is>
      </c>
      <c r="D28" s="154" t="n"/>
      <c r="E28" s="152" t="inlineStr">
        <is>
          <t>District-level sales summed to province, 2013-2022. Shows where fuel was sold, not where it was used. 2023 (yellow, italic) holds ESTIMATES from section 6, not department data; 2024 and 2025 are blank.</t>
        </is>
      </c>
      <c r="F28" s="154" t="n"/>
      <c r="G28" s="154" t="n">
        <v>424.483028</v>
      </c>
      <c r="H28" s="154" t="n">
        <v>408.41603</v>
      </c>
      <c r="I28" s="154" t="n">
        <v>371.279601</v>
      </c>
      <c r="J28" s="154" t="n">
        <v>309.226164304</v>
      </c>
      <c r="K28" s="154" t="n">
        <v>274.713980268</v>
      </c>
      <c r="L28" s="154" t="n">
        <v>295.60009792</v>
      </c>
      <c r="M28" s="154" t="n">
        <v>269.697983735</v>
      </c>
      <c r="N28" s="154" t="n">
        <v>216.1239956</v>
      </c>
      <c r="O28" s="154" t="n">
        <v>210.257732307</v>
      </c>
      <c r="P28" s="154" t="n">
        <v>221.987440248</v>
      </c>
      <c r="Q28" s="155">
        <f>IF(ISNUMBER(Q113),Q113,"")</f>
        <v/>
      </c>
      <c r="R28" s="155">
        <f>IF(ISNUMBER(R113),R113,"")</f>
        <v/>
      </c>
      <c r="S28" s="155">
        <f>IF(ISNUMBER(S113),S113,"")</f>
        <v/>
      </c>
      <c r="T28" s="152" t="inlineStr">
        <is>
          <t>2013-2022 observed; 2023-2025 estimated</t>
        </is>
      </c>
      <c r="U28" s="152" t="inlineStr">
        <is>
          <t>Department of Mineral and Petroleum Resources, sales volumes, district workbooks; estimates: see section 6</t>
        </is>
      </c>
      <c r="V28" s="152" t="inlineStr">
        <is>
          <t>Replace the estimates when the department publishes district data after 2023 quarter 1</t>
        </is>
      </c>
    </row>
    <row r="29">
      <c r="A29" s="152" t="inlineStr">
        <is>
          <t>Northern Cape diesel</t>
        </is>
      </c>
      <c r="B29" s="153" t="inlineStr">
        <is>
          <t>million L/year</t>
        </is>
      </c>
      <c r="C29" s="153" t="inlineStr">
        <is>
          <t>Observation to 2022; estimate after</t>
        </is>
      </c>
      <c r="D29" s="154" t="n"/>
      <c r="E29" s="152" t="inlineStr">
        <is>
          <t>District-level sales summed to province, 2013-2022. Shows where fuel was sold, not where it was used. 2023 (yellow, italic) holds ESTIMATES from section 6, not department data; 2024 and 2025 are blank.</t>
        </is>
      </c>
      <c r="F29" s="154" t="n"/>
      <c r="G29" s="154" t="n">
        <v>465.348224</v>
      </c>
      <c r="H29" s="154" t="n">
        <v>507.013669</v>
      </c>
      <c r="I29" s="154" t="n">
        <v>537.799461</v>
      </c>
      <c r="J29" s="154" t="n">
        <v>412.24030225</v>
      </c>
      <c r="K29" s="154" t="n">
        <v>430.290764414</v>
      </c>
      <c r="L29" s="154" t="n">
        <v>420.121363622</v>
      </c>
      <c r="M29" s="154" t="n">
        <v>424.278703163</v>
      </c>
      <c r="N29" s="154" t="n">
        <v>352.4375567820001</v>
      </c>
      <c r="O29" s="154" t="n">
        <v>358.653178157</v>
      </c>
      <c r="P29" s="154" t="n">
        <v>351.9801199100001</v>
      </c>
      <c r="Q29" s="155">
        <f>IF(ISNUMBER(Q114),Q114,"")</f>
        <v/>
      </c>
      <c r="R29" s="155">
        <f>IF(ISNUMBER(R114),R114,"")</f>
        <v/>
      </c>
      <c r="S29" s="155">
        <f>IF(ISNUMBER(S114),S114,"")</f>
        <v/>
      </c>
      <c r="T29" s="152" t="inlineStr">
        <is>
          <t>2013-2022 observed; 2023-2025 estimated</t>
        </is>
      </c>
      <c r="U29" s="152" t="inlineStr">
        <is>
          <t>Department of Mineral and Petroleum Resources, sales volumes, district workbooks; estimates: see section 6</t>
        </is>
      </c>
      <c r="V29" s="152" t="inlineStr">
        <is>
          <t>Replace the estimates when the department publishes district data after 2023 quarter 1</t>
        </is>
      </c>
    </row>
    <row r="30">
      <c r="A30" s="156" t="inlineStr">
        <is>
          <t>Sum of nine provinces, diesel</t>
        </is>
      </c>
      <c r="B30" s="157" t="inlineStr">
        <is>
          <t>million L/year</t>
        </is>
      </c>
      <c r="C30" s="157" t="inlineStr">
        <is>
          <t>Reporting formula</t>
        </is>
      </c>
      <c r="D30" s="158" t="n"/>
      <c r="E30" s="156" t="inlineStr">
        <is>
          <t>Sum of the nine rows above. From 2023 it sums estimates, which add to the national figure by construction.</t>
        </is>
      </c>
      <c r="F30" s="158">
        <f>IF(COUNT(F21:F29)&lt;9,"",SUM(F21:F29))</f>
        <v/>
      </c>
      <c r="G30" s="158">
        <f>IF(COUNT(G21:G29)&lt;9,"",SUM(G21:G29))</f>
        <v/>
      </c>
      <c r="H30" s="158">
        <f>IF(COUNT(H21:H29)&lt;9,"",SUM(H21:H29))</f>
        <v/>
      </c>
      <c r="I30" s="158">
        <f>IF(COUNT(I21:I29)&lt;9,"",SUM(I21:I29))</f>
        <v/>
      </c>
      <c r="J30" s="158">
        <f>IF(COUNT(J21:J29)&lt;9,"",SUM(J21:J29))</f>
        <v/>
      </c>
      <c r="K30" s="158">
        <f>IF(COUNT(K21:K29)&lt;9,"",SUM(K21:K29))</f>
        <v/>
      </c>
      <c r="L30" s="158">
        <f>IF(COUNT(L21:L29)&lt;9,"",SUM(L21:L29))</f>
        <v/>
      </c>
      <c r="M30" s="158">
        <f>IF(COUNT(M21:M29)&lt;9,"",SUM(M21:M29))</f>
        <v/>
      </c>
      <c r="N30" s="158">
        <f>IF(COUNT(N21:N29)&lt;9,"",SUM(N21:N29))</f>
        <v/>
      </c>
      <c r="O30" s="158">
        <f>IF(COUNT(O21:O29)&lt;9,"",SUM(O21:O29))</f>
        <v/>
      </c>
      <c r="P30" s="158">
        <f>IF(COUNT(P21:P29)&lt;9,"",SUM(P21:P29))</f>
        <v/>
      </c>
      <c r="Q30" s="158">
        <f>IF(COUNT(Q21:Q29)&lt;9,"",SUM(Q21:Q29))</f>
        <v/>
      </c>
      <c r="R30" s="158">
        <f>IF(COUNT(R21:R29)&lt;9,"",SUM(R21:R29))</f>
        <v/>
      </c>
      <c r="S30" s="158">
        <f>IF(COUNT(S21:S29)&lt;9,"",SUM(S21:S29))</f>
        <v/>
      </c>
      <c r="T30" s="156" t="inlineStr"/>
      <c r="U30" s="156" t="inlineStr">
        <is>
          <t>Calculated in this workbook from the rows named in the definition</t>
        </is>
      </c>
      <c r="V30" s="156" t="inlineStr"/>
    </row>
    <row r="31">
      <c r="A31" s="152" t="inlineStr">
        <is>
          <t>Department national file, diesel</t>
        </is>
      </c>
      <c r="B31" s="153" t="inlineStr">
        <is>
          <t>million L/year</t>
        </is>
      </c>
      <c r="C31" s="153" t="inlineStr">
        <is>
          <t>Source observation</t>
        </is>
      </c>
      <c r="D31" s="154" t="n"/>
      <c r="E31" s="152" t="inlineStr">
        <is>
          <t>National annual workbook, years with four quarters reported.</t>
        </is>
      </c>
      <c r="F31" s="154" t="n">
        <v>11663.34068</v>
      </c>
      <c r="G31" s="154" t="n">
        <v>12141.281548</v>
      </c>
      <c r="H31" s="154" t="n">
        <v>12615.023359</v>
      </c>
      <c r="I31" s="154" t="n">
        <v>13520.13925195</v>
      </c>
      <c r="J31" s="154" t="n">
        <v>12082.374038422</v>
      </c>
      <c r="K31" s="154" t="n">
        <v>12147.245167189</v>
      </c>
      <c r="L31" s="154" t="n">
        <v>12538.744325998</v>
      </c>
      <c r="M31" s="154" t="n">
        <v>12908.631232217</v>
      </c>
      <c r="N31" s="154" t="n">
        <v>11689.957759296</v>
      </c>
      <c r="O31" s="154" t="n">
        <v>12945.782750435</v>
      </c>
      <c r="P31" s="154" t="n">
        <v>12717.326319019</v>
      </c>
      <c r="Q31" s="154" t="n">
        <v>12907.499965808</v>
      </c>
      <c r="R31" s="154" t="n"/>
      <c r="S31" s="154" t="n"/>
      <c r="T31" s="152" t="inlineStr">
        <is>
          <t>2012-2023; nothing published for 2024 or 2025</t>
        </is>
      </c>
      <c r="U31" s="152" t="inlineStr">
        <is>
          <t>Department of Mineral and Petroleum Resources, sales volumes, national workbooks</t>
        </is>
      </c>
      <c r="V31" s="152" t="inlineStr">
        <is>
          <t>Add 2024 and 2025 when the department publishes them</t>
        </is>
      </c>
    </row>
    <row r="32">
      <c r="A32" s="156" t="inlineStr">
        <is>
          <t>Provinces less national, diesel</t>
        </is>
      </c>
      <c r="B32" s="157" t="inlineStr">
        <is>
          <t>million L/year</t>
        </is>
      </c>
      <c r="C32" s="157" t="inlineStr">
        <is>
          <t>Reporting formula</t>
        </is>
      </c>
      <c r="D32" s="158" t="n"/>
      <c r="E32" s="156" t="inlineStr">
        <is>
          <t>Difference between the department's two files. The provincial figures are used as published. 2014: the district file's third quarter is higher than the national file. 2018: the first-quarter district sheet lists six fewer districts, so the provincial sum is about 2% low. Zero from 2023 only because the estimates are shares of the national figure.</t>
        </is>
      </c>
      <c r="F32" s="158">
        <f>IF(COUNT(F30,F31)&lt;2,"",F30-F31)</f>
        <v/>
      </c>
      <c r="G32" s="158">
        <f>IF(COUNT(G30,G31)&lt;2,"",G30-G31)</f>
        <v/>
      </c>
      <c r="H32" s="158">
        <f>IF(COUNT(H30,H31)&lt;2,"",H30-H31)</f>
        <v/>
      </c>
      <c r="I32" s="158">
        <f>IF(COUNT(I30,I31)&lt;2,"",I30-I31)</f>
        <v/>
      </c>
      <c r="J32" s="158">
        <f>IF(COUNT(J30,J31)&lt;2,"",J30-J31)</f>
        <v/>
      </c>
      <c r="K32" s="158">
        <f>IF(COUNT(K30,K31)&lt;2,"",K30-K31)</f>
        <v/>
      </c>
      <c r="L32" s="158">
        <f>IF(COUNT(L30,L31)&lt;2,"",L30-L31)</f>
        <v/>
      </c>
      <c r="M32" s="158">
        <f>IF(COUNT(M30,M31)&lt;2,"",M30-M31)</f>
        <v/>
      </c>
      <c r="N32" s="158">
        <f>IF(COUNT(N30,N31)&lt;2,"",N30-N31)</f>
        <v/>
      </c>
      <c r="O32" s="158">
        <f>IF(COUNT(O30,O31)&lt;2,"",O30-O31)</f>
        <v/>
      </c>
      <c r="P32" s="158">
        <f>IF(COUNT(P30,P31)&lt;2,"",P30-P31)</f>
        <v/>
      </c>
      <c r="Q32" s="158">
        <f>IF(COUNT(Q30,Q31)&lt;2,"",Q30-Q31)</f>
        <v/>
      </c>
      <c r="R32" s="158">
        <f>IF(COUNT(R30,R31)&lt;2,"",R30-R31)</f>
        <v/>
      </c>
      <c r="S32" s="158">
        <f>IF(COUNT(S30,S31)&lt;2,"",S30-S31)</f>
        <v/>
      </c>
      <c r="T32" s="156" t="inlineStr"/>
      <c r="U32" s="156" t="inlineStr">
        <is>
          <t>Calculated in this workbook from the rows named in the definition</t>
        </is>
      </c>
      <c r="V32" s="156" t="inlineStr">
        <is>
          <t>See integrity_flag_log_2026-10-06.md</t>
        </is>
      </c>
    </row>
    <row r="33">
      <c r="A33" s="159" t="inlineStr">
        <is>
          <t>Why 2024 and 2025 are blank, diesel</t>
        </is>
      </c>
      <c r="B33" s="160" t="inlineStr"/>
      <c r="C33" s="160" t="inlineStr">
        <is>
          <t>Note</t>
        </is>
      </c>
      <c r="D33" s="161" t="n"/>
      <c r="E33" s="159" t="inlineStr">
        <is>
          <t>The department has published no diesel sales after 2023, by province or nationally, so there is no total to split. FIASA and JODI each have a national 2024 figure (11,734 and 10,038 million litres) but neither is reliable, so FIASA is not used and JODI is not used. FIASA: its 2024 and 2025 annual reports give different figures for 2024 (11,807 in the 2024 edition), its 2025 row is a copy of its 2024 row, and it attributes its sales to the department, which has published none. JODI: its demand was 945 and 1,464 million litres above department sales in 2022 and 2023, so it is not on the same basis, and every entry carries JODI's lowest reliability code. Neither has provincial data, and neither has a 2025 figure.</t>
        </is>
      </c>
      <c r="F33" s="161" t="n"/>
      <c r="G33" s="161" t="n"/>
      <c r="H33" s="161" t="n"/>
      <c r="I33" s="161" t="n"/>
      <c r="J33" s="161" t="n"/>
      <c r="K33" s="161" t="n"/>
      <c r="L33" s="161" t="n"/>
      <c r="M33" s="161" t="n"/>
      <c r="N33" s="161" t="n"/>
      <c r="O33" s="161" t="n"/>
      <c r="P33" s="161" t="n"/>
      <c r="Q33" s="161" t="n"/>
      <c r="R33" s="161" t="n"/>
      <c r="S33" s="161" t="n"/>
      <c r="T33" s="159" t="inlineStr">
        <is>
          <t>2024 and 2025 blank</t>
        </is>
      </c>
      <c r="U33" s="159" t="inlineStr">
        <is>
          <t>FIASA annual reports 2024 (p.32) and 2025 (p.47); JODI oil database; department sales volumes page</t>
        </is>
      </c>
      <c r="V33" s="159" t="inlineStr">
        <is>
          <t>Fill in when the department publishes</t>
        </is>
      </c>
    </row>
    <row r="35">
      <c r="A35" s="151" t="inlineStr">
        <is>
          <t>2. Customs trade (SARS)</t>
        </is>
      </c>
      <c r="B35" s="151" t="n"/>
      <c r="C35" s="151" t="n"/>
      <c r="D35" s="151" t="n"/>
      <c r="E35" s="151" t="n"/>
      <c r="F35" s="151" t="n"/>
      <c r="G35" s="151" t="n"/>
      <c r="H35" s="151" t="n"/>
      <c r="I35" s="151" t="n"/>
      <c r="J35" s="151" t="n"/>
      <c r="K35" s="151" t="n"/>
      <c r="L35" s="151" t="n"/>
      <c r="M35" s="151" t="n"/>
      <c r="N35" s="151" t="n"/>
      <c r="O35" s="151" t="n"/>
      <c r="P35" s="151" t="n"/>
      <c r="Q35" s="151" t="n"/>
      <c r="R35" s="151" t="n"/>
      <c r="S35" s="151" t="n"/>
      <c r="T35" s="151" t="n"/>
      <c r="U35" s="151" t="n"/>
      <c r="V35" s="151" t="n"/>
    </row>
    <row r="36">
      <c r="A36" s="152" t="inlineStr">
        <is>
          <t>Imports, diesel</t>
        </is>
      </c>
      <c r="B36" s="153" t="inlineStr">
        <is>
          <t>million L/year</t>
        </is>
      </c>
      <c r="C36" s="153" t="inlineStr">
        <is>
          <t>Source observation</t>
        </is>
      </c>
      <c r="D36" s="154" t="n"/>
      <c r="E36" s="152" t="inlineStr">
        <is>
          <t>Complete years reported in litres. Before 2014 customs is in kilograms or mixed units and is not used.</t>
        </is>
      </c>
      <c r="F36" s="154" t="n"/>
      <c r="G36" s="154" t="n"/>
      <c r="H36" s="154" t="n">
        <v>4991.712326600001</v>
      </c>
      <c r="I36" s="154" t="n">
        <v>6450.779034560001</v>
      </c>
      <c r="J36" s="154" t="n">
        <v>4424.29496489</v>
      </c>
      <c r="K36" s="154" t="n">
        <v>6037.45991081</v>
      </c>
      <c r="L36" s="154" t="n">
        <v>5122.95948654</v>
      </c>
      <c r="M36" s="154" t="n">
        <v>5590.272108560001</v>
      </c>
      <c r="N36" s="154" t="n">
        <v>6814.98544784</v>
      </c>
      <c r="O36" s="154" t="n">
        <v>9761.395305739999</v>
      </c>
      <c r="P36" s="154" t="n">
        <v>11954.2565479</v>
      </c>
      <c r="Q36" s="154" t="n">
        <v>12870.03210067</v>
      </c>
      <c r="R36" s="154" t="n">
        <v>10792.54713405</v>
      </c>
      <c r="S36" s="154" t="n">
        <v>12248.72026207</v>
      </c>
      <c r="T36" s="152" t="inlineStr">
        <is>
          <t>2014-2025 (2026 to August, not shown)</t>
        </is>
      </c>
      <c r="U36" s="152" t="inlineStr">
        <is>
          <t>South African Revenue Service, trade statistics by tariff line</t>
        </is>
      </c>
      <c r="V36" s="152" t="inlineStr"/>
    </row>
    <row r="37">
      <c r="A37" s="152" t="inlineStr">
        <is>
          <t>Imports, petrol</t>
        </is>
      </c>
      <c r="B37" s="153" t="inlineStr">
        <is>
          <t>million L/year</t>
        </is>
      </c>
      <c r="C37" s="153" t="inlineStr">
        <is>
          <t>Source observation</t>
        </is>
      </c>
      <c r="D37" s="154" t="n"/>
      <c r="E37" s="152" t="inlineStr">
        <is>
          <t>Complete years reported in litres. Before 2014 customs is in kilograms or mixed units and is not used.</t>
        </is>
      </c>
      <c r="F37" s="154" t="n"/>
      <c r="G37" s="154" t="n"/>
      <c r="H37" s="154" t="n">
        <v>1150.19482187</v>
      </c>
      <c r="I37" s="154" t="n">
        <v>1869.64520821</v>
      </c>
      <c r="J37" s="154" t="n">
        <v>1395.6384761</v>
      </c>
      <c r="K37" s="154" t="n">
        <v>2114.15648464</v>
      </c>
      <c r="L37" s="154" t="n">
        <v>1829.7712635</v>
      </c>
      <c r="M37" s="154" t="n">
        <v>1477.38584109</v>
      </c>
      <c r="N37" s="154" t="n">
        <v>1719.67306448</v>
      </c>
      <c r="O37" s="154" t="n">
        <v>4008.61276378</v>
      </c>
      <c r="P37" s="154" t="n">
        <v>5455.26181472</v>
      </c>
      <c r="Q37" s="154" t="n">
        <v>4482.77476038</v>
      </c>
      <c r="R37" s="154" t="n">
        <v>4000.85443345</v>
      </c>
      <c r="S37" s="154" t="n">
        <v>4453.47117815</v>
      </c>
      <c r="T37" s="152" t="inlineStr">
        <is>
          <t>2014-2025 (2026 to August, not shown)</t>
        </is>
      </c>
      <c r="U37" s="152" t="inlineStr">
        <is>
          <t>South African Revenue Service, trade statistics by tariff line</t>
        </is>
      </c>
      <c r="V37" s="152" t="inlineStr"/>
    </row>
    <row r="38">
      <c r="A38" s="156" t="inlineStr">
        <is>
          <t>Imports, diesel and petrol</t>
        </is>
      </c>
      <c r="B38" s="157" t="inlineStr">
        <is>
          <t>million L/year</t>
        </is>
      </c>
      <c r="C38" s="157" t="inlineStr">
        <is>
          <t>Reporting formula</t>
        </is>
      </c>
      <c r="D38" s="158" t="n"/>
      <c r="E38" s="156" t="inlineStr">
        <is>
          <t>Sum of the two rows above.</t>
        </is>
      </c>
      <c r="F38" s="158">
        <f>IF(COUNT(F36,F37)&lt;2,"",F36+F37)</f>
        <v/>
      </c>
      <c r="G38" s="158">
        <f>IF(COUNT(G36,G37)&lt;2,"",G36+G37)</f>
        <v/>
      </c>
      <c r="H38" s="158">
        <f>IF(COUNT(H36,H37)&lt;2,"",H36+H37)</f>
        <v/>
      </c>
      <c r="I38" s="158">
        <f>IF(COUNT(I36,I37)&lt;2,"",I36+I37)</f>
        <v/>
      </c>
      <c r="J38" s="158">
        <f>IF(COUNT(J36,J37)&lt;2,"",J36+J37)</f>
        <v/>
      </c>
      <c r="K38" s="158">
        <f>IF(COUNT(K36,K37)&lt;2,"",K36+K37)</f>
        <v/>
      </c>
      <c r="L38" s="158">
        <f>IF(COUNT(L36,L37)&lt;2,"",L36+L37)</f>
        <v/>
      </c>
      <c r="M38" s="158">
        <f>IF(COUNT(M36,M37)&lt;2,"",M36+M37)</f>
        <v/>
      </c>
      <c r="N38" s="158">
        <f>IF(COUNT(N36,N37)&lt;2,"",N36+N37)</f>
        <v/>
      </c>
      <c r="O38" s="158">
        <f>IF(COUNT(O36,O37)&lt;2,"",O36+O37)</f>
        <v/>
      </c>
      <c r="P38" s="158">
        <f>IF(COUNT(P36,P37)&lt;2,"",P36+P37)</f>
        <v/>
      </c>
      <c r="Q38" s="158">
        <f>IF(COUNT(Q36,Q37)&lt;2,"",Q36+Q37)</f>
        <v/>
      </c>
      <c r="R38" s="158">
        <f>IF(COUNT(R36,R37)&lt;2,"",R36+R37)</f>
        <v/>
      </c>
      <c r="S38" s="158">
        <f>IF(COUNT(S36,S37)&lt;2,"",S36+S37)</f>
        <v/>
      </c>
      <c r="T38" s="156" t="inlineStr"/>
      <c r="U38" s="156" t="inlineStr">
        <is>
          <t>Calculated in this workbook from the rows named in the definition</t>
        </is>
      </c>
      <c r="V38" s="156" t="inlineStr"/>
    </row>
    <row r="39">
      <c r="A39" s="152" t="inlineStr">
        <is>
          <t>Exports, diesel</t>
        </is>
      </c>
      <c r="B39" s="153" t="inlineStr">
        <is>
          <t>million L/year</t>
        </is>
      </c>
      <c r="C39" s="153" t="inlineStr">
        <is>
          <t>Source observation</t>
        </is>
      </c>
      <c r="D39" s="154" t="n"/>
      <c r="E39" s="152" t="inlineStr">
        <is>
          <t>Complete years reported in litres. Before 2014 customs is in kilograms or mixed units and is not used.</t>
        </is>
      </c>
      <c r="F39" s="154" t="n"/>
      <c r="G39" s="154" t="n"/>
      <c r="H39" s="154" t="n">
        <v>1493.76262809</v>
      </c>
      <c r="I39" s="154" t="n">
        <v>1612.85503972</v>
      </c>
      <c r="J39" s="154" t="n">
        <v>1885.60542996</v>
      </c>
      <c r="K39" s="154" t="n">
        <v>1782.67408028</v>
      </c>
      <c r="L39" s="154" t="n">
        <v>1582.07010837</v>
      </c>
      <c r="M39" s="154" t="n">
        <v>1741.3773122</v>
      </c>
      <c r="N39" s="154" t="n">
        <v>913.81452025</v>
      </c>
      <c r="O39" s="154" t="n">
        <v>893.4881057699999</v>
      </c>
      <c r="P39" s="154" t="n">
        <v>889.1990678200001</v>
      </c>
      <c r="Q39" s="154" t="n">
        <v>889.44590792</v>
      </c>
      <c r="R39" s="154" t="n">
        <v>795.83467852</v>
      </c>
      <c r="S39" s="154" t="n">
        <v>746.70021007</v>
      </c>
      <c r="T39" s="152" t="inlineStr">
        <is>
          <t>2014-2025 (2026 to August, not shown)</t>
        </is>
      </c>
      <c r="U39" s="152" t="inlineStr">
        <is>
          <t>South African Revenue Service, trade statistics by tariff line</t>
        </is>
      </c>
      <c r="V39" s="152" t="inlineStr"/>
    </row>
    <row r="40">
      <c r="A40" s="152" t="inlineStr">
        <is>
          <t>Exports, petrol</t>
        </is>
      </c>
      <c r="B40" s="153" t="inlineStr">
        <is>
          <t>million L/year</t>
        </is>
      </c>
      <c r="C40" s="153" t="inlineStr">
        <is>
          <t>Source observation</t>
        </is>
      </c>
      <c r="D40" s="154" t="n"/>
      <c r="E40" s="152" t="inlineStr">
        <is>
          <t>Complete years reported in litres. Before 2014 customs is in kilograms or mixed units and is not used.</t>
        </is>
      </c>
      <c r="F40" s="154" t="n"/>
      <c r="G40" s="154" t="n"/>
      <c r="H40" s="154" t="n">
        <v>989.515894</v>
      </c>
      <c r="I40" s="154" t="n">
        <v>1085.67044231</v>
      </c>
      <c r="J40" s="154" t="n">
        <v>1157.32879425</v>
      </c>
      <c r="K40" s="154" t="n">
        <v>1075.88615968</v>
      </c>
      <c r="L40" s="154" t="n">
        <v>1135.0502547</v>
      </c>
      <c r="M40" s="154" t="n">
        <v>1174.70177789</v>
      </c>
      <c r="N40" s="154" t="n">
        <v>1154.77907118</v>
      </c>
      <c r="O40" s="154" t="n">
        <v>1052.49514457</v>
      </c>
      <c r="P40" s="154" t="n">
        <v>854.61371378</v>
      </c>
      <c r="Q40" s="154" t="n">
        <v>994.01955902</v>
      </c>
      <c r="R40" s="154" t="n">
        <v>919.74501589</v>
      </c>
      <c r="S40" s="154" t="n">
        <v>801.762466</v>
      </c>
      <c r="T40" s="152" t="inlineStr">
        <is>
          <t>2014-2025 (2026 to August, not shown)</t>
        </is>
      </c>
      <c r="U40" s="152" t="inlineStr">
        <is>
          <t>South African Revenue Service, trade statistics by tariff line</t>
        </is>
      </c>
      <c r="V40" s="152" t="inlineStr"/>
    </row>
    <row r="41">
      <c r="A41" s="156" t="inlineStr">
        <is>
          <t>Exports, diesel and petrol</t>
        </is>
      </c>
      <c r="B41" s="157" t="inlineStr">
        <is>
          <t>million L/year</t>
        </is>
      </c>
      <c r="C41" s="157" t="inlineStr">
        <is>
          <t>Reporting formula</t>
        </is>
      </c>
      <c r="D41" s="158" t="n"/>
      <c r="E41" s="156" t="inlineStr">
        <is>
          <t>Sum of the two rows above.</t>
        </is>
      </c>
      <c r="F41" s="158">
        <f>IF(COUNT(F39,F40)&lt;2,"",F39+F40)</f>
        <v/>
      </c>
      <c r="G41" s="158">
        <f>IF(COUNT(G39,G40)&lt;2,"",G39+G40)</f>
        <v/>
      </c>
      <c r="H41" s="158">
        <f>IF(COUNT(H39,H40)&lt;2,"",H39+H40)</f>
        <v/>
      </c>
      <c r="I41" s="158">
        <f>IF(COUNT(I39,I40)&lt;2,"",I39+I40)</f>
        <v/>
      </c>
      <c r="J41" s="158">
        <f>IF(COUNT(J39,J40)&lt;2,"",J39+J40)</f>
        <v/>
      </c>
      <c r="K41" s="158">
        <f>IF(COUNT(K39,K40)&lt;2,"",K39+K40)</f>
        <v/>
      </c>
      <c r="L41" s="158">
        <f>IF(COUNT(L39,L40)&lt;2,"",L39+L40)</f>
        <v/>
      </c>
      <c r="M41" s="158">
        <f>IF(COUNT(M39,M40)&lt;2,"",M39+M40)</f>
        <v/>
      </c>
      <c r="N41" s="158">
        <f>IF(COUNT(N39,N40)&lt;2,"",N39+N40)</f>
        <v/>
      </c>
      <c r="O41" s="158">
        <f>IF(COUNT(O39,O40)&lt;2,"",O39+O40)</f>
        <v/>
      </c>
      <c r="P41" s="158">
        <f>IF(COUNT(P39,P40)&lt;2,"",P39+P40)</f>
        <v/>
      </c>
      <c r="Q41" s="158">
        <f>IF(COUNT(Q39,Q40)&lt;2,"",Q39+Q40)</f>
        <v/>
      </c>
      <c r="R41" s="158">
        <f>IF(COUNT(R39,R40)&lt;2,"",R39+R40)</f>
        <v/>
      </c>
      <c r="S41" s="158">
        <f>IF(COUNT(S39,S40)&lt;2,"",S39+S40)</f>
        <v/>
      </c>
      <c r="T41" s="156" t="inlineStr"/>
      <c r="U41" s="156" t="inlineStr">
        <is>
          <t>Calculated in this workbook from the rows named in the definition</t>
        </is>
      </c>
      <c r="V41" s="156" t="inlineStr"/>
    </row>
    <row r="42">
      <c r="A42" s="156" t="inlineStr">
        <is>
          <t>Net imports, diesel</t>
        </is>
      </c>
      <c r="B42" s="157" t="inlineStr">
        <is>
          <t>million L/year</t>
        </is>
      </c>
      <c r="C42" s="157" t="inlineStr">
        <is>
          <t>Reporting formula</t>
        </is>
      </c>
      <c r="D42" s="158" t="n"/>
      <c r="E42" s="156" t="inlineStr">
        <is>
          <t>Imports less exports.</t>
        </is>
      </c>
      <c r="F42" s="158">
        <f>IF(COUNT(F36,F39)&lt;2,"",F36-F39)</f>
        <v/>
      </c>
      <c r="G42" s="158">
        <f>IF(COUNT(G36,G39)&lt;2,"",G36-G39)</f>
        <v/>
      </c>
      <c r="H42" s="158">
        <f>IF(COUNT(H36,H39)&lt;2,"",H36-H39)</f>
        <v/>
      </c>
      <c r="I42" s="158">
        <f>IF(COUNT(I36,I39)&lt;2,"",I36-I39)</f>
        <v/>
      </c>
      <c r="J42" s="158">
        <f>IF(COUNT(J36,J39)&lt;2,"",J36-J39)</f>
        <v/>
      </c>
      <c r="K42" s="158">
        <f>IF(COUNT(K36,K39)&lt;2,"",K36-K39)</f>
        <v/>
      </c>
      <c r="L42" s="158">
        <f>IF(COUNT(L36,L39)&lt;2,"",L36-L39)</f>
        <v/>
      </c>
      <c r="M42" s="158">
        <f>IF(COUNT(M36,M39)&lt;2,"",M36-M39)</f>
        <v/>
      </c>
      <c r="N42" s="158">
        <f>IF(COUNT(N36,N39)&lt;2,"",N36-N39)</f>
        <v/>
      </c>
      <c r="O42" s="158">
        <f>IF(COUNT(O36,O39)&lt;2,"",O36-O39)</f>
        <v/>
      </c>
      <c r="P42" s="158">
        <f>IF(COUNT(P36,P39)&lt;2,"",P36-P39)</f>
        <v/>
      </c>
      <c r="Q42" s="158">
        <f>IF(COUNT(Q36,Q39)&lt;2,"",Q36-Q39)</f>
        <v/>
      </c>
      <c r="R42" s="158">
        <f>IF(COUNT(R36,R39)&lt;2,"",R36-R39)</f>
        <v/>
      </c>
      <c r="S42" s="158">
        <f>IF(COUNT(S36,S39)&lt;2,"",S36-S39)</f>
        <v/>
      </c>
      <c r="T42" s="156" t="inlineStr"/>
      <c r="U42" s="156" t="inlineStr">
        <is>
          <t>Calculated in this workbook from the rows named in the definition</t>
        </is>
      </c>
      <c r="V42" s="156" t="inlineStr"/>
    </row>
    <row r="43">
      <c r="A43" s="156" t="inlineStr">
        <is>
          <t>Net imports, petrol</t>
        </is>
      </c>
      <c r="B43" s="157" t="inlineStr">
        <is>
          <t>million L/year</t>
        </is>
      </c>
      <c r="C43" s="157" t="inlineStr">
        <is>
          <t>Reporting formula</t>
        </is>
      </c>
      <c r="D43" s="158" t="n"/>
      <c r="E43" s="156" t="inlineStr">
        <is>
          <t>Imports less exports.</t>
        </is>
      </c>
      <c r="F43" s="158">
        <f>IF(COUNT(F37,F40)&lt;2,"",F37-F40)</f>
        <v/>
      </c>
      <c r="G43" s="158">
        <f>IF(COUNT(G37,G40)&lt;2,"",G37-G40)</f>
        <v/>
      </c>
      <c r="H43" s="158">
        <f>IF(COUNT(H37,H40)&lt;2,"",H37-H40)</f>
        <v/>
      </c>
      <c r="I43" s="158">
        <f>IF(COUNT(I37,I40)&lt;2,"",I37-I40)</f>
        <v/>
      </c>
      <c r="J43" s="158">
        <f>IF(COUNT(J37,J40)&lt;2,"",J37-J40)</f>
        <v/>
      </c>
      <c r="K43" s="158">
        <f>IF(COUNT(K37,K40)&lt;2,"",K37-K40)</f>
        <v/>
      </c>
      <c r="L43" s="158">
        <f>IF(COUNT(L37,L40)&lt;2,"",L37-L40)</f>
        <v/>
      </c>
      <c r="M43" s="158">
        <f>IF(COUNT(M37,M40)&lt;2,"",M37-M40)</f>
        <v/>
      </c>
      <c r="N43" s="158">
        <f>IF(COUNT(N37,N40)&lt;2,"",N37-N40)</f>
        <v/>
      </c>
      <c r="O43" s="158">
        <f>IF(COUNT(O37,O40)&lt;2,"",O37-O40)</f>
        <v/>
      </c>
      <c r="P43" s="158">
        <f>IF(COUNT(P37,P40)&lt;2,"",P37-P40)</f>
        <v/>
      </c>
      <c r="Q43" s="158">
        <f>IF(COUNT(Q37,Q40)&lt;2,"",Q37-Q40)</f>
        <v/>
      </c>
      <c r="R43" s="158">
        <f>IF(COUNT(R37,R40)&lt;2,"",R37-R40)</f>
        <v/>
      </c>
      <c r="S43" s="158">
        <f>IF(COUNT(S37,S40)&lt;2,"",S37-S40)</f>
        <v/>
      </c>
      <c r="T43" s="156" t="inlineStr"/>
      <c r="U43" s="156" t="inlineStr">
        <is>
          <t>Calculated in this workbook from the rows named in the definition</t>
        </is>
      </c>
      <c r="V43" s="156" t="inlineStr"/>
    </row>
    <row r="44">
      <c r="A44" s="156" t="inlineStr">
        <is>
          <t>Net imports, diesel and petrol</t>
        </is>
      </c>
      <c r="B44" s="157" t="inlineStr">
        <is>
          <t>million L/year</t>
        </is>
      </c>
      <c r="C44" s="157" t="inlineStr">
        <is>
          <t>Reporting formula</t>
        </is>
      </c>
      <c r="D44" s="158" t="n"/>
      <c r="E44" s="156" t="inlineStr">
        <is>
          <t>Imports less exports.</t>
        </is>
      </c>
      <c r="F44" s="158">
        <f>IF(COUNT(F38,F41)&lt;2,"",F38-F41)</f>
        <v/>
      </c>
      <c r="G44" s="158">
        <f>IF(COUNT(G38,G41)&lt;2,"",G38-G41)</f>
        <v/>
      </c>
      <c r="H44" s="158">
        <f>IF(COUNT(H38,H41)&lt;2,"",H38-H41)</f>
        <v/>
      </c>
      <c r="I44" s="158">
        <f>IF(COUNT(I38,I41)&lt;2,"",I38-I41)</f>
        <v/>
      </c>
      <c r="J44" s="158">
        <f>IF(COUNT(J38,J41)&lt;2,"",J38-J41)</f>
        <v/>
      </c>
      <c r="K44" s="158">
        <f>IF(COUNT(K38,K41)&lt;2,"",K38-K41)</f>
        <v/>
      </c>
      <c r="L44" s="158">
        <f>IF(COUNT(L38,L41)&lt;2,"",L38-L41)</f>
        <v/>
      </c>
      <c r="M44" s="158">
        <f>IF(COUNT(M38,M41)&lt;2,"",M38-M41)</f>
        <v/>
      </c>
      <c r="N44" s="158">
        <f>IF(COUNT(N38,N41)&lt;2,"",N38-N41)</f>
        <v/>
      </c>
      <c r="O44" s="158">
        <f>IF(COUNT(O38,O41)&lt;2,"",O38-O41)</f>
        <v/>
      </c>
      <c r="P44" s="158">
        <f>IF(COUNT(P38,P41)&lt;2,"",P38-P41)</f>
        <v/>
      </c>
      <c r="Q44" s="158">
        <f>IF(COUNT(Q38,Q41)&lt;2,"",Q38-Q41)</f>
        <v/>
      </c>
      <c r="R44" s="158">
        <f>IF(COUNT(R38,R41)&lt;2,"",R38-R41)</f>
        <v/>
      </c>
      <c r="S44" s="158">
        <f>IF(COUNT(S38,S41)&lt;2,"",S38-S41)</f>
        <v/>
      </c>
      <c r="T44" s="156" t="inlineStr"/>
      <c r="U44" s="156" t="inlineStr">
        <is>
          <t>Calculated in this workbook from the rows named in the definition</t>
        </is>
      </c>
      <c r="V44" s="156" t="inlineStr"/>
    </row>
    <row r="45">
      <c r="A45" s="159" t="inlineStr">
        <is>
          <t>FIASA imports, diesel</t>
        </is>
      </c>
      <c r="B45" s="160" t="inlineStr">
        <is>
          <t>million L/year</t>
        </is>
      </c>
      <c r="C45" s="160" t="inlineStr">
        <is>
          <t>Comparison only</t>
        </is>
      </c>
      <c r="D45" s="161" t="n"/>
      <c r="E45" s="159" t="inlineStr">
        <is>
          <t>FIASA annual report, latest edition for each year. Not used in the balance.</t>
        </is>
      </c>
      <c r="F45" s="161" t="n">
        <v>3247</v>
      </c>
      <c r="G45" s="161" t="n">
        <v>4254</v>
      </c>
      <c r="H45" s="161" t="n">
        <v>4997</v>
      </c>
      <c r="I45" s="161" t="n">
        <v>6451</v>
      </c>
      <c r="J45" s="161" t="n">
        <v>4424</v>
      </c>
      <c r="K45" s="161" t="n">
        <v>6036</v>
      </c>
      <c r="L45" s="161" t="n">
        <v>6105</v>
      </c>
      <c r="M45" s="161" t="n">
        <v>5858</v>
      </c>
      <c r="N45" s="161" t="n">
        <v>6815</v>
      </c>
      <c r="O45" s="161" t="n">
        <v>9567</v>
      </c>
      <c r="P45" s="161" t="n">
        <v>11914</v>
      </c>
      <c r="Q45" s="161" t="n">
        <v>12794</v>
      </c>
      <c r="R45" s="161" t="n">
        <v>14793</v>
      </c>
      <c r="S45" s="161" t="n">
        <v>12249</v>
      </c>
      <c r="T45" s="159" t="inlineStr">
        <is>
          <t>2024 diesel imports is a suspected misprint (14,793 for 10,793)</t>
        </is>
      </c>
      <c r="U45" s="159" t="inlineStr">
        <is>
          <t>Fuels Industry Association of South Africa, annual reports</t>
        </is>
      </c>
      <c r="V45" s="159" t="inlineStr"/>
    </row>
    <row r="46">
      <c r="A46" s="159" t="inlineStr">
        <is>
          <t>FIASA imports, petrol</t>
        </is>
      </c>
      <c r="B46" s="160" t="inlineStr">
        <is>
          <t>million L/year</t>
        </is>
      </c>
      <c r="C46" s="160" t="inlineStr">
        <is>
          <t>Comparison only</t>
        </is>
      </c>
      <c r="D46" s="161" t="n"/>
      <c r="E46" s="159" t="inlineStr">
        <is>
          <t>FIASA annual report, latest edition for each year. Not used in the balance.</t>
        </is>
      </c>
      <c r="F46" s="161" t="n">
        <v>1827</v>
      </c>
      <c r="G46" s="161" t="n">
        <v>1509</v>
      </c>
      <c r="H46" s="161" t="n">
        <v>1150</v>
      </c>
      <c r="I46" s="161" t="n">
        <v>1870</v>
      </c>
      <c r="J46" s="161" t="n">
        <v>1396</v>
      </c>
      <c r="K46" s="161" t="n">
        <v>2114</v>
      </c>
      <c r="L46" s="161" t="n">
        <v>2195</v>
      </c>
      <c r="M46" s="161" t="n">
        <v>1477</v>
      </c>
      <c r="N46" s="161" t="n">
        <v>1720</v>
      </c>
      <c r="O46" s="161" t="n">
        <v>4009</v>
      </c>
      <c r="P46" s="161" t="n">
        <v>5455</v>
      </c>
      <c r="Q46" s="161" t="n">
        <v>4483</v>
      </c>
      <c r="R46" s="161" t="n">
        <v>4000</v>
      </c>
      <c r="S46" s="161" t="n">
        <v>4453</v>
      </c>
      <c r="T46" s="159" t="inlineStr"/>
      <c r="U46" s="159" t="inlineStr">
        <is>
          <t>Fuels Industry Association of South Africa, annual reports</t>
        </is>
      </c>
      <c r="V46" s="159" t="inlineStr"/>
    </row>
    <row r="47">
      <c r="A47" s="159" t="inlineStr">
        <is>
          <t>FIASA exports, diesel</t>
        </is>
      </c>
      <c r="B47" s="160" t="inlineStr">
        <is>
          <t>million L/year</t>
        </is>
      </c>
      <c r="C47" s="160" t="inlineStr">
        <is>
          <t>Comparison only</t>
        </is>
      </c>
      <c r="D47" s="161" t="n"/>
      <c r="E47" s="159" t="inlineStr">
        <is>
          <t>FIASA annual report, latest edition for each year. Not used in the balance.</t>
        </is>
      </c>
      <c r="F47" s="161" t="n">
        <v>929</v>
      </c>
      <c r="G47" s="161" t="n">
        <v>1620</v>
      </c>
      <c r="H47" s="161" t="n">
        <v>1493</v>
      </c>
      <c r="I47" s="161" t="n">
        <v>1625</v>
      </c>
      <c r="J47" s="161" t="n">
        <v>1887</v>
      </c>
      <c r="K47" s="161" t="n">
        <v>1784</v>
      </c>
      <c r="L47" s="161" t="n">
        <v>1838</v>
      </c>
      <c r="M47" s="161" t="n">
        <v>1786</v>
      </c>
      <c r="N47" s="161" t="n">
        <v>914</v>
      </c>
      <c r="O47" s="161" t="n">
        <v>895</v>
      </c>
      <c r="P47" s="161" t="n">
        <v>698</v>
      </c>
      <c r="Q47" s="161" t="n">
        <v>935</v>
      </c>
      <c r="R47" s="161" t="n">
        <v>821</v>
      </c>
      <c r="S47" s="161" t="n">
        <v>748</v>
      </c>
      <c r="T47" s="159" t="inlineStr"/>
      <c r="U47" s="159" t="inlineStr">
        <is>
          <t>Fuels Industry Association of South Africa, annual reports</t>
        </is>
      </c>
      <c r="V47" s="159" t="inlineStr"/>
    </row>
    <row r="48">
      <c r="A48" s="159" t="inlineStr">
        <is>
          <t>FIASA exports, petrol</t>
        </is>
      </c>
      <c r="B48" s="160" t="inlineStr">
        <is>
          <t>million L/year</t>
        </is>
      </c>
      <c r="C48" s="160" t="inlineStr">
        <is>
          <t>Comparison only</t>
        </is>
      </c>
      <c r="D48" s="161" t="n"/>
      <c r="E48" s="159" t="inlineStr">
        <is>
          <t>FIASA annual report, latest edition for each year. Not used in the balance.</t>
        </is>
      </c>
      <c r="F48" s="161" t="n">
        <v>444</v>
      </c>
      <c r="G48" s="161" t="n">
        <v>956</v>
      </c>
      <c r="H48" s="161" t="n">
        <v>989</v>
      </c>
      <c r="I48" s="161" t="n">
        <v>1086</v>
      </c>
      <c r="J48" s="161" t="n">
        <v>1159</v>
      </c>
      <c r="K48" s="161" t="n">
        <v>1082</v>
      </c>
      <c r="L48" s="161" t="n">
        <v>1321</v>
      </c>
      <c r="M48" s="161" t="n">
        <v>1179</v>
      </c>
      <c r="N48" s="161" t="n">
        <v>1155</v>
      </c>
      <c r="O48" s="161" t="n">
        <v>1054</v>
      </c>
      <c r="P48" s="161" t="n">
        <v>793</v>
      </c>
      <c r="Q48" s="161" t="n">
        <v>1018</v>
      </c>
      <c r="R48" s="161" t="n">
        <v>939</v>
      </c>
      <c r="S48" s="161" t="n">
        <v>802</v>
      </c>
      <c r="T48" s="159" t="inlineStr"/>
      <c r="U48" s="159" t="inlineStr">
        <is>
          <t>Fuels Industry Association of South Africa, annual reports</t>
        </is>
      </c>
      <c r="V48" s="159" t="inlineStr"/>
    </row>
    <row r="50">
      <c r="A50" s="151" t="inlineStr">
        <is>
          <t>3. Refinery production</t>
        </is>
      </c>
      <c r="B50" s="151" t="n"/>
      <c r="C50" s="151" t="n"/>
      <c r="D50" s="151" t="n"/>
      <c r="E50" s="151" t="n"/>
      <c r="F50" s="151" t="n"/>
      <c r="G50" s="151" t="n"/>
      <c r="H50" s="151" t="n"/>
      <c r="I50" s="151" t="n"/>
      <c r="J50" s="151" t="n"/>
      <c r="K50" s="151" t="n"/>
      <c r="L50" s="151" t="n"/>
      <c r="M50" s="151" t="n"/>
      <c r="N50" s="151" t="n"/>
      <c r="O50" s="151" t="n"/>
      <c r="P50" s="151" t="n"/>
      <c r="Q50" s="151" t="n"/>
      <c r="R50" s="151" t="n"/>
      <c r="S50" s="151" t="n"/>
      <c r="T50" s="151" t="n"/>
      <c r="U50" s="151" t="n"/>
      <c r="V50" s="151" t="n"/>
    </row>
    <row r="51">
      <c r="A51" s="152" t="inlineStr">
        <is>
          <t>Production reported, petrol</t>
        </is>
      </c>
      <c r="B51" s="153" t="inlineStr">
        <is>
          <t>million L/year</t>
        </is>
      </c>
      <c r="C51" s="153" t="inlineStr">
        <is>
          <t>Source observation</t>
        </is>
      </c>
      <c r="D51" s="154" t="n"/>
      <c r="E51" s="152" t="inlineStr">
        <is>
          <t>National production line of the department's energy balance for that year.</t>
        </is>
      </c>
      <c r="F51" s="154" t="n">
        <v>9637.8138</v>
      </c>
      <c r="G51" s="154" t="n">
        <v>10480.187</v>
      </c>
      <c r="H51" s="154" t="n">
        <v>10828.16</v>
      </c>
      <c r="I51" s="154" t="n">
        <v>10457.813</v>
      </c>
      <c r="J51" s="154" t="n">
        <v>10393.066</v>
      </c>
      <c r="K51" s="154" t="n">
        <v>9434.440000000001</v>
      </c>
      <c r="L51" s="154" t="n">
        <v>9974.559999999999</v>
      </c>
      <c r="M51" s="154" t="n">
        <v>10424.467</v>
      </c>
      <c r="N51" s="154" t="n">
        <v>7895</v>
      </c>
      <c r="O51" s="154" t="n">
        <v>6351.306666663</v>
      </c>
      <c r="P51" s="154" t="n"/>
      <c r="Q51" s="154" t="n"/>
      <c r="R51" s="154" t="n"/>
      <c r="S51" s="154" t="n"/>
      <c r="T51" s="152" t="inlineStr">
        <is>
          <t>2012-2021; no balance published after 2021</t>
        </is>
      </c>
      <c r="U51" s="152" t="inlineStr">
        <is>
          <t>Department of Mineral and Petroleum Resources, &lt;year&gt;-Commodity-Flow-and-Energy-Balance.xlsx (2021: .xlsm); dmpr.gov.za/Portals/0/Energy_Website/files/media/Energy_Balances.html</t>
        </is>
      </c>
      <c r="V51" s="152" t="inlineStr">
        <is>
          <t>2022 onward: add when the department publishes a balance</t>
        </is>
      </c>
    </row>
    <row r="52">
      <c r="A52" s="159" t="inlineStr">
        <is>
          <t>Refinery output reported to JODI, petrol</t>
        </is>
      </c>
      <c r="B52" s="160" t="inlineStr">
        <is>
          <t>million L/year</t>
        </is>
      </c>
      <c r="C52" s="160" t="inlineStr">
        <is>
          <t>Comparison only</t>
        </is>
      </c>
      <c r="D52" s="161" t="n"/>
      <c r="E52" s="159" t="inlineStr">
        <is>
          <t>South Africa's monthly submissions to the JODI oil database, added over the calendar year. Not used.</t>
        </is>
      </c>
      <c r="F52" s="161" t="n"/>
      <c r="G52" s="161" t="n"/>
      <c r="H52" s="161" t="n"/>
      <c r="I52" s="161" t="n"/>
      <c r="J52" s="161" t="n"/>
      <c r="K52" s="161" t="n">
        <v>11731.6379</v>
      </c>
      <c r="L52" s="161" t="n">
        <v>11313.0354</v>
      </c>
      <c r="M52" s="161" t="n">
        <v>12109.8608</v>
      </c>
      <c r="N52" s="161" t="n">
        <v>8927.943300000001</v>
      </c>
      <c r="O52" s="161" t="n">
        <v>7124.3185</v>
      </c>
      <c r="P52" s="161" t="n">
        <v>6638.4163</v>
      </c>
      <c r="Q52" s="161" t="n">
        <v>8522.800800000001</v>
      </c>
      <c r="R52" s="161" t="n">
        <v>7341.0227</v>
      </c>
      <c r="S52" s="161" t="n"/>
      <c r="T52" s="159" t="inlineStr">
        <is>
          <t>Not used. 2017-2024; 12-24% above the energy balance in 2017-2021</t>
        </is>
      </c>
      <c r="U52" s="159" t="inlineStr">
        <is>
          <t>JODI oil database, secondary products, annual files; jodidata.org; lowest assessment code</t>
        </is>
      </c>
      <c r="V52" s="159" t="inlineStr"/>
    </row>
    <row r="53">
      <c r="A53" s="152" t="inlineStr">
        <is>
          <t>Production reported, diesel</t>
        </is>
      </c>
      <c r="B53" s="153" t="inlineStr">
        <is>
          <t>million L/year</t>
        </is>
      </c>
      <c r="C53" s="153" t="inlineStr">
        <is>
          <t>Source observation</t>
        </is>
      </c>
      <c r="D53" s="154" t="n"/>
      <c r="E53" s="152" t="inlineStr">
        <is>
          <t>National production line of the department's energy balance for that year.</t>
        </is>
      </c>
      <c r="F53" s="154" t="n">
        <v>9661.628000000001</v>
      </c>
      <c r="G53" s="154" t="n">
        <v>9380.035</v>
      </c>
      <c r="H53" s="154" t="n">
        <v>9587.74</v>
      </c>
      <c r="I53" s="154" t="n">
        <v>9368.482</v>
      </c>
      <c r="J53" s="154" t="n">
        <v>9014.190000000001</v>
      </c>
      <c r="K53" s="154" t="n">
        <v>7921.726</v>
      </c>
      <c r="L53" s="154" t="n">
        <v>8425.262000000001</v>
      </c>
      <c r="M53" s="154" t="n">
        <v>9080.357</v>
      </c>
      <c r="N53" s="154" t="n">
        <v>6447.8095</v>
      </c>
      <c r="O53" s="154" t="n">
        <v>5314.964285718001</v>
      </c>
      <c r="P53" s="154" t="n"/>
      <c r="Q53" s="154" t="n"/>
      <c r="R53" s="154" t="n"/>
      <c r="S53" s="154" t="n"/>
      <c r="T53" s="152" t="inlineStr">
        <is>
          <t>2012-2021; no balance published after 2021</t>
        </is>
      </c>
      <c r="U53" s="152" t="inlineStr">
        <is>
          <t>Department of Mineral and Petroleum Resources, &lt;year&gt;-Commodity-Flow-and-Energy-Balance.xlsx (2021: .xlsm); dmpr.gov.za/Portals/0/Energy_Website/files/media/Energy_Balances.html</t>
        </is>
      </c>
      <c r="V53" s="152" t="inlineStr">
        <is>
          <t>2022 onward: add when the department publishes a balance</t>
        </is>
      </c>
    </row>
    <row r="54">
      <c r="A54" s="159" t="inlineStr">
        <is>
          <t>Refinery output reported to JODI, diesel</t>
        </is>
      </c>
      <c r="B54" s="160" t="inlineStr">
        <is>
          <t>million L/year</t>
        </is>
      </c>
      <c r="C54" s="160" t="inlineStr">
        <is>
          <t>Comparison only</t>
        </is>
      </c>
      <c r="D54" s="161" t="n"/>
      <c r="E54" s="159" t="inlineStr">
        <is>
          <t>South Africa's monthly submissions to the JODI oil database, added over the calendar year. Not used.</t>
        </is>
      </c>
      <c r="F54" s="161" t="n"/>
      <c r="G54" s="161" t="n"/>
      <c r="H54" s="161" t="n"/>
      <c r="I54" s="161" t="n"/>
      <c r="J54" s="161" t="n"/>
      <c r="K54" s="161" t="n">
        <v>8062.9588</v>
      </c>
      <c r="L54" s="161" t="n">
        <v>8136.4744</v>
      </c>
      <c r="M54" s="161" t="n">
        <v>8889.4123</v>
      </c>
      <c r="N54" s="161" t="n">
        <v>6356.6947</v>
      </c>
      <c r="O54" s="161" t="n">
        <v>5295.4669</v>
      </c>
      <c r="P54" s="161" t="n">
        <v>4110.9234</v>
      </c>
      <c r="Q54" s="161" t="n">
        <v>5187.5654</v>
      </c>
      <c r="R54" s="161" t="n">
        <v>3892.7492</v>
      </c>
      <c r="S54" s="161" t="n"/>
      <c r="T54" s="159" t="inlineStr">
        <is>
          <t>Not used. 2017-2024; within 4% of the energy balance in 2017-2021</t>
        </is>
      </c>
      <c r="U54" s="159" t="inlineStr">
        <is>
          <t>JODI oil database, secondary products, annual files; jodidata.org; lowest assessment code</t>
        </is>
      </c>
      <c r="V54" s="159" t="inlineStr"/>
    </row>
    <row r="55">
      <c r="A55" s="159" t="inlineStr">
        <is>
          <t>Secunda, all refined products</t>
        </is>
      </c>
      <c r="B55" s="160" t="inlineStr">
        <is>
          <t>million barrels</t>
        </is>
      </c>
      <c r="C55" s="160" t="inlineStr">
        <is>
          <t>Reported units; not converted</t>
        </is>
      </c>
      <c r="D55" s="161" t="n"/>
      <c r="E55" s="159" t="inlineStr">
        <is>
          <t>As reported by the operator; year to 30 June. All products together, so not comparable with the rows above without assumptions.</t>
        </is>
      </c>
      <c r="F55" s="161" t="n"/>
      <c r="G55" s="161" t="n"/>
      <c r="H55" s="161" t="n"/>
      <c r="I55" s="161" t="n"/>
      <c r="J55" s="161" t="n"/>
      <c r="K55" s="161" t="n"/>
      <c r="L55" s="161" t="n"/>
      <c r="M55" s="161" t="n"/>
      <c r="N55" s="161" t="n">
        <v>31.2</v>
      </c>
      <c r="O55" s="161" t="n">
        <v>32.1</v>
      </c>
      <c r="P55" s="161" t="n">
        <v>29.2</v>
      </c>
      <c r="Q55" s="161" t="n">
        <v>29.9</v>
      </c>
      <c r="R55" s="161" t="n">
        <v>29.1</v>
      </c>
      <c r="S55" s="161" t="n">
        <v>27.6</v>
      </c>
      <c r="T55" s="159" t="inlineStr">
        <is>
          <t>Operator reports; no split by product</t>
        </is>
      </c>
      <c r="U55" s="159" t="inlineStr">
        <is>
          <t>Sasol production metrics; Glencore annual reports</t>
        </is>
      </c>
      <c r="V55" s="159" t="inlineStr"/>
    </row>
    <row r="56">
      <c r="A56" s="159" t="inlineStr">
        <is>
          <t>Natref, Sasol's 63.64% share</t>
        </is>
      </c>
      <c r="B56" s="160" t="inlineStr">
        <is>
          <t>million barrels</t>
        </is>
      </c>
      <c r="C56" s="160" t="inlineStr">
        <is>
          <t>Reported units; not converted</t>
        </is>
      </c>
      <c r="D56" s="161" t="n"/>
      <c r="E56" s="159" t="inlineStr">
        <is>
          <t>As reported by the operator; year to 30 June. All products together, so not comparable with the rows above without assumptions.</t>
        </is>
      </c>
      <c r="F56" s="161" t="n"/>
      <c r="G56" s="161" t="n"/>
      <c r="H56" s="161" t="n"/>
      <c r="I56" s="161" t="n"/>
      <c r="J56" s="161" t="n"/>
      <c r="K56" s="161" t="n"/>
      <c r="L56" s="161" t="n"/>
      <c r="M56" s="161" t="n"/>
      <c r="N56" s="161" t="n">
        <v>16.8</v>
      </c>
      <c r="O56" s="161" t="n">
        <v>17.7</v>
      </c>
      <c r="P56" s="161" t="n">
        <v>18.9</v>
      </c>
      <c r="Q56" s="161" t="n">
        <v>17.2</v>
      </c>
      <c r="R56" s="161" t="n">
        <v>17.8</v>
      </c>
      <c r="S56" s="161" t="n">
        <v>14.7</v>
      </c>
      <c r="T56" s="159" t="inlineStr">
        <is>
          <t>Operator reports; no split by product</t>
        </is>
      </c>
      <c r="U56" s="159" t="inlineStr">
        <is>
          <t>Sasol production metrics; Glencore annual reports</t>
        </is>
      </c>
      <c r="V56" s="159" t="inlineStr"/>
    </row>
    <row r="57">
      <c r="A57" s="159" t="inlineStr">
        <is>
          <t>Astron (Cape Town), all refined products</t>
        </is>
      </c>
      <c r="B57" s="160" t="inlineStr">
        <is>
          <t>billion Btu</t>
        </is>
      </c>
      <c r="C57" s="160" t="inlineStr">
        <is>
          <t>Reported units; not converted</t>
        </is>
      </c>
      <c r="D57" s="161" t="n"/>
      <c r="E57" s="159" t="inlineStr">
        <is>
          <t>As reported by the operator; calendar year. All products together, so not comparable with the rows above without assumptions.</t>
        </is>
      </c>
      <c r="F57" s="161" t="n"/>
      <c r="G57" s="161" t="n"/>
      <c r="H57" s="161" t="n"/>
      <c r="I57" s="161" t="n"/>
      <c r="J57" s="161" t="n"/>
      <c r="K57" s="161" t="n"/>
      <c r="L57" s="161" t="n"/>
      <c r="M57" s="161" t="n"/>
      <c r="N57" s="161" t="n"/>
      <c r="O57" s="161" t="n"/>
      <c r="P57" s="161" t="n"/>
      <c r="Q57" s="161" t="n">
        <v>136665</v>
      </c>
      <c r="R57" s="161" t="n">
        <v>166204</v>
      </c>
      <c r="S57" s="161" t="n">
        <v>164365</v>
      </c>
      <c r="T57" s="159" t="inlineStr">
        <is>
          <t>Operator reports; no split by product</t>
        </is>
      </c>
      <c r="U57" s="159" t="inlineStr">
        <is>
          <t>Sasol production metrics; Glencore annual reports</t>
        </is>
      </c>
      <c r="V57" s="159" t="inlineStr"/>
    </row>
    <row r="59">
      <c r="A59" s="151" t="inlineStr">
        <is>
          <t>4. Balance: consumption = imports - exports + production + stock change</t>
        </is>
      </c>
      <c r="B59" s="151" t="n"/>
      <c r="C59" s="151" t="n"/>
      <c r="D59" s="151" t="n"/>
      <c r="E59" s="151" t="n"/>
      <c r="F59" s="151" t="n"/>
      <c r="G59" s="151" t="n"/>
      <c r="H59" s="151" t="n"/>
      <c r="I59" s="151" t="n"/>
      <c r="J59" s="151" t="n"/>
      <c r="K59" s="151" t="n"/>
      <c r="L59" s="151" t="n"/>
      <c r="M59" s="151" t="n"/>
      <c r="N59" s="151" t="n"/>
      <c r="O59" s="151" t="n"/>
      <c r="P59" s="151" t="n"/>
      <c r="Q59" s="151" t="n"/>
      <c r="R59" s="151" t="n"/>
      <c r="S59" s="151" t="n"/>
      <c r="T59" s="151" t="n"/>
      <c r="U59" s="151" t="n"/>
      <c r="V59" s="151" t="n"/>
    </row>
    <row r="60">
      <c r="A60" s="159" t="inlineStr">
        <is>
          <t>FIASA sales, petrol</t>
        </is>
      </c>
      <c r="B60" s="160" t="inlineStr">
        <is>
          <t>million L/year</t>
        </is>
      </c>
      <c r="C60" s="160" t="inlineStr">
        <is>
          <t>Comparison only</t>
        </is>
      </c>
      <c r="D60" s="161" t="n"/>
      <c r="E60" s="159" t="inlineStr">
        <is>
          <t>FIASA annual report, latest edition. Attributed by FIASA to the department.</t>
        </is>
      </c>
      <c r="F60" s="161" t="n">
        <v>11714</v>
      </c>
      <c r="G60" s="161" t="n">
        <v>11153</v>
      </c>
      <c r="H60" s="161" t="n">
        <v>11344</v>
      </c>
      <c r="I60" s="161" t="n">
        <v>12072</v>
      </c>
      <c r="J60" s="161" t="n">
        <v>10160</v>
      </c>
      <c r="K60" s="161" t="n">
        <v>11174</v>
      </c>
      <c r="L60" s="161" t="n">
        <v>11142</v>
      </c>
      <c r="M60" s="161" t="n">
        <v>10773</v>
      </c>
      <c r="N60" s="161" t="n">
        <v>8761</v>
      </c>
      <c r="O60" s="161" t="n">
        <v>9302</v>
      </c>
      <c r="P60" s="161" t="n">
        <v>9185</v>
      </c>
      <c r="Q60" s="161" t="n">
        <v>9037</v>
      </c>
      <c r="R60" s="161" t="n">
        <v>9029</v>
      </c>
      <c r="S60" s="161" t="n"/>
      <c r="T60" s="159" t="inlineStr">
        <is>
          <t>Not used. 2024 differs between FIASA's 2024 and 2025 editions</t>
        </is>
      </c>
      <c r="U60" s="159" t="inlineStr">
        <is>
          <t>Fuels Industry Association of South Africa, annual reports</t>
        </is>
      </c>
      <c r="V60" s="159" t="inlineStr"/>
    </row>
    <row r="61">
      <c r="A61" s="156" t="inlineStr">
        <is>
          <t>Sales used, petrol</t>
        </is>
      </c>
      <c r="B61" s="157" t="inlineStr">
        <is>
          <t>million L/year</t>
        </is>
      </c>
      <c r="C61" s="157" t="inlineStr">
        <is>
          <t>Reporting formula</t>
        </is>
      </c>
      <c r="D61" s="158" t="n"/>
      <c r="E61" s="156" t="inlineStr">
        <is>
          <t>The sum of the nine provinces (section 1) where there is one; otherwise the department's national file. 2023 is the national total, which the provincial estimates add up to.</t>
        </is>
      </c>
      <c r="F61" s="158">
        <f>IF(ISNUMBER(F15),F15,IF(ISNUMBER(F16),F16,""))</f>
        <v/>
      </c>
      <c r="G61" s="158">
        <f>IF(ISNUMBER(G15),G15,IF(ISNUMBER(G16),G16,""))</f>
        <v/>
      </c>
      <c r="H61" s="158">
        <f>IF(ISNUMBER(H15),H15,IF(ISNUMBER(H16),H16,""))</f>
        <v/>
      </c>
      <c r="I61" s="158">
        <f>IF(ISNUMBER(I15),I15,IF(ISNUMBER(I16),I16,""))</f>
        <v/>
      </c>
      <c r="J61" s="158">
        <f>IF(ISNUMBER(J15),J15,IF(ISNUMBER(J16),J16,""))</f>
        <v/>
      </c>
      <c r="K61" s="158">
        <f>IF(ISNUMBER(K15),K15,IF(ISNUMBER(K16),K16,""))</f>
        <v/>
      </c>
      <c r="L61" s="158">
        <f>IF(ISNUMBER(L15),L15,IF(ISNUMBER(L16),L16,""))</f>
        <v/>
      </c>
      <c r="M61" s="158">
        <f>IF(ISNUMBER(M15),M15,IF(ISNUMBER(M16),M16,""))</f>
        <v/>
      </c>
      <c r="N61" s="158">
        <f>IF(ISNUMBER(N15),N15,IF(ISNUMBER(N16),N16,""))</f>
        <v/>
      </c>
      <c r="O61" s="158">
        <f>IF(ISNUMBER(O15),O15,IF(ISNUMBER(O16),O16,""))</f>
        <v/>
      </c>
      <c r="P61" s="158">
        <f>IF(ISNUMBER(P15),P15,IF(ISNUMBER(P16),P16,""))</f>
        <v/>
      </c>
      <c r="Q61" s="158">
        <f>IF(ISNUMBER(Q15),Q15,IF(ISNUMBER(Q16),Q16,""))</f>
        <v/>
      </c>
      <c r="R61" s="158">
        <f>IF(ISNUMBER(R15),R15,IF(ISNUMBER(R16),R16,""))</f>
        <v/>
      </c>
      <c r="S61" s="158">
        <f>IF(ISNUMBER(S15),S15,IF(ISNUMBER(S16),S16,""))</f>
        <v/>
      </c>
      <c r="T61" s="156" t="inlineStr">
        <is>
          <t>Provinces 2013-2023 (2023 estimated); national file 2012; blank for 2024 and 2025</t>
        </is>
      </c>
      <c r="U61" s="156" t="inlineStr">
        <is>
          <t>Department district sales summed to province; national file for 2012 and the 2023 total</t>
        </is>
      </c>
      <c r="V61" s="156" t="inlineStr"/>
    </row>
    <row r="62">
      <c r="A62" s="156" t="inlineStr">
        <is>
          <t>Net imports used, petrol</t>
        </is>
      </c>
      <c r="B62" s="157" t="inlineStr">
        <is>
          <t>million L/year</t>
        </is>
      </c>
      <c r="C62" s="157" t="inlineStr">
        <is>
          <t>Reporting formula</t>
        </is>
      </c>
      <c r="D62" s="158" t="n"/>
      <c r="E62" s="156" t="inlineStr">
        <is>
          <t>SARS customs from 2014 (section 2).</t>
        </is>
      </c>
      <c r="F62" s="158">
        <f>IF(ISNUMBER(F43),F43,"")</f>
        <v/>
      </c>
      <c r="G62" s="158">
        <f>IF(ISNUMBER(G43),G43,"")</f>
        <v/>
      </c>
      <c r="H62" s="158">
        <f>IF(ISNUMBER(H43),H43,"")</f>
        <v/>
      </c>
      <c r="I62" s="158">
        <f>IF(ISNUMBER(I43),I43,"")</f>
        <v/>
      </c>
      <c r="J62" s="158">
        <f>IF(ISNUMBER(J43),J43,"")</f>
        <v/>
      </c>
      <c r="K62" s="158">
        <f>IF(ISNUMBER(K43),K43,"")</f>
        <v/>
      </c>
      <c r="L62" s="158">
        <f>IF(ISNUMBER(L43),L43,"")</f>
        <v/>
      </c>
      <c r="M62" s="158">
        <f>IF(ISNUMBER(M43),M43,"")</f>
        <v/>
      </c>
      <c r="N62" s="158">
        <f>IF(ISNUMBER(N43),N43,"")</f>
        <v/>
      </c>
      <c r="O62" s="158">
        <f>IF(ISNUMBER(O43),O43,"")</f>
        <v/>
      </c>
      <c r="P62" s="158">
        <f>IF(ISNUMBER(P43),P43,"")</f>
        <v/>
      </c>
      <c r="Q62" s="158">
        <f>IF(ISNUMBER(Q43),Q43,"")</f>
        <v/>
      </c>
      <c r="R62" s="158">
        <f>IF(ISNUMBER(R43),R43,"")</f>
        <v/>
      </c>
      <c r="S62" s="158">
        <f>IF(ISNUMBER(S43),S43,"")</f>
        <v/>
      </c>
      <c r="T62" s="156" t="inlineStr"/>
      <c r="U62" s="156" t="inlineStr">
        <is>
          <t>Calculated in this workbook from the rows named in the definition</t>
        </is>
      </c>
      <c r="V62" s="156" t="inlineStr"/>
    </row>
    <row r="63">
      <c r="A63" s="156" t="inlineStr">
        <is>
          <t>Sales less net imports, petrol</t>
        </is>
      </c>
      <c r="B63" s="157" t="inlineStr">
        <is>
          <t>million L/year</t>
        </is>
      </c>
      <c r="C63" s="157" t="inlineStr">
        <is>
          <t>Reporting formula</t>
        </is>
      </c>
      <c r="D63" s="158" t="n"/>
      <c r="E63" s="156" t="inlineStr">
        <is>
          <t>What production, stock changes and gaps in sales coverage must together supply. Not a measurement of production.</t>
        </is>
      </c>
      <c r="F63" s="158">
        <f>IF(COUNT(F61,F62)&lt;2,"",F61-F62)</f>
        <v/>
      </c>
      <c r="G63" s="158">
        <f>IF(COUNT(G61,G62)&lt;2,"",G61-G62)</f>
        <v/>
      </c>
      <c r="H63" s="158">
        <f>IF(COUNT(H61,H62)&lt;2,"",H61-H62)</f>
        <v/>
      </c>
      <c r="I63" s="158">
        <f>IF(COUNT(I61,I62)&lt;2,"",I61-I62)</f>
        <v/>
      </c>
      <c r="J63" s="158">
        <f>IF(COUNT(J61,J62)&lt;2,"",J61-J62)</f>
        <v/>
      </c>
      <c r="K63" s="158">
        <f>IF(COUNT(K61,K62)&lt;2,"",K61-K62)</f>
        <v/>
      </c>
      <c r="L63" s="158">
        <f>IF(COUNT(L61,L62)&lt;2,"",L61-L62)</f>
        <v/>
      </c>
      <c r="M63" s="158">
        <f>IF(COUNT(M61,M62)&lt;2,"",M61-M62)</f>
        <v/>
      </c>
      <c r="N63" s="158">
        <f>IF(COUNT(N61,N62)&lt;2,"",N61-N62)</f>
        <v/>
      </c>
      <c r="O63" s="158">
        <f>IF(COUNT(O61,O62)&lt;2,"",O61-O62)</f>
        <v/>
      </c>
      <c r="P63" s="158">
        <f>IF(COUNT(P61,P62)&lt;2,"",P61-P62)</f>
        <v/>
      </c>
      <c r="Q63" s="158">
        <f>IF(COUNT(Q61,Q62)&lt;2,"",Q61-Q62)</f>
        <v/>
      </c>
      <c r="R63" s="158">
        <f>IF(COUNT(R61,R62)&lt;2,"",R61-R62)</f>
        <v/>
      </c>
      <c r="S63" s="158">
        <f>IF(COUNT(S61,S62)&lt;2,"",S61-S62)</f>
        <v/>
      </c>
      <c r="T63" s="156" t="inlineStr"/>
      <c r="U63" s="156" t="inlineStr">
        <is>
          <t>Calculated in this workbook from the rows named in the definition</t>
        </is>
      </c>
      <c r="V63" s="156" t="inlineStr"/>
    </row>
    <row r="64">
      <c r="A64" s="156" t="inlineStr">
        <is>
          <t>Unexplained after reported production, petrol</t>
        </is>
      </c>
      <c r="B64" s="157" t="inlineStr">
        <is>
          <t>million L/year</t>
        </is>
      </c>
      <c r="C64" s="157" t="inlineStr">
        <is>
          <t>Reporting formula</t>
        </is>
      </c>
      <c r="D64" s="158" t="n"/>
      <c r="E64" s="156" t="inlineStr">
        <is>
          <t>Sales less net imports less reported production: stock change plus anything the sources do not cover.</t>
        </is>
      </c>
      <c r="F64" s="158">
        <f>IF(COUNT(F63,F51)&lt;2,"",F63-F51)</f>
        <v/>
      </c>
      <c r="G64" s="158">
        <f>IF(COUNT(G63,G51)&lt;2,"",G63-G51)</f>
        <v/>
      </c>
      <c r="H64" s="158">
        <f>IF(COUNT(H63,H51)&lt;2,"",H63-H51)</f>
        <v/>
      </c>
      <c r="I64" s="158">
        <f>IF(COUNT(I63,I51)&lt;2,"",I63-I51)</f>
        <v/>
      </c>
      <c r="J64" s="158">
        <f>IF(COUNT(J63,J51)&lt;2,"",J63-J51)</f>
        <v/>
      </c>
      <c r="K64" s="158">
        <f>IF(COUNT(K63,K51)&lt;2,"",K63-K51)</f>
        <v/>
      </c>
      <c r="L64" s="158">
        <f>IF(COUNT(L63,L51)&lt;2,"",L63-L51)</f>
        <v/>
      </c>
      <c r="M64" s="158">
        <f>IF(COUNT(M63,M51)&lt;2,"",M63-M51)</f>
        <v/>
      </c>
      <c r="N64" s="158">
        <f>IF(COUNT(N63,N51)&lt;2,"",N63-N51)</f>
        <v/>
      </c>
      <c r="O64" s="158">
        <f>IF(COUNT(O63,O51)&lt;2,"",O63-O51)</f>
        <v/>
      </c>
      <c r="P64" s="158">
        <f>IF(COUNT(P63,P51)&lt;2,"",P63-P51)</f>
        <v/>
      </c>
      <c r="Q64" s="158">
        <f>IF(COUNT(Q63,Q51)&lt;2,"",Q63-Q51)</f>
        <v/>
      </c>
      <c r="R64" s="158">
        <f>IF(COUNT(R63,R51)&lt;2,"",R63-R51)</f>
        <v/>
      </c>
      <c r="S64" s="158">
        <f>IF(COUNT(S63,S51)&lt;2,"",S63-S51)</f>
        <v/>
      </c>
      <c r="T64" s="156" t="inlineStr">
        <is>
          <t>To 2021, the last energy balance. Negative means reported supply is above recorded sales</t>
        </is>
      </c>
      <c r="U64" s="156" t="inlineStr">
        <is>
          <t>Calculated in this workbook from the rows named in the definition</t>
        </is>
      </c>
      <c r="V64" s="156" t="inlineStr">
        <is>
          <t>No stock series is published</t>
        </is>
      </c>
    </row>
    <row r="65">
      <c r="A65" s="159" t="inlineStr">
        <is>
          <t>FIASA sales, diesel</t>
        </is>
      </c>
      <c r="B65" s="160" t="inlineStr">
        <is>
          <t>million L/year</t>
        </is>
      </c>
      <c r="C65" s="160" t="inlineStr">
        <is>
          <t>Comparison only</t>
        </is>
      </c>
      <c r="D65" s="161" t="n"/>
      <c r="E65" s="159" t="inlineStr">
        <is>
          <t>FIASA annual report, latest edition. Attributed by FIASA to the department.</t>
        </is>
      </c>
      <c r="F65" s="161" t="n">
        <v>11262</v>
      </c>
      <c r="G65" s="161" t="n">
        <v>11890</v>
      </c>
      <c r="H65" s="161" t="n">
        <v>13169</v>
      </c>
      <c r="I65" s="161" t="n">
        <v>14178</v>
      </c>
      <c r="J65" s="161" t="n">
        <v>10846</v>
      </c>
      <c r="K65" s="161" t="n">
        <v>12147</v>
      </c>
      <c r="L65" s="161" t="n">
        <v>12539</v>
      </c>
      <c r="M65" s="161" t="n">
        <v>12909</v>
      </c>
      <c r="N65" s="161" t="n">
        <v>11690</v>
      </c>
      <c r="O65" s="161" t="n">
        <v>12946</v>
      </c>
      <c r="P65" s="161" t="n">
        <v>12717</v>
      </c>
      <c r="Q65" s="161" t="n">
        <v>12907</v>
      </c>
      <c r="R65" s="161" t="n">
        <v>11734</v>
      </c>
      <c r="S65" s="161" t="n"/>
      <c r="T65" s="159" t="inlineStr">
        <is>
          <t>Not used. 2024 differs between FIASA's 2024 and 2025 editions</t>
        </is>
      </c>
      <c r="U65" s="159" t="inlineStr">
        <is>
          <t>Fuels Industry Association of South Africa, annual reports</t>
        </is>
      </c>
      <c r="V65" s="159" t="inlineStr"/>
    </row>
    <row r="66">
      <c r="A66" s="156" t="inlineStr">
        <is>
          <t>Sales used, diesel</t>
        </is>
      </c>
      <c r="B66" s="157" t="inlineStr">
        <is>
          <t>million L/year</t>
        </is>
      </c>
      <c r="C66" s="157" t="inlineStr">
        <is>
          <t>Reporting formula</t>
        </is>
      </c>
      <c r="D66" s="158" t="n"/>
      <c r="E66" s="156" t="inlineStr">
        <is>
          <t>The sum of the nine provinces (section 1) where there is one; otherwise the department's national file. 2023 is the national total, which the provincial estimates add up to.</t>
        </is>
      </c>
      <c r="F66" s="158">
        <f>IF(ISNUMBER(F30),F30,IF(ISNUMBER(F31),F31,""))</f>
        <v/>
      </c>
      <c r="G66" s="158">
        <f>IF(ISNUMBER(G30),G30,IF(ISNUMBER(G31),G31,""))</f>
        <v/>
      </c>
      <c r="H66" s="158">
        <f>IF(ISNUMBER(H30),H30,IF(ISNUMBER(H31),H31,""))</f>
        <v/>
      </c>
      <c r="I66" s="158">
        <f>IF(ISNUMBER(I30),I30,IF(ISNUMBER(I31),I31,""))</f>
        <v/>
      </c>
      <c r="J66" s="158">
        <f>IF(ISNUMBER(J30),J30,IF(ISNUMBER(J31),J31,""))</f>
        <v/>
      </c>
      <c r="K66" s="158">
        <f>IF(ISNUMBER(K30),K30,IF(ISNUMBER(K31),K31,""))</f>
        <v/>
      </c>
      <c r="L66" s="158">
        <f>IF(ISNUMBER(L30),L30,IF(ISNUMBER(L31),L31,""))</f>
        <v/>
      </c>
      <c r="M66" s="158">
        <f>IF(ISNUMBER(M30),M30,IF(ISNUMBER(M31),M31,""))</f>
        <v/>
      </c>
      <c r="N66" s="158">
        <f>IF(ISNUMBER(N30),N30,IF(ISNUMBER(N31),N31,""))</f>
        <v/>
      </c>
      <c r="O66" s="158">
        <f>IF(ISNUMBER(O30),O30,IF(ISNUMBER(O31),O31,""))</f>
        <v/>
      </c>
      <c r="P66" s="158">
        <f>IF(ISNUMBER(P30),P30,IF(ISNUMBER(P31),P31,""))</f>
        <v/>
      </c>
      <c r="Q66" s="158">
        <f>IF(ISNUMBER(Q30),Q30,IF(ISNUMBER(Q31),Q31,""))</f>
        <v/>
      </c>
      <c r="R66" s="158">
        <f>IF(ISNUMBER(R30),R30,IF(ISNUMBER(R31),R31,""))</f>
        <v/>
      </c>
      <c r="S66" s="158">
        <f>IF(ISNUMBER(S30),S30,IF(ISNUMBER(S31),S31,""))</f>
        <v/>
      </c>
      <c r="T66" s="156" t="inlineStr">
        <is>
          <t>Provinces 2013-2023 (2023 estimated); national file 2012; blank for 2024 and 2025</t>
        </is>
      </c>
      <c r="U66" s="156" t="inlineStr">
        <is>
          <t>Department district sales summed to province; national file for 2012 and the 2023 total</t>
        </is>
      </c>
      <c r="V66" s="156" t="inlineStr"/>
    </row>
    <row r="67">
      <c r="A67" s="156" t="inlineStr">
        <is>
          <t>Net imports used, diesel</t>
        </is>
      </c>
      <c r="B67" s="157" t="inlineStr">
        <is>
          <t>million L/year</t>
        </is>
      </c>
      <c r="C67" s="157" t="inlineStr">
        <is>
          <t>Reporting formula</t>
        </is>
      </c>
      <c r="D67" s="158" t="n"/>
      <c r="E67" s="156" t="inlineStr">
        <is>
          <t>SARS customs from 2014 (section 2).</t>
        </is>
      </c>
      <c r="F67" s="158">
        <f>IF(ISNUMBER(F42),F42,"")</f>
        <v/>
      </c>
      <c r="G67" s="158">
        <f>IF(ISNUMBER(G42),G42,"")</f>
        <v/>
      </c>
      <c r="H67" s="158">
        <f>IF(ISNUMBER(H42),H42,"")</f>
        <v/>
      </c>
      <c r="I67" s="158">
        <f>IF(ISNUMBER(I42),I42,"")</f>
        <v/>
      </c>
      <c r="J67" s="158">
        <f>IF(ISNUMBER(J42),J42,"")</f>
        <v/>
      </c>
      <c r="K67" s="158">
        <f>IF(ISNUMBER(K42),K42,"")</f>
        <v/>
      </c>
      <c r="L67" s="158">
        <f>IF(ISNUMBER(L42),L42,"")</f>
        <v/>
      </c>
      <c r="M67" s="158">
        <f>IF(ISNUMBER(M42),M42,"")</f>
        <v/>
      </c>
      <c r="N67" s="158">
        <f>IF(ISNUMBER(N42),N42,"")</f>
        <v/>
      </c>
      <c r="O67" s="158">
        <f>IF(ISNUMBER(O42),O42,"")</f>
        <v/>
      </c>
      <c r="P67" s="158">
        <f>IF(ISNUMBER(P42),P42,"")</f>
        <v/>
      </c>
      <c r="Q67" s="158">
        <f>IF(ISNUMBER(Q42),Q42,"")</f>
        <v/>
      </c>
      <c r="R67" s="158">
        <f>IF(ISNUMBER(R42),R42,"")</f>
        <v/>
      </c>
      <c r="S67" s="158">
        <f>IF(ISNUMBER(S42),S42,"")</f>
        <v/>
      </c>
      <c r="T67" s="156" t="inlineStr"/>
      <c r="U67" s="156" t="inlineStr">
        <is>
          <t>Calculated in this workbook from the rows named in the definition</t>
        </is>
      </c>
      <c r="V67" s="156" t="inlineStr"/>
    </row>
    <row r="68">
      <c r="A68" s="156" t="inlineStr">
        <is>
          <t>Sales less net imports, diesel</t>
        </is>
      </c>
      <c r="B68" s="157" t="inlineStr">
        <is>
          <t>million L/year</t>
        </is>
      </c>
      <c r="C68" s="157" t="inlineStr">
        <is>
          <t>Reporting formula</t>
        </is>
      </c>
      <c r="D68" s="158" t="n"/>
      <c r="E68" s="156" t="inlineStr">
        <is>
          <t>What production, stock changes and gaps in sales coverage must together supply. Not a measurement of production.</t>
        </is>
      </c>
      <c r="F68" s="158">
        <f>IF(COUNT(F66,F67)&lt;2,"",F66-F67)</f>
        <v/>
      </c>
      <c r="G68" s="158">
        <f>IF(COUNT(G66,G67)&lt;2,"",G66-G67)</f>
        <v/>
      </c>
      <c r="H68" s="158">
        <f>IF(COUNT(H66,H67)&lt;2,"",H66-H67)</f>
        <v/>
      </c>
      <c r="I68" s="158">
        <f>IF(COUNT(I66,I67)&lt;2,"",I66-I67)</f>
        <v/>
      </c>
      <c r="J68" s="158">
        <f>IF(COUNT(J66,J67)&lt;2,"",J66-J67)</f>
        <v/>
      </c>
      <c r="K68" s="158">
        <f>IF(COUNT(K66,K67)&lt;2,"",K66-K67)</f>
        <v/>
      </c>
      <c r="L68" s="158">
        <f>IF(COUNT(L66,L67)&lt;2,"",L66-L67)</f>
        <v/>
      </c>
      <c r="M68" s="158">
        <f>IF(COUNT(M66,M67)&lt;2,"",M66-M67)</f>
        <v/>
      </c>
      <c r="N68" s="158">
        <f>IF(COUNT(N66,N67)&lt;2,"",N66-N67)</f>
        <v/>
      </c>
      <c r="O68" s="158">
        <f>IF(COUNT(O66,O67)&lt;2,"",O66-O67)</f>
        <v/>
      </c>
      <c r="P68" s="158">
        <f>IF(COUNT(P66,P67)&lt;2,"",P66-P67)</f>
        <v/>
      </c>
      <c r="Q68" s="158">
        <f>IF(COUNT(Q66,Q67)&lt;2,"",Q66-Q67)</f>
        <v/>
      </c>
      <c r="R68" s="158">
        <f>IF(COUNT(R66,R67)&lt;2,"",R66-R67)</f>
        <v/>
      </c>
      <c r="S68" s="158">
        <f>IF(COUNT(S66,S67)&lt;2,"",S66-S67)</f>
        <v/>
      </c>
      <c r="T68" s="156" t="inlineStr"/>
      <c r="U68" s="156" t="inlineStr">
        <is>
          <t>Calculated in this workbook from the rows named in the definition</t>
        </is>
      </c>
      <c r="V68" s="156" t="inlineStr"/>
    </row>
    <row r="69">
      <c r="A69" s="156" t="inlineStr">
        <is>
          <t>Unexplained after reported production, diesel</t>
        </is>
      </c>
      <c r="B69" s="157" t="inlineStr">
        <is>
          <t>million L/year</t>
        </is>
      </c>
      <c r="C69" s="157" t="inlineStr">
        <is>
          <t>Reporting formula</t>
        </is>
      </c>
      <c r="D69" s="158" t="n"/>
      <c r="E69" s="156" t="inlineStr">
        <is>
          <t>Sales less net imports less reported production: stock change plus anything the sources do not cover.</t>
        </is>
      </c>
      <c r="F69" s="158">
        <f>IF(COUNT(F68,F53)&lt;2,"",F68-F53)</f>
        <v/>
      </c>
      <c r="G69" s="158">
        <f>IF(COUNT(G68,G53)&lt;2,"",G68-G53)</f>
        <v/>
      </c>
      <c r="H69" s="158">
        <f>IF(COUNT(H68,H53)&lt;2,"",H68-H53)</f>
        <v/>
      </c>
      <c r="I69" s="158">
        <f>IF(COUNT(I68,I53)&lt;2,"",I68-I53)</f>
        <v/>
      </c>
      <c r="J69" s="158">
        <f>IF(COUNT(J68,J53)&lt;2,"",J68-J53)</f>
        <v/>
      </c>
      <c r="K69" s="158">
        <f>IF(COUNT(K68,K53)&lt;2,"",K68-K53)</f>
        <v/>
      </c>
      <c r="L69" s="158">
        <f>IF(COUNT(L68,L53)&lt;2,"",L68-L53)</f>
        <v/>
      </c>
      <c r="M69" s="158">
        <f>IF(COUNT(M68,M53)&lt;2,"",M68-M53)</f>
        <v/>
      </c>
      <c r="N69" s="158">
        <f>IF(COUNT(N68,N53)&lt;2,"",N68-N53)</f>
        <v/>
      </c>
      <c r="O69" s="158">
        <f>IF(COUNT(O68,O53)&lt;2,"",O68-O53)</f>
        <v/>
      </c>
      <c r="P69" s="158">
        <f>IF(COUNT(P68,P53)&lt;2,"",P68-P53)</f>
        <v/>
      </c>
      <c r="Q69" s="158">
        <f>IF(COUNT(Q68,Q53)&lt;2,"",Q68-Q53)</f>
        <v/>
      </c>
      <c r="R69" s="158">
        <f>IF(COUNT(R68,R53)&lt;2,"",R68-R53)</f>
        <v/>
      </c>
      <c r="S69" s="158">
        <f>IF(COUNT(S68,S53)&lt;2,"",S68-S53)</f>
        <v/>
      </c>
      <c r="T69" s="156" t="inlineStr">
        <is>
          <t>To 2021, the last energy balance. Negative means reported supply is above recorded sales</t>
        </is>
      </c>
      <c r="U69" s="156" t="inlineStr">
        <is>
          <t>Calculated in this workbook from the rows named in the definition</t>
        </is>
      </c>
      <c r="V69" s="156" t="inlineStr">
        <is>
          <t>No stock series is published</t>
        </is>
      </c>
    </row>
    <row r="71">
      <c r="A71" s="151" t="inlineStr">
        <is>
          <t>5. Independent count of litres: Road Accident Fund levy (new evidence, 7 October)</t>
        </is>
      </c>
      <c r="B71" s="151" t="n"/>
      <c r="C71" s="151" t="n"/>
      <c r="D71" s="151" t="n"/>
      <c r="E71" s="151" t="n"/>
      <c r="F71" s="151" t="n"/>
      <c r="G71" s="151" t="n"/>
      <c r="H71" s="151" t="n"/>
      <c r="I71" s="151" t="n"/>
      <c r="J71" s="151" t="n"/>
      <c r="K71" s="151" t="n"/>
      <c r="L71" s="151" t="n"/>
      <c r="M71" s="151" t="n"/>
      <c r="N71" s="151" t="n"/>
      <c r="O71" s="151" t="n"/>
      <c r="P71" s="151" t="n"/>
      <c r="Q71" s="151" t="n"/>
      <c r="R71" s="151" t="n"/>
      <c r="S71" s="151" t="n"/>
      <c r="T71" s="151" t="n"/>
      <c r="U71" s="151" t="n"/>
      <c r="V71" s="151" t="n"/>
    </row>
    <row r="72">
      <c r="A72" s="159" t="inlineStr">
        <is>
          <t>Litres levied, petrol and diesel</t>
        </is>
      </c>
      <c r="B72" s="160" t="inlineStr">
        <is>
          <t>million L/year</t>
        </is>
      </c>
      <c r="C72" s="160" t="inlineStr">
        <is>
          <t>Comparison only</t>
        </is>
      </c>
      <c r="D72" s="161" t="n"/>
      <c r="E72" s="159" t="inlineStr">
        <is>
          <t>Gross levies divided by 218 cents a litre. Fiscal year to 31 March of the following year, shown under the calendar year it mostly covers.</t>
        </is>
      </c>
      <c r="F72" s="161" t="n"/>
      <c r="G72" s="161" t="n"/>
      <c r="H72" s="161" t="n"/>
      <c r="I72" s="161" t="n"/>
      <c r="J72" s="161" t="n"/>
      <c r="K72" s="161" t="n"/>
      <c r="L72" s="161" t="n"/>
      <c r="M72" s="161" t="n"/>
      <c r="N72" s="161" t="n"/>
      <c r="O72" s="161" t="n"/>
      <c r="P72" s="161" t="n"/>
      <c r="Q72" s="161" t="n">
        <v>24246.16513761468</v>
      </c>
      <c r="R72" s="161" t="n">
        <v>24424.24541284404</v>
      </c>
      <c r="S72" s="161" t="n"/>
      <c r="T72" s="159" t="inlineStr">
        <is>
          <t>Both fuels together; accrual basis; not reconciled with SARS's statement</t>
        </is>
      </c>
      <c r="U72" s="159" t="inlineStr">
        <is>
          <t>Road Accident Fund Annual Report 2024/25, note 16 (p.183)</t>
        </is>
      </c>
      <c r="V72" s="159" t="inlineStr"/>
    </row>
    <row r="73">
      <c r="A73" s="156" t="inlineStr">
        <is>
          <t>Recorded sales used, petrol and diesel</t>
        </is>
      </c>
      <c r="B73" s="157" t="inlineStr">
        <is>
          <t>million L/year</t>
        </is>
      </c>
      <c r="C73" s="157" t="inlineStr">
        <is>
          <t>Reporting formula</t>
        </is>
      </c>
      <c r="D73" s="158" t="n"/>
      <c r="E73" s="156" t="inlineStr">
        <is>
          <t>Sum of the two 'sales used' rows.</t>
        </is>
      </c>
      <c r="F73" s="158">
        <f>IF(COUNT(F61,F66)&lt;2,"",F61+F66)</f>
        <v/>
      </c>
      <c r="G73" s="158">
        <f>IF(COUNT(G61,G66)&lt;2,"",G61+G66)</f>
        <v/>
      </c>
      <c r="H73" s="158">
        <f>IF(COUNT(H61,H66)&lt;2,"",H61+H66)</f>
        <v/>
      </c>
      <c r="I73" s="158">
        <f>IF(COUNT(I61,I66)&lt;2,"",I61+I66)</f>
        <v/>
      </c>
      <c r="J73" s="158">
        <f>IF(COUNT(J61,J66)&lt;2,"",J61+J66)</f>
        <v/>
      </c>
      <c r="K73" s="158">
        <f>IF(COUNT(K61,K66)&lt;2,"",K61+K66)</f>
        <v/>
      </c>
      <c r="L73" s="158">
        <f>IF(COUNT(L61,L66)&lt;2,"",L61+L66)</f>
        <v/>
      </c>
      <c r="M73" s="158">
        <f>IF(COUNT(M61,M66)&lt;2,"",M61+M66)</f>
        <v/>
      </c>
      <c r="N73" s="158">
        <f>IF(COUNT(N61,N66)&lt;2,"",N61+N66)</f>
        <v/>
      </c>
      <c r="O73" s="158">
        <f>IF(COUNT(O61,O66)&lt;2,"",O61+O66)</f>
        <v/>
      </c>
      <c r="P73" s="158">
        <f>IF(COUNT(P61,P66)&lt;2,"",P61+P66)</f>
        <v/>
      </c>
      <c r="Q73" s="158">
        <f>IF(COUNT(Q61,Q66)&lt;2,"",Q61+Q66)</f>
        <v/>
      </c>
      <c r="R73" s="158">
        <f>IF(COUNT(R61,R66)&lt;2,"",R61+R66)</f>
        <v/>
      </c>
      <c r="S73" s="158">
        <f>IF(COUNT(S61,S66)&lt;2,"",S61+S66)</f>
        <v/>
      </c>
      <c r="T73" s="156" t="inlineStr"/>
      <c r="U73" s="156" t="inlineStr">
        <is>
          <t>Calculated in this workbook from the rows named in the definition</t>
        </is>
      </c>
      <c r="V73" s="156" t="inlineStr"/>
    </row>
    <row r="74">
      <c r="A74" s="156" t="inlineStr">
        <is>
          <t>Litres levied less recorded sales</t>
        </is>
      </c>
      <c r="B74" s="157" t="inlineStr">
        <is>
          <t>million L/year</t>
        </is>
      </c>
      <c r="C74" s="157" t="inlineStr">
        <is>
          <t>Reporting formula</t>
        </is>
      </c>
      <c r="D74" s="158" t="n"/>
      <c r="E74" s="156" t="inlineStr">
        <is>
          <t>An indication that recorded sales may undercount. A hypothesis to test; not added to demand.</t>
        </is>
      </c>
      <c r="F74" s="158">
        <f>IF(COUNT(F72,F73)&lt;2,"",F72-F73)</f>
        <v/>
      </c>
      <c r="G74" s="158">
        <f>IF(COUNT(G72,G73)&lt;2,"",G72-G73)</f>
        <v/>
      </c>
      <c r="H74" s="158">
        <f>IF(COUNT(H72,H73)&lt;2,"",H72-H73)</f>
        <v/>
      </c>
      <c r="I74" s="158">
        <f>IF(COUNT(I72,I73)&lt;2,"",I72-I73)</f>
        <v/>
      </c>
      <c r="J74" s="158">
        <f>IF(COUNT(J72,J73)&lt;2,"",J72-J73)</f>
        <v/>
      </c>
      <c r="K74" s="158">
        <f>IF(COUNT(K72,K73)&lt;2,"",K72-K73)</f>
        <v/>
      </c>
      <c r="L74" s="158">
        <f>IF(COUNT(L72,L73)&lt;2,"",L72-L73)</f>
        <v/>
      </c>
      <c r="M74" s="158">
        <f>IF(COUNT(M72,M73)&lt;2,"",M72-M73)</f>
        <v/>
      </c>
      <c r="N74" s="158">
        <f>IF(COUNT(N72,N73)&lt;2,"",N72-N73)</f>
        <v/>
      </c>
      <c r="O74" s="158">
        <f>IF(COUNT(O72,O73)&lt;2,"",O72-O73)</f>
        <v/>
      </c>
      <c r="P74" s="158">
        <f>IF(COUNT(P72,P73)&lt;2,"",P72-P73)</f>
        <v/>
      </c>
      <c r="Q74" s="158">
        <f>IF(COUNT(Q72,Q73)&lt;2,"",Q72-Q73)</f>
        <v/>
      </c>
      <c r="R74" s="158">
        <f>IF(COUNT(R72,R73)&lt;2,"",R72-R73)</f>
        <v/>
      </c>
      <c r="S74" s="158">
        <f>IF(COUNT(S72,S73)&lt;2,"",S72-S73)</f>
        <v/>
      </c>
      <c r="T74" s="156" t="inlineStr"/>
      <c r="U74" s="156" t="inlineStr">
        <is>
          <t>Calculated in this workbook from the rows named in the definition</t>
        </is>
      </c>
      <c r="V74" s="156" t="inlineStr"/>
    </row>
    <row r="76">
      <c r="A76" s="151" t="inlineStr">
        <is>
          <t>6. Estimated sales by province, 2023-2025: petrol (estimates, not observations)</t>
        </is>
      </c>
      <c r="B76" s="151" t="n"/>
      <c r="C76" s="151" t="n"/>
      <c r="D76" s="151" t="n"/>
      <c r="E76" s="151" t="n"/>
      <c r="F76" s="151" t="n"/>
      <c r="G76" s="151" t="n"/>
      <c r="H76" s="151" t="n"/>
      <c r="I76" s="151" t="n"/>
      <c r="J76" s="151" t="n"/>
      <c r="K76" s="151" t="n"/>
      <c r="L76" s="151" t="n"/>
      <c r="M76" s="151" t="n"/>
      <c r="N76" s="151" t="n"/>
      <c r="O76" s="151" t="n"/>
      <c r="P76" s="151" t="n"/>
      <c r="Q76" s="151" t="n"/>
      <c r="R76" s="151" t="n"/>
      <c r="S76" s="151" t="n"/>
      <c r="T76" s="151" t="n"/>
      <c r="U76" s="151" t="n"/>
      <c r="V76" s="151" t="n"/>
    </row>
    <row r="77">
      <c r="A77" s="162" t="inlineStr">
        <is>
          <t>Gauteng share of petrol</t>
        </is>
      </c>
      <c r="B77" s="163" t="inlineStr">
        <is>
          <t>% of national</t>
        </is>
      </c>
      <c r="C77" s="163" t="inlineStr">
        <is>
          <t>Proposed estimate</t>
        </is>
      </c>
      <c r="D77" s="164" t="n"/>
      <c r="E77" s="162" t="inlineStr">
        <is>
          <t>2023: the province's share of quarter 1 2023 sales, as observed. 2024: the 2023 share moved with the province's share of real GDP. 2025: 2024 held.</t>
        </is>
      </c>
      <c r="F77" s="164" t="n"/>
      <c r="G77" s="164" t="n"/>
      <c r="H77" s="164" t="n"/>
      <c r="I77" s="164" t="n"/>
      <c r="J77" s="164" t="n"/>
      <c r="K77" s="164" t="n"/>
      <c r="L77" s="164" t="n"/>
      <c r="M77" s="164" t="n"/>
      <c r="N77" s="164" t="n"/>
      <c r="O77" s="164" t="n"/>
      <c r="P77" s="164" t="n"/>
      <c r="Q77" s="164" t="n">
        <v>38.29082808102595</v>
      </c>
      <c r="R77" s="164" t="n">
        <v>38.377262681276</v>
      </c>
      <c r="S77" s="164" t="n">
        <v>38.377262681276</v>
      </c>
      <c r="T77" s="162" t="inlineStr">
        <is>
          <t>Estimate</t>
        </is>
      </c>
      <c r="U77" s="162" t="inlineStr">
        <is>
          <t>Department district data, quarter 1 2023; Stats SA P0441.2</t>
        </is>
      </c>
      <c r="V77" s="162" t="inlineStr"/>
    </row>
    <row r="78">
      <c r="A78" s="162" t="inlineStr">
        <is>
          <t>KwaZulu-Natal share of petrol</t>
        </is>
      </c>
      <c r="B78" s="163" t="inlineStr">
        <is>
          <t>% of national</t>
        </is>
      </c>
      <c r="C78" s="163" t="inlineStr">
        <is>
          <t>Proposed estimate</t>
        </is>
      </c>
      <c r="D78" s="164" t="n"/>
      <c r="E78" s="162" t="inlineStr">
        <is>
          <t>2023: the province's share of quarter 1 2023 sales, as observed. 2024: the 2023 share moved with the province's share of real GDP. 2025: 2024 held.</t>
        </is>
      </c>
      <c r="F78" s="164" t="n"/>
      <c r="G78" s="164" t="n"/>
      <c r="H78" s="164" t="n"/>
      <c r="I78" s="164" t="n"/>
      <c r="J78" s="164" t="n"/>
      <c r="K78" s="164" t="n"/>
      <c r="L78" s="164" t="n"/>
      <c r="M78" s="164" t="n"/>
      <c r="N78" s="164" t="n"/>
      <c r="O78" s="164" t="n"/>
      <c r="P78" s="164" t="n"/>
      <c r="Q78" s="164" t="n">
        <v>16.13082894316334</v>
      </c>
      <c r="R78" s="164" t="n">
        <v>16.11326672611471</v>
      </c>
      <c r="S78" s="164" t="n">
        <v>16.11326672611471</v>
      </c>
      <c r="T78" s="162" t="inlineStr">
        <is>
          <t>Estimate</t>
        </is>
      </c>
      <c r="U78" s="162" t="inlineStr">
        <is>
          <t>Department district data, quarter 1 2023; Stats SA P0441.2</t>
        </is>
      </c>
      <c r="V78" s="162" t="inlineStr"/>
    </row>
    <row r="79">
      <c r="A79" s="162" t="inlineStr">
        <is>
          <t>Western Cape share of petrol</t>
        </is>
      </c>
      <c r="B79" s="163" t="inlineStr">
        <is>
          <t>% of national</t>
        </is>
      </c>
      <c r="C79" s="163" t="inlineStr">
        <is>
          <t>Proposed estimate</t>
        </is>
      </c>
      <c r="D79" s="164" t="n"/>
      <c r="E79" s="162" t="inlineStr">
        <is>
          <t>2023: the province's share of quarter 1 2023 sales, as observed. 2024: the 2023 share moved with the province's share of real GDP. 2025: 2024 held.</t>
        </is>
      </c>
      <c r="F79" s="164" t="n"/>
      <c r="G79" s="164" t="n"/>
      <c r="H79" s="164" t="n"/>
      <c r="I79" s="164" t="n"/>
      <c r="J79" s="164" t="n"/>
      <c r="K79" s="164" t="n"/>
      <c r="L79" s="164" t="n"/>
      <c r="M79" s="164" t="n"/>
      <c r="N79" s="164" t="n"/>
      <c r="O79" s="164" t="n"/>
      <c r="P79" s="164" t="n"/>
      <c r="Q79" s="164" t="n">
        <v>16.21627470314407</v>
      </c>
      <c r="R79" s="164" t="n">
        <v>16.24783009372781</v>
      </c>
      <c r="S79" s="164" t="n">
        <v>16.24783009372781</v>
      </c>
      <c r="T79" s="162" t="inlineStr">
        <is>
          <t>Estimate</t>
        </is>
      </c>
      <c r="U79" s="162" t="inlineStr">
        <is>
          <t>Department district data, quarter 1 2023; Stats SA P0441.2</t>
        </is>
      </c>
      <c r="V79" s="162" t="inlineStr"/>
    </row>
    <row r="80">
      <c r="A80" s="162" t="inlineStr">
        <is>
          <t>Eastern Cape share of petrol</t>
        </is>
      </c>
      <c r="B80" s="163" t="inlineStr">
        <is>
          <t>% of national</t>
        </is>
      </c>
      <c r="C80" s="163" t="inlineStr">
        <is>
          <t>Proposed estimate</t>
        </is>
      </c>
      <c r="D80" s="164" t="n"/>
      <c r="E80" s="162" t="inlineStr">
        <is>
          <t>2023: the province's share of quarter 1 2023 sales, as observed. 2024: the 2023 share moved with the province's share of real GDP. 2025: 2024 held.</t>
        </is>
      </c>
      <c r="F80" s="164" t="n"/>
      <c r="G80" s="164" t="n"/>
      <c r="H80" s="164" t="n"/>
      <c r="I80" s="164" t="n"/>
      <c r="J80" s="164" t="n"/>
      <c r="K80" s="164" t="n"/>
      <c r="L80" s="164" t="n"/>
      <c r="M80" s="164" t="n"/>
      <c r="N80" s="164" t="n"/>
      <c r="O80" s="164" t="n"/>
      <c r="P80" s="164" t="n"/>
      <c r="Q80" s="164" t="n">
        <v>7.511233012378306</v>
      </c>
      <c r="R80" s="164" t="n">
        <v>7.458565493679201</v>
      </c>
      <c r="S80" s="164" t="n">
        <v>7.458565493679201</v>
      </c>
      <c r="T80" s="162" t="inlineStr">
        <is>
          <t>Estimate</t>
        </is>
      </c>
      <c r="U80" s="162" t="inlineStr">
        <is>
          <t>Department district data, quarter 1 2023; Stats SA P0441.2</t>
        </is>
      </c>
      <c r="V80" s="162" t="inlineStr"/>
    </row>
    <row r="81">
      <c r="A81" s="162" t="inlineStr">
        <is>
          <t>Mpumalanga share of petrol</t>
        </is>
      </c>
      <c r="B81" s="163" t="inlineStr">
        <is>
          <t>% of national</t>
        </is>
      </c>
      <c r="C81" s="163" t="inlineStr">
        <is>
          <t>Proposed estimate</t>
        </is>
      </c>
      <c r="D81" s="164" t="n"/>
      <c r="E81" s="162" t="inlineStr">
        <is>
          <t>2023: the province's share of quarter 1 2023 sales, as observed. 2024: the 2023 share moved with the province's share of real GDP. 2025: 2024 held.</t>
        </is>
      </c>
      <c r="F81" s="164" t="n"/>
      <c r="G81" s="164" t="n"/>
      <c r="H81" s="164" t="n"/>
      <c r="I81" s="164" t="n"/>
      <c r="J81" s="164" t="n"/>
      <c r="K81" s="164" t="n"/>
      <c r="L81" s="164" t="n"/>
      <c r="M81" s="164" t="n"/>
      <c r="N81" s="164" t="n"/>
      <c r="O81" s="164" t="n"/>
      <c r="P81" s="164" t="n"/>
      <c r="Q81" s="164" t="n">
        <v>7.055371979667532</v>
      </c>
      <c r="R81" s="164" t="n">
        <v>7.040255181823918</v>
      </c>
      <c r="S81" s="164" t="n">
        <v>7.040255181823918</v>
      </c>
      <c r="T81" s="162" t="inlineStr">
        <is>
          <t>Estimate</t>
        </is>
      </c>
      <c r="U81" s="162" t="inlineStr">
        <is>
          <t>Department district data, quarter 1 2023; Stats SA P0441.2</t>
        </is>
      </c>
      <c r="V81" s="162" t="inlineStr"/>
    </row>
    <row r="82">
      <c r="A82" s="162" t="inlineStr">
        <is>
          <t>Free State share of petrol</t>
        </is>
      </c>
      <c r="B82" s="163" t="inlineStr">
        <is>
          <t>% of national</t>
        </is>
      </c>
      <c r="C82" s="163" t="inlineStr">
        <is>
          <t>Proposed estimate</t>
        </is>
      </c>
      <c r="D82" s="164" t="n"/>
      <c r="E82" s="162" t="inlineStr">
        <is>
          <t>2023: the province's share of quarter 1 2023 sales, as observed. 2024: the 2023 share moved with the province's share of real GDP. 2025: 2024 held.</t>
        </is>
      </c>
      <c r="F82" s="164" t="n"/>
      <c r="G82" s="164" t="n"/>
      <c r="H82" s="164" t="n"/>
      <c r="I82" s="164" t="n"/>
      <c r="J82" s="164" t="n"/>
      <c r="K82" s="164" t="n"/>
      <c r="L82" s="164" t="n"/>
      <c r="M82" s="164" t="n"/>
      <c r="N82" s="164" t="n"/>
      <c r="O82" s="164" t="n"/>
      <c r="P82" s="164" t="n"/>
      <c r="Q82" s="164" t="n">
        <v>5.932159079461925</v>
      </c>
      <c r="R82" s="164" t="n">
        <v>5.927995171497546</v>
      </c>
      <c r="S82" s="164" t="n">
        <v>5.927995171497546</v>
      </c>
      <c r="T82" s="162" t="inlineStr">
        <is>
          <t>Estimate</t>
        </is>
      </c>
      <c r="U82" s="162" t="inlineStr">
        <is>
          <t>Department district data, quarter 1 2023; Stats SA P0441.2</t>
        </is>
      </c>
      <c r="V82" s="162" t="inlineStr"/>
    </row>
    <row r="83">
      <c r="A83" s="162" t="inlineStr">
        <is>
          <t>North West share of petrol</t>
        </is>
      </c>
      <c r="B83" s="163" t="inlineStr">
        <is>
          <t>% of national</t>
        </is>
      </c>
      <c r="C83" s="163" t="inlineStr">
        <is>
          <t>Proposed estimate</t>
        </is>
      </c>
      <c r="D83" s="164" t="n"/>
      <c r="E83" s="162" t="inlineStr">
        <is>
          <t>2023: the province's share of quarter 1 2023 sales, as observed. 2024: the 2023 share moved with the province's share of real GDP. 2025: 2024 held.</t>
        </is>
      </c>
      <c r="F83" s="164" t="n"/>
      <c r="G83" s="164" t="n"/>
      <c r="H83" s="164" t="n"/>
      <c r="I83" s="164" t="n"/>
      <c r="J83" s="164" t="n"/>
      <c r="K83" s="164" t="n"/>
      <c r="L83" s="164" t="n"/>
      <c r="M83" s="164" t="n"/>
      <c r="N83" s="164" t="n"/>
      <c r="O83" s="164" t="n"/>
      <c r="P83" s="164" t="n"/>
      <c r="Q83" s="164" t="n">
        <v>4.766687274392559</v>
      </c>
      <c r="R83" s="164" t="n">
        <v>4.734315144837777</v>
      </c>
      <c r="S83" s="164" t="n">
        <v>4.734315144837777</v>
      </c>
      <c r="T83" s="162" t="inlineStr">
        <is>
          <t>Estimate</t>
        </is>
      </c>
      <c r="U83" s="162" t="inlineStr">
        <is>
          <t>Department district data, quarter 1 2023; Stats SA P0441.2</t>
        </is>
      </c>
      <c r="V83" s="162" t="inlineStr"/>
    </row>
    <row r="84">
      <c r="A84" s="162" t="inlineStr">
        <is>
          <t>Limpopo share of petrol</t>
        </is>
      </c>
      <c r="B84" s="163" t="inlineStr">
        <is>
          <t>% of national</t>
        </is>
      </c>
      <c r="C84" s="163" t="inlineStr">
        <is>
          <t>Proposed estimate</t>
        </is>
      </c>
      <c r="D84" s="164" t="n"/>
      <c r="E84" s="162" t="inlineStr">
        <is>
          <t>2023: the province's share of quarter 1 2023 sales, as observed. 2024: the 2023 share moved with the province's share of real GDP. 2025: 2024 held.</t>
        </is>
      </c>
      <c r="F84" s="164" t="n"/>
      <c r="G84" s="164" t="n"/>
      <c r="H84" s="164" t="n"/>
      <c r="I84" s="164" t="n"/>
      <c r="J84" s="164" t="n"/>
      <c r="K84" s="164" t="n"/>
      <c r="L84" s="164" t="n"/>
      <c r="M84" s="164" t="n"/>
      <c r="N84" s="164" t="n"/>
      <c r="O84" s="164" t="n"/>
      <c r="P84" s="164" t="n"/>
      <c r="Q84" s="164" t="n">
        <v>3.008852500759491</v>
      </c>
      <c r="R84" s="164" t="n">
        <v>3.01928993993442</v>
      </c>
      <c r="S84" s="164" t="n">
        <v>3.01928993993442</v>
      </c>
      <c r="T84" s="162" t="inlineStr">
        <is>
          <t>Estimate</t>
        </is>
      </c>
      <c r="U84" s="162" t="inlineStr">
        <is>
          <t>Department district data, quarter 1 2023; Stats SA P0441.2</t>
        </is>
      </c>
      <c r="V84" s="162" t="inlineStr"/>
    </row>
    <row r="85">
      <c r="A85" s="162" t="inlineStr">
        <is>
          <t>Northern Cape share of petrol</t>
        </is>
      </c>
      <c r="B85" s="163" t="inlineStr">
        <is>
          <t>% of national</t>
        </is>
      </c>
      <c r="C85" s="163" t="inlineStr">
        <is>
          <t>Proposed estimate</t>
        </is>
      </c>
      <c r="D85" s="164" t="n"/>
      <c r="E85" s="162" t="inlineStr">
        <is>
          <t>2023: the province's share of quarter 1 2023 sales, as observed. 2024: the 2023 share moved with the province's share of real GDP. 2025: 2024 held.</t>
        </is>
      </c>
      <c r="F85" s="164" t="n"/>
      <c r="G85" s="164" t="n"/>
      <c r="H85" s="164" t="n"/>
      <c r="I85" s="164" t="n"/>
      <c r="J85" s="164" t="n"/>
      <c r="K85" s="164" t="n"/>
      <c r="L85" s="164" t="n"/>
      <c r="M85" s="164" t="n"/>
      <c r="N85" s="164" t="n"/>
      <c r="O85" s="164" t="n"/>
      <c r="P85" s="164" t="n"/>
      <c r="Q85" s="164" t="n">
        <v>1.087764426006824</v>
      </c>
      <c r="R85" s="164" t="n">
        <v>1.081219567108614</v>
      </c>
      <c r="S85" s="164" t="n">
        <v>1.081219567108614</v>
      </c>
      <c r="T85" s="162" t="inlineStr">
        <is>
          <t>Estimate</t>
        </is>
      </c>
      <c r="U85" s="162" t="inlineStr">
        <is>
          <t>Department district data, quarter 1 2023; Stats SA P0441.2</t>
        </is>
      </c>
      <c r="V85" s="162" t="inlineStr"/>
    </row>
    <row r="86">
      <c r="A86" s="162" t="inlineStr">
        <is>
          <t>Gauteng petrol, estimated</t>
        </is>
      </c>
      <c r="B86" s="163" t="inlineStr">
        <is>
          <t>million L/year</t>
        </is>
      </c>
      <c r="C86" s="163" t="inlineStr">
        <is>
          <t>Proposed estimate</t>
        </is>
      </c>
      <c r="D86" s="165" t="n"/>
      <c r="E86" s="162" t="inlineStr">
        <is>
          <t>Estimated share times the department's national total (section 1). Blank where no national figure exists.</t>
        </is>
      </c>
      <c r="F86" s="165" t="n"/>
      <c r="G86" s="165" t="n"/>
      <c r="H86" s="165" t="n"/>
      <c r="I86" s="165" t="n"/>
      <c r="J86" s="165" t="n"/>
      <c r="K86" s="165" t="n"/>
      <c r="L86" s="165" t="n"/>
      <c r="M86" s="165" t="n"/>
      <c r="N86" s="165" t="n"/>
      <c r="O86" s="165" t="n"/>
      <c r="P86" s="165" t="n"/>
      <c r="Q86" s="165">
        <f>IF(COUNT(Q77,Q16)&lt;2,"",Q77/100*Q16)</f>
        <v/>
      </c>
      <c r="R86" s="165">
        <f>IF(COUNT(R77,R16)&lt;2,"",R77/100*R16)</f>
        <v/>
      </c>
      <c r="S86" s="165">
        <f>IF(COUNT(S77,S16)&lt;2,"",S77/100*S16)</f>
        <v/>
      </c>
      <c r="T86" s="162" t="inlineStr">
        <is>
          <t>Estimate; 2023 only, the last year with a national total</t>
        </is>
      </c>
      <c r="U86" s="162" t="inlineStr">
        <is>
          <t>Analyst estimate, calculated in this workbook; method in the definition</t>
        </is>
      </c>
      <c r="V86" s="162" t="inlineStr">
        <is>
          <t>Replace when the department publishes district data after 2023 quarter 1</t>
        </is>
      </c>
    </row>
    <row r="87">
      <c r="A87" s="162" t="inlineStr">
        <is>
          <t>KwaZulu-Natal petrol, estimated</t>
        </is>
      </c>
      <c r="B87" s="163" t="inlineStr">
        <is>
          <t>million L/year</t>
        </is>
      </c>
      <c r="C87" s="163" t="inlineStr">
        <is>
          <t>Proposed estimate</t>
        </is>
      </c>
      <c r="D87" s="165" t="n"/>
      <c r="E87" s="162" t="inlineStr">
        <is>
          <t>Estimated share times the department's national total (section 1). Blank where no national figure exists.</t>
        </is>
      </c>
      <c r="F87" s="165" t="n"/>
      <c r="G87" s="165" t="n"/>
      <c r="H87" s="165" t="n"/>
      <c r="I87" s="165" t="n"/>
      <c r="J87" s="165" t="n"/>
      <c r="K87" s="165" t="n"/>
      <c r="L87" s="165" t="n"/>
      <c r="M87" s="165" t="n"/>
      <c r="N87" s="165" t="n"/>
      <c r="O87" s="165" t="n"/>
      <c r="P87" s="165" t="n"/>
      <c r="Q87" s="165">
        <f>IF(COUNT(Q78,Q16)&lt;2,"",Q78/100*Q16)</f>
        <v/>
      </c>
      <c r="R87" s="165">
        <f>IF(COUNT(R78,R16)&lt;2,"",R78/100*R16)</f>
        <v/>
      </c>
      <c r="S87" s="165">
        <f>IF(COUNT(S78,S16)&lt;2,"",S78/100*S16)</f>
        <v/>
      </c>
      <c r="T87" s="162" t="inlineStr">
        <is>
          <t>Estimate; 2023 only, the last year with a national total</t>
        </is>
      </c>
      <c r="U87" s="162" t="inlineStr">
        <is>
          <t>Analyst estimate, calculated in this workbook; method in the definition</t>
        </is>
      </c>
      <c r="V87" s="162" t="inlineStr">
        <is>
          <t>Replace when the department publishes district data after 2023 quarter 1</t>
        </is>
      </c>
    </row>
    <row r="88">
      <c r="A88" s="162" t="inlineStr">
        <is>
          <t>Western Cape petrol, estimated</t>
        </is>
      </c>
      <c r="B88" s="163" t="inlineStr">
        <is>
          <t>million L/year</t>
        </is>
      </c>
      <c r="C88" s="163" t="inlineStr">
        <is>
          <t>Proposed estimate</t>
        </is>
      </c>
      <c r="D88" s="165" t="n"/>
      <c r="E88" s="162" t="inlineStr">
        <is>
          <t>Estimated share times the department's national total (section 1). Blank where no national figure exists.</t>
        </is>
      </c>
      <c r="F88" s="165" t="n"/>
      <c r="G88" s="165" t="n"/>
      <c r="H88" s="165" t="n"/>
      <c r="I88" s="165" t="n"/>
      <c r="J88" s="165" t="n"/>
      <c r="K88" s="165" t="n"/>
      <c r="L88" s="165" t="n"/>
      <c r="M88" s="165" t="n"/>
      <c r="N88" s="165" t="n"/>
      <c r="O88" s="165" t="n"/>
      <c r="P88" s="165" t="n"/>
      <c r="Q88" s="165">
        <f>IF(COUNT(Q79,Q16)&lt;2,"",Q79/100*Q16)</f>
        <v/>
      </c>
      <c r="R88" s="165">
        <f>IF(COUNT(R79,R16)&lt;2,"",R79/100*R16)</f>
        <v/>
      </c>
      <c r="S88" s="165">
        <f>IF(COUNT(S79,S16)&lt;2,"",S79/100*S16)</f>
        <v/>
      </c>
      <c r="T88" s="162" t="inlineStr">
        <is>
          <t>Estimate; 2023 only, the last year with a national total</t>
        </is>
      </c>
      <c r="U88" s="162" t="inlineStr">
        <is>
          <t>Analyst estimate, calculated in this workbook; method in the definition</t>
        </is>
      </c>
      <c r="V88" s="162" t="inlineStr">
        <is>
          <t>Replace when the department publishes district data after 2023 quarter 1</t>
        </is>
      </c>
    </row>
    <row r="89">
      <c r="A89" s="162" t="inlineStr">
        <is>
          <t>Eastern Cape petrol, estimated</t>
        </is>
      </c>
      <c r="B89" s="163" t="inlineStr">
        <is>
          <t>million L/year</t>
        </is>
      </c>
      <c r="C89" s="163" t="inlineStr">
        <is>
          <t>Proposed estimate</t>
        </is>
      </c>
      <c r="D89" s="165" t="n"/>
      <c r="E89" s="162" t="inlineStr">
        <is>
          <t>Estimated share times the department's national total (section 1). Blank where no national figure exists.</t>
        </is>
      </c>
      <c r="F89" s="165" t="n"/>
      <c r="G89" s="165" t="n"/>
      <c r="H89" s="165" t="n"/>
      <c r="I89" s="165" t="n"/>
      <c r="J89" s="165" t="n"/>
      <c r="K89" s="165" t="n"/>
      <c r="L89" s="165" t="n"/>
      <c r="M89" s="165" t="n"/>
      <c r="N89" s="165" t="n"/>
      <c r="O89" s="165" t="n"/>
      <c r="P89" s="165" t="n"/>
      <c r="Q89" s="165">
        <f>IF(COUNT(Q80,Q16)&lt;2,"",Q80/100*Q16)</f>
        <v/>
      </c>
      <c r="R89" s="165">
        <f>IF(COUNT(R80,R16)&lt;2,"",R80/100*R16)</f>
        <v/>
      </c>
      <c r="S89" s="165">
        <f>IF(COUNT(S80,S16)&lt;2,"",S80/100*S16)</f>
        <v/>
      </c>
      <c r="T89" s="162" t="inlineStr">
        <is>
          <t>Estimate; 2023 only, the last year with a national total</t>
        </is>
      </c>
      <c r="U89" s="162" t="inlineStr">
        <is>
          <t>Analyst estimate, calculated in this workbook; method in the definition</t>
        </is>
      </c>
      <c r="V89" s="162" t="inlineStr">
        <is>
          <t>Replace when the department publishes district data after 2023 quarter 1</t>
        </is>
      </c>
    </row>
    <row r="90">
      <c r="A90" s="162" t="inlineStr">
        <is>
          <t>Mpumalanga petrol, estimated</t>
        </is>
      </c>
      <c r="B90" s="163" t="inlineStr">
        <is>
          <t>million L/year</t>
        </is>
      </c>
      <c r="C90" s="163" t="inlineStr">
        <is>
          <t>Proposed estimate</t>
        </is>
      </c>
      <c r="D90" s="165" t="n"/>
      <c r="E90" s="162" t="inlineStr">
        <is>
          <t>Estimated share times the department's national total (section 1). Blank where no national figure exists.</t>
        </is>
      </c>
      <c r="F90" s="165" t="n"/>
      <c r="G90" s="165" t="n"/>
      <c r="H90" s="165" t="n"/>
      <c r="I90" s="165" t="n"/>
      <c r="J90" s="165" t="n"/>
      <c r="K90" s="165" t="n"/>
      <c r="L90" s="165" t="n"/>
      <c r="M90" s="165" t="n"/>
      <c r="N90" s="165" t="n"/>
      <c r="O90" s="165" t="n"/>
      <c r="P90" s="165" t="n"/>
      <c r="Q90" s="165">
        <f>IF(COUNT(Q81,Q16)&lt;2,"",Q81/100*Q16)</f>
        <v/>
      </c>
      <c r="R90" s="165">
        <f>IF(COUNT(R81,R16)&lt;2,"",R81/100*R16)</f>
        <v/>
      </c>
      <c r="S90" s="165">
        <f>IF(COUNT(S81,S16)&lt;2,"",S81/100*S16)</f>
        <v/>
      </c>
      <c r="T90" s="162" t="inlineStr">
        <is>
          <t>Estimate; 2023 only, the last year with a national total</t>
        </is>
      </c>
      <c r="U90" s="162" t="inlineStr">
        <is>
          <t>Analyst estimate, calculated in this workbook; method in the definition</t>
        </is>
      </c>
      <c r="V90" s="162" t="inlineStr">
        <is>
          <t>Replace when the department publishes district data after 2023 quarter 1</t>
        </is>
      </c>
    </row>
    <row r="91">
      <c r="A91" s="162" t="inlineStr">
        <is>
          <t>Free State petrol, estimated</t>
        </is>
      </c>
      <c r="B91" s="163" t="inlineStr">
        <is>
          <t>million L/year</t>
        </is>
      </c>
      <c r="C91" s="163" t="inlineStr">
        <is>
          <t>Proposed estimate</t>
        </is>
      </c>
      <c r="D91" s="165" t="n"/>
      <c r="E91" s="162" t="inlineStr">
        <is>
          <t>Estimated share times the department's national total (section 1). Blank where no national figure exists.</t>
        </is>
      </c>
      <c r="F91" s="165" t="n"/>
      <c r="G91" s="165" t="n"/>
      <c r="H91" s="165" t="n"/>
      <c r="I91" s="165" t="n"/>
      <c r="J91" s="165" t="n"/>
      <c r="K91" s="165" t="n"/>
      <c r="L91" s="165" t="n"/>
      <c r="M91" s="165" t="n"/>
      <c r="N91" s="165" t="n"/>
      <c r="O91" s="165" t="n"/>
      <c r="P91" s="165" t="n"/>
      <c r="Q91" s="165">
        <f>IF(COUNT(Q82,Q16)&lt;2,"",Q82/100*Q16)</f>
        <v/>
      </c>
      <c r="R91" s="165">
        <f>IF(COUNT(R82,R16)&lt;2,"",R82/100*R16)</f>
        <v/>
      </c>
      <c r="S91" s="165">
        <f>IF(COUNT(S82,S16)&lt;2,"",S82/100*S16)</f>
        <v/>
      </c>
      <c r="T91" s="162" t="inlineStr">
        <is>
          <t>Estimate; 2023 only, the last year with a national total</t>
        </is>
      </c>
      <c r="U91" s="162" t="inlineStr">
        <is>
          <t>Analyst estimate, calculated in this workbook; method in the definition</t>
        </is>
      </c>
      <c r="V91" s="162" t="inlineStr">
        <is>
          <t>Replace when the department publishes district data after 2023 quarter 1</t>
        </is>
      </c>
    </row>
    <row r="92">
      <c r="A92" s="162" t="inlineStr">
        <is>
          <t>North West petrol, estimated</t>
        </is>
      </c>
      <c r="B92" s="163" t="inlineStr">
        <is>
          <t>million L/year</t>
        </is>
      </c>
      <c r="C92" s="163" t="inlineStr">
        <is>
          <t>Proposed estimate</t>
        </is>
      </c>
      <c r="D92" s="165" t="n"/>
      <c r="E92" s="162" t="inlineStr">
        <is>
          <t>Estimated share times the department's national total (section 1). Blank where no national figure exists.</t>
        </is>
      </c>
      <c r="F92" s="165" t="n"/>
      <c r="G92" s="165" t="n"/>
      <c r="H92" s="165" t="n"/>
      <c r="I92" s="165" t="n"/>
      <c r="J92" s="165" t="n"/>
      <c r="K92" s="165" t="n"/>
      <c r="L92" s="165" t="n"/>
      <c r="M92" s="165" t="n"/>
      <c r="N92" s="165" t="n"/>
      <c r="O92" s="165" t="n"/>
      <c r="P92" s="165" t="n"/>
      <c r="Q92" s="165">
        <f>IF(COUNT(Q83,Q16)&lt;2,"",Q83/100*Q16)</f>
        <v/>
      </c>
      <c r="R92" s="165">
        <f>IF(COUNT(R83,R16)&lt;2,"",R83/100*R16)</f>
        <v/>
      </c>
      <c r="S92" s="165">
        <f>IF(COUNT(S83,S16)&lt;2,"",S83/100*S16)</f>
        <v/>
      </c>
      <c r="T92" s="162" t="inlineStr">
        <is>
          <t>Estimate; 2023 only, the last year with a national total</t>
        </is>
      </c>
      <c r="U92" s="162" t="inlineStr">
        <is>
          <t>Analyst estimate, calculated in this workbook; method in the definition</t>
        </is>
      </c>
      <c r="V92" s="162" t="inlineStr">
        <is>
          <t>Replace when the department publishes district data after 2023 quarter 1</t>
        </is>
      </c>
    </row>
    <row r="93">
      <c r="A93" s="162" t="inlineStr">
        <is>
          <t>Limpopo petrol, estimated</t>
        </is>
      </c>
      <c r="B93" s="163" t="inlineStr">
        <is>
          <t>million L/year</t>
        </is>
      </c>
      <c r="C93" s="163" t="inlineStr">
        <is>
          <t>Proposed estimate</t>
        </is>
      </c>
      <c r="D93" s="165" t="n"/>
      <c r="E93" s="162" t="inlineStr">
        <is>
          <t>Estimated share times the department's national total (section 1). Blank where no national figure exists.</t>
        </is>
      </c>
      <c r="F93" s="165" t="n"/>
      <c r="G93" s="165" t="n"/>
      <c r="H93" s="165" t="n"/>
      <c r="I93" s="165" t="n"/>
      <c r="J93" s="165" t="n"/>
      <c r="K93" s="165" t="n"/>
      <c r="L93" s="165" t="n"/>
      <c r="M93" s="165" t="n"/>
      <c r="N93" s="165" t="n"/>
      <c r="O93" s="165" t="n"/>
      <c r="P93" s="165" t="n"/>
      <c r="Q93" s="165">
        <f>IF(COUNT(Q84,Q16)&lt;2,"",Q84/100*Q16)</f>
        <v/>
      </c>
      <c r="R93" s="165">
        <f>IF(COUNT(R84,R16)&lt;2,"",R84/100*R16)</f>
        <v/>
      </c>
      <c r="S93" s="165">
        <f>IF(COUNT(S84,S16)&lt;2,"",S84/100*S16)</f>
        <v/>
      </c>
      <c r="T93" s="162" t="inlineStr">
        <is>
          <t>Estimate; 2023 only, the last year with a national total</t>
        </is>
      </c>
      <c r="U93" s="162" t="inlineStr">
        <is>
          <t>Analyst estimate, calculated in this workbook; method in the definition</t>
        </is>
      </c>
      <c r="V93" s="162" t="inlineStr">
        <is>
          <t>Replace when the department publishes district data after 2023 quarter 1</t>
        </is>
      </c>
    </row>
    <row r="94">
      <c r="A94" s="162" t="inlineStr">
        <is>
          <t>Northern Cape petrol, estimated</t>
        </is>
      </c>
      <c r="B94" s="163" t="inlineStr">
        <is>
          <t>million L/year</t>
        </is>
      </c>
      <c r="C94" s="163" t="inlineStr">
        <is>
          <t>Proposed estimate</t>
        </is>
      </c>
      <c r="D94" s="165" t="n"/>
      <c r="E94" s="162" t="inlineStr">
        <is>
          <t>Estimated share times the department's national total (section 1). Blank where no national figure exists.</t>
        </is>
      </c>
      <c r="F94" s="165" t="n"/>
      <c r="G94" s="165" t="n"/>
      <c r="H94" s="165" t="n"/>
      <c r="I94" s="165" t="n"/>
      <c r="J94" s="165" t="n"/>
      <c r="K94" s="165" t="n"/>
      <c r="L94" s="165" t="n"/>
      <c r="M94" s="165" t="n"/>
      <c r="N94" s="165" t="n"/>
      <c r="O94" s="165" t="n"/>
      <c r="P94" s="165" t="n"/>
      <c r="Q94" s="165">
        <f>IF(COUNT(Q85,Q16)&lt;2,"",Q85/100*Q16)</f>
        <v/>
      </c>
      <c r="R94" s="165">
        <f>IF(COUNT(R85,R16)&lt;2,"",R85/100*R16)</f>
        <v/>
      </c>
      <c r="S94" s="165">
        <f>IF(COUNT(S85,S16)&lt;2,"",S85/100*S16)</f>
        <v/>
      </c>
      <c r="T94" s="162" t="inlineStr">
        <is>
          <t>Estimate; 2023 only, the last year with a national total</t>
        </is>
      </c>
      <c r="U94" s="162" t="inlineStr">
        <is>
          <t>Analyst estimate, calculated in this workbook; method in the definition</t>
        </is>
      </c>
      <c r="V94" s="162" t="inlineStr">
        <is>
          <t>Replace when the department publishes district data after 2023 quarter 1</t>
        </is>
      </c>
    </row>
    <row r="96">
      <c r="A96" s="151" t="inlineStr">
        <is>
          <t>6. Estimated sales by province, 2023-2025: diesel (estimates, not observations)</t>
        </is>
      </c>
      <c r="B96" s="151" t="n"/>
      <c r="C96" s="151" t="n"/>
      <c r="D96" s="151" t="n"/>
      <c r="E96" s="151" t="n"/>
      <c r="F96" s="151" t="n"/>
      <c r="G96" s="151" t="n"/>
      <c r="H96" s="151" t="n"/>
      <c r="I96" s="151" t="n"/>
      <c r="J96" s="151" t="n"/>
      <c r="K96" s="151" t="n"/>
      <c r="L96" s="151" t="n"/>
      <c r="M96" s="151" t="n"/>
      <c r="N96" s="151" t="n"/>
      <c r="O96" s="151" t="n"/>
      <c r="P96" s="151" t="n"/>
      <c r="Q96" s="151" t="n"/>
      <c r="R96" s="151" t="n"/>
      <c r="S96" s="151" t="n"/>
      <c r="T96" s="151" t="n"/>
      <c r="U96" s="151" t="n"/>
      <c r="V96" s="151" t="n"/>
    </row>
    <row r="97">
      <c r="A97" s="162" t="inlineStr">
        <is>
          <t>Gauteng share of diesel</t>
        </is>
      </c>
      <c r="B97" s="163" t="inlineStr">
        <is>
          <t>% of national</t>
        </is>
      </c>
      <c r="C97" s="163" t="inlineStr">
        <is>
          <t>Proposed estimate</t>
        </is>
      </c>
      <c r="D97" s="164" t="n"/>
      <c r="E97" s="162" t="inlineStr">
        <is>
          <t>2023: the province's share of quarter 1 2023 sales, as observed. 2024: the 2023 share moved with the province's share of real GDP. 2025: 2024 held.</t>
        </is>
      </c>
      <c r="F97" s="164" t="n"/>
      <c r="G97" s="164" t="n"/>
      <c r="H97" s="164" t="n"/>
      <c r="I97" s="164" t="n"/>
      <c r="J97" s="164" t="n"/>
      <c r="K97" s="164" t="n"/>
      <c r="L97" s="164" t="n"/>
      <c r="M97" s="164" t="n"/>
      <c r="N97" s="164" t="n"/>
      <c r="O97" s="164" t="n"/>
      <c r="P97" s="164" t="n"/>
      <c r="Q97" s="164" t="n">
        <v>25.95571268012436</v>
      </c>
      <c r="R97" s="164" t="n">
        <v>26.02351192632266</v>
      </c>
      <c r="S97" s="164" t="n">
        <v>26.02351192632266</v>
      </c>
      <c r="T97" s="162" t="inlineStr">
        <is>
          <t>Estimate</t>
        </is>
      </c>
      <c r="U97" s="162" t="inlineStr">
        <is>
          <t>Department district data, quarter 1 2023; Stats SA P0441.2</t>
        </is>
      </c>
      <c r="V97" s="162" t="inlineStr"/>
    </row>
    <row r="98">
      <c r="A98" s="162" t="inlineStr">
        <is>
          <t>KwaZulu-Natal share of diesel</t>
        </is>
      </c>
      <c r="B98" s="163" t="inlineStr">
        <is>
          <t>% of national</t>
        </is>
      </c>
      <c r="C98" s="163" t="inlineStr">
        <is>
          <t>Proposed estimate</t>
        </is>
      </c>
      <c r="D98" s="164" t="n"/>
      <c r="E98" s="162" t="inlineStr">
        <is>
          <t>2023: the province's share of quarter 1 2023 sales, as observed. 2024: the 2023 share moved with the province's share of real GDP. 2025: 2024 held.</t>
        </is>
      </c>
      <c r="F98" s="164" t="n"/>
      <c r="G98" s="164" t="n"/>
      <c r="H98" s="164" t="n"/>
      <c r="I98" s="164" t="n"/>
      <c r="J98" s="164" t="n"/>
      <c r="K98" s="164" t="n"/>
      <c r="L98" s="164" t="n"/>
      <c r="M98" s="164" t="n"/>
      <c r="N98" s="164" t="n"/>
      <c r="O98" s="164" t="n"/>
      <c r="P98" s="164" t="n"/>
      <c r="Q98" s="164" t="n">
        <v>18.98574601235529</v>
      </c>
      <c r="R98" s="164" t="n">
        <v>18.97178908483028</v>
      </c>
      <c r="S98" s="164" t="n">
        <v>18.97178908483028</v>
      </c>
      <c r="T98" s="162" t="inlineStr">
        <is>
          <t>Estimate</t>
        </is>
      </c>
      <c r="U98" s="162" t="inlineStr">
        <is>
          <t>Department district data, quarter 1 2023; Stats SA P0441.2</t>
        </is>
      </c>
      <c r="V98" s="162" t="inlineStr"/>
    </row>
    <row r="99">
      <c r="A99" s="162" t="inlineStr">
        <is>
          <t>Western Cape share of diesel</t>
        </is>
      </c>
      <c r="B99" s="163" t="inlineStr">
        <is>
          <t>% of national</t>
        </is>
      </c>
      <c r="C99" s="163" t="inlineStr">
        <is>
          <t>Proposed estimate</t>
        </is>
      </c>
      <c r="D99" s="164" t="n"/>
      <c r="E99" s="162" t="inlineStr">
        <is>
          <t>2023: the province's share of quarter 1 2023 sales, as observed. 2024: the 2023 share moved with the province's share of real GDP. 2025: 2024 held.</t>
        </is>
      </c>
      <c r="F99" s="164" t="n"/>
      <c r="G99" s="164" t="n"/>
      <c r="H99" s="164" t="n"/>
      <c r="I99" s="164" t="n"/>
      <c r="J99" s="164" t="n"/>
      <c r="K99" s="164" t="n"/>
      <c r="L99" s="164" t="n"/>
      <c r="M99" s="164" t="n"/>
      <c r="N99" s="164" t="n"/>
      <c r="O99" s="164" t="n"/>
      <c r="P99" s="164" t="n"/>
      <c r="Q99" s="164" t="n">
        <v>23.48567896125875</v>
      </c>
      <c r="R99" s="164" t="n">
        <v>23.53970993881584</v>
      </c>
      <c r="S99" s="164" t="n">
        <v>23.53970993881584</v>
      </c>
      <c r="T99" s="162" t="inlineStr">
        <is>
          <t>Estimate</t>
        </is>
      </c>
      <c r="U99" s="162" t="inlineStr">
        <is>
          <t>Department district data, quarter 1 2023; Stats SA P0441.2</t>
        </is>
      </c>
      <c r="V99" s="162" t="inlineStr"/>
    </row>
    <row r="100">
      <c r="A100" s="162" t="inlineStr">
        <is>
          <t>Eastern Cape share of diesel</t>
        </is>
      </c>
      <c r="B100" s="163" t="inlineStr">
        <is>
          <t>% of national</t>
        </is>
      </c>
      <c r="C100" s="163" t="inlineStr">
        <is>
          <t>Proposed estimate</t>
        </is>
      </c>
      <c r="D100" s="164" t="n"/>
      <c r="E100" s="162" t="inlineStr">
        <is>
          <t>2023: the province's share of quarter 1 2023 sales, as observed. 2024: the 2023 share moved with the province's share of real GDP. 2025: 2024 held.</t>
        </is>
      </c>
      <c r="F100" s="164" t="n"/>
      <c r="G100" s="164" t="n"/>
      <c r="H100" s="164" t="n"/>
      <c r="I100" s="164" t="n"/>
      <c r="J100" s="164" t="n"/>
      <c r="K100" s="164" t="n"/>
      <c r="L100" s="164" t="n"/>
      <c r="M100" s="164" t="n"/>
      <c r="N100" s="164" t="n"/>
      <c r="O100" s="164" t="n"/>
      <c r="P100" s="164" t="n"/>
      <c r="Q100" s="164" t="n">
        <v>7.89067723132441</v>
      </c>
      <c r="R100" s="164" t="n">
        <v>7.83812278680507</v>
      </c>
      <c r="S100" s="164" t="n">
        <v>7.83812278680507</v>
      </c>
      <c r="T100" s="162" t="inlineStr">
        <is>
          <t>Estimate</t>
        </is>
      </c>
      <c r="U100" s="162" t="inlineStr">
        <is>
          <t>Department district data, quarter 1 2023; Stats SA P0441.2</t>
        </is>
      </c>
      <c r="V100" s="162" t="inlineStr"/>
    </row>
    <row r="101">
      <c r="A101" s="162" t="inlineStr">
        <is>
          <t>Mpumalanga share of diesel</t>
        </is>
      </c>
      <c r="B101" s="163" t="inlineStr">
        <is>
          <t>% of national</t>
        </is>
      </c>
      <c r="C101" s="163" t="inlineStr">
        <is>
          <t>Proposed estimate</t>
        </is>
      </c>
      <c r="D101" s="164" t="n"/>
      <c r="E101" s="162" t="inlineStr">
        <is>
          <t>2023: the province's share of quarter 1 2023 sales, as observed. 2024: the 2023 share moved with the province's share of real GDP. 2025: 2024 held.</t>
        </is>
      </c>
      <c r="F101" s="164" t="n"/>
      <c r="G101" s="164" t="n"/>
      <c r="H101" s="164" t="n"/>
      <c r="I101" s="164" t="n"/>
      <c r="J101" s="164" t="n"/>
      <c r="K101" s="164" t="n"/>
      <c r="L101" s="164" t="n"/>
      <c r="M101" s="164" t="n"/>
      <c r="N101" s="164" t="n"/>
      <c r="O101" s="164" t="n"/>
      <c r="P101" s="164" t="n"/>
      <c r="Q101" s="164" t="n">
        <v>9.154016030764375</v>
      </c>
      <c r="R101" s="164" t="n">
        <v>9.137636223166661</v>
      </c>
      <c r="S101" s="164" t="n">
        <v>9.137636223166661</v>
      </c>
      <c r="T101" s="162" t="inlineStr">
        <is>
          <t>Estimate</t>
        </is>
      </c>
      <c r="U101" s="162" t="inlineStr">
        <is>
          <t>Department district data, quarter 1 2023; Stats SA P0441.2</t>
        </is>
      </c>
      <c r="V101" s="162" t="inlineStr"/>
    </row>
    <row r="102">
      <c r="A102" s="162" t="inlineStr">
        <is>
          <t>Free State share of diesel</t>
        </is>
      </c>
      <c r="B102" s="163" t="inlineStr">
        <is>
          <t>% of national</t>
        </is>
      </c>
      <c r="C102" s="163" t="inlineStr">
        <is>
          <t>Proposed estimate</t>
        </is>
      </c>
      <c r="D102" s="164" t="n"/>
      <c r="E102" s="162" t="inlineStr">
        <is>
          <t>2023: the province's share of quarter 1 2023 sales, as observed. 2024: the 2023 share moved with the province's share of real GDP. 2025: 2024 held.</t>
        </is>
      </c>
      <c r="F102" s="164" t="n"/>
      <c r="G102" s="164" t="n"/>
      <c r="H102" s="164" t="n"/>
      <c r="I102" s="164" t="n"/>
      <c r="J102" s="164" t="n"/>
      <c r="K102" s="164" t="n"/>
      <c r="L102" s="164" t="n"/>
      <c r="M102" s="164" t="n"/>
      <c r="N102" s="164" t="n"/>
      <c r="O102" s="164" t="n"/>
      <c r="P102" s="164" t="n"/>
      <c r="Q102" s="164" t="n">
        <v>5.426397730797064</v>
      </c>
      <c r="R102" s="164" t="n">
        <v>5.42450839649958</v>
      </c>
      <c r="S102" s="164" t="n">
        <v>5.42450839649958</v>
      </c>
      <c r="T102" s="162" t="inlineStr">
        <is>
          <t>Estimate</t>
        </is>
      </c>
      <c r="U102" s="162" t="inlineStr">
        <is>
          <t>Department district data, quarter 1 2023; Stats SA P0441.2</t>
        </is>
      </c>
      <c r="V102" s="162" t="inlineStr"/>
    </row>
    <row r="103">
      <c r="A103" s="162" t="inlineStr">
        <is>
          <t>North West share of diesel</t>
        </is>
      </c>
      <c r="B103" s="163" t="inlineStr">
        <is>
          <t>% of national</t>
        </is>
      </c>
      <c r="C103" s="163" t="inlineStr">
        <is>
          <t>Proposed estimate</t>
        </is>
      </c>
      <c r="D103" s="164" t="n"/>
      <c r="E103" s="162" t="inlineStr">
        <is>
          <t>2023: the province's share of quarter 1 2023 sales, as observed. 2024: the 2023 share moved with the province's share of real GDP. 2025: 2024 held.</t>
        </is>
      </c>
      <c r="F103" s="164" t="n"/>
      <c r="G103" s="164" t="n"/>
      <c r="H103" s="164" t="n"/>
      <c r="I103" s="164" t="n"/>
      <c r="J103" s="164" t="n"/>
      <c r="K103" s="164" t="n"/>
      <c r="L103" s="164" t="n"/>
      <c r="M103" s="164" t="n"/>
      <c r="N103" s="164" t="n"/>
      <c r="O103" s="164" t="n"/>
      <c r="P103" s="164" t="n"/>
      <c r="Q103" s="164" t="n">
        <v>4.4050379640929</v>
      </c>
      <c r="R103" s="164" t="n">
        <v>4.376670684154155</v>
      </c>
      <c r="S103" s="164" t="n">
        <v>4.376670684154155</v>
      </c>
      <c r="T103" s="162" t="inlineStr">
        <is>
          <t>Estimate</t>
        </is>
      </c>
      <c r="U103" s="162" t="inlineStr">
        <is>
          <t>Department district data, quarter 1 2023; Stats SA P0441.2</t>
        </is>
      </c>
      <c r="V103" s="162" t="inlineStr"/>
    </row>
    <row r="104">
      <c r="A104" s="162" t="inlineStr">
        <is>
          <t>Limpopo share of diesel</t>
        </is>
      </c>
      <c r="B104" s="163" t="inlineStr">
        <is>
          <t>% of national</t>
        </is>
      </c>
      <c r="C104" s="163" t="inlineStr">
        <is>
          <t>Proposed estimate</t>
        </is>
      </c>
      <c r="D104" s="164" t="n"/>
      <c r="E104" s="162" t="inlineStr">
        <is>
          <t>2023: the province's share of quarter 1 2023 sales, as observed. 2024: the 2023 share moved with the province's share of real GDP. 2025: 2024 held.</t>
        </is>
      </c>
      <c r="F104" s="164" t="n"/>
      <c r="G104" s="164" t="n"/>
      <c r="H104" s="164" t="n"/>
      <c r="I104" s="164" t="n"/>
      <c r="J104" s="164" t="n"/>
      <c r="K104" s="164" t="n"/>
      <c r="L104" s="164" t="n"/>
      <c r="M104" s="164" t="n"/>
      <c r="N104" s="164" t="n"/>
      <c r="O104" s="164" t="n"/>
      <c r="P104" s="164" t="n"/>
      <c r="Q104" s="164" t="n">
        <v>1.888937215844854</v>
      </c>
      <c r="R104" s="164" t="n">
        <v>1.896160763259574</v>
      </c>
      <c r="S104" s="164" t="n">
        <v>1.896160763259574</v>
      </c>
      <c r="T104" s="162" t="inlineStr">
        <is>
          <t>Estimate</t>
        </is>
      </c>
      <c r="U104" s="162" t="inlineStr">
        <is>
          <t>Department district data, quarter 1 2023; Stats SA P0441.2</t>
        </is>
      </c>
      <c r="V104" s="162" t="inlineStr"/>
    </row>
    <row r="105">
      <c r="A105" s="162" t="inlineStr">
        <is>
          <t>Northern Cape share of diesel</t>
        </is>
      </c>
      <c r="B105" s="163" t="inlineStr">
        <is>
          <t>% of national</t>
        </is>
      </c>
      <c r="C105" s="163" t="inlineStr">
        <is>
          <t>Proposed estimate</t>
        </is>
      </c>
      <c r="D105" s="164" t="n"/>
      <c r="E105" s="162" t="inlineStr">
        <is>
          <t>2023: the province's share of quarter 1 2023 sales, as observed. 2024: the 2023 share moved with the province's share of real GDP. 2025: 2024 held.</t>
        </is>
      </c>
      <c r="F105" s="164" t="n"/>
      <c r="G105" s="164" t="n"/>
      <c r="H105" s="164" t="n"/>
      <c r="I105" s="164" t="n"/>
      <c r="J105" s="164" t="n"/>
      <c r="K105" s="164" t="n"/>
      <c r="L105" s="164" t="n"/>
      <c r="M105" s="164" t="n"/>
      <c r="N105" s="164" t="n"/>
      <c r="O105" s="164" t="n"/>
      <c r="P105" s="164" t="n"/>
      <c r="Q105" s="164" t="n">
        <v>2.807796173437997</v>
      </c>
      <c r="R105" s="164" t="n">
        <v>2.791890196146183</v>
      </c>
      <c r="S105" s="164" t="n">
        <v>2.791890196146183</v>
      </c>
      <c r="T105" s="162" t="inlineStr">
        <is>
          <t>Estimate</t>
        </is>
      </c>
      <c r="U105" s="162" t="inlineStr">
        <is>
          <t>Department district data, quarter 1 2023; Stats SA P0441.2</t>
        </is>
      </c>
      <c r="V105" s="162" t="inlineStr"/>
    </row>
    <row r="106">
      <c r="A106" s="162" t="inlineStr">
        <is>
          <t>Gauteng diesel, estimated</t>
        </is>
      </c>
      <c r="B106" s="163" t="inlineStr">
        <is>
          <t>million L/year</t>
        </is>
      </c>
      <c r="C106" s="163" t="inlineStr">
        <is>
          <t>Proposed estimate</t>
        </is>
      </c>
      <c r="D106" s="165" t="n"/>
      <c r="E106" s="162" t="inlineStr">
        <is>
          <t>Estimated share times the department's national total (section 1). Blank where no national figure exists.</t>
        </is>
      </c>
      <c r="F106" s="165" t="n"/>
      <c r="G106" s="165" t="n"/>
      <c r="H106" s="165" t="n"/>
      <c r="I106" s="165" t="n"/>
      <c r="J106" s="165" t="n"/>
      <c r="K106" s="165" t="n"/>
      <c r="L106" s="165" t="n"/>
      <c r="M106" s="165" t="n"/>
      <c r="N106" s="165" t="n"/>
      <c r="O106" s="165" t="n"/>
      <c r="P106" s="165" t="n"/>
      <c r="Q106" s="165">
        <f>IF(COUNT(Q97,Q31)&lt;2,"",Q97/100*Q31)</f>
        <v/>
      </c>
      <c r="R106" s="165">
        <f>IF(COUNT(R97,R31)&lt;2,"",R97/100*R31)</f>
        <v/>
      </c>
      <c r="S106" s="165">
        <f>IF(COUNT(S97,S31)&lt;2,"",S97/100*S31)</f>
        <v/>
      </c>
      <c r="T106" s="162" t="inlineStr">
        <is>
          <t>Estimate; 2023 only, the last year with a national total</t>
        </is>
      </c>
      <c r="U106" s="162" t="inlineStr">
        <is>
          <t>Analyst estimate, calculated in this workbook; method in the definition</t>
        </is>
      </c>
      <c r="V106" s="162" t="inlineStr">
        <is>
          <t>Replace when the department publishes district data after 2023 quarter 1</t>
        </is>
      </c>
    </row>
    <row r="107">
      <c r="A107" s="162" t="inlineStr">
        <is>
          <t>KwaZulu-Natal diesel, estimated</t>
        </is>
      </c>
      <c r="B107" s="163" t="inlineStr">
        <is>
          <t>million L/year</t>
        </is>
      </c>
      <c r="C107" s="163" t="inlineStr">
        <is>
          <t>Proposed estimate</t>
        </is>
      </c>
      <c r="D107" s="165" t="n"/>
      <c r="E107" s="162" t="inlineStr">
        <is>
          <t>Estimated share times the department's national total (section 1). Blank where no national figure exists.</t>
        </is>
      </c>
      <c r="F107" s="165" t="n"/>
      <c r="G107" s="165" t="n"/>
      <c r="H107" s="165" t="n"/>
      <c r="I107" s="165" t="n"/>
      <c r="J107" s="165" t="n"/>
      <c r="K107" s="165" t="n"/>
      <c r="L107" s="165" t="n"/>
      <c r="M107" s="165" t="n"/>
      <c r="N107" s="165" t="n"/>
      <c r="O107" s="165" t="n"/>
      <c r="P107" s="165" t="n"/>
      <c r="Q107" s="165">
        <f>IF(COUNT(Q98,Q31)&lt;2,"",Q98/100*Q31)</f>
        <v/>
      </c>
      <c r="R107" s="165">
        <f>IF(COUNT(R98,R31)&lt;2,"",R98/100*R31)</f>
        <v/>
      </c>
      <c r="S107" s="165">
        <f>IF(COUNT(S98,S31)&lt;2,"",S98/100*S31)</f>
        <v/>
      </c>
      <c r="T107" s="162" t="inlineStr">
        <is>
          <t>Estimate; 2023 only, the last year with a national total</t>
        </is>
      </c>
      <c r="U107" s="162" t="inlineStr">
        <is>
          <t>Analyst estimate, calculated in this workbook; method in the definition</t>
        </is>
      </c>
      <c r="V107" s="162" t="inlineStr">
        <is>
          <t>Replace when the department publishes district data after 2023 quarter 1</t>
        </is>
      </c>
    </row>
    <row r="108">
      <c r="A108" s="162" t="inlineStr">
        <is>
          <t>Western Cape diesel, estimated</t>
        </is>
      </c>
      <c r="B108" s="163" t="inlineStr">
        <is>
          <t>million L/year</t>
        </is>
      </c>
      <c r="C108" s="163" t="inlineStr">
        <is>
          <t>Proposed estimate</t>
        </is>
      </c>
      <c r="D108" s="165" t="n"/>
      <c r="E108" s="162" t="inlineStr">
        <is>
          <t>Estimated share times the department's national total (section 1). Blank where no national figure exists.</t>
        </is>
      </c>
      <c r="F108" s="165" t="n"/>
      <c r="G108" s="165" t="n"/>
      <c r="H108" s="165" t="n"/>
      <c r="I108" s="165" t="n"/>
      <c r="J108" s="165" t="n"/>
      <c r="K108" s="165" t="n"/>
      <c r="L108" s="165" t="n"/>
      <c r="M108" s="165" t="n"/>
      <c r="N108" s="165" t="n"/>
      <c r="O108" s="165" t="n"/>
      <c r="P108" s="165" t="n"/>
      <c r="Q108" s="165">
        <f>IF(COUNT(Q99,Q31)&lt;2,"",Q99/100*Q31)</f>
        <v/>
      </c>
      <c r="R108" s="165">
        <f>IF(COUNT(R99,R31)&lt;2,"",R99/100*R31)</f>
        <v/>
      </c>
      <c r="S108" s="165">
        <f>IF(COUNT(S99,S31)&lt;2,"",S99/100*S31)</f>
        <v/>
      </c>
      <c r="T108" s="162" t="inlineStr">
        <is>
          <t>Estimate; 2023 only, the last year with a national total</t>
        </is>
      </c>
      <c r="U108" s="162" t="inlineStr">
        <is>
          <t>Analyst estimate, calculated in this workbook; method in the definition</t>
        </is>
      </c>
      <c r="V108" s="162" t="inlineStr">
        <is>
          <t>Replace when the department publishes district data after 2023 quarter 1</t>
        </is>
      </c>
    </row>
    <row r="109">
      <c r="A109" s="162" t="inlineStr">
        <is>
          <t>Eastern Cape diesel, estimated</t>
        </is>
      </c>
      <c r="B109" s="163" t="inlineStr">
        <is>
          <t>million L/year</t>
        </is>
      </c>
      <c r="C109" s="163" t="inlineStr">
        <is>
          <t>Proposed estimate</t>
        </is>
      </c>
      <c r="D109" s="165" t="n"/>
      <c r="E109" s="162" t="inlineStr">
        <is>
          <t>Estimated share times the department's national total (section 1). Blank where no national figure exists.</t>
        </is>
      </c>
      <c r="F109" s="165" t="n"/>
      <c r="G109" s="165" t="n"/>
      <c r="H109" s="165" t="n"/>
      <c r="I109" s="165" t="n"/>
      <c r="J109" s="165" t="n"/>
      <c r="K109" s="165" t="n"/>
      <c r="L109" s="165" t="n"/>
      <c r="M109" s="165" t="n"/>
      <c r="N109" s="165" t="n"/>
      <c r="O109" s="165" t="n"/>
      <c r="P109" s="165" t="n"/>
      <c r="Q109" s="165">
        <f>IF(COUNT(Q100,Q31)&lt;2,"",Q100/100*Q31)</f>
        <v/>
      </c>
      <c r="R109" s="165">
        <f>IF(COUNT(R100,R31)&lt;2,"",R100/100*R31)</f>
        <v/>
      </c>
      <c r="S109" s="165">
        <f>IF(COUNT(S100,S31)&lt;2,"",S100/100*S31)</f>
        <v/>
      </c>
      <c r="T109" s="162" t="inlineStr">
        <is>
          <t>Estimate; 2023 only, the last year with a national total</t>
        </is>
      </c>
      <c r="U109" s="162" t="inlineStr">
        <is>
          <t>Analyst estimate, calculated in this workbook; method in the definition</t>
        </is>
      </c>
      <c r="V109" s="162" t="inlineStr">
        <is>
          <t>Replace when the department publishes district data after 2023 quarter 1</t>
        </is>
      </c>
    </row>
    <row r="110">
      <c r="A110" s="162" t="inlineStr">
        <is>
          <t>Mpumalanga diesel, estimated</t>
        </is>
      </c>
      <c r="B110" s="163" t="inlineStr">
        <is>
          <t>million L/year</t>
        </is>
      </c>
      <c r="C110" s="163" t="inlineStr">
        <is>
          <t>Proposed estimate</t>
        </is>
      </c>
      <c r="D110" s="165" t="n"/>
      <c r="E110" s="162" t="inlineStr">
        <is>
          <t>Estimated share times the department's national total (section 1). Blank where no national figure exists.</t>
        </is>
      </c>
      <c r="F110" s="165" t="n"/>
      <c r="G110" s="165" t="n"/>
      <c r="H110" s="165" t="n"/>
      <c r="I110" s="165" t="n"/>
      <c r="J110" s="165" t="n"/>
      <c r="K110" s="165" t="n"/>
      <c r="L110" s="165" t="n"/>
      <c r="M110" s="165" t="n"/>
      <c r="N110" s="165" t="n"/>
      <c r="O110" s="165" t="n"/>
      <c r="P110" s="165" t="n"/>
      <c r="Q110" s="165">
        <f>IF(COUNT(Q101,Q31)&lt;2,"",Q101/100*Q31)</f>
        <v/>
      </c>
      <c r="R110" s="165">
        <f>IF(COUNT(R101,R31)&lt;2,"",R101/100*R31)</f>
        <v/>
      </c>
      <c r="S110" s="165">
        <f>IF(COUNT(S101,S31)&lt;2,"",S101/100*S31)</f>
        <v/>
      </c>
      <c r="T110" s="162" t="inlineStr">
        <is>
          <t>Estimate; 2023 only, the last year with a national total</t>
        </is>
      </c>
      <c r="U110" s="162" t="inlineStr">
        <is>
          <t>Analyst estimate, calculated in this workbook; method in the definition</t>
        </is>
      </c>
      <c r="V110" s="162" t="inlineStr">
        <is>
          <t>Replace when the department publishes district data after 2023 quarter 1</t>
        </is>
      </c>
    </row>
    <row r="111">
      <c r="A111" s="162" t="inlineStr">
        <is>
          <t>Free State diesel, estimated</t>
        </is>
      </c>
      <c r="B111" s="163" t="inlineStr">
        <is>
          <t>million L/year</t>
        </is>
      </c>
      <c r="C111" s="163" t="inlineStr">
        <is>
          <t>Proposed estimate</t>
        </is>
      </c>
      <c r="D111" s="165" t="n"/>
      <c r="E111" s="162" t="inlineStr">
        <is>
          <t>Estimated share times the department's national total (section 1). Blank where no national figure exists.</t>
        </is>
      </c>
      <c r="F111" s="165" t="n"/>
      <c r="G111" s="165" t="n"/>
      <c r="H111" s="165" t="n"/>
      <c r="I111" s="165" t="n"/>
      <c r="J111" s="165" t="n"/>
      <c r="K111" s="165" t="n"/>
      <c r="L111" s="165" t="n"/>
      <c r="M111" s="165" t="n"/>
      <c r="N111" s="165" t="n"/>
      <c r="O111" s="165" t="n"/>
      <c r="P111" s="165" t="n"/>
      <c r="Q111" s="165">
        <f>IF(COUNT(Q102,Q31)&lt;2,"",Q102/100*Q31)</f>
        <v/>
      </c>
      <c r="R111" s="165">
        <f>IF(COUNT(R102,R31)&lt;2,"",R102/100*R31)</f>
        <v/>
      </c>
      <c r="S111" s="165">
        <f>IF(COUNT(S102,S31)&lt;2,"",S102/100*S31)</f>
        <v/>
      </c>
      <c r="T111" s="162" t="inlineStr">
        <is>
          <t>Estimate; 2023 only, the last year with a national total</t>
        </is>
      </c>
      <c r="U111" s="162" t="inlineStr">
        <is>
          <t>Analyst estimate, calculated in this workbook; method in the definition</t>
        </is>
      </c>
      <c r="V111" s="162" t="inlineStr">
        <is>
          <t>Replace when the department publishes district data after 2023 quarter 1</t>
        </is>
      </c>
    </row>
    <row r="112">
      <c r="A112" s="162" t="inlineStr">
        <is>
          <t>North West diesel, estimated</t>
        </is>
      </c>
      <c r="B112" s="163" t="inlineStr">
        <is>
          <t>million L/year</t>
        </is>
      </c>
      <c r="C112" s="163" t="inlineStr">
        <is>
          <t>Proposed estimate</t>
        </is>
      </c>
      <c r="D112" s="165" t="n"/>
      <c r="E112" s="162" t="inlineStr">
        <is>
          <t>Estimated share times the department's national total (section 1). Blank where no national figure exists.</t>
        </is>
      </c>
      <c r="F112" s="165" t="n"/>
      <c r="G112" s="165" t="n"/>
      <c r="H112" s="165" t="n"/>
      <c r="I112" s="165" t="n"/>
      <c r="J112" s="165" t="n"/>
      <c r="K112" s="165" t="n"/>
      <c r="L112" s="165" t="n"/>
      <c r="M112" s="165" t="n"/>
      <c r="N112" s="165" t="n"/>
      <c r="O112" s="165" t="n"/>
      <c r="P112" s="165" t="n"/>
      <c r="Q112" s="165">
        <f>IF(COUNT(Q103,Q31)&lt;2,"",Q103/100*Q31)</f>
        <v/>
      </c>
      <c r="R112" s="165">
        <f>IF(COUNT(R103,R31)&lt;2,"",R103/100*R31)</f>
        <v/>
      </c>
      <c r="S112" s="165">
        <f>IF(COUNT(S103,S31)&lt;2,"",S103/100*S31)</f>
        <v/>
      </c>
      <c r="T112" s="162" t="inlineStr">
        <is>
          <t>Estimate; 2023 only, the last year with a national total</t>
        </is>
      </c>
      <c r="U112" s="162" t="inlineStr">
        <is>
          <t>Analyst estimate, calculated in this workbook; method in the definition</t>
        </is>
      </c>
      <c r="V112" s="162" t="inlineStr">
        <is>
          <t>Replace when the department publishes district data after 2023 quarter 1</t>
        </is>
      </c>
    </row>
    <row r="113">
      <c r="A113" s="162" t="inlineStr">
        <is>
          <t>Limpopo diesel, estimated</t>
        </is>
      </c>
      <c r="B113" s="163" t="inlineStr">
        <is>
          <t>million L/year</t>
        </is>
      </c>
      <c r="C113" s="163" t="inlineStr">
        <is>
          <t>Proposed estimate</t>
        </is>
      </c>
      <c r="D113" s="165" t="n"/>
      <c r="E113" s="162" t="inlineStr">
        <is>
          <t>Estimated share times the department's national total (section 1). Blank where no national figure exists.</t>
        </is>
      </c>
      <c r="F113" s="165" t="n"/>
      <c r="G113" s="165" t="n"/>
      <c r="H113" s="165" t="n"/>
      <c r="I113" s="165" t="n"/>
      <c r="J113" s="165" t="n"/>
      <c r="K113" s="165" t="n"/>
      <c r="L113" s="165" t="n"/>
      <c r="M113" s="165" t="n"/>
      <c r="N113" s="165" t="n"/>
      <c r="O113" s="165" t="n"/>
      <c r="P113" s="165" t="n"/>
      <c r="Q113" s="165">
        <f>IF(COUNT(Q104,Q31)&lt;2,"",Q104/100*Q31)</f>
        <v/>
      </c>
      <c r="R113" s="165">
        <f>IF(COUNT(R104,R31)&lt;2,"",R104/100*R31)</f>
        <v/>
      </c>
      <c r="S113" s="165">
        <f>IF(COUNT(S104,S31)&lt;2,"",S104/100*S31)</f>
        <v/>
      </c>
      <c r="T113" s="162" t="inlineStr">
        <is>
          <t>Estimate; 2023 only, the last year with a national total</t>
        </is>
      </c>
      <c r="U113" s="162" t="inlineStr">
        <is>
          <t>Analyst estimate, calculated in this workbook; method in the definition</t>
        </is>
      </c>
      <c r="V113" s="162" t="inlineStr">
        <is>
          <t>Replace when the department publishes district data after 2023 quarter 1</t>
        </is>
      </c>
    </row>
    <row r="114">
      <c r="A114" s="162" t="inlineStr">
        <is>
          <t>Northern Cape diesel, estimated</t>
        </is>
      </c>
      <c r="B114" s="163" t="inlineStr">
        <is>
          <t>million L/year</t>
        </is>
      </c>
      <c r="C114" s="163" t="inlineStr">
        <is>
          <t>Proposed estimate</t>
        </is>
      </c>
      <c r="D114" s="165" t="n"/>
      <c r="E114" s="162" t="inlineStr">
        <is>
          <t>Estimated share times the department's national total (section 1). Blank where no national figure exists.</t>
        </is>
      </c>
      <c r="F114" s="165" t="n"/>
      <c r="G114" s="165" t="n"/>
      <c r="H114" s="165" t="n"/>
      <c r="I114" s="165" t="n"/>
      <c r="J114" s="165" t="n"/>
      <c r="K114" s="165" t="n"/>
      <c r="L114" s="165" t="n"/>
      <c r="M114" s="165" t="n"/>
      <c r="N114" s="165" t="n"/>
      <c r="O114" s="165" t="n"/>
      <c r="P114" s="165" t="n"/>
      <c r="Q114" s="165">
        <f>IF(COUNT(Q105,Q31)&lt;2,"",Q105/100*Q31)</f>
        <v/>
      </c>
      <c r="R114" s="165">
        <f>IF(COUNT(R105,R31)&lt;2,"",R105/100*R31)</f>
        <v/>
      </c>
      <c r="S114" s="165">
        <f>IF(COUNT(S105,S31)&lt;2,"",S105/100*S31)</f>
        <v/>
      </c>
      <c r="T114" s="162" t="inlineStr">
        <is>
          <t>Estimate; 2023 only, the last year with a national total</t>
        </is>
      </c>
      <c r="U114" s="162" t="inlineStr">
        <is>
          <t>Analyst estimate, calculated in this workbook; method in the definition</t>
        </is>
      </c>
      <c r="V114" s="162" t="inlineStr">
        <is>
          <t>Replace when the department publishes district data after 2023 quarter 1</t>
        </is>
      </c>
    </row>
    <row r="116">
      <c r="A116" s="151" t="inlineStr">
        <is>
          <t>7. Jet fuel: sales, trade, production and aircraft movements</t>
        </is>
      </c>
      <c r="B116" s="151" t="n"/>
      <c r="C116" s="151" t="n"/>
      <c r="D116" s="151" t="n"/>
      <c r="E116" s="151" t="n"/>
      <c r="F116" s="151" t="n"/>
      <c r="G116" s="151" t="n"/>
      <c r="H116" s="151" t="n"/>
      <c r="I116" s="151" t="n"/>
      <c r="J116" s="151" t="n"/>
      <c r="K116" s="151" t="n"/>
      <c r="L116" s="151" t="n"/>
      <c r="M116" s="151" t="n"/>
      <c r="N116" s="151" t="n"/>
      <c r="O116" s="151" t="n"/>
      <c r="P116" s="151" t="n"/>
      <c r="Q116" s="151" t="n"/>
      <c r="R116" s="151" t="n"/>
      <c r="S116" s="151" t="n"/>
      <c r="T116" s="151" t="n"/>
      <c r="U116" s="151" t="n"/>
      <c r="V116" s="151" t="n"/>
    </row>
    <row r="117">
      <c r="A117" s="152" t="inlineStr">
        <is>
          <t>Department national file, jet</t>
        </is>
      </c>
      <c r="B117" s="153" t="inlineStr">
        <is>
          <t>million L/year</t>
        </is>
      </c>
      <c r="C117" s="153" t="inlineStr">
        <is>
          <t>Source observation</t>
        </is>
      </c>
      <c r="D117" s="154" t="n"/>
      <c r="E117" s="152" t="inlineStr">
        <is>
          <t>National annual workbook, years with four quarters reported.</t>
        </is>
      </c>
      <c r="F117" s="154" t="n">
        <v>2431.08548</v>
      </c>
      <c r="G117" s="154" t="n">
        <v>2305.651372</v>
      </c>
      <c r="H117" s="154" t="n">
        <v>2293.018714</v>
      </c>
      <c r="I117" s="154" t="n">
        <v>2457.95129655</v>
      </c>
      <c r="J117" s="154" t="n">
        <v>2598.760123418</v>
      </c>
      <c r="K117" s="154" t="n">
        <v>2712.662668234242</v>
      </c>
      <c r="L117" s="154" t="n">
        <v>2346.059526818</v>
      </c>
      <c r="M117" s="154" t="n">
        <v>2438.852598017</v>
      </c>
      <c r="N117" s="154" t="n">
        <v>1090.817659253</v>
      </c>
      <c r="O117" s="154" t="n">
        <v>1047.881004178</v>
      </c>
      <c r="P117" s="154" t="n">
        <v>1478.149852603</v>
      </c>
      <c r="Q117" s="154" t="n">
        <v>1843.971762465</v>
      </c>
      <c r="R117" s="154" t="n"/>
      <c r="S117" s="154" t="n"/>
      <c r="T117" s="152" t="inlineStr">
        <is>
          <t>2012-2023</t>
        </is>
      </c>
      <c r="U117" s="152" t="inlineStr">
        <is>
          <t>Department of Mineral and Petroleum Resources, sales volumes, national workbooks</t>
        </is>
      </c>
      <c r="V117" s="152" t="inlineStr"/>
    </row>
    <row r="118">
      <c r="A118" s="159" t="inlineStr">
        <is>
          <t>FIASA sales, jet</t>
        </is>
      </c>
      <c r="B118" s="160" t="inlineStr">
        <is>
          <t>million L/year</t>
        </is>
      </c>
      <c r="C118" s="160" t="inlineStr">
        <is>
          <t>Comparison only</t>
        </is>
      </c>
      <c r="D118" s="161" t="n"/>
      <c r="E118" s="159" t="inlineStr">
        <is>
          <t>FIASA annual report, latest edition.</t>
        </is>
      </c>
      <c r="F118" s="161" t="n">
        <v>2367</v>
      </c>
      <c r="G118" s="161" t="n">
        <v>2223</v>
      </c>
      <c r="H118" s="161" t="n">
        <v>2197</v>
      </c>
      <c r="I118" s="161" t="n">
        <v>2441</v>
      </c>
      <c r="J118" s="161" t="n">
        <v>2121</v>
      </c>
      <c r="K118" s="161" t="n">
        <v>2713</v>
      </c>
      <c r="L118" s="161" t="n">
        <v>2346</v>
      </c>
      <c r="M118" s="161" t="n">
        <v>2439</v>
      </c>
      <c r="N118" s="161" t="n">
        <v>1091</v>
      </c>
      <c r="O118" s="161" t="n">
        <v>1048</v>
      </c>
      <c r="P118" s="161" t="n">
        <v>1478</v>
      </c>
      <c r="Q118" s="161" t="n">
        <v>1844</v>
      </c>
      <c r="R118" s="161" t="n">
        <v>1955</v>
      </c>
      <c r="S118" s="161" t="n"/>
      <c r="T118" s="159" t="inlineStr">
        <is>
          <t>Not used. 2024: 1,754 in FIASA's 2024 edition, 1,955 in its 2025 edition</t>
        </is>
      </c>
      <c r="U118" s="159" t="inlineStr">
        <is>
          <t>Fuels Industry Association of South Africa, annual reports</t>
        </is>
      </c>
      <c r="V118" s="159" t="inlineStr"/>
    </row>
    <row r="119">
      <c r="A119" s="156" t="inlineStr">
        <is>
          <t>Sales used, jet</t>
        </is>
      </c>
      <c r="B119" s="157" t="inlineStr">
        <is>
          <t>million L/year</t>
        </is>
      </c>
      <c r="C119" s="157" t="inlineStr">
        <is>
          <t>Reporting formula</t>
        </is>
      </c>
      <c r="D119" s="158" t="n"/>
      <c r="E119" s="156" t="inlineStr">
        <is>
          <t>Department national file. Blank where not published.</t>
        </is>
      </c>
      <c r="F119" s="158">
        <f>IF(ISNUMBER(F117),F117,"")</f>
        <v/>
      </c>
      <c r="G119" s="158">
        <f>IF(ISNUMBER(G117),G117,"")</f>
        <v/>
      </c>
      <c r="H119" s="158">
        <f>IF(ISNUMBER(H117),H117,"")</f>
        <v/>
      </c>
      <c r="I119" s="158">
        <f>IF(ISNUMBER(I117),I117,"")</f>
        <v/>
      </c>
      <c r="J119" s="158">
        <f>IF(ISNUMBER(J117),J117,"")</f>
        <v/>
      </c>
      <c r="K119" s="158">
        <f>IF(ISNUMBER(K117),K117,"")</f>
        <v/>
      </c>
      <c r="L119" s="158">
        <f>IF(ISNUMBER(L117),L117,"")</f>
        <v/>
      </c>
      <c r="M119" s="158">
        <f>IF(ISNUMBER(M117),M117,"")</f>
        <v/>
      </c>
      <c r="N119" s="158">
        <f>IF(ISNUMBER(N117),N117,"")</f>
        <v/>
      </c>
      <c r="O119" s="158">
        <f>IF(ISNUMBER(O117),O117,"")</f>
        <v/>
      </c>
      <c r="P119" s="158">
        <f>IF(ISNUMBER(P117),P117,"")</f>
        <v/>
      </c>
      <c r="Q119" s="158">
        <f>IF(ISNUMBER(Q117),Q117,"")</f>
        <v/>
      </c>
      <c r="R119" s="158">
        <f>IF(ISNUMBER(R117),R117,"")</f>
        <v/>
      </c>
      <c r="S119" s="158">
        <f>IF(ISNUMBER(S117),S117,"")</f>
        <v/>
      </c>
      <c r="T119" s="156" t="inlineStr"/>
      <c r="U119" s="156" t="inlineStr">
        <is>
          <t>Calculated in this workbook from the rows named in the definition</t>
        </is>
      </c>
      <c r="V119" s="156" t="inlineStr"/>
    </row>
    <row r="120">
      <c r="A120" s="152" t="inlineStr">
        <is>
          <t>Imports, jet</t>
        </is>
      </c>
      <c r="B120" s="153" t="inlineStr">
        <is>
          <t>million L/year</t>
        </is>
      </c>
      <c r="C120" s="153" t="inlineStr">
        <is>
          <t>Source observation</t>
        </is>
      </c>
      <c r="D120" s="154" t="n"/>
      <c r="E120" s="152" t="inlineStr">
        <is>
          <t>Complete years reported in litres.</t>
        </is>
      </c>
      <c r="F120" s="154" t="n"/>
      <c r="G120" s="154" t="n"/>
      <c r="H120" s="154" t="n"/>
      <c r="I120" s="154" t="n"/>
      <c r="J120" s="154" t="n"/>
      <c r="K120" s="154" t="n">
        <v>418.603994</v>
      </c>
      <c r="L120" s="154" t="n">
        <v>341.60306375</v>
      </c>
      <c r="M120" s="154" t="n"/>
      <c r="N120" s="154" t="n">
        <v>587.4314575</v>
      </c>
      <c r="O120" s="154" t="n">
        <v>446.819487</v>
      </c>
      <c r="P120" s="154" t="n">
        <v>810.3529865</v>
      </c>
      <c r="Q120" s="154" t="n">
        <v>673.86142982</v>
      </c>
      <c r="R120" s="154" t="n">
        <v>718.0868890700001</v>
      </c>
      <c r="S120" s="154" t="n">
        <v>884.9844383200001</v>
      </c>
      <c r="T120" s="152" t="inlineStr">
        <is>
          <t>From 2014; 2019 blank because one month is missing</t>
        </is>
      </c>
      <c r="U120" s="152" t="inlineStr">
        <is>
          <t>South African Revenue Service, trade statistics by tariff line</t>
        </is>
      </c>
      <c r="V120" s="152" t="inlineStr"/>
    </row>
    <row r="121">
      <c r="A121" s="152" t="inlineStr">
        <is>
          <t>Exports, jet</t>
        </is>
      </c>
      <c r="B121" s="153" t="inlineStr">
        <is>
          <t>million L/year</t>
        </is>
      </c>
      <c r="C121" s="153" t="inlineStr">
        <is>
          <t>Source observation</t>
        </is>
      </c>
      <c r="D121" s="154" t="n"/>
      <c r="E121" s="152" t="inlineStr">
        <is>
          <t>Complete years reported in litres. Whether fuel loaded onto international flights is recorded as an export is not established.</t>
        </is>
      </c>
      <c r="F121" s="154" t="n"/>
      <c r="G121" s="154" t="n"/>
      <c r="H121" s="154" t="n">
        <v>114.794276</v>
      </c>
      <c r="I121" s="154" t="n">
        <v>821.0071333</v>
      </c>
      <c r="J121" s="154" t="n">
        <v>334.5899605</v>
      </c>
      <c r="K121" s="154" t="n">
        <v>348.7657881</v>
      </c>
      <c r="L121" s="154" t="n">
        <v>327.817396</v>
      </c>
      <c r="M121" s="154" t="n">
        <v>293.094467</v>
      </c>
      <c r="N121" s="154" t="n">
        <v>620.3165292</v>
      </c>
      <c r="O121" s="154" t="n">
        <v>98.7798698</v>
      </c>
      <c r="P121" s="154" t="n">
        <v>384.881163</v>
      </c>
      <c r="Q121" s="154" t="n">
        <v>451.76833507</v>
      </c>
      <c r="R121" s="154" t="n">
        <v>478.4344717</v>
      </c>
      <c r="S121" s="154" t="n">
        <v>471.98413936</v>
      </c>
      <c r="T121" s="152" t="inlineStr">
        <is>
          <t>From 2014</t>
        </is>
      </c>
      <c r="U121" s="152" t="inlineStr">
        <is>
          <t>South African Revenue Service, trade statistics by tariff line</t>
        </is>
      </c>
      <c r="V121" s="152" t="inlineStr"/>
    </row>
    <row r="122">
      <c r="A122" s="156" t="inlineStr">
        <is>
          <t>Net imports, jet</t>
        </is>
      </c>
      <c r="B122" s="157" t="inlineStr">
        <is>
          <t>million L/year</t>
        </is>
      </c>
      <c r="C122" s="157" t="inlineStr">
        <is>
          <t>Reporting formula</t>
        </is>
      </c>
      <c r="D122" s="158" t="n"/>
      <c r="E122" s="156" t="inlineStr">
        <is>
          <t>Imports less exports.</t>
        </is>
      </c>
      <c r="F122" s="158">
        <f>IF(COUNT(F120,F121)&lt;2,"",F120-F121)</f>
        <v/>
      </c>
      <c r="G122" s="158">
        <f>IF(COUNT(G120,G121)&lt;2,"",G120-G121)</f>
        <v/>
      </c>
      <c r="H122" s="158">
        <f>IF(COUNT(H120,H121)&lt;2,"",H120-H121)</f>
        <v/>
      </c>
      <c r="I122" s="158">
        <f>IF(COUNT(I120,I121)&lt;2,"",I120-I121)</f>
        <v/>
      </c>
      <c r="J122" s="158">
        <f>IF(COUNT(J120,J121)&lt;2,"",J120-J121)</f>
        <v/>
      </c>
      <c r="K122" s="158">
        <f>IF(COUNT(K120,K121)&lt;2,"",K120-K121)</f>
        <v/>
      </c>
      <c r="L122" s="158">
        <f>IF(COUNT(L120,L121)&lt;2,"",L120-L121)</f>
        <v/>
      </c>
      <c r="M122" s="158">
        <f>IF(COUNT(M120,M121)&lt;2,"",M120-M121)</f>
        <v/>
      </c>
      <c r="N122" s="158">
        <f>IF(COUNT(N120,N121)&lt;2,"",N120-N121)</f>
        <v/>
      </c>
      <c r="O122" s="158">
        <f>IF(COUNT(O120,O121)&lt;2,"",O120-O121)</f>
        <v/>
      </c>
      <c r="P122" s="158">
        <f>IF(COUNT(P120,P121)&lt;2,"",P120-P121)</f>
        <v/>
      </c>
      <c r="Q122" s="158">
        <f>IF(COUNT(Q120,Q121)&lt;2,"",Q120-Q121)</f>
        <v/>
      </c>
      <c r="R122" s="158">
        <f>IF(COUNT(R120,R121)&lt;2,"",R120-R121)</f>
        <v/>
      </c>
      <c r="S122" s="158">
        <f>IF(COUNT(S120,S121)&lt;2,"",S120-S121)</f>
        <v/>
      </c>
      <c r="T122" s="156" t="inlineStr"/>
      <c r="U122" s="156" t="inlineStr">
        <is>
          <t>Calculated in this workbook from the rows named in the definition</t>
        </is>
      </c>
      <c r="V122" s="156" t="inlineStr"/>
    </row>
    <row r="123">
      <c r="A123" s="152" t="inlineStr">
        <is>
          <t>Production reported, jet</t>
        </is>
      </c>
      <c r="B123" s="153" t="inlineStr">
        <is>
          <t>million L/year</t>
        </is>
      </c>
      <c r="C123" s="153" t="inlineStr">
        <is>
          <t>Source observation</t>
        </is>
      </c>
      <c r="D123" s="154" t="n"/>
      <c r="E123" s="152" t="inlineStr">
        <is>
          <t>National production line of the energy balance.</t>
        </is>
      </c>
      <c r="F123" s="154" t="n">
        <v>1100.507375</v>
      </c>
      <c r="G123" s="154" t="n">
        <v>1762.443875</v>
      </c>
      <c r="H123" s="154" t="n">
        <v>1715.08725</v>
      </c>
      <c r="I123" s="154" t="n">
        <v>2967.27825</v>
      </c>
      <c r="J123" s="154" t="n">
        <v>3047.4005</v>
      </c>
      <c r="K123" s="154" t="n">
        <v>1518.965125</v>
      </c>
      <c r="L123" s="154" t="n">
        <v>1543.192125</v>
      </c>
      <c r="M123" s="154" t="n">
        <v>1089.709875</v>
      </c>
      <c r="N123" s="154" t="n">
        <v>962.755625</v>
      </c>
      <c r="O123" s="154" t="n">
        <v>861.3591022420001</v>
      </c>
      <c r="P123" s="154" t="n"/>
      <c r="Q123" s="154" t="n"/>
      <c r="R123" s="154" t="n"/>
      <c r="S123" s="154" t="n"/>
      <c r="T123" s="152" t="inlineStr">
        <is>
          <t>2012-2021</t>
        </is>
      </c>
      <c r="U123" s="152" t="inlineStr">
        <is>
          <t>Department energy balances</t>
        </is>
      </c>
      <c r="V123" s="152" t="inlineStr"/>
    </row>
    <row r="124">
      <c r="A124" s="156" t="inlineStr">
        <is>
          <t>Sales less net imports, jet</t>
        </is>
      </c>
      <c r="B124" s="157" t="inlineStr">
        <is>
          <t>million L/year</t>
        </is>
      </c>
      <c r="C124" s="157" t="inlineStr">
        <is>
          <t>Reporting formula</t>
        </is>
      </c>
      <c r="D124" s="158" t="n"/>
      <c r="E124" s="156" t="inlineStr">
        <is>
          <t>What production and stock changes must supply. Not a measurement of production.</t>
        </is>
      </c>
      <c r="F124" s="158">
        <f>IF(COUNT(F119,F122)&lt;2,"",F119-F122)</f>
        <v/>
      </c>
      <c r="G124" s="158">
        <f>IF(COUNT(G119,G122)&lt;2,"",G119-G122)</f>
        <v/>
      </c>
      <c r="H124" s="158">
        <f>IF(COUNT(H119,H122)&lt;2,"",H119-H122)</f>
        <v/>
      </c>
      <c r="I124" s="158">
        <f>IF(COUNT(I119,I122)&lt;2,"",I119-I122)</f>
        <v/>
      </c>
      <c r="J124" s="158">
        <f>IF(COUNT(J119,J122)&lt;2,"",J119-J122)</f>
        <v/>
      </c>
      <c r="K124" s="158">
        <f>IF(COUNT(K119,K122)&lt;2,"",K119-K122)</f>
        <v/>
      </c>
      <c r="L124" s="158">
        <f>IF(COUNT(L119,L122)&lt;2,"",L119-L122)</f>
        <v/>
      </c>
      <c r="M124" s="158">
        <f>IF(COUNT(M119,M122)&lt;2,"",M119-M122)</f>
        <v/>
      </c>
      <c r="N124" s="158">
        <f>IF(COUNT(N119,N122)&lt;2,"",N119-N122)</f>
        <v/>
      </c>
      <c r="O124" s="158">
        <f>IF(COUNT(O119,O122)&lt;2,"",O119-O122)</f>
        <v/>
      </c>
      <c r="P124" s="158">
        <f>IF(COUNT(P119,P122)&lt;2,"",P119-P122)</f>
        <v/>
      </c>
      <c r="Q124" s="158">
        <f>IF(COUNT(Q119,Q122)&lt;2,"",Q119-Q122)</f>
        <v/>
      </c>
      <c r="R124" s="158">
        <f>IF(COUNT(R119,R122)&lt;2,"",R119-R122)</f>
        <v/>
      </c>
      <c r="S124" s="158">
        <f>IF(COUNT(S119,S122)&lt;2,"",S119-S122)</f>
        <v/>
      </c>
      <c r="T124" s="156" t="inlineStr"/>
      <c r="U124" s="156" t="inlineStr">
        <is>
          <t>Calculated in this workbook from the rows named in the definition</t>
        </is>
      </c>
      <c r="V124" s="156" t="inlineStr"/>
    </row>
    <row r="125">
      <c r="A125" s="156" t="inlineStr">
        <is>
          <t>Unexplained after reported production, jet</t>
        </is>
      </c>
      <c r="B125" s="157" t="inlineStr">
        <is>
          <t>million L/year</t>
        </is>
      </c>
      <c r="C125" s="157" t="inlineStr">
        <is>
          <t>Reporting formula</t>
        </is>
      </c>
      <c r="D125" s="158" t="n"/>
      <c r="E125" s="156" t="inlineStr">
        <is>
          <t>Sales less net imports less reported production.</t>
        </is>
      </c>
      <c r="F125" s="158">
        <f>IF(COUNT(F124,F123)&lt;2,"",F124-F123)</f>
        <v/>
      </c>
      <c r="G125" s="158">
        <f>IF(COUNT(G124,G123)&lt;2,"",G124-G123)</f>
        <v/>
      </c>
      <c r="H125" s="158">
        <f>IF(COUNT(H124,H123)&lt;2,"",H124-H123)</f>
        <v/>
      </c>
      <c r="I125" s="158">
        <f>IF(COUNT(I124,I123)&lt;2,"",I124-I123)</f>
        <v/>
      </c>
      <c r="J125" s="158">
        <f>IF(COUNT(J124,J123)&lt;2,"",J124-J123)</f>
        <v/>
      </c>
      <c r="K125" s="158">
        <f>IF(COUNT(K124,K123)&lt;2,"",K124-K123)</f>
        <v/>
      </c>
      <c r="L125" s="158">
        <f>IF(COUNT(L124,L123)&lt;2,"",L124-L123)</f>
        <v/>
      </c>
      <c r="M125" s="158">
        <f>IF(COUNT(M124,M123)&lt;2,"",M124-M123)</f>
        <v/>
      </c>
      <c r="N125" s="158">
        <f>IF(COUNT(N124,N123)&lt;2,"",N124-N123)</f>
        <v/>
      </c>
      <c r="O125" s="158">
        <f>IF(COUNT(O124,O123)&lt;2,"",O124-O123)</f>
        <v/>
      </c>
      <c r="P125" s="158">
        <f>IF(COUNT(P124,P123)&lt;2,"",P124-P123)</f>
        <v/>
      </c>
      <c r="Q125" s="158">
        <f>IF(COUNT(Q124,Q123)&lt;2,"",Q124-Q123)</f>
        <v/>
      </c>
      <c r="R125" s="158">
        <f>IF(COUNT(R124,R123)&lt;2,"",R124-R123)</f>
        <v/>
      </c>
      <c r="S125" s="158">
        <f>IF(COUNT(S124,S123)&lt;2,"",S124-S123)</f>
        <v/>
      </c>
      <c r="T125" s="156" t="inlineStr"/>
      <c r="U125" s="156" t="inlineStr">
        <is>
          <t>Calculated in this workbook from the rows named in the definition</t>
        </is>
      </c>
      <c r="V125" s="156" t="inlineStr"/>
    </row>
    <row r="126">
      <c r="A126" s="152" t="inlineStr">
        <is>
          <t>Aircraft movements at ACSA airports</t>
        </is>
      </c>
      <c r="B126" s="153" t="inlineStr">
        <is>
          <t>movements/year</t>
        </is>
      </c>
      <c r="C126" s="153" t="inlineStr">
        <is>
          <t>Source observation</t>
        </is>
      </c>
      <c r="D126" s="166" t="n"/>
      <c r="E126" s="152" t="inlineStr">
        <is>
          <t>Arrivals and departures, all flight types, nine ACSA airports. Non-ACSA airports (Lanseria and others) are not covered.</t>
        </is>
      </c>
      <c r="F126" s="166" t="n"/>
      <c r="G126" s="166" t="n">
        <v>514106</v>
      </c>
      <c r="H126" s="166" t="n">
        <v>541048</v>
      </c>
      <c r="I126" s="166" t="n">
        <v>565516</v>
      </c>
      <c r="J126" s="166" t="n">
        <v>568527</v>
      </c>
      <c r="K126" s="166" t="n">
        <v>530912</v>
      </c>
      <c r="L126" s="166" t="n">
        <v>519847</v>
      </c>
      <c r="M126" s="166" t="n">
        <v>512467</v>
      </c>
      <c r="N126" s="166" t="n">
        <v>236675</v>
      </c>
      <c r="O126" s="166" t="n">
        <v>316436</v>
      </c>
      <c r="P126" s="166" t="n">
        <v>416058</v>
      </c>
      <c r="Q126" s="166" t="n">
        <v>451317</v>
      </c>
      <c r="R126" s="166" t="n">
        <v>456214</v>
      </c>
      <c r="S126" s="166" t="n">
        <v>462123</v>
      </c>
      <c r="T126" s="152" t="inlineStr">
        <is>
          <t>2013-2025</t>
        </is>
      </c>
      <c r="U126" s="152" t="inlineStr">
        <is>
          <t>Airports Company South Africa, traffic statistics</t>
        </is>
      </c>
      <c r="V126" s="152" t="inlineStr"/>
    </row>
    <row r="127">
      <c r="A127" s="156" t="inlineStr">
        <is>
          <t>Jet sold per aircraft movement</t>
        </is>
      </c>
      <c r="B127" s="157" t="inlineStr">
        <is>
          <t>litres/movement</t>
        </is>
      </c>
      <c r="C127" s="157" t="inlineStr">
        <is>
          <t>Reporting formula</t>
        </is>
      </c>
      <c r="D127" s="167" t="n"/>
      <c r="E127" s="156" t="inlineStr">
        <is>
          <t>Sales used divided by movements. 4,086 litres in 2023 against 4,759 in 2019; the reason for the fall is not established. Driver proposed for jet: movements times this intensity.</t>
        </is>
      </c>
      <c r="F127" s="167">
        <f>IF(COUNT(F119,F126)&lt;2,"",F119*1000000/F126)</f>
        <v/>
      </c>
      <c r="G127" s="167">
        <f>IF(COUNT(G119,G126)&lt;2,"",G119*1000000/G126)</f>
        <v/>
      </c>
      <c r="H127" s="167">
        <f>IF(COUNT(H119,H126)&lt;2,"",H119*1000000/H126)</f>
        <v/>
      </c>
      <c r="I127" s="167">
        <f>IF(COUNT(I119,I126)&lt;2,"",I119*1000000/I126)</f>
        <v/>
      </c>
      <c r="J127" s="167">
        <f>IF(COUNT(J119,J126)&lt;2,"",J119*1000000/J126)</f>
        <v/>
      </c>
      <c r="K127" s="167">
        <f>IF(COUNT(K119,K126)&lt;2,"",K119*1000000/K126)</f>
        <v/>
      </c>
      <c r="L127" s="167">
        <f>IF(COUNT(L119,L126)&lt;2,"",L119*1000000/L126)</f>
        <v/>
      </c>
      <c r="M127" s="167">
        <f>IF(COUNT(M119,M126)&lt;2,"",M119*1000000/M126)</f>
        <v/>
      </c>
      <c r="N127" s="167">
        <f>IF(COUNT(N119,N126)&lt;2,"",N119*1000000/N126)</f>
        <v/>
      </c>
      <c r="O127" s="167">
        <f>IF(COUNT(O119,O126)&lt;2,"",O119*1000000/O126)</f>
        <v/>
      </c>
      <c r="P127" s="167">
        <f>IF(COUNT(P119,P126)&lt;2,"",P119*1000000/P126)</f>
        <v/>
      </c>
      <c r="Q127" s="167">
        <f>IF(COUNT(Q119,Q126)&lt;2,"",Q119*1000000/Q126)</f>
        <v/>
      </c>
      <c r="R127" s="167">
        <f>IF(COUNT(R119,R126)&lt;2,"",R119*1000000/R126)</f>
        <v/>
      </c>
      <c r="S127" s="167">
        <f>IF(COUNT(S119,S126)&lt;2,"",S119*1000000/S126)</f>
        <v/>
      </c>
      <c r="T127" s="156" t="inlineStr"/>
      <c r="U127" s="156" t="inlineStr">
        <is>
          <t>Calculated in this workbook from the rows named in the definition</t>
        </is>
      </c>
      <c r="V127" s="156" t="inlineStr">
        <is>
          <t>Cargo, aircraft mix and route length are not separated; no source held gives jet by airport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3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52" customWidth="1" min="14" max="14"/>
    <col width="58" customWidth="1" min="15" max="15"/>
  </cols>
  <sheetData>
    <row r="1">
      <c r="A1" s="149" t="inlineStr">
        <is>
          <t>DR01 National balance: petrol and diesel</t>
        </is>
      </c>
    </row>
    <row r="2">
      <c r="A2" s="1" t="inlineStr">
        <is>
          <t>Billion litres, calendar years. Every number is a formula on the History sheet. Blank means not published. FIASA and JODI are not used.</t>
        </is>
      </c>
    </row>
    <row r="4">
      <c r="A4" s="168" t="inlineStr">
        <is>
          <t>Line</t>
        </is>
      </c>
      <c r="B4" s="169" t="n">
        <v>2014</v>
      </c>
      <c r="C4" s="169" t="n">
        <v>2015</v>
      </c>
      <c r="D4" s="169" t="n">
        <v>2016</v>
      </c>
      <c r="E4" s="169" t="n">
        <v>2017</v>
      </c>
      <c r="F4" s="169" t="n">
        <v>2018</v>
      </c>
      <c r="G4" s="169" t="n">
        <v>2019</v>
      </c>
      <c r="H4" s="169" t="n">
        <v>2020</v>
      </c>
      <c r="I4" s="169" t="n">
        <v>2021</v>
      </c>
      <c r="J4" s="169" t="n">
        <v>2022</v>
      </c>
      <c r="K4" s="169" t="n">
        <v>2023</v>
      </c>
      <c r="L4" s="169" t="n">
        <v>2024</v>
      </c>
      <c r="M4" s="169" t="n">
        <v>2025</v>
      </c>
      <c r="N4" s="168" t="inlineStr">
        <is>
          <t>Source</t>
        </is>
      </c>
      <c r="O4" s="168" t="inlineStr">
        <is>
          <t>Note</t>
        </is>
      </c>
    </row>
    <row r="5">
      <c r="A5" s="151" t="inlineStr">
        <is>
          <t>Diesel</t>
        </is>
      </c>
      <c r="B5" s="151" t="n"/>
      <c r="C5" s="151" t="n"/>
      <c r="D5" s="151" t="n"/>
      <c r="E5" s="151" t="n"/>
      <c r="F5" s="151" t="n"/>
      <c r="G5" s="151" t="n"/>
      <c r="H5" s="151" t="n"/>
      <c r="I5" s="151" t="n"/>
      <c r="J5" s="151" t="n"/>
      <c r="K5" s="151" t="n"/>
      <c r="L5" s="151" t="n"/>
      <c r="M5" s="151" t="n"/>
      <c r="N5" s="151" t="n"/>
      <c r="O5" s="151" t="n"/>
    </row>
    <row r="6">
      <c r="A6" s="170" t="inlineStr">
        <is>
          <t>Sales</t>
        </is>
      </c>
      <c r="B6" s="171">
        <f>IF(ISNUMBER(History!H66),History!H66/1000,"")</f>
        <v/>
      </c>
      <c r="C6" s="171">
        <f>IF(ISNUMBER(History!I66),History!I66/1000,"")</f>
        <v/>
      </c>
      <c r="D6" s="171">
        <f>IF(ISNUMBER(History!J66),History!J66/1000,"")</f>
        <v/>
      </c>
      <c r="E6" s="171">
        <f>IF(ISNUMBER(History!K66),History!K66/1000,"")</f>
        <v/>
      </c>
      <c r="F6" s="171">
        <f>IF(ISNUMBER(History!L66),History!L66/1000,"")</f>
        <v/>
      </c>
      <c r="G6" s="171">
        <f>IF(ISNUMBER(History!M66),History!M66/1000,"")</f>
        <v/>
      </c>
      <c r="H6" s="171">
        <f>IF(ISNUMBER(History!N66),History!N66/1000,"")</f>
        <v/>
      </c>
      <c r="I6" s="171">
        <f>IF(ISNUMBER(History!O66),History!O66/1000,"")</f>
        <v/>
      </c>
      <c r="J6" s="171">
        <f>IF(ISNUMBER(History!P66),History!P66/1000,"")</f>
        <v/>
      </c>
      <c r="K6" s="171">
        <f>IF(ISNUMBER(History!Q66),History!Q66/1000,"")</f>
        <v/>
      </c>
      <c r="L6" s="171">
        <f>IF(ISNUMBER(History!R66),History!R66/1000,"")</f>
        <v/>
      </c>
      <c r="M6" s="171">
        <f>IF(ISNUMBER(History!S66),History!S66/1000,"")</f>
        <v/>
      </c>
      <c r="N6" s="172" t="inlineStr">
        <is>
          <t>Department: sales by province added up (2013-2022); national total (2023)</t>
        </is>
      </c>
      <c r="O6" s="172" t="inlineStr">
        <is>
          <t>2023 by province is an estimate. Nothing published after 2023.</t>
        </is>
      </c>
    </row>
    <row r="7">
      <c r="A7" s="170" t="inlineStr">
        <is>
          <t>Production</t>
        </is>
      </c>
      <c r="B7" s="171">
        <f>IF(ISNUMBER(History!H53),History!H53/1000,"")</f>
        <v/>
      </c>
      <c r="C7" s="171">
        <f>IF(ISNUMBER(History!I53),History!I53/1000,"")</f>
        <v/>
      </c>
      <c r="D7" s="171">
        <f>IF(ISNUMBER(History!J53),History!J53/1000,"")</f>
        <v/>
      </c>
      <c r="E7" s="171">
        <f>IF(ISNUMBER(History!K53),History!K53/1000,"")</f>
        <v/>
      </c>
      <c r="F7" s="171">
        <f>IF(ISNUMBER(History!L53),History!L53/1000,"")</f>
        <v/>
      </c>
      <c r="G7" s="171">
        <f>IF(ISNUMBER(History!M53),History!M53/1000,"")</f>
        <v/>
      </c>
      <c r="H7" s="171">
        <f>IF(ISNUMBER(History!N53),History!N53/1000,"")</f>
        <v/>
      </c>
      <c r="I7" s="171">
        <f>IF(ISNUMBER(History!O53),History!O53/1000,"")</f>
        <v/>
      </c>
      <c r="J7" s="171">
        <f>IF(ISNUMBER(History!P53),History!P53/1000,"")</f>
        <v/>
      </c>
      <c r="K7" s="171">
        <f>IF(ISNUMBER(History!Q53),History!Q53/1000,"")</f>
        <v/>
      </c>
      <c r="L7" s="171">
        <f>IF(ISNUMBER(History!R53),History!R53/1000,"")</f>
        <v/>
      </c>
      <c r="M7" s="171">
        <f>IF(ISNUMBER(History!S53),History!S53/1000,"")</f>
        <v/>
      </c>
      <c r="N7" s="172" t="inlineStr">
        <is>
          <t>Department energy balances, one file a year</t>
        </is>
      </c>
      <c r="O7" s="172" t="inlineStr">
        <is>
          <t>Last balance published is 2021.</t>
        </is>
      </c>
    </row>
    <row r="8">
      <c r="A8" s="170" t="inlineStr">
        <is>
          <t>Imports</t>
        </is>
      </c>
      <c r="B8" s="171">
        <f>IF(ISNUMBER(History!H36),History!H36/1000,"")</f>
        <v/>
      </c>
      <c r="C8" s="171">
        <f>IF(ISNUMBER(History!I36),History!I36/1000,"")</f>
        <v/>
      </c>
      <c r="D8" s="171">
        <f>IF(ISNUMBER(History!J36),History!J36/1000,"")</f>
        <v/>
      </c>
      <c r="E8" s="171">
        <f>IF(ISNUMBER(History!K36),History!K36/1000,"")</f>
        <v/>
      </c>
      <c r="F8" s="171">
        <f>IF(ISNUMBER(History!L36),History!L36/1000,"")</f>
        <v/>
      </c>
      <c r="G8" s="171">
        <f>IF(ISNUMBER(History!M36),History!M36/1000,"")</f>
        <v/>
      </c>
      <c r="H8" s="171">
        <f>IF(ISNUMBER(History!N36),History!N36/1000,"")</f>
        <v/>
      </c>
      <c r="I8" s="171">
        <f>IF(ISNUMBER(History!O36),History!O36/1000,"")</f>
        <v/>
      </c>
      <c r="J8" s="171">
        <f>IF(ISNUMBER(History!P36),History!P36/1000,"")</f>
        <v/>
      </c>
      <c r="K8" s="171">
        <f>IF(ISNUMBER(History!Q36),History!Q36/1000,"")</f>
        <v/>
      </c>
      <c r="L8" s="171">
        <f>IF(ISNUMBER(History!R36),History!R36/1000,"")</f>
        <v/>
      </c>
      <c r="M8" s="171">
        <f>IF(ISNUMBER(History!S36),History!S36/1000,"")</f>
        <v/>
      </c>
      <c r="N8" s="172" t="inlineStr">
        <is>
          <t>SARS customs, by tariff line</t>
        </is>
      </c>
      <c r="O8" s="172" t="inlineStr">
        <is>
          <t>Complete calendar years in litres.</t>
        </is>
      </c>
    </row>
    <row r="9">
      <c r="A9" s="170" t="inlineStr">
        <is>
          <t>Exports</t>
        </is>
      </c>
      <c r="B9" s="171">
        <f>IF(ISNUMBER(History!H39),History!H39/1000,"")</f>
        <v/>
      </c>
      <c r="C9" s="171">
        <f>IF(ISNUMBER(History!I39),History!I39/1000,"")</f>
        <v/>
      </c>
      <c r="D9" s="171">
        <f>IF(ISNUMBER(History!J39),History!J39/1000,"")</f>
        <v/>
      </c>
      <c r="E9" s="171">
        <f>IF(ISNUMBER(History!K39),History!K39/1000,"")</f>
        <v/>
      </c>
      <c r="F9" s="171">
        <f>IF(ISNUMBER(History!L39),History!L39/1000,"")</f>
        <v/>
      </c>
      <c r="G9" s="171">
        <f>IF(ISNUMBER(History!M39),History!M39/1000,"")</f>
        <v/>
      </c>
      <c r="H9" s="171">
        <f>IF(ISNUMBER(History!N39),History!N39/1000,"")</f>
        <v/>
      </c>
      <c r="I9" s="171">
        <f>IF(ISNUMBER(History!O39),History!O39/1000,"")</f>
        <v/>
      </c>
      <c r="J9" s="171">
        <f>IF(ISNUMBER(History!P39),History!P39/1000,"")</f>
        <v/>
      </c>
      <c r="K9" s="171">
        <f>IF(ISNUMBER(History!Q39),History!Q39/1000,"")</f>
        <v/>
      </c>
      <c r="L9" s="171">
        <f>IF(ISNUMBER(History!R39),History!R39/1000,"")</f>
        <v/>
      </c>
      <c r="M9" s="171">
        <f>IF(ISNUMBER(History!S39),History!S39/1000,"")</f>
        <v/>
      </c>
      <c r="N9" s="172" t="inlineStr">
        <is>
          <t>SARS customs, by tariff line</t>
        </is>
      </c>
      <c r="O9" s="172" t="inlineStr"/>
    </row>
    <row r="10">
      <c r="A10" s="173" t="inlineStr">
        <is>
          <t>Supply</t>
        </is>
      </c>
      <c r="B10" s="174">
        <f>IF(COUNT(B7,B8,B9)&lt;3,"",B7+B8-B9)</f>
        <v/>
      </c>
      <c r="C10" s="174">
        <f>IF(COUNT(C7,C8,C9)&lt;3,"",C7+C8-C9)</f>
        <v/>
      </c>
      <c r="D10" s="174">
        <f>IF(COUNT(D7,D8,D9)&lt;3,"",D7+D8-D9)</f>
        <v/>
      </c>
      <c r="E10" s="174">
        <f>IF(COUNT(E7,E8,E9)&lt;3,"",E7+E8-E9)</f>
        <v/>
      </c>
      <c r="F10" s="174">
        <f>IF(COUNT(F7,F8,F9)&lt;3,"",F7+F8-F9)</f>
        <v/>
      </c>
      <c r="G10" s="174">
        <f>IF(COUNT(G7,G8,G9)&lt;3,"",G7+G8-G9)</f>
        <v/>
      </c>
      <c r="H10" s="174">
        <f>IF(COUNT(H7,H8,H9)&lt;3,"",H7+H8-H9)</f>
        <v/>
      </c>
      <c r="I10" s="174">
        <f>IF(COUNT(I7,I8,I9)&lt;3,"",I7+I8-I9)</f>
        <v/>
      </c>
      <c r="J10" s="174">
        <f>IF(COUNT(J7,J8,J9)&lt;3,"",J7+J8-J9)</f>
        <v/>
      </c>
      <c r="K10" s="174">
        <f>IF(COUNT(K7,K8,K9)&lt;3,"",K7+K8-K9)</f>
        <v/>
      </c>
      <c r="L10" s="174">
        <f>IF(COUNT(L7,L8,L9)&lt;3,"",L7+L8-L9)</f>
        <v/>
      </c>
      <c r="M10" s="174">
        <f>IF(COUNT(M7,M8,M9)&lt;3,"",M7+M8-M9)</f>
        <v/>
      </c>
      <c r="N10" s="175" t="inlineStr">
        <is>
          <t>Calculated: production + imports - exports</t>
        </is>
      </c>
      <c r="O10" s="175" t="inlineStr"/>
    </row>
    <row r="11">
      <c r="A11" s="170" t="inlineStr">
        <is>
          <t>Stock change</t>
        </is>
      </c>
      <c r="B11" s="171" t="n"/>
      <c r="C11" s="171" t="n"/>
      <c r="D11" s="171" t="n"/>
      <c r="E11" s="171" t="n"/>
      <c r="F11" s="171" t="n"/>
      <c r="G11" s="171" t="n"/>
      <c r="H11" s="171" t="n"/>
      <c r="I11" s="171" t="n"/>
      <c r="J11" s="171" t="n"/>
      <c r="K11" s="171" t="n"/>
      <c r="L11" s="171" t="n"/>
      <c r="M11" s="171" t="n"/>
      <c r="N11" s="172" t="inlineStr">
        <is>
          <t>None</t>
        </is>
      </c>
      <c r="O11" s="172" t="inlineStr">
        <is>
          <t>Not published by any source used.</t>
        </is>
      </c>
    </row>
    <row r="12">
      <c r="A12" s="173" t="inlineStr">
        <is>
          <t>Supply less sales</t>
        </is>
      </c>
      <c r="B12" s="174">
        <f>IF(COUNT(B10,B6)&lt;2,"",B10-B6)</f>
        <v/>
      </c>
      <c r="C12" s="174">
        <f>IF(COUNT(C10,C6)&lt;2,"",C10-C6)</f>
        <v/>
      </c>
      <c r="D12" s="174">
        <f>IF(COUNT(D10,D6)&lt;2,"",D10-D6)</f>
        <v/>
      </c>
      <c r="E12" s="174">
        <f>IF(COUNT(E10,E6)&lt;2,"",E10-E6)</f>
        <v/>
      </c>
      <c r="F12" s="174">
        <f>IF(COUNT(F10,F6)&lt;2,"",F10-F6)</f>
        <v/>
      </c>
      <c r="G12" s="174">
        <f>IF(COUNT(G10,G6)&lt;2,"",G10-G6)</f>
        <v/>
      </c>
      <c r="H12" s="174">
        <f>IF(COUNT(H10,H6)&lt;2,"",H10-H6)</f>
        <v/>
      </c>
      <c r="I12" s="174">
        <f>IF(COUNT(I10,I6)&lt;2,"",I10-I6)</f>
        <v/>
      </c>
      <c r="J12" s="174">
        <f>IF(COUNT(J10,J6)&lt;2,"",J10-J6)</f>
        <v/>
      </c>
      <c r="K12" s="174">
        <f>IF(COUNT(K10,K6)&lt;2,"",K10-K6)</f>
        <v/>
      </c>
      <c r="L12" s="174">
        <f>IF(COUNT(L10,L6)&lt;2,"",L10-L6)</f>
        <v/>
      </c>
      <c r="M12" s="174">
        <f>IF(COUNT(M10,M6)&lt;2,"",M10-M6)</f>
        <v/>
      </c>
      <c r="N12" s="175" t="inlineStr">
        <is>
          <t>Calculated: supply - sales</t>
        </is>
      </c>
      <c r="O12" s="175" t="inlineStr">
        <is>
          <t>Stock change and statistical difference together. Not production.</t>
        </is>
      </c>
    </row>
    <row r="14">
      <c r="A14" s="151" t="inlineStr">
        <is>
          <t>Petrol</t>
        </is>
      </c>
      <c r="B14" s="151" t="n"/>
      <c r="C14" s="151" t="n"/>
      <c r="D14" s="151" t="n"/>
      <c r="E14" s="151" t="n"/>
      <c r="F14" s="151" t="n"/>
      <c r="G14" s="151" t="n"/>
      <c r="H14" s="151" t="n"/>
      <c r="I14" s="151" t="n"/>
      <c r="J14" s="151" t="n"/>
      <c r="K14" s="151" t="n"/>
      <c r="L14" s="151" t="n"/>
      <c r="M14" s="151" t="n"/>
      <c r="N14" s="151" t="n"/>
      <c r="O14" s="151" t="n"/>
    </row>
    <row r="15">
      <c r="A15" s="170" t="inlineStr">
        <is>
          <t>Sales</t>
        </is>
      </c>
      <c r="B15" s="171">
        <f>IF(ISNUMBER(History!H61),History!H61/1000,"")</f>
        <v/>
      </c>
      <c r="C15" s="171">
        <f>IF(ISNUMBER(History!I61),History!I61/1000,"")</f>
        <v/>
      </c>
      <c r="D15" s="171">
        <f>IF(ISNUMBER(History!J61),History!J61/1000,"")</f>
        <v/>
      </c>
      <c r="E15" s="171">
        <f>IF(ISNUMBER(History!K61),History!K61/1000,"")</f>
        <v/>
      </c>
      <c r="F15" s="171">
        <f>IF(ISNUMBER(History!L61),History!L61/1000,"")</f>
        <v/>
      </c>
      <c r="G15" s="171">
        <f>IF(ISNUMBER(History!M61),History!M61/1000,"")</f>
        <v/>
      </c>
      <c r="H15" s="171">
        <f>IF(ISNUMBER(History!N61),History!N61/1000,"")</f>
        <v/>
      </c>
      <c r="I15" s="171">
        <f>IF(ISNUMBER(History!O61),History!O61/1000,"")</f>
        <v/>
      </c>
      <c r="J15" s="171">
        <f>IF(ISNUMBER(History!P61),History!P61/1000,"")</f>
        <v/>
      </c>
      <c r="K15" s="171">
        <f>IF(ISNUMBER(History!Q61),History!Q61/1000,"")</f>
        <v/>
      </c>
      <c r="L15" s="171">
        <f>IF(ISNUMBER(History!R61),History!R61/1000,"")</f>
        <v/>
      </c>
      <c r="M15" s="171">
        <f>IF(ISNUMBER(History!S61),History!S61/1000,"")</f>
        <v/>
      </c>
      <c r="N15" s="172" t="inlineStr">
        <is>
          <t>Department: sales by province added up (2013-2022); national total (2023)</t>
        </is>
      </c>
      <c r="O15" s="172" t="inlineStr">
        <is>
          <t>2023 by province is an estimate. Nothing published after 2023.</t>
        </is>
      </c>
    </row>
    <row r="16">
      <c r="A16" s="170" t="inlineStr">
        <is>
          <t>Production</t>
        </is>
      </c>
      <c r="B16" s="171">
        <f>IF(ISNUMBER(History!H51),History!H51/1000,"")</f>
        <v/>
      </c>
      <c r="C16" s="171">
        <f>IF(ISNUMBER(History!I51),History!I51/1000,"")</f>
        <v/>
      </c>
      <c r="D16" s="171">
        <f>IF(ISNUMBER(History!J51),History!J51/1000,"")</f>
        <v/>
      </c>
      <c r="E16" s="171">
        <f>IF(ISNUMBER(History!K51),History!K51/1000,"")</f>
        <v/>
      </c>
      <c r="F16" s="171">
        <f>IF(ISNUMBER(History!L51),History!L51/1000,"")</f>
        <v/>
      </c>
      <c r="G16" s="171">
        <f>IF(ISNUMBER(History!M51),History!M51/1000,"")</f>
        <v/>
      </c>
      <c r="H16" s="171">
        <f>IF(ISNUMBER(History!N51),History!N51/1000,"")</f>
        <v/>
      </c>
      <c r="I16" s="171">
        <f>IF(ISNUMBER(History!O51),History!O51/1000,"")</f>
        <v/>
      </c>
      <c r="J16" s="171">
        <f>IF(ISNUMBER(History!P51),History!P51/1000,"")</f>
        <v/>
      </c>
      <c r="K16" s="171">
        <f>IF(ISNUMBER(History!Q51),History!Q51/1000,"")</f>
        <v/>
      </c>
      <c r="L16" s="171">
        <f>IF(ISNUMBER(History!R51),History!R51/1000,"")</f>
        <v/>
      </c>
      <c r="M16" s="171">
        <f>IF(ISNUMBER(History!S51),History!S51/1000,"")</f>
        <v/>
      </c>
      <c r="N16" s="172" t="inlineStr">
        <is>
          <t>Department energy balances, one file a year</t>
        </is>
      </c>
      <c r="O16" s="172" t="inlineStr">
        <is>
          <t>Last balance published is 2021.</t>
        </is>
      </c>
    </row>
    <row r="17">
      <c r="A17" s="170" t="inlineStr">
        <is>
          <t>Imports</t>
        </is>
      </c>
      <c r="B17" s="171">
        <f>IF(ISNUMBER(History!H37),History!H37/1000,"")</f>
        <v/>
      </c>
      <c r="C17" s="171">
        <f>IF(ISNUMBER(History!I37),History!I37/1000,"")</f>
        <v/>
      </c>
      <c r="D17" s="171">
        <f>IF(ISNUMBER(History!J37),History!J37/1000,"")</f>
        <v/>
      </c>
      <c r="E17" s="171">
        <f>IF(ISNUMBER(History!K37),History!K37/1000,"")</f>
        <v/>
      </c>
      <c r="F17" s="171">
        <f>IF(ISNUMBER(History!L37),History!L37/1000,"")</f>
        <v/>
      </c>
      <c r="G17" s="171">
        <f>IF(ISNUMBER(History!M37),History!M37/1000,"")</f>
        <v/>
      </c>
      <c r="H17" s="171">
        <f>IF(ISNUMBER(History!N37),History!N37/1000,"")</f>
        <v/>
      </c>
      <c r="I17" s="171">
        <f>IF(ISNUMBER(History!O37),History!O37/1000,"")</f>
        <v/>
      </c>
      <c r="J17" s="171">
        <f>IF(ISNUMBER(History!P37),History!P37/1000,"")</f>
        <v/>
      </c>
      <c r="K17" s="171">
        <f>IF(ISNUMBER(History!Q37),History!Q37/1000,"")</f>
        <v/>
      </c>
      <c r="L17" s="171">
        <f>IF(ISNUMBER(History!R37),History!R37/1000,"")</f>
        <v/>
      </c>
      <c r="M17" s="171">
        <f>IF(ISNUMBER(History!S37),History!S37/1000,"")</f>
        <v/>
      </c>
      <c r="N17" s="172" t="inlineStr">
        <is>
          <t>SARS customs, by tariff line</t>
        </is>
      </c>
      <c r="O17" s="172" t="inlineStr">
        <is>
          <t>Complete calendar years in litres.</t>
        </is>
      </c>
    </row>
    <row r="18">
      <c r="A18" s="170" t="inlineStr">
        <is>
          <t>Exports</t>
        </is>
      </c>
      <c r="B18" s="171">
        <f>IF(ISNUMBER(History!H40),History!H40/1000,"")</f>
        <v/>
      </c>
      <c r="C18" s="171">
        <f>IF(ISNUMBER(History!I40),History!I40/1000,"")</f>
        <v/>
      </c>
      <c r="D18" s="171">
        <f>IF(ISNUMBER(History!J40),History!J40/1000,"")</f>
        <v/>
      </c>
      <c r="E18" s="171">
        <f>IF(ISNUMBER(History!K40),History!K40/1000,"")</f>
        <v/>
      </c>
      <c r="F18" s="171">
        <f>IF(ISNUMBER(History!L40),History!L40/1000,"")</f>
        <v/>
      </c>
      <c r="G18" s="171">
        <f>IF(ISNUMBER(History!M40),History!M40/1000,"")</f>
        <v/>
      </c>
      <c r="H18" s="171">
        <f>IF(ISNUMBER(History!N40),History!N40/1000,"")</f>
        <v/>
      </c>
      <c r="I18" s="171">
        <f>IF(ISNUMBER(History!O40),History!O40/1000,"")</f>
        <v/>
      </c>
      <c r="J18" s="171">
        <f>IF(ISNUMBER(History!P40),History!P40/1000,"")</f>
        <v/>
      </c>
      <c r="K18" s="171">
        <f>IF(ISNUMBER(History!Q40),History!Q40/1000,"")</f>
        <v/>
      </c>
      <c r="L18" s="171">
        <f>IF(ISNUMBER(History!R40),History!R40/1000,"")</f>
        <v/>
      </c>
      <c r="M18" s="171">
        <f>IF(ISNUMBER(History!S40),History!S40/1000,"")</f>
        <v/>
      </c>
      <c r="N18" s="172" t="inlineStr">
        <is>
          <t>SARS customs, by tariff line</t>
        </is>
      </c>
      <c r="O18" s="172" t="inlineStr"/>
    </row>
    <row r="19">
      <c r="A19" s="173" t="inlineStr">
        <is>
          <t>Supply</t>
        </is>
      </c>
      <c r="B19" s="174">
        <f>IF(COUNT(B16,B17,B18)&lt;3,"",B16+B17-B18)</f>
        <v/>
      </c>
      <c r="C19" s="174">
        <f>IF(COUNT(C16,C17,C18)&lt;3,"",C16+C17-C18)</f>
        <v/>
      </c>
      <c r="D19" s="174">
        <f>IF(COUNT(D16,D17,D18)&lt;3,"",D16+D17-D18)</f>
        <v/>
      </c>
      <c r="E19" s="174">
        <f>IF(COUNT(E16,E17,E18)&lt;3,"",E16+E17-E18)</f>
        <v/>
      </c>
      <c r="F19" s="174">
        <f>IF(COUNT(F16,F17,F18)&lt;3,"",F16+F17-F18)</f>
        <v/>
      </c>
      <c r="G19" s="174">
        <f>IF(COUNT(G16,G17,G18)&lt;3,"",G16+G17-G18)</f>
        <v/>
      </c>
      <c r="H19" s="174">
        <f>IF(COUNT(H16,H17,H18)&lt;3,"",H16+H17-H18)</f>
        <v/>
      </c>
      <c r="I19" s="174">
        <f>IF(COUNT(I16,I17,I18)&lt;3,"",I16+I17-I18)</f>
        <v/>
      </c>
      <c r="J19" s="174">
        <f>IF(COUNT(J16,J17,J18)&lt;3,"",J16+J17-J18)</f>
        <v/>
      </c>
      <c r="K19" s="174">
        <f>IF(COUNT(K16,K17,K18)&lt;3,"",K16+K17-K18)</f>
        <v/>
      </c>
      <c r="L19" s="174">
        <f>IF(COUNT(L16,L17,L18)&lt;3,"",L16+L17-L18)</f>
        <v/>
      </c>
      <c r="M19" s="174">
        <f>IF(COUNT(M16,M17,M18)&lt;3,"",M16+M17-M18)</f>
        <v/>
      </c>
      <c r="N19" s="175" t="inlineStr">
        <is>
          <t>Calculated: production + imports - exports</t>
        </is>
      </c>
      <c r="O19" s="175" t="inlineStr"/>
    </row>
    <row r="20">
      <c r="A20" s="170" t="inlineStr">
        <is>
          <t>Stock change</t>
        </is>
      </c>
      <c r="B20" s="171" t="n"/>
      <c r="C20" s="171" t="n"/>
      <c r="D20" s="171" t="n"/>
      <c r="E20" s="171" t="n"/>
      <c r="F20" s="171" t="n"/>
      <c r="G20" s="171" t="n"/>
      <c r="H20" s="171" t="n"/>
      <c r="I20" s="171" t="n"/>
      <c r="J20" s="171" t="n"/>
      <c r="K20" s="171" t="n"/>
      <c r="L20" s="171" t="n"/>
      <c r="M20" s="171" t="n"/>
      <c r="N20" s="172" t="inlineStr">
        <is>
          <t>None</t>
        </is>
      </c>
      <c r="O20" s="172" t="inlineStr">
        <is>
          <t>Not published by any source used.</t>
        </is>
      </c>
    </row>
    <row r="21">
      <c r="A21" s="173" t="inlineStr">
        <is>
          <t>Supply less sales</t>
        </is>
      </c>
      <c r="B21" s="174">
        <f>IF(COUNT(B19,B15)&lt;2,"",B19-B15)</f>
        <v/>
      </c>
      <c r="C21" s="174">
        <f>IF(COUNT(C19,C15)&lt;2,"",C19-C15)</f>
        <v/>
      </c>
      <c r="D21" s="174">
        <f>IF(COUNT(D19,D15)&lt;2,"",D19-D15)</f>
        <v/>
      </c>
      <c r="E21" s="174">
        <f>IF(COUNT(E19,E15)&lt;2,"",E19-E15)</f>
        <v/>
      </c>
      <c r="F21" s="174">
        <f>IF(COUNT(F19,F15)&lt;2,"",F19-F15)</f>
        <v/>
      </c>
      <c r="G21" s="174">
        <f>IF(COUNT(G19,G15)&lt;2,"",G19-G15)</f>
        <v/>
      </c>
      <c r="H21" s="174">
        <f>IF(COUNT(H19,H15)&lt;2,"",H19-H15)</f>
        <v/>
      </c>
      <c r="I21" s="174">
        <f>IF(COUNT(I19,I15)&lt;2,"",I19-I15)</f>
        <v/>
      </c>
      <c r="J21" s="174">
        <f>IF(COUNT(J19,J15)&lt;2,"",J19-J15)</f>
        <v/>
      </c>
      <c r="K21" s="174">
        <f>IF(COUNT(K19,K15)&lt;2,"",K19-K15)</f>
        <v/>
      </c>
      <c r="L21" s="174">
        <f>IF(COUNT(L19,L15)&lt;2,"",L19-L15)</f>
        <v/>
      </c>
      <c r="M21" s="174">
        <f>IF(COUNT(M19,M15)&lt;2,"",M19-M15)</f>
        <v/>
      </c>
      <c r="N21" s="175" t="inlineStr">
        <is>
          <t>Calculated: supply - sales</t>
        </is>
      </c>
      <c r="O21" s="175" t="inlineStr">
        <is>
          <t>Stock change and statistical difference together. Not production.</t>
        </is>
      </c>
    </row>
    <row r="23">
      <c r="A23" s="151" t="inlineStr">
        <is>
          <t>Diesel and petrol</t>
        </is>
      </c>
      <c r="B23" s="151" t="n"/>
      <c r="C23" s="151" t="n"/>
      <c r="D23" s="151" t="n"/>
      <c r="E23" s="151" t="n"/>
      <c r="F23" s="151" t="n"/>
      <c r="G23" s="151" t="n"/>
      <c r="H23" s="151" t="n"/>
      <c r="I23" s="151" t="n"/>
      <c r="J23" s="151" t="n"/>
      <c r="K23" s="151" t="n"/>
      <c r="L23" s="151" t="n"/>
      <c r="M23" s="151" t="n"/>
      <c r="N23" s="151" t="n"/>
      <c r="O23" s="151" t="n"/>
    </row>
    <row r="24">
      <c r="A24" s="176" t="inlineStr">
        <is>
          <t>Sales</t>
        </is>
      </c>
      <c r="B24" s="174">
        <f>IF(COUNT(B6,B15)&lt;2,"",B6+B15)</f>
        <v/>
      </c>
      <c r="C24" s="174">
        <f>IF(COUNT(C6,C15)&lt;2,"",C6+C15)</f>
        <v/>
      </c>
      <c r="D24" s="174">
        <f>IF(COUNT(D6,D15)&lt;2,"",D6+D15)</f>
        <v/>
      </c>
      <c r="E24" s="174">
        <f>IF(COUNT(E6,E15)&lt;2,"",E6+E15)</f>
        <v/>
      </c>
      <c r="F24" s="174">
        <f>IF(COUNT(F6,F15)&lt;2,"",F6+F15)</f>
        <v/>
      </c>
      <c r="G24" s="174">
        <f>IF(COUNT(G6,G15)&lt;2,"",G6+G15)</f>
        <v/>
      </c>
      <c r="H24" s="174">
        <f>IF(COUNT(H6,H15)&lt;2,"",H6+H15)</f>
        <v/>
      </c>
      <c r="I24" s="174">
        <f>IF(COUNT(I6,I15)&lt;2,"",I6+I15)</f>
        <v/>
      </c>
      <c r="J24" s="174">
        <f>IF(COUNT(J6,J15)&lt;2,"",J6+J15)</f>
        <v/>
      </c>
      <c r="K24" s="174">
        <f>IF(COUNT(K6,K15)&lt;2,"",K6+K15)</f>
        <v/>
      </c>
      <c r="L24" s="174">
        <f>IF(COUNT(L6,L15)&lt;2,"",L6+L15)</f>
        <v/>
      </c>
      <c r="M24" s="174">
        <f>IF(COUNT(M6,M15)&lt;2,"",M6+M15)</f>
        <v/>
      </c>
      <c r="N24" s="175" t="inlineStr">
        <is>
          <t>Sum of the diesel and petrol rows</t>
        </is>
      </c>
      <c r="O24" s="175" t="inlineStr">
        <is>
          <t>2023 by province is an estimate. Nothing published after 2023.</t>
        </is>
      </c>
    </row>
    <row r="25">
      <c r="A25" s="176" t="inlineStr">
        <is>
          <t>Production</t>
        </is>
      </c>
      <c r="B25" s="174">
        <f>IF(COUNT(B7,B16)&lt;2,"",B7+B16)</f>
        <v/>
      </c>
      <c r="C25" s="174">
        <f>IF(COUNT(C7,C16)&lt;2,"",C7+C16)</f>
        <v/>
      </c>
      <c r="D25" s="174">
        <f>IF(COUNT(D7,D16)&lt;2,"",D7+D16)</f>
        <v/>
      </c>
      <c r="E25" s="174">
        <f>IF(COUNT(E7,E16)&lt;2,"",E7+E16)</f>
        <v/>
      </c>
      <c r="F25" s="174">
        <f>IF(COUNT(F7,F16)&lt;2,"",F7+F16)</f>
        <v/>
      </c>
      <c r="G25" s="174">
        <f>IF(COUNT(G7,G16)&lt;2,"",G7+G16)</f>
        <v/>
      </c>
      <c r="H25" s="174">
        <f>IF(COUNT(H7,H16)&lt;2,"",H7+H16)</f>
        <v/>
      </c>
      <c r="I25" s="174">
        <f>IF(COUNT(I7,I16)&lt;2,"",I7+I16)</f>
        <v/>
      </c>
      <c r="J25" s="174">
        <f>IF(COUNT(J7,J16)&lt;2,"",J7+J16)</f>
        <v/>
      </c>
      <c r="K25" s="174">
        <f>IF(COUNT(K7,K16)&lt;2,"",K7+K16)</f>
        <v/>
      </c>
      <c r="L25" s="174">
        <f>IF(COUNT(L7,L16)&lt;2,"",L7+L16)</f>
        <v/>
      </c>
      <c r="M25" s="174">
        <f>IF(COUNT(M7,M16)&lt;2,"",M7+M16)</f>
        <v/>
      </c>
      <c r="N25" s="175" t="inlineStr">
        <is>
          <t>Sum of the diesel and petrol rows</t>
        </is>
      </c>
      <c r="O25" s="175" t="inlineStr">
        <is>
          <t>Last balance published is 2021.</t>
        </is>
      </c>
    </row>
    <row r="26">
      <c r="A26" s="176" t="inlineStr">
        <is>
          <t>Imports</t>
        </is>
      </c>
      <c r="B26" s="174">
        <f>IF(COUNT(B8,B17)&lt;2,"",B8+B17)</f>
        <v/>
      </c>
      <c r="C26" s="174">
        <f>IF(COUNT(C8,C17)&lt;2,"",C8+C17)</f>
        <v/>
      </c>
      <c r="D26" s="174">
        <f>IF(COUNT(D8,D17)&lt;2,"",D8+D17)</f>
        <v/>
      </c>
      <c r="E26" s="174">
        <f>IF(COUNT(E8,E17)&lt;2,"",E8+E17)</f>
        <v/>
      </c>
      <c r="F26" s="174">
        <f>IF(COUNT(F8,F17)&lt;2,"",F8+F17)</f>
        <v/>
      </c>
      <c r="G26" s="174">
        <f>IF(COUNT(G8,G17)&lt;2,"",G8+G17)</f>
        <v/>
      </c>
      <c r="H26" s="174">
        <f>IF(COUNT(H8,H17)&lt;2,"",H8+H17)</f>
        <v/>
      </c>
      <c r="I26" s="174">
        <f>IF(COUNT(I8,I17)&lt;2,"",I8+I17)</f>
        <v/>
      </c>
      <c r="J26" s="174">
        <f>IF(COUNT(J8,J17)&lt;2,"",J8+J17)</f>
        <v/>
      </c>
      <c r="K26" s="174">
        <f>IF(COUNT(K8,K17)&lt;2,"",K8+K17)</f>
        <v/>
      </c>
      <c r="L26" s="174">
        <f>IF(COUNT(L8,L17)&lt;2,"",L8+L17)</f>
        <v/>
      </c>
      <c r="M26" s="174">
        <f>IF(COUNT(M8,M17)&lt;2,"",M8+M17)</f>
        <v/>
      </c>
      <c r="N26" s="175" t="inlineStr">
        <is>
          <t>Sum of the diesel and petrol rows</t>
        </is>
      </c>
      <c r="O26" s="175" t="inlineStr">
        <is>
          <t>Complete calendar years in litres.</t>
        </is>
      </c>
    </row>
    <row r="27">
      <c r="A27" s="176" t="inlineStr">
        <is>
          <t>Exports</t>
        </is>
      </c>
      <c r="B27" s="174">
        <f>IF(COUNT(B9,B18)&lt;2,"",B9+B18)</f>
        <v/>
      </c>
      <c r="C27" s="174">
        <f>IF(COUNT(C9,C18)&lt;2,"",C9+C18)</f>
        <v/>
      </c>
      <c r="D27" s="174">
        <f>IF(COUNT(D9,D18)&lt;2,"",D9+D18)</f>
        <v/>
      </c>
      <c r="E27" s="174">
        <f>IF(COUNT(E9,E18)&lt;2,"",E9+E18)</f>
        <v/>
      </c>
      <c r="F27" s="174">
        <f>IF(COUNT(F9,F18)&lt;2,"",F9+F18)</f>
        <v/>
      </c>
      <c r="G27" s="174">
        <f>IF(COUNT(G9,G18)&lt;2,"",G9+G18)</f>
        <v/>
      </c>
      <c r="H27" s="174">
        <f>IF(COUNT(H9,H18)&lt;2,"",H9+H18)</f>
        <v/>
      </c>
      <c r="I27" s="174">
        <f>IF(COUNT(I9,I18)&lt;2,"",I9+I18)</f>
        <v/>
      </c>
      <c r="J27" s="174">
        <f>IF(COUNT(J9,J18)&lt;2,"",J9+J18)</f>
        <v/>
      </c>
      <c r="K27" s="174">
        <f>IF(COUNT(K9,K18)&lt;2,"",K9+K18)</f>
        <v/>
      </c>
      <c r="L27" s="174">
        <f>IF(COUNT(L9,L18)&lt;2,"",L9+L18)</f>
        <v/>
      </c>
      <c r="M27" s="174">
        <f>IF(COUNT(M9,M18)&lt;2,"",M9+M18)</f>
        <v/>
      </c>
      <c r="N27" s="175" t="inlineStr">
        <is>
          <t>Sum of the diesel and petrol rows</t>
        </is>
      </c>
      <c r="O27" s="175" t="inlineStr"/>
    </row>
    <row r="28">
      <c r="A28" s="173" t="inlineStr">
        <is>
          <t>Supply</t>
        </is>
      </c>
      <c r="B28" s="174">
        <f>IF(COUNT(B10,B19)&lt;2,"",B10+B19)</f>
        <v/>
      </c>
      <c r="C28" s="174">
        <f>IF(COUNT(C10,C19)&lt;2,"",C10+C19)</f>
        <v/>
      </c>
      <c r="D28" s="174">
        <f>IF(COUNT(D10,D19)&lt;2,"",D10+D19)</f>
        <v/>
      </c>
      <c r="E28" s="174">
        <f>IF(COUNT(E10,E19)&lt;2,"",E10+E19)</f>
        <v/>
      </c>
      <c r="F28" s="174">
        <f>IF(COUNT(F10,F19)&lt;2,"",F10+F19)</f>
        <v/>
      </c>
      <c r="G28" s="174">
        <f>IF(COUNT(G10,G19)&lt;2,"",G10+G19)</f>
        <v/>
      </c>
      <c r="H28" s="174">
        <f>IF(COUNT(H10,H19)&lt;2,"",H10+H19)</f>
        <v/>
      </c>
      <c r="I28" s="174">
        <f>IF(COUNT(I10,I19)&lt;2,"",I10+I19)</f>
        <v/>
      </c>
      <c r="J28" s="174">
        <f>IF(COUNT(J10,J19)&lt;2,"",J10+J19)</f>
        <v/>
      </c>
      <c r="K28" s="174">
        <f>IF(COUNT(K10,K19)&lt;2,"",K10+K19)</f>
        <v/>
      </c>
      <c r="L28" s="174">
        <f>IF(COUNT(L10,L19)&lt;2,"",L10+L19)</f>
        <v/>
      </c>
      <c r="M28" s="174">
        <f>IF(COUNT(M10,M19)&lt;2,"",M10+M19)</f>
        <v/>
      </c>
      <c r="N28" s="175" t="inlineStr">
        <is>
          <t>Sum of the diesel and petrol rows</t>
        </is>
      </c>
      <c r="O28" s="175" t="inlineStr"/>
    </row>
    <row r="29">
      <c r="A29" s="176" t="inlineStr">
        <is>
          <t>Stock change</t>
        </is>
      </c>
      <c r="B29" s="174" t="n"/>
      <c r="C29" s="174" t="n"/>
      <c r="D29" s="174" t="n"/>
      <c r="E29" s="174" t="n"/>
      <c r="F29" s="174" t="n"/>
      <c r="G29" s="174" t="n"/>
      <c r="H29" s="174" t="n"/>
      <c r="I29" s="174" t="n"/>
      <c r="J29" s="174" t="n"/>
      <c r="K29" s="174" t="n"/>
      <c r="L29" s="174" t="n"/>
      <c r="M29" s="174" t="n"/>
      <c r="N29" s="175" t="inlineStr">
        <is>
          <t>None</t>
        </is>
      </c>
      <c r="O29" s="175" t="inlineStr">
        <is>
          <t>Not published by any source used.</t>
        </is>
      </c>
    </row>
    <row r="30">
      <c r="A30" s="173" t="inlineStr">
        <is>
          <t>Supply less sales</t>
        </is>
      </c>
      <c r="B30" s="174">
        <f>IF(COUNT(B12,B21)&lt;2,"",B12+B21)</f>
        <v/>
      </c>
      <c r="C30" s="174">
        <f>IF(COUNT(C12,C21)&lt;2,"",C12+C21)</f>
        <v/>
      </c>
      <c r="D30" s="174">
        <f>IF(COUNT(D12,D21)&lt;2,"",D12+D21)</f>
        <v/>
      </c>
      <c r="E30" s="174">
        <f>IF(COUNT(E12,E21)&lt;2,"",E12+E21)</f>
        <v/>
      </c>
      <c r="F30" s="174">
        <f>IF(COUNT(F12,F21)&lt;2,"",F12+F21)</f>
        <v/>
      </c>
      <c r="G30" s="174">
        <f>IF(COUNT(G12,G21)&lt;2,"",G12+G21)</f>
        <v/>
      </c>
      <c r="H30" s="174">
        <f>IF(COUNT(H12,H21)&lt;2,"",H12+H21)</f>
        <v/>
      </c>
      <c r="I30" s="174">
        <f>IF(COUNT(I12,I21)&lt;2,"",I12+I21)</f>
        <v/>
      </c>
      <c r="J30" s="174">
        <f>IF(COUNT(J12,J21)&lt;2,"",J12+J21)</f>
        <v/>
      </c>
      <c r="K30" s="174">
        <f>IF(COUNT(K12,K21)&lt;2,"",K12+K21)</f>
        <v/>
      </c>
      <c r="L30" s="174">
        <f>IF(COUNT(L12,L21)&lt;2,"",L12+L21)</f>
        <v/>
      </c>
      <c r="M30" s="174">
        <f>IF(COUNT(M12,M21)&lt;2,"",M12+M21)</f>
        <v/>
      </c>
      <c r="N30" s="175" t="inlineStr">
        <is>
          <t>Sum of the diesel and petrol rows</t>
        </is>
      </c>
      <c r="O30" s="175" t="inlineStr">
        <is>
          <t>Stock change and statistical difference together. Not production.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7" customWidth="1" min="3" max="3"/>
    <col width="15" customWidth="1" min="4" max="4"/>
    <col width="44"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26" customWidth="1" min="20" max="20"/>
    <col width="44" customWidth="1" min="21" max="21"/>
    <col width="44" customWidth="1" min="22" max="22"/>
  </cols>
  <sheetData>
    <row r="1">
      <c r="A1" s="149" t="inlineStr">
        <is>
          <t>Mining, manufacturing and agriculture: diesel beside activity, 2012-2025</t>
        </is>
      </c>
    </row>
    <row r="2">
      <c r="A2" s="1" t="inlineStr">
        <is>
          <t>Diesel is from the department's energy balances (to 2021). The balance attributes fuel to the sector that bought it. Intensities and the indicative rows are formulas.</t>
        </is>
      </c>
    </row>
    <row r="4">
      <c r="A4" s="150" t="inlineStr">
        <is>
          <t>Driver / output</t>
        </is>
      </c>
      <c r="B4" s="150" t="inlineStr">
        <is>
          <t>Unit</t>
        </is>
      </c>
      <c r="C4" s="150" t="inlineStr">
        <is>
          <t>Role</t>
        </is>
      </c>
      <c r="D4" s="150" t="inlineStr">
        <is>
          <t>Scalar / latest value</t>
        </is>
      </c>
      <c r="E4" s="150" t="inlineStr">
        <is>
          <t>Definition / period</t>
        </is>
      </c>
      <c r="F4" s="150" t="n">
        <v>2012</v>
      </c>
      <c r="G4" s="150" t="n">
        <v>2013</v>
      </c>
      <c r="H4" s="150" t="n">
        <v>2014</v>
      </c>
      <c r="I4" s="150" t="n">
        <v>2015</v>
      </c>
      <c r="J4" s="150" t="n">
        <v>2016</v>
      </c>
      <c r="K4" s="150" t="n">
        <v>2017</v>
      </c>
      <c r="L4" s="150" t="n">
        <v>2018</v>
      </c>
      <c r="M4" s="150" t="n">
        <v>2019</v>
      </c>
      <c r="N4" s="150" t="n">
        <v>2020</v>
      </c>
      <c r="O4" s="150" t="n">
        <v>2021</v>
      </c>
      <c r="P4" s="150" t="n">
        <v>2022</v>
      </c>
      <c r="Q4" s="150" t="n">
        <v>2023</v>
      </c>
      <c r="R4" s="150" t="n">
        <v>2024</v>
      </c>
      <c r="S4" s="150" t="n">
        <v>2025</v>
      </c>
      <c r="T4" s="150" t="inlineStr">
        <is>
          <t>Coverage / status</t>
        </is>
      </c>
      <c r="U4" s="150" t="inlineStr">
        <is>
          <t>Source</t>
        </is>
      </c>
      <c r="V4" s="150" t="inlineStr">
        <is>
          <t>Missing evidence / next action</t>
        </is>
      </c>
    </row>
    <row r="5">
      <c r="A5" s="151" t="inlineStr">
        <is>
          <t>Mining</t>
        </is>
      </c>
      <c r="B5" s="151" t="n"/>
      <c r="C5" s="151" t="n"/>
      <c r="D5" s="151" t="n"/>
      <c r="E5" s="151" t="n"/>
      <c r="F5" s="151" t="n"/>
      <c r="G5" s="151" t="n"/>
      <c r="H5" s="151" t="n"/>
      <c r="I5" s="151" t="n"/>
      <c r="J5" s="151" t="n"/>
      <c r="K5" s="151" t="n"/>
      <c r="L5" s="151" t="n"/>
      <c r="M5" s="151" t="n"/>
      <c r="N5" s="151" t="n"/>
      <c r="O5" s="151" t="n"/>
      <c r="P5" s="151" t="n"/>
      <c r="Q5" s="151" t="n"/>
      <c r="R5" s="151" t="n"/>
      <c r="S5" s="151" t="n"/>
      <c r="T5" s="151" t="n"/>
      <c r="U5" s="151" t="n"/>
      <c r="V5" s="151" t="n"/>
    </row>
    <row r="6">
      <c r="A6" s="152" t="inlineStr">
        <is>
          <t>Mining and quarrying diesel, energy balance</t>
        </is>
      </c>
      <c r="B6" s="153" t="inlineStr">
        <is>
          <t>million L/year</t>
        </is>
      </c>
      <c r="C6" s="153" t="inlineStr">
        <is>
          <t>Source observation</t>
        </is>
      </c>
      <c r="D6" s="154" t="n"/>
      <c r="E6" s="152" t="inlineStr">
        <is>
          <t>Includes unregistered haul trucks and mines' road vehicles; the balance does not separate them.</t>
        </is>
      </c>
      <c r="F6" s="154" t="n">
        <v>1156.467375</v>
      </c>
      <c r="G6" s="154" t="n">
        <v>1197.295375</v>
      </c>
      <c r="H6" s="154" t="n">
        <v>1505.03225</v>
      </c>
      <c r="I6" s="154" t="n">
        <v>1818.3965</v>
      </c>
      <c r="J6" s="154" t="n">
        <v>1044.2530625</v>
      </c>
      <c r="K6" s="154" t="n">
        <v>1300.426</v>
      </c>
      <c r="L6" s="154" t="n">
        <v>1650.123</v>
      </c>
      <c r="M6" s="154" t="n">
        <v>1667.24925</v>
      </c>
      <c r="N6" s="154" t="n">
        <v>1263.40575</v>
      </c>
      <c r="O6" s="154" t="n">
        <v>1293.81342</v>
      </c>
      <c r="P6" s="154" t="n"/>
      <c r="Q6" s="154" t="n"/>
      <c r="R6" s="154" t="n"/>
      <c r="S6" s="154" t="n"/>
      <c r="T6" s="152" t="inlineStr">
        <is>
          <t>2012-2021</t>
        </is>
      </c>
      <c r="U6" s="152" t="inlineStr">
        <is>
          <t>Department energy balances, diesel</t>
        </is>
      </c>
      <c r="V6" s="152" t="inlineStr"/>
    </row>
    <row r="7">
      <c r="A7" s="152" t="inlineStr">
        <is>
          <t>Mining production volume</t>
        </is>
      </c>
      <c r="B7" s="153" t="inlineStr">
        <is>
          <t>index 2019=100</t>
        </is>
      </c>
      <c r="C7" s="153" t="inlineStr">
        <is>
          <t>Source observation</t>
        </is>
      </c>
      <c r="D7" s="154" t="n"/>
      <c r="E7" s="152" t="inlineStr">
        <is>
          <t>Annual mean of twelve monthly indices.</t>
        </is>
      </c>
      <c r="F7" s="154" t="n">
        <v>97.675</v>
      </c>
      <c r="G7" s="154" t="n">
        <v>101.075</v>
      </c>
      <c r="H7" s="154" t="n">
        <v>99.03333333333335</v>
      </c>
      <c r="I7" s="154" t="n">
        <v>102.2416666666667</v>
      </c>
      <c r="J7" s="154" t="n">
        <v>98.91666666666667</v>
      </c>
      <c r="K7" s="154" t="n">
        <v>102.5333333333333</v>
      </c>
      <c r="L7" s="154" t="n">
        <v>100.925</v>
      </c>
      <c r="M7" s="154" t="n">
        <v>99.98333333333333</v>
      </c>
      <c r="N7" s="154" t="n">
        <v>89.10000000000001</v>
      </c>
      <c r="O7" s="154" t="n">
        <v>100.875</v>
      </c>
      <c r="P7" s="154" t="n">
        <v>93.00833333333333</v>
      </c>
      <c r="Q7" s="154" t="n">
        <v>93.01666666666667</v>
      </c>
      <c r="R7" s="154" t="n">
        <v>93.53333333333335</v>
      </c>
      <c r="S7" s="154" t="n">
        <v>93.70833333333333</v>
      </c>
      <c r="T7" s="152" t="inlineStr">
        <is>
          <t>2012-2025</t>
        </is>
      </c>
      <c r="U7" s="152" t="inlineStr">
        <is>
          <t>Statistics South Africa P2041</t>
        </is>
      </c>
      <c r="V7" s="152" t="inlineStr"/>
    </row>
    <row r="8">
      <c r="A8" s="156" t="inlineStr">
        <is>
          <t>Diesel per unit of activity (million L per index point)</t>
        </is>
      </c>
      <c r="B8" s="157" t="inlineStr">
        <is>
          <t>million L per index point</t>
        </is>
      </c>
      <c r="C8" s="157" t="inlineStr">
        <is>
          <t>Reporting formula</t>
        </is>
      </c>
      <c r="D8" s="177" t="n"/>
      <c r="E8" s="156" t="inlineStr">
        <is>
          <t>Diesel divided by the activity measure, each year both exist.</t>
        </is>
      </c>
      <c r="F8" s="177">
        <f>IF(COUNT(F6,F7)&lt;2,"",F6/F7)</f>
        <v/>
      </c>
      <c r="G8" s="177">
        <f>IF(COUNT(G6,G7)&lt;2,"",G6/G7)</f>
        <v/>
      </c>
      <c r="H8" s="177">
        <f>IF(COUNT(H6,H7)&lt;2,"",H6/H7)</f>
        <v/>
      </c>
      <c r="I8" s="177">
        <f>IF(COUNT(I6,I7)&lt;2,"",I6/I7)</f>
        <v/>
      </c>
      <c r="J8" s="177">
        <f>IF(COUNT(J6,J7)&lt;2,"",J6/J7)</f>
        <v/>
      </c>
      <c r="K8" s="177">
        <f>IF(COUNT(K6,K7)&lt;2,"",K6/K7)</f>
        <v/>
      </c>
      <c r="L8" s="177">
        <f>IF(COUNT(L6,L7)&lt;2,"",L6/L7)</f>
        <v/>
      </c>
      <c r="M8" s="177">
        <f>IF(COUNT(M6,M7)&lt;2,"",M6/M7)</f>
        <v/>
      </c>
      <c r="N8" s="177">
        <f>IF(COUNT(N6,N7)&lt;2,"",N6/N7)</f>
        <v/>
      </c>
      <c r="O8" s="177">
        <f>IF(COUNT(O6,O7)&lt;2,"",O6/O7)</f>
        <v/>
      </c>
      <c r="P8" s="177">
        <f>IF(COUNT(P6,P7)&lt;2,"",P6/P7)</f>
        <v/>
      </c>
      <c r="Q8" s="177">
        <f>IF(COUNT(Q6,Q7)&lt;2,"",Q6/Q7)</f>
        <v/>
      </c>
      <c r="R8" s="177">
        <f>IF(COUNT(R6,R7)&lt;2,"",R6/R7)</f>
        <v/>
      </c>
      <c r="S8" s="177">
        <f>IF(COUNT(S6,S7)&lt;2,"",S6/S7)</f>
        <v/>
      </c>
      <c r="T8" s="156" t="inlineStr"/>
      <c r="U8" s="156" t="inlineStr">
        <is>
          <t>Calculated in this workbook from the rows named in the definition</t>
        </is>
      </c>
      <c r="V8" s="156" t="inlineStr"/>
    </row>
    <row r="9">
      <c r="A9" s="162" t="inlineStr">
        <is>
          <t>Indicative diesel at observed activity (mining and quarrying diesel)</t>
        </is>
      </c>
      <c r="B9" s="163" t="inlineStr">
        <is>
          <t>million L/year</t>
        </is>
      </c>
      <c r="C9" s="163" t="inlineStr">
        <is>
          <t>Proposed estimate</t>
        </is>
      </c>
      <c r="D9" s="165">
        <f>AVERAGE(L8:O8)</f>
        <v/>
      </c>
      <c r="E9" s="162" t="inlineStr">
        <is>
          <t>Average 2018-2021 intensity (column D) times the activity measure. An indication for years without a balance; not an observation and not an accepted input.</t>
        </is>
      </c>
      <c r="F9" s="165">
        <f>IF(ISNUMBER(F7),$D$9*F7,"")</f>
        <v/>
      </c>
      <c r="G9" s="165">
        <f>IF(ISNUMBER(G7),$D$9*G7,"")</f>
        <v/>
      </c>
      <c r="H9" s="165">
        <f>IF(ISNUMBER(H7),$D$9*H7,"")</f>
        <v/>
      </c>
      <c r="I9" s="165">
        <f>IF(ISNUMBER(I7),$D$9*I7,"")</f>
        <v/>
      </c>
      <c r="J9" s="165">
        <f>IF(ISNUMBER(J7),$D$9*J7,"")</f>
        <v/>
      </c>
      <c r="K9" s="165">
        <f>IF(ISNUMBER(K7),$D$9*K7,"")</f>
        <v/>
      </c>
      <c r="L9" s="165">
        <f>IF(ISNUMBER(L7),$D$9*L7,"")</f>
        <v/>
      </c>
      <c r="M9" s="165">
        <f>IF(ISNUMBER(M7),$D$9*M7,"")</f>
        <v/>
      </c>
      <c r="N9" s="165">
        <f>IF(ISNUMBER(N7),$D$9*N7,"")</f>
        <v/>
      </c>
      <c r="O9" s="165">
        <f>IF(ISNUMBER(O7),$D$9*O7,"")</f>
        <v/>
      </c>
      <c r="P9" s="165">
        <f>IF(ISNUMBER(P7),$D$9*P7,"")</f>
        <v/>
      </c>
      <c r="Q9" s="165">
        <f>IF(ISNUMBER(Q7),$D$9*Q7,"")</f>
        <v/>
      </c>
      <c r="R9" s="165">
        <f>IF(ISNUMBER(R7),$D$9*R7,"")</f>
        <v/>
      </c>
      <c r="S9" s="165">
        <f>IF(ISNUMBER(S7),$D$9*S7,"")</f>
        <v/>
      </c>
      <c r="T9" s="162" t="inlineStr">
        <is>
          <t>Estimate for discussion</t>
        </is>
      </c>
      <c r="U9" s="162" t="inlineStr">
        <is>
          <t>Analyst estimate, calculated in this workbook; method in the definition</t>
        </is>
      </c>
      <c r="V9" s="162" t="inlineStr">
        <is>
          <t>Agree base year, driver and whether intensity is held constant (Nigel)</t>
        </is>
      </c>
    </row>
    <row r="11">
      <c r="A11" s="151" t="inlineStr">
        <is>
          <t>Industry other than mining</t>
        </is>
      </c>
      <c r="B11" s="151" t="n"/>
      <c r="C11" s="151" t="n"/>
      <c r="D11" s="151" t="n"/>
      <c r="E11" s="151" t="n"/>
      <c r="F11" s="151" t="n"/>
      <c r="G11" s="151" t="n"/>
      <c r="H11" s="151" t="n"/>
      <c r="I11" s="151" t="n"/>
      <c r="J11" s="151" t="n"/>
      <c r="K11" s="151" t="n"/>
      <c r="L11" s="151" t="n"/>
      <c r="M11" s="151" t="n"/>
      <c r="N11" s="151" t="n"/>
      <c r="O11" s="151" t="n"/>
      <c r="P11" s="151" t="n"/>
      <c r="Q11" s="151" t="n"/>
      <c r="R11" s="151" t="n"/>
      <c r="S11" s="151" t="n"/>
      <c r="T11" s="151" t="n"/>
      <c r="U11" s="151" t="n"/>
      <c r="V11" s="151" t="n"/>
    </row>
    <row r="12">
      <c r="A12" s="152" t="inlineStr">
        <is>
          <t>Industry diesel, energy balance (parent line)</t>
        </is>
      </c>
      <c r="B12" s="153" t="inlineStr">
        <is>
          <t>million L/year</t>
        </is>
      </c>
      <c r="C12" s="153" t="inlineStr">
        <is>
          <t>Source observation</t>
        </is>
      </c>
      <c r="D12" s="154" t="n"/>
      <c r="E12" s="152" t="inlineStr">
        <is>
          <t>Parent 'industry' line: mining, construction, manufacturing sub-sectors and non-specified.</t>
        </is>
      </c>
      <c r="F12" s="154" t="n">
        <v>1369.137828125</v>
      </c>
      <c r="G12" s="154" t="n">
        <v>1400.165890625</v>
      </c>
      <c r="H12" s="154" t="n">
        <v>1639.750640625</v>
      </c>
      <c r="I12" s="154" t="n">
        <v>1933.1291796875</v>
      </c>
      <c r="J12" s="154" t="n">
        <v>1319.798182863236</v>
      </c>
      <c r="K12" s="154" t="n">
        <v>1543.83980682373</v>
      </c>
      <c r="L12" s="154" t="n">
        <v>1884.421682861328</v>
      </c>
      <c r="M12" s="154" t="n">
        <v>1897.990848388672</v>
      </c>
      <c r="N12" s="154" t="n">
        <v>1446.22069909668</v>
      </c>
      <c r="O12" s="154" t="n">
        <v>1499.13926</v>
      </c>
      <c r="P12" s="154" t="n"/>
      <c r="Q12" s="154" t="n"/>
      <c r="R12" s="154" t="n"/>
      <c r="S12" s="154" t="n"/>
      <c r="T12" s="152" t="inlineStr">
        <is>
          <t>2012-2021</t>
        </is>
      </c>
      <c r="U12" s="152" t="inlineStr">
        <is>
          <t>Department energy balances, diesel</t>
        </is>
      </c>
      <c r="V12" s="152" t="inlineStr"/>
    </row>
    <row r="13">
      <c r="A13" s="152" t="inlineStr">
        <is>
          <t>Construction diesel, energy balance</t>
        </is>
      </c>
      <c r="B13" s="153" t="inlineStr">
        <is>
          <t>million L/year</t>
        </is>
      </c>
      <c r="C13" s="153" t="inlineStr">
        <is>
          <t>Source observation</t>
        </is>
      </c>
      <c r="D13" s="154" t="n"/>
      <c r="E13" s="152" t="inlineStr">
        <is>
          <t>Reported construction line; too small to be all construction plant.</t>
        </is>
      </c>
      <c r="F13" s="154" t="n">
        <v>212.670453125</v>
      </c>
      <c r="G13" s="154" t="n">
        <v>202.870515625</v>
      </c>
      <c r="H13" s="154" t="n">
        <v>134.718390625</v>
      </c>
      <c r="I13" s="154" t="n">
        <v>114.7326796875</v>
      </c>
      <c r="J13" s="154" t="n">
        <v>138.693625</v>
      </c>
      <c r="K13" s="154" t="n">
        <v>124.4697890625</v>
      </c>
      <c r="L13" s="154" t="n">
        <v>74.592859375</v>
      </c>
      <c r="M13" s="154" t="n"/>
      <c r="N13" s="154" t="n">
        <v>42.84740625</v>
      </c>
      <c r="O13" s="154" t="n">
        <v>48.69243</v>
      </c>
      <c r="P13" s="154" t="n"/>
      <c r="Q13" s="154" t="n"/>
      <c r="R13" s="154" t="n"/>
      <c r="S13" s="154" t="n"/>
      <c r="T13" s="152" t="inlineStr">
        <is>
          <t>2012-2021; blank where not reported</t>
        </is>
      </c>
      <c r="U13" s="152" t="inlineStr">
        <is>
          <t>Department energy balances, diesel</t>
        </is>
      </c>
      <c r="V13" s="152" t="inlineStr"/>
    </row>
    <row r="15">
      <c r="A15" s="151" t="inlineStr">
        <is>
          <t>Manufacturing and non-specified industry</t>
        </is>
      </c>
      <c r="B15" s="151" t="n"/>
      <c r="C15" s="151" t="n"/>
      <c r="D15" s="151" t="n"/>
      <c r="E15" s="151" t="n"/>
      <c r="F15" s="151" t="n"/>
      <c r="G15" s="151" t="n"/>
      <c r="H15" s="151" t="n"/>
      <c r="I15" s="151" t="n"/>
      <c r="J15" s="151" t="n"/>
      <c r="K15" s="151" t="n"/>
      <c r="L15" s="151" t="n"/>
      <c r="M15" s="151" t="n"/>
      <c r="N15" s="151" t="n"/>
      <c r="O15" s="151" t="n"/>
      <c r="P15" s="151" t="n"/>
      <c r="Q15" s="151" t="n"/>
      <c r="R15" s="151" t="n"/>
      <c r="S15" s="151" t="n"/>
      <c r="T15" s="151" t="n"/>
      <c r="U15" s="151" t="n"/>
      <c r="V15" s="151" t="n"/>
    </row>
    <row r="16">
      <c r="A16" s="156" t="inlineStr">
        <is>
          <t>Manufacturing and other industry diesel, by difference</t>
        </is>
      </c>
      <c r="B16" s="157" t="inlineStr">
        <is>
          <t>million L/year</t>
        </is>
      </c>
      <c r="C16" s="157" t="inlineStr">
        <is>
          <t>Reporting formula</t>
        </is>
      </c>
      <c r="D16" s="158" t="n"/>
      <c r="E16" s="156" t="inlineStr">
        <is>
          <t>Industry less mining less construction. Small (0.1-0.3 bn litres), so it moves with reclassification in the balance more than with output.</t>
        </is>
      </c>
      <c r="F16" s="158">
        <f>IF(COUNT(F12,F6)&lt;2,"",F12-F6-IF(ISNUMBER(F13),F13,0))</f>
        <v/>
      </c>
      <c r="G16" s="158">
        <f>IF(COUNT(G12,G6)&lt;2,"",G12-G6-IF(ISNUMBER(G13),G13,0))</f>
        <v/>
      </c>
      <c r="H16" s="158">
        <f>IF(COUNT(H12,H6)&lt;2,"",H12-H6-IF(ISNUMBER(H13),H13,0))</f>
        <v/>
      </c>
      <c r="I16" s="158">
        <f>IF(COUNT(I12,I6)&lt;2,"",I12-I6-IF(ISNUMBER(I13),I13,0))</f>
        <v/>
      </c>
      <c r="J16" s="158">
        <f>IF(COUNT(J12,J6)&lt;2,"",J12-J6-IF(ISNUMBER(J13),J13,0))</f>
        <v/>
      </c>
      <c r="K16" s="158">
        <f>IF(COUNT(K12,K6)&lt;2,"",K12-K6-IF(ISNUMBER(K13),K13,0))</f>
        <v/>
      </c>
      <c r="L16" s="158">
        <f>IF(COUNT(L12,L6)&lt;2,"",L12-L6-IF(ISNUMBER(L13),L13,0))</f>
        <v/>
      </c>
      <c r="M16" s="158">
        <f>IF(COUNT(M12,M6)&lt;2,"",M12-M6-IF(ISNUMBER(M13),M13,0))</f>
        <v/>
      </c>
      <c r="N16" s="158">
        <f>IF(COUNT(N12,N6)&lt;2,"",N12-N6-IF(ISNUMBER(N13),N13,0))</f>
        <v/>
      </c>
      <c r="O16" s="158">
        <f>IF(COUNT(O12,O6)&lt;2,"",O12-O6-IF(ISNUMBER(O13),O13,0))</f>
        <v/>
      </c>
      <c r="P16" s="158">
        <f>IF(COUNT(P12,P6)&lt;2,"",P12-P6-IF(ISNUMBER(P13),P13,0))</f>
        <v/>
      </c>
      <c r="Q16" s="158">
        <f>IF(COUNT(Q12,Q6)&lt;2,"",Q12-Q6-IF(ISNUMBER(Q13),Q13,0))</f>
        <v/>
      </c>
      <c r="R16" s="158">
        <f>IF(COUNT(R12,R6)&lt;2,"",R12-R6-IF(ISNUMBER(R13),R13,0))</f>
        <v/>
      </c>
      <c r="S16" s="158">
        <f>IF(COUNT(S12,S6)&lt;2,"",S12-S6-IF(ISNUMBER(S13),S13,0))</f>
        <v/>
      </c>
      <c r="T16" s="156" t="inlineStr"/>
      <c r="U16" s="156" t="inlineStr">
        <is>
          <t>Calculated in this workbook from the rows named in the definition</t>
        </is>
      </c>
      <c r="V16" s="156" t="inlineStr"/>
    </row>
    <row r="17">
      <c r="A17" s="152" t="inlineStr">
        <is>
          <t>Manufacturing production volume</t>
        </is>
      </c>
      <c r="B17" s="153" t="inlineStr">
        <is>
          <t>index 2019=100</t>
        </is>
      </c>
      <c r="C17" s="153" t="inlineStr">
        <is>
          <t>Source observation</t>
        </is>
      </c>
      <c r="D17" s="154" t="n"/>
      <c r="E17" s="152" t="inlineStr">
        <is>
          <t>Annual mean of twelve monthly indices.</t>
        </is>
      </c>
      <c r="F17" s="154" t="n">
        <v>98.71666666666665</v>
      </c>
      <c r="G17" s="154" t="n">
        <v>100.0083333333333</v>
      </c>
      <c r="H17" s="154" t="n">
        <v>100.1166666666667</v>
      </c>
      <c r="I17" s="154" t="n">
        <v>100.1</v>
      </c>
      <c r="J17" s="154" t="n">
        <v>100.8083333333333</v>
      </c>
      <c r="K17" s="154" t="n">
        <v>100.1333333333333</v>
      </c>
      <c r="L17" s="154" t="n">
        <v>101.1</v>
      </c>
      <c r="M17" s="154" t="n">
        <v>99.98333333333333</v>
      </c>
      <c r="N17" s="154" t="n">
        <v>87.66666666666667</v>
      </c>
      <c r="O17" s="154" t="n">
        <v>93.11666666666667</v>
      </c>
      <c r="P17" s="154" t="n">
        <v>93.14166666666667</v>
      </c>
      <c r="Q17" s="154" t="n">
        <v>93.71666666666665</v>
      </c>
      <c r="R17" s="154" t="n">
        <v>93.33333333333333</v>
      </c>
      <c r="S17" s="154" t="n">
        <v>92.14166666666667</v>
      </c>
      <c r="T17" s="152" t="inlineStr">
        <is>
          <t>2012-2025</t>
        </is>
      </c>
      <c r="U17" s="152" t="inlineStr">
        <is>
          <t>Statistics South Africa P3041.2</t>
        </is>
      </c>
      <c r="V17" s="152" t="inlineStr"/>
    </row>
    <row r="18">
      <c r="A18" s="156" t="inlineStr">
        <is>
          <t>Diesel per unit of activity (million L per index point)</t>
        </is>
      </c>
      <c r="B18" s="157" t="inlineStr">
        <is>
          <t>million L per index point</t>
        </is>
      </c>
      <c r="C18" s="157" t="inlineStr">
        <is>
          <t>Reporting formula</t>
        </is>
      </c>
      <c r="D18" s="177" t="n"/>
      <c r="E18" s="156" t="inlineStr">
        <is>
          <t>Diesel divided by the activity measure, each year both exist.</t>
        </is>
      </c>
      <c r="F18" s="177">
        <f>IF(COUNT(F16,F17)&lt;2,"",F16/F17)</f>
        <v/>
      </c>
      <c r="G18" s="177">
        <f>IF(COUNT(G16,G17)&lt;2,"",G16/G17)</f>
        <v/>
      </c>
      <c r="H18" s="177">
        <f>IF(COUNT(H16,H17)&lt;2,"",H16/H17)</f>
        <v/>
      </c>
      <c r="I18" s="177">
        <f>IF(COUNT(I16,I17)&lt;2,"",I16/I17)</f>
        <v/>
      </c>
      <c r="J18" s="177">
        <f>IF(COUNT(J16,J17)&lt;2,"",J16/J17)</f>
        <v/>
      </c>
      <c r="K18" s="177">
        <f>IF(COUNT(K16,K17)&lt;2,"",K16/K17)</f>
        <v/>
      </c>
      <c r="L18" s="177">
        <f>IF(COUNT(L16,L17)&lt;2,"",L16/L17)</f>
        <v/>
      </c>
      <c r="M18" s="177">
        <f>IF(COUNT(M16,M17)&lt;2,"",M16/M17)</f>
        <v/>
      </c>
      <c r="N18" s="177">
        <f>IF(COUNT(N16,N17)&lt;2,"",N16/N17)</f>
        <v/>
      </c>
      <c r="O18" s="177">
        <f>IF(COUNT(O16,O17)&lt;2,"",O16/O17)</f>
        <v/>
      </c>
      <c r="P18" s="177">
        <f>IF(COUNT(P16,P17)&lt;2,"",P16/P17)</f>
        <v/>
      </c>
      <c r="Q18" s="177">
        <f>IF(COUNT(Q16,Q17)&lt;2,"",Q16/Q17)</f>
        <v/>
      </c>
      <c r="R18" s="177">
        <f>IF(COUNT(R16,R17)&lt;2,"",R16/R17)</f>
        <v/>
      </c>
      <c r="S18" s="177">
        <f>IF(COUNT(S16,S17)&lt;2,"",S16/S17)</f>
        <v/>
      </c>
      <c r="T18" s="156" t="inlineStr"/>
      <c r="U18" s="156" t="inlineStr">
        <is>
          <t>Calculated in this workbook from the rows named in the definition</t>
        </is>
      </c>
      <c r="V18" s="156" t="inlineStr"/>
    </row>
    <row r="19">
      <c r="A19" s="162" t="inlineStr">
        <is>
          <t>Indicative diesel at observed activity (manufacturing and other industry diesel)</t>
        </is>
      </c>
      <c r="B19" s="163" t="inlineStr">
        <is>
          <t>million L/year</t>
        </is>
      </c>
      <c r="C19" s="163" t="inlineStr">
        <is>
          <t>Proposed estimate</t>
        </is>
      </c>
      <c r="D19" s="165">
        <f>AVERAGE(L18:O18)</f>
        <v/>
      </c>
      <c r="E19" s="162" t="inlineStr">
        <is>
          <t>Average 2018-2021 intensity (column D) times the activity measure. An indication for years without a balance; not an observation and not an accepted input.</t>
        </is>
      </c>
      <c r="F19" s="165">
        <f>IF(ISNUMBER(F17),$D$19*F17,"")</f>
        <v/>
      </c>
      <c r="G19" s="165">
        <f>IF(ISNUMBER(G17),$D$19*G17,"")</f>
        <v/>
      </c>
      <c r="H19" s="165">
        <f>IF(ISNUMBER(H17),$D$19*H17,"")</f>
        <v/>
      </c>
      <c r="I19" s="165">
        <f>IF(ISNUMBER(I17),$D$19*I17,"")</f>
        <v/>
      </c>
      <c r="J19" s="165">
        <f>IF(ISNUMBER(J17),$D$19*J17,"")</f>
        <v/>
      </c>
      <c r="K19" s="165">
        <f>IF(ISNUMBER(K17),$D$19*K17,"")</f>
        <v/>
      </c>
      <c r="L19" s="165">
        <f>IF(ISNUMBER(L17),$D$19*L17,"")</f>
        <v/>
      </c>
      <c r="M19" s="165">
        <f>IF(ISNUMBER(M17),$D$19*M17,"")</f>
        <v/>
      </c>
      <c r="N19" s="165">
        <f>IF(ISNUMBER(N17),$D$19*N17,"")</f>
        <v/>
      </c>
      <c r="O19" s="165">
        <f>IF(ISNUMBER(O17),$D$19*O17,"")</f>
        <v/>
      </c>
      <c r="P19" s="165">
        <f>IF(ISNUMBER(P17),$D$19*P17,"")</f>
        <v/>
      </c>
      <c r="Q19" s="165">
        <f>IF(ISNUMBER(Q17),$D$19*Q17,"")</f>
        <v/>
      </c>
      <c r="R19" s="165">
        <f>IF(ISNUMBER(R17),$D$19*R17,"")</f>
        <v/>
      </c>
      <c r="S19" s="165">
        <f>IF(ISNUMBER(S17),$D$19*S17,"")</f>
        <v/>
      </c>
      <c r="T19" s="162" t="inlineStr">
        <is>
          <t>Estimate for discussion</t>
        </is>
      </c>
      <c r="U19" s="162" t="inlineStr">
        <is>
          <t>Analyst estimate, calculated in this workbook; method in the definition</t>
        </is>
      </c>
      <c r="V19" s="162" t="inlineStr">
        <is>
          <t>Agree base year, driver and whether intensity is held constant (Nigel)</t>
        </is>
      </c>
    </row>
    <row r="21">
      <c r="A21" s="151" t="inlineStr">
        <is>
          <t>Agriculture</t>
        </is>
      </c>
      <c r="B21" s="151" t="n"/>
      <c r="C21" s="151" t="n"/>
      <c r="D21" s="151" t="n"/>
      <c r="E21" s="151" t="n"/>
      <c r="F21" s="151" t="n"/>
      <c r="G21" s="151" t="n"/>
      <c r="H21" s="151" t="n"/>
      <c r="I21" s="151" t="n"/>
      <c r="J21" s="151" t="n"/>
      <c r="K21" s="151" t="n"/>
      <c r="L21" s="151" t="n"/>
      <c r="M21" s="151" t="n"/>
      <c r="N21" s="151" t="n"/>
      <c r="O21" s="151" t="n"/>
      <c r="P21" s="151" t="n"/>
      <c r="Q21" s="151" t="n"/>
      <c r="R21" s="151" t="n"/>
      <c r="S21" s="151" t="n"/>
      <c r="T21" s="151" t="n"/>
      <c r="U21" s="151" t="n"/>
      <c r="V21" s="151" t="n"/>
    </row>
    <row r="22">
      <c r="A22" s="152" t="inlineStr">
        <is>
          <t>Agriculture and forestry diesel, energy balance</t>
        </is>
      </c>
      <c r="B22" s="153" t="inlineStr">
        <is>
          <t>million L/year</t>
        </is>
      </c>
      <c r="C22" s="153" t="inlineStr">
        <is>
          <t>Source observation</t>
        </is>
      </c>
      <c r="D22" s="154" t="n"/>
      <c r="E22" s="152" t="inlineStr">
        <is>
          <t>2016 and 2017 are about double the other years in the balance and look like reclassification.</t>
        </is>
      </c>
      <c r="F22" s="154" t="n">
        <v>942.647375</v>
      </c>
      <c r="G22" s="154" t="n">
        <v>1084.4325</v>
      </c>
      <c r="H22" s="154" t="n">
        <v>1092.49875</v>
      </c>
      <c r="I22" s="154" t="n">
        <v>1073.49425</v>
      </c>
      <c r="J22" s="154" t="n">
        <v>1887.278875</v>
      </c>
      <c r="K22" s="154" t="n">
        <v>1876.914</v>
      </c>
      <c r="L22" s="154" t="n">
        <v>899.8834375</v>
      </c>
      <c r="M22" s="154" t="n">
        <v>921.8486875</v>
      </c>
      <c r="N22" s="154" t="n">
        <v>1048.9635</v>
      </c>
      <c r="O22" s="154" t="n">
        <v>1058.39895</v>
      </c>
      <c r="P22" s="154" t="n"/>
      <c r="Q22" s="154" t="n"/>
      <c r="R22" s="154" t="n"/>
      <c r="S22" s="154" t="n"/>
      <c r="T22" s="152" t="inlineStr">
        <is>
          <t>2012-2021</t>
        </is>
      </c>
      <c r="U22" s="152" t="inlineStr">
        <is>
          <t>Department energy balances, diesel</t>
        </is>
      </c>
      <c r="V22" s="152" t="inlineStr"/>
    </row>
    <row r="23">
      <c r="A23" s="152" t="inlineStr">
        <is>
          <t>Agriculture, forestry and fishing real value added</t>
        </is>
      </c>
      <c r="B23" s="153" t="inlineStr">
        <is>
          <t>bn 2015 rand</t>
        </is>
      </c>
      <c r="C23" s="153" t="inlineStr">
        <is>
          <t>Source observation</t>
        </is>
      </c>
      <c r="D23" s="154" t="n"/>
      <c r="E23" s="152" t="inlineStr">
        <is>
          <t>Annual real value added.</t>
        </is>
      </c>
      <c r="F23" s="154" t="n">
        <v>88.41274191513145</v>
      </c>
      <c r="G23" s="154" t="n">
        <v>92.3735437952574</v>
      </c>
      <c r="H23" s="154" t="n">
        <v>102.4876916980824</v>
      </c>
      <c r="I23" s="154" t="n">
        <v>98.75956925138433</v>
      </c>
      <c r="J23" s="154" t="n">
        <v>93.67210531089499</v>
      </c>
      <c r="K23" s="154" t="n">
        <v>111.5450795375386</v>
      </c>
      <c r="L23" s="154" t="n">
        <v>112.0949257517988</v>
      </c>
      <c r="M23" s="154" t="n">
        <v>104.7847576991143</v>
      </c>
      <c r="N23" s="154" t="n">
        <v>122.8700990753462</v>
      </c>
      <c r="O23" s="154" t="n">
        <v>128.9830895613611</v>
      </c>
      <c r="P23" s="154" t="n">
        <v>131.7706421450265</v>
      </c>
      <c r="Q23" s="154" t="n">
        <v>125.7466421450265</v>
      </c>
      <c r="R23" s="154" t="n">
        <v>114.7916421450265</v>
      </c>
      <c r="S23" s="154" t="n">
        <v>134.7967469817132</v>
      </c>
      <c r="T23" s="152" t="inlineStr">
        <is>
          <t>2012-2025</t>
        </is>
      </c>
      <c r="U23" s="152" t="inlineStr">
        <is>
          <t>Statistics South Africa P0441</t>
        </is>
      </c>
      <c r="V23" s="152" t="inlineStr"/>
    </row>
    <row r="24">
      <c r="A24" s="156" t="inlineStr">
        <is>
          <t>Diesel per unit of activity (million L per bn rand)</t>
        </is>
      </c>
      <c r="B24" s="157" t="inlineStr">
        <is>
          <t>million L per bn rand</t>
        </is>
      </c>
      <c r="C24" s="157" t="inlineStr">
        <is>
          <t>Reporting formula</t>
        </is>
      </c>
      <c r="D24" s="177" t="n"/>
      <c r="E24" s="156" t="inlineStr">
        <is>
          <t>Diesel divided by the activity measure, each year both exist.</t>
        </is>
      </c>
      <c r="F24" s="177">
        <f>IF(COUNT(F22,F23)&lt;2,"",F22/F23)</f>
        <v/>
      </c>
      <c r="G24" s="177">
        <f>IF(COUNT(G22,G23)&lt;2,"",G22/G23)</f>
        <v/>
      </c>
      <c r="H24" s="177">
        <f>IF(COUNT(H22,H23)&lt;2,"",H22/H23)</f>
        <v/>
      </c>
      <c r="I24" s="177">
        <f>IF(COUNT(I22,I23)&lt;2,"",I22/I23)</f>
        <v/>
      </c>
      <c r="J24" s="177">
        <f>IF(COUNT(J22,J23)&lt;2,"",J22/J23)</f>
        <v/>
      </c>
      <c r="K24" s="177">
        <f>IF(COUNT(K22,K23)&lt;2,"",K22/K23)</f>
        <v/>
      </c>
      <c r="L24" s="177">
        <f>IF(COUNT(L22,L23)&lt;2,"",L22/L23)</f>
        <v/>
      </c>
      <c r="M24" s="177">
        <f>IF(COUNT(M22,M23)&lt;2,"",M22/M23)</f>
        <v/>
      </c>
      <c r="N24" s="177">
        <f>IF(COUNT(N22,N23)&lt;2,"",N22/N23)</f>
        <v/>
      </c>
      <c r="O24" s="177">
        <f>IF(COUNT(O22,O23)&lt;2,"",O22/O23)</f>
        <v/>
      </c>
      <c r="P24" s="177">
        <f>IF(COUNT(P22,P23)&lt;2,"",P22/P23)</f>
        <v/>
      </c>
      <c r="Q24" s="177">
        <f>IF(COUNT(Q22,Q23)&lt;2,"",Q22/Q23)</f>
        <v/>
      </c>
      <c r="R24" s="177">
        <f>IF(COUNT(R22,R23)&lt;2,"",R22/R23)</f>
        <v/>
      </c>
      <c r="S24" s="177">
        <f>IF(COUNT(S22,S23)&lt;2,"",S22/S23)</f>
        <v/>
      </c>
      <c r="T24" s="156" t="inlineStr"/>
      <c r="U24" s="156" t="inlineStr">
        <is>
          <t>Calculated in this workbook from the rows named in the definition</t>
        </is>
      </c>
      <c r="V24" s="156" t="inlineStr"/>
    </row>
    <row r="25">
      <c r="A25" s="162" t="inlineStr">
        <is>
          <t>Indicative diesel at observed activity (agriculture and forestry diesel)</t>
        </is>
      </c>
      <c r="B25" s="163" t="inlineStr">
        <is>
          <t>million L/year</t>
        </is>
      </c>
      <c r="C25" s="163" t="inlineStr">
        <is>
          <t>Proposed estimate</t>
        </is>
      </c>
      <c r="D25" s="165">
        <f>AVERAGE(L24:O24)</f>
        <v/>
      </c>
      <c r="E25" s="162" t="inlineStr">
        <is>
          <t>Average 2018-2021 intensity (column D) times the activity measure. An indication for years without a balance; not an observation and not an accepted input.</t>
        </is>
      </c>
      <c r="F25" s="165">
        <f>IF(ISNUMBER(F23),$D$25*F23,"")</f>
        <v/>
      </c>
      <c r="G25" s="165">
        <f>IF(ISNUMBER(G23),$D$25*G23,"")</f>
        <v/>
      </c>
      <c r="H25" s="165">
        <f>IF(ISNUMBER(H23),$D$25*H23,"")</f>
        <v/>
      </c>
      <c r="I25" s="165">
        <f>IF(ISNUMBER(I23),$D$25*I23,"")</f>
        <v/>
      </c>
      <c r="J25" s="165">
        <f>IF(ISNUMBER(J23),$D$25*J23,"")</f>
        <v/>
      </c>
      <c r="K25" s="165">
        <f>IF(ISNUMBER(K23),$D$25*K23,"")</f>
        <v/>
      </c>
      <c r="L25" s="165">
        <f>IF(ISNUMBER(L23),$D$25*L23,"")</f>
        <v/>
      </c>
      <c r="M25" s="165">
        <f>IF(ISNUMBER(M23),$D$25*M23,"")</f>
        <v/>
      </c>
      <c r="N25" s="165">
        <f>IF(ISNUMBER(N23),$D$25*N23,"")</f>
        <v/>
      </c>
      <c r="O25" s="165">
        <f>IF(ISNUMBER(O23),$D$25*O23,"")</f>
        <v/>
      </c>
      <c r="P25" s="165">
        <f>IF(ISNUMBER(P23),$D$25*P23,"")</f>
        <v/>
      </c>
      <c r="Q25" s="165">
        <f>IF(ISNUMBER(Q23),$D$25*Q23,"")</f>
        <v/>
      </c>
      <c r="R25" s="165">
        <f>IF(ISNUMBER(R23),$D$25*R23,"")</f>
        <v/>
      </c>
      <c r="S25" s="165">
        <f>IF(ISNUMBER(S23),$D$25*S23,"")</f>
        <v/>
      </c>
      <c r="T25" s="162" t="inlineStr">
        <is>
          <t>Estimate for discussion</t>
        </is>
      </c>
      <c r="U25" s="162" t="inlineStr">
        <is>
          <t>Analyst estimate, calculated in this workbook; method in the definition</t>
        </is>
      </c>
      <c r="V25" s="162" t="inlineStr">
        <is>
          <t>Agree base year, driver and whether intensity is held constant (Nigel)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7" customWidth="1" min="3" max="3"/>
    <col width="15" customWidth="1" min="4" max="4"/>
    <col width="44"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26" customWidth="1" min="20" max="20"/>
    <col width="44" customWidth="1" min="21" max="21"/>
    <col width="44" customWidth="1" min="22" max="22"/>
  </cols>
  <sheetData>
    <row r="1">
      <c r="A1" s="149" t="inlineStr">
        <is>
          <t>Diesel by use: the six branches drawn at the 7 October check-in</t>
        </is>
      </c>
    </row>
    <row r="2">
      <c r="A2" s="1" t="inlineStr">
        <is>
          <t>Mining, manufacturing, agriculture and power are taken from sources; road diesel is what remains of recorded sales and is split with the shares of a published vehicle study (approach A). Million litres a year.</t>
        </is>
      </c>
    </row>
    <row r="4">
      <c r="A4" s="150" t="inlineStr">
        <is>
          <t>Driver / output</t>
        </is>
      </c>
      <c r="B4" s="150" t="inlineStr">
        <is>
          <t>Unit</t>
        </is>
      </c>
      <c r="C4" s="150" t="inlineStr">
        <is>
          <t>Role</t>
        </is>
      </c>
      <c r="D4" s="150" t="inlineStr">
        <is>
          <t>Scalar / latest value</t>
        </is>
      </c>
      <c r="E4" s="150" t="inlineStr">
        <is>
          <t>Definition / period</t>
        </is>
      </c>
      <c r="F4" s="150" t="n">
        <v>2012</v>
      </c>
      <c r="G4" s="150" t="n">
        <v>2013</v>
      </c>
      <c r="H4" s="150" t="n">
        <v>2014</v>
      </c>
      <c r="I4" s="150" t="n">
        <v>2015</v>
      </c>
      <c r="J4" s="150" t="n">
        <v>2016</v>
      </c>
      <c r="K4" s="150" t="n">
        <v>2017</v>
      </c>
      <c r="L4" s="150" t="n">
        <v>2018</v>
      </c>
      <c r="M4" s="150" t="n">
        <v>2019</v>
      </c>
      <c r="N4" s="150" t="n">
        <v>2020</v>
      </c>
      <c r="O4" s="150" t="n">
        <v>2021</v>
      </c>
      <c r="P4" s="150" t="n">
        <v>2022</v>
      </c>
      <c r="Q4" s="150" t="n">
        <v>2023</v>
      </c>
      <c r="R4" s="150" t="n">
        <v>2024</v>
      </c>
      <c r="S4" s="150" t="n">
        <v>2025</v>
      </c>
      <c r="T4" s="150" t="inlineStr">
        <is>
          <t>Coverage / status</t>
        </is>
      </c>
      <c r="U4" s="150" t="inlineStr">
        <is>
          <t>Source</t>
        </is>
      </c>
      <c r="V4" s="150" t="inlineStr">
        <is>
          <t>Missing evidence / next action</t>
        </is>
      </c>
    </row>
    <row r="5">
      <c r="A5" s="151" t="inlineStr">
        <is>
          <t>1. Sales and the uses taken from sources</t>
        </is>
      </c>
      <c r="B5" s="151" t="n"/>
      <c r="C5" s="151" t="n"/>
      <c r="D5" s="151" t="n"/>
      <c r="E5" s="151" t="n"/>
      <c r="F5" s="151" t="n"/>
      <c r="G5" s="151" t="n"/>
      <c r="H5" s="151" t="n"/>
      <c r="I5" s="151" t="n"/>
      <c r="J5" s="151" t="n"/>
      <c r="K5" s="151" t="n"/>
      <c r="L5" s="151" t="n"/>
      <c r="M5" s="151" t="n"/>
      <c r="N5" s="151" t="n"/>
      <c r="O5" s="151" t="n"/>
      <c r="P5" s="151" t="n"/>
      <c r="Q5" s="151" t="n"/>
      <c r="R5" s="151" t="n"/>
      <c r="S5" s="151" t="n"/>
      <c r="T5" s="151" t="n"/>
      <c r="U5" s="151" t="n"/>
      <c r="V5" s="151" t="n"/>
    </row>
    <row r="6">
      <c r="A6" s="156" t="inlineStr">
        <is>
          <t>Diesel sales used</t>
        </is>
      </c>
      <c r="B6" s="157" t="inlineStr">
        <is>
          <t>million L/year</t>
        </is>
      </c>
      <c r="C6" s="157" t="inlineStr">
        <is>
          <t>Reporting formula</t>
        </is>
      </c>
      <c r="D6" s="158" t="n"/>
      <c r="E6" s="156" t="inlineStr">
        <is>
          <t>From History: department national file, to 2023.</t>
        </is>
      </c>
      <c r="F6" s="158">
        <f>IF(ISNUMBER(History!F66),History!F66,"")</f>
        <v/>
      </c>
      <c r="G6" s="158">
        <f>IF(ISNUMBER(History!G66),History!G66,"")</f>
        <v/>
      </c>
      <c r="H6" s="158">
        <f>IF(ISNUMBER(History!H66),History!H66,"")</f>
        <v/>
      </c>
      <c r="I6" s="158">
        <f>IF(ISNUMBER(History!I66),History!I66,"")</f>
        <v/>
      </c>
      <c r="J6" s="158">
        <f>IF(ISNUMBER(History!J66),History!J66,"")</f>
        <v/>
      </c>
      <c r="K6" s="158">
        <f>IF(ISNUMBER(History!K66),History!K66,"")</f>
        <v/>
      </c>
      <c r="L6" s="158">
        <f>IF(ISNUMBER(History!L66),History!L66,"")</f>
        <v/>
      </c>
      <c r="M6" s="158">
        <f>IF(ISNUMBER(History!M66),History!M66,"")</f>
        <v/>
      </c>
      <c r="N6" s="158">
        <f>IF(ISNUMBER(History!N66),History!N66,"")</f>
        <v/>
      </c>
      <c r="O6" s="158">
        <f>IF(ISNUMBER(History!O66),History!O66,"")</f>
        <v/>
      </c>
      <c r="P6" s="158">
        <f>IF(ISNUMBER(History!P66),History!P66,"")</f>
        <v/>
      </c>
      <c r="Q6" s="158">
        <f>IF(ISNUMBER(History!Q66),History!Q66,"")</f>
        <v/>
      </c>
      <c r="R6" s="158">
        <f>IF(ISNUMBER(History!R66),History!R66,"")</f>
        <v/>
      </c>
      <c r="S6" s="158">
        <f>IF(ISNUMBER(History!S66),History!S66,"")</f>
        <v/>
      </c>
      <c r="T6" s="156" t="inlineStr">
        <is>
          <t>2012-2023</t>
        </is>
      </c>
      <c r="U6" s="156" t="inlineStr">
        <is>
          <t>Calculated in this workbook from the rows named in the definition</t>
        </is>
      </c>
      <c r="V6" s="156" t="inlineStr"/>
    </row>
    <row r="7">
      <c r="A7" s="156" t="inlineStr">
        <is>
          <t>Mining</t>
        </is>
      </c>
      <c r="B7" s="157" t="inlineStr">
        <is>
          <t>million L/year</t>
        </is>
      </c>
      <c r="C7" s="157" t="inlineStr">
        <is>
          <t>Observation, then estimate</t>
        </is>
      </c>
      <c r="D7" s="158" t="n"/>
      <c r="E7" s="156" t="inlineStr">
        <is>
          <t>Energy balance to 2021; from 2022 the indicative figure on Sector history. Driver: mining production index.</t>
        </is>
      </c>
      <c r="F7" s="158">
        <f>IF(ISNUMBER('Sector history'!F6),'Sector history'!F6,IF(ISNUMBER('Sector history'!F9),'Sector history'!F9,""))</f>
        <v/>
      </c>
      <c r="G7" s="158">
        <f>IF(ISNUMBER('Sector history'!G6),'Sector history'!G6,IF(ISNUMBER('Sector history'!G9),'Sector history'!G9,""))</f>
        <v/>
      </c>
      <c r="H7" s="158">
        <f>IF(ISNUMBER('Sector history'!H6),'Sector history'!H6,IF(ISNUMBER('Sector history'!H9),'Sector history'!H9,""))</f>
        <v/>
      </c>
      <c r="I7" s="158">
        <f>IF(ISNUMBER('Sector history'!I6),'Sector history'!I6,IF(ISNUMBER('Sector history'!I9),'Sector history'!I9,""))</f>
        <v/>
      </c>
      <c r="J7" s="158">
        <f>IF(ISNUMBER('Sector history'!J6),'Sector history'!J6,IF(ISNUMBER('Sector history'!J9),'Sector history'!J9,""))</f>
        <v/>
      </c>
      <c r="K7" s="158">
        <f>IF(ISNUMBER('Sector history'!K6),'Sector history'!K6,IF(ISNUMBER('Sector history'!K9),'Sector history'!K9,""))</f>
        <v/>
      </c>
      <c r="L7" s="158">
        <f>IF(ISNUMBER('Sector history'!L6),'Sector history'!L6,IF(ISNUMBER('Sector history'!L9),'Sector history'!L9,""))</f>
        <v/>
      </c>
      <c r="M7" s="158">
        <f>IF(ISNUMBER('Sector history'!M6),'Sector history'!M6,IF(ISNUMBER('Sector history'!M9),'Sector history'!M9,""))</f>
        <v/>
      </c>
      <c r="N7" s="158">
        <f>IF(ISNUMBER('Sector history'!N6),'Sector history'!N6,IF(ISNUMBER('Sector history'!N9),'Sector history'!N9,""))</f>
        <v/>
      </c>
      <c r="O7" s="158">
        <f>IF(ISNUMBER('Sector history'!O6),'Sector history'!O6,IF(ISNUMBER('Sector history'!O9),'Sector history'!O9,""))</f>
        <v/>
      </c>
      <c r="P7" s="158">
        <f>IF(ISNUMBER('Sector history'!P6),'Sector history'!P6,IF(ISNUMBER('Sector history'!P9),'Sector history'!P9,""))</f>
        <v/>
      </c>
      <c r="Q7" s="158">
        <f>IF(ISNUMBER('Sector history'!Q6),'Sector history'!Q6,IF(ISNUMBER('Sector history'!Q9),'Sector history'!Q9,""))</f>
        <v/>
      </c>
      <c r="R7" s="158">
        <f>IF(ISNUMBER('Sector history'!R6),'Sector history'!R6,IF(ISNUMBER('Sector history'!R9),'Sector history'!R9,""))</f>
        <v/>
      </c>
      <c r="S7" s="158">
        <f>IF(ISNUMBER('Sector history'!S6),'Sector history'!S6,IF(ISNUMBER('Sector history'!S9),'Sector history'!S9,""))</f>
        <v/>
      </c>
      <c r="T7" s="156" t="inlineStr">
        <is>
          <t>Observed to 2021; estimated after</t>
        </is>
      </c>
      <c r="U7" s="156" t="inlineStr">
        <is>
          <t>Department energy balances; Stats SA P2041</t>
        </is>
      </c>
      <c r="V7" s="156" t="inlineStr"/>
    </row>
    <row r="8">
      <c r="A8" s="156" t="inlineStr">
        <is>
          <t>Manufacturing and other industry</t>
        </is>
      </c>
      <c r="B8" s="157" t="inlineStr">
        <is>
          <t>million L/year</t>
        </is>
      </c>
      <c r="C8" s="157" t="inlineStr">
        <is>
          <t>Observation, then estimate</t>
        </is>
      </c>
      <c r="D8" s="158" t="n"/>
      <c r="E8" s="156" t="inlineStr">
        <is>
          <t>Energy balance industry less mining and construction to 2021; indicative after. Driver: manufacturing production index.</t>
        </is>
      </c>
      <c r="F8" s="158">
        <f>IF(ISNUMBER('Sector history'!F16),'Sector history'!F16,IF(ISNUMBER('Sector history'!F19),'Sector history'!F19,""))</f>
        <v/>
      </c>
      <c r="G8" s="158">
        <f>IF(ISNUMBER('Sector history'!G16),'Sector history'!G16,IF(ISNUMBER('Sector history'!G19),'Sector history'!G19,""))</f>
        <v/>
      </c>
      <c r="H8" s="158">
        <f>IF(ISNUMBER('Sector history'!H16),'Sector history'!H16,IF(ISNUMBER('Sector history'!H19),'Sector history'!H19,""))</f>
        <v/>
      </c>
      <c r="I8" s="158">
        <f>IF(ISNUMBER('Sector history'!I16),'Sector history'!I16,IF(ISNUMBER('Sector history'!I19),'Sector history'!I19,""))</f>
        <v/>
      </c>
      <c r="J8" s="158">
        <f>IF(ISNUMBER('Sector history'!J16),'Sector history'!J16,IF(ISNUMBER('Sector history'!J19),'Sector history'!J19,""))</f>
        <v/>
      </c>
      <c r="K8" s="158">
        <f>IF(ISNUMBER('Sector history'!K16),'Sector history'!K16,IF(ISNUMBER('Sector history'!K19),'Sector history'!K19,""))</f>
        <v/>
      </c>
      <c r="L8" s="158">
        <f>IF(ISNUMBER('Sector history'!L16),'Sector history'!L16,IF(ISNUMBER('Sector history'!L19),'Sector history'!L19,""))</f>
        <v/>
      </c>
      <c r="M8" s="158">
        <f>IF(ISNUMBER('Sector history'!M16),'Sector history'!M16,IF(ISNUMBER('Sector history'!M19),'Sector history'!M19,""))</f>
        <v/>
      </c>
      <c r="N8" s="158">
        <f>IF(ISNUMBER('Sector history'!N16),'Sector history'!N16,IF(ISNUMBER('Sector history'!N19),'Sector history'!N19,""))</f>
        <v/>
      </c>
      <c r="O8" s="158">
        <f>IF(ISNUMBER('Sector history'!O16),'Sector history'!O16,IF(ISNUMBER('Sector history'!O19),'Sector history'!O19,""))</f>
        <v/>
      </c>
      <c r="P8" s="158">
        <f>IF(ISNUMBER('Sector history'!P16),'Sector history'!P16,IF(ISNUMBER('Sector history'!P19),'Sector history'!P19,""))</f>
        <v/>
      </c>
      <c r="Q8" s="158">
        <f>IF(ISNUMBER('Sector history'!Q16),'Sector history'!Q16,IF(ISNUMBER('Sector history'!Q19),'Sector history'!Q19,""))</f>
        <v/>
      </c>
      <c r="R8" s="158">
        <f>IF(ISNUMBER('Sector history'!R16),'Sector history'!R16,IF(ISNUMBER('Sector history'!R19),'Sector history'!R19,""))</f>
        <v/>
      </c>
      <c r="S8" s="158">
        <f>IF(ISNUMBER('Sector history'!S16),'Sector history'!S16,IF(ISNUMBER('Sector history'!S19),'Sector history'!S19,""))</f>
        <v/>
      </c>
      <c r="T8" s="156" t="inlineStr">
        <is>
          <t>Zero before 2016 in the balance</t>
        </is>
      </c>
      <c r="U8" s="156" t="inlineStr">
        <is>
          <t>Department energy balances; Stats SA P3041.2</t>
        </is>
      </c>
      <c r="V8" s="156" t="inlineStr"/>
    </row>
    <row r="9">
      <c r="A9" s="156" t="inlineStr">
        <is>
          <t>Agriculture</t>
        </is>
      </c>
      <c r="B9" s="157" t="inlineStr">
        <is>
          <t>million L/year</t>
        </is>
      </c>
      <c r="C9" s="157" t="inlineStr">
        <is>
          <t>Observation, then estimate</t>
        </is>
      </c>
      <c r="D9" s="158" t="n"/>
      <c r="E9" s="156" t="inlineStr">
        <is>
          <t>Energy balance to 2021; indicative after. Driver: agricultural real value added.</t>
        </is>
      </c>
      <c r="F9" s="158">
        <f>IF(ISNUMBER('Sector history'!F22),'Sector history'!F22,IF(ISNUMBER('Sector history'!F25),'Sector history'!F25,""))</f>
        <v/>
      </c>
      <c r="G9" s="158">
        <f>IF(ISNUMBER('Sector history'!G22),'Sector history'!G22,IF(ISNUMBER('Sector history'!G25),'Sector history'!G25,""))</f>
        <v/>
      </c>
      <c r="H9" s="158">
        <f>IF(ISNUMBER('Sector history'!H22),'Sector history'!H22,IF(ISNUMBER('Sector history'!H25),'Sector history'!H25,""))</f>
        <v/>
      </c>
      <c r="I9" s="158">
        <f>IF(ISNUMBER('Sector history'!I22),'Sector history'!I22,IF(ISNUMBER('Sector history'!I25),'Sector history'!I25,""))</f>
        <v/>
      </c>
      <c r="J9" s="158">
        <f>IF(ISNUMBER('Sector history'!J22),'Sector history'!J22,IF(ISNUMBER('Sector history'!J25),'Sector history'!J25,""))</f>
        <v/>
      </c>
      <c r="K9" s="158">
        <f>IF(ISNUMBER('Sector history'!K22),'Sector history'!K22,IF(ISNUMBER('Sector history'!K25),'Sector history'!K25,""))</f>
        <v/>
      </c>
      <c r="L9" s="158">
        <f>IF(ISNUMBER('Sector history'!L22),'Sector history'!L22,IF(ISNUMBER('Sector history'!L25),'Sector history'!L25,""))</f>
        <v/>
      </c>
      <c r="M9" s="158">
        <f>IF(ISNUMBER('Sector history'!M22),'Sector history'!M22,IF(ISNUMBER('Sector history'!M25),'Sector history'!M25,""))</f>
        <v/>
      </c>
      <c r="N9" s="158">
        <f>IF(ISNUMBER('Sector history'!N22),'Sector history'!N22,IF(ISNUMBER('Sector history'!N25),'Sector history'!N25,""))</f>
        <v/>
      </c>
      <c r="O9" s="158">
        <f>IF(ISNUMBER('Sector history'!O22),'Sector history'!O22,IF(ISNUMBER('Sector history'!O25),'Sector history'!O25,""))</f>
        <v/>
      </c>
      <c r="P9" s="158">
        <f>IF(ISNUMBER('Sector history'!P22),'Sector history'!P22,IF(ISNUMBER('Sector history'!P25),'Sector history'!P25,""))</f>
        <v/>
      </c>
      <c r="Q9" s="158">
        <f>IF(ISNUMBER('Sector history'!Q22),'Sector history'!Q22,IF(ISNUMBER('Sector history'!Q25),'Sector history'!Q25,""))</f>
        <v/>
      </c>
      <c r="R9" s="158">
        <f>IF(ISNUMBER('Sector history'!R22),'Sector history'!R22,IF(ISNUMBER('Sector history'!R25),'Sector history'!R25,""))</f>
        <v/>
      </c>
      <c r="S9" s="158">
        <f>IF(ISNUMBER('Sector history'!S22),'Sector history'!S22,IF(ISNUMBER('Sector history'!S25),'Sector history'!S25,""))</f>
        <v/>
      </c>
      <c r="T9" s="156" t="inlineStr">
        <is>
          <t>Observed to 2021; estimated after</t>
        </is>
      </c>
      <c r="U9" s="156" t="inlineStr">
        <is>
          <t>Department energy balances; Stats SA P0441</t>
        </is>
      </c>
      <c r="V9" s="156" t="inlineStr"/>
    </row>
    <row r="10">
      <c r="A10" s="152" t="inlineStr">
        <is>
          <t>Diesel power generation, Eskom and independent plants</t>
        </is>
      </c>
      <c r="B10" s="153" t="inlineStr">
        <is>
          <t>GWh</t>
        </is>
      </c>
      <c r="C10" s="153" t="inlineStr">
        <is>
          <t>Source observation</t>
        </is>
      </c>
      <c r="D10" s="166" t="n"/>
      <c r="E10" s="152" t="inlineStr">
        <is>
          <t>Year to 31 March of the following year, shown under the calendar year it mostly covers.</t>
        </is>
      </c>
      <c r="F10" s="166" t="n"/>
      <c r="G10" s="166" t="n"/>
      <c r="H10" s="166" t="n"/>
      <c r="I10" s="166" t="n"/>
      <c r="J10" s="166" t="n"/>
      <c r="K10" s="166" t="n"/>
      <c r="L10" s="166" t="n"/>
      <c r="M10" s="166" t="n"/>
      <c r="N10" s="166" t="n"/>
      <c r="O10" s="166" t="n"/>
      <c r="P10" s="166" t="n">
        <v>4116</v>
      </c>
      <c r="Q10" s="166" t="n">
        <v>5143</v>
      </c>
      <c r="R10" s="166" t="n">
        <v>2838</v>
      </c>
      <c r="S10" s="166" t="n">
        <v>1079</v>
      </c>
      <c r="T10" s="152" t="inlineStr">
        <is>
          <t>2022-2025</t>
        </is>
      </c>
      <c r="U10" s="152" t="inlineStr">
        <is>
          <t>Eskom</t>
        </is>
      </c>
      <c r="V10" s="152" t="inlineStr"/>
    </row>
    <row r="11">
      <c r="A11" s="152" t="inlineStr">
        <is>
          <t>Power generation diesel, energy balance</t>
        </is>
      </c>
      <c r="B11" s="153" t="inlineStr">
        <is>
          <t>million L/year</t>
        </is>
      </c>
      <c r="C11" s="153" t="inlineStr">
        <is>
          <t>Source observation</t>
        </is>
      </c>
      <c r="D11" s="154" t="n"/>
      <c r="E11" s="152" t="inlineStr">
        <is>
          <t>Electricity plants line of the energy balance.</t>
        </is>
      </c>
      <c r="F11" s="154" t="n"/>
      <c r="G11" s="154" t="n">
        <v>1148.5</v>
      </c>
      <c r="H11" s="154" t="n">
        <v>1178.599875</v>
      </c>
      <c r="I11" s="154" t="n">
        <v>1247.8</v>
      </c>
      <c r="J11" s="154" t="n">
        <v>1247.800125</v>
      </c>
      <c r="K11" s="154" t="n">
        <v>10</v>
      </c>
      <c r="L11" s="154" t="n">
        <v>10</v>
      </c>
      <c r="M11" s="154" t="n">
        <v>28.72419140625</v>
      </c>
      <c r="N11" s="154" t="n"/>
      <c r="O11" s="154" t="n"/>
      <c r="P11" s="154" t="n"/>
      <c r="Q11" s="154" t="n"/>
      <c r="R11" s="154" t="n"/>
      <c r="S11" s="154" t="n"/>
      <c r="T11" s="152" t="inlineStr">
        <is>
          <t>2012-2021; near zero from 2017</t>
        </is>
      </c>
      <c r="U11" s="152" t="inlineStr">
        <is>
          <t>Department energy balances</t>
        </is>
      </c>
      <c r="V11" s="152" t="inlineStr"/>
    </row>
    <row r="12">
      <c r="A12" s="156" t="inlineStr">
        <is>
          <t>Power</t>
        </is>
      </c>
      <c r="B12" s="157" t="inlineStr">
        <is>
          <t>million L/year</t>
        </is>
      </c>
      <c r="C12" s="157" t="inlineStr">
        <is>
          <t>Observation, then estimate</t>
        </is>
      </c>
      <c r="D12" s="177" t="n">
        <v>0.31</v>
      </c>
      <c r="E12" s="156" t="inlineStr">
        <is>
          <t>Energy balance to 2021; from 2022 generation times litres per kWh (column D). Driver: turbine output.</t>
        </is>
      </c>
      <c r="F12" s="177">
        <f>IF(ISNUMBER(F10),F10*$D$12,IF(ISNUMBER(F11),F11,""))</f>
        <v/>
      </c>
      <c r="G12" s="177">
        <f>IF(ISNUMBER(G10),G10*$D$12,IF(ISNUMBER(G11),G11,""))</f>
        <v/>
      </c>
      <c r="H12" s="177">
        <f>IF(ISNUMBER(H10),H10*$D$12,IF(ISNUMBER(H11),H11,""))</f>
        <v/>
      </c>
      <c r="I12" s="177">
        <f>IF(ISNUMBER(I10),I10*$D$12,IF(ISNUMBER(I11),I11,""))</f>
        <v/>
      </c>
      <c r="J12" s="177">
        <f>IF(ISNUMBER(J10),J10*$D$12,IF(ISNUMBER(J11),J11,""))</f>
        <v/>
      </c>
      <c r="K12" s="177">
        <f>IF(ISNUMBER(K10),K10*$D$12,IF(ISNUMBER(K11),K11,""))</f>
        <v/>
      </c>
      <c r="L12" s="177">
        <f>IF(ISNUMBER(L10),L10*$D$12,IF(ISNUMBER(L11),L11,""))</f>
        <v/>
      </c>
      <c r="M12" s="177">
        <f>IF(ISNUMBER(M10),M10*$D$12,IF(ISNUMBER(M11),M11,""))</f>
        <v/>
      </c>
      <c r="N12" s="177">
        <f>IF(ISNUMBER(N10),N10*$D$12,IF(ISNUMBER(N11),N11,""))</f>
        <v/>
      </c>
      <c r="O12" s="177">
        <f>IF(ISNUMBER(O10),O10*$D$12,IF(ISNUMBER(O11),O11,""))</f>
        <v/>
      </c>
      <c r="P12" s="177">
        <f>IF(ISNUMBER(P10),P10*$D$12,IF(ISNUMBER(P11),P11,""))</f>
        <v/>
      </c>
      <c r="Q12" s="177">
        <f>IF(ISNUMBER(Q10),Q10*$D$12,IF(ISNUMBER(Q11),Q11,""))</f>
        <v/>
      </c>
      <c r="R12" s="177">
        <f>IF(ISNUMBER(R10),R10*$D$12,IF(ISNUMBER(R11),R11,""))</f>
        <v/>
      </c>
      <c r="S12" s="177">
        <f>IF(ISNUMBER(S10),S10*$D$12,IF(ISNUMBER(S11),S11,""))</f>
        <v/>
      </c>
      <c r="T12" s="156" t="inlineStr">
        <is>
          <t>Estimated from 2022 at 0.31 litres per kWh</t>
        </is>
      </c>
      <c r="U12" s="156" t="inlineStr">
        <is>
          <t>Eskom; parliamentary replies on diesel burn</t>
        </is>
      </c>
      <c r="V12" s="156" t="inlineStr">
        <is>
          <t>0.31 is confirmed by Eskom's reported fuel and generation (DR07 power diesel sheet)</t>
        </is>
      </c>
    </row>
    <row r="14">
      <c r="A14" s="151" t="inlineStr">
        <is>
          <t>2. Road diesel, by difference</t>
        </is>
      </c>
      <c r="B14" s="151" t="n"/>
      <c r="C14" s="151" t="n"/>
      <c r="D14" s="151" t="n"/>
      <c r="E14" s="151" t="n"/>
      <c r="F14" s="151" t="n"/>
      <c r="G14" s="151" t="n"/>
      <c r="H14" s="151" t="n"/>
      <c r="I14" s="151" t="n"/>
      <c r="J14" s="151" t="n"/>
      <c r="K14" s="151" t="n"/>
      <c r="L14" s="151" t="n"/>
      <c r="M14" s="151" t="n"/>
      <c r="N14" s="151" t="n"/>
      <c r="O14" s="151" t="n"/>
      <c r="P14" s="151" t="n"/>
      <c r="Q14" s="151" t="n"/>
      <c r="R14" s="151" t="n"/>
      <c r="S14" s="151" t="n"/>
      <c r="T14" s="151" t="n"/>
      <c r="U14" s="151" t="n"/>
      <c r="V14" s="151" t="n"/>
    </row>
    <row r="15">
      <c r="A15" s="156" t="inlineStr">
        <is>
          <t>Road vehicles and uses not listed above</t>
        </is>
      </c>
      <c r="B15" s="157" t="inlineStr">
        <is>
          <t>million L/year</t>
        </is>
      </c>
      <c r="C15" s="157" t="inlineStr">
        <is>
          <t>Reporting formula</t>
        </is>
      </c>
      <c r="D15" s="158" t="n"/>
      <c r="E15" s="156" t="inlineStr">
        <is>
          <t>Sales less mining, manufacturing, agriculture and power. Includes rail, construction plant, private generators and ships' diesel, which no source separates.</t>
        </is>
      </c>
      <c r="F15" s="158">
        <f>IF(COUNT(F6,F7,F9)&lt;3,"",F6-F7-N(F8)-F9-N(F12))</f>
        <v/>
      </c>
      <c r="G15" s="158">
        <f>IF(COUNT(G6,G7,G9)&lt;3,"",G6-G7-N(G8)-G9-N(G12))</f>
        <v/>
      </c>
      <c r="H15" s="158">
        <f>IF(COUNT(H6,H7,H9)&lt;3,"",H6-H7-N(H8)-H9-N(H12))</f>
        <v/>
      </c>
      <c r="I15" s="158">
        <f>IF(COUNT(I6,I7,I9)&lt;3,"",I6-I7-N(I8)-I9-N(I12))</f>
        <v/>
      </c>
      <c r="J15" s="158">
        <f>IF(COUNT(J6,J7,J9)&lt;3,"",J6-J7-N(J8)-J9-N(J12))</f>
        <v/>
      </c>
      <c r="K15" s="158">
        <f>IF(COUNT(K6,K7,K9)&lt;3,"",K6-K7-N(K8)-K9-N(K12))</f>
        <v/>
      </c>
      <c r="L15" s="158">
        <f>IF(COUNT(L6,L7,L9)&lt;3,"",L6-L7-N(L8)-L9-N(L12))</f>
        <v/>
      </c>
      <c r="M15" s="158">
        <f>IF(COUNT(M6,M7,M9)&lt;3,"",M6-M7-N(M8)-M9-N(M12))</f>
        <v/>
      </c>
      <c r="N15" s="158">
        <f>IF(COUNT(N6,N7,N9)&lt;3,"",N6-N7-N(N8)-N9-N(N12))</f>
        <v/>
      </c>
      <c r="O15" s="158">
        <f>IF(COUNT(O6,O7,O9)&lt;3,"",O6-O7-N(O8)-O9-N(O12))</f>
        <v/>
      </c>
      <c r="P15" s="158">
        <f>IF(COUNT(P6,P7,P9)&lt;3,"",P6-P7-N(P8)-P9-N(P12))</f>
        <v/>
      </c>
      <c r="Q15" s="158">
        <f>IF(COUNT(Q6,Q7,Q9)&lt;3,"",Q6-Q7-N(Q8)-Q9-N(Q12))</f>
        <v/>
      </c>
      <c r="R15" s="158">
        <f>IF(COUNT(R6,R7,R9)&lt;3,"",R6-R7-N(R8)-R9-N(R12))</f>
        <v/>
      </c>
      <c r="S15" s="158">
        <f>IF(COUNT(S6,S7,S9)&lt;3,"",S6-S7-N(S8)-S9-N(S12))</f>
        <v/>
      </c>
      <c r="T15" s="156" t="inlineStr"/>
      <c r="U15" s="156" t="inlineStr">
        <is>
          <t>Calculated in this workbook from the rows named in the definition</t>
        </is>
      </c>
      <c r="V15" s="156" t="inlineStr">
        <is>
          <t>The balance counts mining and farm diesel by buyer, so some of it is burned on public roads</t>
        </is>
      </c>
    </row>
    <row r="17">
      <c r="A17" s="151" t="inlineStr">
        <is>
          <t>3. Road diesel split by vehicle group (approach A: the study's shares held)</t>
        </is>
      </c>
      <c r="B17" s="151" t="n"/>
      <c r="C17" s="151" t="n"/>
      <c r="D17" s="151" t="n"/>
      <c r="E17" s="151" t="n"/>
      <c r="F17" s="151" t="n"/>
      <c r="G17" s="151" t="n"/>
      <c r="H17" s="151" t="n"/>
      <c r="I17" s="151" t="n"/>
      <c r="J17" s="151" t="n"/>
      <c r="K17" s="151" t="n"/>
      <c r="L17" s="151" t="n"/>
      <c r="M17" s="151" t="n"/>
      <c r="N17" s="151" t="n"/>
      <c r="O17" s="151" t="n"/>
      <c r="P17" s="151" t="n"/>
      <c r="Q17" s="151" t="n"/>
      <c r="R17" s="151" t="n"/>
      <c r="S17" s="151" t="n"/>
      <c r="T17" s="151" t="n"/>
      <c r="U17" s="151" t="n"/>
      <c r="V17" s="151" t="n"/>
    </row>
    <row r="18">
      <c r="A18" s="162" t="inlineStr">
        <is>
          <t>Heavy vehicles</t>
        </is>
      </c>
      <c r="B18" s="163" t="inlineStr">
        <is>
          <t>million L/year</t>
        </is>
      </c>
      <c r="C18" s="163" t="inlineStr">
        <is>
          <t>Proposed estimate</t>
        </is>
      </c>
      <c r="D18" s="165" t="n">
        <v>60.53064018906874</v>
      </c>
      <c r="E18" s="162" t="inlineStr">
        <is>
          <t>Road diesel times the group's share in the study (column D, %). Driver: freight activity, road-to-rail shift, electric share of new trucks.</t>
        </is>
      </c>
      <c r="F18" s="165">
        <f>IF(ISNUMBER(F15),F15*$D$18/100,"")</f>
        <v/>
      </c>
      <c r="G18" s="165">
        <f>IF(ISNUMBER(G15),G15*$D$18/100,"")</f>
        <v/>
      </c>
      <c r="H18" s="165">
        <f>IF(ISNUMBER(H15),H15*$D$18/100,"")</f>
        <v/>
      </c>
      <c r="I18" s="165">
        <f>IF(ISNUMBER(I15),I15*$D$18/100,"")</f>
        <v/>
      </c>
      <c r="J18" s="165">
        <f>IF(ISNUMBER(J15),J15*$D$18/100,"")</f>
        <v/>
      </c>
      <c r="K18" s="165">
        <f>IF(ISNUMBER(K15),K15*$D$18/100,"")</f>
        <v/>
      </c>
      <c r="L18" s="165">
        <f>IF(ISNUMBER(L15),L15*$D$18/100,"")</f>
        <v/>
      </c>
      <c r="M18" s="165">
        <f>IF(ISNUMBER(M15),M15*$D$18/100,"")</f>
        <v/>
      </c>
      <c r="N18" s="165">
        <f>IF(ISNUMBER(N15),N15*$D$18/100,"")</f>
        <v/>
      </c>
      <c r="O18" s="165">
        <f>IF(ISNUMBER(O15),O15*$D$18/100,"")</f>
        <v/>
      </c>
      <c r="P18" s="165">
        <f>IF(ISNUMBER(P15),P15*$D$18/100,"")</f>
        <v/>
      </c>
      <c r="Q18" s="165">
        <f>IF(ISNUMBER(Q15),Q15*$D$18/100,"")</f>
        <v/>
      </c>
      <c r="R18" s="165">
        <f>IF(ISNUMBER(R15),R15*$D$18/100,"")</f>
        <v/>
      </c>
      <c r="S18" s="165">
        <f>IF(ISNUMBER(S15),S15*$D$18/100,"")</f>
        <v/>
      </c>
      <c r="T18" s="162" t="inlineStr">
        <is>
          <t>Estimate; shares are for the 2010 fleet</t>
        </is>
      </c>
      <c r="U18" s="162" t="inlineStr">
        <is>
          <t>Stone et al. (2018), vehicles x distance x fuel use by class</t>
        </is>
      </c>
      <c r="V18" s="162" t="inlineStr">
        <is>
          <t>Diesel vehicles have doubled since 2010 while trucks grew about a quarter, so today's heavy share is probably lower</t>
        </is>
      </c>
    </row>
    <row r="19">
      <c r="A19" s="162" t="inlineStr">
        <is>
          <t>Light vehicles</t>
        </is>
      </c>
      <c r="B19" s="163" t="inlineStr">
        <is>
          <t>million L/year</t>
        </is>
      </c>
      <c r="C19" s="163" t="inlineStr">
        <is>
          <t>Proposed estimate</t>
        </is>
      </c>
      <c r="D19" s="165" t="n">
        <v>26.9915704235799</v>
      </c>
      <c r="E19" s="162" t="inlineStr">
        <is>
          <t>Road diesel times the group's share in the study (column D, %). Driver: fleet and distance, electric share of new sales.</t>
        </is>
      </c>
      <c r="F19" s="165">
        <f>IF(ISNUMBER(F15),F15*$D$19/100,"")</f>
        <v/>
      </c>
      <c r="G19" s="165">
        <f>IF(ISNUMBER(G15),G15*$D$19/100,"")</f>
        <v/>
      </c>
      <c r="H19" s="165">
        <f>IF(ISNUMBER(H15),H15*$D$19/100,"")</f>
        <v/>
      </c>
      <c r="I19" s="165">
        <f>IF(ISNUMBER(I15),I15*$D$19/100,"")</f>
        <v/>
      </c>
      <c r="J19" s="165">
        <f>IF(ISNUMBER(J15),J15*$D$19/100,"")</f>
        <v/>
      </c>
      <c r="K19" s="165">
        <f>IF(ISNUMBER(K15),K15*$D$19/100,"")</f>
        <v/>
      </c>
      <c r="L19" s="165">
        <f>IF(ISNUMBER(L15),L15*$D$19/100,"")</f>
        <v/>
      </c>
      <c r="M19" s="165">
        <f>IF(ISNUMBER(M15),M15*$D$19/100,"")</f>
        <v/>
      </c>
      <c r="N19" s="165">
        <f>IF(ISNUMBER(N15),N15*$D$19/100,"")</f>
        <v/>
      </c>
      <c r="O19" s="165">
        <f>IF(ISNUMBER(O15),O15*$D$19/100,"")</f>
        <v/>
      </c>
      <c r="P19" s="165">
        <f>IF(ISNUMBER(P15),P15*$D$19/100,"")</f>
        <v/>
      </c>
      <c r="Q19" s="165">
        <f>IF(ISNUMBER(Q15),Q15*$D$19/100,"")</f>
        <v/>
      </c>
      <c r="R19" s="165">
        <f>IF(ISNUMBER(R15),R15*$D$19/100,"")</f>
        <v/>
      </c>
      <c r="S19" s="165">
        <f>IF(ISNUMBER(S15),S15*$D$19/100,"")</f>
        <v/>
      </c>
      <c r="T19" s="162" t="inlineStr">
        <is>
          <t>Estimate; shares are for the 2010 fleet</t>
        </is>
      </c>
      <c r="U19" s="162" t="inlineStr">
        <is>
          <t>Stone et al. (2018), vehicles x distance x fuel use by class</t>
        </is>
      </c>
      <c r="V19" s="162" t="inlineStr">
        <is>
          <t>Diesel vehicles have doubled since 2010 while trucks grew about a quarter, so today's heavy share is probably lower</t>
        </is>
      </c>
    </row>
    <row r="20">
      <c r="A20" s="162" t="inlineStr">
        <is>
          <t>Passenger vehicles</t>
        </is>
      </c>
      <c r="B20" s="163" t="inlineStr">
        <is>
          <t>million L/year</t>
        </is>
      </c>
      <c r="C20" s="163" t="inlineStr">
        <is>
          <t>Proposed estimate</t>
        </is>
      </c>
      <c r="D20" s="165" t="n">
        <v>12.47778938735136</v>
      </c>
      <c r="E20" s="162" t="inlineStr">
        <is>
          <t>Road diesel times the group's share in the study (column D, %). Driver: fleet and distance, electric share of new sales.</t>
        </is>
      </c>
      <c r="F20" s="165">
        <f>IF(ISNUMBER(F15),F15*$D$20/100,"")</f>
        <v/>
      </c>
      <c r="G20" s="165">
        <f>IF(ISNUMBER(G15),G15*$D$20/100,"")</f>
        <v/>
      </c>
      <c r="H20" s="165">
        <f>IF(ISNUMBER(H15),H15*$D$20/100,"")</f>
        <v/>
      </c>
      <c r="I20" s="165">
        <f>IF(ISNUMBER(I15),I15*$D$20/100,"")</f>
        <v/>
      </c>
      <c r="J20" s="165">
        <f>IF(ISNUMBER(J15),J15*$D$20/100,"")</f>
        <v/>
      </c>
      <c r="K20" s="165">
        <f>IF(ISNUMBER(K15),K15*$D$20/100,"")</f>
        <v/>
      </c>
      <c r="L20" s="165">
        <f>IF(ISNUMBER(L15),L15*$D$20/100,"")</f>
        <v/>
      </c>
      <c r="M20" s="165">
        <f>IF(ISNUMBER(M15),M15*$D$20/100,"")</f>
        <v/>
      </c>
      <c r="N20" s="165">
        <f>IF(ISNUMBER(N15),N15*$D$20/100,"")</f>
        <v/>
      </c>
      <c r="O20" s="165">
        <f>IF(ISNUMBER(O15),O15*$D$20/100,"")</f>
        <v/>
      </c>
      <c r="P20" s="165">
        <f>IF(ISNUMBER(P15),P15*$D$20/100,"")</f>
        <v/>
      </c>
      <c r="Q20" s="165">
        <f>IF(ISNUMBER(Q15),Q15*$D$20/100,"")</f>
        <v/>
      </c>
      <c r="R20" s="165">
        <f>IF(ISNUMBER(R15),R15*$D$20/100,"")</f>
        <v/>
      </c>
      <c r="S20" s="165">
        <f>IF(ISNUMBER(S15),S15*$D$20/100,"")</f>
        <v/>
      </c>
      <c r="T20" s="162" t="inlineStr">
        <is>
          <t>Estimate; shares are for the 2010 fleet</t>
        </is>
      </c>
      <c r="U20" s="162" t="inlineStr">
        <is>
          <t>Stone et al. (2018), vehicles x distance x fuel use by class</t>
        </is>
      </c>
      <c r="V20" s="162" t="inlineStr">
        <is>
          <t>Diesel vehicles have doubled since 2010 while trucks grew about a quarter, so today's heavy share is probably lower</t>
        </is>
      </c>
    </row>
    <row r="22">
      <c r="A22" s="151" t="inlineStr">
        <is>
          <t>3b. Heavy vehicle diesel against road freight carried</t>
        </is>
      </c>
      <c r="B22" s="151" t="n"/>
      <c r="C22" s="151" t="n"/>
      <c r="D22" s="151" t="n"/>
      <c r="E22" s="151" t="n"/>
      <c r="F22" s="151" t="n"/>
      <c r="G22" s="151" t="n"/>
      <c r="H22" s="151" t="n"/>
      <c r="I22" s="151" t="n"/>
      <c r="J22" s="151" t="n"/>
      <c r="K22" s="151" t="n"/>
      <c r="L22" s="151" t="n"/>
      <c r="M22" s="151" t="n"/>
      <c r="N22" s="151" t="n"/>
      <c r="O22" s="151" t="n"/>
      <c r="P22" s="151" t="n"/>
      <c r="Q22" s="151" t="n"/>
      <c r="R22" s="151" t="n"/>
      <c r="S22" s="151" t="n"/>
      <c r="T22" s="151" t="n"/>
      <c r="U22" s="151" t="n"/>
      <c r="V22" s="151" t="n"/>
    </row>
    <row r="23">
      <c r="A23" s="152" t="inlineStr">
        <is>
          <t>Road freight payload</t>
        </is>
      </c>
      <c r="B23" s="153" t="inlineStr">
        <is>
          <t>million tonnes/year</t>
        </is>
      </c>
      <c r="C23" s="153" t="inlineStr">
        <is>
          <t>Source observation</t>
        </is>
      </c>
      <c r="D23" s="154" t="n"/>
      <c r="E23" s="152" t="inlineStr">
        <is>
          <t>Tonnes carried by road, calendar years. Tonnes, not tonne-kilometres.</t>
        </is>
      </c>
      <c r="F23" s="154" t="n">
        <v>707.34</v>
      </c>
      <c r="G23" s="154" t="n">
        <v>718.854</v>
      </c>
      <c r="H23" s="154" t="n">
        <v>770.188</v>
      </c>
      <c r="I23" s="154" t="n">
        <v>739.871</v>
      </c>
      <c r="J23" s="154" t="n">
        <v>767.23</v>
      </c>
      <c r="K23" s="154" t="n">
        <v>845.099</v>
      </c>
      <c r="L23" s="154" t="n">
        <v>921.112</v>
      </c>
      <c r="M23" s="154" t="n">
        <v>895.499</v>
      </c>
      <c r="N23" s="154" t="n">
        <v>789.109</v>
      </c>
      <c r="O23" s="154" t="n">
        <v>860.549</v>
      </c>
      <c r="P23" s="154" t="n">
        <v>1048.547</v>
      </c>
      <c r="Q23" s="154" t="n">
        <v>1060.419</v>
      </c>
      <c r="R23" s="154" t="n">
        <v>979.798</v>
      </c>
      <c r="S23" s="154" t="n">
        <v>975.176</v>
      </c>
      <c r="T23" s="152" t="inlineStr">
        <is>
          <t>2012-2025</t>
        </is>
      </c>
      <c r="U23" s="152" t="inlineStr">
        <is>
          <t>Statistics South Africa P7162</t>
        </is>
      </c>
      <c r="V23" s="152" t="inlineStr"/>
    </row>
    <row r="24">
      <c r="A24" s="156" t="inlineStr">
        <is>
          <t>Heavy vehicle diesel per tonne of road freight</t>
        </is>
      </c>
      <c r="B24" s="157" t="inlineStr">
        <is>
          <t>litres/tonne</t>
        </is>
      </c>
      <c r="C24" s="157" t="inlineStr">
        <is>
          <t>Reporting formula</t>
        </is>
      </c>
      <c r="D24" s="178" t="n"/>
      <c r="E24" s="156" t="inlineStr">
        <is>
          <t>Heavy vehicle diesel divided by road freight payload. This is the link from freight activity to litres: road freight grows or shifts to rail in tonnes, and diesel follows at this intensity.</t>
        </is>
      </c>
      <c r="F24" s="178">
        <f>IF(COUNT(F18,F23)&lt;2,"",F18/F23)</f>
        <v/>
      </c>
      <c r="G24" s="178">
        <f>IF(COUNT(G18,G23)&lt;2,"",G18/G23)</f>
        <v/>
      </c>
      <c r="H24" s="178">
        <f>IF(COUNT(H18,H23)&lt;2,"",H18/H23)</f>
        <v/>
      </c>
      <c r="I24" s="178">
        <f>IF(COUNT(I18,I23)&lt;2,"",I18/I23)</f>
        <v/>
      </c>
      <c r="J24" s="178">
        <f>IF(COUNT(J18,J23)&lt;2,"",J18/J23)</f>
        <v/>
      </c>
      <c r="K24" s="178">
        <f>IF(COUNT(K18,K23)&lt;2,"",K18/K23)</f>
        <v/>
      </c>
      <c r="L24" s="178">
        <f>IF(COUNT(L18,L23)&lt;2,"",L18/L23)</f>
        <v/>
      </c>
      <c r="M24" s="178">
        <f>IF(COUNT(M18,M23)&lt;2,"",M18/M23)</f>
        <v/>
      </c>
      <c r="N24" s="178">
        <f>IF(COUNT(N18,N23)&lt;2,"",N18/N23)</f>
        <v/>
      </c>
      <c r="O24" s="178">
        <f>IF(COUNT(O18,O23)&lt;2,"",O18/O23)</f>
        <v/>
      </c>
      <c r="P24" s="178">
        <f>IF(COUNT(P18,P23)&lt;2,"",P18/P23)</f>
        <v/>
      </c>
      <c r="Q24" s="178">
        <f>IF(COUNT(Q18,Q23)&lt;2,"",Q18/Q23)</f>
        <v/>
      </c>
      <c r="R24" s="178">
        <f>IF(COUNT(R18,R23)&lt;2,"",R18/R23)</f>
        <v/>
      </c>
      <c r="S24" s="178">
        <f>IF(COUNT(S18,S23)&lt;2,"",S18/S23)</f>
        <v/>
      </c>
      <c r="T24" s="156" t="inlineStr"/>
      <c r="U24" s="156" t="inlineStr">
        <is>
          <t>Calculated in this workbook from the rows named in the definition</t>
        </is>
      </c>
      <c r="V24" s="156" t="inlineStr">
        <is>
          <t>A tonne-kilometre series would be better; only 2013 is published (221 bn)</t>
        </is>
      </c>
    </row>
    <row r="26">
      <c r="A26" s="151" t="inlineStr">
        <is>
          <t>4. Checks</t>
        </is>
      </c>
      <c r="B26" s="151" t="n"/>
      <c r="C26" s="151" t="n"/>
      <c r="D26" s="151" t="n"/>
      <c r="E26" s="151" t="n"/>
      <c r="F26" s="151" t="n"/>
      <c r="G26" s="151" t="n"/>
      <c r="H26" s="151" t="n"/>
      <c r="I26" s="151" t="n"/>
      <c r="J26" s="151" t="n"/>
      <c r="K26" s="151" t="n"/>
      <c r="L26" s="151" t="n"/>
      <c r="M26" s="151" t="n"/>
      <c r="N26" s="151" t="n"/>
      <c r="O26" s="151" t="n"/>
      <c r="P26" s="151" t="n"/>
      <c r="Q26" s="151" t="n"/>
      <c r="R26" s="151" t="n"/>
      <c r="S26" s="151" t="n"/>
      <c r="T26" s="151" t="n"/>
      <c r="U26" s="151" t="n"/>
      <c r="V26" s="151" t="n"/>
    </row>
    <row r="27">
      <c r="A27" s="156" t="inlineStr">
        <is>
          <t>Sum of the six branches</t>
        </is>
      </c>
      <c r="B27" s="157" t="inlineStr">
        <is>
          <t>million L/year</t>
        </is>
      </c>
      <c r="C27" s="157" t="inlineStr">
        <is>
          <t>Reporting formula</t>
        </is>
      </c>
      <c r="D27" s="158" t="n"/>
      <c r="E27" s="156" t="inlineStr">
        <is>
          <t>Should equal diesel sales used.</t>
        </is>
      </c>
      <c r="F27" s="158">
        <f>IF(ISNUMBER(F15),F7+N(F8)+F9+N(F12)+F18+F19+F20,"")</f>
        <v/>
      </c>
      <c r="G27" s="158">
        <f>IF(ISNUMBER(G15),G7+N(G8)+G9+N(G12)+G18+G19+G20,"")</f>
        <v/>
      </c>
      <c r="H27" s="158">
        <f>IF(ISNUMBER(H15),H7+N(H8)+H9+N(H12)+H18+H19+H20,"")</f>
        <v/>
      </c>
      <c r="I27" s="158">
        <f>IF(ISNUMBER(I15),I7+N(I8)+I9+N(I12)+I18+I19+I20,"")</f>
        <v/>
      </c>
      <c r="J27" s="158">
        <f>IF(ISNUMBER(J15),J7+N(J8)+J9+N(J12)+J18+J19+J20,"")</f>
        <v/>
      </c>
      <c r="K27" s="158">
        <f>IF(ISNUMBER(K15),K7+N(K8)+K9+N(K12)+K18+K19+K20,"")</f>
        <v/>
      </c>
      <c r="L27" s="158">
        <f>IF(ISNUMBER(L15),L7+N(L8)+L9+N(L12)+L18+L19+L20,"")</f>
        <v/>
      </c>
      <c r="M27" s="158">
        <f>IF(ISNUMBER(M15),M7+N(M8)+M9+N(M12)+M18+M19+M20,"")</f>
        <v/>
      </c>
      <c r="N27" s="158">
        <f>IF(ISNUMBER(N15),N7+N(N8)+N9+N(N12)+N18+N19+N20,"")</f>
        <v/>
      </c>
      <c r="O27" s="158">
        <f>IF(ISNUMBER(O15),O7+N(O8)+O9+N(O12)+O18+O19+O20,"")</f>
        <v/>
      </c>
      <c r="P27" s="158">
        <f>IF(ISNUMBER(P15),P7+N(P8)+P9+N(P12)+P18+P19+P20,"")</f>
        <v/>
      </c>
      <c r="Q27" s="158">
        <f>IF(ISNUMBER(Q15),Q7+N(Q8)+Q9+N(Q12)+Q18+Q19+Q20,"")</f>
        <v/>
      </c>
      <c r="R27" s="158">
        <f>IF(ISNUMBER(R15),R7+N(R8)+R9+N(R12)+R18+R19+R20,"")</f>
        <v/>
      </c>
      <c r="S27" s="158">
        <f>IF(ISNUMBER(S15),S7+N(S8)+S9+N(S12)+S18+S19+S20,"")</f>
        <v/>
      </c>
      <c r="T27" s="156" t="inlineStr"/>
      <c r="U27" s="156" t="inlineStr">
        <is>
          <t>Calculated in this workbook from the rows named in the definition</t>
        </is>
      </c>
      <c r="V27" s="156" t="inlineStr"/>
    </row>
    <row r="28">
      <c r="A28" s="159" t="inlineStr">
        <is>
          <t>Fuel bought by road freight businesses</t>
        </is>
      </c>
      <c r="B28" s="160" t="inlineStr">
        <is>
          <t>million L/year</t>
        </is>
      </c>
      <c r="C28" s="160" t="inlineStr">
        <is>
          <t>Source observation, converted</t>
        </is>
      </c>
      <c r="D28" s="161" t="n"/>
      <c r="E28" s="159" t="inlineStr">
        <is>
          <t>Stats SA rand figure divided by the average inland wholesale diesel price over the survey year (R14.58 and R22.66 a litre). Hire-and-reward operators only; may include some petrol and lubricants.</t>
        </is>
      </c>
      <c r="F28" s="161" t="n"/>
      <c r="G28" s="161" t="n"/>
      <c r="H28" s="161" t="n"/>
      <c r="I28" s="161" t="n"/>
      <c r="J28" s="161" t="n"/>
      <c r="K28" s="161" t="n"/>
      <c r="L28" s="161" t="n"/>
      <c r="M28" s="161" t="n">
        <v>2855.120137544933</v>
      </c>
      <c r="N28" s="161" t="n"/>
      <c r="O28" s="161" t="n"/>
      <c r="P28" s="161" t="n"/>
      <c r="Q28" s="161" t="n">
        <v>3154.341754930314</v>
      </c>
      <c r="R28" s="161" t="n"/>
      <c r="S28" s="161" t="n"/>
      <c r="T28" s="159" t="inlineStr">
        <is>
          <t>2019 and 2023 only</t>
        </is>
      </c>
      <c r="U28" s="159" t="inlineStr">
        <is>
          <t>Stats SA, Transport and storage industry 2023 (Report 71-02-01), Table 20</t>
        </is>
      </c>
      <c r="V28" s="159" t="inlineStr"/>
    </row>
    <row r="29">
      <c r="A29" s="156" t="inlineStr">
        <is>
          <t>Heavy vehicles less the road freight figure</t>
        </is>
      </c>
      <c r="B29" s="157" t="inlineStr">
        <is>
          <t>million L/year</t>
        </is>
      </c>
      <c r="C29" s="157" t="inlineStr">
        <is>
          <t>Reporting formula</t>
        </is>
      </c>
      <c r="D29" s="158" t="n"/>
      <c r="E29" s="156" t="inlineStr">
        <is>
          <t>Should be positive: the survey leaves out trucks run by firms for their own goods.</t>
        </is>
      </c>
      <c r="F29" s="158">
        <f>IF(COUNT(F18,F28)&lt;2,"",F18-F28)</f>
        <v/>
      </c>
      <c r="G29" s="158">
        <f>IF(COUNT(G18,G28)&lt;2,"",G18-G28)</f>
        <v/>
      </c>
      <c r="H29" s="158">
        <f>IF(COUNT(H18,H28)&lt;2,"",H18-H28)</f>
        <v/>
      </c>
      <c r="I29" s="158">
        <f>IF(COUNT(I18,I28)&lt;2,"",I18-I28)</f>
        <v/>
      </c>
      <c r="J29" s="158">
        <f>IF(COUNT(J18,J28)&lt;2,"",J18-J28)</f>
        <v/>
      </c>
      <c r="K29" s="158">
        <f>IF(COUNT(K18,K28)&lt;2,"",K18-K28)</f>
        <v/>
      </c>
      <c r="L29" s="158">
        <f>IF(COUNT(L18,L28)&lt;2,"",L18-L28)</f>
        <v/>
      </c>
      <c r="M29" s="158">
        <f>IF(COUNT(M18,M28)&lt;2,"",M18-M28)</f>
        <v/>
      </c>
      <c r="N29" s="158">
        <f>IF(COUNT(N18,N28)&lt;2,"",N18-N28)</f>
        <v/>
      </c>
      <c r="O29" s="158">
        <f>IF(COUNT(O18,O28)&lt;2,"",O18-O28)</f>
        <v/>
      </c>
      <c r="P29" s="158">
        <f>IF(COUNT(P18,P28)&lt;2,"",P18-P28)</f>
        <v/>
      </c>
      <c r="Q29" s="158">
        <f>IF(COUNT(Q18,Q28)&lt;2,"",Q18-Q28)</f>
        <v/>
      </c>
      <c r="R29" s="158">
        <f>IF(COUNT(R18,R28)&lt;2,"",R18-R28)</f>
        <v/>
      </c>
      <c r="S29" s="158">
        <f>IF(COUNT(S18,S28)&lt;2,"",S18-S28)</f>
        <v/>
      </c>
      <c r="T29" s="156" t="inlineStr"/>
      <c r="U29" s="156" t="inlineStr">
        <is>
          <t>Calculated in this workbook from the rows named in the definition</t>
        </is>
      </c>
      <c r="V29" s="156" t="inlineStr"/>
    </row>
    <row r="30">
      <c r="A30" s="159" t="inlineStr">
        <is>
          <t>Land freight share of diesel in a second study</t>
        </is>
      </c>
      <c r="B30" s="160" t="inlineStr">
        <is>
          <t>% of diesel demand</t>
        </is>
      </c>
      <c r="C30" s="160" t="inlineStr">
        <is>
          <t>Comparison only</t>
        </is>
      </c>
      <c r="D30" s="179" t="n">
        <v>60.5</v>
      </c>
      <c r="E30" s="159" t="inlineStr">
        <is>
          <t>Merven, Hartley and Ahjum (2019): land freight took 60.5% of domestic diesel demand in 2012. Same research group as the vehicle study.</t>
        </is>
      </c>
      <c r="F30" s="179" t="n"/>
      <c r="G30" s="179" t="n"/>
      <c r="H30" s="179" t="n"/>
      <c r="I30" s="179" t="n"/>
      <c r="J30" s="179" t="n"/>
      <c r="K30" s="179" t="n"/>
      <c r="L30" s="179" t="n"/>
      <c r="M30" s="179" t="n"/>
      <c r="N30" s="179" t="n"/>
      <c r="O30" s="179" t="n"/>
      <c r="P30" s="179" t="n"/>
      <c r="Q30" s="179" t="n"/>
      <c r="R30" s="179" t="n"/>
      <c r="S30" s="179" t="n"/>
      <c r="T30" s="159" t="inlineStr"/>
      <c r="U30" s="159" t="inlineStr">
        <is>
          <t>SA-TIED Working Paper 60, p.10</t>
        </is>
      </c>
      <c r="V30" s="159" t="inlineStr"/>
    </row>
    <row r="32">
      <c r="A32" s="151" t="inlineStr">
        <is>
          <t>5. Which classes of the study fall in each group</t>
        </is>
      </c>
      <c r="B32" s="151" t="n"/>
      <c r="C32" s="151" t="n"/>
      <c r="D32" s="151" t="n"/>
      <c r="E32" s="151" t="n"/>
      <c r="F32" s="151" t="n"/>
      <c r="G32" s="151" t="n"/>
      <c r="H32" s="151" t="n"/>
      <c r="I32" s="151" t="n"/>
      <c r="J32" s="151" t="n"/>
      <c r="K32" s="151" t="n"/>
      <c r="L32" s="151" t="n"/>
      <c r="M32" s="151" t="n"/>
      <c r="N32" s="151" t="n"/>
      <c r="O32" s="151" t="n"/>
      <c r="P32" s="151" t="n"/>
      <c r="Q32" s="151" t="n"/>
      <c r="R32" s="151" t="n"/>
      <c r="S32" s="151" t="n"/>
      <c r="T32" s="151" t="n"/>
      <c r="U32" s="151" t="n"/>
      <c r="V32" s="151" t="n"/>
    </row>
    <row r="33">
      <c r="A33" s="159" t="inlineStr">
        <is>
          <t>Heavy vehicles: classes</t>
        </is>
      </c>
      <c r="B33" s="160" t="inlineStr"/>
      <c r="C33" s="160" t="inlineStr">
        <is>
          <t>Note</t>
        </is>
      </c>
      <c r="D33" s="180" t="n">
        <v>4836.490501047</v>
      </c>
      <c r="E33" s="159" t="inlineStr">
        <is>
          <t>Diesel classes counted: HCV1Diesel, HCV2Diesel, HCV3Diesel, HCV4Diesel, HCV5Diesel, HCV6Diesel, HCV7Diesel, HCV8Diesel, HCV9Diesel. Other classes in the group, not diesel: HCV1Gasoline.</t>
        </is>
      </c>
      <c r="F33" s="180" t="n"/>
      <c r="G33" s="180" t="n"/>
      <c r="H33" s="180" t="n"/>
      <c r="I33" s="180" t="n"/>
      <c r="J33" s="180" t="n"/>
      <c r="K33" s="180" t="n"/>
      <c r="L33" s="180" t="n"/>
      <c r="M33" s="180" t="n"/>
      <c r="N33" s="180" t="n"/>
      <c r="O33" s="180" t="n"/>
      <c r="P33" s="180" t="n"/>
      <c r="Q33" s="180" t="n"/>
      <c r="R33" s="180" t="n"/>
      <c r="S33" s="180" t="n"/>
      <c r="T33" s="159" t="inlineStr">
        <is>
          <t>Column D is the group's diesel in the study, million litres, 2010 fleet</t>
        </is>
      </c>
      <c r="U33" s="159" t="inlineStr">
        <is>
          <t>assumptions/2026/reference/vehicle_parameters_stone2018.csv</t>
        </is>
      </c>
      <c r="V33" s="159" t="inlineStr"/>
    </row>
    <row r="34">
      <c r="A34" s="159" t="inlineStr">
        <is>
          <t>Light vehicles: classes</t>
        </is>
      </c>
      <c r="B34" s="160" t="inlineStr"/>
      <c r="C34" s="160" t="inlineStr">
        <is>
          <t>Note</t>
        </is>
      </c>
      <c r="D34" s="180" t="n">
        <v>2156.667657144</v>
      </c>
      <c r="E34" s="159" t="inlineStr">
        <is>
          <t>Diesel classes counted: LCVDiesel. Other classes in the group, not diesel: LCVGasoline.</t>
        </is>
      </c>
      <c r="F34" s="180" t="n"/>
      <c r="G34" s="180" t="n"/>
      <c r="H34" s="180" t="n"/>
      <c r="I34" s="180" t="n"/>
      <c r="J34" s="180" t="n"/>
      <c r="K34" s="180" t="n"/>
      <c r="L34" s="180" t="n"/>
      <c r="M34" s="180" t="n"/>
      <c r="N34" s="180" t="n"/>
      <c r="O34" s="180" t="n"/>
      <c r="P34" s="180" t="n"/>
      <c r="Q34" s="180" t="n"/>
      <c r="R34" s="180" t="n"/>
      <c r="S34" s="180" t="n"/>
      <c r="T34" s="159" t="inlineStr">
        <is>
          <t>Column D is the group's diesel in the study, million litres, 2010 fleet</t>
        </is>
      </c>
      <c r="U34" s="159" t="inlineStr">
        <is>
          <t>assumptions/2026/reference/vehicle_parameters_stone2018.csv</t>
        </is>
      </c>
      <c r="V34" s="159" t="inlineStr"/>
    </row>
    <row r="35">
      <c r="A35" s="159" t="inlineStr">
        <is>
          <t>Passenger vehicles: classes</t>
        </is>
      </c>
      <c r="B35" s="160" t="inlineStr"/>
      <c r="C35" s="160" t="inlineStr">
        <is>
          <t>Note</t>
        </is>
      </c>
      <c r="D35" s="180" t="n">
        <v>996.994409071</v>
      </c>
      <c r="E35" s="159" t="inlineStr">
        <is>
          <t>Diesel classes counted: CarDiesel, CarHybridDiesel, BusDiesel, MBTDiesel, SUVDiesel. Other classes in the group, not diesel: CarElectric, CarGasoline, CarHybridGasoline, MBTGasoline, MotoGasoline, SUVGasoline, SUVHybridGasoline.</t>
        </is>
      </c>
      <c r="F35" s="180" t="n"/>
      <c r="G35" s="180" t="n"/>
      <c r="H35" s="180" t="n"/>
      <c r="I35" s="180" t="n"/>
      <c r="J35" s="180" t="n"/>
      <c r="K35" s="180" t="n"/>
      <c r="L35" s="180" t="n"/>
      <c r="M35" s="180" t="n"/>
      <c r="N35" s="180" t="n"/>
      <c r="O35" s="180" t="n"/>
      <c r="P35" s="180" t="n"/>
      <c r="Q35" s="180" t="n"/>
      <c r="R35" s="180" t="n"/>
      <c r="S35" s="180" t="n"/>
      <c r="T35" s="159" t="inlineStr">
        <is>
          <t>Column D is the group's diesel in the study, million litres, 2010 fleet</t>
        </is>
      </c>
      <c r="U35" s="159" t="inlineStr">
        <is>
          <t>assumptions/2026/reference/vehicle_parameters_stone2018.csv</t>
        </is>
      </c>
      <c r="V35" s="159" t="inlineStr"/>
    </row>
    <row r="36">
      <c r="A36" s="159" t="inlineStr">
        <is>
          <t>Reading the class names</t>
        </is>
      </c>
      <c r="B36" s="160" t="inlineStr"/>
      <c r="C36" s="160" t="inlineStr">
        <is>
          <t>Note</t>
        </is>
      </c>
      <c r="D36" s="161" t="n"/>
      <c r="E36" s="159" t="inlineStr">
        <is>
          <t>Car and SUV are private passenger vehicles; Bus is buses; MBT is minibus taxis; Moto is motorcycles; LCV is light commercial vehicles (bakkies and vans); HCV1 to HCV9 are trucks in nine weight classes, lightest to heaviest.</t>
        </is>
      </c>
      <c r="F36" s="161" t="n"/>
      <c r="G36" s="161" t="n"/>
      <c r="H36" s="161" t="n"/>
      <c r="I36" s="161" t="n"/>
      <c r="J36" s="161" t="n"/>
      <c r="K36" s="161" t="n"/>
      <c r="L36" s="161" t="n"/>
      <c r="M36" s="161" t="n"/>
      <c r="N36" s="161" t="n"/>
      <c r="O36" s="161" t="n"/>
      <c r="P36" s="161" t="n"/>
      <c r="Q36" s="161" t="n"/>
      <c r="R36" s="161" t="n"/>
      <c r="S36" s="161" t="n"/>
      <c r="T36" s="159" t="inlineStr"/>
      <c r="U36" s="159" t="inlineStr">
        <is>
          <t>Described in the definition</t>
        </is>
      </c>
      <c r="V36" s="15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30" customWidth="1" min="12" max="12"/>
    <col width="62" customWidth="1" min="13" max="13"/>
    <col width="44" customWidth="1" min="14" max="14"/>
  </cols>
  <sheetData>
    <row r="1">
      <c r="A1" s="149" t="inlineStr">
        <is>
          <t>Demand by use: who burns the diesel and petrol</t>
        </is>
      </c>
    </row>
    <row r="2">
      <c r="A2" s="1" t="inlineStr">
        <is>
          <t>Billion litres, calendar years. Every number is a formula on the Diesel by use and History sheets. Road diesel is what remains of sales after the four sourced uses, and includes rail, construction and ships' diesel.</t>
        </is>
      </c>
    </row>
    <row r="4">
      <c r="A4" s="168" t="inlineStr">
        <is>
          <t>Use</t>
        </is>
      </c>
      <c r="B4" s="169" t="n">
        <v>2014</v>
      </c>
      <c r="C4" s="169" t="n">
        <v>2015</v>
      </c>
      <c r="D4" s="169" t="n">
        <v>2016</v>
      </c>
      <c r="E4" s="169" t="n">
        <v>2017</v>
      </c>
      <c r="F4" s="169" t="n">
        <v>2018</v>
      </c>
      <c r="G4" s="169" t="n">
        <v>2019</v>
      </c>
      <c r="H4" s="169" t="n">
        <v>2020</v>
      </c>
      <c r="I4" s="169" t="n">
        <v>2021</v>
      </c>
      <c r="J4" s="169" t="n">
        <v>2022</v>
      </c>
      <c r="K4" s="169" t="n">
        <v>2023</v>
      </c>
      <c r="L4" s="168" t="inlineStr">
        <is>
          <t>Basis</t>
        </is>
      </c>
      <c r="M4" s="168" t="inlineStr">
        <is>
          <t>Source</t>
        </is>
      </c>
      <c r="N4" s="168" t="inlineStr">
        <is>
          <t>Note</t>
        </is>
      </c>
    </row>
    <row r="5">
      <c r="A5" s="151" t="inlineStr">
        <is>
          <t>Diesel</t>
        </is>
      </c>
      <c r="B5" s="151" t="n"/>
      <c r="C5" s="151" t="n"/>
      <c r="D5" s="151" t="n"/>
      <c r="E5" s="151" t="n"/>
      <c r="F5" s="151" t="n"/>
      <c r="G5" s="151" t="n"/>
      <c r="H5" s="151" t="n"/>
      <c r="I5" s="151" t="n"/>
      <c r="J5" s="151" t="n"/>
      <c r="K5" s="151" t="n"/>
      <c r="L5" s="151" t="n"/>
      <c r="M5" s="151" t="n"/>
      <c r="N5" s="151" t="n"/>
    </row>
    <row r="6">
      <c r="A6" s="170" t="inlineStr">
        <is>
          <t>Power generation</t>
        </is>
      </c>
      <c r="B6" s="171">
        <f>IF(ISNUMBER('Diesel by use'!H12),'Diesel by use'!H12/1000,"")</f>
        <v/>
      </c>
      <c r="C6" s="171">
        <f>IF(ISNUMBER('Diesel by use'!I12),'Diesel by use'!I12/1000,"")</f>
        <v/>
      </c>
      <c r="D6" s="171">
        <f>IF(ISNUMBER('Diesel by use'!J12),'Diesel by use'!J12/1000,"")</f>
        <v/>
      </c>
      <c r="E6" s="171">
        <f>IF(ISNUMBER('Diesel by use'!K12),'Diesel by use'!K12/1000,"")</f>
        <v/>
      </c>
      <c r="F6" s="171">
        <f>IF(ISNUMBER('Diesel by use'!L12),'Diesel by use'!L12/1000,"")</f>
        <v/>
      </c>
      <c r="G6" s="171">
        <f>IF(ISNUMBER('Diesel by use'!M12),'Diesel by use'!M12/1000,"")</f>
        <v/>
      </c>
      <c r="H6" s="171">
        <f>IF(ISNUMBER('Diesel by use'!N12),'Diesel by use'!N12/1000,"")</f>
        <v/>
      </c>
      <c r="I6" s="171">
        <f>IF(ISNUMBER('Diesel by use'!O12),'Diesel by use'!O12/1000,"")</f>
        <v/>
      </c>
      <c r="J6" s="171">
        <f>IF(ISNUMBER('Diesel by use'!P12),'Diesel by use'!P12/1000,"")</f>
        <v/>
      </c>
      <c r="K6" s="171">
        <f>IF(ISNUMBER('Diesel by use'!Q12),'Diesel by use'!Q12/1000,"")</f>
        <v/>
      </c>
      <c r="L6" s="172" t="inlineStr">
        <is>
          <t>Observed to 2021; estimated from 2022</t>
        </is>
      </c>
      <c r="M6" s="172" t="inlineStr">
        <is>
          <t>Department energy balances to 2021; Eskom generation x 0.31 litres per kWh from 2022</t>
        </is>
      </c>
      <c r="N6" s="172" t="inlineStr">
        <is>
          <t>Eskom and independent diesel turbines. The balance records almost none for 2017-2019 and nothing for 2020-2021; the Eskom generation data held starts in 2022. Eskom's reported litres are on the DR07 power diesel sheet.</t>
        </is>
      </c>
    </row>
    <row r="7">
      <c r="A7" s="170" t="inlineStr">
        <is>
          <t>Mining</t>
        </is>
      </c>
      <c r="B7" s="171">
        <f>IF(ISNUMBER('Diesel by use'!H7),'Diesel by use'!H7/1000,"")</f>
        <v/>
      </c>
      <c r="C7" s="171">
        <f>IF(ISNUMBER('Diesel by use'!I7),'Diesel by use'!I7/1000,"")</f>
        <v/>
      </c>
      <c r="D7" s="171">
        <f>IF(ISNUMBER('Diesel by use'!J7),'Diesel by use'!J7/1000,"")</f>
        <v/>
      </c>
      <c r="E7" s="171">
        <f>IF(ISNUMBER('Diesel by use'!K7),'Diesel by use'!K7/1000,"")</f>
        <v/>
      </c>
      <c r="F7" s="171">
        <f>IF(ISNUMBER('Diesel by use'!L7),'Diesel by use'!L7/1000,"")</f>
        <v/>
      </c>
      <c r="G7" s="171">
        <f>IF(ISNUMBER('Diesel by use'!M7),'Diesel by use'!M7/1000,"")</f>
        <v/>
      </c>
      <c r="H7" s="171">
        <f>IF(ISNUMBER('Diesel by use'!N7),'Diesel by use'!N7/1000,"")</f>
        <v/>
      </c>
      <c r="I7" s="171">
        <f>IF(ISNUMBER('Diesel by use'!O7),'Diesel by use'!O7/1000,"")</f>
        <v/>
      </c>
      <c r="J7" s="171">
        <f>IF(ISNUMBER('Diesel by use'!P7),'Diesel by use'!P7/1000,"")</f>
        <v/>
      </c>
      <c r="K7" s="171">
        <f>IF(ISNUMBER('Diesel by use'!Q7),'Diesel by use'!Q7/1000,"")</f>
        <v/>
      </c>
      <c r="L7" s="172" t="inlineStr">
        <is>
          <t>Observed to 2021; estimated from 2022</t>
        </is>
      </c>
      <c r="M7" s="172" t="inlineStr">
        <is>
          <t>Department energy balances; moved with the Stats SA mining volume index after 2021</t>
        </is>
      </c>
      <c r="N7" s="172" t="inlineStr"/>
    </row>
    <row r="8">
      <c r="A8" s="170" t="inlineStr">
        <is>
          <t>Manufacturing and other industry</t>
        </is>
      </c>
      <c r="B8" s="171">
        <f>IF(ISNUMBER('Diesel by use'!H8),'Diesel by use'!H8/1000,"")</f>
        <v/>
      </c>
      <c r="C8" s="171">
        <f>IF(ISNUMBER('Diesel by use'!I8),'Diesel by use'!I8/1000,"")</f>
        <v/>
      </c>
      <c r="D8" s="171">
        <f>IF(ISNUMBER('Diesel by use'!J8),'Diesel by use'!J8/1000,"")</f>
        <v/>
      </c>
      <c r="E8" s="171">
        <f>IF(ISNUMBER('Diesel by use'!K8),'Diesel by use'!K8/1000,"")</f>
        <v/>
      </c>
      <c r="F8" s="171">
        <f>IF(ISNUMBER('Diesel by use'!L8),'Diesel by use'!L8/1000,"")</f>
        <v/>
      </c>
      <c r="G8" s="171">
        <f>IF(ISNUMBER('Diesel by use'!M8),'Diesel by use'!M8/1000,"")</f>
        <v/>
      </c>
      <c r="H8" s="171">
        <f>IF(ISNUMBER('Diesel by use'!N8),'Diesel by use'!N8/1000,"")</f>
        <v/>
      </c>
      <c r="I8" s="171">
        <f>IF(ISNUMBER('Diesel by use'!O8),'Diesel by use'!O8/1000,"")</f>
        <v/>
      </c>
      <c r="J8" s="171">
        <f>IF(ISNUMBER('Diesel by use'!P8),'Diesel by use'!P8/1000,"")</f>
        <v/>
      </c>
      <c r="K8" s="171">
        <f>IF(ISNUMBER('Diesel by use'!Q8),'Diesel by use'!Q8/1000,"")</f>
        <v/>
      </c>
      <c r="L8" s="172" t="inlineStr">
        <is>
          <t>Observed to 2021; estimated from 2022</t>
        </is>
      </c>
      <c r="M8" s="172" t="inlineStr">
        <is>
          <t>Department energy balances; moved with the Stats SA manufacturing volume index after 2021</t>
        </is>
      </c>
      <c r="N8" s="172" t="inlineStr">
        <is>
          <t>Not reported separately before 2016.</t>
        </is>
      </c>
    </row>
    <row r="9">
      <c r="A9" s="170" t="inlineStr">
        <is>
          <t>Agriculture</t>
        </is>
      </c>
      <c r="B9" s="171">
        <f>IF(ISNUMBER('Diesel by use'!H9),'Diesel by use'!H9/1000,"")</f>
        <v/>
      </c>
      <c r="C9" s="171">
        <f>IF(ISNUMBER('Diesel by use'!I9),'Diesel by use'!I9/1000,"")</f>
        <v/>
      </c>
      <c r="D9" s="171">
        <f>IF(ISNUMBER('Diesel by use'!J9),'Diesel by use'!J9/1000,"")</f>
        <v/>
      </c>
      <c r="E9" s="171">
        <f>IF(ISNUMBER('Diesel by use'!K9),'Diesel by use'!K9/1000,"")</f>
        <v/>
      </c>
      <c r="F9" s="171">
        <f>IF(ISNUMBER('Diesel by use'!L9),'Diesel by use'!L9/1000,"")</f>
        <v/>
      </c>
      <c r="G9" s="171">
        <f>IF(ISNUMBER('Diesel by use'!M9),'Diesel by use'!M9/1000,"")</f>
        <v/>
      </c>
      <c r="H9" s="171">
        <f>IF(ISNUMBER('Diesel by use'!N9),'Diesel by use'!N9/1000,"")</f>
        <v/>
      </c>
      <c r="I9" s="171">
        <f>IF(ISNUMBER('Diesel by use'!O9),'Diesel by use'!O9/1000,"")</f>
        <v/>
      </c>
      <c r="J9" s="171">
        <f>IF(ISNUMBER('Diesel by use'!P9),'Diesel by use'!P9/1000,"")</f>
        <v/>
      </c>
      <c r="K9" s="171">
        <f>IF(ISNUMBER('Diesel by use'!Q9),'Diesel by use'!Q9/1000,"")</f>
        <v/>
      </c>
      <c r="L9" s="172" t="inlineStr">
        <is>
          <t>Observed to 2021; estimated from 2022</t>
        </is>
      </c>
      <c r="M9" s="172" t="inlineStr">
        <is>
          <t>Department energy balances; moved with agricultural real value added after 2021</t>
        </is>
      </c>
      <c r="N9" s="172" t="inlineStr"/>
    </row>
    <row r="10">
      <c r="A10" s="181" t="inlineStr">
        <is>
          <t>Heavy vehicles</t>
        </is>
      </c>
      <c r="B10" s="182">
        <f>IF(ISNUMBER('Diesel by use'!H18),'Diesel by use'!H18/1000,"")</f>
        <v/>
      </c>
      <c r="C10" s="182">
        <f>IF(ISNUMBER('Diesel by use'!I18),'Diesel by use'!I18/1000,"")</f>
        <v/>
      </c>
      <c r="D10" s="182">
        <f>IF(ISNUMBER('Diesel by use'!J18),'Diesel by use'!J18/1000,"")</f>
        <v/>
      </c>
      <c r="E10" s="182">
        <f>IF(ISNUMBER('Diesel by use'!K18),'Diesel by use'!K18/1000,"")</f>
        <v/>
      </c>
      <c r="F10" s="182">
        <f>IF(ISNUMBER('Diesel by use'!L18),'Diesel by use'!L18/1000,"")</f>
        <v/>
      </c>
      <c r="G10" s="182">
        <f>IF(ISNUMBER('Diesel by use'!M18),'Diesel by use'!M18/1000,"")</f>
        <v/>
      </c>
      <c r="H10" s="182">
        <f>IF(ISNUMBER('Diesel by use'!N18),'Diesel by use'!N18/1000,"")</f>
        <v/>
      </c>
      <c r="I10" s="182">
        <f>IF(ISNUMBER('Diesel by use'!O18),'Diesel by use'!O18/1000,"")</f>
        <v/>
      </c>
      <c r="J10" s="182">
        <f>IF(ISNUMBER('Diesel by use'!P18),'Diesel by use'!P18/1000,"")</f>
        <v/>
      </c>
      <c r="K10" s="182">
        <f>IF(ISNUMBER('Diesel by use'!Q18),'Diesel by use'!Q18/1000,"")</f>
        <v/>
      </c>
      <c r="L10" s="183" t="inlineStr">
        <is>
          <t>Estimate</t>
        </is>
      </c>
      <c r="M10" s="183" t="inlineStr">
        <is>
          <t>Road diesel x 60.5%, the share in Stone et al. (2018)</t>
        </is>
      </c>
      <c r="N10" s="183" t="inlineStr">
        <is>
          <t>Trucks and buses. Shares are for the 2010 fleet.</t>
        </is>
      </c>
    </row>
    <row r="11">
      <c r="A11" s="181" t="inlineStr">
        <is>
          <t>Light vehicles</t>
        </is>
      </c>
      <c r="B11" s="182">
        <f>IF(ISNUMBER('Diesel by use'!H19),'Diesel by use'!H19/1000,"")</f>
        <v/>
      </c>
      <c r="C11" s="182">
        <f>IF(ISNUMBER('Diesel by use'!I19),'Diesel by use'!I19/1000,"")</f>
        <v/>
      </c>
      <c r="D11" s="182">
        <f>IF(ISNUMBER('Diesel by use'!J19),'Diesel by use'!J19/1000,"")</f>
        <v/>
      </c>
      <c r="E11" s="182">
        <f>IF(ISNUMBER('Diesel by use'!K19),'Diesel by use'!K19/1000,"")</f>
        <v/>
      </c>
      <c r="F11" s="182">
        <f>IF(ISNUMBER('Diesel by use'!L19),'Diesel by use'!L19/1000,"")</f>
        <v/>
      </c>
      <c r="G11" s="182">
        <f>IF(ISNUMBER('Diesel by use'!M19),'Diesel by use'!M19/1000,"")</f>
        <v/>
      </c>
      <c r="H11" s="182">
        <f>IF(ISNUMBER('Diesel by use'!N19),'Diesel by use'!N19/1000,"")</f>
        <v/>
      </c>
      <c r="I11" s="182">
        <f>IF(ISNUMBER('Diesel by use'!O19),'Diesel by use'!O19/1000,"")</f>
        <v/>
      </c>
      <c r="J11" s="182">
        <f>IF(ISNUMBER('Diesel by use'!P19),'Diesel by use'!P19/1000,"")</f>
        <v/>
      </c>
      <c r="K11" s="182">
        <f>IF(ISNUMBER('Diesel by use'!Q19),'Diesel by use'!Q19/1000,"")</f>
        <v/>
      </c>
      <c r="L11" s="183" t="inlineStr">
        <is>
          <t>Estimate</t>
        </is>
      </c>
      <c r="M11" s="183" t="inlineStr">
        <is>
          <t>Road diesel x 27.0%, the share in Stone et al. (2018)</t>
        </is>
      </c>
      <c r="N11" s="183" t="inlineStr">
        <is>
          <t>Bakkies and minibuses.</t>
        </is>
      </c>
    </row>
    <row r="12">
      <c r="A12" s="181" t="inlineStr">
        <is>
          <t>Passenger vehicles</t>
        </is>
      </c>
      <c r="B12" s="182">
        <f>IF(ISNUMBER('Diesel by use'!H20),'Diesel by use'!H20/1000,"")</f>
        <v/>
      </c>
      <c r="C12" s="182">
        <f>IF(ISNUMBER('Diesel by use'!I20),'Diesel by use'!I20/1000,"")</f>
        <v/>
      </c>
      <c r="D12" s="182">
        <f>IF(ISNUMBER('Diesel by use'!J20),'Diesel by use'!J20/1000,"")</f>
        <v/>
      </c>
      <c r="E12" s="182">
        <f>IF(ISNUMBER('Diesel by use'!K20),'Diesel by use'!K20/1000,"")</f>
        <v/>
      </c>
      <c r="F12" s="182">
        <f>IF(ISNUMBER('Diesel by use'!L20),'Diesel by use'!L20/1000,"")</f>
        <v/>
      </c>
      <c r="G12" s="182">
        <f>IF(ISNUMBER('Diesel by use'!M20),'Diesel by use'!M20/1000,"")</f>
        <v/>
      </c>
      <c r="H12" s="182">
        <f>IF(ISNUMBER('Diesel by use'!N20),'Diesel by use'!N20/1000,"")</f>
        <v/>
      </c>
      <c r="I12" s="182">
        <f>IF(ISNUMBER('Diesel by use'!O20),'Diesel by use'!O20/1000,"")</f>
        <v/>
      </c>
      <c r="J12" s="182">
        <f>IF(ISNUMBER('Diesel by use'!P20),'Diesel by use'!P20/1000,"")</f>
        <v/>
      </c>
      <c r="K12" s="182">
        <f>IF(ISNUMBER('Diesel by use'!Q20),'Diesel by use'!Q20/1000,"")</f>
        <v/>
      </c>
      <c r="L12" s="183" t="inlineStr">
        <is>
          <t>Estimate</t>
        </is>
      </c>
      <c r="M12" s="183" t="inlineStr">
        <is>
          <t>Road diesel x 12.5%, the share in Stone et al. (2018)</t>
        </is>
      </c>
      <c r="N12" s="183" t="inlineStr">
        <is>
          <t>Cars and SUVs.</t>
        </is>
      </c>
    </row>
    <row r="13">
      <c r="A13" s="173" t="inlineStr">
        <is>
          <t>Diesel sales</t>
        </is>
      </c>
      <c r="B13" s="174">
        <f>IF(COUNT(B6:B12)&lt;6,"",SUM(B6:B12))</f>
        <v/>
      </c>
      <c r="C13" s="174">
        <f>IF(COUNT(C6:C12)&lt;6,"",SUM(C6:C12))</f>
        <v/>
      </c>
      <c r="D13" s="174">
        <f>IF(COUNT(D6:D12)&lt;6,"",SUM(D6:D12))</f>
        <v/>
      </c>
      <c r="E13" s="174">
        <f>IF(COUNT(E6:E12)&lt;6,"",SUM(E6:E12))</f>
        <v/>
      </c>
      <c r="F13" s="174">
        <f>IF(COUNT(F6:F12)&lt;6,"",SUM(F6:F12))</f>
        <v/>
      </c>
      <c r="G13" s="174">
        <f>IF(COUNT(G6:G12)&lt;6,"",SUM(G6:G12))</f>
        <v/>
      </c>
      <c r="H13" s="174">
        <f>IF(COUNT(H6:H12)&lt;6,"",SUM(H6:H12))</f>
        <v/>
      </c>
      <c r="I13" s="174">
        <f>IF(COUNT(I6:I12)&lt;6,"",SUM(I6:I12))</f>
        <v/>
      </c>
      <c r="J13" s="174">
        <f>IF(COUNT(J6:J12)&lt;6,"",SUM(J6:J12))</f>
        <v/>
      </c>
      <c r="K13" s="174">
        <f>IF(COUNT(K6:K12)&lt;6,"",SUM(K6:K12))</f>
        <v/>
      </c>
      <c r="L13" s="175" t="inlineStr">
        <is>
          <t>Sum of the rows above</t>
        </is>
      </c>
      <c r="M13" s="175" t="inlineStr">
        <is>
          <t>Equals department sales (provinces added up; national total for 2023)</t>
        </is>
      </c>
      <c r="N13" s="175" t="inlineStr">
        <is>
          <t>Nothing published after 2023.</t>
        </is>
      </c>
    </row>
    <row r="14">
      <c r="A14" s="176" t="inlineStr">
        <is>
          <t>Road vehicles, share of diesel</t>
        </is>
      </c>
      <c r="B14" s="184">
        <f>IF(ISNUMBER(B13),(B10+B11+B12)/B13,"")</f>
        <v/>
      </c>
      <c r="C14" s="184">
        <f>IF(ISNUMBER(C13),(C10+C11+C12)/C13,"")</f>
        <v/>
      </c>
      <c r="D14" s="184">
        <f>IF(ISNUMBER(D13),(D10+D11+D12)/D13,"")</f>
        <v/>
      </c>
      <c r="E14" s="184">
        <f>IF(ISNUMBER(E13),(E10+E11+E12)/E13,"")</f>
        <v/>
      </c>
      <c r="F14" s="184">
        <f>IF(ISNUMBER(F13),(F10+F11+F12)/F13,"")</f>
        <v/>
      </c>
      <c r="G14" s="184">
        <f>IF(ISNUMBER(G13),(G10+G11+G12)/G13,"")</f>
        <v/>
      </c>
      <c r="H14" s="184">
        <f>IF(ISNUMBER(H13),(H10+H11+H12)/H13,"")</f>
        <v/>
      </c>
      <c r="I14" s="184">
        <f>IF(ISNUMBER(I13),(I10+I11+I12)/I13,"")</f>
        <v/>
      </c>
      <c r="J14" s="184">
        <f>IF(ISNUMBER(J13),(J10+J11+J12)/J13,"")</f>
        <v/>
      </c>
      <c r="K14" s="184">
        <f>IF(ISNUMBER(K13),(K10+K11+K12)/K13,"")</f>
        <v/>
      </c>
      <c r="L14" s="175" t="inlineStr">
        <is>
          <t>Calculated</t>
        </is>
      </c>
      <c r="M14" s="175" t="inlineStr">
        <is>
          <t>Heavy, light and passenger vehicles over diesel sales</t>
        </is>
      </c>
      <c r="N14" s="175" t="inlineStr"/>
    </row>
    <row r="16">
      <c r="A16" s="151" t="inlineStr">
        <is>
          <t>Petrol</t>
        </is>
      </c>
      <c r="B16" s="151" t="n"/>
      <c r="C16" s="151" t="n"/>
      <c r="D16" s="151" t="n"/>
      <c r="E16" s="151" t="n"/>
      <c r="F16" s="151" t="n"/>
      <c r="G16" s="151" t="n"/>
      <c r="H16" s="151" t="n"/>
      <c r="I16" s="151" t="n"/>
      <c r="J16" s="151" t="n"/>
      <c r="K16" s="151" t="n"/>
      <c r="L16" s="151" t="n"/>
      <c r="M16" s="151" t="n"/>
      <c r="N16" s="151" t="n"/>
    </row>
    <row r="17">
      <c r="A17" s="170" t="inlineStr">
        <is>
          <t>Road vehicles</t>
        </is>
      </c>
      <c r="B17" s="171">
        <f>IF(ISNUMBER('History'!H61),'History'!H61/1000,"")</f>
        <v/>
      </c>
      <c r="C17" s="171">
        <f>IF(ISNUMBER('History'!I61),'History'!I61/1000,"")</f>
        <v/>
      </c>
      <c r="D17" s="171">
        <f>IF(ISNUMBER('History'!J61),'History'!J61/1000,"")</f>
        <v/>
      </c>
      <c r="E17" s="171">
        <f>IF(ISNUMBER('History'!K61),'History'!K61/1000,"")</f>
        <v/>
      </c>
      <c r="F17" s="171">
        <f>IF(ISNUMBER('History'!L61),'History'!L61/1000,"")</f>
        <v/>
      </c>
      <c r="G17" s="171">
        <f>IF(ISNUMBER('History'!M61),'History'!M61/1000,"")</f>
        <v/>
      </c>
      <c r="H17" s="171">
        <f>IF(ISNUMBER('History'!N61),'History'!N61/1000,"")</f>
        <v/>
      </c>
      <c r="I17" s="171">
        <f>IF(ISNUMBER('History'!O61),'History'!O61/1000,"")</f>
        <v/>
      </c>
      <c r="J17" s="171">
        <f>IF(ISNUMBER('History'!P61),'History'!P61/1000,"")</f>
        <v/>
      </c>
      <c r="K17" s="171">
        <f>IF(ISNUMBER('History'!Q61),'History'!Q61/1000,"")</f>
        <v/>
      </c>
      <c r="L17" s="172" t="inlineStr">
        <is>
          <t>Observed</t>
        </is>
      </c>
      <c r="M17" s="172" t="inlineStr">
        <is>
          <t>Department sales (provinces added up; national total for 2023)</t>
        </is>
      </c>
      <c r="N17" s="172" t="inlineStr">
        <is>
          <t>No source splits petrol by use; cars and light vehicles burn nearly all of it.</t>
        </is>
      </c>
    </row>
    <row r="18">
      <c r="A18" s="173" t="inlineStr">
        <is>
          <t>Petrol sales</t>
        </is>
      </c>
      <c r="B18" s="174">
        <f>IF(ISNUMBER(B17),B17,"")</f>
        <v/>
      </c>
      <c r="C18" s="174">
        <f>IF(ISNUMBER(C17),C17,"")</f>
        <v/>
      </c>
      <c r="D18" s="174">
        <f>IF(ISNUMBER(D17),D17,"")</f>
        <v/>
      </c>
      <c r="E18" s="174">
        <f>IF(ISNUMBER(E17),E17,"")</f>
        <v/>
      </c>
      <c r="F18" s="174">
        <f>IF(ISNUMBER(F17),F17,"")</f>
        <v/>
      </c>
      <c r="G18" s="174">
        <f>IF(ISNUMBER(G17),G17,"")</f>
        <v/>
      </c>
      <c r="H18" s="174">
        <f>IF(ISNUMBER(H17),H17,"")</f>
        <v/>
      </c>
      <c r="I18" s="174">
        <f>IF(ISNUMBER(I17),I17,"")</f>
        <v/>
      </c>
      <c r="J18" s="174">
        <f>IF(ISNUMBER(J17),J17,"")</f>
        <v/>
      </c>
      <c r="K18" s="174">
        <f>IF(ISNUMBER(K17),K17,"")</f>
        <v/>
      </c>
      <c r="L18" s="175" t="inlineStr">
        <is>
          <t>Sum of the row above</t>
        </is>
      </c>
      <c r="M18" s="175" t="inlineStr">
        <is>
          <t>Equals department sales</t>
        </is>
      </c>
      <c r="N18" s="175" t="inlineStr">
        <is>
          <t>Nothing published after 2023.</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6" customWidth="1" min="3" max="3"/>
    <col width="20" customWidth="1" min="4" max="4"/>
    <col width="24" customWidth="1" min="5" max="5"/>
    <col width="14" customWidth="1" min="6" max="6"/>
    <col width="44" customWidth="1" min="7" max="7"/>
    <col width="12" customWidth="1" min="8" max="8"/>
    <col width="60" customWidth="1" min="9" max="9"/>
  </cols>
  <sheetData>
    <row r="1">
      <c r="A1" s="149" t="inlineStr">
        <is>
          <t>DR04 Routes and access: what the documents establish</t>
        </is>
      </c>
    </row>
    <row r="2">
      <c r="A2" s="1" t="inlineStr">
        <is>
          <t>32 facts read from sources, 3 calculated, 6 not available (yellow). Each row gives its source. Petrol and diesel only: 26 facts that mix in other products are left out. Built from dr04_routes_access_evidence_2026-10-08.csv.</t>
        </is>
      </c>
    </row>
    <row r="4">
      <c r="A4" s="150" t="inlineStr">
        <is>
          <t>Item</t>
        </is>
      </c>
      <c r="B4" s="150" t="inlineStr">
        <is>
          <t>Asset or route</t>
        </is>
      </c>
      <c r="C4" s="150" t="inlineStr">
        <is>
          <t>Value</t>
        </is>
      </c>
      <c r="D4" s="150" t="inlineStr">
        <is>
          <t>Unit</t>
        </is>
      </c>
      <c r="E4" s="150" t="inlineStr">
        <is>
          <t>Period</t>
        </is>
      </c>
      <c r="F4" s="150" t="inlineStr">
        <is>
          <t>Status</t>
        </is>
      </c>
      <c r="G4" s="150" t="inlineStr">
        <is>
          <t>Source</t>
        </is>
      </c>
      <c r="H4" s="150" t="inlineStr">
        <is>
          <t>Page</t>
        </is>
      </c>
      <c r="I4" s="150" t="inlineStr">
        <is>
          <t>Open gap</t>
        </is>
      </c>
    </row>
    <row r="5">
      <c r="A5" s="151" t="inlineStr">
        <is>
          <t>Pipeline limit</t>
        </is>
      </c>
      <c r="B5" s="151" t="n"/>
      <c r="C5" s="151" t="n"/>
      <c r="D5" s="151" t="n"/>
      <c r="E5" s="151" t="n"/>
      <c r="F5" s="151" t="n"/>
      <c r="G5" s="151" t="n"/>
      <c r="H5" s="151" t="n"/>
      <c r="I5" s="151" t="n"/>
    </row>
    <row r="6">
      <c r="A6" s="152" t="inlineStr">
        <is>
          <t>Trunk line capacity</t>
        </is>
      </c>
      <c r="B6" s="152" t="inlineStr">
        <is>
          <t>Durban to Jameson Park, 24-inch multi-product line</t>
        </is>
      </c>
      <c r="C6" s="152" t="inlineStr">
        <is>
          <t>148</t>
        </is>
      </c>
      <c r="D6" s="152" t="inlineStr">
        <is>
          <t>million litres a week</t>
        </is>
      </c>
      <c r="E6" s="152" t="inlineStr">
        <is>
          <t>as stated in 2020</t>
        </is>
      </c>
      <c r="F6" s="152" t="inlineStr">
        <is>
          <t>observed</t>
        </is>
      </c>
      <c r="G6" s="152" t="inlineStr">
        <is>
          <t>Transnet Pipelines 2020 report</t>
        </is>
      </c>
      <c r="H6" s="152" t="inlineStr">
        <is>
          <t>PDF p.3</t>
        </is>
      </c>
      <c r="I6" s="152" t="inlineStr">
        <is>
          <t>Not confirmed as today's capacity; later phases and pump stations may have changed it.</t>
        </is>
      </c>
    </row>
    <row r="7">
      <c r="A7" s="156" t="inlineStr">
        <is>
          <t>Trunk line capacity, annualised</t>
        </is>
      </c>
      <c r="B7" s="156" t="inlineStr">
        <is>
          <t>Durban to Jameson Park, 24-inch multi-product line</t>
        </is>
      </c>
      <c r="C7" s="156" t="inlineStr">
        <is>
          <t>7.70</t>
        </is>
      </c>
      <c r="D7" s="156" t="inlineStr">
        <is>
          <t>billion litres a year</t>
        </is>
      </c>
      <c r="E7" s="156" t="inlineStr">
        <is>
          <t>as stated in 2020</t>
        </is>
      </c>
      <c r="F7" s="156" t="inlineStr">
        <is>
          <t>inferred</t>
        </is>
      </c>
      <c r="G7" s="156" t="inlineStr">
        <is>
          <t>148 million litres a week x 52</t>
        </is>
      </c>
      <c r="H7" s="156" t="inlineStr">
        <is>
          <t>PDF p.3</t>
        </is>
      </c>
      <c r="I7" s="156" t="inlineStr">
        <is>
          <t>Assumes every week at full rate; real annual capacity is lower.</t>
        </is>
      </c>
    </row>
    <row r="8">
      <c r="A8" s="152" t="inlineStr">
        <is>
          <t>Inland accumulation facility</t>
        </is>
      </c>
      <c r="B8" s="152" t="inlineStr">
        <is>
          <t>Jameson Park, Gauteng (Transnet's TM2)</t>
        </is>
      </c>
      <c r="C8" s="152" t="inlineStr">
        <is>
          <t>180</t>
        </is>
      </c>
      <c r="D8" s="152" t="inlineStr">
        <is>
          <t>million litres</t>
        </is>
      </c>
      <c r="E8" s="152" t="inlineStr">
        <is>
          <t>operational since December 2017</t>
        </is>
      </c>
      <c r="F8" s="152" t="inlineStr">
        <is>
          <t>observed</t>
        </is>
      </c>
      <c r="G8" s="152" t="inlineStr">
        <is>
          <t>Transnet Pipelines 2020 report</t>
        </is>
      </c>
      <c r="H8" s="152" t="inlineStr">
        <is>
          <t>PDF p.3</t>
        </is>
      </c>
      <c r="I8" s="152" t="inlineStr">
        <is>
          <t>Working capacity by product not stated.</t>
        </is>
      </c>
    </row>
    <row r="9">
      <c r="A9" s="152" t="inlineStr">
        <is>
          <t>Products carried on the trunk line</t>
        </is>
      </c>
      <c r="B9" s="152" t="inlineStr">
        <is>
          <t>Durban to Jameson Park</t>
        </is>
      </c>
      <c r="C9" s="152" t="inlineStr">
        <is>
          <t>Two diesel grades, two petrol grades, jet fuel</t>
        </is>
      </c>
      <c r="D9" s="152" t="inlineStr"/>
      <c r="E9" s="152" t="inlineStr">
        <is>
          <t>as stated in 2020</t>
        </is>
      </c>
      <c r="F9" s="152" t="inlineStr">
        <is>
          <t>observed</t>
        </is>
      </c>
      <c r="G9" s="152" t="inlineStr">
        <is>
          <t>Transnet Pipelines 2020 report</t>
        </is>
      </c>
      <c r="H9" s="152" t="inlineStr">
        <is>
          <t>PDF p.3</t>
        </is>
      </c>
      <c r="I9" s="152" t="inlineStr"/>
    </row>
    <row r="10">
      <c r="A10" s="152" t="inlineStr">
        <is>
          <t>Old Durban to Johannesburg pipeline</t>
        </is>
      </c>
      <c r="B10" s="152" t="inlineStr">
        <is>
          <t>Durban to Johannesburg (DJP)</t>
        </is>
      </c>
      <c r="C10" s="152" t="inlineStr">
        <is>
          <t>Being decommissioned; completion expected 2021</t>
        </is>
      </c>
      <c r="D10" s="152" t="inlineStr"/>
      <c r="E10" s="152" t="inlineStr">
        <is>
          <t>as stated in 2020</t>
        </is>
      </c>
      <c r="F10" s="152" t="inlineStr">
        <is>
          <t>observed</t>
        </is>
      </c>
      <c r="G10" s="152" t="inlineStr">
        <is>
          <t>Transnet Pipelines 2020 report</t>
        </is>
      </c>
      <c r="H10" s="152" t="inlineStr">
        <is>
          <t>PDF p.3</t>
        </is>
      </c>
      <c r="I10" s="152" t="inlineStr">
        <is>
          <t>Whether decommissioning is complete is not confirmed from a later source.</t>
        </is>
      </c>
    </row>
    <row r="12">
      <c r="A12" s="151" t="inlineStr">
        <is>
          <t>Pipeline cost</t>
        </is>
      </c>
      <c r="B12" s="151" t="n"/>
      <c r="C12" s="151" t="n"/>
      <c r="D12" s="151" t="n"/>
      <c r="E12" s="151" t="n"/>
      <c r="F12" s="151" t="n"/>
      <c r="G12" s="151" t="n"/>
      <c r="H12" s="151" t="n"/>
      <c r="I12" s="151" t="n"/>
    </row>
    <row r="13">
      <c r="A13" s="152" t="inlineStr">
        <is>
          <t>Effect of the tariff decision on the fuel price</t>
        </is>
      </c>
      <c r="B13" s="152" t="inlineStr">
        <is>
          <t>Durban to Johannesburg proxy</t>
        </is>
      </c>
      <c r="C13" s="152" t="inlineStr">
        <is>
          <t>+5.23; +3.80</t>
        </is>
      </c>
      <c r="D13" s="152" t="inlineStr">
        <is>
          <t>cents a litre</t>
        </is>
      </c>
      <c r="E13" s="152" t="inlineStr">
        <is>
          <t>2025/26; 2026/27</t>
        </is>
      </c>
      <c r="F13" s="152" t="inlineStr">
        <is>
          <t>observed</t>
        </is>
      </c>
      <c r="G13" s="152" t="inlineStr">
        <is>
          <t>NERSA media statement, 15 April 2025</t>
        </is>
      </c>
      <c r="H13" s="152" t="inlineStr">
        <is>
          <t>p.1</t>
        </is>
      </c>
      <c r="I13" s="152" t="inlineStr">
        <is>
          <t>This is the change, not the tariff. The tariff by route is in the reasons for decision, not yet obtained.</t>
        </is>
      </c>
    </row>
    <row r="14">
      <c r="A14" s="152" t="inlineStr">
        <is>
          <t>Pipeline tariff, Durban to Alrode</t>
        </is>
      </c>
      <c r="B14" s="152" t="inlineStr">
        <is>
          <t>Durban to Alrode (Johannesburg)</t>
        </is>
      </c>
      <c r="C14" s="152" t="inlineStr">
        <is>
          <t>61.74; 67.99</t>
        </is>
      </c>
      <c r="D14" s="152" t="inlineStr">
        <is>
          <t>cents a litre</t>
        </is>
      </c>
      <c r="E14" s="152" t="inlineStr">
        <is>
          <t>2023/24; 2024/25</t>
        </is>
      </c>
      <c r="F14" s="152" t="inlineStr">
        <is>
          <t>observed</t>
        </is>
      </c>
      <c r="G14" s="152" t="inlineStr">
        <is>
          <t>NERSA statement of 15 March 2024, as quoted by Engineering News</t>
        </is>
      </c>
      <c r="H14" s="152" t="inlineStr"/>
      <c r="I14" s="152" t="inlineStr">
        <is>
          <t>Read from a news report quoting the regulator word for word; NERSA's own statement was not located. A 10.13% increase.</t>
        </is>
      </c>
    </row>
    <row r="15">
      <c r="A15" s="156" t="inlineStr">
        <is>
          <t>Pipeline tariff, Durban to Alrode</t>
        </is>
      </c>
      <c r="B15" s="156" t="inlineStr">
        <is>
          <t>Durban to Alrode (Johannesburg)</t>
        </is>
      </c>
      <c r="C15" s="156" t="inlineStr">
        <is>
          <t>73.22; 77.02</t>
        </is>
      </c>
      <c r="D15" s="156" t="inlineStr">
        <is>
          <t>cents a litre</t>
        </is>
      </c>
      <c r="E15" s="156" t="inlineStr">
        <is>
          <t>2025/26; 2026/27</t>
        </is>
      </c>
      <c r="F15" s="156" t="inlineStr">
        <is>
          <t>inferred</t>
        </is>
      </c>
      <c r="G15" s="156" t="inlineStr">
        <is>
          <t>67.99 plus the increases of 5.23 and 3.80 in NERSA's statement of 15 April 2025</t>
        </is>
      </c>
      <c r="H15" s="156" t="inlineStr">
        <is>
          <t>p.1</t>
        </is>
      </c>
      <c r="I15" s="156" t="inlineStr">
        <is>
          <t>Assumes the stated effect on the fuel price is the change in this tariff, as it was in 2024/25. To confirm in the reasons for decision.</t>
        </is>
      </c>
    </row>
    <row r="16">
      <c r="A16" s="162" t="inlineStr">
        <is>
          <t>Tariff on routes other than Durban to Alrode</t>
        </is>
      </c>
      <c r="B16" s="162" t="inlineStr">
        <is>
          <t>Other inland routes</t>
        </is>
      </c>
      <c r="C16" s="162" t="inlineStr">
        <is>
          <t>Not available</t>
        </is>
      </c>
      <c r="D16" s="162" t="inlineStr">
        <is>
          <t>cents a litre</t>
        </is>
      </c>
      <c r="E16" s="162" t="inlineStr">
        <is>
          <t>2026/27</t>
        </is>
      </c>
      <c r="F16" s="162" t="inlineStr">
        <is>
          <t>not available</t>
        </is>
      </c>
      <c r="G16" s="162" t="inlineStr">
        <is>
          <t>NERSA reasons for decision (not obtained)</t>
        </is>
      </c>
      <c r="H16" s="162" t="inlineStr"/>
      <c r="I16" s="162" t="inlineStr">
        <is>
          <t>Needed to compare destinations other than Gauteng. In NERSA's reasons for decision, not located. Owner: Manish.</t>
        </is>
      </c>
    </row>
    <row r="18">
      <c r="A18" s="151" t="inlineStr">
        <is>
          <t>Delivered cost</t>
        </is>
      </c>
      <c r="B18" s="151" t="n"/>
      <c r="C18" s="151" t="n"/>
      <c r="D18" s="151" t="n"/>
      <c r="E18" s="151" t="n"/>
      <c r="F18" s="151" t="n"/>
      <c r="G18" s="151" t="n"/>
      <c r="H18" s="151" t="n"/>
      <c r="I18" s="151" t="n"/>
    </row>
    <row r="19">
      <c r="A19" s="152" t="inlineStr">
        <is>
          <t>Regulated price difference, inland less coast, diesel wholesale</t>
        </is>
      </c>
      <c r="B19" s="152" t="inlineStr">
        <is>
          <t>Gauteng less coast</t>
        </is>
      </c>
      <c r="C19" s="152" t="inlineStr">
        <is>
          <t>79.0; 83.3; 83.3</t>
        </is>
      </c>
      <c r="D19" s="152" t="inlineStr">
        <is>
          <t>cents a litre</t>
        </is>
      </c>
      <c r="E19" s="152" t="inlineStr">
        <is>
          <t>July 2024; July 2025; November 2025</t>
        </is>
      </c>
      <c r="F19" s="152" t="inlineStr">
        <is>
          <t>observed</t>
        </is>
      </c>
      <c r="G19" s="152" t="inlineStr">
        <is>
          <t>Department of Mineral and Petroleum Resources, regulated fuel prices</t>
        </is>
      </c>
      <c r="H19" s="152" t="inlineStr"/>
      <c r="I19" s="152" t="inlineStr">
        <is>
          <t>The regulated allowance for moving fuel inland, not an operator's actual cost. Coast series held ends November 2025.</t>
        </is>
      </c>
    </row>
    <row r="20">
      <c r="A20" s="152" t="inlineStr">
        <is>
          <t>Regulated transport differential, Gauteng (zone 9C)</t>
        </is>
      </c>
      <c r="B20" s="152" t="inlineStr">
        <is>
          <t>Coast to Gauteng</t>
        </is>
      </c>
      <c r="C20" s="152" t="inlineStr">
        <is>
          <t>33.1; 82.8; 91.1</t>
        </is>
      </c>
      <c r="D20" s="152" t="inlineStr">
        <is>
          <t>cents a litre</t>
        </is>
      </c>
      <c r="E20" s="152" t="inlineStr">
        <is>
          <t>April 2014; April 2024; April 2026</t>
        </is>
      </c>
      <c r="F20" s="152" t="inlineStr">
        <is>
          <t>observed</t>
        </is>
      </c>
      <c r="G20" s="152" t="inlineStr">
        <is>
          <t>Department zone lists (2014, 2024); Central Energy Fund price composition (2026)</t>
        </is>
      </c>
      <c r="H20" s="152" t="inlineStr">
        <is>
          <t>CEF p.3</t>
        </is>
      </c>
      <c r="I20" s="152" t="inlineStr">
        <is>
          <t>The regulated allowance for getting petrol and diesel to Gauteng, which the regulator ties to the pipeline tariff. Not a commercial rate.</t>
        </is>
      </c>
    </row>
    <row r="21">
      <c r="A21" s="152" t="inlineStr">
        <is>
          <t>Regulated transport differential, all zones</t>
        </is>
      </c>
      <c r="B21" s="152" t="inlineStr">
        <is>
          <t>Coast to each of 54 pricing zones</t>
        </is>
      </c>
      <c r="C21" s="152" t="inlineStr">
        <is>
          <t>3.8 to 179.6</t>
        </is>
      </c>
      <c r="D21" s="152" t="inlineStr">
        <is>
          <t>cents a litre</t>
        </is>
      </c>
      <c r="E21" s="152" t="inlineStr">
        <is>
          <t>April 2024</t>
        </is>
      </c>
      <c r="F21" s="152" t="inlineStr">
        <is>
          <t>observed</t>
        </is>
      </c>
      <c r="G21" s="152" t="inlineStr">
        <is>
          <t>Department diesel wholesale price list, effective 3 April 2024</t>
        </is>
      </c>
      <c r="H21" s="152" t="inlineStr">
        <is>
          <t>pp.1-2</t>
        </is>
      </c>
      <c r="I21" s="152" t="inlineStr">
        <is>
          <t>Lowest at the coast (zone 1A), highest in zone 17A. By zone on the DR04 transport cost sheet. The files do not say which mode serves each zone.</t>
        </is>
      </c>
    </row>
    <row r="22">
      <c r="A22" s="156" t="inlineStr">
        <is>
          <t>Regulated transport differential less the pipeline tariff, Gauteng</t>
        </is>
      </c>
      <c r="B22" s="156" t="inlineStr">
        <is>
          <t>Coast to Gauteng</t>
        </is>
      </c>
      <c r="C22" s="156" t="inlineStr">
        <is>
          <t>14.8</t>
        </is>
      </c>
      <c r="D22" s="156" t="inlineStr">
        <is>
          <t>cents a litre</t>
        </is>
      </c>
      <c r="E22" s="156" t="inlineStr">
        <is>
          <t>2024/25</t>
        </is>
      </c>
      <c r="F22" s="156" t="inlineStr">
        <is>
          <t>inferred</t>
        </is>
      </c>
      <c r="G22" s="156" t="inlineStr">
        <is>
          <t>82.8 (zone 9C, April 2024) less 67.99 (Durban to Alrode, 2024/25)</t>
        </is>
      </c>
      <c r="H22" s="156" t="inlineStr"/>
      <c r="I22" s="156" t="inlineStr">
        <is>
          <t>What the rest of the Gauteng differential covers is not established.</t>
        </is>
      </c>
    </row>
    <row r="23">
      <c r="A23" s="152" t="inlineStr">
        <is>
          <t>Regulated secondary distribution (depot to service station by road)</t>
        </is>
      </c>
      <c r="B23" s="152" t="inlineStr">
        <is>
          <t>All zones</t>
        </is>
      </c>
      <c r="C23" s="152" t="inlineStr">
        <is>
          <t>17.2; 19.1</t>
        </is>
      </c>
      <c r="D23" s="152" t="inlineStr">
        <is>
          <t>cents a litre</t>
        </is>
      </c>
      <c r="E23" s="152" t="inlineStr">
        <is>
          <t>April 2024; April 2026</t>
        </is>
      </c>
      <c r="F23" s="152" t="inlineStr">
        <is>
          <t>observed</t>
        </is>
      </c>
      <c r="G23" s="152" t="inlineStr">
        <is>
          <t>Department diesel margins (2024); Central Energy Fund price composition (2026)</t>
        </is>
      </c>
      <c r="H23" s="152" t="inlineStr">
        <is>
          <t>CEF p.3</t>
        </is>
      </c>
      <c r="I23" s="152" t="inlineStr">
        <is>
          <t>The only regulated road delivery element. One national figure; it does not vary by distance.</t>
        </is>
      </c>
    </row>
    <row r="24">
      <c r="A24" s="152" t="inlineStr">
        <is>
          <t>Regulated secondary storage</t>
        </is>
      </c>
      <c r="B24" s="152" t="inlineStr">
        <is>
          <t>All zones</t>
        </is>
      </c>
      <c r="C24" s="152" t="inlineStr">
        <is>
          <t>36.6; 39.0</t>
        </is>
      </c>
      <c r="D24" s="152" t="inlineStr">
        <is>
          <t>cents a litre</t>
        </is>
      </c>
      <c r="E24" s="152" t="inlineStr">
        <is>
          <t>April 2024; April 2026</t>
        </is>
      </c>
      <c r="F24" s="152" t="inlineStr">
        <is>
          <t>observed</t>
        </is>
      </c>
      <c r="G24" s="152" t="inlineStr">
        <is>
          <t>Department diesel margins (2024); Central Energy Fund price composition (2026)</t>
        </is>
      </c>
      <c r="H24" s="152" t="inlineStr">
        <is>
          <t>CEF p.3</t>
        </is>
      </c>
      <c r="I24" s="152" t="inlineStr">
        <is>
          <t>The regulated allowance for depot storage, which is the service a terminal such as Lesedi sells. One national figure.</t>
        </is>
      </c>
    </row>
    <row r="25">
      <c r="A25" s="152" t="inlineStr">
        <is>
          <t>Road against pipeline, as stated by a haulier</t>
        </is>
      </c>
      <c r="B25" s="152" t="inlineStr">
        <is>
          <t>Durban to Gauteng</t>
        </is>
      </c>
      <c r="C25" s="152" t="inlineStr">
        <is>
          <t>Pipeline plus the last stretch by truck costs about a third more than trucking all the way</t>
        </is>
      </c>
      <c r="D25" s="152" t="inlineStr"/>
      <c r="E25" s="152" t="inlineStr">
        <is>
          <t>May 2025</t>
        </is>
      </c>
      <c r="F25" s="152" t="inlineStr">
        <is>
          <t>observed</t>
        </is>
      </c>
      <c r="G25" s="152" t="inlineStr">
        <is>
          <t>Bloomberg, 12 May 2025, quoting the managing director of a fuel haulier</t>
        </is>
      </c>
      <c r="H25" s="152" t="inlineStr"/>
      <c r="I25" s="152" t="inlineStr">
        <is>
          <t>One operator's statement, with no rate given. It implies road is competitive with the pipeline; it is not a measured cost.</t>
        </is>
      </c>
    </row>
    <row r="26">
      <c r="A26" s="162" t="inlineStr">
        <is>
          <t>Commercial road tanker rate, Durban to Gauteng</t>
        </is>
      </c>
      <c r="B26" s="162" t="inlineStr">
        <is>
          <t>Road</t>
        </is>
      </c>
      <c r="C26" s="162" t="inlineStr">
        <is>
          <t>Not available</t>
        </is>
      </c>
      <c r="D26" s="162" t="inlineStr">
        <is>
          <t>cents a litre</t>
        </is>
      </c>
      <c r="E26" s="162" t="inlineStr"/>
      <c r="F26" s="162" t="inlineStr">
        <is>
          <t>not available</t>
        </is>
      </c>
      <c r="G26" s="162" t="inlineStr">
        <is>
          <t>None public</t>
        </is>
      </c>
      <c r="H26" s="162" t="inlineStr"/>
      <c r="I26" s="162" t="inlineStr">
        <is>
          <t>Hauliers' rates are not published. The regulated differentials above are the nearest public figure. Needs Vopak or a haulier quote.</t>
        </is>
      </c>
    </row>
    <row r="27">
      <c r="A27" s="162" t="inlineStr">
        <is>
          <t>Rail rate, Durban to Gauteng</t>
        </is>
      </c>
      <c r="B27" s="162" t="inlineStr">
        <is>
          <t>Rail</t>
        </is>
      </c>
      <c r="C27" s="162" t="inlineStr">
        <is>
          <t>Not available</t>
        </is>
      </c>
      <c r="D27" s="162" t="inlineStr">
        <is>
          <t>cents a litre</t>
        </is>
      </c>
      <c r="E27" s="162" t="inlineStr"/>
      <c r="F27" s="162" t="inlineStr">
        <is>
          <t>not available</t>
        </is>
      </c>
      <c r="G27" s="162" t="inlineStr">
        <is>
          <t>None public</t>
        </is>
      </c>
      <c r="H27" s="162" t="inlineStr"/>
      <c r="I27" s="162" t="inlineStr">
        <is>
          <t>Transnet Freight Rail does not publish rates by commodity, and none was found for fuel. Needs Transnet or Vopak.</t>
        </is>
      </c>
    </row>
    <row r="29">
      <c r="A29" s="151" t="inlineStr">
        <is>
          <t>Port use</t>
        </is>
      </c>
      <c r="B29" s="151" t="n"/>
      <c r="C29" s="151" t="n"/>
      <c r="D29" s="151" t="n"/>
      <c r="E29" s="151" t="n"/>
      <c r="F29" s="151" t="n"/>
      <c r="G29" s="151" t="n"/>
      <c r="H29" s="151" t="n"/>
      <c r="I29" s="151" t="n"/>
    </row>
    <row r="30">
      <c r="A30" s="152" t="inlineStr">
        <is>
          <t>Petrol and diesel imports cleared</t>
        </is>
      </c>
      <c r="B30" s="152" t="inlineStr">
        <is>
          <t>Durban customs office</t>
        </is>
      </c>
      <c r="C30" s="152" t="inlineStr">
        <is>
          <t>11.84; 13.16</t>
        </is>
      </c>
      <c r="D30" s="152" t="inlineStr">
        <is>
          <t>billion litres</t>
        </is>
      </c>
      <c r="E30" s="152" t="inlineStr">
        <is>
          <t>2024; 2025</t>
        </is>
      </c>
      <c r="F30" s="152" t="inlineStr">
        <is>
          <t>observed</t>
        </is>
      </c>
      <c r="G30" s="152" t="inlineStr">
        <is>
          <t>SARS customs, by office</t>
        </is>
      </c>
      <c r="H30" s="152" t="inlineStr"/>
      <c r="I30" s="152" t="inlineStr">
        <is>
          <t>Customs office of clearance: the nearest public record of entry port, not a berth or terminal record.</t>
        </is>
      </c>
    </row>
    <row r="31">
      <c r="A31" s="152" t="inlineStr">
        <is>
          <t>Durban share of petrol and diesel imports</t>
        </is>
      </c>
      <c r="B31" s="152" t="inlineStr">
        <is>
          <t>Durban customs office</t>
        </is>
      </c>
      <c r="C31" s="152" t="inlineStr">
        <is>
          <t>80.0; 78.8</t>
        </is>
      </c>
      <c r="D31" s="152" t="inlineStr">
        <is>
          <t>%</t>
        </is>
      </c>
      <c r="E31" s="152" t="inlineStr">
        <is>
          <t>2024; 2025</t>
        </is>
      </c>
      <c r="F31" s="152" t="inlineStr">
        <is>
          <t>observed</t>
        </is>
      </c>
      <c r="G31" s="152" t="inlineStr">
        <is>
          <t>SARS customs, by office</t>
        </is>
      </c>
      <c r="H31" s="152" t="inlineStr"/>
      <c r="I31" s="152" t="inlineStr"/>
    </row>
    <row r="32">
      <c r="A32" s="152" t="inlineStr">
        <is>
          <t>Petrol and diesel imports cleared</t>
        </is>
      </c>
      <c r="B32" s="152" t="inlineStr">
        <is>
          <t>Richards Bay customs office</t>
        </is>
      </c>
      <c r="C32" s="152" t="inlineStr">
        <is>
          <t>0.39; 0.66</t>
        </is>
      </c>
      <c r="D32" s="152" t="inlineStr">
        <is>
          <t>billion litres</t>
        </is>
      </c>
      <c r="E32" s="152" t="inlineStr">
        <is>
          <t>2024; 2025</t>
        </is>
      </c>
      <c r="F32" s="152" t="inlineStr">
        <is>
          <t>observed</t>
        </is>
      </c>
      <c r="G32" s="152" t="inlineStr">
        <is>
          <t>SARS customs, by office</t>
        </is>
      </c>
      <c r="H32" s="152" t="inlineStr"/>
      <c r="I32" s="152" t="inlineStr"/>
    </row>
    <row r="33">
      <c r="A33" s="152" t="inlineStr">
        <is>
          <t>Petrol and diesel imports cleared</t>
        </is>
      </c>
      <c r="B33" s="152" t="inlineStr">
        <is>
          <t>Cape Town customs office</t>
        </is>
      </c>
      <c r="C33" s="152" t="inlineStr">
        <is>
          <t>1.09; 1.52</t>
        </is>
      </c>
      <c r="D33" s="152" t="inlineStr">
        <is>
          <t>billion litres</t>
        </is>
      </c>
      <c r="E33" s="152" t="inlineStr">
        <is>
          <t>2024; 2025</t>
        </is>
      </c>
      <c r="F33" s="152" t="inlineStr">
        <is>
          <t>observed</t>
        </is>
      </c>
      <c r="G33" s="152" t="inlineStr">
        <is>
          <t>SARS customs, by office</t>
        </is>
      </c>
      <c r="H33" s="152" t="inlineStr"/>
      <c r="I33" s="152" t="inlineStr"/>
    </row>
    <row r="34">
      <c r="A34" s="152" t="inlineStr">
        <is>
          <t>Petrol and diesel imports by road from Mozambique</t>
        </is>
      </c>
      <c r="B34" s="152" t="inlineStr">
        <is>
          <t>Komatipoort customs office</t>
        </is>
      </c>
      <c r="C34" s="152" t="inlineStr">
        <is>
          <t>0.19; 0.09</t>
        </is>
      </c>
      <c r="D34" s="152" t="inlineStr">
        <is>
          <t>billion litres</t>
        </is>
      </c>
      <c r="E34" s="152" t="inlineStr">
        <is>
          <t>2024; 2025</t>
        </is>
      </c>
      <c r="F34" s="152" t="inlineStr">
        <is>
          <t>observed</t>
        </is>
      </c>
      <c r="G34" s="152" t="inlineStr">
        <is>
          <t>SARS customs, by office</t>
        </is>
      </c>
      <c r="H34" s="152" t="inlineStr"/>
      <c r="I34" s="152" t="inlineStr">
        <is>
          <t>The only recorded entry from the Maputo and Matola side.</t>
        </is>
      </c>
    </row>
    <row r="36">
      <c r="A36" s="151" t="inlineStr">
        <is>
          <t>Port limit</t>
        </is>
      </c>
      <c r="B36" s="151" t="n"/>
      <c r="C36" s="151" t="n"/>
      <c r="D36" s="151" t="n"/>
      <c r="E36" s="151" t="n"/>
      <c r="F36" s="151" t="n"/>
      <c r="G36" s="151" t="n"/>
      <c r="H36" s="151" t="n"/>
      <c r="I36" s="151" t="n"/>
    </row>
    <row r="37">
      <c r="A37" s="152" t="inlineStr">
        <is>
          <t>Berths</t>
        </is>
      </c>
      <c r="B37" s="152" t="inlineStr">
        <is>
          <t>Durban</t>
        </is>
      </c>
      <c r="C37" s="152" t="inlineStr">
        <is>
          <t>58 berths, 41 in operation, of which 8 liquid bulk</t>
        </is>
      </c>
      <c r="D37" s="152" t="inlineStr"/>
      <c r="E37" s="152" t="inlineStr">
        <is>
          <t>as on the page, read 8 October 2026</t>
        </is>
      </c>
      <c r="F37" s="152" t="inlineStr">
        <is>
          <t>observed</t>
        </is>
      </c>
      <c r="G37" s="152" t="inlineStr">
        <is>
          <t>Transnet National Ports Authority, Our Ports page</t>
        </is>
      </c>
      <c r="H37" s="152" t="inlineStr">
        <is>
          <t>Port of Durban, Fast Fact</t>
        </is>
      </c>
      <c r="I37" s="152" t="inlineStr">
        <is>
          <t>No capacity in kilolitres is given on the page.</t>
        </is>
      </c>
    </row>
    <row r="38">
      <c r="A38" s="152" t="inlineStr">
        <is>
          <t>Berths</t>
        </is>
      </c>
      <c r="B38" s="152" t="inlineStr">
        <is>
          <t>Richards Bay</t>
        </is>
      </c>
      <c r="C38" s="152" t="inlineStr">
        <is>
          <t>22 berths, of which 2 liquid bulk</t>
        </is>
      </c>
      <c r="D38" s="152" t="inlineStr"/>
      <c r="E38" s="152" t="inlineStr">
        <is>
          <t>as on the page, read 8 October 2026</t>
        </is>
      </c>
      <c r="F38" s="152" t="inlineStr">
        <is>
          <t>observed</t>
        </is>
      </c>
      <c r="G38" s="152" t="inlineStr">
        <is>
          <t>Transnet National Ports Authority, Our Ports page</t>
        </is>
      </c>
      <c r="H38" s="152" t="inlineStr">
        <is>
          <t>Port of Richards Bay, Fast Fact</t>
        </is>
      </c>
      <c r="I38" s="152" t="inlineStr">
        <is>
          <t>No capacity in kilolitres is given on the page.</t>
        </is>
      </c>
    </row>
    <row r="39">
      <c r="A39" s="152" t="inlineStr">
        <is>
          <t>Planned berth changes at Island View</t>
        </is>
      </c>
      <c r="B39" s="152" t="inlineStr">
        <is>
          <t>Durban, Island View</t>
        </is>
      </c>
      <c r="C39" s="152" t="inlineStr">
        <is>
          <t>Berth 1 to be rebuilt (2026); Berth 3 to convert from dry bulk to liquid bulk (2026)</t>
        </is>
      </c>
      <c r="D39" s="152" t="inlineStr"/>
      <c r="E39" s="152" t="inlineStr">
        <is>
          <t>port framework plan 2022-2032</t>
        </is>
      </c>
      <c r="F39" s="152" t="inlineStr">
        <is>
          <t>observed</t>
        </is>
      </c>
      <c r="G39" s="152" t="inlineStr">
        <is>
          <t>Port authority tariff application slides, 2 September 2025</t>
        </is>
      </c>
      <c r="H39" s="152" t="inlineStr">
        <is>
          <t>PDF p.14</t>
        </is>
      </c>
      <c r="I39" s="152" t="inlineStr">
        <is>
          <t>Whether either is delivered is shown only by colour on the slide, which the text does not carry.</t>
        </is>
      </c>
    </row>
    <row r="40">
      <c r="A40" s="152" t="inlineStr">
        <is>
          <t>Planned liquid bulk berth at Richards Bay</t>
        </is>
      </c>
      <c r="B40" s="152" t="inlineStr">
        <is>
          <t>Richards Bay</t>
        </is>
      </c>
      <c r="C40" s="152" t="inlineStr">
        <is>
          <t>New liquid bulk berth 210 (2025); South Dunes liquid bulk development (2024)</t>
        </is>
      </c>
      <c r="D40" s="152" t="inlineStr"/>
      <c r="E40" s="152" t="inlineStr">
        <is>
          <t>port framework plan 2022-2032</t>
        </is>
      </c>
      <c r="F40" s="152" t="inlineStr">
        <is>
          <t>observed</t>
        </is>
      </c>
      <c r="G40" s="152" t="inlineStr">
        <is>
          <t>Port authority tariff application slides, 2 September 2025</t>
        </is>
      </c>
      <c r="H40" s="152" t="inlineStr">
        <is>
          <t>PDF pp.11-12</t>
        </is>
      </c>
      <c r="I40" s="152" t="inlineStr">
        <is>
          <t>Delivery status not readable from the text.</t>
        </is>
      </c>
    </row>
    <row r="42">
      <c r="A42" s="151" t="inlineStr">
        <is>
          <t>Access</t>
        </is>
      </c>
      <c r="B42" s="151" t="n"/>
      <c r="C42" s="151" t="n"/>
      <c r="D42" s="151" t="n"/>
      <c r="E42" s="151" t="n"/>
      <c r="F42" s="151" t="n"/>
      <c r="G42" s="151" t="n"/>
      <c r="H42" s="151" t="n"/>
      <c r="I42" s="151" t="n"/>
    </row>
    <row r="43">
      <c r="A43" s="152" t="inlineStr">
        <is>
          <t>Lesedi connection to the pipeline</t>
        </is>
      </c>
      <c r="B43" s="152" t="inlineStr">
        <is>
          <t>Vopak Lesedi, Jameson Park</t>
        </is>
      </c>
      <c r="C43" s="152" t="inlineStr">
        <is>
          <t>Four pipelines to the Transnet system at Jameson Park; intake from the Transnet pipeline</t>
        </is>
      </c>
      <c r="D43" s="152" t="inlineStr"/>
      <c r="E43" s="152" t="inlineStr">
        <is>
          <t>licence of 26 August 2020</t>
        </is>
      </c>
      <c r="F43" s="152" t="inlineStr">
        <is>
          <t>observed</t>
        </is>
      </c>
      <c r="G43" s="152" t="inlineStr">
        <is>
          <t>NERSA reasons for decision, Vopak licence amendment</t>
        </is>
      </c>
      <c r="H43" s="152" t="inlineStr">
        <is>
          <t>PDF p.6</t>
        </is>
      </c>
      <c r="I43" s="152" t="inlineStr"/>
    </row>
    <row r="44">
      <c r="A44" s="152" t="inlineStr">
        <is>
          <t>Lesedi dispatch</t>
        </is>
      </c>
      <c r="B44" s="152" t="inlineStr">
        <is>
          <t>Vopak Lesedi, Jameson Park</t>
        </is>
      </c>
      <c r="C44" s="152" t="inlineStr">
        <is>
          <t>8</t>
        </is>
      </c>
      <c r="D44" s="152" t="inlineStr">
        <is>
          <t>road loading bays</t>
        </is>
      </c>
      <c r="E44" s="152" t="inlineStr">
        <is>
          <t>2025</t>
        </is>
      </c>
      <c r="F44" s="152" t="inlineStr">
        <is>
          <t>observed</t>
        </is>
      </c>
      <c r="G44" s="152" t="inlineStr">
        <is>
          <t>NERSA reasons for decision, Vopak licence amendment</t>
        </is>
      </c>
      <c r="H44" s="152" t="inlineStr">
        <is>
          <t>PDF p.7</t>
        </is>
      </c>
      <c r="I44" s="152" t="inlineStr">
        <is>
          <t>Dispatch is by road only; no rail or outbound pipeline is mentioned.</t>
        </is>
      </c>
    </row>
    <row r="45">
      <c r="A45" s="152" t="inlineStr">
        <is>
          <t>Lesedi licensed capacity</t>
        </is>
      </c>
      <c r="B45" s="152" t="inlineStr">
        <is>
          <t>Vopak Lesedi, Jameson Park</t>
        </is>
      </c>
      <c r="C45" s="152" t="inlineStr">
        <is>
          <t>100000 rising to 140000</t>
        </is>
      </c>
      <c r="D45" s="152" t="inlineStr">
        <is>
          <t>m3</t>
        </is>
      </c>
      <c r="E45" s="152" t="inlineStr">
        <is>
          <t>2020; after the 2025 expansion</t>
        </is>
      </c>
      <c r="F45" s="152" t="inlineStr">
        <is>
          <t>observed</t>
        </is>
      </c>
      <c r="G45" s="152" t="inlineStr">
        <is>
          <t>NERSA reasons for decision, Vopak licence amendment</t>
        </is>
      </c>
      <c r="H45" s="152" t="inlineStr">
        <is>
          <t>PDF p.6</t>
        </is>
      </c>
      <c r="I45" s="152" t="inlineStr">
        <is>
          <t>Design capacity. Six tanks (three diesel, three petrol) plus two diesel tanks.</t>
        </is>
      </c>
    </row>
    <row r="46">
      <c r="A46" s="152" t="inlineStr">
        <is>
          <t>Who ships to Lesedi</t>
        </is>
      </c>
      <c r="B46" s="152" t="inlineStr">
        <is>
          <t>Durban to Jameson Park</t>
        </is>
      </c>
      <c r="C46" s="152" t="inlineStr">
        <is>
          <t>Lesedi's contracted customers are shippers on the Transnet pipeline from Durban, with one exception</t>
        </is>
      </c>
      <c r="D46" s="152" t="inlineStr"/>
      <c r="E46" s="152" t="inlineStr">
        <is>
          <t>2024/25</t>
        </is>
      </c>
      <c r="F46" s="152" t="inlineStr">
        <is>
          <t>observed</t>
        </is>
      </c>
      <c r="G46" s="152" t="inlineStr">
        <is>
          <t>NERSA reasons for decision, Vopak licence amendment</t>
        </is>
      </c>
      <c r="H46" s="152" t="inlineStr">
        <is>
          <t>PDF p.9</t>
        </is>
      </c>
      <c r="I46" s="152" t="inlineStr">
        <is>
          <t>Customer names are redacted.</t>
        </is>
      </c>
    </row>
    <row r="47">
      <c r="A47" s="152" t="inlineStr">
        <is>
          <t>Durban terminal receipt</t>
        </is>
      </c>
      <c r="B47" s="152" t="inlineStr">
        <is>
          <t>Vopak Terminal Durban, Island View</t>
        </is>
      </c>
      <c r="C47" s="152" t="inlineStr">
        <is>
          <t>By ship (own lines at jetties 1, 2 and 4; industry lines at berths 6, 7 and 8) and by pipeline transfer from neighbouring companies</t>
        </is>
      </c>
      <c r="D47" s="152" t="inlineStr"/>
      <c r="E47" s="152" t="inlineStr">
        <is>
          <t>undated allocation mechanism</t>
        </is>
      </c>
      <c r="F47" s="152" t="inlineStr">
        <is>
          <t>observed</t>
        </is>
      </c>
      <c r="G47" s="152" t="inlineStr">
        <is>
          <t>Vopak Terminal Durban allocation mechanism filed with NERSA</t>
        </is>
      </c>
      <c r="H47" s="152" t="inlineStr">
        <is>
          <t>p.5</t>
        </is>
      </c>
      <c r="I47" s="152" t="inlineStr">
        <is>
          <t>The document is old: it gives 18,091 m3 of petroleum storage, far below today's. Berth access needs confirming with Vopak.</t>
        </is>
      </c>
    </row>
    <row r="48">
      <c r="A48" s="152" t="inlineStr">
        <is>
          <t>Durban terminal dispatch</t>
        </is>
      </c>
      <c r="B48" s="152" t="inlineStr">
        <is>
          <t>Vopak Terminal Durban, Island View</t>
        </is>
      </c>
      <c r="C48" s="152" t="inlineStr">
        <is>
          <t>Mainly road; also ship or barge loading and pipeline transfer</t>
        </is>
      </c>
      <c r="D48" s="152" t="inlineStr"/>
      <c r="E48" s="152" t="inlineStr">
        <is>
          <t>undated allocation mechanism</t>
        </is>
      </c>
      <c r="F48" s="152" t="inlineStr">
        <is>
          <t>observed</t>
        </is>
      </c>
      <c r="G48" s="152" t="inlineStr">
        <is>
          <t>Vopak Terminal Durban allocation mechanism filed with NERSA</t>
        </is>
      </c>
      <c r="H48" s="152" t="inlineStr">
        <is>
          <t>pp.4, 6</t>
        </is>
      </c>
      <c r="I48" s="152" t="inlineStr">
        <is>
          <t>Whether Vopak Durban injects directly into the Transnet trunk line is not stated in this document.</t>
        </is>
      </c>
    </row>
    <row r="49">
      <c r="A49" s="152" t="inlineStr">
        <is>
          <t>Notice periods at Durban</t>
        </is>
      </c>
      <c r="B49" s="152" t="inlineStr">
        <is>
          <t>Vopak Terminal Durban</t>
        </is>
      </c>
      <c r="C49" s="152" t="inlineStr">
        <is>
          <t>Two weeks for a vessel; one week for a pipeline transfer; two days for road loading</t>
        </is>
      </c>
      <c r="D49" s="152" t="inlineStr"/>
      <c r="E49" s="152" t="inlineStr">
        <is>
          <t>undated allocation mechanism</t>
        </is>
      </c>
      <c r="F49" s="152" t="inlineStr">
        <is>
          <t>observed</t>
        </is>
      </c>
      <c r="G49" s="152" t="inlineStr">
        <is>
          <t>Vopak Terminal Durban allocation mechanism filed with NERSA</t>
        </is>
      </c>
      <c r="H49" s="152" t="inlineStr">
        <is>
          <t>p.3</t>
        </is>
      </c>
      <c r="I49" s="152" t="inlineStr">
        <is>
          <t>Old document; confirm with Vopak.</t>
        </is>
      </c>
    </row>
    <row r="51">
      <c r="A51" s="151" t="inlineStr">
        <is>
          <t>Competing routes</t>
        </is>
      </c>
      <c r="B51" s="151" t="n"/>
      <c r="C51" s="151" t="n"/>
      <c r="D51" s="151" t="n"/>
      <c r="E51" s="151" t="n"/>
      <c r="F51" s="151" t="n"/>
      <c r="G51" s="151" t="n"/>
      <c r="H51" s="151" t="n"/>
      <c r="I51" s="151" t="n"/>
    </row>
    <row r="52">
      <c r="A52" s="152" t="inlineStr">
        <is>
          <t>Diesel imported by road from Mozambique</t>
        </is>
      </c>
      <c r="B52" s="152" t="inlineStr">
        <is>
          <t>Maputo and Matola, through Komatipoort</t>
        </is>
      </c>
      <c r="C52" s="152" t="inlineStr">
        <is>
          <t>0.21; 0.21; 0.20; 0.27; 0.25; 0.19; 0.08</t>
        </is>
      </c>
      <c r="D52" s="152" t="inlineStr">
        <is>
          <t>billion litres</t>
        </is>
      </c>
      <c r="E52" s="152" t="inlineStr">
        <is>
          <t>2019; 2020; 2021; 2022; 2023; 2024; 2025</t>
        </is>
      </c>
      <c r="F52" s="152" t="inlineStr">
        <is>
          <t>observed</t>
        </is>
      </c>
      <c r="G52" s="152" t="inlineStr">
        <is>
          <t>SARS customs, by office</t>
        </is>
      </c>
      <c r="H52" s="152" t="inlineStr"/>
      <c r="I52" s="152" t="inlineStr">
        <is>
          <t>Falling since 2022. Diesel and petrol together were 0.5% of petrol and diesel imports in 2025.</t>
        </is>
      </c>
    </row>
    <row r="53">
      <c r="A53" s="152" t="inlineStr">
        <is>
          <t>Petrol imported by road from Mozambique</t>
        </is>
      </c>
      <c r="B53" s="152" t="inlineStr">
        <is>
          <t>Maputo and Matola, through Komatipoort</t>
        </is>
      </c>
      <c r="C53" s="152" t="inlineStr">
        <is>
          <t>0.039; 0.031; 0.039; 0.029; 0.000; 0.001; 0.004</t>
        </is>
      </c>
      <c r="D53" s="152" t="inlineStr">
        <is>
          <t>billion litres</t>
        </is>
      </c>
      <c r="E53" s="152" t="inlineStr">
        <is>
          <t>2019; 2020; 2021; 2022; 2023; 2024; 2025</t>
        </is>
      </c>
      <c r="F53" s="152" t="inlineStr">
        <is>
          <t>observed</t>
        </is>
      </c>
      <c r="G53" s="152" t="inlineStr">
        <is>
          <t>SARS customs, by office</t>
        </is>
      </c>
      <c r="H53" s="152" t="inlineStr"/>
      <c r="I53" s="152" t="inlineStr">
        <is>
          <t>Small and almost nil since 2023.</t>
        </is>
      </c>
    </row>
    <row r="54">
      <c r="A54" s="152" t="inlineStr">
        <is>
          <t>Petrol and diesel imported through Namibian and Botswanan border posts</t>
        </is>
      </c>
      <c r="B54" s="152" t="inlineStr">
        <is>
          <t>Walvis Bay and the Trans-Kalahari road</t>
        </is>
      </c>
      <c r="C54" s="152" t="inlineStr">
        <is>
          <t>0.00 in every year</t>
        </is>
      </c>
      <c r="D54" s="152" t="inlineStr">
        <is>
          <t>billion litres</t>
        </is>
      </c>
      <c r="E54" s="152" t="inlineStr">
        <is>
          <t>2019-2025</t>
        </is>
      </c>
      <c r="F54" s="152" t="inlineStr">
        <is>
          <t>observed</t>
        </is>
      </c>
      <c r="G54" s="152" t="inlineStr">
        <is>
          <t>SARS customs, by office</t>
        </is>
      </c>
      <c r="H54" s="152" t="inlineStr"/>
      <c r="I54" s="152" t="inlineStr">
        <is>
          <t>Nakop (Narogas), Kopfontein, Skilpadshek, Groblersbrug and Ramatlabama record none. The route is not used for supply into South Africa.</t>
        </is>
      </c>
    </row>
    <row r="55">
      <c r="A55" s="152" t="inlineStr">
        <is>
          <t>Diesel and petrol storage planned at Walvis Bay</t>
        </is>
      </c>
      <c r="B55" s="152" t="inlineStr">
        <is>
          <t>Walvis Bay, national fuel storage facility</t>
        </is>
      </c>
      <c r="C55" s="152" t="inlineStr">
        <is>
          <t>45 diesel; 20 petrol</t>
        </is>
      </c>
      <c r="D55" s="152" t="inlineStr">
        <is>
          <t>million litres</t>
        </is>
      </c>
      <c r="E55" s="152" t="inlineStr">
        <is>
          <t>as planned; news item undated</t>
        </is>
      </c>
      <c r="F55" s="152" t="inlineStr">
        <is>
          <t>observed</t>
        </is>
      </c>
      <c r="G55" s="152" t="inlineStr">
        <is>
          <t>Namibian Ports Authority news item</t>
        </is>
      </c>
      <c r="H55" s="152" t="inlineStr"/>
      <c r="I55" s="152" t="inlineStr">
        <is>
          <t>Of 75 million litres in all; the rest is fuel oil and aviation fuel. Built for Namibia's own supply. Current operating capacity not confirmed.</t>
        </is>
      </c>
    </row>
    <row r="56">
      <c r="A56" s="162" t="inlineStr">
        <is>
          <t>Petrol and diesel storage at Matola</t>
        </is>
      </c>
      <c r="B56" s="162" t="inlineStr">
        <is>
          <t>Maputo and Matola terminals</t>
        </is>
      </c>
      <c r="C56" s="162" t="inlineStr">
        <is>
          <t>Not available</t>
        </is>
      </c>
      <c r="D56" s="162" t="inlineStr">
        <is>
          <t>m3</t>
        </is>
      </c>
      <c r="E56" s="162" t="inlineStr"/>
      <c r="F56" s="162" t="inlineStr">
        <is>
          <t>not available</t>
        </is>
      </c>
      <c r="G56" s="162" t="inlineStr">
        <is>
          <t>None for petrol and diesel alone</t>
        </is>
      </c>
      <c r="H56" s="162" t="inlineStr"/>
      <c r="I56" s="162" t="inlineStr">
        <is>
          <t>A 2015 report gives one operator 275,500 m3 in Mozambique, but that includes bitumen, so it is not used. Capacity by product not found.</t>
        </is>
      </c>
    </row>
    <row r="57">
      <c r="A57" s="162" t="inlineStr">
        <is>
          <t>Road rate and border cost, Matola to Gauteng</t>
        </is>
      </c>
      <c r="B57" s="162" t="inlineStr">
        <is>
          <t>Maputo and Matola, through Komatipoort</t>
        </is>
      </c>
      <c r="C57" s="162" t="inlineStr">
        <is>
          <t>Not available</t>
        </is>
      </c>
      <c r="D57" s="162" t="inlineStr">
        <is>
          <t>cents a litre</t>
        </is>
      </c>
      <c r="E57" s="162" t="inlineStr"/>
      <c r="F57" s="162" t="inlineStr">
        <is>
          <t>not available</t>
        </is>
      </c>
      <c r="G57" s="162" t="inlineStr">
        <is>
          <t>None public</t>
        </is>
      </c>
      <c r="H57" s="162" t="inlineStr"/>
      <c r="I57" s="162" t="inlineStr">
        <is>
          <t>Needed for a matched delivered cost. Needs a haulier or Vopak.</t>
        </is>
      </c>
    </row>
    <row r="58">
      <c r="A58" s="162" t="inlineStr">
        <is>
          <t>Petrol and diesel supplied inland by Natref and Secunda</t>
        </is>
      </c>
      <c r="B58" s="162" t="inlineStr">
        <is>
          <t>Sasolburg and Secunda</t>
        </is>
      </c>
      <c r="C58" s="162" t="inlineStr">
        <is>
          <t>Not available</t>
        </is>
      </c>
      <c r="D58" s="162" t="inlineStr">
        <is>
          <t>billion litres</t>
        </is>
      </c>
      <c r="E58" s="162" t="inlineStr"/>
      <c r="F58" s="162" t="inlineStr">
        <is>
          <t>not started</t>
        </is>
      </c>
      <c r="G58" s="162" t="inlineStr">
        <is>
          <t>None found</t>
        </is>
      </c>
      <c r="H58" s="162" t="inlineStr"/>
      <c r="I58" s="162" t="inlineStr">
        <is>
          <t>No production by product after 2021. Belongs with DR08.</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50" customWidth="1" min="15" max="15"/>
    <col width="52" customWidth="1" min="16" max="16"/>
  </cols>
  <sheetData>
    <row r="1">
      <c r="A1" s="149" t="inlineStr">
        <is>
          <t>DR04 Where petrol and diesel imports enter</t>
        </is>
      </c>
    </row>
    <row r="2">
      <c r="A2" s="1" t="inlineStr">
        <is>
          <t>Billion litres, calendar years. Petrol and diesel only. The office is where the fuel was cleared through customs: the nearest public record of the entry point, not a berth or terminal record.</t>
        </is>
      </c>
    </row>
    <row r="4">
      <c r="A4" s="150" t="inlineStr">
        <is>
          <t>Entry point</t>
        </is>
      </c>
      <c r="B4" s="150" t="inlineStr">
        <is>
          <t>Route</t>
        </is>
      </c>
      <c r="C4" s="150" t="n">
        <v>2014</v>
      </c>
      <c r="D4" s="150" t="n">
        <v>2015</v>
      </c>
      <c r="E4" s="150" t="n">
        <v>2016</v>
      </c>
      <c r="F4" s="150" t="n">
        <v>2017</v>
      </c>
      <c r="G4" s="150" t="n">
        <v>2018</v>
      </c>
      <c r="H4" s="150" t="n">
        <v>2019</v>
      </c>
      <c r="I4" s="150" t="n">
        <v>2020</v>
      </c>
      <c r="J4" s="150" t="n">
        <v>2021</v>
      </c>
      <c r="K4" s="150" t="n">
        <v>2022</v>
      </c>
      <c r="L4" s="150" t="n">
        <v>2023</v>
      </c>
      <c r="M4" s="150" t="n">
        <v>2024</v>
      </c>
      <c r="N4" s="150" t="n">
        <v>2025</v>
      </c>
      <c r="O4" s="150" t="inlineStr">
        <is>
          <t>Source</t>
        </is>
      </c>
      <c r="P4" s="150" t="inlineStr">
        <is>
          <t>Note</t>
        </is>
      </c>
    </row>
    <row r="5">
      <c r="A5" s="151" t="inlineStr">
        <is>
          <t>Diesel</t>
        </is>
      </c>
      <c r="B5" s="151" t="n"/>
      <c r="C5" s="151" t="n"/>
      <c r="D5" s="151" t="n"/>
      <c r="E5" s="151" t="n"/>
      <c r="F5" s="151" t="n"/>
      <c r="G5" s="151" t="n"/>
      <c r="H5" s="151" t="n"/>
      <c r="I5" s="151" t="n"/>
      <c r="J5" s="151" t="n"/>
      <c r="K5" s="151" t="n"/>
      <c r="L5" s="151" t="n"/>
      <c r="M5" s="151" t="n"/>
      <c r="N5" s="151" t="n"/>
      <c r="O5" s="151" t="n"/>
      <c r="P5" s="151" t="n"/>
    </row>
    <row r="6">
      <c r="A6" s="170" t="inlineStr">
        <is>
          <t>Durban</t>
        </is>
      </c>
      <c r="B6" s="170" t="inlineStr">
        <is>
          <t>Sea</t>
        </is>
      </c>
      <c r="C6" s="171" t="n">
        <v>3.40129340791</v>
      </c>
      <c r="D6" s="171" t="n">
        <v>4.042700255</v>
      </c>
      <c r="E6" s="171" t="n">
        <v>3.44135703988</v>
      </c>
      <c r="F6" s="171" t="n">
        <v>4.876537276</v>
      </c>
      <c r="G6" s="171" t="n">
        <v>3.98590410655</v>
      </c>
      <c r="H6" s="171" t="n">
        <v>3.80914333</v>
      </c>
      <c r="I6" s="171" t="n">
        <v>3.825937678</v>
      </c>
      <c r="J6" s="171" t="n">
        <v>5.83487318</v>
      </c>
      <c r="K6" s="171" t="n">
        <v>7.88124800634</v>
      </c>
      <c r="L6" s="171" t="n">
        <v>9.125036510419999</v>
      </c>
      <c r="M6" s="171" t="n">
        <v>8.03288993764</v>
      </c>
      <c r="N6" s="171" t="n">
        <v>8.931535440639999</v>
      </c>
      <c r="O6" s="172" t="inlineStr">
        <is>
          <t>SARS customs, imports by office of clearance (fuel_trade_sars_by_office.csv)</t>
        </is>
      </c>
      <c r="P6" s="172" t="inlineStr">
        <is>
          <t>Includes fuel for the inland pipeline and for the coast.</t>
        </is>
      </c>
    </row>
    <row r="7">
      <c r="A7" s="170" t="inlineStr">
        <is>
          <t>Cape Town</t>
        </is>
      </c>
      <c r="B7" s="170" t="inlineStr">
        <is>
          <t>Sea</t>
        </is>
      </c>
      <c r="C7" s="171" t="n">
        <v>0.563485067</v>
      </c>
      <c r="D7" s="171" t="n">
        <v>0.996642134</v>
      </c>
      <c r="E7" s="171" t="n">
        <v>0.214951975</v>
      </c>
      <c r="F7" s="171" t="n">
        <v>0.39464311319</v>
      </c>
      <c r="G7" s="171" t="n">
        <v>0.5131333877200001</v>
      </c>
      <c r="H7" s="171" t="n">
        <v>0.6015612915299999</v>
      </c>
      <c r="I7" s="171" t="n">
        <v>1.842722376</v>
      </c>
      <c r="J7" s="171" t="n">
        <v>2.350715322</v>
      </c>
      <c r="K7" s="171" t="n">
        <v>2.485097027</v>
      </c>
      <c r="L7" s="171" t="n">
        <v>1.387584117</v>
      </c>
      <c r="M7" s="171" t="n">
        <v>0.957476429</v>
      </c>
      <c r="N7" s="171" t="n">
        <v>1.335392185</v>
      </c>
      <c r="O7" s="172" t="inlineStr">
        <is>
          <t>SARS customs, imports by office of clearance (fuel_trade_sars_by_office.csv)</t>
        </is>
      </c>
      <c r="P7" s="172" t="inlineStr"/>
    </row>
    <row r="8">
      <c r="A8" s="170" t="inlineStr">
        <is>
          <t>Mossel Bay</t>
        </is>
      </c>
      <c r="B8" s="170" t="inlineStr">
        <is>
          <t>Sea</t>
        </is>
      </c>
      <c r="C8" s="171" t="n">
        <v>0.770853449</v>
      </c>
      <c r="D8" s="171" t="n">
        <v>0.951908118</v>
      </c>
      <c r="E8" s="171" t="n">
        <v>0.39227171302</v>
      </c>
      <c r="F8" s="171" t="n">
        <v>0.290250522</v>
      </c>
      <c r="G8" s="171" t="n">
        <v>0.138237059</v>
      </c>
      <c r="H8" s="171" t="n">
        <v>0.713752548</v>
      </c>
      <c r="I8" s="171" t="n">
        <v>0.400193929</v>
      </c>
      <c r="J8" s="171" t="n">
        <v>0.674675826</v>
      </c>
      <c r="K8" s="171" t="n">
        <v>0.56689834524</v>
      </c>
      <c r="L8" s="171" t="n">
        <v>1.093150604</v>
      </c>
      <c r="M8" s="171" t="n">
        <v>0.573384652</v>
      </c>
      <c r="N8" s="171" t="n">
        <v>0.521797795</v>
      </c>
      <c r="O8" s="172" t="inlineStr">
        <is>
          <t>SARS customs, imports by office of clearance (fuel_trade_sars_by_office.csv)</t>
        </is>
      </c>
      <c r="P8" s="172" t="inlineStr"/>
    </row>
    <row r="9">
      <c r="A9" s="170" t="inlineStr">
        <is>
          <t>East London</t>
        </is>
      </c>
      <c r="B9" s="170" t="inlineStr">
        <is>
          <t>Sea</t>
        </is>
      </c>
      <c r="C9" s="171" t="n">
        <v>0.059488792</v>
      </c>
      <c r="D9" s="171" t="n">
        <v>0.10177180707</v>
      </c>
      <c r="E9" s="171" t="n">
        <v>0.07380239</v>
      </c>
      <c r="F9" s="171" t="n">
        <v>0.0834004894</v>
      </c>
      <c r="G9" s="171" t="n">
        <v>0.06618653100000001</v>
      </c>
      <c r="H9" s="171" t="n">
        <v>0.07354029300000001</v>
      </c>
      <c r="I9" s="171" t="n">
        <v>0.19997504</v>
      </c>
      <c r="J9" s="171" t="n">
        <v>0.206861973</v>
      </c>
      <c r="K9" s="171" t="n">
        <v>0.189680792</v>
      </c>
      <c r="L9" s="171" t="n">
        <v>0.351388819</v>
      </c>
      <c r="M9" s="171" t="n">
        <v>0.51376771</v>
      </c>
      <c r="N9" s="171" t="n">
        <v>0.403307375</v>
      </c>
      <c r="O9" s="172" t="inlineStr">
        <is>
          <t>SARS customs, imports by office of clearance (fuel_trade_sars_by_office.csv)</t>
        </is>
      </c>
      <c r="P9" s="172" t="inlineStr"/>
    </row>
    <row r="10">
      <c r="A10" s="170" t="inlineStr">
        <is>
          <t>Port Elizabeth</t>
        </is>
      </c>
      <c r="B10" s="170" t="inlineStr">
        <is>
          <t>Sea</t>
        </is>
      </c>
      <c r="C10" s="171" t="n">
        <v>0.045097549</v>
      </c>
      <c r="D10" s="171" t="n">
        <v>0.09579346198000001</v>
      </c>
      <c r="E10" s="171" t="n">
        <v>0.06197985031</v>
      </c>
      <c r="F10" s="171" t="n">
        <v>0.05229008</v>
      </c>
      <c r="G10" s="171" t="n">
        <v>0.09921999692</v>
      </c>
      <c r="H10" s="171" t="n">
        <v>0.08568754889000001</v>
      </c>
      <c r="I10" s="171" t="n">
        <v>0.191707363</v>
      </c>
      <c r="J10" s="171" t="n">
        <v>0.2561779</v>
      </c>
      <c r="K10" s="171" t="n">
        <v>0.225130346</v>
      </c>
      <c r="L10" s="171" t="n">
        <v>0.336667375</v>
      </c>
      <c r="M10" s="171" t="n">
        <v>0.137698441</v>
      </c>
      <c r="N10" s="171" t="n">
        <v>0.31335745393</v>
      </c>
      <c r="O10" s="172" t="inlineStr">
        <is>
          <t>SARS customs, imports by office of clearance (fuel_trade_sars_by_office.csv)</t>
        </is>
      </c>
      <c r="P10" s="172" t="inlineStr"/>
    </row>
    <row r="11">
      <c r="A11" s="170" t="inlineStr">
        <is>
          <t>Richards Bay</t>
        </is>
      </c>
      <c r="B11" s="170" t="inlineStr">
        <is>
          <t>Sea</t>
        </is>
      </c>
      <c r="C11" s="171" t="n">
        <v>0</v>
      </c>
      <c r="D11" s="171" t="n">
        <v>0</v>
      </c>
      <c r="E11" s="171" t="n">
        <v>0</v>
      </c>
      <c r="F11" s="171" t="n">
        <v>0.105714823</v>
      </c>
      <c r="G11" s="171" t="n">
        <v>0.091830959</v>
      </c>
      <c r="H11" s="171" t="n">
        <v>0.093812929</v>
      </c>
      <c r="I11" s="171" t="n">
        <v>0.146792846</v>
      </c>
      <c r="J11" s="171" t="n">
        <v>0.234036815</v>
      </c>
      <c r="K11" s="171" t="n">
        <v>0.331319789</v>
      </c>
      <c r="L11" s="171" t="n">
        <v>0.320766702</v>
      </c>
      <c r="M11" s="171" t="n">
        <v>0.390782477</v>
      </c>
      <c r="N11" s="171" t="n">
        <v>0.6579146</v>
      </c>
      <c r="O11" s="172" t="inlineStr">
        <is>
          <t>SARS customs, imports by office of clearance (fuel_trade_sars_by_office.csv)</t>
        </is>
      </c>
      <c r="P11" s="172" t="inlineStr"/>
    </row>
    <row r="12">
      <c r="A12" s="170" t="inlineStr">
        <is>
          <t>Komatipoort</t>
        </is>
      </c>
      <c r="B12" s="170" t="inlineStr">
        <is>
          <t>Road, from Mozambique</t>
        </is>
      </c>
      <c r="C12" s="171" t="n">
        <v>0.151062295</v>
      </c>
      <c r="D12" s="171" t="n">
        <v>0.25728800257</v>
      </c>
      <c r="E12" s="171" t="n">
        <v>0.236796023</v>
      </c>
      <c r="F12" s="171" t="n">
        <v>0.23388003104</v>
      </c>
      <c r="G12" s="171" t="n">
        <v>0.22802977396</v>
      </c>
      <c r="H12" s="171" t="n">
        <v>0.21272690407</v>
      </c>
      <c r="I12" s="171" t="n">
        <v>0.20753876099</v>
      </c>
      <c r="J12" s="171" t="n">
        <v>0.20133574</v>
      </c>
      <c r="K12" s="171" t="n">
        <v>0.27415852432</v>
      </c>
      <c r="L12" s="171" t="n">
        <v>0.254570839</v>
      </c>
      <c r="M12" s="171" t="n">
        <v>0.18582006085</v>
      </c>
      <c r="N12" s="171" t="n">
        <v>0.08202250600000001</v>
      </c>
      <c r="O12" s="172" t="inlineStr">
        <is>
          <t>SARS customs, imports by office of clearance (fuel_trade_sars_by_office.csv)</t>
        </is>
      </c>
      <c r="P12" s="172" t="inlineStr">
        <is>
          <t>The only recorded entry from the Maputo and Matola side.</t>
        </is>
      </c>
    </row>
    <row r="13">
      <c r="A13" s="170" t="inlineStr">
        <is>
          <t>Other offices</t>
        </is>
      </c>
      <c r="B13" s="170" t="inlineStr">
        <is>
          <t>Land borders and inland offices</t>
        </is>
      </c>
      <c r="C13" s="171" t="n">
        <v>0.00043176669</v>
      </c>
      <c r="D13" s="171" t="n">
        <v>0.00467525594</v>
      </c>
      <c r="E13" s="171" t="n">
        <v>0.00313597368</v>
      </c>
      <c r="F13" s="171" t="n">
        <v>0.00074357618</v>
      </c>
      <c r="G13" s="171" t="n">
        <v>0.00041767239</v>
      </c>
      <c r="H13" s="171" t="n">
        <v>4.726407e-05</v>
      </c>
      <c r="I13" s="171" t="n">
        <v>0.00011745485</v>
      </c>
      <c r="J13" s="171" t="n">
        <v>0.00271854974</v>
      </c>
      <c r="K13" s="171" t="n">
        <v>0.000723718</v>
      </c>
      <c r="L13" s="171" t="n">
        <v>0.00086713425</v>
      </c>
      <c r="M13" s="171" t="n">
        <v>0.00072742656</v>
      </c>
      <c r="N13" s="171" t="n">
        <v>0.0033929065</v>
      </c>
      <c r="O13" s="172" t="inlineStr">
        <is>
          <t>SARS customs, imports by office of clearance (fuel_trade_sars_by_office.csv)</t>
        </is>
      </c>
      <c r="P13" s="172" t="inlineStr"/>
    </row>
    <row r="14">
      <c r="A14" s="173" t="inlineStr">
        <is>
          <t>All offices</t>
        </is>
      </c>
      <c r="B14" s="176" t="n"/>
      <c r="C14" s="174">
        <f>SUM(C6:C13)</f>
        <v/>
      </c>
      <c r="D14" s="174">
        <f>SUM(D6:D13)</f>
        <v/>
      </c>
      <c r="E14" s="174">
        <f>SUM(E6:E13)</f>
        <v/>
      </c>
      <c r="F14" s="174">
        <f>SUM(F6:F13)</f>
        <v/>
      </c>
      <c r="G14" s="174">
        <f>SUM(G6:G13)</f>
        <v/>
      </c>
      <c r="H14" s="174">
        <f>SUM(H6:H13)</f>
        <v/>
      </c>
      <c r="I14" s="174">
        <f>SUM(I6:I13)</f>
        <v/>
      </c>
      <c r="J14" s="174">
        <f>SUM(J6:J13)</f>
        <v/>
      </c>
      <c r="K14" s="174">
        <f>SUM(K6:K13)</f>
        <v/>
      </c>
      <c r="L14" s="174">
        <f>SUM(L6:L13)</f>
        <v/>
      </c>
      <c r="M14" s="174">
        <f>SUM(M6:M13)</f>
        <v/>
      </c>
      <c r="N14" s="174">
        <f>SUM(N6:N13)</f>
        <v/>
      </c>
      <c r="O14" s="175" t="inlineStr">
        <is>
          <t>Sum of the rows above; equals SARS national imports on the History sheet</t>
        </is>
      </c>
      <c r="P14" s="175" t="n"/>
    </row>
    <row r="15">
      <c r="A15" s="176" t="inlineStr">
        <is>
          <t>Durban share</t>
        </is>
      </c>
      <c r="B15" s="176" t="n"/>
      <c r="C15" s="184">
        <f>IF(C14=0,"",C6/C14)</f>
        <v/>
      </c>
      <c r="D15" s="184">
        <f>IF(D14=0,"",D6/D14)</f>
        <v/>
      </c>
      <c r="E15" s="184">
        <f>IF(E14=0,"",E6/E14)</f>
        <v/>
      </c>
      <c r="F15" s="184">
        <f>IF(F14=0,"",F6/F14)</f>
        <v/>
      </c>
      <c r="G15" s="184">
        <f>IF(G14=0,"",G6/G14)</f>
        <v/>
      </c>
      <c r="H15" s="184">
        <f>IF(H14=0,"",H6/H14)</f>
        <v/>
      </c>
      <c r="I15" s="184">
        <f>IF(I14=0,"",I6/I14)</f>
        <v/>
      </c>
      <c r="J15" s="184">
        <f>IF(J14=0,"",J6/J14)</f>
        <v/>
      </c>
      <c r="K15" s="184">
        <f>IF(K14=0,"",K6/K14)</f>
        <v/>
      </c>
      <c r="L15" s="184">
        <f>IF(L14=0,"",L6/L14)</f>
        <v/>
      </c>
      <c r="M15" s="184">
        <f>IF(M14=0,"",M6/M14)</f>
        <v/>
      </c>
      <c r="N15" s="184">
        <f>IF(N14=0,"",N6/N14)</f>
        <v/>
      </c>
      <c r="O15" s="175" t="inlineStr">
        <is>
          <t>Calculated: Durban over all offices</t>
        </is>
      </c>
      <c r="P15" s="175" t="n"/>
    </row>
    <row r="17">
      <c r="A17" s="151" t="inlineStr">
        <is>
          <t>Petrol</t>
        </is>
      </c>
      <c r="B17" s="151" t="n"/>
      <c r="C17" s="151" t="n"/>
      <c r="D17" s="151" t="n"/>
      <c r="E17" s="151" t="n"/>
      <c r="F17" s="151" t="n"/>
      <c r="G17" s="151" t="n"/>
      <c r="H17" s="151" t="n"/>
      <c r="I17" s="151" t="n"/>
      <c r="J17" s="151" t="n"/>
      <c r="K17" s="151" t="n"/>
      <c r="L17" s="151" t="n"/>
      <c r="M17" s="151" t="n"/>
      <c r="N17" s="151" t="n"/>
      <c r="O17" s="151" t="n"/>
      <c r="P17" s="151" t="n"/>
    </row>
    <row r="18">
      <c r="A18" s="170" t="inlineStr">
        <is>
          <t>Durban</t>
        </is>
      </c>
      <c r="B18" s="170" t="inlineStr">
        <is>
          <t>Sea</t>
        </is>
      </c>
      <c r="C18" s="171" t="n">
        <v>0.85247094</v>
      </c>
      <c r="D18" s="171" t="n">
        <v>1.44254280764</v>
      </c>
      <c r="E18" s="171" t="n">
        <v>1.13647002436</v>
      </c>
      <c r="F18" s="171" t="n">
        <v>1.72928571202</v>
      </c>
      <c r="G18" s="171" t="n">
        <v>1.53643879</v>
      </c>
      <c r="H18" s="171" t="n">
        <v>1.25634839252</v>
      </c>
      <c r="I18" s="171" t="n">
        <v>0.664092731</v>
      </c>
      <c r="J18" s="171" t="n">
        <v>2.436564685</v>
      </c>
      <c r="K18" s="171" t="n">
        <v>3.882669362</v>
      </c>
      <c r="L18" s="171" t="n">
        <v>4.165599231</v>
      </c>
      <c r="M18" s="171" t="n">
        <v>3.804725224</v>
      </c>
      <c r="N18" s="171" t="n">
        <v>4.228979739</v>
      </c>
      <c r="O18" s="172" t="inlineStr">
        <is>
          <t>SARS customs, imports by office of clearance (fuel_trade_sars_by_office.csv)</t>
        </is>
      </c>
      <c r="P18" s="172" t="inlineStr">
        <is>
          <t>Includes fuel for the inland pipeline and for the coast.</t>
        </is>
      </c>
    </row>
    <row r="19">
      <c r="A19" s="170" t="inlineStr">
        <is>
          <t>Cape Town</t>
        </is>
      </c>
      <c r="B19" s="170" t="inlineStr">
        <is>
          <t>Sea</t>
        </is>
      </c>
      <c r="C19" s="171" t="n">
        <v>0.187501032</v>
      </c>
      <c r="D19" s="171" t="n">
        <v>0.262594189</v>
      </c>
      <c r="E19" s="171" t="n">
        <v>0.058894374</v>
      </c>
      <c r="F19" s="171" t="n">
        <v>0.21050907424</v>
      </c>
      <c r="G19" s="171" t="n">
        <v>0.18265634019</v>
      </c>
      <c r="H19" s="171" t="n">
        <v>0.11619285849</v>
      </c>
      <c r="I19" s="171" t="n">
        <v>1.0027419188</v>
      </c>
      <c r="J19" s="171" t="n">
        <v>1.431945116</v>
      </c>
      <c r="K19" s="171" t="n">
        <v>1.500340893</v>
      </c>
      <c r="L19" s="171" t="n">
        <v>0.233049258</v>
      </c>
      <c r="M19" s="171" t="n">
        <v>0.131091</v>
      </c>
      <c r="N19" s="171" t="n">
        <v>0.185597544</v>
      </c>
      <c r="O19" s="172" t="inlineStr">
        <is>
          <t>SARS customs, imports by office of clearance (fuel_trade_sars_by_office.csv)</t>
        </is>
      </c>
      <c r="P19" s="172" t="inlineStr"/>
    </row>
    <row r="20">
      <c r="A20" s="170" t="inlineStr">
        <is>
          <t>Mossel Bay</t>
        </is>
      </c>
      <c r="B20" s="170" t="inlineStr">
        <is>
          <t>Sea</t>
        </is>
      </c>
      <c r="C20" s="171" t="n">
        <v>0</v>
      </c>
      <c r="D20" s="171" t="n">
        <v>0</v>
      </c>
      <c r="E20" s="171" t="n">
        <v>0.010228015</v>
      </c>
      <c r="F20" s="171" t="n">
        <v>0</v>
      </c>
      <c r="G20" s="171" t="n">
        <v>0</v>
      </c>
      <c r="H20" s="171" t="n">
        <v>0.046954148</v>
      </c>
      <c r="I20" s="171" t="n">
        <v>0</v>
      </c>
      <c r="J20" s="171" t="n">
        <v>0.099757575</v>
      </c>
      <c r="K20" s="171" t="n">
        <v>0.034555764</v>
      </c>
      <c r="L20" s="171" t="n">
        <v>0.068691824</v>
      </c>
      <c r="M20" s="171" t="n">
        <v>0.049694999</v>
      </c>
      <c r="N20" s="171" t="n">
        <v>0</v>
      </c>
      <c r="O20" s="172" t="inlineStr">
        <is>
          <t>SARS customs, imports by office of clearance (fuel_trade_sars_by_office.csv)</t>
        </is>
      </c>
      <c r="P20" s="172" t="inlineStr"/>
    </row>
    <row r="21">
      <c r="A21" s="170" t="inlineStr">
        <is>
          <t>East London</t>
        </is>
      </c>
      <c r="B21" s="170" t="inlineStr">
        <is>
          <t>Sea</t>
        </is>
      </c>
      <c r="C21" s="171" t="n">
        <v>0.069111017</v>
      </c>
      <c r="D21" s="171" t="n">
        <v>0.10173686088</v>
      </c>
      <c r="E21" s="171" t="n">
        <v>0.08370649099999999</v>
      </c>
      <c r="F21" s="171" t="n">
        <v>0.06964011619</v>
      </c>
      <c r="G21" s="171" t="n">
        <v>0.018334526</v>
      </c>
      <c r="H21" s="171" t="n">
        <v>0</v>
      </c>
      <c r="I21" s="171" t="n">
        <v>0.0118587</v>
      </c>
      <c r="J21" s="171" t="n">
        <v>0</v>
      </c>
      <c r="K21" s="171" t="n">
        <v>0.005168638</v>
      </c>
      <c r="L21" s="171" t="n">
        <v>0.008596477</v>
      </c>
      <c r="M21" s="171" t="n">
        <v>0.01313950301</v>
      </c>
      <c r="N21" s="171" t="n">
        <v>0.031405816</v>
      </c>
      <c r="O21" s="172" t="inlineStr">
        <is>
          <t>SARS customs, imports by office of clearance (fuel_trade_sars_by_office.csv)</t>
        </is>
      </c>
      <c r="P21" s="172" t="inlineStr"/>
    </row>
    <row r="22">
      <c r="A22" s="170" t="inlineStr">
        <is>
          <t>Port Elizabeth</t>
        </is>
      </c>
      <c r="B22" s="170" t="inlineStr">
        <is>
          <t>Sea</t>
        </is>
      </c>
      <c r="C22" s="171" t="n">
        <v>0.04104864063</v>
      </c>
      <c r="D22" s="171" t="n">
        <v>0.06273817831</v>
      </c>
      <c r="E22" s="171" t="n">
        <v>0.07059936554</v>
      </c>
      <c r="F22" s="171" t="n">
        <v>0.01998260759</v>
      </c>
      <c r="G22" s="171" t="n">
        <v>0.01489263246</v>
      </c>
      <c r="H22" s="171" t="n">
        <v>0.00108430111</v>
      </c>
      <c r="I22" s="171" t="n">
        <v>0.0007748566800000001</v>
      </c>
      <c r="J22" s="171" t="n">
        <v>0.0007812402099999999</v>
      </c>
      <c r="K22" s="171" t="n">
        <v>0.00371315593</v>
      </c>
      <c r="L22" s="171" t="n">
        <v>0.00670979238</v>
      </c>
      <c r="M22" s="171" t="n">
        <v>0.00119405589</v>
      </c>
      <c r="N22" s="171" t="n">
        <v>0.00306974015</v>
      </c>
      <c r="O22" s="172" t="inlineStr">
        <is>
          <t>SARS customs, imports by office of clearance (fuel_trade_sars_by_office.csv)</t>
        </is>
      </c>
      <c r="P22" s="172" t="inlineStr"/>
    </row>
    <row r="23">
      <c r="A23" s="170" t="inlineStr">
        <is>
          <t>Richards Bay</t>
        </is>
      </c>
      <c r="B23" s="170" t="inlineStr">
        <is>
          <t>Sea</t>
        </is>
      </c>
      <c r="C23" s="171" t="n">
        <v>0</v>
      </c>
      <c r="D23" s="171" t="n">
        <v>0</v>
      </c>
      <c r="E23" s="171" t="n">
        <v>0</v>
      </c>
      <c r="F23" s="171" t="n">
        <v>0.038417234</v>
      </c>
      <c r="G23" s="171" t="n">
        <v>0.03354092</v>
      </c>
      <c r="H23" s="171" t="n">
        <v>0.018129952</v>
      </c>
      <c r="I23" s="171" t="n">
        <v>0.009266228</v>
      </c>
      <c r="J23" s="171" t="n">
        <v>0</v>
      </c>
      <c r="K23" s="171" t="n">
        <v>0</v>
      </c>
      <c r="L23" s="171" t="n">
        <v>0</v>
      </c>
      <c r="M23" s="171" t="n">
        <v>0</v>
      </c>
      <c r="N23" s="171" t="n">
        <v>0</v>
      </c>
      <c r="O23" s="172" t="inlineStr">
        <is>
          <t>SARS customs, imports by office of clearance (fuel_trade_sars_by_office.csv)</t>
        </is>
      </c>
      <c r="P23" s="172" t="inlineStr"/>
    </row>
    <row r="24">
      <c r="A24" s="170" t="inlineStr">
        <is>
          <t>Komatipoort</t>
        </is>
      </c>
      <c r="B24" s="170" t="inlineStr">
        <is>
          <t>Road, from Mozambique</t>
        </is>
      </c>
      <c r="C24" s="171" t="n">
        <v>0</v>
      </c>
      <c r="D24" s="171" t="n">
        <v>0</v>
      </c>
      <c r="E24" s="171" t="n">
        <v>0.0346726134</v>
      </c>
      <c r="F24" s="171" t="n">
        <v>0.046040565</v>
      </c>
      <c r="G24" s="171" t="n">
        <v>0.04390319</v>
      </c>
      <c r="H24" s="171" t="n">
        <v>0.03866750897</v>
      </c>
      <c r="I24" s="171" t="n">
        <v>0.030842959</v>
      </c>
      <c r="J24" s="171" t="n">
        <v>0.039454367</v>
      </c>
      <c r="K24" s="171" t="n">
        <v>0.028805741</v>
      </c>
      <c r="L24" s="171" t="n">
        <v>0.000125422</v>
      </c>
      <c r="M24" s="171" t="n">
        <v>0.001009567</v>
      </c>
      <c r="N24" s="171" t="n">
        <v>0.004416485</v>
      </c>
      <c r="O24" s="172" t="inlineStr">
        <is>
          <t>SARS customs, imports by office of clearance (fuel_trade_sars_by_office.csv)</t>
        </is>
      </c>
      <c r="P24" s="172" t="inlineStr">
        <is>
          <t>The only recorded entry from the Maputo and Matola side.</t>
        </is>
      </c>
    </row>
    <row r="25">
      <c r="A25" s="170" t="inlineStr">
        <is>
          <t>Other offices</t>
        </is>
      </c>
      <c r="B25" s="170" t="inlineStr">
        <is>
          <t>Land borders and inland offices</t>
        </is>
      </c>
      <c r="C25" s="171" t="n">
        <v>6.319224e-05</v>
      </c>
      <c r="D25" s="171" t="n">
        <v>3.317238e-05</v>
      </c>
      <c r="E25" s="171" t="n">
        <v>0.0010675928</v>
      </c>
      <c r="F25" s="171" t="n">
        <v>0.0002811756</v>
      </c>
      <c r="G25" s="171" t="n">
        <v>4.86485e-06</v>
      </c>
      <c r="H25" s="171" t="n">
        <v>8.68e-06</v>
      </c>
      <c r="I25" s="171" t="n">
        <v>9.5671e-05</v>
      </c>
      <c r="J25" s="171" t="n">
        <v>0.00010978057</v>
      </c>
      <c r="K25" s="171" t="n">
        <v>8.26079e-06</v>
      </c>
      <c r="L25" s="171" t="n">
        <v>2.756e-06</v>
      </c>
      <c r="M25" s="171" t="n">
        <v>8.455e-08</v>
      </c>
      <c r="N25" s="171" t="n">
        <v>1.854e-06</v>
      </c>
      <c r="O25" s="172" t="inlineStr">
        <is>
          <t>SARS customs, imports by office of clearance (fuel_trade_sars_by_office.csv)</t>
        </is>
      </c>
      <c r="P25" s="172" t="inlineStr"/>
    </row>
    <row r="26">
      <c r="A26" s="173" t="inlineStr">
        <is>
          <t>All offices</t>
        </is>
      </c>
      <c r="B26" s="176" t="n"/>
      <c r="C26" s="174">
        <f>SUM(C18:C25)</f>
        <v/>
      </c>
      <c r="D26" s="174">
        <f>SUM(D18:D25)</f>
        <v/>
      </c>
      <c r="E26" s="174">
        <f>SUM(E18:E25)</f>
        <v/>
      </c>
      <c r="F26" s="174">
        <f>SUM(F18:F25)</f>
        <v/>
      </c>
      <c r="G26" s="174">
        <f>SUM(G18:G25)</f>
        <v/>
      </c>
      <c r="H26" s="174">
        <f>SUM(H18:H25)</f>
        <v/>
      </c>
      <c r="I26" s="174">
        <f>SUM(I18:I25)</f>
        <v/>
      </c>
      <c r="J26" s="174">
        <f>SUM(J18:J25)</f>
        <v/>
      </c>
      <c r="K26" s="174">
        <f>SUM(K18:K25)</f>
        <v/>
      </c>
      <c r="L26" s="174">
        <f>SUM(L18:L25)</f>
        <v/>
      </c>
      <c r="M26" s="174">
        <f>SUM(M18:M25)</f>
        <v/>
      </c>
      <c r="N26" s="174">
        <f>SUM(N18:N25)</f>
        <v/>
      </c>
      <c r="O26" s="175" t="inlineStr">
        <is>
          <t>Sum of the rows above; equals SARS national imports on the History sheet</t>
        </is>
      </c>
      <c r="P26" s="175" t="n"/>
    </row>
    <row r="27">
      <c r="A27" s="176" t="inlineStr">
        <is>
          <t>Durban share</t>
        </is>
      </c>
      <c r="B27" s="176" t="n"/>
      <c r="C27" s="184">
        <f>IF(C26=0,"",C18/C26)</f>
        <v/>
      </c>
      <c r="D27" s="184">
        <f>IF(D26=0,"",D18/D26)</f>
        <v/>
      </c>
      <c r="E27" s="184">
        <f>IF(E26=0,"",E18/E26)</f>
        <v/>
      </c>
      <c r="F27" s="184">
        <f>IF(F26=0,"",F18/F26)</f>
        <v/>
      </c>
      <c r="G27" s="184">
        <f>IF(G26=0,"",G18/G26)</f>
        <v/>
      </c>
      <c r="H27" s="184">
        <f>IF(H26=0,"",H18/H26)</f>
        <v/>
      </c>
      <c r="I27" s="184">
        <f>IF(I26=0,"",I18/I26)</f>
        <v/>
      </c>
      <c r="J27" s="184">
        <f>IF(J26=0,"",J18/J26)</f>
        <v/>
      </c>
      <c r="K27" s="184">
        <f>IF(K26=0,"",K18/K26)</f>
        <v/>
      </c>
      <c r="L27" s="184">
        <f>IF(L26=0,"",L18/L26)</f>
        <v/>
      </c>
      <c r="M27" s="184">
        <f>IF(M26=0,"",M18/M26)</f>
        <v/>
      </c>
      <c r="N27" s="184">
        <f>IF(N26=0,"",N18/N26)</f>
        <v/>
      </c>
      <c r="O27" s="175" t="inlineStr">
        <is>
          <t>Calculated: Durban over all offices</t>
        </is>
      </c>
      <c r="P27" s="175" t="n"/>
    </row>
    <row r="29">
      <c r="A29" s="151" t="inlineStr">
        <is>
          <t>Diesel and petrol</t>
        </is>
      </c>
      <c r="B29" s="151" t="n"/>
      <c r="C29" s="151" t="n"/>
      <c r="D29" s="151" t="n"/>
      <c r="E29" s="151" t="n"/>
      <c r="F29" s="151" t="n"/>
      <c r="G29" s="151" t="n"/>
      <c r="H29" s="151" t="n"/>
      <c r="I29" s="151" t="n"/>
      <c r="J29" s="151" t="n"/>
      <c r="K29" s="151" t="n"/>
      <c r="L29" s="151" t="n"/>
      <c r="M29" s="151" t="n"/>
      <c r="N29" s="151" t="n"/>
      <c r="O29" s="151" t="n"/>
      <c r="P29" s="151" t="n"/>
    </row>
    <row r="30">
      <c r="A30" s="170" t="inlineStr">
        <is>
          <t>Durban</t>
        </is>
      </c>
      <c r="B30" s="170" t="inlineStr">
        <is>
          <t>Sea</t>
        </is>
      </c>
      <c r="C30" s="171" t="n">
        <v>4.25376434791</v>
      </c>
      <c r="D30" s="171" t="n">
        <v>5.48524306264</v>
      </c>
      <c r="E30" s="171" t="n">
        <v>4.57782706424</v>
      </c>
      <c r="F30" s="171" t="n">
        <v>6.60582298802</v>
      </c>
      <c r="G30" s="171" t="n">
        <v>5.522342896550001</v>
      </c>
      <c r="H30" s="171" t="n">
        <v>5.06549172252</v>
      </c>
      <c r="I30" s="171" t="n">
        <v>4.490030409</v>
      </c>
      <c r="J30" s="171" t="n">
        <v>8.271437864999999</v>
      </c>
      <c r="K30" s="171" t="n">
        <v>11.76391736834</v>
      </c>
      <c r="L30" s="171" t="n">
        <v>13.29063574142</v>
      </c>
      <c r="M30" s="171" t="n">
        <v>11.83761516164</v>
      </c>
      <c r="N30" s="171" t="n">
        <v>13.16051517964</v>
      </c>
      <c r="O30" s="172" t="inlineStr">
        <is>
          <t>SARS customs, imports by office of clearance (fuel_trade_sars_by_office.csv)</t>
        </is>
      </c>
      <c r="P30" s="172" t="inlineStr">
        <is>
          <t>Includes fuel for the inland pipeline and for the coast.</t>
        </is>
      </c>
    </row>
    <row r="31">
      <c r="A31" s="170" t="inlineStr">
        <is>
          <t>Cape Town</t>
        </is>
      </c>
      <c r="B31" s="170" t="inlineStr">
        <is>
          <t>Sea</t>
        </is>
      </c>
      <c r="C31" s="171" t="n">
        <v>0.750986099</v>
      </c>
      <c r="D31" s="171" t="n">
        <v>1.259236323</v>
      </c>
      <c r="E31" s="171" t="n">
        <v>0.273846349</v>
      </c>
      <c r="F31" s="171" t="n">
        <v>0.60515218743</v>
      </c>
      <c r="G31" s="171" t="n">
        <v>0.69578972791</v>
      </c>
      <c r="H31" s="171" t="n">
        <v>0.71775415002</v>
      </c>
      <c r="I31" s="171" t="n">
        <v>2.8454642948</v>
      </c>
      <c r="J31" s="171" t="n">
        <v>3.782660438</v>
      </c>
      <c r="K31" s="171" t="n">
        <v>3.98543792</v>
      </c>
      <c r="L31" s="171" t="n">
        <v>1.620633375</v>
      </c>
      <c r="M31" s="171" t="n">
        <v>1.088567429</v>
      </c>
      <c r="N31" s="171" t="n">
        <v>1.520989729</v>
      </c>
      <c r="O31" s="172" t="inlineStr">
        <is>
          <t>SARS customs, imports by office of clearance (fuel_trade_sars_by_office.csv)</t>
        </is>
      </c>
      <c r="P31" s="172" t="inlineStr"/>
    </row>
    <row r="32">
      <c r="A32" s="170" t="inlineStr">
        <is>
          <t>Mossel Bay</t>
        </is>
      </c>
      <c r="B32" s="170" t="inlineStr">
        <is>
          <t>Sea</t>
        </is>
      </c>
      <c r="C32" s="171" t="n">
        <v>0.770853449</v>
      </c>
      <c r="D32" s="171" t="n">
        <v>0.951908118</v>
      </c>
      <c r="E32" s="171" t="n">
        <v>0.4024997280199999</v>
      </c>
      <c r="F32" s="171" t="n">
        <v>0.290250522</v>
      </c>
      <c r="G32" s="171" t="n">
        <v>0.138237059</v>
      </c>
      <c r="H32" s="171" t="n">
        <v>0.760706696</v>
      </c>
      <c r="I32" s="171" t="n">
        <v>0.400193929</v>
      </c>
      <c r="J32" s="171" t="n">
        <v>0.774433401</v>
      </c>
      <c r="K32" s="171" t="n">
        <v>0.6014541092400001</v>
      </c>
      <c r="L32" s="171" t="n">
        <v>1.161842428</v>
      </c>
      <c r="M32" s="171" t="n">
        <v>0.623079651</v>
      </c>
      <c r="N32" s="171" t="n">
        <v>0.521797795</v>
      </c>
      <c r="O32" s="172" t="inlineStr">
        <is>
          <t>SARS customs, imports by office of clearance (fuel_trade_sars_by_office.csv)</t>
        </is>
      </c>
      <c r="P32" s="172" t="inlineStr"/>
    </row>
    <row r="33">
      <c r="A33" s="170" t="inlineStr">
        <is>
          <t>East London</t>
        </is>
      </c>
      <c r="B33" s="170" t="inlineStr">
        <is>
          <t>Sea</t>
        </is>
      </c>
      <c r="C33" s="171" t="n">
        <v>0.128599809</v>
      </c>
      <c r="D33" s="171" t="n">
        <v>0.20350866795</v>
      </c>
      <c r="E33" s="171" t="n">
        <v>0.157508881</v>
      </c>
      <c r="F33" s="171" t="n">
        <v>0.15304060559</v>
      </c>
      <c r="G33" s="171" t="n">
        <v>0.08452105700000001</v>
      </c>
      <c r="H33" s="171" t="n">
        <v>0.07354029300000001</v>
      </c>
      <c r="I33" s="171" t="n">
        <v>0.21183374</v>
      </c>
      <c r="J33" s="171" t="n">
        <v>0.206861973</v>
      </c>
      <c r="K33" s="171" t="n">
        <v>0.19484943</v>
      </c>
      <c r="L33" s="171" t="n">
        <v>0.359985296</v>
      </c>
      <c r="M33" s="171" t="n">
        <v>0.52690721301</v>
      </c>
      <c r="N33" s="171" t="n">
        <v>0.4347131910000001</v>
      </c>
      <c r="O33" s="172" t="inlineStr">
        <is>
          <t>SARS customs, imports by office of clearance (fuel_trade_sars_by_office.csv)</t>
        </is>
      </c>
      <c r="P33" s="172" t="inlineStr"/>
    </row>
    <row r="34">
      <c r="A34" s="170" t="inlineStr">
        <is>
          <t>Port Elizabeth</t>
        </is>
      </c>
      <c r="B34" s="170" t="inlineStr">
        <is>
          <t>Sea</t>
        </is>
      </c>
      <c r="C34" s="171" t="n">
        <v>0.08614618963000001</v>
      </c>
      <c r="D34" s="171" t="n">
        <v>0.15853164029</v>
      </c>
      <c r="E34" s="171" t="n">
        <v>0.13257921585</v>
      </c>
      <c r="F34" s="171" t="n">
        <v>0.07227268759</v>
      </c>
      <c r="G34" s="171" t="n">
        <v>0.11411262938</v>
      </c>
      <c r="H34" s="171" t="n">
        <v>0.08677185000000001</v>
      </c>
      <c r="I34" s="171" t="n">
        <v>0.19248221968</v>
      </c>
      <c r="J34" s="171" t="n">
        <v>0.25695914021</v>
      </c>
      <c r="K34" s="171" t="n">
        <v>0.22884350193</v>
      </c>
      <c r="L34" s="171" t="n">
        <v>0.34337716738</v>
      </c>
      <c r="M34" s="171" t="n">
        <v>0.13889249689</v>
      </c>
      <c r="N34" s="171" t="n">
        <v>0.31642719408</v>
      </c>
      <c r="O34" s="172" t="inlineStr">
        <is>
          <t>SARS customs, imports by office of clearance (fuel_trade_sars_by_office.csv)</t>
        </is>
      </c>
      <c r="P34" s="172" t="inlineStr"/>
    </row>
    <row r="35">
      <c r="A35" s="170" t="inlineStr">
        <is>
          <t>Richards Bay</t>
        </is>
      </c>
      <c r="B35" s="170" t="inlineStr">
        <is>
          <t>Sea</t>
        </is>
      </c>
      <c r="C35" s="171" t="n">
        <v>0</v>
      </c>
      <c r="D35" s="171" t="n">
        <v>0</v>
      </c>
      <c r="E35" s="171" t="n">
        <v>0</v>
      </c>
      <c r="F35" s="171" t="n">
        <v>0.144132057</v>
      </c>
      <c r="G35" s="171" t="n">
        <v>0.125371879</v>
      </c>
      <c r="H35" s="171" t="n">
        <v>0.111942881</v>
      </c>
      <c r="I35" s="171" t="n">
        <v>0.156059074</v>
      </c>
      <c r="J35" s="171" t="n">
        <v>0.234036815</v>
      </c>
      <c r="K35" s="171" t="n">
        <v>0.331319789</v>
      </c>
      <c r="L35" s="171" t="n">
        <v>0.320766702</v>
      </c>
      <c r="M35" s="171" t="n">
        <v>0.390782477</v>
      </c>
      <c r="N35" s="171" t="n">
        <v>0.6579146</v>
      </c>
      <c r="O35" s="172" t="inlineStr">
        <is>
          <t>SARS customs, imports by office of clearance (fuel_trade_sars_by_office.csv)</t>
        </is>
      </c>
      <c r="P35" s="172" t="inlineStr"/>
    </row>
    <row r="36">
      <c r="A36" s="170" t="inlineStr">
        <is>
          <t>Komatipoort</t>
        </is>
      </c>
      <c r="B36" s="170" t="inlineStr">
        <is>
          <t>Road, from Mozambique</t>
        </is>
      </c>
      <c r="C36" s="171" t="n">
        <v>0.151062295</v>
      </c>
      <c r="D36" s="171" t="n">
        <v>0.25728800257</v>
      </c>
      <c r="E36" s="171" t="n">
        <v>0.2714686364</v>
      </c>
      <c r="F36" s="171" t="n">
        <v>0.27992059604</v>
      </c>
      <c r="G36" s="171" t="n">
        <v>0.27193296396</v>
      </c>
      <c r="H36" s="171" t="n">
        <v>0.25139441304</v>
      </c>
      <c r="I36" s="171" t="n">
        <v>0.23838171999</v>
      </c>
      <c r="J36" s="171" t="n">
        <v>0.240790107</v>
      </c>
      <c r="K36" s="171" t="n">
        <v>0.30296426532</v>
      </c>
      <c r="L36" s="171" t="n">
        <v>0.254696261</v>
      </c>
      <c r="M36" s="171" t="n">
        <v>0.18682962785</v>
      </c>
      <c r="N36" s="171" t="n">
        <v>0.08643899100000001</v>
      </c>
      <c r="O36" s="172" t="inlineStr">
        <is>
          <t>SARS customs, imports by office of clearance (fuel_trade_sars_by_office.csv)</t>
        </is>
      </c>
      <c r="P36" s="172" t="inlineStr">
        <is>
          <t>The only recorded entry from the Maputo and Matola side.</t>
        </is>
      </c>
    </row>
    <row r="37">
      <c r="A37" s="170" t="inlineStr">
        <is>
          <t>Other offices</t>
        </is>
      </c>
      <c r="B37" s="170" t="inlineStr">
        <is>
          <t>Land borders and inland offices</t>
        </is>
      </c>
      <c r="C37" s="171" t="n">
        <v>0.00049495893</v>
      </c>
      <c r="D37" s="171" t="n">
        <v>0.00470842832</v>
      </c>
      <c r="E37" s="171" t="n">
        <v>0.00420356648</v>
      </c>
      <c r="F37" s="171" t="n">
        <v>0.00102475178</v>
      </c>
      <c r="G37" s="171" t="n">
        <v>0.00042253724</v>
      </c>
      <c r="H37" s="171" t="n">
        <v>5.594407e-05</v>
      </c>
      <c r="I37" s="171" t="n">
        <v>0.00021312585</v>
      </c>
      <c r="J37" s="171" t="n">
        <v>0.00282833031</v>
      </c>
      <c r="K37" s="171" t="n">
        <v>0.00073197879</v>
      </c>
      <c r="L37" s="171" t="n">
        <v>0.00086989025</v>
      </c>
      <c r="M37" s="171" t="n">
        <v>0.00072751111</v>
      </c>
      <c r="N37" s="171" t="n">
        <v>0.0033947605</v>
      </c>
      <c r="O37" s="172" t="inlineStr">
        <is>
          <t>SARS customs, imports by office of clearance (fuel_trade_sars_by_office.csv)</t>
        </is>
      </c>
      <c r="P37" s="172" t="inlineStr"/>
    </row>
    <row r="38">
      <c r="A38" s="173" t="inlineStr">
        <is>
          <t>All offices</t>
        </is>
      </c>
      <c r="B38" s="176" t="n"/>
      <c r="C38" s="174">
        <f>SUM(C30:C37)</f>
        <v/>
      </c>
      <c r="D38" s="174">
        <f>SUM(D30:D37)</f>
        <v/>
      </c>
      <c r="E38" s="174">
        <f>SUM(E30:E37)</f>
        <v/>
      </c>
      <c r="F38" s="174">
        <f>SUM(F30:F37)</f>
        <v/>
      </c>
      <c r="G38" s="174">
        <f>SUM(G30:G37)</f>
        <v/>
      </c>
      <c r="H38" s="174">
        <f>SUM(H30:H37)</f>
        <v/>
      </c>
      <c r="I38" s="174">
        <f>SUM(I30:I37)</f>
        <v/>
      </c>
      <c r="J38" s="174">
        <f>SUM(J30:J37)</f>
        <v/>
      </c>
      <c r="K38" s="174">
        <f>SUM(K30:K37)</f>
        <v/>
      </c>
      <c r="L38" s="174">
        <f>SUM(L30:L37)</f>
        <v/>
      </c>
      <c r="M38" s="174">
        <f>SUM(M30:M37)</f>
        <v/>
      </c>
      <c r="N38" s="174">
        <f>SUM(N30:N37)</f>
        <v/>
      </c>
      <c r="O38" s="175" t="inlineStr">
        <is>
          <t>Sum of the rows above; equals SARS national imports on the History sheet</t>
        </is>
      </c>
      <c r="P38" s="175" t="n"/>
    </row>
    <row r="39">
      <c r="A39" s="176" t="inlineStr">
        <is>
          <t>Durban share</t>
        </is>
      </c>
      <c r="B39" s="176" t="n"/>
      <c r="C39" s="184">
        <f>IF(C38=0,"",C30/C38)</f>
        <v/>
      </c>
      <c r="D39" s="184">
        <f>IF(D38=0,"",D30/D38)</f>
        <v/>
      </c>
      <c r="E39" s="184">
        <f>IF(E38=0,"",E30/E38)</f>
        <v/>
      </c>
      <c r="F39" s="184">
        <f>IF(F38=0,"",F30/F38)</f>
        <v/>
      </c>
      <c r="G39" s="184">
        <f>IF(G38=0,"",G30/G38)</f>
        <v/>
      </c>
      <c r="H39" s="184">
        <f>IF(H38=0,"",H30/H38)</f>
        <v/>
      </c>
      <c r="I39" s="184">
        <f>IF(I38=0,"",I30/I38)</f>
        <v/>
      </c>
      <c r="J39" s="184">
        <f>IF(J38=0,"",J30/J38)</f>
        <v/>
      </c>
      <c r="K39" s="184">
        <f>IF(K38=0,"",K30/K38)</f>
        <v/>
      </c>
      <c r="L39" s="184">
        <f>IF(L38=0,"",L30/L38)</f>
        <v/>
      </c>
      <c r="M39" s="184">
        <f>IF(M38=0,"",M30/M38)</f>
        <v/>
      </c>
      <c r="N39" s="184">
        <f>IF(N38=0,"",N30/N38)</f>
        <v/>
      </c>
      <c r="O39" s="175" t="inlineStr">
        <is>
          <t>Calculated: Durban over all offices</t>
        </is>
      </c>
      <c r="P39" s="17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68"/>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44" customWidth="1" min="1" max="1"/>
    <col width="34" customWidth="1" min="2" max="2"/>
    <col width="10" customWidth="1" min="3" max="3"/>
    <col width="58" customWidth="1" min="4" max="4"/>
    <col width="9" customWidth="1" min="5" max="5"/>
    <col width="9" customWidth="1" min="6" max="6"/>
    <col width="9" customWidth="1" min="7" max="7"/>
    <col width="62" customWidth="1" min="8" max="8"/>
  </cols>
  <sheetData>
    <row r="1">
      <c r="A1" s="149" t="inlineStr">
        <is>
          <t>DR04 Regulated cost of moving petrol and diesel</t>
        </is>
      </c>
    </row>
    <row r="2">
      <c r="A2" s="1" t="inlineStr">
        <is>
          <t>Cents a litre. These are regulated allowances in the fuel price, set by the department and the energy regulator. They are not what a haulier or Transnet charges a shipper: commercial road and rail rates are not published.</t>
        </is>
      </c>
    </row>
    <row r="4">
      <c r="A4" s="151" t="inlineStr">
        <is>
          <t>Durban to Gauteng, by element</t>
        </is>
      </c>
      <c r="B4" s="151" t="n"/>
      <c r="C4" s="151" t="n"/>
      <c r="D4" s="151" t="n"/>
      <c r="E4" s="151" t="n"/>
      <c r="F4" s="151" t="n"/>
      <c r="G4" s="151" t="n"/>
      <c r="H4" s="151" t="n"/>
    </row>
    <row r="5">
      <c r="A5" s="185" t="inlineStr">
        <is>
          <t>Element</t>
        </is>
      </c>
      <c r="B5" s="185" t="inlineStr">
        <is>
          <t>2024/25</t>
        </is>
      </c>
      <c r="C5" s="185" t="inlineStr">
        <is>
          <t>2025/26</t>
        </is>
      </c>
      <c r="D5" s="185" t="inlineStr">
        <is>
          <t>2026/27</t>
        </is>
      </c>
      <c r="E5" s="185" t="inlineStr">
        <is>
          <t>Basis</t>
        </is>
      </c>
      <c r="H5" s="185" t="inlineStr">
        <is>
          <t>Source</t>
        </is>
      </c>
    </row>
    <row r="6">
      <c r="A6" s="170" t="inlineStr">
        <is>
          <t>Pipeline tariff, Durban to Alrode</t>
        </is>
      </c>
      <c r="B6" s="186" t="n">
        <v>67.98999999999999</v>
      </c>
      <c r="C6" s="187" t="n">
        <v>73.22</v>
      </c>
      <c r="D6" s="187" t="n">
        <v>77.02</v>
      </c>
      <c r="E6" s="172" t="inlineStr">
        <is>
          <t>2024/25 as reported; later years calculated by adding NERSA's stated increases</t>
        </is>
      </c>
      <c r="H6" s="172" t="inlineStr">
        <is>
          <t>NERSA statements of 15 March 2024 (as quoted by Engineering News) and 15 April 2025</t>
        </is>
      </c>
    </row>
    <row r="7">
      <c r="A7" s="170" t="inlineStr">
        <is>
          <t>Regulated transport differential, Gauteng (zone 9C)</t>
        </is>
      </c>
      <c r="B7" s="186" t="n">
        <v>82.8</v>
      </c>
      <c r="C7" s="186" t="n"/>
      <c r="D7" s="186" t="n">
        <v>91.09999999999999</v>
      </c>
      <c r="E7" s="172" t="inlineStr">
        <is>
          <t>Regulated allowance in the petrol and diesel price for transport from the coast</t>
        </is>
      </c>
      <c r="H7" s="172" t="inlineStr">
        <is>
          <t>Department zone list, April 2024; Central Energy Fund price composition, 1 April 2026</t>
        </is>
      </c>
    </row>
    <row r="8">
      <c r="A8" s="170" t="inlineStr">
        <is>
          <t>Regulated secondary storage</t>
        </is>
      </c>
      <c r="B8" s="186" t="n">
        <v>36.6</v>
      </c>
      <c r="C8" s="186" t="n"/>
      <c r="D8" s="186" t="n">
        <v>39</v>
      </c>
      <c r="E8" s="172" t="inlineStr">
        <is>
          <t>Regulated allowance for depot storage; one national figure</t>
        </is>
      </c>
      <c r="H8" s="172" t="inlineStr">
        <is>
          <t>Department diesel margins, 2024; Central Energy Fund price composition, 1 April 2026</t>
        </is>
      </c>
    </row>
    <row r="9">
      <c r="A9" s="170" t="inlineStr">
        <is>
          <t>Regulated secondary distribution</t>
        </is>
      </c>
      <c r="B9" s="186" t="n">
        <v>17.2</v>
      </c>
      <c r="C9" s="186" t="n"/>
      <c r="D9" s="186" t="n">
        <v>19.1</v>
      </c>
      <c r="E9" s="172" t="inlineStr">
        <is>
          <t>Regulated allowance for road delivery from depot to service station; one national figure</t>
        </is>
      </c>
      <c r="H9" s="172" t="inlineStr">
        <is>
          <t>Department diesel margins, 2024; Central Energy Fund price composition, 1 April 2026</t>
        </is>
      </c>
    </row>
    <row r="10">
      <c r="A10" s="181" t="inlineStr">
        <is>
          <t>Commercial road tanker rate, Durban to Gauteng</t>
        </is>
      </c>
      <c r="B10" s="188" t="n"/>
      <c r="C10" s="188" t="n"/>
      <c r="D10" s="188" t="n"/>
      <c r="E10" s="183" t="inlineStr">
        <is>
          <t>Not published</t>
        </is>
      </c>
      <c r="H10" s="183" t="inlineStr">
        <is>
          <t>None found; needs Vopak or a haulier</t>
        </is>
      </c>
    </row>
    <row r="11">
      <c r="A11" s="181" t="inlineStr">
        <is>
          <t>Rail rate, Durban to Gauteng</t>
        </is>
      </c>
      <c r="B11" s="188" t="n"/>
      <c r="C11" s="188" t="n"/>
      <c r="D11" s="188" t="n"/>
      <c r="E11" s="183" t="inlineStr">
        <is>
          <t>Not published</t>
        </is>
      </c>
      <c r="H11" s="183" t="inlineStr">
        <is>
          <t>None found; needs Transnet or Vopak</t>
        </is>
      </c>
    </row>
    <row r="13">
      <c r="A13" s="151" t="inlineStr">
        <is>
          <t>Regulated transport differential by pricing zone (the same for petrol and diesel in 2014; diesel list for 2024)</t>
        </is>
      </c>
      <c r="B13" s="151" t="n"/>
      <c r="C13" s="151" t="n"/>
      <c r="D13" s="151" t="n"/>
      <c r="E13" s="151" t="n"/>
      <c r="F13" s="151" t="n"/>
      <c r="G13" s="151" t="n"/>
      <c r="H13" s="151" t="n"/>
    </row>
    <row r="14">
      <c r="A14" s="150" t="inlineStr">
        <is>
          <t>Zone</t>
        </is>
      </c>
      <c r="B14" s="150" t="inlineStr">
        <is>
          <t>Provinces</t>
        </is>
      </c>
      <c r="C14" s="150" t="inlineStr">
        <is>
          <t>Districts</t>
        </is>
      </c>
      <c r="D14" s="150" t="inlineStr">
        <is>
          <t>Examples</t>
        </is>
      </c>
      <c r="E14" s="150" t="inlineStr">
        <is>
          <t>2014</t>
        </is>
      </c>
      <c r="F14" s="150" t="inlineStr">
        <is>
          <t>2024</t>
        </is>
      </c>
      <c r="G14" s="150" t="inlineStr">
        <is>
          <t>Change</t>
        </is>
      </c>
      <c r="H14" s="150" t="inlineStr">
        <is>
          <t>Source</t>
        </is>
      </c>
    </row>
    <row r="15">
      <c r="A15" s="189" t="inlineStr">
        <is>
          <t>9C (Gauteng)</t>
        </is>
      </c>
      <c r="B15" s="172" t="inlineStr">
        <is>
          <t>Gauteng, Mpumalanga, Free State, North West</t>
        </is>
      </c>
      <c r="C15" s="190" t="n">
        <v>51</v>
      </c>
      <c r="D15" s="172" t="inlineStr">
        <is>
          <t>Alberton, Bafokeng, Balfour, Benoni, Bethal, Boksburg</t>
        </is>
      </c>
      <c r="E15" s="191" t="n">
        <v>33.1</v>
      </c>
      <c r="F15" s="191" t="n">
        <v>82.8</v>
      </c>
      <c r="G15" s="192">
        <f>IF(COUNT(E15,F15)&lt;2,"",F15-E15)</f>
        <v/>
      </c>
      <c r="H15" s="172" t="inlineStr">
        <is>
          <t>Department of Mineral and Petroleum Resources, zone lists effective 2 April 2014 and 3 April 2024</t>
        </is>
      </c>
    </row>
    <row r="16">
      <c r="A16" s="170" t="inlineStr">
        <is>
          <t>57C</t>
        </is>
      </c>
      <c r="B16" s="172" t="inlineStr">
        <is>
          <t>Mpumalanga, KwaZulu Natal</t>
        </is>
      </c>
      <c r="C16" s="190" t="n">
        <v>3</v>
      </c>
      <c r="D16" s="172" t="inlineStr">
        <is>
          <t>Paulpietersburg, Utrecht, Volksrust</t>
        </is>
      </c>
      <c r="E16" s="191" t="n">
        <v>30.5</v>
      </c>
      <c r="F16" s="191" t="n">
        <v>75.7</v>
      </c>
      <c r="G16" s="192">
        <f>IF(COUNT(E16,F16)&lt;2,"",F16-E16)</f>
        <v/>
      </c>
      <c r="H16" s="172" t="inlineStr">
        <is>
          <t>Department of Mineral and Petroleum Resources, zone lists effective 2 April 2014 and 3 April 2024</t>
        </is>
      </c>
    </row>
    <row r="17">
      <c r="A17" s="170" t="inlineStr">
        <is>
          <t>58C</t>
        </is>
      </c>
      <c r="B17" s="172" t="inlineStr">
        <is>
          <t>Mpumalanga, KwaZulu Natal</t>
        </is>
      </c>
      <c r="C17" s="190" t="n">
        <v>3</v>
      </c>
      <c r="D17" s="172" t="inlineStr">
        <is>
          <t>Piet Retief, Simdlangentsha, Wakkerstroom</t>
        </is>
      </c>
      <c r="E17" s="191" t="n">
        <v>35.4</v>
      </c>
      <c r="F17" s="191" t="n">
        <v>93.09999999999999</v>
      </c>
      <c r="G17" s="192">
        <f>IF(COUNT(E17,F17)&lt;2,"",F17-E17)</f>
        <v/>
      </c>
      <c r="H17" s="172" t="inlineStr">
        <is>
          <t>Department of Mineral and Petroleum Resources, zone lists effective 2 April 2014 and 3 April 2024</t>
        </is>
      </c>
    </row>
    <row r="18">
      <c r="A18" s="170" t="inlineStr">
        <is>
          <t>8C</t>
        </is>
      </c>
      <c r="B18" s="172" t="inlineStr">
        <is>
          <t>Mpumalanga, Free State</t>
        </is>
      </c>
      <c r="C18" s="190" t="n">
        <v>14</v>
      </c>
      <c r="D18" s="172" t="inlineStr">
        <is>
          <t>Amersfoort, Clocolan, Ermelo, Ficksburg, Frankfort, Heilbron</t>
        </is>
      </c>
      <c r="E18" s="191" t="n">
        <v>35.4</v>
      </c>
      <c r="F18" s="191" t="n">
        <v>93.09999999999999</v>
      </c>
      <c r="G18" s="192">
        <f>IF(COUNT(E18,F18)&lt;2,"",F18-E18)</f>
        <v/>
      </c>
      <c r="H18" s="172" t="inlineStr">
        <is>
          <t>Department of Mineral and Petroleum Resources, zone lists effective 2 April 2014 and 3 April 2024</t>
        </is>
      </c>
    </row>
    <row r="19">
      <c r="A19" s="170" t="inlineStr">
        <is>
          <t>10C</t>
        </is>
      </c>
      <c r="B19" s="172" t="inlineStr">
        <is>
          <t>Mpumalanga, Free State, North West, Limpopo</t>
        </is>
      </c>
      <c r="C19" s="190" t="n">
        <v>28</v>
      </c>
      <c r="D19" s="172" t="inlineStr">
        <is>
          <t>Bela-Bela (Warmbad), Belfast, Bloemhof, Brandfort, Bultfontein, Carolina</t>
        </is>
      </c>
      <c r="E19" s="191" t="n">
        <v>44.3</v>
      </c>
      <c r="F19" s="191" t="n">
        <v>104</v>
      </c>
      <c r="G19" s="192">
        <f>IF(COUNT(E19,F19)&lt;2,"",F19-E19)</f>
        <v/>
      </c>
      <c r="H19" s="172" t="inlineStr">
        <is>
          <t>Department of Mineral and Petroleum Resources, zone lists effective 2 April 2014 and 3 April 2024</t>
        </is>
      </c>
    </row>
    <row r="20">
      <c r="A20" s="170" t="inlineStr">
        <is>
          <t>61C</t>
        </is>
      </c>
      <c r="B20" s="172" t="inlineStr">
        <is>
          <t>Mpumalanga, Limpopo</t>
        </is>
      </c>
      <c r="C20" s="190" t="n">
        <v>8</v>
      </c>
      <c r="D20" s="172" t="inlineStr">
        <is>
          <t>Barberton, Mapulaneng, Mhala, Nelspruit, Nkomazi (Kamhulshwa), Nsikazi (Kangwane)</t>
        </is>
      </c>
      <c r="E20" s="191" t="n">
        <v>59.2</v>
      </c>
      <c r="F20" s="191" t="n">
        <v>128</v>
      </c>
      <c r="G20" s="192">
        <f>IF(COUNT(E20,F20)&lt;2,"",F20-E20)</f>
        <v/>
      </c>
      <c r="H20" s="172" t="inlineStr">
        <is>
          <t>Department of Mineral and Petroleum Resources, zone lists effective 2 April 2014 and 3 April 2024</t>
        </is>
      </c>
    </row>
    <row r="21">
      <c r="A21" s="170" t="inlineStr">
        <is>
          <t>6C</t>
        </is>
      </c>
      <c r="B21" s="172" t="inlineStr">
        <is>
          <t>Free State, KwaZulu Natal</t>
        </is>
      </c>
      <c r="C21" s="190" t="n">
        <v>8</v>
      </c>
      <c r="D21" s="172" t="inlineStr">
        <is>
          <t>Bergville, Dannhauser, Dundee, Glencoe, Harrismith, Newcastle</t>
        </is>
      </c>
      <c r="E21" s="191" t="n">
        <v>24.2</v>
      </c>
      <c r="F21" s="191" t="n">
        <v>59.1</v>
      </c>
      <c r="G21" s="192">
        <f>IF(COUNT(E21,F21)&lt;2,"",F21-E21)</f>
        <v/>
      </c>
      <c r="H21" s="172" t="inlineStr">
        <is>
          <t>Department of Mineral and Petroleum Resources, zone lists effective 2 April 2014 and 3 April 2024</t>
        </is>
      </c>
    </row>
    <row r="22">
      <c r="A22" s="170" t="inlineStr">
        <is>
          <t>7C</t>
        </is>
      </c>
      <c r="B22" s="172" t="inlineStr">
        <is>
          <t>Free State</t>
        </is>
      </c>
      <c r="C22" s="190" t="n">
        <v>3</v>
      </c>
      <c r="D22" s="172" t="inlineStr">
        <is>
          <t>Bethlehem, Fouriesburg, Witsieshoek</t>
        </is>
      </c>
      <c r="E22" s="191" t="n">
        <v>30.5</v>
      </c>
      <c r="F22" s="191" t="n">
        <v>75.7</v>
      </c>
      <c r="G22" s="192">
        <f>IF(COUNT(E22,F22)&lt;2,"",F22-E22)</f>
        <v/>
      </c>
      <c r="H22" s="172" t="inlineStr">
        <is>
          <t>Department of Mineral and Petroleum Resources, zone lists effective 2 April 2014 and 3 April 2024</t>
        </is>
      </c>
    </row>
    <row r="23">
      <c r="A23" s="170" t="inlineStr">
        <is>
          <t>8A</t>
        </is>
      </c>
      <c r="B23" s="172" t="inlineStr">
        <is>
          <t>Free State, Eastern Cape, Northern Cape</t>
        </is>
      </c>
      <c r="C23" s="190" t="n">
        <v>20</v>
      </c>
      <c r="D23" s="172" t="inlineStr">
        <is>
          <t>Barkly East, Bethulie, Colesberg, De Aar, Edenburg, Elliot</t>
        </is>
      </c>
      <c r="E23" s="191" t="n">
        <v>55.2</v>
      </c>
      <c r="F23" s="191" t="n">
        <v>87.59999999999999</v>
      </c>
      <c r="G23" s="192">
        <f>IF(COUNT(E23,F23)&lt;2,"",F23-E23)</f>
        <v/>
      </c>
      <c r="H23" s="172" t="inlineStr">
        <is>
          <t>Department of Mineral and Petroleum Resources, zone lists effective 2 April 2014 and 3 April 2024</t>
        </is>
      </c>
    </row>
    <row r="24">
      <c r="A24" s="170" t="inlineStr">
        <is>
          <t>9A</t>
        </is>
      </c>
      <c r="B24" s="172" t="inlineStr">
        <is>
          <t>Free State, Northern Cape</t>
        </is>
      </c>
      <c r="C24" s="190" t="n">
        <v>6</v>
      </c>
      <c r="D24" s="172" t="inlineStr">
        <is>
          <t>Britstown, Fauresmith, Hopetown, Koffiefontein, Philipstown, Prieska</t>
        </is>
      </c>
      <c r="E24" s="191" t="n">
        <v>72.09999999999999</v>
      </c>
      <c r="F24" s="191" t="n">
        <v>114.4</v>
      </c>
      <c r="G24" s="192">
        <f>IF(COUNT(E24,F24)&lt;2,"",F24-E24)</f>
        <v/>
      </c>
      <c r="H24" s="172" t="inlineStr">
        <is>
          <t>Department of Mineral and Petroleum Resources, zone lists effective 2 April 2014 and 3 April 2024</t>
        </is>
      </c>
    </row>
    <row r="25">
      <c r="A25" s="170" t="inlineStr">
        <is>
          <t>11C</t>
        </is>
      </c>
      <c r="B25" s="172" t="inlineStr">
        <is>
          <t>Free State, North West, Limpopo, Northern Cape</t>
        </is>
      </c>
      <c r="C25" s="190" t="n">
        <v>23</v>
      </c>
      <c r="D25" s="172" t="inlineStr">
        <is>
          <t>Barkly West, Bloemfontein, Boshof, Botshabelo, Delareyville, Dewetsdorp</t>
        </is>
      </c>
      <c r="E25" s="191" t="n">
        <v>59.2</v>
      </c>
      <c r="F25" s="191" t="n">
        <v>128</v>
      </c>
      <c r="G25" s="192">
        <f>IF(COUNT(E25,F25)&lt;2,"",F25-E25)</f>
        <v/>
      </c>
      <c r="H25" s="172" t="inlineStr">
        <is>
          <t>Department of Mineral and Petroleum Resources, zone lists effective 2 April 2014 and 3 April 2024</t>
        </is>
      </c>
    </row>
    <row r="26">
      <c r="A26" s="170" t="inlineStr">
        <is>
          <t>12C</t>
        </is>
      </c>
      <c r="B26" s="172" t="inlineStr">
        <is>
          <t>North West, Limpopo</t>
        </is>
      </c>
      <c r="C26" s="190" t="n">
        <v>6</v>
      </c>
      <c r="D26" s="172" t="inlineStr">
        <is>
          <t>Ditsobotla, Polokwane (Pietersburg) (south of tropic of capricorn), Seshego, Thabamoopo, Thabazimbi (east of 27o longitude), Vryburg (south of 26o30' latitude)</t>
        </is>
      </c>
      <c r="E26" s="191" t="n">
        <v>65</v>
      </c>
      <c r="F26" s="191" t="n">
        <v>132.8</v>
      </c>
      <c r="G26" s="192">
        <f>IF(COUNT(E26,F26)&lt;2,"",F26-E26)</f>
        <v/>
      </c>
      <c r="H26" s="172" t="inlineStr">
        <is>
          <t>Department of Mineral and Petroleum Resources, zone lists effective 2 April 2014 and 3 April 2024</t>
        </is>
      </c>
    </row>
    <row r="27">
      <c r="A27" s="170" t="inlineStr">
        <is>
          <t>13C</t>
        </is>
      </c>
      <c r="B27" s="172" t="inlineStr">
        <is>
          <t>North West, Limpopo, Northern Cape</t>
        </is>
      </c>
      <c r="C27" s="190" t="n">
        <v>14</v>
      </c>
      <c r="D27" s="172" t="inlineStr">
        <is>
          <t>Bochum, Dzanani Central (North of Makhado), Dzanani South (West of Makhado), Hlanganani, Kuruman (south of 27olatitude), Lephalale (Ellisras)</t>
        </is>
      </c>
      <c r="E27" s="191" t="n">
        <v>77.40000000000001</v>
      </c>
      <c r="F27" s="191" t="n">
        <v>152.3</v>
      </c>
      <c r="G27" s="192">
        <f>IF(COUNT(E27,F27)&lt;2,"",F27-E27)</f>
        <v/>
      </c>
      <c r="H27" s="172" t="inlineStr">
        <is>
          <t>Department of Mineral and Petroleum Resources, zone lists effective 2 April 2014 and 3 April 2024</t>
        </is>
      </c>
    </row>
    <row r="28">
      <c r="A28" s="170" t="inlineStr">
        <is>
          <t>15C</t>
        </is>
      </c>
      <c r="B28" s="172" t="inlineStr">
        <is>
          <t>North West</t>
        </is>
      </c>
      <c r="C28" s="190" t="n">
        <v>2</v>
      </c>
      <c r="D28" s="172" t="inlineStr">
        <is>
          <t>Ganyesa, Kudumane</t>
        </is>
      </c>
      <c r="E28" s="191" t="n">
        <v>80.8</v>
      </c>
      <c r="F28" s="191" t="n">
        <v>158.5</v>
      </c>
      <c r="G28" s="192">
        <f>IF(COUNT(E28,F28)&lt;2,"",F28-E28)</f>
        <v/>
      </c>
      <c r="H28" s="172" t="inlineStr">
        <is>
          <t>Department of Mineral and Petroleum Resources, zone lists effective 2 April 2014 and 3 April 2024</t>
        </is>
      </c>
    </row>
    <row r="29">
      <c r="A29" s="170" t="inlineStr">
        <is>
          <t>17C</t>
        </is>
      </c>
      <c r="B29" s="172" t="inlineStr">
        <is>
          <t>North West, Northern Cape</t>
        </is>
      </c>
      <c r="C29" s="190" t="n">
        <v>2</v>
      </c>
      <c r="D29" s="172" t="inlineStr">
        <is>
          <t>Kuruman (north of 27o latitude), Vryburg (west of 24o longitude)</t>
        </is>
      </c>
      <c r="E29" s="191" t="n">
        <v>93</v>
      </c>
      <c r="F29" s="191" t="n">
        <v>177.7</v>
      </c>
      <c r="G29" s="192">
        <f>IF(COUNT(E29,F29)&lt;2,"",F29-E29)</f>
        <v/>
      </c>
      <c r="H29" s="172" t="inlineStr">
        <is>
          <t>Department of Mineral and Petroleum Resources, zone lists effective 2 April 2014 and 3 April 2024</t>
        </is>
      </c>
    </row>
    <row r="30">
      <c r="A30" s="170" t="inlineStr">
        <is>
          <t>62C</t>
        </is>
      </c>
      <c r="B30" s="172" t="inlineStr">
        <is>
          <t>Limpopo</t>
        </is>
      </c>
      <c r="C30" s="190" t="n">
        <v>1</v>
      </c>
      <c r="D30" s="172" t="inlineStr">
        <is>
          <t>Lulekani</t>
        </is>
      </c>
      <c r="E30" s="191" t="n">
        <v>65</v>
      </c>
      <c r="F30" s="191" t="n">
        <v>132.8</v>
      </c>
      <c r="G30" s="192">
        <f>IF(COUNT(E30,F30)&lt;2,"",F30-E30)</f>
        <v/>
      </c>
      <c r="H30" s="172" t="inlineStr">
        <is>
          <t>Department of Mineral and Petroleum Resources, zone lists effective 2 April 2014 and 3 April 2024</t>
        </is>
      </c>
    </row>
    <row r="31">
      <c r="A31" s="170" t="inlineStr">
        <is>
          <t>63C</t>
        </is>
      </c>
      <c r="B31" s="172" t="inlineStr">
        <is>
          <t>Limpopo</t>
        </is>
      </c>
      <c r="C31" s="190" t="n">
        <v>7</v>
      </c>
      <c r="D31" s="172" t="inlineStr">
        <is>
          <t>Bolobedu, Letaba, Namakgale, Naphuno, Phalaborwa, Ritavi</t>
        </is>
      </c>
      <c r="E31" s="191" t="n">
        <v>77.40000000000001</v>
      </c>
      <c r="F31" s="191" t="n">
        <v>152.3</v>
      </c>
      <c r="G31" s="192">
        <f>IF(COUNT(E31,F31)&lt;2,"",F31-E31)</f>
        <v/>
      </c>
      <c r="H31" s="172" t="inlineStr">
        <is>
          <t>Department of Mineral and Petroleum Resources, zone lists effective 2 April 2014 and 3 April 2024</t>
        </is>
      </c>
    </row>
    <row r="32">
      <c r="A32" s="170" t="inlineStr">
        <is>
          <t>16C</t>
        </is>
      </c>
      <c r="B32" s="172" t="inlineStr">
        <is>
          <t>Limpopo</t>
        </is>
      </c>
      <c r="C32" s="190" t="n">
        <v>4</v>
      </c>
      <c r="D32" s="172" t="inlineStr">
        <is>
          <t>Mokerong 1 (East of Lephalale), Mokopane (Potgietersrus) (north of tropic of capricorn), Musina (Messina) (West of 30o longitude), Soutpansberg (west of 29o 30' longitude)</t>
        </is>
      </c>
      <c r="E32" s="191" t="n">
        <v>79.7</v>
      </c>
      <c r="F32" s="191" t="n">
        <v>155.9</v>
      </c>
      <c r="G32" s="192">
        <f>IF(COUNT(E32,F32)&lt;2,"",F32-E32)</f>
        <v/>
      </c>
      <c r="H32" s="172" t="inlineStr">
        <is>
          <t>Department of Mineral and Petroleum Resources, zone lists effective 2 April 2014 and 3 April 2024</t>
        </is>
      </c>
    </row>
    <row r="33">
      <c r="A33" s="170" t="inlineStr">
        <is>
          <t>64C</t>
        </is>
      </c>
      <c r="B33" s="172" t="inlineStr">
        <is>
          <t>Limpopo</t>
        </is>
      </c>
      <c r="C33" s="190" t="n">
        <v>2</v>
      </c>
      <c r="D33" s="172" t="inlineStr">
        <is>
          <t>Giyani, Malamulele</t>
        </is>
      </c>
      <c r="E33" s="191" t="n">
        <v>92.2</v>
      </c>
      <c r="F33" s="191" t="n">
        <v>175.8</v>
      </c>
      <c r="G33" s="192">
        <f>IF(COUNT(E33,F33)&lt;2,"",F33-E33)</f>
        <v/>
      </c>
      <c r="H33" s="172" t="inlineStr">
        <is>
          <t>Department of Mineral and Petroleum Resources, zone lists effective 2 April 2014 and 3 April 2024</t>
        </is>
      </c>
    </row>
    <row r="34">
      <c r="A34" s="170" t="inlineStr">
        <is>
          <t>14C</t>
        </is>
      </c>
      <c r="B34" s="172" t="inlineStr">
        <is>
          <t>Limpopo</t>
        </is>
      </c>
      <c r="C34" s="190" t="n">
        <v>3</v>
      </c>
      <c r="D34" s="172" t="inlineStr">
        <is>
          <t>Dzanani North (East of Musina), Musina (Messina) (East of 30o longitude), Mutale</t>
        </is>
      </c>
      <c r="E34" s="191" t="n">
        <v>92.2</v>
      </c>
      <c r="F34" s="191" t="n">
        <v>175.8</v>
      </c>
      <c r="G34" s="192">
        <f>IF(COUNT(E34,F34)&lt;2,"",F34-E34)</f>
        <v/>
      </c>
      <c r="H34" s="172" t="inlineStr">
        <is>
          <t>Department of Mineral and Petroleum Resources, zone lists effective 2 April 2014 and 3 April 2024</t>
        </is>
      </c>
    </row>
    <row r="35">
      <c r="A35" s="170" t="inlineStr">
        <is>
          <t>67C</t>
        </is>
      </c>
      <c r="B35" s="172" t="inlineStr">
        <is>
          <t>Limpopo</t>
        </is>
      </c>
      <c r="C35" s="190" t="n">
        <v>1</v>
      </c>
      <c r="D35" s="172" t="inlineStr">
        <is>
          <t>Thohoyandou (east of 31o longitude)</t>
        </is>
      </c>
      <c r="E35" s="191" t="n">
        <v>93</v>
      </c>
      <c r="F35" s="191" t="n">
        <v>177.7</v>
      </c>
      <c r="G35" s="192">
        <f>IF(COUNT(E35,F35)&lt;2,"",F35-E35)</f>
        <v/>
      </c>
      <c r="H35" s="172" t="inlineStr">
        <is>
          <t>Department of Mineral and Petroleum Resources, zone lists effective 2 April 2014 and 3 April 2024</t>
        </is>
      </c>
    </row>
    <row r="36">
      <c r="A36" s="189" t="inlineStr">
        <is>
          <t>1A (coast)</t>
        </is>
      </c>
      <c r="B36" s="172" t="inlineStr">
        <is>
          <t>KwaZulu Natal, Eastern Cape, Western Cape</t>
        </is>
      </c>
      <c r="C36" s="190" t="n">
        <v>17</v>
      </c>
      <c r="D36" s="172" t="inlineStr">
        <is>
          <t>Bellville, Cape Town, Chatsworth, Durban, East London, Goodwood</t>
        </is>
      </c>
      <c r="E36" s="191" t="n">
        <v>2.5</v>
      </c>
      <c r="F36" s="191" t="n">
        <v>3.8</v>
      </c>
      <c r="G36" s="192">
        <f>IF(COUNT(E36,F36)&lt;2,"",F36-E36)</f>
        <v/>
      </c>
      <c r="H36" s="172" t="inlineStr">
        <is>
          <t>Department of Mineral and Petroleum Resources, zone lists effective 2 April 2014 and 3 April 2024</t>
        </is>
      </c>
    </row>
    <row r="37">
      <c r="A37" s="170" t="inlineStr">
        <is>
          <t>2A</t>
        </is>
      </c>
      <c r="B37" s="172" t="inlineStr">
        <is>
          <t>KwaZulu Natal, Eastern Cape, Western Cape</t>
        </is>
      </c>
      <c r="C37" s="190" t="n">
        <v>9</v>
      </c>
      <c r="D37" s="172" t="inlineStr">
        <is>
          <t>Camperdown, Ndwedwe, Paarl, Somerset West, Stellenbosch, Strand</t>
        </is>
      </c>
      <c r="E37" s="191" t="n">
        <v>6.4</v>
      </c>
      <c r="F37" s="191" t="n">
        <v>10.1</v>
      </c>
      <c r="G37" s="192">
        <f>IF(COUNT(E37,F37)&lt;2,"",F37-E37)</f>
        <v/>
      </c>
      <c r="H37" s="172" t="inlineStr">
        <is>
          <t>Department of Mineral and Petroleum Resources, zone lists effective 2 April 2014 and 3 April 2024</t>
        </is>
      </c>
    </row>
    <row r="38">
      <c r="A38" s="170" t="inlineStr">
        <is>
          <t>3A</t>
        </is>
      </c>
      <c r="B38" s="172" t="inlineStr">
        <is>
          <t>KwaZulu Natal, Eastern Cape, Western Cape</t>
        </is>
      </c>
      <c r="C38" s="190" t="n">
        <v>11</v>
      </c>
      <c r="D38" s="172" t="inlineStr">
        <is>
          <t>George, Hankey, King Williams Town, Kirkwood, Komga, Lower Tugela</t>
        </is>
      </c>
      <c r="E38" s="191" t="n">
        <v>10</v>
      </c>
      <c r="F38" s="191" t="n">
        <v>15.8</v>
      </c>
      <c r="G38" s="192">
        <f>IF(COUNT(E38,F38)&lt;2,"",F38-E38)</f>
        <v/>
      </c>
      <c r="H38" s="172" t="inlineStr">
        <is>
          <t>Department of Mineral and Petroleum Resources, zone lists effective 2 April 2014 and 3 April 2024</t>
        </is>
      </c>
    </row>
    <row r="39">
      <c r="A39" s="170" t="inlineStr">
        <is>
          <t>4A</t>
        </is>
      </c>
      <c r="B39" s="172" t="inlineStr">
        <is>
          <t>KwaZulu Natal, Eastern Cape, Western Cape</t>
        </is>
      </c>
      <c r="C39" s="190" t="n">
        <v>18</v>
      </c>
      <c r="D39" s="172" t="inlineStr">
        <is>
          <t>Albany, Alexandria, Calitzdorp, Eshowe, Heidelberg (W.Cape), Ixopo</t>
        </is>
      </c>
      <c r="E39" s="191" t="n">
        <v>14.7</v>
      </c>
      <c r="F39" s="191" t="n">
        <v>23.2</v>
      </c>
      <c r="G39" s="192">
        <f>IF(COUNT(E39,F39)&lt;2,"",F39-E39)</f>
        <v/>
      </c>
      <c r="H39" s="172" t="inlineStr">
        <is>
          <t>Department of Mineral and Petroleum Resources, zone lists effective 2 April 2014 and 3 April 2024</t>
        </is>
      </c>
    </row>
    <row r="40">
      <c r="A40" s="170" t="inlineStr">
        <is>
          <t>3B</t>
        </is>
      </c>
      <c r="B40" s="172" t="inlineStr">
        <is>
          <t>KwaZulu Natal, Eastern Cape</t>
        </is>
      </c>
      <c r="C40" s="190" t="n">
        <v>4</v>
      </c>
      <c r="D40" s="172" t="inlineStr">
        <is>
          <t>Humansdorp, Lions River, New Hanover, Pietermaritzburg</t>
        </is>
      </c>
      <c r="E40" s="191" t="n">
        <v>15.3</v>
      </c>
      <c r="F40" s="191" t="n">
        <v>24.1</v>
      </c>
      <c r="G40" s="192">
        <f>IF(COUNT(E40,F40)&lt;2,"",F40-E40)</f>
        <v/>
      </c>
      <c r="H40" s="172" t="inlineStr">
        <is>
          <t>Department of Mineral and Petroleum Resources, zone lists effective 2 April 2014 and 3 April 2024</t>
        </is>
      </c>
    </row>
    <row r="41">
      <c r="A41" s="170" t="inlineStr">
        <is>
          <t>5A</t>
        </is>
      </c>
      <c r="B41" s="172" t="inlineStr">
        <is>
          <t>KwaZulu Natal, Eastern Cape, Western Cape</t>
        </is>
      </c>
      <c r="C41" s="190" t="n">
        <v>33</v>
      </c>
      <c r="D41" s="172" t="inlineStr">
        <is>
          <t>Adelaide, Alfred, Bathurst (Port Alfred), Bedford, Caledon, Cathcart</t>
        </is>
      </c>
      <c r="E41" s="191" t="n">
        <v>21.2</v>
      </c>
      <c r="F41" s="191" t="n">
        <v>33.6</v>
      </c>
      <c r="G41" s="192">
        <f>IF(COUNT(E41,F41)&lt;2,"",F41-E41)</f>
        <v/>
      </c>
      <c r="H41" s="172" t="inlineStr">
        <is>
          <t>Department of Mineral and Petroleum Resources, zone lists effective 2 April 2014 and 3 April 2024</t>
        </is>
      </c>
    </row>
    <row r="42">
      <c r="A42" s="170" t="inlineStr">
        <is>
          <t>5B</t>
        </is>
      </c>
      <c r="B42" s="172" t="inlineStr">
        <is>
          <t>KwaZulu Natal</t>
        </is>
      </c>
      <c r="C42" s="190" t="n">
        <v>8</v>
      </c>
      <c r="D42" s="172" t="inlineStr">
        <is>
          <t>Estcourt, Impendle, Mooirivier, Msinga, Polela, Umvoti</t>
        </is>
      </c>
      <c r="E42" s="191" t="n">
        <v>24.1</v>
      </c>
      <c r="F42" s="191" t="n">
        <v>38.1</v>
      </c>
      <c r="G42" s="192">
        <f>IF(COUNT(E42,F42)&lt;2,"",F42-E42)</f>
        <v/>
      </c>
      <c r="H42" s="172" t="inlineStr">
        <is>
          <t>Department of Mineral and Petroleum Resources, zone lists effective 2 April 2014 and 3 April 2024</t>
        </is>
      </c>
    </row>
    <row r="43">
      <c r="A43" s="170" t="inlineStr">
        <is>
          <t>6A</t>
        </is>
      </c>
      <c r="B43" s="172" t="inlineStr">
        <is>
          <t>KwaZulu Natal, Eastern Cape, Western Cape</t>
        </is>
      </c>
      <c r="C43" s="190" t="n">
        <v>7</v>
      </c>
      <c r="D43" s="172" t="inlineStr">
        <is>
          <t>Babanango, Bredasdorp, Glen Grey/Cacadu/Lady Frere, Mahlabatini, Molteno, Nongoma</t>
        </is>
      </c>
      <c r="E43" s="191" t="n">
        <v>30.7</v>
      </c>
      <c r="F43" s="191" t="n">
        <v>48.6</v>
      </c>
      <c r="G43" s="192">
        <f>IF(COUNT(E43,F43)&lt;2,"",F43-E43)</f>
        <v/>
      </c>
      <c r="H43" s="172" t="inlineStr">
        <is>
          <t>Department of Mineral and Petroleum Resources, zone lists effective 2 April 2014 and 3 April 2024</t>
        </is>
      </c>
    </row>
    <row r="44">
      <c r="A44" s="170" t="inlineStr">
        <is>
          <t>5C</t>
        </is>
      </c>
      <c r="B44" s="172" t="inlineStr">
        <is>
          <t>KwaZulu Natal</t>
        </is>
      </c>
      <c r="C44" s="190" t="n">
        <v>1</v>
      </c>
      <c r="D44" s="172" t="inlineStr">
        <is>
          <t>Kliprivier</t>
        </is>
      </c>
      <c r="E44" s="191" t="n">
        <v>9.6</v>
      </c>
      <c r="F44" s="191" t="n">
        <v>49.1</v>
      </c>
      <c r="G44" s="192">
        <f>IF(COUNT(E44,F44)&lt;2,"",F44-E44)</f>
        <v/>
      </c>
      <c r="H44" s="172" t="inlineStr">
        <is>
          <t>Department of Mineral and Petroleum Resources, zone lists effective 2 April 2014 and 3 April 2024</t>
        </is>
      </c>
    </row>
    <row r="45">
      <c r="A45" s="170" t="inlineStr">
        <is>
          <t>57A</t>
        </is>
      </c>
      <c r="B45" s="172" t="inlineStr">
        <is>
          <t>KwaZulu Natal, Eastern Cape</t>
        </is>
      </c>
      <c r="C45" s="190" t="n">
        <v>15</v>
      </c>
      <c r="D45" s="172" t="inlineStr">
        <is>
          <t>Engcobo, Hofmeyer, Indwe, Ingwavuma, Libode, Maluki (Matatiele)</t>
        </is>
      </c>
      <c r="E45" s="191" t="n">
        <v>39.1</v>
      </c>
      <c r="F45" s="191" t="n">
        <v>62</v>
      </c>
      <c r="G45" s="192">
        <f>IF(COUNT(E45,F45)&lt;2,"",F45-E45)</f>
        <v/>
      </c>
      <c r="H45" s="172" t="inlineStr">
        <is>
          <t>Department of Mineral and Petroleum Resources, zone lists effective 2 April 2014 and 3 April 2024</t>
        </is>
      </c>
    </row>
    <row r="46">
      <c r="A46" s="170" t="inlineStr">
        <is>
          <t>7B</t>
        </is>
      </c>
      <c r="B46" s="172" t="inlineStr">
        <is>
          <t>Eastern Cape, Western Cape</t>
        </is>
      </c>
      <c r="C46" s="190" t="n">
        <v>8</v>
      </c>
      <c r="D46" s="172" t="inlineStr">
        <is>
          <t>Clanwilliam, Jansenville, Joubertina, Laingsburg, Prince Albert, Somerset East</t>
        </is>
      </c>
      <c r="E46" s="191" t="n">
        <v>27</v>
      </c>
      <c r="F46" s="191" t="n">
        <v>42.8</v>
      </c>
      <c r="G46" s="192">
        <f>IF(COUNT(E46,F46)&lt;2,"",F46-E46)</f>
        <v/>
      </c>
      <c r="H46" s="172" t="inlineStr">
        <is>
          <t>Department of Mineral and Petroleum Resources, zone lists effective 2 April 2014 and 3 April 2024</t>
        </is>
      </c>
    </row>
    <row r="47">
      <c r="A47" s="170" t="inlineStr">
        <is>
          <t>9B</t>
        </is>
      </c>
      <c r="B47" s="172" t="inlineStr">
        <is>
          <t>Eastern Cape, Western Cape</t>
        </is>
      </c>
      <c r="C47" s="190" t="n">
        <v>7</v>
      </c>
      <c r="D47" s="172" t="inlineStr">
        <is>
          <t>Aberdeen, Bizana, Graaffreinett, Murraysburg, Sipangeni (Flagstaff), Van Rhynsdorp</t>
        </is>
      </c>
      <c r="E47" s="191" t="n">
        <v>34.9</v>
      </c>
      <c r="F47" s="191" t="n">
        <v>55.4</v>
      </c>
      <c r="G47" s="192">
        <f>IF(COUNT(E47,F47)&lt;2,"",F47-E47)</f>
        <v/>
      </c>
      <c r="H47" s="172" t="inlineStr">
        <is>
          <t>Department of Mineral and Petroleum Resources, zone lists effective 2 April 2014 and 3 April 2024</t>
        </is>
      </c>
    </row>
    <row r="48">
      <c r="A48" s="170" t="inlineStr">
        <is>
          <t>8B</t>
        </is>
      </c>
      <c r="B48" s="172" t="inlineStr">
        <is>
          <t>Eastern Cape, Western Cape, Northern Cape</t>
        </is>
      </c>
      <c r="C48" s="190" t="n">
        <v>4</v>
      </c>
      <c r="D48" s="172" t="inlineStr">
        <is>
          <t>Beaufort West, Cradock, Fraserburg, Pearston</t>
        </is>
      </c>
      <c r="E48" s="191" t="n">
        <v>37</v>
      </c>
      <c r="F48" s="191" t="n">
        <v>58.7</v>
      </c>
      <c r="G48" s="192">
        <f>IF(COUNT(E48,F48)&lt;2,"",F48-E48)</f>
        <v/>
      </c>
      <c r="H48" s="172" t="inlineStr">
        <is>
          <t>Department of Mineral and Petroleum Resources, zone lists effective 2 April 2014 and 3 April 2024</t>
        </is>
      </c>
    </row>
    <row r="49">
      <c r="A49" s="170" t="inlineStr">
        <is>
          <t>7A</t>
        </is>
      </c>
      <c r="B49" s="172" t="inlineStr">
        <is>
          <t>Eastern Cape, Northern Cape</t>
        </is>
      </c>
      <c r="C49" s="190" t="n">
        <v>6</v>
      </c>
      <c r="D49" s="172" t="inlineStr">
        <is>
          <t>Albert, Aliwal North, Noupoort, Steynsburg, Wodehouse, Xalanga</t>
        </is>
      </c>
      <c r="E49" s="191" t="n">
        <v>39.1</v>
      </c>
      <c r="F49" s="191" t="n">
        <v>62</v>
      </c>
      <c r="G49" s="192">
        <f>IF(COUNT(E49,F49)&lt;2,"",F49-E49)</f>
        <v/>
      </c>
      <c r="H49" s="172" t="inlineStr">
        <is>
          <t>Department of Mineral and Petroleum Resources, zone lists effective 2 April 2014 and 3 April 2024</t>
        </is>
      </c>
    </row>
    <row r="50">
      <c r="A50" s="170" t="inlineStr">
        <is>
          <t>10B</t>
        </is>
      </c>
      <c r="B50" s="172" t="inlineStr">
        <is>
          <t>Eastern Cape, Northern Cape</t>
        </is>
      </c>
      <c r="C50" s="190" t="n">
        <v>6</v>
      </c>
      <c r="D50" s="172" t="inlineStr">
        <is>
          <t>Carnavon, Kwabhaca (Mount Frere), Lusikisiki (PortStJohns), Maxesibeni (Mount Ayliff), Tabankulu, Williston</t>
        </is>
      </c>
      <c r="E50" s="191" t="n">
        <v>44.2</v>
      </c>
      <c r="F50" s="191" t="n">
        <v>70.09999999999999</v>
      </c>
      <c r="G50" s="192">
        <f>IF(COUNT(E50,F50)&lt;2,"",F50-E50)</f>
        <v/>
      </c>
      <c r="H50" s="172" t="inlineStr">
        <is>
          <t>Department of Mineral and Petroleum Resources, zone lists effective 2 April 2014 and 3 April 2024</t>
        </is>
      </c>
    </row>
    <row r="51">
      <c r="A51" s="170" t="inlineStr">
        <is>
          <t>12B</t>
        </is>
      </c>
      <c r="B51" s="172" t="inlineStr">
        <is>
          <t>Eastern Cape, Northern Cape</t>
        </is>
      </c>
      <c r="C51" s="190" t="n">
        <v>5</v>
      </c>
      <c r="D51" s="172" t="inlineStr">
        <is>
          <t>Calvinia (west of 20o longitude), Mount Fletcher, Sutherland, Umzimvubu, Victoria West</t>
        </is>
      </c>
      <c r="E51" s="191" t="n">
        <v>47.8</v>
      </c>
      <c r="F51" s="191" t="n">
        <v>75.8</v>
      </c>
      <c r="G51" s="192">
        <f>IF(COUNT(E51,F51)&lt;2,"",F51-E51)</f>
        <v/>
      </c>
      <c r="H51" s="172" t="inlineStr">
        <is>
          <t>Department of Mineral and Petroleum Resources, zone lists effective 2 April 2014 and 3 April 2024</t>
        </is>
      </c>
    </row>
    <row r="52">
      <c r="A52" s="170" t="inlineStr">
        <is>
          <t>6B</t>
        </is>
      </c>
      <c r="B52" s="172" t="inlineStr">
        <is>
          <t>Western Cape</t>
        </is>
      </c>
      <c r="C52" s="190" t="n">
        <v>3</v>
      </c>
      <c r="D52" s="172" t="inlineStr">
        <is>
          <t>Ladismith (Cape), Piketberg, Uniondale</t>
        </is>
      </c>
      <c r="E52" s="191" t="n">
        <v>19</v>
      </c>
      <c r="F52" s="191" t="n">
        <v>30.1</v>
      </c>
      <c r="G52" s="192">
        <f>IF(COUNT(E52,F52)&lt;2,"",F52-E52)</f>
        <v/>
      </c>
      <c r="H52" s="172" t="inlineStr">
        <is>
          <t>Department of Mineral and Petroleum Resources, zone lists effective 2 April 2014 and 3 April 2024</t>
        </is>
      </c>
    </row>
    <row r="53">
      <c r="A53" s="170" t="inlineStr">
        <is>
          <t>14B</t>
        </is>
      </c>
      <c r="B53" s="172" t="inlineStr">
        <is>
          <t>Northern Cape</t>
        </is>
      </c>
      <c r="C53" s="190" t="n">
        <v>1</v>
      </c>
      <c r="D53" s="172" t="inlineStr">
        <is>
          <t>Calvinia (east of 20o longitude)</t>
        </is>
      </c>
      <c r="E53" s="191" t="n">
        <v>55.9</v>
      </c>
      <c r="F53" s="191" t="n">
        <v>88.59999999999999</v>
      </c>
      <c r="G53" s="192">
        <f>IF(COUNT(E53,F53)&lt;2,"",F53-E53)</f>
        <v/>
      </c>
      <c r="H53" s="172" t="inlineStr">
        <is>
          <t>Department of Mineral and Petroleum Resources, zone lists effective 2 April 2014 and 3 April 2024</t>
        </is>
      </c>
    </row>
    <row r="54">
      <c r="A54" s="170" t="inlineStr">
        <is>
          <t>31J</t>
        </is>
      </c>
      <c r="B54" s="172" t="inlineStr">
        <is>
          <t>Northern Cape</t>
        </is>
      </c>
      <c r="C54" s="190" t="n">
        <v>1</v>
      </c>
      <c r="D54" s="172" t="inlineStr">
        <is>
          <t>Namakwaland South (south of 30o latitude)</t>
        </is>
      </c>
      <c r="E54" s="191" t="n">
        <v>56.1</v>
      </c>
      <c r="F54" s="191" t="n">
        <v>89</v>
      </c>
      <c r="G54" s="192">
        <f>IF(COUNT(E54,F54)&lt;2,"",F54-E54)</f>
        <v/>
      </c>
      <c r="H54" s="172" t="inlineStr">
        <is>
          <t>Department of Mineral and Petroleum Resources, zone lists effective 2 April 2014 and 3 April 2024</t>
        </is>
      </c>
    </row>
    <row r="55">
      <c r="A55" s="170" t="inlineStr">
        <is>
          <t>32J</t>
        </is>
      </c>
      <c r="B55" s="172" t="inlineStr">
        <is>
          <t>Northern Cape</t>
        </is>
      </c>
      <c r="C55" s="190" t="n">
        <v>1</v>
      </c>
      <c r="D55" s="172" t="inlineStr">
        <is>
          <t>Namakwaland Central (between 29o and 30o latitude and between 17o30' and 18o30' longitude)</t>
        </is>
      </c>
      <c r="E55" s="191" t="n">
        <v>76.3</v>
      </c>
      <c r="F55" s="191" t="n">
        <v>114.5</v>
      </c>
      <c r="G55" s="192">
        <f>IF(COUNT(E55,F55)&lt;2,"",F55-E55)</f>
        <v/>
      </c>
      <c r="H55" s="172" t="inlineStr">
        <is>
          <t>Department of Mineral and Petroleum Resources, zone lists effective 2 April 2014 and 3 April 2024</t>
        </is>
      </c>
    </row>
    <row r="56">
      <c r="A56" s="170" t="inlineStr">
        <is>
          <t>34J</t>
        </is>
      </c>
      <c r="B56" s="172" t="inlineStr">
        <is>
          <t>Northern Cape</t>
        </is>
      </c>
      <c r="C56" s="190" t="n">
        <v>1</v>
      </c>
      <c r="D56" s="172" t="inlineStr">
        <is>
          <t>Namakwaland Vioolsdrif (north of 29o latitude and east of 17o longitude)</t>
        </is>
      </c>
      <c r="E56" s="191" t="n">
        <v>85.90000000000001</v>
      </c>
      <c r="F56" s="191" t="n">
        <v>130.7</v>
      </c>
      <c r="G56" s="192">
        <f>IF(COUNT(E56,F56)&lt;2,"",F56-E56)</f>
        <v/>
      </c>
      <c r="H56" s="172" t="inlineStr">
        <is>
          <t>Department of Mineral and Petroleum Resources, zone lists effective 2 April 2014 and 3 April 2024</t>
        </is>
      </c>
    </row>
    <row r="57">
      <c r="A57" s="170" t="inlineStr">
        <is>
          <t>33J</t>
        </is>
      </c>
      <c r="B57" s="172" t="inlineStr">
        <is>
          <t>Northern Cape</t>
        </is>
      </c>
      <c r="C57" s="190" t="n">
        <v>1</v>
      </c>
      <c r="D57" s="172" t="inlineStr">
        <is>
          <t>Namakwaland Aggeneys(east of 18o30' longitude and north of 30o latitude)</t>
        </is>
      </c>
      <c r="E57" s="191" t="n">
        <v>87.3</v>
      </c>
      <c r="F57" s="191" t="n">
        <v>133.3</v>
      </c>
      <c r="G57" s="192">
        <f>IF(COUNT(E57,F57)&lt;2,"",F57-E57)</f>
        <v/>
      </c>
      <c r="H57" s="172" t="inlineStr">
        <is>
          <t>Department of Mineral and Petroleum Resources, zone lists effective 2 April 2014 and 3 April 2024</t>
        </is>
      </c>
    </row>
    <row r="58">
      <c r="A58" s="170" t="inlineStr">
        <is>
          <t>15A</t>
        </is>
      </c>
      <c r="B58" s="172" t="inlineStr">
        <is>
          <t>Northern Cape</t>
        </is>
      </c>
      <c r="C58" s="190" t="n">
        <v>1</v>
      </c>
      <c r="D58" s="172" t="inlineStr">
        <is>
          <t>Kenhardt (east of 20o longitude)</t>
        </is>
      </c>
      <c r="E58" s="191" t="n">
        <v>84.7</v>
      </c>
      <c r="F58" s="191" t="n">
        <v>134</v>
      </c>
      <c r="G58" s="192">
        <f>IF(COUNT(E58,F58)&lt;2,"",F58-E58)</f>
        <v/>
      </c>
      <c r="H58" s="172" t="inlineStr">
        <is>
          <t>Department of Mineral and Petroleum Resources, zone lists effective 2 April 2014 and 3 April 2024</t>
        </is>
      </c>
    </row>
    <row r="59">
      <c r="A59" s="170" t="inlineStr">
        <is>
          <t>36J</t>
        </is>
      </c>
      <c r="B59" s="172" t="inlineStr">
        <is>
          <t>Northern Cape</t>
        </is>
      </c>
      <c r="C59" s="190" t="n">
        <v>1</v>
      </c>
      <c r="D59" s="172" t="inlineStr">
        <is>
          <t>Namakwaland Kleinsee (between 29o and 30o latitude and between 17o and 17o30' longitude)</t>
        </is>
      </c>
      <c r="E59" s="191" t="n">
        <v>89.7</v>
      </c>
      <c r="F59" s="191" t="n">
        <v>138.4</v>
      </c>
      <c r="G59" s="192">
        <f>IF(COUNT(E59,F59)&lt;2,"",F59-E59)</f>
        <v/>
      </c>
      <c r="H59" s="172" t="inlineStr">
        <is>
          <t>Department of Mineral and Petroleum Resources, zone lists effective 2 April 2014 and 3 April 2024</t>
        </is>
      </c>
    </row>
    <row r="60">
      <c r="A60" s="170" t="inlineStr">
        <is>
          <t>35J</t>
        </is>
      </c>
      <c r="B60" s="172" t="inlineStr">
        <is>
          <t>Northern Cape</t>
        </is>
      </c>
      <c r="C60" s="190" t="n">
        <v>1</v>
      </c>
      <c r="D60" s="172" t="inlineStr">
        <is>
          <t>Namakwaland Port Nolloth (south of 29o latitude and west of 17o longitude)</t>
        </is>
      </c>
      <c r="E60" s="191" t="n">
        <v>89.7</v>
      </c>
      <c r="F60" s="191" t="n">
        <v>138.8</v>
      </c>
      <c r="G60" s="192">
        <f>IF(COUNT(E60,F60)&lt;2,"",F60-E60)</f>
        <v/>
      </c>
      <c r="H60" s="172" t="inlineStr">
        <is>
          <t>Department of Mineral and Petroleum Resources, zone lists effective 2 April 2014 and 3 April 2024</t>
        </is>
      </c>
    </row>
    <row r="61">
      <c r="A61" s="170" t="inlineStr">
        <is>
          <t>37J</t>
        </is>
      </c>
      <c r="B61" s="172" t="inlineStr">
        <is>
          <t>Northern Cape</t>
        </is>
      </c>
      <c r="C61" s="190" t="n">
        <v>1</v>
      </c>
      <c r="D61" s="172" t="inlineStr">
        <is>
          <t>Namakwaland Alexander Bay (north of 29o latitude and west of 17o longitude)</t>
        </is>
      </c>
      <c r="E61" s="191" t="n">
        <v>99.7</v>
      </c>
      <c r="F61" s="191" t="n">
        <v>155.7</v>
      </c>
      <c r="G61" s="192">
        <f>IF(COUNT(E61,F61)&lt;2,"",F61-E61)</f>
        <v/>
      </c>
      <c r="H61" s="172" t="inlineStr">
        <is>
          <t>Department of Mineral and Petroleum Resources, zone lists effective 2 April 2014 and 3 April 2024</t>
        </is>
      </c>
    </row>
    <row r="62">
      <c r="A62" s="170" t="inlineStr">
        <is>
          <t>69A</t>
        </is>
      </c>
      <c r="B62" s="172" t="inlineStr">
        <is>
          <t>Northern Cape</t>
        </is>
      </c>
      <c r="C62" s="190" t="n">
        <v>1</v>
      </c>
      <c r="D62" s="172" t="inlineStr">
        <is>
          <t>Kenhardt (west of 20o longitude)</t>
        </is>
      </c>
      <c r="E62" s="191" t="n">
        <v>106.6</v>
      </c>
      <c r="F62" s="191" t="n">
        <v>167.3</v>
      </c>
      <c r="G62" s="192">
        <f>IF(COUNT(E62,F62)&lt;2,"",F62-E62)</f>
        <v/>
      </c>
      <c r="H62" s="172" t="inlineStr">
        <is>
          <t>Department of Mineral and Petroleum Resources, zone lists effective 2 April 2014 and 3 April 2024</t>
        </is>
      </c>
    </row>
    <row r="63">
      <c r="A63" s="170" t="inlineStr">
        <is>
          <t>19A</t>
        </is>
      </c>
      <c r="B63" s="172" t="inlineStr">
        <is>
          <t>Northern Cape</t>
        </is>
      </c>
      <c r="C63" s="190" t="n">
        <v>1</v>
      </c>
      <c r="D63" s="172" t="inlineStr">
        <is>
          <t>Gordonia (north of 27o30' latitude)</t>
        </is>
      </c>
      <c r="E63" s="191" t="n">
        <v>106.6</v>
      </c>
      <c r="F63" s="191" t="n">
        <v>167.3</v>
      </c>
      <c r="G63" s="192">
        <f>IF(COUNT(E63,F63)&lt;2,"",F63-E63)</f>
        <v/>
      </c>
      <c r="H63" s="172" t="inlineStr">
        <is>
          <t>Department of Mineral and Petroleum Resources, zone lists effective 2 April 2014 and 3 April 2024</t>
        </is>
      </c>
    </row>
    <row r="64">
      <c r="A64" s="170" t="inlineStr">
        <is>
          <t>11A</t>
        </is>
      </c>
      <c r="B64" s="172" t="inlineStr">
        <is>
          <t>Northern Cape</t>
        </is>
      </c>
      <c r="C64" s="190" t="n">
        <v>1</v>
      </c>
      <c r="D64" s="172" t="inlineStr">
        <is>
          <t>Hay</t>
        </is>
      </c>
      <c r="E64" s="191" t="n">
        <v>87.5</v>
      </c>
      <c r="F64" s="191" t="n">
        <v>169.9</v>
      </c>
      <c r="G64" s="192">
        <f>IF(COUNT(E64,F64)&lt;2,"",F64-E64)</f>
        <v/>
      </c>
      <c r="H64" s="172" t="inlineStr">
        <is>
          <t>Department of Mineral and Petroleum Resources, zone lists effective 2 April 2014 and 3 April 2024</t>
        </is>
      </c>
    </row>
    <row r="65">
      <c r="A65" s="170" t="inlineStr">
        <is>
          <t>13A</t>
        </is>
      </c>
      <c r="B65" s="172" t="inlineStr">
        <is>
          <t>Northern Cape</t>
        </is>
      </c>
      <c r="C65" s="190" t="n">
        <v>1</v>
      </c>
      <c r="D65" s="172" t="inlineStr">
        <is>
          <t>Gordonia (south of 28o latitude)</t>
        </is>
      </c>
      <c r="E65" s="191" t="n">
        <v>88.7</v>
      </c>
      <c r="F65" s="191" t="n">
        <v>178.2</v>
      </c>
      <c r="G65" s="192">
        <f>IF(COUNT(E65,F65)&lt;2,"",F65-E65)</f>
        <v/>
      </c>
      <c r="H65" s="172" t="inlineStr">
        <is>
          <t>Department of Mineral and Petroleum Resources, zone lists effective 2 April 2014 and 3 April 2024</t>
        </is>
      </c>
    </row>
    <row r="66">
      <c r="A66" s="170" t="inlineStr">
        <is>
          <t>17A</t>
        </is>
      </c>
      <c r="B66" s="172" t="inlineStr">
        <is>
          <t>Northern Cape</t>
        </is>
      </c>
      <c r="C66" s="190" t="n">
        <v>1</v>
      </c>
      <c r="D66" s="172" t="inlineStr">
        <is>
          <t>Gordonia Central (between 27o30' and 28o latituded)</t>
        </is>
      </c>
      <c r="E66" s="191" t="n">
        <v>99.8</v>
      </c>
      <c r="F66" s="191" t="n">
        <v>179.6</v>
      </c>
      <c r="G66" s="192">
        <f>IF(COUNT(E66,F66)&lt;2,"",F66-E66)</f>
        <v/>
      </c>
      <c r="H66" s="172" t="inlineStr">
        <is>
          <t>Department of Mineral and Petroleum Resources, zone lists effective 2 April 2014 and 3 April 2024</t>
        </is>
      </c>
    </row>
    <row r="67">
      <c r="A67" s="170" t="inlineStr">
        <is>
          <t>60C</t>
        </is>
      </c>
      <c r="B67" s="172" t="inlineStr">
        <is>
          <t>Not in the 2014 district list</t>
        </is>
      </c>
      <c r="C67" s="190" t="n"/>
      <c r="D67" s="172" t="inlineStr"/>
      <c r="E67" s="191" t="n">
        <v>44.3</v>
      </c>
      <c r="F67" s="191" t="n">
        <v>104</v>
      </c>
      <c r="G67" s="192">
        <f>IF(COUNT(E67,F67)&lt;2,"",F67-E67)</f>
        <v/>
      </c>
      <c r="H67" s="172" t="inlineStr">
        <is>
          <t>Department of Mineral and Petroleum Resources, zone lists effective 2 April 2014 and 3 April 2024</t>
        </is>
      </c>
    </row>
    <row r="68">
      <c r="A68" s="170" t="inlineStr">
        <is>
          <t>10A</t>
        </is>
      </c>
      <c r="B68" s="172" t="inlineStr">
        <is>
          <t>Not in the 2014 district list</t>
        </is>
      </c>
      <c r="C68" s="190" t="n"/>
      <c r="D68" s="172" t="inlineStr"/>
      <c r="E68" s="191" t="n">
        <v>82.59999999999999</v>
      </c>
      <c r="F68" s="191" t="n">
        <v>121.5</v>
      </c>
      <c r="G68" s="192">
        <f>IF(COUNT(E68,F68)&lt;2,"",F68-E68)</f>
        <v/>
      </c>
      <c r="H68" s="172" t="inlineStr">
        <is>
          <t>Department of Mineral and Petroleum Resources, zone lists effective 2 April 2014 and 3 April 2024</t>
        </is>
      </c>
    </row>
  </sheetData>
  <mergeCells count="7">
    <mergeCell ref="E10:G10"/>
    <mergeCell ref="E11:G11"/>
    <mergeCell ref="E5:G5"/>
    <mergeCell ref="E8:G8"/>
    <mergeCell ref="E9:G9"/>
    <mergeCell ref="E7:G7"/>
    <mergeCell ref="E6:G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4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6" customWidth="1" min="3" max="3"/>
    <col width="20" customWidth="1" min="4" max="4"/>
    <col width="24" customWidth="1" min="5" max="5"/>
    <col width="14" customWidth="1" min="6" max="6"/>
    <col width="44" customWidth="1" min="7" max="7"/>
    <col width="12" customWidth="1" min="8" max="8"/>
    <col width="60" customWidth="1" min="9" max="9"/>
  </cols>
  <sheetData>
    <row r="1">
      <c r="A1" s="149" t="inlineStr">
        <is>
          <t>DR07 Demand evidence: what calibrates the demand levers</t>
        </is>
      </c>
    </row>
    <row r="2">
      <c r="A2" s="1" t="inlineStr">
        <is>
          <t>15 facts read from sources, 5 calculated, 8 not available (yellow). Each row gives its source. Built by python -m lfm.scripts.build_dr07_demand_evidence.</t>
        </is>
      </c>
    </row>
    <row r="4">
      <c r="A4" s="150" t="inlineStr">
        <is>
          <t>Item</t>
        </is>
      </c>
      <c r="B4" s="150" t="inlineStr">
        <is>
          <t>Covers</t>
        </is>
      </c>
      <c r="C4" s="150" t="inlineStr">
        <is>
          <t>Value</t>
        </is>
      </c>
      <c r="D4" s="150" t="inlineStr">
        <is>
          <t>Unit</t>
        </is>
      </c>
      <c r="E4" s="150" t="inlineStr">
        <is>
          <t>Period</t>
        </is>
      </c>
      <c r="F4" s="150" t="inlineStr">
        <is>
          <t>Status</t>
        </is>
      </c>
      <c r="G4" s="150" t="inlineStr">
        <is>
          <t>Source</t>
        </is>
      </c>
      <c r="H4" s="150" t="inlineStr">
        <is>
          <t>Page</t>
        </is>
      </c>
      <c r="I4" s="150" t="inlineStr">
        <is>
          <t>Open gap</t>
        </is>
      </c>
    </row>
    <row r="5">
      <c r="A5" s="151" t="inlineStr">
        <is>
          <t>Power generation</t>
        </is>
      </c>
      <c r="B5" s="151" t="n"/>
      <c r="C5" s="151" t="n"/>
      <c r="D5" s="151" t="n"/>
      <c r="E5" s="151" t="n"/>
      <c r="F5" s="151" t="n"/>
      <c r="G5" s="151" t="n"/>
      <c r="H5" s="151" t="n"/>
      <c r="I5" s="151" t="n"/>
    </row>
    <row r="6">
      <c r="A6" s="152" t="inlineStr">
        <is>
          <t>Fuel burned at Eskom's turbines, as reported</t>
        </is>
      </c>
      <c r="B6" s="152" t="inlineStr">
        <is>
          <t>Eskom: Ankerlig, Gourikwa, Acacia, Port Rex</t>
        </is>
      </c>
      <c r="C6" s="152" t="inlineStr">
        <is>
          <t>458.7; 580.4; 937.5; 1,129.5; 679.1</t>
        </is>
      </c>
      <c r="D6" s="152" t="inlineStr">
        <is>
          <t>million litres</t>
        </is>
      </c>
      <c r="E6" s="152" t="inlineStr">
        <is>
          <t>years to March 2021; 2022; 2023; 2024; 2025</t>
        </is>
      </c>
      <c r="F6" s="152" t="inlineStr">
        <is>
          <t>observed</t>
        </is>
      </c>
      <c r="G6" s="152" t="inlineStr">
        <is>
          <t>Eskom Integrated Report 2025, technical statistics</t>
        </is>
      </c>
      <c r="H6" s="152" t="inlineStr">
        <is>
          <t>PDF p.141</t>
        </is>
      </c>
      <c r="I6" s="152" t="inlineStr">
        <is>
          <t>Eskom reports diesel and kerosene together. Acacia and Port Rex burn kerosene and are 342 MW of Eskom's 2,426 MW, so nearly all of it is diesel. Ten years (2016-2025) are on the DR07 power diesel sheet. 2026 is not yet reported.</t>
        </is>
      </c>
    </row>
    <row r="7">
      <c r="A7" s="152" t="inlineStr">
        <is>
          <t>Electricity generated at Eskom's turbines</t>
        </is>
      </c>
      <c r="B7" s="152" t="inlineStr">
        <is>
          <t>Eskom</t>
        </is>
      </c>
      <c r="C7" s="152" t="inlineStr">
        <is>
          <t>1,826; 3,018; 3,634; 2,176; 811</t>
        </is>
      </c>
      <c r="D7" s="152" t="inlineStr">
        <is>
          <t>GWh</t>
        </is>
      </c>
      <c r="E7" s="152" t="inlineStr">
        <is>
          <t>years to March 2022; 2023; 2024; 2025; 2026</t>
        </is>
      </c>
      <c r="F7" s="152" t="inlineStr">
        <is>
          <t>observed</t>
        </is>
      </c>
      <c r="G7" s="152" t="inlineStr">
        <is>
          <t>Eskom data portal and reports</t>
        </is>
      </c>
      <c r="H7" s="152" t="inlineStr"/>
      <c r="I7" s="152" t="inlineStr"/>
    </row>
    <row r="8">
      <c r="A8" s="156" t="inlineStr">
        <is>
          <t>Litres burned per kWh, implied</t>
        </is>
      </c>
      <c r="B8" s="156" t="inlineStr">
        <is>
          <t>Eskom</t>
        </is>
      </c>
      <c r="C8" s="156" t="inlineStr">
        <is>
          <t>0.311; 0.311; 0.312</t>
        </is>
      </c>
      <c r="D8" s="156" t="inlineStr">
        <is>
          <t>litres per kWh</t>
        </is>
      </c>
      <c r="E8" s="156" t="inlineStr">
        <is>
          <t>years to March 2023; 2024; 2025</t>
        </is>
      </c>
      <c r="F8" s="156" t="inlineStr">
        <is>
          <t>inferred</t>
        </is>
      </c>
      <c r="G8" s="156" t="inlineStr">
        <is>
          <t>Reported fuel divided by reported generation</t>
        </is>
      </c>
      <c r="H8" s="156" t="inlineStr"/>
      <c r="I8" s="156" t="inlineStr">
        <is>
          <t>Confirms the 0.31 litres per kWh used on the Power fleet sheet.</t>
        </is>
      </c>
    </row>
    <row r="9">
      <c r="A9" s="152" t="inlineStr">
        <is>
          <t>Electricity generated at independent diesel plants</t>
        </is>
      </c>
      <c r="B9" s="152" t="inlineStr">
        <is>
          <t>Avon and Dedisa</t>
        </is>
      </c>
      <c r="C9" s="152" t="inlineStr">
        <is>
          <t>1,098; 1,509; 662; 268</t>
        </is>
      </c>
      <c r="D9" s="152" t="inlineStr">
        <is>
          <t>GWh</t>
        </is>
      </c>
      <c r="E9" s="152" t="inlineStr">
        <is>
          <t>years to March 2023; 2024; 2025; 2026</t>
        </is>
      </c>
      <c r="F9" s="152" t="inlineStr">
        <is>
          <t>observed</t>
        </is>
      </c>
      <c r="G9" s="152" t="inlineStr">
        <is>
          <t>Eskom data portal and reports</t>
        </is>
      </c>
      <c r="H9" s="152" t="inlineStr"/>
      <c r="I9" s="152" t="inlineStr"/>
    </row>
    <row r="10">
      <c r="A10" s="156" t="inlineStr">
        <is>
          <t>Diesel burned at independent plants, estimated</t>
        </is>
      </c>
      <c r="B10" s="156" t="inlineStr">
        <is>
          <t>Avon and Dedisa</t>
        </is>
      </c>
      <c r="C10" s="156" t="inlineStr">
        <is>
          <t>340; 468; 205; 83</t>
        </is>
      </c>
      <c r="D10" s="156" t="inlineStr">
        <is>
          <t>million litres</t>
        </is>
      </c>
      <c r="E10" s="156" t="inlineStr">
        <is>
          <t>years to March 2023; 2024; 2025; 2026</t>
        </is>
      </c>
      <c r="F10" s="156" t="inlineStr">
        <is>
          <t>inferred</t>
        </is>
      </c>
      <c r="G10" s="156" t="inlineStr">
        <is>
          <t>Generation x 0.31 litres per kWh</t>
        </is>
      </c>
      <c r="H10" s="156" t="inlineStr"/>
      <c r="I10" s="156" t="inlineStr">
        <is>
          <t>The producers do not report litres. Uses Eskom's implied rate.</t>
        </is>
      </c>
    </row>
    <row r="11">
      <c r="A11" s="162" t="inlineStr">
        <is>
          <t>Diesel burned in private backup generators</t>
        </is>
      </c>
      <c r="B11" s="162" t="inlineStr">
        <is>
          <t>Businesses and households</t>
        </is>
      </c>
      <c r="C11" s="162" t="inlineStr">
        <is>
          <t>Not available</t>
        </is>
      </c>
      <c r="D11" s="162" t="inlineStr">
        <is>
          <t>million litres</t>
        </is>
      </c>
      <c r="E11" s="162" t="inlineStr"/>
      <c r="F11" s="162" t="inlineStr">
        <is>
          <t>not available</t>
        </is>
      </c>
      <c r="G11" s="162" t="inlineStr">
        <is>
          <t>None found</t>
        </is>
      </c>
      <c r="H11" s="162" t="inlineStr"/>
      <c r="I11" s="162" t="inlineStr">
        <is>
          <t>No source measures it. It is inside recorded diesel sales and cannot be separated.</t>
        </is>
      </c>
    </row>
    <row r="12">
      <c r="A12" s="152" t="inlineStr">
        <is>
          <t>Diesel stations and capacity</t>
        </is>
      </c>
      <c r="B12" s="152" t="inlineStr">
        <is>
          <t>Ankerlig; Gourikwa; Avon; Dedisa</t>
        </is>
      </c>
      <c r="C12" s="152" t="inlineStr">
        <is>
          <t>1,338; 746; 670; 335</t>
        </is>
      </c>
      <c r="D12" s="152" t="inlineStr">
        <is>
          <t>MW</t>
        </is>
      </c>
      <c r="E12" s="152" t="inlineStr">
        <is>
          <t>current</t>
        </is>
      </c>
      <c r="F12" s="152" t="inlineStr">
        <is>
          <t>observed</t>
        </is>
      </c>
      <c r="G12" s="152" t="inlineStr">
        <is>
          <t>Eskom fact sheet GX 0001 (July 2024); African Energy (2015)</t>
        </is>
      </c>
      <c r="H12" s="152" t="inlineStr"/>
      <c r="I12" s="152" t="inlineStr">
        <is>
          <t>Avon began in July 2016 and Dedisa in October 2015; their agreements end in 2031 and 2030.</t>
        </is>
      </c>
    </row>
    <row r="13">
      <c r="A13" s="152" t="inlineStr">
        <is>
          <t>Coal stations retiring</t>
        </is>
      </c>
      <c r="B13" s="152" t="inlineStr">
        <is>
          <t>Komati; Camden; Grootvlei; Hendrina; Arnot; Kriel; Duvha; Matla</t>
        </is>
      </c>
      <c r="C13" s="152" t="inlineStr">
        <is>
          <t>2022; 2029; 2029; 2029; 2029; 2029; 2033; 2033</t>
        </is>
      </c>
      <c r="D13" s="152" t="inlineStr">
        <is>
          <t>last full year</t>
        </is>
      </c>
      <c r="E13" s="152" t="inlineStr"/>
      <c r="F13" s="152" t="inlineStr">
        <is>
          <t>observed</t>
        </is>
      </c>
      <c r="G13" s="152" t="inlineStr">
        <is>
          <t>Eskom statements and press reports named in the file</t>
        </is>
      </c>
      <c r="H13" s="152" t="inlineStr"/>
      <c r="I13" s="152" t="inlineStr">
        <is>
          <t>Eskom's decision on five of them, due end September 2026, had not been announced by 8 October.</t>
        </is>
      </c>
    </row>
    <row r="14">
      <c r="A14" s="162" t="inlineStr">
        <is>
          <t>New gas or diesel plant: commissioning dates</t>
        </is>
      </c>
      <c r="B14" s="162" t="inlineStr">
        <is>
          <t>Independent producers and Eskom</t>
        </is>
      </c>
      <c r="C14" s="162" t="inlineStr">
        <is>
          <t>Not available</t>
        </is>
      </c>
      <c r="D14" s="162" t="inlineStr">
        <is>
          <t>MW by year</t>
        </is>
      </c>
      <c r="E14" s="162" t="inlineStr"/>
      <c r="F14" s="162" t="inlineStr">
        <is>
          <t>not available</t>
        </is>
      </c>
      <c r="G14" s="162" t="inlineStr">
        <is>
          <t>None found with dates</t>
        </is>
      </c>
      <c r="H14" s="162" t="inlineStr"/>
      <c r="I14" s="162" t="inlineStr">
        <is>
          <t>The Integrated Resource Plan gives totals, not plant dates. Needed to place diesel backup at new gas plant.</t>
        </is>
      </c>
    </row>
    <row r="16">
      <c r="A16" s="151" t="inlineStr">
        <is>
          <t>Vehicle fleet</t>
        </is>
      </c>
      <c r="B16" s="151" t="n"/>
      <c r="C16" s="151" t="n"/>
      <c r="D16" s="151" t="n"/>
      <c r="E16" s="151" t="n"/>
      <c r="F16" s="151" t="n"/>
      <c r="G16" s="151" t="n"/>
      <c r="H16" s="151" t="n"/>
      <c r="I16" s="151" t="n"/>
    </row>
    <row r="17">
      <c r="A17" s="152" t="inlineStr">
        <is>
          <t>Registered vehicles by class</t>
        </is>
      </c>
      <c r="B17" s="152" t="inlineStr">
        <is>
          <t>South Africa</t>
        </is>
      </c>
      <c r="C17" s="152" t="inlineStr">
        <is>
          <t>cars 8,340,592; light commercial 2,816,547; trucks 409,049; buses 66,872; minibuses 356,997</t>
        </is>
      </c>
      <c r="D17" s="152" t="inlineStr">
        <is>
          <t>vehicles</t>
        </is>
      </c>
      <c r="E17" s="152" t="inlineStr">
        <is>
          <t>2026-06</t>
        </is>
      </c>
      <c r="F17" s="152" t="inlineStr">
        <is>
          <t>observed</t>
        </is>
      </c>
      <c r="G17" s="152" t="inlineStr">
        <is>
          <t>eNaTIS live vehicle population by class and province</t>
        </is>
      </c>
      <c r="H17" s="152" t="inlineStr"/>
      <c r="I17" s="152" t="inlineStr">
        <is>
          <t>By province on the DR07 fleet by province sheet. Monthly from February 2021.</t>
        </is>
      </c>
    </row>
    <row r="18">
      <c r="A18" s="156" t="inlineStr">
        <is>
          <t>Largest provinces, share of registered vehicles</t>
        </is>
      </c>
      <c r="B18" s="156" t="inlineStr">
        <is>
          <t>Gauteng; Western Cape; KwaZulu-Natal</t>
        </is>
      </c>
      <c r="C18" s="156" t="inlineStr">
        <is>
          <t>39.0; 16.3; 14.1</t>
        </is>
      </c>
      <c r="D18" s="156" t="inlineStr">
        <is>
          <t>%</t>
        </is>
      </c>
      <c r="E18" s="156" t="inlineStr">
        <is>
          <t>2026-06</t>
        </is>
      </c>
      <c r="F18" s="156" t="inlineStr">
        <is>
          <t>inferred</t>
        </is>
      </c>
      <c r="G18" s="156" t="inlineStr">
        <is>
          <t>Calculated from eNaTIS</t>
        </is>
      </c>
      <c r="H18" s="156" t="inlineStr"/>
      <c r="I18" s="156" t="inlineStr"/>
    </row>
    <row r="19">
      <c r="A19" s="152" t="inlineStr">
        <is>
          <t>Registered vehicles by fuel</t>
        </is>
      </c>
      <c r="B19" s="152" t="inlineStr">
        <is>
          <t>South Africa</t>
        </is>
      </c>
      <c r="C19" s="152" t="inlineStr">
        <is>
          <t>petrol 8,555,772; diesel 3,335,546</t>
        </is>
      </c>
      <c r="D19" s="152" t="inlineStr">
        <is>
          <t>vehicles</t>
        </is>
      </c>
      <c r="E19" s="152" t="inlineStr">
        <is>
          <t>December 2023</t>
        </is>
      </c>
      <c r="F19" s="152" t="inlineStr">
        <is>
          <t>observed</t>
        </is>
      </c>
      <c r="G19" s="152" t="inlineStr">
        <is>
          <t>Department of Transport, Transport Statistics Bulletin 2023</t>
        </is>
      </c>
      <c r="H19" s="152" t="inlineStr"/>
      <c r="I19" s="152" t="inlineStr">
        <is>
          <t>National only, and not split by class. No later edition found.</t>
        </is>
      </c>
    </row>
    <row r="20">
      <c r="A20" s="162" t="inlineStr">
        <is>
          <t>Vehicles by fuel within each class, and by province</t>
        </is>
      </c>
      <c r="B20" s="162" t="inlineStr">
        <is>
          <t>South Africa</t>
        </is>
      </c>
      <c r="C20" s="162" t="inlineStr">
        <is>
          <t>Not available</t>
        </is>
      </c>
      <c r="D20" s="162" t="inlineStr">
        <is>
          <t>vehicles</t>
        </is>
      </c>
      <c r="E20" s="162" t="inlineStr"/>
      <c r="F20" s="162" t="inlineStr">
        <is>
          <t>not available</t>
        </is>
      </c>
      <c r="G20" s="162" t="inlineStr">
        <is>
          <t>None found</t>
        </is>
      </c>
      <c r="H20" s="162" t="inlineStr"/>
      <c r="I20" s="162" t="inlineStr">
        <is>
          <t>Needed to say how many diesel bakkies or petrol cars each province has. eNaTIS publishes class and province, not fuel.</t>
        </is>
      </c>
    </row>
    <row r="21">
      <c r="A21" s="162" t="inlineStr">
        <is>
          <t>Vehicles by age</t>
        </is>
      </c>
      <c r="B21" s="162" t="inlineStr">
        <is>
          <t>South Africa</t>
        </is>
      </c>
      <c r="C21" s="162" t="inlineStr">
        <is>
          <t>Not available</t>
        </is>
      </c>
      <c r="D21" s="162" t="inlineStr">
        <is>
          <t>vehicles</t>
        </is>
      </c>
      <c r="E21" s="162" t="inlineStr"/>
      <c r="F21" s="162" t="inlineStr">
        <is>
          <t>not available</t>
        </is>
      </c>
      <c r="G21" s="162" t="inlineStr">
        <is>
          <t>None found</t>
        </is>
      </c>
      <c r="H21" s="162" t="inlineStr"/>
      <c r="I21" s="162" t="inlineStr">
        <is>
          <t>Needed for fleet replacement. Only apparent retirements can be calculated (Vehicle history sheet).</t>
        </is>
      </c>
    </row>
    <row r="23">
      <c r="A23" s="151" t="inlineStr">
        <is>
          <t>New vehicles and electric share</t>
        </is>
      </c>
      <c r="B23" s="151" t="n"/>
      <c r="C23" s="151" t="n"/>
      <c r="D23" s="151" t="n"/>
      <c r="E23" s="151" t="n"/>
      <c r="F23" s="151" t="n"/>
      <c r="G23" s="151" t="n"/>
      <c r="H23" s="151" t="n"/>
      <c r="I23" s="151" t="n"/>
    </row>
    <row r="24">
      <c r="A24" s="152" t="inlineStr">
        <is>
          <t>New vehicles sold, by segment</t>
        </is>
      </c>
      <c r="B24" s="152" t="inlineStr">
        <is>
          <t>South Africa</t>
        </is>
      </c>
      <c r="C24" s="152" t="inlineStr">
        <is>
          <t>cars 422,463; light commercial 143,964; medium and heavy commercial 30,911</t>
        </is>
      </c>
      <c r="D24" s="152" t="inlineStr">
        <is>
          <t>vehicles</t>
        </is>
      </c>
      <c r="E24" s="152" t="inlineStr">
        <is>
          <t>2025</t>
        </is>
      </c>
      <c r="F24" s="152" t="inlineStr">
        <is>
          <t>observed</t>
        </is>
      </c>
      <c r="G24" s="152" t="inlineStr">
        <is>
          <t>naamsa, industry vehicle sales</t>
        </is>
      </c>
      <c r="H24" s="152" t="inlineStr"/>
      <c r="I24" s="152" t="inlineStr"/>
    </row>
    <row r="25">
      <c r="A25" s="152" t="inlineStr">
        <is>
          <t>Electric and hybrid vehicles sold</t>
        </is>
      </c>
      <c r="B25" s="152" t="inlineStr">
        <is>
          <t>South Africa</t>
        </is>
      </c>
      <c r="C25" s="152" t="inlineStr">
        <is>
          <t>battery electric 1,088; plug-in hybrid 2,810; conventional hybrid 12,818</t>
        </is>
      </c>
      <c r="D25" s="152" t="inlineStr">
        <is>
          <t>vehicles</t>
        </is>
      </c>
      <c r="E25" s="152" t="inlineStr">
        <is>
          <t>2025</t>
        </is>
      </c>
      <c r="F25" s="152" t="inlineStr">
        <is>
          <t>observed</t>
        </is>
      </c>
      <c r="G25" s="152" t="inlineStr">
        <is>
          <t>naamsa, new energy vehicle sales</t>
        </is>
      </c>
      <c r="H25" s="152" t="inlineStr"/>
      <c r="I25" s="152" t="inlineStr"/>
    </row>
    <row r="26">
      <c r="A26" s="156" t="inlineStr">
        <is>
          <t>Share of new vehicles sold</t>
        </is>
      </c>
      <c r="B26" s="156" t="inlineStr">
        <is>
          <t>South Africa</t>
        </is>
      </c>
      <c r="C26" s="156" t="inlineStr">
        <is>
          <t>battery electric 0.18; plug-in hybrid 0.47; conventional hybrid 2.15</t>
        </is>
      </c>
      <c r="D26" s="156" t="inlineStr">
        <is>
          <t>%</t>
        </is>
      </c>
      <c r="E26" s="156" t="inlineStr">
        <is>
          <t>2025</t>
        </is>
      </c>
      <c r="F26" s="156" t="inlineStr">
        <is>
          <t>inferred</t>
        </is>
      </c>
      <c r="G26" s="156" t="inlineStr">
        <is>
          <t>Calculated from the two naamsa series</t>
        </is>
      </c>
      <c r="H26" s="156" t="inlineStr"/>
      <c r="I26" s="156" t="inlineStr">
        <is>
          <t>Battery electric sales fell from 2024 to 2025.</t>
        </is>
      </c>
    </row>
    <row r="27">
      <c r="A27" s="162" t="inlineStr">
        <is>
          <t>Electric trucks and electric light commercial vehicles sold</t>
        </is>
      </c>
      <c r="B27" s="162" t="inlineStr">
        <is>
          <t>South Africa</t>
        </is>
      </c>
      <c r="C27" s="162" t="inlineStr">
        <is>
          <t>Not available</t>
        </is>
      </c>
      <c r="D27" s="162" t="inlineStr">
        <is>
          <t>vehicles</t>
        </is>
      </c>
      <c r="E27" s="162" t="inlineStr"/>
      <c r="F27" s="162" t="inlineStr">
        <is>
          <t>not available</t>
        </is>
      </c>
      <c r="G27" s="162" t="inlineStr">
        <is>
          <t>None found</t>
        </is>
      </c>
      <c r="H27" s="162" t="inlineStr"/>
      <c r="I27" s="162" t="inlineStr">
        <is>
          <t>naamsa does not report electric sales by segment. Benchmarks from other countries are on the HML response sheet.</t>
        </is>
      </c>
    </row>
    <row r="29">
      <c r="A29" s="151" t="inlineStr">
        <is>
          <t>Vehicle efficiency and distance</t>
        </is>
      </c>
      <c r="B29" s="151" t="n"/>
      <c r="C29" s="151" t="n"/>
      <c r="D29" s="151" t="n"/>
      <c r="E29" s="151" t="n"/>
      <c r="F29" s="151" t="n"/>
      <c r="G29" s="151" t="n"/>
      <c r="H29" s="151" t="n"/>
      <c r="I29" s="151" t="n"/>
    </row>
    <row r="30">
      <c r="A30" s="152" t="inlineStr">
        <is>
          <t>Fuel use and distance, petrol cars</t>
        </is>
      </c>
      <c r="B30" s="152" t="inlineStr">
        <is>
          <t>Petrol cars</t>
        </is>
      </c>
      <c r="C30" s="152" t="inlineStr">
        <is>
          <t>8.2 fleet average; 7.8 new; 14,457 km a year</t>
        </is>
      </c>
      <c r="D30" s="152" t="inlineStr">
        <is>
          <t>litres per 100 km; km</t>
        </is>
      </c>
      <c r="E30" s="152" t="inlineStr">
        <is>
          <t>2010 fleet</t>
        </is>
      </c>
      <c r="F30" s="152" t="inlineStr">
        <is>
          <t>observed</t>
        </is>
      </c>
      <c r="G30" s="152" t="inlineStr">
        <is>
          <t>Stone et al. (2018), vehicle parc model</t>
        </is>
      </c>
      <c r="H30" s="152" t="inlineStr"/>
      <c r="I30" s="152" t="inlineStr">
        <is>
          <t>One year only. All 24 vehicle types are in the file and on the Vehicle history sheet.</t>
        </is>
      </c>
    </row>
    <row r="31">
      <c r="A31" s="152" t="inlineStr">
        <is>
          <t>Fuel use and distance, diesel cars</t>
        </is>
      </c>
      <c r="B31" s="152" t="inlineStr">
        <is>
          <t>Diesel cars</t>
        </is>
      </c>
      <c r="C31" s="152" t="inlineStr">
        <is>
          <t>8.1 fleet average; 7.4 new; 16,748 km a year</t>
        </is>
      </c>
      <c r="D31" s="152" t="inlineStr">
        <is>
          <t>litres per 100 km; km</t>
        </is>
      </c>
      <c r="E31" s="152" t="inlineStr">
        <is>
          <t>2010 fleet</t>
        </is>
      </c>
      <c r="F31" s="152" t="inlineStr">
        <is>
          <t>observed</t>
        </is>
      </c>
      <c r="G31" s="152" t="inlineStr">
        <is>
          <t>Stone et al. (2018), vehicle parc model</t>
        </is>
      </c>
      <c r="H31" s="152" t="inlineStr"/>
      <c r="I31" s="152" t="inlineStr">
        <is>
          <t>One year only. All 24 vehicle types are in the file and on the Vehicle history sheet.</t>
        </is>
      </c>
    </row>
    <row r="32">
      <c r="A32" s="162" t="inlineStr">
        <is>
          <t>Efficiency of new vehicles, by year</t>
        </is>
      </c>
      <c r="B32" s="162" t="inlineStr">
        <is>
          <t>South Africa</t>
        </is>
      </c>
      <c r="C32" s="162" t="inlineStr">
        <is>
          <t>Not available</t>
        </is>
      </c>
      <c r="D32" s="162" t="inlineStr">
        <is>
          <t>litres per 100 km</t>
        </is>
      </c>
      <c r="E32" s="162" t="inlineStr"/>
      <c r="F32" s="162" t="inlineStr">
        <is>
          <t>not available</t>
        </is>
      </c>
      <c r="G32" s="162" t="inlineStr">
        <is>
          <t>None found</t>
        </is>
      </c>
      <c r="H32" s="162" t="inlineStr"/>
      <c r="I32" s="162" t="inlineStr">
        <is>
          <t>No annual series of new-vehicle fuel use was found, so there is no efficiency history.</t>
        </is>
      </c>
    </row>
    <row r="33">
      <c r="A33" s="152" t="inlineStr">
        <is>
          <t>Efficiency gain assumed in the model</t>
        </is>
      </c>
      <c r="B33" s="152" t="inlineStr">
        <is>
          <t>New diesel and petrol vehicles</t>
        </is>
      </c>
      <c r="C33" s="152" t="inlineStr">
        <is>
          <t>diesel 0.5 (high demand); diesel 1.0 (low demand); petrol 1.0 (high demand); petrol 1.5 (low demand)</t>
        </is>
      </c>
      <c r="D33" s="152" t="inlineStr">
        <is>
          <t>% a year</t>
        </is>
      </c>
      <c r="E33" s="152" t="inlineStr">
        <is>
          <t>2030</t>
        </is>
      </c>
      <c r="F33" s="152" t="inlineStr">
        <is>
          <t>observed</t>
        </is>
      </c>
      <c r="G33" s="152" t="inlineStr">
        <is>
          <t>Reatile workbook (model input)</t>
        </is>
      </c>
      <c r="H33" s="152" t="inlineStr"/>
      <c r="I33" s="152" t="inlineStr">
        <is>
          <t>A model setting with no source behind it. Nothing was found to confirm or replace it.</t>
        </is>
      </c>
    </row>
    <row r="35">
      <c r="A35" s="151" t="inlineStr">
        <is>
          <t>Freight and rail</t>
        </is>
      </c>
      <c r="B35" s="151" t="n"/>
      <c r="C35" s="151" t="n"/>
      <c r="D35" s="151" t="n"/>
      <c r="E35" s="151" t="n"/>
      <c r="F35" s="151" t="n"/>
      <c r="G35" s="151" t="n"/>
      <c r="H35" s="151" t="n"/>
      <c r="I35" s="151" t="n"/>
    </row>
    <row r="36">
      <c r="A36" s="152" t="inlineStr">
        <is>
          <t>Freight carried by road</t>
        </is>
      </c>
      <c r="B36" s="152" t="inlineStr">
        <is>
          <t>South Africa</t>
        </is>
      </c>
      <c r="C36" s="152" t="inlineStr">
        <is>
          <t>980; 976</t>
        </is>
      </c>
      <c r="D36" s="152" t="inlineStr">
        <is>
          <t>million tonnes</t>
        </is>
      </c>
      <c r="E36" s="152" t="inlineStr">
        <is>
          <t>2024; 2025</t>
        </is>
      </c>
      <c r="F36" s="152" t="inlineStr">
        <is>
          <t>observed</t>
        </is>
      </c>
      <c r="G36" s="152" t="inlineStr">
        <is>
          <t>Statistics South Africa, Land transport survey (P7162), December 2025</t>
        </is>
      </c>
      <c r="H36" s="152" t="inlineStr">
        <is>
          <t>PDF p.7</t>
        </is>
      </c>
      <c r="I36" s="152" t="inlineStr">
        <is>
          <t>Tonnes, not tonne-kilometres.</t>
        </is>
      </c>
    </row>
    <row r="37">
      <c r="A37" s="152" t="inlineStr">
        <is>
          <t>Freight carried by rail</t>
        </is>
      </c>
      <c r="B37" s="152" t="inlineStr">
        <is>
          <t>South Africa</t>
        </is>
      </c>
      <c r="C37" s="152" t="inlineStr">
        <is>
          <t>161; 168</t>
        </is>
      </c>
      <c r="D37" s="152" t="inlineStr">
        <is>
          <t>million tonnes</t>
        </is>
      </c>
      <c r="E37" s="152" t="inlineStr">
        <is>
          <t>2024; 2025</t>
        </is>
      </c>
      <c r="F37" s="152" t="inlineStr">
        <is>
          <t>observed</t>
        </is>
      </c>
      <c r="G37" s="152" t="inlineStr">
        <is>
          <t>Statistics South Africa, Land transport survey (P7162), December 2025</t>
        </is>
      </c>
      <c r="H37" s="152" t="inlineStr">
        <is>
          <t>PDF p.7</t>
        </is>
      </c>
      <c r="I37" s="152" t="inlineStr">
        <is>
          <t>Tonnes, not tonne-kilometres.</t>
        </is>
      </c>
    </row>
    <row r="38">
      <c r="A38" s="156" t="inlineStr">
        <is>
          <t>Rail's share of road and rail tonnes</t>
        </is>
      </c>
      <c r="B38" s="156" t="inlineStr">
        <is>
          <t>South Africa</t>
        </is>
      </c>
      <c r="C38" s="156" t="inlineStr">
        <is>
          <t>14.1; 14.7</t>
        </is>
      </c>
      <c r="D38" s="156" t="inlineStr">
        <is>
          <t>%</t>
        </is>
      </c>
      <c r="E38" s="156" t="inlineStr">
        <is>
          <t>2024; 2025</t>
        </is>
      </c>
      <c r="F38" s="156" t="inlineStr">
        <is>
          <t>inferred</t>
        </is>
      </c>
      <c r="G38" s="156" t="inlineStr">
        <is>
          <t>Calculated from the survey</t>
        </is>
      </c>
      <c r="H38" s="156" t="inlineStr"/>
      <c r="I38" s="156" t="inlineStr"/>
    </row>
    <row r="39">
      <c r="A39" s="162" t="inlineStr">
        <is>
          <t>Road freight in tonne-kilometres, by year</t>
        </is>
      </c>
      <c r="B39" s="162" t="inlineStr">
        <is>
          <t>South Africa</t>
        </is>
      </c>
      <c r="C39" s="162" t="inlineStr">
        <is>
          <t>Not available</t>
        </is>
      </c>
      <c r="D39" s="162" t="inlineStr">
        <is>
          <t>billion tonne-km</t>
        </is>
      </c>
      <c r="E39" s="162" t="inlineStr"/>
      <c r="F39" s="162" t="inlineStr">
        <is>
          <t>not available</t>
        </is>
      </c>
      <c r="G39" s="162" t="inlineStr">
        <is>
          <t>None found as an annual series</t>
        </is>
      </c>
      <c r="H39" s="162" t="inlineStr"/>
      <c r="I39" s="162" t="inlineStr">
        <is>
          <t>Needed to size freight that could move to rail. Only single-year figures exist in published studies.</t>
        </is>
      </c>
    </row>
    <row r="40">
      <c r="A40" s="162" t="inlineStr">
        <is>
          <t>Diesel used by rail locomotives</t>
        </is>
      </c>
      <c r="B40" s="162" t="inlineStr">
        <is>
          <t>Transnet Freight Rail</t>
        </is>
      </c>
      <c r="C40" s="162" t="inlineStr">
        <is>
          <t>Not available</t>
        </is>
      </c>
      <c r="D40" s="162" t="inlineStr">
        <is>
          <t>million litres</t>
        </is>
      </c>
      <c r="E40" s="162" t="inlineStr"/>
      <c r="F40" s="162" t="inlineStr">
        <is>
          <t>not available</t>
        </is>
      </c>
      <c r="G40" s="162" t="inlineStr">
        <is>
          <t>None found</t>
        </is>
      </c>
      <c r="H40" s="162" t="inlineStr"/>
      <c r="I40" s="162" t="inlineStr">
        <is>
          <t>Needed so that freight moving to rail is not counted as diesel saved in full.</t>
        </is>
      </c>
    </row>
    <row r="42">
      <c r="A42" s="151" t="inlineStr">
        <is>
          <t>Sector activity</t>
        </is>
      </c>
      <c r="B42" s="151" t="n"/>
      <c r="C42" s="151" t="n"/>
      <c r="D42" s="151" t="n"/>
      <c r="E42" s="151" t="n"/>
      <c r="F42" s="151" t="n"/>
      <c r="G42" s="151" t="n"/>
      <c r="H42" s="151" t="n"/>
      <c r="I42" s="151" t="n"/>
    </row>
    <row r="43">
      <c r="A43" s="152" t="inlineStr">
        <is>
          <t>Mining, manufacturing and agriculture: activity and diesel per unit</t>
        </is>
      </c>
      <c r="B43" s="152" t="inlineStr">
        <is>
          <t>South Africa</t>
        </is>
      </c>
      <c r="C43" s="152" t="inlineStr">
        <is>
          <t>On the Sector history sheet</t>
        </is>
      </c>
      <c r="D43" s="152" t="inlineStr"/>
      <c r="E43" s="152" t="inlineStr">
        <is>
          <t>2012-2025</t>
        </is>
      </c>
      <c r="F43" s="152" t="inlineStr">
        <is>
          <t>observed</t>
        </is>
      </c>
      <c r="G43" s="152" t="inlineStr">
        <is>
          <t>Statistics South Africa (P2041, P3041.2, P0441); department energy balances</t>
        </is>
      </c>
      <c r="H43" s="152" t="inlineStr"/>
      <c r="I43" s="152" t="inlineStr">
        <is>
          <t>Diesel by sector is observed to 2021 only, the last energy balance.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56" customWidth="1" min="13" max="13"/>
    <col width="60" customWidth="1" min="14" max="14"/>
  </cols>
  <sheetData>
    <row r="1">
      <c r="A1" s="149" t="inlineStr">
        <is>
          <t>DR07 Diesel burned for power generation</t>
        </is>
      </c>
    </row>
    <row r="2">
      <c r="A2" s="1" t="inlineStr">
        <is>
          <t>Years to 31 March (2025 is April 2024 to March 2025). Volumes in billion litres. Blank means not reported.</t>
        </is>
      </c>
    </row>
    <row r="4">
      <c r="A4" s="150" t="inlineStr">
        <is>
          <t>Line</t>
        </is>
      </c>
      <c r="B4" s="150" t="n">
        <v>2016</v>
      </c>
      <c r="C4" s="150" t="n">
        <v>2017</v>
      </c>
      <c r="D4" s="150" t="n">
        <v>2018</v>
      </c>
      <c r="E4" s="150" t="n">
        <v>2019</v>
      </c>
      <c r="F4" s="150" t="n">
        <v>2020</v>
      </c>
      <c r="G4" s="150" t="n">
        <v>2021</v>
      </c>
      <c r="H4" s="150" t="n">
        <v>2022</v>
      </c>
      <c r="I4" s="150" t="n">
        <v>2023</v>
      </c>
      <c r="J4" s="150" t="n">
        <v>2024</v>
      </c>
      <c r="K4" s="150" t="n">
        <v>2025</v>
      </c>
      <c r="L4" s="150" t="n">
        <v>2026</v>
      </c>
      <c r="M4" s="150" t="inlineStr">
        <is>
          <t>Source</t>
        </is>
      </c>
      <c r="N4" s="150" t="inlineStr">
        <is>
          <t>Note</t>
        </is>
      </c>
    </row>
    <row r="5">
      <c r="A5" s="151" t="inlineStr">
        <is>
          <t>Eskom's own turbines (Ankerlig, Gourikwa, Acacia, Port Rex)</t>
        </is>
      </c>
      <c r="B5" s="151" t="n"/>
      <c r="C5" s="151" t="n"/>
      <c r="D5" s="151" t="n"/>
      <c r="E5" s="151" t="n"/>
      <c r="F5" s="151" t="n"/>
      <c r="G5" s="151" t="n"/>
      <c r="H5" s="151" t="n"/>
      <c r="I5" s="151" t="n"/>
      <c r="J5" s="151" t="n"/>
      <c r="K5" s="151" t="n"/>
      <c r="L5" s="151" t="n"/>
      <c r="M5" s="151" t="n"/>
      <c r="N5" s="151" t="n"/>
    </row>
    <row r="6">
      <c r="A6" s="170" t="inlineStr">
        <is>
          <t>Fuel burned, as reported</t>
        </is>
      </c>
      <c r="B6" s="171" t="n">
        <v>1.2478</v>
      </c>
      <c r="C6" s="171" t="n">
        <v>0.01</v>
      </c>
      <c r="D6" s="171" t="n">
        <v>0.0378</v>
      </c>
      <c r="E6" s="171" t="n">
        <v>0.385</v>
      </c>
      <c r="F6" s="171" t="n">
        <v>0.4262</v>
      </c>
      <c r="G6" s="171" t="n">
        <v>0.4587</v>
      </c>
      <c r="H6" s="171" t="n">
        <v>0.5804</v>
      </c>
      <c r="I6" s="171" t="n">
        <v>0.9375</v>
      </c>
      <c r="J6" s="171" t="n">
        <v>1.1295</v>
      </c>
      <c r="K6" s="171" t="n">
        <v>0.6791</v>
      </c>
      <c r="L6" s="171" t="n"/>
      <c r="M6" s="172" t="inlineStr">
        <is>
          <t>Eskom Integrated Report 2025, technical statistics, PDF p.141</t>
        </is>
      </c>
      <c r="N6" s="172" t="inlineStr">
        <is>
          <t>Diesel and kerosene together, as Eskom reports them. Acacia and Port Rex burn kerosene and are 342 of 2,426 MW.</t>
        </is>
      </c>
    </row>
    <row r="7">
      <c r="A7" s="170" t="inlineStr">
        <is>
          <t>Electricity generated by Eskom, GWh</t>
        </is>
      </c>
      <c r="B7" s="193" t="n"/>
      <c r="C7" s="193" t="n"/>
      <c r="D7" s="193" t="n"/>
      <c r="E7" s="193" t="n"/>
      <c r="F7" s="193" t="n"/>
      <c r="G7" s="193" t="n"/>
      <c r="H7" s="193" t="n">
        <v>1826</v>
      </c>
      <c r="I7" s="193" t="n">
        <v>3018</v>
      </c>
      <c r="J7" s="193" t="n">
        <v>3634</v>
      </c>
      <c r="K7" s="193" t="n">
        <v>2176</v>
      </c>
      <c r="L7" s="193" t="n">
        <v>811</v>
      </c>
      <c r="M7" s="172" t="inlineStr">
        <is>
          <t>Eskom data portal and reports (ocgt_generation_eskom.csv)</t>
        </is>
      </c>
      <c r="N7" s="172" t="inlineStr">
        <is>
          <t>Published from the year to March 2022.</t>
        </is>
      </c>
    </row>
    <row r="8">
      <c r="A8" s="176" t="inlineStr">
        <is>
          <t>Litres per kWh, implied</t>
        </is>
      </c>
      <c r="B8" s="194">
        <f>IF(COUNT(B6,B7)&lt;2,"",B6*1000/B7)</f>
        <v/>
      </c>
      <c r="C8" s="194">
        <f>IF(COUNT(C6,C7)&lt;2,"",C6*1000/C7)</f>
        <v/>
      </c>
      <c r="D8" s="194">
        <f>IF(COUNT(D6,D7)&lt;2,"",D6*1000/D7)</f>
        <v/>
      </c>
      <c r="E8" s="194">
        <f>IF(COUNT(E6,E7)&lt;2,"",E6*1000/E7)</f>
        <v/>
      </c>
      <c r="F8" s="194">
        <f>IF(COUNT(F6,F7)&lt;2,"",F6*1000/F7)</f>
        <v/>
      </c>
      <c r="G8" s="194">
        <f>IF(COUNT(G6,G7)&lt;2,"",G6*1000/G7)</f>
        <v/>
      </c>
      <c r="H8" s="194">
        <f>IF(COUNT(H6,H7)&lt;2,"",H6*1000/H7)</f>
        <v/>
      </c>
      <c r="I8" s="194">
        <f>IF(COUNT(I6,I7)&lt;2,"",I6*1000/I7)</f>
        <v/>
      </c>
      <c r="J8" s="194">
        <f>IF(COUNT(J6,J7)&lt;2,"",J6*1000/J7)</f>
        <v/>
      </c>
      <c r="K8" s="194">
        <f>IF(COUNT(K6,K7)&lt;2,"",K6*1000/K7)</f>
        <v/>
      </c>
      <c r="L8" s="194">
        <f>IF(COUNT(L6,L7)&lt;2,"",L6*1000/L7)</f>
        <v/>
      </c>
      <c r="M8" s="175" t="inlineStr">
        <is>
          <t>Calculated: fuel burned over electricity generated</t>
        </is>
      </c>
      <c r="N8" s="175" t="inlineStr">
        <is>
          <t>Confirms the 0.31 used on the Power fleet sheet.</t>
        </is>
      </c>
    </row>
    <row r="10">
      <c r="A10" s="151" t="inlineStr">
        <is>
          <t>Independent producers (Avon, Dedisa)</t>
        </is>
      </c>
      <c r="B10" s="151" t="n"/>
      <c r="C10" s="151" t="n"/>
      <c r="D10" s="151" t="n"/>
      <c r="E10" s="151" t="n"/>
      <c r="F10" s="151" t="n"/>
      <c r="G10" s="151" t="n"/>
      <c r="H10" s="151" t="n"/>
      <c r="I10" s="151" t="n"/>
      <c r="J10" s="151" t="n"/>
      <c r="K10" s="151" t="n"/>
      <c r="L10" s="151" t="n"/>
      <c r="M10" s="151" t="n"/>
      <c r="N10" s="151" t="n"/>
    </row>
    <row r="11">
      <c r="A11" s="170" t="inlineStr">
        <is>
          <t>Electricity generated by independent plants, GWh</t>
        </is>
      </c>
      <c r="B11" s="193" t="n"/>
      <c r="C11" s="193" t="n"/>
      <c r="D11" s="193" t="n"/>
      <c r="E11" s="193" t="n"/>
      <c r="F11" s="193" t="n"/>
      <c r="G11" s="193" t="n"/>
      <c r="H11" s="193" t="n"/>
      <c r="I11" s="193" t="n">
        <v>1098</v>
      </c>
      <c r="J11" s="193" t="n">
        <v>1509</v>
      </c>
      <c r="K11" s="193" t="n">
        <v>662</v>
      </c>
      <c r="L11" s="193" t="n">
        <v>268</v>
      </c>
      <c r="M11" s="172" t="inlineStr">
        <is>
          <t>Eskom data portal and reports (ocgt_generation_eskom.csv)</t>
        </is>
      </c>
      <c r="N11" s="172" t="inlineStr">
        <is>
          <t>The producers do not report litres.</t>
        </is>
      </c>
    </row>
    <row r="12">
      <c r="A12" s="181" t="inlineStr">
        <is>
          <t>Diesel burned, estimated</t>
        </is>
      </c>
      <c r="B12" s="182">
        <f>IF(ISNUMBER(B11),B11*0.31/1000,"")</f>
        <v/>
      </c>
      <c r="C12" s="182">
        <f>IF(ISNUMBER(C11),C11*0.31/1000,"")</f>
        <v/>
      </c>
      <c r="D12" s="182">
        <f>IF(ISNUMBER(D11),D11*0.31/1000,"")</f>
        <v/>
      </c>
      <c r="E12" s="182">
        <f>IF(ISNUMBER(E11),E11*0.31/1000,"")</f>
        <v/>
      </c>
      <c r="F12" s="182">
        <f>IF(ISNUMBER(F11),F11*0.31/1000,"")</f>
        <v/>
      </c>
      <c r="G12" s="182">
        <f>IF(ISNUMBER(G11),G11*0.31/1000,"")</f>
        <v/>
      </c>
      <c r="H12" s="182">
        <f>IF(ISNUMBER(H11),H11*0.31/1000,"")</f>
        <v/>
      </c>
      <c r="I12" s="182">
        <f>IF(ISNUMBER(I11),I11*0.31/1000,"")</f>
        <v/>
      </c>
      <c r="J12" s="182">
        <f>IF(ISNUMBER(J11),J11*0.31/1000,"")</f>
        <v/>
      </c>
      <c r="K12" s="182">
        <f>IF(ISNUMBER(K11),K11*0.31/1000,"")</f>
        <v/>
      </c>
      <c r="L12" s="182">
        <f>IF(ISNUMBER(L11),L11*0.31/1000,"")</f>
        <v/>
      </c>
      <c r="M12" s="183" t="inlineStr">
        <is>
          <t>Calculated: generation x 0.31 litres per kWh</t>
        </is>
      </c>
      <c r="N12" s="183" t="inlineStr">
        <is>
          <t>An estimate, at Eskom's implied rate.</t>
        </is>
      </c>
    </row>
    <row r="14">
      <c r="A14" s="151" t="inlineStr">
        <is>
          <t>All grid turbines</t>
        </is>
      </c>
      <c r="B14" s="151" t="n"/>
      <c r="C14" s="151" t="n"/>
      <c r="D14" s="151" t="n"/>
      <c r="E14" s="151" t="n"/>
      <c r="F14" s="151" t="n"/>
      <c r="G14" s="151" t="n"/>
      <c r="H14" s="151" t="n"/>
      <c r="I14" s="151" t="n"/>
      <c r="J14" s="151" t="n"/>
      <c r="K14" s="151" t="n"/>
      <c r="L14" s="151" t="n"/>
      <c r="M14" s="151" t="n"/>
      <c r="N14" s="151" t="n"/>
    </row>
    <row r="15">
      <c r="A15" s="173" t="inlineStr">
        <is>
          <t>Diesel burned, Eskom reported plus independent estimated</t>
        </is>
      </c>
      <c r="B15" s="174">
        <f>IF(COUNT(B6,B12)&lt;2,"",B6+B12)</f>
        <v/>
      </c>
      <c r="C15" s="174">
        <f>IF(COUNT(C6,C12)&lt;2,"",C6+C12)</f>
        <v/>
      </c>
      <c r="D15" s="174">
        <f>IF(COUNT(D6,D12)&lt;2,"",D6+D12)</f>
        <v/>
      </c>
      <c r="E15" s="174">
        <f>IF(COUNT(E6,E12)&lt;2,"",E6+E12)</f>
        <v/>
      </c>
      <c r="F15" s="174">
        <f>IF(COUNT(F6,F12)&lt;2,"",F6+F12)</f>
        <v/>
      </c>
      <c r="G15" s="174">
        <f>IF(COUNT(G6,G12)&lt;2,"",G6+G12)</f>
        <v/>
      </c>
      <c r="H15" s="174">
        <f>IF(COUNT(H6,H12)&lt;2,"",H6+H12)</f>
        <v/>
      </c>
      <c r="I15" s="174">
        <f>IF(COUNT(I6,I12)&lt;2,"",I6+I12)</f>
        <v/>
      </c>
      <c r="J15" s="174">
        <f>IF(COUNT(J6,J12)&lt;2,"",J6+J12)</f>
        <v/>
      </c>
      <c r="K15" s="174">
        <f>IF(COUNT(K6,K12)&lt;2,"",K6+K12)</f>
        <v/>
      </c>
      <c r="L15" s="174">
        <f>IF(COUNT(L6,L12)&lt;2,"",L6+L12)</f>
        <v/>
      </c>
      <c r="M15" s="175" t="inlineStr">
        <is>
          <t>Sum of the two volume rows above</t>
        </is>
      </c>
      <c r="N15" s="175" t="inlineStr">
        <is>
          <t>Only where both are known. Private backup generators are not in any source.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4" customWidth="1" min="9" max="9"/>
    <col width="62" customWidth="1" min="10" max="10"/>
  </cols>
  <sheetData>
    <row r="1">
      <c r="A1" s="149" t="inlineStr">
        <is>
          <t>DR07 Registered vehicles by province and class, 2026-06</t>
        </is>
      </c>
    </row>
    <row r="2">
      <c r="A2" s="1" t="inlineStr">
        <is>
          <t>Vehicles on the register at month end. The register gives class and province, not fuel: petrol and diesel are not split by class or province in any source held (nationally, December 2023: 8.56 million petrol and 3.34 million diesel).</t>
        </is>
      </c>
    </row>
    <row r="4">
      <c r="A4" s="150" t="inlineStr">
        <is>
          <t>Province</t>
        </is>
      </c>
      <c r="B4" s="150" t="inlineStr">
        <is>
          <t>Cars</t>
        </is>
      </c>
      <c r="C4" s="150" t="inlineStr">
        <is>
          <t>Light commercial</t>
        </is>
      </c>
      <c r="D4" s="150" t="inlineStr">
        <is>
          <t>Trucks</t>
        </is>
      </c>
      <c r="E4" s="150" t="inlineStr">
        <is>
          <t>Buses</t>
        </is>
      </c>
      <c r="F4" s="150" t="inlineStr">
        <is>
          <t>Minibuses</t>
        </is>
      </c>
      <c r="G4" s="150" t="inlineStr">
        <is>
          <t>Motorcycles</t>
        </is>
      </c>
      <c r="H4" s="150" t="inlineStr">
        <is>
          <t>All self-propelled</t>
        </is>
      </c>
      <c r="I4" s="150" t="inlineStr">
        <is>
          <t>Share of all vehicles</t>
        </is>
      </c>
      <c r="J4" s="150" t="inlineStr">
        <is>
          <t>Source</t>
        </is>
      </c>
    </row>
    <row r="5">
      <c r="A5" s="170" t="inlineStr">
        <is>
          <t>Gauteng</t>
        </is>
      </c>
      <c r="B5" s="193" t="n">
        <v>3485272</v>
      </c>
      <c r="C5" s="193" t="n">
        <v>936521</v>
      </c>
      <c r="D5" s="193" t="n">
        <v>150862</v>
      </c>
      <c r="E5" s="193" t="n">
        <v>20937</v>
      </c>
      <c r="F5" s="193" t="n">
        <v>127451</v>
      </c>
      <c r="G5" s="193" t="n">
        <v>158810</v>
      </c>
      <c r="H5" s="193" t="n">
        <v>4919011</v>
      </c>
      <c r="I5" s="195">
        <f>H5/H$14</f>
        <v/>
      </c>
      <c r="J5" s="172" t="inlineStr">
        <is>
          <t>eNaTIS live vehicle population by class and province (vehicle_population_natis.csv)</t>
        </is>
      </c>
    </row>
    <row r="6">
      <c r="A6" s="170" t="inlineStr">
        <is>
          <t>KwaZulu-Natal</t>
        </is>
      </c>
      <c r="B6" s="193" t="n">
        <v>1171505</v>
      </c>
      <c r="C6" s="193" t="n">
        <v>411049</v>
      </c>
      <c r="D6" s="193" t="n">
        <v>59557</v>
      </c>
      <c r="E6" s="193" t="n">
        <v>8253</v>
      </c>
      <c r="F6" s="193" t="n">
        <v>61665</v>
      </c>
      <c r="G6" s="193" t="n">
        <v>39411</v>
      </c>
      <c r="H6" s="193" t="n">
        <v>1783517</v>
      </c>
      <c r="I6" s="195">
        <f>H6/H$14</f>
        <v/>
      </c>
      <c r="J6" s="172" t="inlineStr">
        <is>
          <t>eNaTIS live vehicle population by class and province (vehicle_population_natis.csv)</t>
        </is>
      </c>
    </row>
    <row r="7">
      <c r="A7" s="170" t="inlineStr">
        <is>
          <t>Western Cape</t>
        </is>
      </c>
      <c r="B7" s="193" t="n">
        <v>1448715</v>
      </c>
      <c r="C7" s="193" t="n">
        <v>371420</v>
      </c>
      <c r="D7" s="193" t="n">
        <v>50960</v>
      </c>
      <c r="E7" s="193" t="n">
        <v>7463</v>
      </c>
      <c r="F7" s="193" t="n">
        <v>41603</v>
      </c>
      <c r="G7" s="193" t="n">
        <v>96388</v>
      </c>
      <c r="H7" s="193" t="n">
        <v>2060254</v>
      </c>
      <c r="I7" s="195">
        <f>H7/H$14</f>
        <v/>
      </c>
      <c r="J7" s="172" t="inlineStr">
        <is>
          <t>eNaTIS live vehicle population by class and province (vehicle_population_natis.csv)</t>
        </is>
      </c>
    </row>
    <row r="8">
      <c r="A8" s="170" t="inlineStr">
        <is>
          <t>Eastern Cape</t>
        </is>
      </c>
      <c r="B8" s="193" t="n">
        <v>506193</v>
      </c>
      <c r="C8" s="193" t="n">
        <v>212296</v>
      </c>
      <c r="D8" s="193" t="n">
        <v>23146</v>
      </c>
      <c r="E8" s="193" t="n">
        <v>4894</v>
      </c>
      <c r="F8" s="193" t="n">
        <v>27406</v>
      </c>
      <c r="G8" s="193" t="n">
        <v>21876</v>
      </c>
      <c r="H8" s="193" t="n">
        <v>813557</v>
      </c>
      <c r="I8" s="195">
        <f>H8/H$14</f>
        <v/>
      </c>
      <c r="J8" s="172" t="inlineStr">
        <is>
          <t>eNaTIS live vehicle population by class and province (vehicle_population_natis.csv)</t>
        </is>
      </c>
    </row>
    <row r="9">
      <c r="A9" s="170" t="inlineStr">
        <is>
          <t>Mpumalanga</t>
        </is>
      </c>
      <c r="B9" s="193" t="n">
        <v>477358</v>
      </c>
      <c r="C9" s="193" t="n">
        <v>231790</v>
      </c>
      <c r="D9" s="193" t="n">
        <v>41125</v>
      </c>
      <c r="E9" s="193" t="n">
        <v>7812</v>
      </c>
      <c r="F9" s="193" t="n">
        <v>28469</v>
      </c>
      <c r="G9" s="193" t="n">
        <v>17205</v>
      </c>
      <c r="H9" s="193" t="n">
        <v>830714</v>
      </c>
      <c r="I9" s="195">
        <f>H9/H$14</f>
        <v/>
      </c>
      <c r="J9" s="172" t="inlineStr">
        <is>
          <t>eNaTIS live vehicle population by class and province (vehicle_population_natis.csv)</t>
        </is>
      </c>
    </row>
    <row r="10">
      <c r="A10" s="170" t="inlineStr">
        <is>
          <t>Limpopo</t>
        </is>
      </c>
      <c r="B10" s="193" t="n">
        <v>419050</v>
      </c>
      <c r="C10" s="193" t="n">
        <v>260224</v>
      </c>
      <c r="D10" s="193" t="n">
        <v>28357</v>
      </c>
      <c r="E10" s="193" t="n">
        <v>7774</v>
      </c>
      <c r="F10" s="193" t="n">
        <v>28651</v>
      </c>
      <c r="G10" s="193" t="n">
        <v>9060</v>
      </c>
      <c r="H10" s="193" t="n">
        <v>771478</v>
      </c>
      <c r="I10" s="195">
        <f>H10/H$14</f>
        <v/>
      </c>
      <c r="J10" s="172" t="inlineStr">
        <is>
          <t>eNaTIS live vehicle population by class and province (vehicle_population_natis.csv)</t>
        </is>
      </c>
    </row>
    <row r="11">
      <c r="A11" s="170" t="inlineStr">
        <is>
          <t>North West</t>
        </is>
      </c>
      <c r="B11" s="193" t="n">
        <v>365628</v>
      </c>
      <c r="C11" s="193" t="n">
        <v>168694</v>
      </c>
      <c r="D11" s="193" t="n">
        <v>18997</v>
      </c>
      <c r="E11" s="193" t="n">
        <v>4326</v>
      </c>
      <c r="F11" s="193" t="n">
        <v>22262</v>
      </c>
      <c r="G11" s="193" t="n">
        <v>13126</v>
      </c>
      <c r="H11" s="193" t="n">
        <v>614380</v>
      </c>
      <c r="I11" s="195">
        <f>H11/H$14</f>
        <v/>
      </c>
      <c r="J11" s="172" t="inlineStr">
        <is>
          <t>eNaTIS live vehicle population by class and province (vehicle_population_natis.csv)</t>
        </is>
      </c>
    </row>
    <row r="12">
      <c r="A12" s="170" t="inlineStr">
        <is>
          <t>Free State</t>
        </is>
      </c>
      <c r="B12" s="193" t="n">
        <v>328418</v>
      </c>
      <c r="C12" s="193" t="n">
        <v>138820</v>
      </c>
      <c r="D12" s="193" t="n">
        <v>26190</v>
      </c>
      <c r="E12" s="193" t="n">
        <v>3425</v>
      </c>
      <c r="F12" s="193" t="n">
        <v>12679</v>
      </c>
      <c r="G12" s="193" t="n">
        <v>16810</v>
      </c>
      <c r="H12" s="193" t="n">
        <v>561774</v>
      </c>
      <c r="I12" s="195">
        <f>H12/H$14</f>
        <v/>
      </c>
      <c r="J12" s="172" t="inlineStr">
        <is>
          <t>eNaTIS live vehicle population by class and province (vehicle_population_natis.csv)</t>
        </is>
      </c>
    </row>
    <row r="13">
      <c r="A13" s="170" t="inlineStr">
        <is>
          <t>Northern Cape</t>
        </is>
      </c>
      <c r="B13" s="193" t="n">
        <v>138453</v>
      </c>
      <c r="C13" s="193" t="n">
        <v>85733</v>
      </c>
      <c r="D13" s="193" t="n">
        <v>9855</v>
      </c>
      <c r="E13" s="193" t="n">
        <v>1988</v>
      </c>
      <c r="F13" s="193" t="n">
        <v>6811</v>
      </c>
      <c r="G13" s="193" t="n">
        <v>7123</v>
      </c>
      <c r="H13" s="193" t="n">
        <v>259795</v>
      </c>
      <c r="I13" s="195">
        <f>H13/H$14</f>
        <v/>
      </c>
      <c r="J13" s="172" t="inlineStr">
        <is>
          <t>eNaTIS live vehicle population by class and province (vehicle_population_natis.csv)</t>
        </is>
      </c>
    </row>
    <row r="14">
      <c r="A14" s="173" t="inlineStr">
        <is>
          <t>South Africa</t>
        </is>
      </c>
      <c r="B14" s="196">
        <f>SUM(B5:B13)</f>
        <v/>
      </c>
      <c r="C14" s="196">
        <f>SUM(C5:C13)</f>
        <v/>
      </c>
      <c r="D14" s="196">
        <f>SUM(D5:D13)</f>
        <v/>
      </c>
      <c r="E14" s="196">
        <f>SUM(E5:E13)</f>
        <v/>
      </c>
      <c r="F14" s="196">
        <f>SUM(F5:F13)</f>
        <v/>
      </c>
      <c r="G14" s="196">
        <f>SUM(G5:G13)</f>
        <v/>
      </c>
      <c r="H14" s="196">
        <f>SUM(H5:H13)</f>
        <v/>
      </c>
      <c r="I14" s="195">
        <f>H14/H$14</f>
        <v/>
      </c>
      <c r="J14" s="175" t="inlineStr">
        <is>
          <t>Sum of the nine provinces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V7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7" customWidth="1" min="3" max="3"/>
    <col width="15" customWidth="1" min="4" max="4"/>
    <col width="44"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26" customWidth="1" min="20" max="20"/>
    <col width="44" customWidth="1" min="21" max="21"/>
    <col width="44" customWidth="1" min="22" max="22"/>
  </cols>
  <sheetData>
    <row r="1">
      <c r="A1" s="149" t="inlineStr">
        <is>
          <t>Diesel for power: the fleet, the coal retirements and three cases</t>
        </is>
      </c>
    </row>
    <row r="2">
      <c r="A2" s="1" t="inlineStr">
        <is>
          <t>A block by station and year, as asked on 7 October. Capacities are from Eskom's fact sheet; retirement dates from Eskom and from reports of the environment minister's decisions. The three cases are scenarios: yellow rows are assumptions for Nigel and Henry to confirm.</t>
        </is>
      </c>
    </row>
    <row r="4">
      <c r="A4" s="150" t="inlineStr">
        <is>
          <t>Driver / output</t>
        </is>
      </c>
      <c r="B4" s="150" t="inlineStr">
        <is>
          <t>Unit</t>
        </is>
      </c>
      <c r="C4" s="150" t="inlineStr">
        <is>
          <t>Role</t>
        </is>
      </c>
      <c r="D4" s="150" t="inlineStr">
        <is>
          <t>Scalar / latest value</t>
        </is>
      </c>
      <c r="E4" s="150" t="inlineStr">
        <is>
          <t>Definition / period</t>
        </is>
      </c>
      <c r="F4" s="150" t="n">
        <v>2022</v>
      </c>
      <c r="G4" s="150" t="n">
        <v>2023</v>
      </c>
      <c r="H4" s="150" t="n">
        <v>2024</v>
      </c>
      <c r="I4" s="150" t="n">
        <v>2025</v>
      </c>
      <c r="J4" s="150" t="n">
        <v>2026</v>
      </c>
      <c r="K4" s="150" t="n">
        <v>2027</v>
      </c>
      <c r="L4" s="150" t="n">
        <v>2028</v>
      </c>
      <c r="M4" s="150" t="n">
        <v>2029</v>
      </c>
      <c r="N4" s="150" t="n">
        <v>2030</v>
      </c>
      <c r="O4" s="150" t="n">
        <v>2031</v>
      </c>
      <c r="P4" s="150" t="n">
        <v>2032</v>
      </c>
      <c r="Q4" s="150" t="n">
        <v>2033</v>
      </c>
      <c r="R4" s="150" t="n">
        <v>2034</v>
      </c>
      <c r="S4" s="150" t="n">
        <v>2035</v>
      </c>
      <c r="T4" s="150" t="inlineStr">
        <is>
          <t>Coverage / status</t>
        </is>
      </c>
      <c r="U4" s="150" t="inlineStr">
        <is>
          <t>Source</t>
        </is>
      </c>
      <c r="V4" s="150" t="inlineStr">
        <is>
          <t>Missing evidence / next action</t>
        </is>
      </c>
    </row>
    <row r="5">
      <c r="A5" s="151" t="inlineStr">
        <is>
          <t>Assumptions used below</t>
        </is>
      </c>
      <c r="B5" s="151" t="n"/>
      <c r="C5" s="151" t="n"/>
      <c r="D5" s="151" t="n"/>
      <c r="E5" s="151" t="n"/>
      <c r="F5" s="151" t="n"/>
      <c r="G5" s="151" t="n"/>
      <c r="H5" s="151" t="n"/>
      <c r="I5" s="151" t="n"/>
      <c r="J5" s="151" t="n"/>
      <c r="K5" s="151" t="n"/>
      <c r="L5" s="151" t="n"/>
      <c r="M5" s="151" t="n"/>
      <c r="N5" s="151" t="n"/>
      <c r="O5" s="151" t="n"/>
      <c r="P5" s="151" t="n"/>
      <c r="Q5" s="151" t="n"/>
      <c r="R5" s="151" t="n"/>
      <c r="S5" s="151" t="n"/>
      <c r="T5" s="151" t="n"/>
      <c r="U5" s="151" t="n"/>
      <c r="V5" s="151" t="n"/>
    </row>
    <row r="6">
      <c r="A6" s="162" t="inlineStr">
        <is>
          <t>Diesel burned per kWh generated</t>
        </is>
      </c>
      <c r="B6" s="163" t="inlineStr">
        <is>
          <t>litres/kWh</t>
        </is>
      </c>
      <c r="C6" s="163" t="inlineStr">
        <is>
          <t>Assumption</t>
        </is>
      </c>
      <c r="D6" s="197" t="n">
        <v>0.31</v>
      </c>
      <c r="E6" s="162" t="inlineStr">
        <is>
          <t>Reported Eskom burn over generation in three years. A proposal awaiting review.</t>
        </is>
      </c>
      <c r="F6" s="197" t="n"/>
      <c r="G6" s="197" t="n"/>
      <c r="H6" s="197" t="n"/>
      <c r="I6" s="197" t="n"/>
      <c r="J6" s="197" t="n"/>
      <c r="K6" s="197" t="n"/>
      <c r="L6" s="197" t="n"/>
      <c r="M6" s="197" t="n"/>
      <c r="N6" s="197" t="n"/>
      <c r="O6" s="197" t="n"/>
      <c r="P6" s="197" t="n"/>
      <c r="Q6" s="197" t="n"/>
      <c r="R6" s="197" t="n"/>
      <c r="S6" s="197" t="n"/>
      <c r="T6" s="162" t="inlineStr"/>
      <c r="U6" s="162" t="inlineStr">
        <is>
          <t>Parliamentary replies on Eskom diesel burn; Eskom generation</t>
        </is>
      </c>
      <c r="V6" s="162" t="inlineStr">
        <is>
          <t>Nigel / Henry to confirm</t>
        </is>
      </c>
    </row>
    <row r="7">
      <c r="A7" s="162" t="inlineStr">
        <is>
          <t>Share of output on diesel when gas is available</t>
        </is>
      </c>
      <c r="B7" s="163" t="inlineStr">
        <is>
          <t>%</t>
        </is>
      </c>
      <c r="C7" s="163" t="inlineStr">
        <is>
          <t>Assumption</t>
        </is>
      </c>
      <c r="D7" s="198" t="n">
        <v>10</v>
      </c>
      <c r="E7" s="162" t="inlineStr">
        <is>
          <t>Diesel as the backup fuel of a station whose main fuel is gas. NO SOURCE: Eskom's tender says only that gas will be 'supplemented by diesel as and when it's required'.</t>
        </is>
      </c>
      <c r="F7" s="198" t="n"/>
      <c r="G7" s="198" t="n"/>
      <c r="H7" s="198" t="n"/>
      <c r="I7" s="198" t="n"/>
      <c r="J7" s="198" t="n"/>
      <c r="K7" s="198" t="n"/>
      <c r="L7" s="198" t="n"/>
      <c r="M7" s="198" t="n"/>
      <c r="N7" s="198" t="n"/>
      <c r="O7" s="198" t="n"/>
      <c r="P7" s="198" t="n"/>
      <c r="Q7" s="198" t="n"/>
      <c r="R7" s="198" t="n"/>
      <c r="S7" s="198" t="n"/>
      <c r="T7" s="162" t="inlineStr"/>
      <c r="U7" s="162" t="inlineStr">
        <is>
          <t>Analyst assumption; no published source</t>
        </is>
      </c>
      <c r="V7" s="162" t="inlineStr">
        <is>
          <t>Nigel / Henry to confirm</t>
        </is>
      </c>
    </row>
    <row r="8">
      <c r="A8" s="162" t="inlineStr">
        <is>
          <t>Load factor of a gas plant running on gas</t>
        </is>
      </c>
      <c r="B8" s="163" t="inlineStr">
        <is>
          <t>%</t>
        </is>
      </c>
      <c r="C8" s="163" t="inlineStr">
        <is>
          <t>Assumption</t>
        </is>
      </c>
      <c r="D8" s="198" t="n">
        <v>40</v>
      </c>
      <c r="E8" s="162" t="inlineStr">
        <is>
          <t>NO SOURCE. Eskom describes the gas it needs as dispatchable baseload, so well above a peaker.</t>
        </is>
      </c>
      <c r="F8" s="198" t="n"/>
      <c r="G8" s="198" t="n"/>
      <c r="H8" s="198" t="n"/>
      <c r="I8" s="198" t="n"/>
      <c r="J8" s="198" t="n"/>
      <c r="K8" s="198" t="n"/>
      <c r="L8" s="198" t="n"/>
      <c r="M8" s="198" t="n"/>
      <c r="N8" s="198" t="n"/>
      <c r="O8" s="198" t="n"/>
      <c r="P8" s="198" t="n"/>
      <c r="Q8" s="198" t="n"/>
      <c r="R8" s="198" t="n"/>
      <c r="S8" s="198" t="n"/>
      <c r="T8" s="162" t="inlineStr"/>
      <c r="U8" s="162" t="inlineStr">
        <is>
          <t>Analyst assumption; no published source</t>
        </is>
      </c>
      <c r="V8" s="162" t="inlineStr">
        <is>
          <t>Nigel / Henry to confirm</t>
        </is>
      </c>
    </row>
    <row r="10">
      <c r="A10" s="151" t="inlineStr">
        <is>
          <t>1. Stations that burn diesel today (installed capacity)</t>
        </is>
      </c>
      <c r="B10" s="151" t="n"/>
      <c r="C10" s="151" t="n"/>
      <c r="D10" s="151" t="n"/>
      <c r="E10" s="151" t="n"/>
      <c r="F10" s="151" t="n"/>
      <c r="G10" s="151" t="n"/>
      <c r="H10" s="151" t="n"/>
      <c r="I10" s="151" t="n"/>
      <c r="J10" s="151" t="n"/>
      <c r="K10" s="151" t="n"/>
      <c r="L10" s="151" t="n"/>
      <c r="M10" s="151" t="n"/>
      <c r="N10" s="151" t="n"/>
      <c r="O10" s="151" t="n"/>
      <c r="P10" s="151" t="n"/>
      <c r="Q10" s="151" t="n"/>
      <c r="R10" s="151" t="n"/>
      <c r="S10" s="151" t="n"/>
      <c r="T10" s="151" t="n"/>
      <c r="U10" s="151" t="n"/>
      <c r="V10" s="151" t="n"/>
    </row>
    <row r="11">
      <c r="A11" s="152" t="inlineStr">
        <is>
          <t>Ankerlig (Eskom)</t>
        </is>
      </c>
      <c r="B11" s="153" t="inlineStr">
        <is>
          <t>MW</t>
        </is>
      </c>
      <c r="C11" s="153" t="inlineStr">
        <is>
          <t>Source observation</t>
        </is>
      </c>
      <c r="D11" s="166" t="n"/>
      <c r="E11" s="152" t="inlineStr">
        <is>
          <t>Atlantis. Nine units. Eskom's peaking stations page gives 1 327 MW; the fact sheet figure is used. Whether the gas switch is on schedule is not established. Eskom sought a natural gas supply in 2023 and aimed to switch to gas by December 2027 with diesel as a supplement.</t>
        </is>
      </c>
      <c r="F11" s="166" t="n">
        <v>1338</v>
      </c>
      <c r="G11" s="166" t="n">
        <v>1338</v>
      </c>
      <c r="H11" s="166" t="n">
        <v>1338</v>
      </c>
      <c r="I11" s="166" t="n">
        <v>1338</v>
      </c>
      <c r="J11" s="166" t="n">
        <v>1338</v>
      </c>
      <c r="K11" s="166" t="n">
        <v>1338</v>
      </c>
      <c r="L11" s="166" t="n">
        <v>1338</v>
      </c>
      <c r="M11" s="166" t="n">
        <v>1338</v>
      </c>
      <c r="N11" s="166" t="n">
        <v>1338</v>
      </c>
      <c r="O11" s="166" t="n">
        <v>1338</v>
      </c>
      <c r="P11" s="166" t="n">
        <v>1338</v>
      </c>
      <c r="Q11" s="166" t="n">
        <v>1338</v>
      </c>
      <c r="R11" s="166" t="n">
        <v>1338</v>
      </c>
      <c r="S11" s="166" t="n">
        <v>1338</v>
      </c>
      <c r="T11" s="152" t="inlineStr">
        <is>
          <t>Installed capacity</t>
        </is>
      </c>
      <c r="U11" s="152" t="inlineStr">
        <is>
          <t>Capacity: Eskom fact sheet GX 0001 Rev 29 (July 2024). Fuel: Eskom peaking power stations page gives 'Fuel oil (Diesel)'. Gas tender: as reported by News24 on 12 June 2023</t>
        </is>
      </c>
      <c r="V11" s="152" t="inlineStr"/>
    </row>
    <row r="12">
      <c r="A12" s="152" t="inlineStr">
        <is>
          <t>Gourikwa (Eskom)</t>
        </is>
      </c>
      <c r="B12" s="153" t="inlineStr">
        <is>
          <t>MW</t>
        </is>
      </c>
      <c r="C12" s="153" t="inlineStr">
        <is>
          <t>Source observation</t>
        </is>
      </c>
      <c r="D12" s="166" t="n"/>
      <c r="E12" s="152" t="inlineStr">
        <is>
          <t>Mossel Bay. Five units. Eskom's peaking stations page gives 740 MW; the fact sheet figure is used. Same gas supply tender as Ankerlig.</t>
        </is>
      </c>
      <c r="F12" s="166" t="n">
        <v>746</v>
      </c>
      <c r="G12" s="166" t="n">
        <v>746</v>
      </c>
      <c r="H12" s="166" t="n">
        <v>746</v>
      </c>
      <c r="I12" s="166" t="n">
        <v>746</v>
      </c>
      <c r="J12" s="166" t="n">
        <v>746</v>
      </c>
      <c r="K12" s="166" t="n">
        <v>746</v>
      </c>
      <c r="L12" s="166" t="n">
        <v>746</v>
      </c>
      <c r="M12" s="166" t="n">
        <v>746</v>
      </c>
      <c r="N12" s="166" t="n">
        <v>746</v>
      </c>
      <c r="O12" s="166" t="n">
        <v>746</v>
      </c>
      <c r="P12" s="166" t="n">
        <v>746</v>
      </c>
      <c r="Q12" s="166" t="n">
        <v>746</v>
      </c>
      <c r="R12" s="166" t="n">
        <v>746</v>
      </c>
      <c r="S12" s="166" t="n">
        <v>746</v>
      </c>
      <c r="T12" s="152" t="inlineStr">
        <is>
          <t>Installed capacity</t>
        </is>
      </c>
      <c r="U12" s="152" t="inlineStr">
        <is>
          <t>Capacity: Eskom fact sheet GX 0001 Rev 29 (July 2024). Fuel: Eskom peaking power stations page gives 'Fuel oil (Diesel)'. Gas tender: as reported by News24 on 12 June 2023</t>
        </is>
      </c>
      <c r="V12" s="152" t="inlineStr"/>
    </row>
    <row r="13">
      <c r="A13" s="152" t="inlineStr">
        <is>
          <t>Avon (Independent producer)</t>
        </is>
      </c>
      <c r="B13" s="153" t="inlineStr">
        <is>
          <t>MW</t>
        </is>
      </c>
      <c r="C13" s="153" t="inlineStr">
        <is>
          <t>Source observation</t>
        </is>
      </c>
      <c r="D13" s="166" t="n"/>
      <c r="E13" s="152" t="inlineStr">
        <is>
          <t>KwaZulu-Natal near Durban. Four units. Owned by ENGIE Legend Power Solutions Mitsui and The Peaker Trust. Sells to Eskom under a 15-year power purchase agreement from commercial operation in July 2016 so the agreement ends in July 2031. Shown to its last full year; what follows is not established.</t>
        </is>
      </c>
      <c r="F13" s="166" t="n">
        <v>670</v>
      </c>
      <c r="G13" s="166" t="n">
        <v>670</v>
      </c>
      <c r="H13" s="166" t="n">
        <v>670</v>
      </c>
      <c r="I13" s="166" t="n">
        <v>670</v>
      </c>
      <c r="J13" s="166" t="n">
        <v>670</v>
      </c>
      <c r="K13" s="166" t="n">
        <v>670</v>
      </c>
      <c r="L13" s="166" t="n">
        <v>670</v>
      </c>
      <c r="M13" s="166" t="n">
        <v>670</v>
      </c>
      <c r="N13" s="166" t="n">
        <v>670</v>
      </c>
      <c r="O13" s="166" t="n">
        <v>670</v>
      </c>
      <c r="P13" s="166" t="n">
        <v>670</v>
      </c>
      <c r="Q13" s="166" t="n">
        <v>670</v>
      </c>
      <c r="R13" s="166" t="n">
        <v>670</v>
      </c>
      <c r="S13" s="166" t="n">
        <v>670</v>
      </c>
      <c r="T13" s="152" t="inlineStr">
        <is>
          <t>Installed capacity</t>
        </is>
      </c>
      <c r="U13" s="152" t="inlineStr">
        <is>
          <t>Capacity owners and agreement: African Energy 9 October 2015. Fuel: Global Energy Monitor citing an ENGIE brochure (diesel; able to run on gas)</t>
        </is>
      </c>
      <c r="V13" s="152" t="inlineStr"/>
    </row>
    <row r="14">
      <c r="A14" s="152" t="inlineStr">
        <is>
          <t>Dedisa (Independent producer)</t>
        </is>
      </c>
      <c r="B14" s="153" t="inlineStr">
        <is>
          <t>MW</t>
        </is>
      </c>
      <c r="C14" s="153" t="inlineStr">
        <is>
          <t>Source observation</t>
        </is>
      </c>
      <c r="D14" s="166" t="n"/>
      <c r="E14" s="152" t="inlineStr">
        <is>
          <t>Eastern Cape near Gqeberha. Same owners as Avon. Sells to Eskom under a 15-year power purchase agreement from commercial operation in October 2015 so the agreement ends in October 2030. Shown to its last full year; what follows is not established.</t>
        </is>
      </c>
      <c r="F14" s="166" t="n">
        <v>335</v>
      </c>
      <c r="G14" s="166" t="n">
        <v>335</v>
      </c>
      <c r="H14" s="166" t="n">
        <v>335</v>
      </c>
      <c r="I14" s="166" t="n">
        <v>335</v>
      </c>
      <c r="J14" s="166" t="n">
        <v>335</v>
      </c>
      <c r="K14" s="166" t="n">
        <v>335</v>
      </c>
      <c r="L14" s="166" t="n">
        <v>335</v>
      </c>
      <c r="M14" s="166" t="n">
        <v>335</v>
      </c>
      <c r="N14" s="166" t="n">
        <v>335</v>
      </c>
      <c r="O14" s="166" t="n">
        <v>335</v>
      </c>
      <c r="P14" s="166" t="n">
        <v>335</v>
      </c>
      <c r="Q14" s="166" t="n">
        <v>335</v>
      </c>
      <c r="R14" s="166" t="n">
        <v>335</v>
      </c>
      <c r="S14" s="166" t="n">
        <v>335</v>
      </c>
      <c r="T14" s="152" t="inlineStr">
        <is>
          <t>Installed capacity</t>
        </is>
      </c>
      <c r="U14" s="152" t="inlineStr">
        <is>
          <t>Capacity owners and agreement: African Energy 9 October 2015. Fuel: Global Energy Monitor citing an ENGIE brochure (diesel; able to run on gas)</t>
        </is>
      </c>
      <c r="V14" s="152" t="inlineStr"/>
    </row>
    <row r="15">
      <c r="A15" s="156" t="inlineStr">
        <is>
          <t>Diesel stations, total installed</t>
        </is>
      </c>
      <c r="B15" s="157" t="inlineStr">
        <is>
          <t>MW</t>
        </is>
      </c>
      <c r="C15" s="157" t="inlineStr">
        <is>
          <t>Reporting formula</t>
        </is>
      </c>
      <c r="D15" s="167" t="n"/>
      <c r="E15" s="156" t="inlineStr">
        <is>
          <t>Sum of the four stations.</t>
        </is>
      </c>
      <c r="F15" s="167">
        <f>SUM(F11:F14)</f>
        <v/>
      </c>
      <c r="G15" s="167">
        <f>SUM(G11:G14)</f>
        <v/>
      </c>
      <c r="H15" s="167">
        <f>SUM(H11:H14)</f>
        <v/>
      </c>
      <c r="I15" s="167">
        <f>SUM(I11:I14)</f>
        <v/>
      </c>
      <c r="J15" s="167">
        <f>SUM(J11:J14)</f>
        <v/>
      </c>
      <c r="K15" s="167">
        <f>SUM(K11:K14)</f>
        <v/>
      </c>
      <c r="L15" s="167">
        <f>SUM(L11:L14)</f>
        <v/>
      </c>
      <c r="M15" s="167">
        <f>SUM(M11:M14)</f>
        <v/>
      </c>
      <c r="N15" s="167">
        <f>SUM(N11:N14)</f>
        <v/>
      </c>
      <c r="O15" s="167">
        <f>SUM(O11:O14)</f>
        <v/>
      </c>
      <c r="P15" s="167">
        <f>SUM(P11:P14)</f>
        <v/>
      </c>
      <c r="Q15" s="167">
        <f>SUM(Q11:Q14)</f>
        <v/>
      </c>
      <c r="R15" s="167">
        <f>SUM(R11:R14)</f>
        <v/>
      </c>
      <c r="S15" s="167">
        <f>SUM(S11:S14)</f>
        <v/>
      </c>
      <c r="T15" s="156" t="inlineStr"/>
      <c r="U15" s="156" t="inlineStr">
        <is>
          <t>Calculated in this workbook from the rows named in the definition</t>
        </is>
      </c>
      <c r="V15" s="156" t="inlineStr"/>
    </row>
    <row r="16">
      <c r="A16" s="159" t="inlineStr">
        <is>
          <t>Acacia (Eskom)</t>
        </is>
      </c>
      <c r="B16" s="160" t="inlineStr">
        <is>
          <t>MW</t>
        </is>
      </c>
      <c r="C16" s="160" t="inlineStr">
        <is>
          <t>Not counted</t>
        </is>
      </c>
      <c r="D16" s="180" t="n"/>
      <c r="E16" s="159" t="inlineStr">
        <is>
          <t>Cape Town. Three 57 MW units. Burns kerosene not diesel so it is left out of the diesel total.</t>
        </is>
      </c>
      <c r="F16" s="180" t="n">
        <v>171</v>
      </c>
      <c r="G16" s="180" t="n">
        <v>171</v>
      </c>
      <c r="H16" s="180" t="n">
        <v>171</v>
      </c>
      <c r="I16" s="180" t="n">
        <v>171</v>
      </c>
      <c r="J16" s="180" t="n">
        <v>171</v>
      </c>
      <c r="K16" s="180" t="n">
        <v>171</v>
      </c>
      <c r="L16" s="180" t="n">
        <v>171</v>
      </c>
      <c r="M16" s="180" t="n">
        <v>171</v>
      </c>
      <c r="N16" s="180" t="n">
        <v>171</v>
      </c>
      <c r="O16" s="180" t="n">
        <v>171</v>
      </c>
      <c r="P16" s="180" t="n">
        <v>171</v>
      </c>
      <c r="Q16" s="180" t="n">
        <v>171</v>
      </c>
      <c r="R16" s="180" t="n">
        <v>171</v>
      </c>
      <c r="S16" s="180" t="n">
        <v>171</v>
      </c>
      <c r="T16" s="159" t="inlineStr"/>
      <c r="U16" s="159" t="inlineStr">
        <is>
          <t>Eskom fact sheet GX 0001 Rev 29 (July 2024); Eskom peaking power stations page</t>
        </is>
      </c>
      <c r="V16" s="159" t="inlineStr"/>
    </row>
    <row r="17">
      <c r="A17" s="159" t="inlineStr">
        <is>
          <t>Port Rex (Eskom)</t>
        </is>
      </c>
      <c r="B17" s="160" t="inlineStr">
        <is>
          <t>MW</t>
        </is>
      </c>
      <c r="C17" s="160" t="inlineStr">
        <is>
          <t>Not counted</t>
        </is>
      </c>
      <c r="D17" s="180" t="n"/>
      <c r="E17" s="159" t="inlineStr">
        <is>
          <t>East London. Three 57 MW units. Burns kerosene not diesel so it is left out of the diesel total.</t>
        </is>
      </c>
      <c r="F17" s="180" t="n">
        <v>171</v>
      </c>
      <c r="G17" s="180" t="n">
        <v>171</v>
      </c>
      <c r="H17" s="180" t="n">
        <v>171</v>
      </c>
      <c r="I17" s="180" t="n">
        <v>171</v>
      </c>
      <c r="J17" s="180" t="n">
        <v>171</v>
      </c>
      <c r="K17" s="180" t="n">
        <v>171</v>
      </c>
      <c r="L17" s="180" t="n">
        <v>171</v>
      </c>
      <c r="M17" s="180" t="n">
        <v>171</v>
      </c>
      <c r="N17" s="180" t="n">
        <v>171</v>
      </c>
      <c r="O17" s="180" t="n">
        <v>171</v>
      </c>
      <c r="P17" s="180" t="n">
        <v>171</v>
      </c>
      <c r="Q17" s="180" t="n">
        <v>171</v>
      </c>
      <c r="R17" s="180" t="n">
        <v>171</v>
      </c>
      <c r="S17" s="180" t="n">
        <v>171</v>
      </c>
      <c r="T17" s="159" t="inlineStr"/>
      <c r="U17" s="159" t="inlineStr">
        <is>
          <t>Eskom fact sheet GX 0001 Rev 29 (July 2024); Eskom peaking power stations page</t>
        </is>
      </c>
      <c r="V17" s="159" t="inlineStr"/>
    </row>
    <row r="19">
      <c r="A19" s="151" t="inlineStr">
        <is>
          <t>2. What the peaking stations have generated and burned</t>
        </is>
      </c>
      <c r="B19" s="151" t="n"/>
      <c r="C19" s="151" t="n"/>
      <c r="D19" s="151" t="n"/>
      <c r="E19" s="151" t="n"/>
      <c r="F19" s="151" t="n"/>
      <c r="G19" s="151" t="n"/>
      <c r="H19" s="151" t="n"/>
      <c r="I19" s="151" t="n"/>
      <c r="J19" s="151" t="n"/>
      <c r="K19" s="151" t="n"/>
      <c r="L19" s="151" t="n"/>
      <c r="M19" s="151" t="n"/>
      <c r="N19" s="151" t="n"/>
      <c r="O19" s="151" t="n"/>
      <c r="P19" s="151" t="n"/>
      <c r="Q19" s="151" t="n"/>
      <c r="R19" s="151" t="n"/>
      <c r="S19" s="151" t="n"/>
      <c r="T19" s="151" t="n"/>
      <c r="U19" s="151" t="n"/>
      <c r="V19" s="151" t="n"/>
    </row>
    <row r="20">
      <c r="A20" s="152" t="inlineStr">
        <is>
          <t>Generation, Eskom and independent peaking stations</t>
        </is>
      </c>
      <c r="B20" s="153" t="inlineStr">
        <is>
          <t>GWh</t>
        </is>
      </c>
      <c r="C20" s="153" t="inlineStr">
        <is>
          <t>Source observation</t>
        </is>
      </c>
      <c r="D20" s="166" t="n"/>
      <c r="E20" s="152" t="inlineStr">
        <is>
          <t>Year to 31 March of the following year, shown under the calendar year it mostly covers. Includes the two kerosene stations.</t>
        </is>
      </c>
      <c r="F20" s="166" t="n">
        <v>4116</v>
      </c>
      <c r="G20" s="166" t="n">
        <v>5143</v>
      </c>
      <c r="H20" s="166" t="n">
        <v>2838</v>
      </c>
      <c r="I20" s="166" t="n">
        <v>1079</v>
      </c>
      <c r="J20" s="166" t="n"/>
      <c r="K20" s="166" t="n"/>
      <c r="L20" s="166" t="n"/>
      <c r="M20" s="166" t="n"/>
      <c r="N20" s="166" t="n"/>
      <c r="O20" s="166" t="n"/>
      <c r="P20" s="166" t="n"/>
      <c r="Q20" s="166" t="n"/>
      <c r="R20" s="166" t="n"/>
      <c r="S20" s="166" t="n"/>
      <c r="T20" s="152" t="inlineStr">
        <is>
          <t>2022-2025</t>
        </is>
      </c>
      <c r="U20" s="152" t="inlineStr">
        <is>
          <t>Eskom</t>
        </is>
      </c>
      <c r="V20" s="152" t="inlineStr"/>
    </row>
    <row r="21">
      <c r="A21" s="156" t="inlineStr">
        <is>
          <t>Observed load factor</t>
        </is>
      </c>
      <c r="B21" s="157" t="inlineStr">
        <is>
          <t>%</t>
        </is>
      </c>
      <c r="C21" s="157" t="inlineStr">
        <is>
          <t>Reporting formula</t>
        </is>
      </c>
      <c r="D21" s="199" t="n"/>
      <c r="E21" s="156" t="inlineStr">
        <is>
          <t>Generation divided by what all six stations would produce running all year.</t>
        </is>
      </c>
      <c r="F21" s="199">
        <f>IF(ISNUMBER(F20),F20/((F15+F16+F17)*8.76)*100,"")</f>
        <v/>
      </c>
      <c r="G21" s="199">
        <f>IF(ISNUMBER(G20),G20/((G15+G16+G17)*8.76)*100,"")</f>
        <v/>
      </c>
      <c r="H21" s="199">
        <f>IF(ISNUMBER(H20),H20/((H15+H16+H17)*8.76)*100,"")</f>
        <v/>
      </c>
      <c r="I21" s="199">
        <f>IF(ISNUMBER(I20),I20/((I15+I16+I17)*8.76)*100,"")</f>
        <v/>
      </c>
      <c r="J21" s="199">
        <f>IF(ISNUMBER(J20),J20/((J15+J16+J17)*8.76)*100,"")</f>
        <v/>
      </c>
      <c r="K21" s="199">
        <f>IF(ISNUMBER(K20),K20/((K15+K16+K17)*8.76)*100,"")</f>
        <v/>
      </c>
      <c r="L21" s="199">
        <f>IF(ISNUMBER(L20),L20/((L15+L16+L17)*8.76)*100,"")</f>
        <v/>
      </c>
      <c r="M21" s="199">
        <f>IF(ISNUMBER(M20),M20/((M15+M16+M17)*8.76)*100,"")</f>
        <v/>
      </c>
      <c r="N21" s="199">
        <f>IF(ISNUMBER(N20),N20/((N15+N16+N17)*8.76)*100,"")</f>
        <v/>
      </c>
      <c r="O21" s="199">
        <f>IF(ISNUMBER(O20),O20/((O15+O16+O17)*8.76)*100,"")</f>
        <v/>
      </c>
      <c r="P21" s="199">
        <f>IF(ISNUMBER(P20),P20/((P15+P16+P17)*8.76)*100,"")</f>
        <v/>
      </c>
      <c r="Q21" s="199">
        <f>IF(ISNUMBER(Q20),Q20/((Q15+Q16+Q17)*8.76)*100,"")</f>
        <v/>
      </c>
      <c r="R21" s="199">
        <f>IF(ISNUMBER(R20),R20/((R15+R16+R17)*8.76)*100,"")</f>
        <v/>
      </c>
      <c r="S21" s="199">
        <f>IF(ISNUMBER(S20),S20/((S15+S16+S17)*8.76)*100,"")</f>
        <v/>
      </c>
      <c r="T21" s="156" t="inlineStr"/>
      <c r="U21" s="156" t="inlineStr">
        <is>
          <t>Calculated in this workbook from the rows named in the definition</t>
        </is>
      </c>
      <c r="V21" s="156" t="inlineStr"/>
    </row>
    <row r="22">
      <c r="A22" s="156" t="inlineStr">
        <is>
          <t>Diesel burned, estimated</t>
        </is>
      </c>
      <c r="B22" s="157" t="inlineStr">
        <is>
          <t>million L/year</t>
        </is>
      </c>
      <c r="C22" s="157" t="inlineStr">
        <is>
          <t>Reporting formula</t>
        </is>
      </c>
      <c r="D22" s="158" t="n"/>
      <c r="E22" s="156" t="inlineStr">
        <is>
          <t>Generation times litres per kWh.</t>
        </is>
      </c>
      <c r="F22" s="158">
        <f>IF(ISNUMBER(F20),F20*$D$6,"")</f>
        <v/>
      </c>
      <c r="G22" s="158">
        <f>IF(ISNUMBER(G20),G20*$D$6,"")</f>
        <v/>
      </c>
      <c r="H22" s="158">
        <f>IF(ISNUMBER(H20),H20*$D$6,"")</f>
        <v/>
      </c>
      <c r="I22" s="158">
        <f>IF(ISNUMBER(I20),I20*$D$6,"")</f>
        <v/>
      </c>
      <c r="J22" s="158">
        <f>IF(ISNUMBER(J20),J20*$D$6,"")</f>
        <v/>
      </c>
      <c r="K22" s="158">
        <f>IF(ISNUMBER(K20),K20*$D$6,"")</f>
        <v/>
      </c>
      <c r="L22" s="158">
        <f>IF(ISNUMBER(L20),L20*$D$6,"")</f>
        <v/>
      </c>
      <c r="M22" s="158">
        <f>IF(ISNUMBER(M20),M20*$D$6,"")</f>
        <v/>
      </c>
      <c r="N22" s="158">
        <f>IF(ISNUMBER(N20),N20*$D$6,"")</f>
        <v/>
      </c>
      <c r="O22" s="158">
        <f>IF(ISNUMBER(O20),O20*$D$6,"")</f>
        <v/>
      </c>
      <c r="P22" s="158">
        <f>IF(ISNUMBER(P20),P20*$D$6,"")</f>
        <v/>
      </c>
      <c r="Q22" s="158">
        <f>IF(ISNUMBER(Q20),Q20*$D$6,"")</f>
        <v/>
      </c>
      <c r="R22" s="158">
        <f>IF(ISNUMBER(R20),R20*$D$6,"")</f>
        <v/>
      </c>
      <c r="S22" s="158">
        <f>IF(ISNUMBER(S20),S20*$D$6,"")</f>
        <v/>
      </c>
      <c r="T22" s="156" t="inlineStr">
        <is>
          <t>Estimate; slightly high because some output is kerosene</t>
        </is>
      </c>
      <c r="U22" s="156" t="inlineStr">
        <is>
          <t>Calculated in this workbook from the rows named in the definition</t>
        </is>
      </c>
      <c r="V22" s="156" t="inlineStr"/>
    </row>
    <row r="23">
      <c r="A23" s="159" t="inlineStr">
        <is>
          <t>Model today, high demand scenario</t>
        </is>
      </c>
      <c r="B23" s="160" t="inlineStr">
        <is>
          <t>million L/year</t>
        </is>
      </c>
      <c r="C23" s="160" t="inlineStr">
        <is>
          <t>Comparison only</t>
        </is>
      </c>
      <c r="D23" s="161" t="n"/>
      <c r="E23" s="159" t="inlineStr">
        <is>
          <t>The engine's power generation diesel on manish-branch. It runs six stations, two of them placeholders of 1,000 and 2,000 MW, at 55-70% load factor.</t>
        </is>
      </c>
      <c r="F23" s="161" t="n"/>
      <c r="G23" s="161" t="n"/>
      <c r="H23" s="161" t="n">
        <v>3581.094837</v>
      </c>
      <c r="I23" s="161" t="n"/>
      <c r="J23" s="161" t="n"/>
      <c r="K23" s="161" t="n"/>
      <c r="L23" s="161" t="n"/>
      <c r="M23" s="161" t="n"/>
      <c r="N23" s="161" t="n">
        <v>4594.513171</v>
      </c>
      <c r="O23" s="161" t="n"/>
      <c r="P23" s="161" t="n"/>
      <c r="Q23" s="161" t="n"/>
      <c r="R23" s="161" t="n"/>
      <c r="S23" s="161" t="n">
        <v>4594.513171</v>
      </c>
      <c r="T23" s="159" t="inlineStr">
        <is>
          <t>2024, 2030 and 2035 shown</t>
        </is>
      </c>
      <c r="U23" s="159" t="inlineStr">
        <is>
          <t>sector_baselines_2026-10-07.csv</t>
        </is>
      </c>
      <c r="V23" s="159" t="inlineStr"/>
    </row>
    <row r="24">
      <c r="A24" s="159" t="inlineStr">
        <is>
          <t>Model today, low demand scenario</t>
        </is>
      </c>
      <c r="B24" s="160" t="inlineStr">
        <is>
          <t>million L/year</t>
        </is>
      </c>
      <c r="C24" s="160" t="inlineStr">
        <is>
          <t>Comparison only</t>
        </is>
      </c>
      <c r="D24" s="161" t="n"/>
      <c r="E24" s="159" t="inlineStr">
        <is>
          <t>The engine's power generation diesel on manish-branch. It runs six stations, two of them placeholders of 1,000 and 2,000 MW, at 55-70% load factor.</t>
        </is>
      </c>
      <c r="F24" s="161" t="n"/>
      <c r="G24" s="161" t="n"/>
      <c r="H24" s="161" t="n">
        <v>3581.094837</v>
      </c>
      <c r="I24" s="161" t="n"/>
      <c r="J24" s="161" t="n"/>
      <c r="K24" s="161" t="n"/>
      <c r="L24" s="161" t="n"/>
      <c r="M24" s="161" t="n"/>
      <c r="N24" s="161" t="n">
        <v>1053.415718</v>
      </c>
      <c r="O24" s="161" t="n"/>
      <c r="P24" s="161" t="n"/>
      <c r="Q24" s="161" t="n"/>
      <c r="R24" s="161" t="n"/>
      <c r="S24" s="161" t="n">
        <v>1053.415718</v>
      </c>
      <c r="T24" s="159" t="inlineStr">
        <is>
          <t>2024, 2030 and 2035 shown</t>
        </is>
      </c>
      <c r="U24" s="159" t="inlineStr">
        <is>
          <t>sector_baselines_2026-10-07.csv</t>
        </is>
      </c>
      <c r="V24" s="159" t="inlineStr"/>
    </row>
    <row r="26">
      <c r="A26" s="151" t="inlineStr">
        <is>
          <t>3. Coal stations being retired: capacity still operating</t>
        </is>
      </c>
      <c r="B26" s="151" t="n"/>
      <c r="C26" s="151" t="n"/>
      <c r="D26" s="151" t="n"/>
      <c r="E26" s="151" t="n"/>
      <c r="F26" s="151" t="n"/>
      <c r="G26" s="151" t="n"/>
      <c r="H26" s="151" t="n"/>
      <c r="I26" s="151" t="n"/>
      <c r="J26" s="151" t="n"/>
      <c r="K26" s="151" t="n"/>
      <c r="L26" s="151" t="n"/>
      <c r="M26" s="151" t="n"/>
      <c r="N26" s="151" t="n"/>
      <c r="O26" s="151" t="n"/>
      <c r="P26" s="151" t="n"/>
      <c r="Q26" s="151" t="n"/>
      <c r="R26" s="151" t="n"/>
      <c r="S26" s="151" t="n"/>
      <c r="T26" s="151" t="n"/>
      <c r="U26" s="151" t="n"/>
      <c r="V26" s="151" t="n"/>
    </row>
    <row r="27">
      <c r="A27" s="152" t="inlineStr">
        <is>
          <t>Komati</t>
        </is>
      </c>
      <c r="B27" s="153" t="inlineStr">
        <is>
          <t>MW</t>
        </is>
      </c>
      <c r="C27" s="153" t="inlineStr">
        <is>
          <t>Source observation</t>
        </is>
      </c>
      <c r="D27" s="166" t="n"/>
      <c r="E27" s="152" t="inlineStr">
        <is>
          <t>Shut down from midday on 31 October 2022. To be converted to 150 MW of solar 70 MW of wind and 150 MW of batteries; no gas plant.</t>
        </is>
      </c>
      <c r="F27" s="166" t="n">
        <v>990</v>
      </c>
      <c r="G27" s="166" t="n">
        <v>0</v>
      </c>
      <c r="H27" s="166" t="n">
        <v>0</v>
      </c>
      <c r="I27" s="166" t="n">
        <v>0</v>
      </c>
      <c r="J27" s="166" t="n">
        <v>0</v>
      </c>
      <c r="K27" s="166" t="n">
        <v>0</v>
      </c>
      <c r="L27" s="166" t="n">
        <v>0</v>
      </c>
      <c r="M27" s="166" t="n">
        <v>0</v>
      </c>
      <c r="N27" s="166" t="n">
        <v>0</v>
      </c>
      <c r="O27" s="166" t="n">
        <v>0</v>
      </c>
      <c r="P27" s="166" t="n">
        <v>0</v>
      </c>
      <c r="Q27" s="166" t="n">
        <v>0</v>
      </c>
      <c r="R27" s="166" t="n">
        <v>0</v>
      </c>
      <c r="S27" s="166" t="n">
        <v>0</v>
      </c>
      <c r="T27" s="152" t="inlineStr">
        <is>
          <t>Capacity shown to the last full year of operation</t>
        </is>
      </c>
      <c r="U27" s="152" t="inlineStr">
        <is>
          <t>Capacity: Eskom fact sheet GX 0001 Rev 29. Shutdown: Eskom statement of 31 October 2022 (eskom.co.za)</t>
        </is>
      </c>
      <c r="V27" s="152" t="inlineStr"/>
    </row>
    <row r="28">
      <c r="A28" s="152" t="inlineStr">
        <is>
          <t>Camden</t>
        </is>
      </c>
      <c r="B28" s="153" t="inlineStr">
        <is>
          <t>MW</t>
        </is>
      </c>
      <c r="C28" s="153" t="inlineStr">
        <is>
          <t>Source observation</t>
        </is>
      </c>
      <c r="D28" s="166" t="n"/>
      <c r="E28" s="152" t="inlineStr">
        <is>
          <t>Exemption to operate until 31 March 2030. Eskom was to decide by end September 2026 between shutdown repowering and repurposing. No decision had been announced by 8 October 2026: Eskom's media statements to 7 October carry none and on 3 September its chief executive said only that shutdown repowering and repurposing 'must be informed by evidence'.</t>
        </is>
      </c>
      <c r="F28" s="166" t="n">
        <v>1561</v>
      </c>
      <c r="G28" s="166" t="n">
        <v>1561</v>
      </c>
      <c r="H28" s="166" t="n">
        <v>1561</v>
      </c>
      <c r="I28" s="166" t="n">
        <v>1561</v>
      </c>
      <c r="J28" s="166" t="n">
        <v>1561</v>
      </c>
      <c r="K28" s="166" t="n">
        <v>1561</v>
      </c>
      <c r="L28" s="166" t="n">
        <v>1561</v>
      </c>
      <c r="M28" s="166" t="n">
        <v>1561</v>
      </c>
      <c r="N28" s="166" t="n">
        <v>0</v>
      </c>
      <c r="O28" s="166" t="n">
        <v>0</v>
      </c>
      <c r="P28" s="166" t="n">
        <v>0</v>
      </c>
      <c r="Q28" s="166" t="n">
        <v>0</v>
      </c>
      <c r="R28" s="166" t="n">
        <v>0</v>
      </c>
      <c r="S28" s="166" t="n">
        <v>0</v>
      </c>
      <c r="T28" s="152" t="inlineStr">
        <is>
          <t>Capacity shown to the last full year of operation</t>
        </is>
      </c>
      <c r="U28" s="152" t="inlineStr">
        <is>
          <t>Capacity: Eskom fact sheet GX 0001 Rev 29. Dates: TechCentral 22 April 2026. Decision status: Eskom media statements page and Sunday Times 3 September 2026</t>
        </is>
      </c>
      <c r="V28" s="152" t="inlineStr"/>
    </row>
    <row r="29">
      <c r="A29" s="152" t="inlineStr">
        <is>
          <t>Grootvlei</t>
        </is>
      </c>
      <c r="B29" s="153" t="inlineStr">
        <is>
          <t>MW</t>
        </is>
      </c>
      <c r="C29" s="153" t="inlineStr">
        <is>
          <t>Source observation</t>
        </is>
      </c>
      <c r="D29" s="166" t="n"/>
      <c r="E29" s="152" t="inlineStr">
        <is>
          <t>Exemption to operate until 31 March 2030. Decision due end September 2026. No decision had been announced by 8 October 2026: Eskom's media statements to 7 October carry none and on 3 September its chief executive said only that shutdown repowering and repurposing 'must be informed by evidence'.</t>
        </is>
      </c>
      <c r="F29" s="166" t="n">
        <v>1180</v>
      </c>
      <c r="G29" s="166" t="n">
        <v>1180</v>
      </c>
      <c r="H29" s="166" t="n">
        <v>1180</v>
      </c>
      <c r="I29" s="166" t="n">
        <v>1180</v>
      </c>
      <c r="J29" s="166" t="n">
        <v>1180</v>
      </c>
      <c r="K29" s="166" t="n">
        <v>1180</v>
      </c>
      <c r="L29" s="166" t="n">
        <v>1180</v>
      </c>
      <c r="M29" s="166" t="n">
        <v>1180</v>
      </c>
      <c r="N29" s="166" t="n">
        <v>0</v>
      </c>
      <c r="O29" s="166" t="n">
        <v>0</v>
      </c>
      <c r="P29" s="166" t="n">
        <v>0</v>
      </c>
      <c r="Q29" s="166" t="n">
        <v>0</v>
      </c>
      <c r="R29" s="166" t="n">
        <v>0</v>
      </c>
      <c r="S29" s="166" t="n">
        <v>0</v>
      </c>
      <c r="T29" s="152" t="inlineStr">
        <is>
          <t>Capacity shown to the last full year of operation</t>
        </is>
      </c>
      <c r="U29" s="152" t="inlineStr">
        <is>
          <t>Capacity: Eskom fact sheet GX 0001 Rev 29. Dates: TechCentral 22 April 2026. Decision status: Eskom media statements page and Sunday Times 3 September 2026</t>
        </is>
      </c>
      <c r="V29" s="152" t="inlineStr"/>
    </row>
    <row r="30">
      <c r="A30" s="152" t="inlineStr">
        <is>
          <t>Hendrina</t>
        </is>
      </c>
      <c r="B30" s="153" t="inlineStr">
        <is>
          <t>MW</t>
        </is>
      </c>
      <c r="C30" s="153" t="inlineStr">
        <is>
          <t>Source observation</t>
        </is>
      </c>
      <c r="D30" s="166" t="n"/>
      <c r="E30" s="152" t="inlineStr">
        <is>
          <t>Exemption to operate until 31 March 2030. Decision due end September 2026. No decision had been announced by 8 October 2026: Eskom's media statements to 7 October carry none and on 3 September its chief executive said only that shutdown repowering and repurposing 'must be informed by evidence'.</t>
        </is>
      </c>
      <c r="F30" s="166" t="n">
        <v>1723</v>
      </c>
      <c r="G30" s="166" t="n">
        <v>1723</v>
      </c>
      <c r="H30" s="166" t="n">
        <v>1723</v>
      </c>
      <c r="I30" s="166" t="n">
        <v>1723</v>
      </c>
      <c r="J30" s="166" t="n">
        <v>1723</v>
      </c>
      <c r="K30" s="166" t="n">
        <v>1723</v>
      </c>
      <c r="L30" s="166" t="n">
        <v>1723</v>
      </c>
      <c r="M30" s="166" t="n">
        <v>1723</v>
      </c>
      <c r="N30" s="166" t="n">
        <v>0</v>
      </c>
      <c r="O30" s="166" t="n">
        <v>0</v>
      </c>
      <c r="P30" s="166" t="n">
        <v>0</v>
      </c>
      <c r="Q30" s="166" t="n">
        <v>0</v>
      </c>
      <c r="R30" s="166" t="n">
        <v>0</v>
      </c>
      <c r="S30" s="166" t="n">
        <v>0</v>
      </c>
      <c r="T30" s="152" t="inlineStr">
        <is>
          <t>Capacity shown to the last full year of operation</t>
        </is>
      </c>
      <c r="U30" s="152" t="inlineStr">
        <is>
          <t>Capacity: Eskom fact sheet GX 0001 Rev 29. Dates: TechCentral 22 April 2026. Decision status: Eskom media statements page and Sunday Times 3 September 2026</t>
        </is>
      </c>
      <c r="V30" s="152" t="inlineStr"/>
    </row>
    <row r="31">
      <c r="A31" s="152" t="inlineStr">
        <is>
          <t>Arnot</t>
        </is>
      </c>
      <c r="B31" s="153" t="inlineStr">
        <is>
          <t>MW</t>
        </is>
      </c>
      <c r="C31" s="153" t="inlineStr">
        <is>
          <t>Source observation</t>
        </is>
      </c>
      <c r="D31" s="166" t="n"/>
      <c r="E31" s="152" t="inlineStr">
        <is>
          <t>Exemption to operate until 31 March 2030. Decision due end September 2026. No decision had been announced by 8 October 2026: Eskom's media statements to 7 October carry none and on 3 September its chief executive said only that shutdown repowering and repurposing 'must be informed by evidence'.</t>
        </is>
      </c>
      <c r="F31" s="166" t="n">
        <v>2220</v>
      </c>
      <c r="G31" s="166" t="n">
        <v>2220</v>
      </c>
      <c r="H31" s="166" t="n">
        <v>2220</v>
      </c>
      <c r="I31" s="166" t="n">
        <v>2220</v>
      </c>
      <c r="J31" s="166" t="n">
        <v>2220</v>
      </c>
      <c r="K31" s="166" t="n">
        <v>2220</v>
      </c>
      <c r="L31" s="166" t="n">
        <v>2220</v>
      </c>
      <c r="M31" s="166" t="n">
        <v>2220</v>
      </c>
      <c r="N31" s="166" t="n">
        <v>0</v>
      </c>
      <c r="O31" s="166" t="n">
        <v>0</v>
      </c>
      <c r="P31" s="166" t="n">
        <v>0</v>
      </c>
      <c r="Q31" s="166" t="n">
        <v>0</v>
      </c>
      <c r="R31" s="166" t="n">
        <v>0</v>
      </c>
      <c r="S31" s="166" t="n">
        <v>0</v>
      </c>
      <c r="T31" s="152" t="inlineStr">
        <is>
          <t>Capacity shown to the last full year of operation</t>
        </is>
      </c>
      <c r="U31" s="152" t="inlineStr">
        <is>
          <t>Capacity: Eskom fact sheet GX 0001 Rev 29. Dates: TechCentral 22 April 2026. Decision status: Eskom media statements page and Sunday Times 3 September 2026</t>
        </is>
      </c>
      <c r="V31" s="152" t="inlineStr"/>
    </row>
    <row r="32">
      <c r="A32" s="152" t="inlineStr">
        <is>
          <t>Kriel</t>
        </is>
      </c>
      <c r="B32" s="153" t="inlineStr">
        <is>
          <t>MW</t>
        </is>
      </c>
      <c r="C32" s="153" t="inlineStr">
        <is>
          <t>Source observation</t>
        </is>
      </c>
      <c r="D32" s="166" t="n"/>
      <c r="E32" s="152" t="inlineStr">
        <is>
          <t>Exemption to operate until 31 March 2030. Decision due end September 2026. No decision had been announced by 8 October 2026: Eskom's media statements to 7 October carry none and on 3 September its chief executive said only that shutdown repowering and repurposing 'must be informed by evidence'.</t>
        </is>
      </c>
      <c r="F32" s="166" t="n">
        <v>2790</v>
      </c>
      <c r="G32" s="166" t="n">
        <v>2790</v>
      </c>
      <c r="H32" s="166" t="n">
        <v>2790</v>
      </c>
      <c r="I32" s="166" t="n">
        <v>2790</v>
      </c>
      <c r="J32" s="166" t="n">
        <v>2790</v>
      </c>
      <c r="K32" s="166" t="n">
        <v>2790</v>
      </c>
      <c r="L32" s="166" t="n">
        <v>2790</v>
      </c>
      <c r="M32" s="166" t="n">
        <v>2790</v>
      </c>
      <c r="N32" s="166" t="n">
        <v>0</v>
      </c>
      <c r="O32" s="166" t="n">
        <v>0</v>
      </c>
      <c r="P32" s="166" t="n">
        <v>0</v>
      </c>
      <c r="Q32" s="166" t="n">
        <v>0</v>
      </c>
      <c r="R32" s="166" t="n">
        <v>0</v>
      </c>
      <c r="S32" s="166" t="n">
        <v>0</v>
      </c>
      <c r="T32" s="152" t="inlineStr">
        <is>
          <t>Capacity shown to the last full year of operation</t>
        </is>
      </c>
      <c r="U32" s="152" t="inlineStr">
        <is>
          <t>Capacity: Eskom fact sheet GX 0001 Rev 29. Dates: TechCentral 22 April 2026. Decision status: Eskom media statements page and Sunday Times 3 September 2026</t>
        </is>
      </c>
      <c r="V32" s="152" t="inlineStr"/>
    </row>
    <row r="33">
      <c r="A33" s="152" t="inlineStr">
        <is>
          <t>Duvha</t>
        </is>
      </c>
      <c r="B33" s="153" t="inlineStr">
        <is>
          <t>MW</t>
        </is>
      </c>
      <c r="C33" s="153" t="inlineStr">
        <is>
          <t>Source observation</t>
        </is>
      </c>
      <c r="D33" s="166" t="n"/>
      <c r="E33" s="152" t="inlineStr">
        <is>
          <t>Planned shutdown on 21 February 2034; emissions exemption granted to that date.</t>
        </is>
      </c>
      <c r="F33" s="166" t="n">
        <v>3000</v>
      </c>
      <c r="G33" s="166" t="n">
        <v>3000</v>
      </c>
      <c r="H33" s="166" t="n">
        <v>3000</v>
      </c>
      <c r="I33" s="166" t="n">
        <v>3000</v>
      </c>
      <c r="J33" s="166" t="n">
        <v>3000</v>
      </c>
      <c r="K33" s="166" t="n">
        <v>3000</v>
      </c>
      <c r="L33" s="166" t="n">
        <v>3000</v>
      </c>
      <c r="M33" s="166" t="n">
        <v>3000</v>
      </c>
      <c r="N33" s="166" t="n">
        <v>3000</v>
      </c>
      <c r="O33" s="166" t="n">
        <v>3000</v>
      </c>
      <c r="P33" s="166" t="n">
        <v>3000</v>
      </c>
      <c r="Q33" s="166" t="n">
        <v>3000</v>
      </c>
      <c r="R33" s="166" t="n">
        <v>0</v>
      </c>
      <c r="S33" s="166" t="n">
        <v>0</v>
      </c>
      <c r="T33" s="152" t="inlineStr">
        <is>
          <t>Capacity shown to the last full year of operation</t>
        </is>
      </c>
      <c r="U33" s="152" t="inlineStr">
        <is>
          <t>Capacity: Eskom fact sheet GX 0001 Rev 29. Date: Mail &amp; Guardian 31 March 2025 reporting the environment minister's decision</t>
        </is>
      </c>
      <c r="V33" s="152" t="inlineStr"/>
    </row>
    <row r="34">
      <c r="A34" s="152" t="inlineStr">
        <is>
          <t>Matla</t>
        </is>
      </c>
      <c r="B34" s="153" t="inlineStr">
        <is>
          <t>MW</t>
        </is>
      </c>
      <c r="C34" s="153" t="inlineStr">
        <is>
          <t>Source observation</t>
        </is>
      </c>
      <c r="D34" s="166" t="n"/>
      <c r="E34" s="152" t="inlineStr">
        <is>
          <t>Planned shutdown on 20 July 2034; emissions exemption granted to that date.</t>
        </is>
      </c>
      <c r="F34" s="166" t="n">
        <v>3600</v>
      </c>
      <c r="G34" s="166" t="n">
        <v>3600</v>
      </c>
      <c r="H34" s="166" t="n">
        <v>3600</v>
      </c>
      <c r="I34" s="166" t="n">
        <v>3600</v>
      </c>
      <c r="J34" s="166" t="n">
        <v>3600</v>
      </c>
      <c r="K34" s="166" t="n">
        <v>3600</v>
      </c>
      <c r="L34" s="166" t="n">
        <v>3600</v>
      </c>
      <c r="M34" s="166" t="n">
        <v>3600</v>
      </c>
      <c r="N34" s="166" t="n">
        <v>3600</v>
      </c>
      <c r="O34" s="166" t="n">
        <v>3600</v>
      </c>
      <c r="P34" s="166" t="n">
        <v>3600</v>
      </c>
      <c r="Q34" s="166" t="n">
        <v>3600</v>
      </c>
      <c r="R34" s="166" t="n">
        <v>0</v>
      </c>
      <c r="S34" s="166" t="n">
        <v>0</v>
      </c>
      <c r="T34" s="152" t="inlineStr">
        <is>
          <t>Capacity shown to the last full year of operation</t>
        </is>
      </c>
      <c r="U34" s="152" t="inlineStr">
        <is>
          <t>Capacity: Eskom fact sheet GX 0001 Rev 29. Date: Mail &amp; Guardian 31 March 2025 reporting the environment minister's decision</t>
        </is>
      </c>
      <c r="V34" s="152" t="inlineStr"/>
    </row>
    <row r="35">
      <c r="A35" s="156" t="inlineStr">
        <is>
          <t>Coal capacity operating, these eight stations</t>
        </is>
      </c>
      <c r="B35" s="157" t="inlineStr">
        <is>
          <t>MW</t>
        </is>
      </c>
      <c r="C35" s="157" t="inlineStr">
        <is>
          <t>Reporting formula</t>
        </is>
      </c>
      <c r="D35" s="167" t="n"/>
      <c r="E35" s="156" t="inlineStr">
        <is>
          <t>Sum of the rows above.</t>
        </is>
      </c>
      <c r="F35" s="167">
        <f>SUM(F27:F34)</f>
        <v/>
      </c>
      <c r="G35" s="167">
        <f>SUM(G27:G34)</f>
        <v/>
      </c>
      <c r="H35" s="167">
        <f>SUM(H27:H34)</f>
        <v/>
      </c>
      <c r="I35" s="167">
        <f>SUM(I27:I34)</f>
        <v/>
      </c>
      <c r="J35" s="167">
        <f>SUM(J27:J34)</f>
        <v/>
      </c>
      <c r="K35" s="167">
        <f>SUM(K27:K34)</f>
        <v/>
      </c>
      <c r="L35" s="167">
        <f>SUM(L27:L34)</f>
        <v/>
      </c>
      <c r="M35" s="167">
        <f>SUM(M27:M34)</f>
        <v/>
      </c>
      <c r="N35" s="167">
        <f>SUM(N27:N34)</f>
        <v/>
      </c>
      <c r="O35" s="167">
        <f>SUM(O27:O34)</f>
        <v/>
      </c>
      <c r="P35" s="167">
        <f>SUM(P27:P34)</f>
        <v/>
      </c>
      <c r="Q35" s="167">
        <f>SUM(Q27:Q34)</f>
        <v/>
      </c>
      <c r="R35" s="167">
        <f>SUM(R27:R34)</f>
        <v/>
      </c>
      <c r="S35" s="167">
        <f>SUM(S27:S34)</f>
        <v/>
      </c>
      <c r="T35" s="156" t="inlineStr"/>
      <c r="U35" s="156" t="inlineStr">
        <is>
          <t>Calculated in this workbook from the rows named in the definition</t>
        </is>
      </c>
      <c r="V35" s="156" t="inlineStr"/>
    </row>
    <row r="36">
      <c r="A36" s="156" t="inlineStr">
        <is>
          <t>Coal capacity retired since 2022</t>
        </is>
      </c>
      <c r="B36" s="157" t="inlineStr">
        <is>
          <t>MW</t>
        </is>
      </c>
      <c r="C36" s="157" t="inlineStr">
        <is>
          <t>Reporting formula</t>
        </is>
      </c>
      <c r="D36" s="167" t="n"/>
      <c r="E36" s="156" t="inlineStr">
        <is>
          <t>2022 total less this year's.</t>
        </is>
      </c>
      <c r="F36" s="167">
        <f>F35-F35</f>
        <v/>
      </c>
      <c r="G36" s="167">
        <f>F35-G35</f>
        <v/>
      </c>
      <c r="H36" s="167">
        <f>F35-H35</f>
        <v/>
      </c>
      <c r="I36" s="167">
        <f>F35-I35</f>
        <v/>
      </c>
      <c r="J36" s="167">
        <f>F35-J35</f>
        <v/>
      </c>
      <c r="K36" s="167">
        <f>F35-K35</f>
        <v/>
      </c>
      <c r="L36" s="167">
        <f>F35-L35</f>
        <v/>
      </c>
      <c r="M36" s="167">
        <f>F35-M35</f>
        <v/>
      </c>
      <c r="N36" s="167">
        <f>F35-N35</f>
        <v/>
      </c>
      <c r="O36" s="167">
        <f>F35-O35</f>
        <v/>
      </c>
      <c r="P36" s="167">
        <f>F35-P35</f>
        <v/>
      </c>
      <c r="Q36" s="167">
        <f>F35-Q35</f>
        <v/>
      </c>
      <c r="R36" s="167">
        <f>F35-R35</f>
        <v/>
      </c>
      <c r="S36" s="167">
        <f>F35-S35</f>
        <v/>
      </c>
      <c r="T36" s="156" t="inlineStr"/>
      <c r="U36" s="156" t="inlineStr">
        <is>
          <t>Calculated in this workbook from the rows named in the definition</t>
        </is>
      </c>
      <c r="V36" s="156" t="inlineStr"/>
    </row>
    <row r="38">
      <c r="A38" s="151" t="inlineStr">
        <is>
          <t>4. Low case: Avon and Dedisa stop when their agreements end; Ankerlig and Gourikwa move to gas; no gas plant is built at a retired coal site; the peakers run as little as in the year to March 2026.</t>
        </is>
      </c>
      <c r="B38" s="151" t="n"/>
      <c r="C38" s="151" t="n"/>
      <c r="D38" s="151" t="n"/>
      <c r="E38" s="151" t="n"/>
      <c r="F38" s="151" t="n"/>
      <c r="G38" s="151" t="n"/>
      <c r="H38" s="151" t="n"/>
      <c r="I38" s="151" t="n"/>
      <c r="J38" s="151" t="n"/>
      <c r="K38" s="151" t="n"/>
      <c r="L38" s="151" t="n"/>
      <c r="M38" s="151" t="n"/>
      <c r="N38" s="151" t="n"/>
      <c r="O38" s="151" t="n"/>
      <c r="P38" s="151" t="n"/>
      <c r="Q38" s="151" t="n"/>
      <c r="R38" s="151" t="n"/>
      <c r="S38" s="151" t="n"/>
      <c r="T38" s="151" t="n"/>
      <c r="U38" s="151" t="n"/>
      <c r="V38" s="151" t="n"/>
    </row>
    <row r="39">
      <c r="A39" s="162" t="inlineStr">
        <is>
          <t>Avon and Dedisa available, low</t>
        </is>
      </c>
      <c r="B39" s="163" t="inlineStr">
        <is>
          <t>MW</t>
        </is>
      </c>
      <c r="C39" s="163" t="inlineStr">
        <is>
          <t>Scenario</t>
        </is>
      </c>
      <c r="D39" s="200" t="n"/>
      <c r="E39" s="162" t="inlineStr">
        <is>
          <t>Each to the last full year of its agreement (Dedisa 2029, Avon 2030), then zero.</t>
        </is>
      </c>
      <c r="F39" s="200" t="n">
        <v>1005</v>
      </c>
      <c r="G39" s="200" t="n">
        <v>1005</v>
      </c>
      <c r="H39" s="200" t="n">
        <v>1005</v>
      </c>
      <c r="I39" s="200" t="n">
        <v>1005</v>
      </c>
      <c r="J39" s="200" t="n">
        <v>1005</v>
      </c>
      <c r="K39" s="200" t="n">
        <v>1005</v>
      </c>
      <c r="L39" s="200" t="n">
        <v>1005</v>
      </c>
      <c r="M39" s="200" t="n">
        <v>1005</v>
      </c>
      <c r="N39" s="200" t="n">
        <v>670</v>
      </c>
      <c r="O39" s="200" t="n">
        <v>0</v>
      </c>
      <c r="P39" s="200" t="n">
        <v>0</v>
      </c>
      <c r="Q39" s="200" t="n">
        <v>0</v>
      </c>
      <c r="R39" s="200" t="n">
        <v>0</v>
      </c>
      <c r="S39" s="200" t="n">
        <v>0</v>
      </c>
      <c r="T39" s="162" t="inlineStr">
        <is>
          <t>What follows the agreements is not known</t>
        </is>
      </c>
      <c r="U39" s="162" t="inlineStr">
        <is>
          <t>African Energy, 9 October 2015 (15-year agreements)</t>
        </is>
      </c>
      <c r="V39" s="162" t="inlineStr">
        <is>
          <t>Nigel / Henry to confirm</t>
        </is>
      </c>
    </row>
    <row r="40">
      <c r="A40" s="162" t="inlineStr">
        <is>
          <t>Share of Ankerlig and Gourikwa output on diesel, low</t>
        </is>
      </c>
      <c r="B40" s="163" t="inlineStr">
        <is>
          <t>%</t>
        </is>
      </c>
      <c r="C40" s="163" t="inlineStr">
        <is>
          <t>Scenario</t>
        </is>
      </c>
      <c r="D40" s="198" t="n"/>
      <c r="E40" s="162" t="inlineStr">
        <is>
          <t>100% until Eskom's stated gas switch in December 2027, then the backup share.</t>
        </is>
      </c>
      <c r="F40" s="198">
        <f>100</f>
        <v/>
      </c>
      <c r="G40" s="198">
        <f>100</f>
        <v/>
      </c>
      <c r="H40" s="198">
        <f>100</f>
        <v/>
      </c>
      <c r="I40" s="198">
        <f>100</f>
        <v/>
      </c>
      <c r="J40" s="198">
        <f>100</f>
        <v/>
      </c>
      <c r="K40" s="198">
        <f>100</f>
        <v/>
      </c>
      <c r="L40" s="198">
        <f>$D$7</f>
        <v/>
      </c>
      <c r="M40" s="198">
        <f>$D$7</f>
        <v/>
      </c>
      <c r="N40" s="198">
        <f>$D$7</f>
        <v/>
      </c>
      <c r="O40" s="198">
        <f>$D$7</f>
        <v/>
      </c>
      <c r="P40" s="198">
        <f>$D$7</f>
        <v/>
      </c>
      <c r="Q40" s="198">
        <f>$D$7</f>
        <v/>
      </c>
      <c r="R40" s="198">
        <f>$D$7</f>
        <v/>
      </c>
      <c r="S40" s="198">
        <f>$D$7</f>
        <v/>
      </c>
      <c r="T40" s="162" t="inlineStr"/>
      <c r="U40" s="162" t="inlineStr">
        <is>
          <t>Eskom gas supply tender, as reported by News24, 12 June 2023</t>
        </is>
      </c>
      <c r="V40" s="162" t="inlineStr">
        <is>
          <t>Nigel / Henry to confirm</t>
        </is>
      </c>
    </row>
    <row r="41">
      <c r="A41" s="162" t="inlineStr">
        <is>
          <t>Gas turbines at the five coal sites, low</t>
        </is>
      </c>
      <c r="B41" s="163" t="inlineStr">
        <is>
          <t>MW</t>
        </is>
      </c>
      <c r="C41" s="163" t="inlineStr">
        <is>
          <t>Scenario</t>
        </is>
      </c>
      <c r="D41" s="200" t="n"/>
      <c r="E41" s="162" t="inlineStr">
        <is>
          <t>From 2030, when Camden, Grootvlei, Hendrina, Arnot and Kriel are due to stop. Which sites, and how large, is not decided; the national gas requirement is used as a stand-in.</t>
        </is>
      </c>
      <c r="F41" s="200" t="n">
        <v>0</v>
      </c>
      <c r="G41" s="200" t="n">
        <v>0</v>
      </c>
      <c r="H41" s="200" t="n">
        <v>0</v>
      </c>
      <c r="I41" s="200" t="n">
        <v>0</v>
      </c>
      <c r="J41" s="200" t="n">
        <v>0</v>
      </c>
      <c r="K41" s="200" t="n">
        <v>0</v>
      </c>
      <c r="L41" s="200" t="n">
        <v>0</v>
      </c>
      <c r="M41" s="200" t="n">
        <v>0</v>
      </c>
      <c r="N41" s="200" t="n">
        <v>0</v>
      </c>
      <c r="O41" s="200" t="n">
        <v>0</v>
      </c>
      <c r="P41" s="200" t="n">
        <v>0</v>
      </c>
      <c r="Q41" s="200" t="n">
        <v>0</v>
      </c>
      <c r="R41" s="200" t="n">
        <v>0</v>
      </c>
      <c r="S41" s="200" t="n">
        <v>0</v>
      </c>
      <c r="T41" s="162" t="inlineStr"/>
      <c r="U41" s="162" t="inlineStr">
        <is>
          <t>IRP 2025 gas requirement, as reported by TechCentral, 22 April 2026</t>
        </is>
      </c>
      <c r="V41" s="162" t="inlineStr">
        <is>
          <t>Nigel / Henry to confirm</t>
        </is>
      </c>
    </row>
    <row r="42">
      <c r="A42" s="162" t="inlineStr">
        <is>
          <t>Diesel at today's stations, low</t>
        </is>
      </c>
      <c r="B42" s="163" t="inlineStr">
        <is>
          <t>million L/year</t>
        </is>
      </c>
      <c r="C42" s="163" t="inlineStr">
        <is>
          <t>Proposed estimate</t>
        </is>
      </c>
      <c r="D42" s="165" t="n">
        <v>3.590017953416939</v>
      </c>
      <c r="E42" s="162" t="inlineStr">
        <is>
          <t>Load factor in column D (%), an observed figure for the whole peaking fleet. Avon and Dedisa wholly on diesel; Ankerlig and Gourikwa at the share above.</t>
        </is>
      </c>
      <c r="F42" s="165">
        <f>(F39+(F11+F12)*F40/100)*8.76*$D$42/100*$D$6</f>
        <v/>
      </c>
      <c r="G42" s="165">
        <f>(G39+(G11+G12)*G40/100)*8.76*$D$42/100*$D$6</f>
        <v/>
      </c>
      <c r="H42" s="165">
        <f>(H39+(H11+H12)*H40/100)*8.76*$D$42/100*$D$6</f>
        <v/>
      </c>
      <c r="I42" s="165">
        <f>(I39+(I11+I12)*I40/100)*8.76*$D$42/100*$D$6</f>
        <v/>
      </c>
      <c r="J42" s="165">
        <f>(J39+(J11+J12)*J40/100)*8.76*$D$42/100*$D$6</f>
        <v/>
      </c>
      <c r="K42" s="165">
        <f>(K39+(K11+K12)*K40/100)*8.76*$D$42/100*$D$6</f>
        <v/>
      </c>
      <c r="L42" s="165">
        <f>(L39+(L11+L12)*L40/100)*8.76*$D$42/100*$D$6</f>
        <v/>
      </c>
      <c r="M42" s="165">
        <f>(M39+(M11+M12)*M40/100)*8.76*$D$42/100*$D$6</f>
        <v/>
      </c>
      <c r="N42" s="165">
        <f>(N39+(N11+N12)*N40/100)*8.76*$D$42/100*$D$6</f>
        <v/>
      </c>
      <c r="O42" s="165">
        <f>(O39+(O11+O12)*O40/100)*8.76*$D$42/100*$D$6</f>
        <v/>
      </c>
      <c r="P42" s="165">
        <f>(P39+(P11+P12)*P40/100)*8.76*$D$42/100*$D$6</f>
        <v/>
      </c>
      <c r="Q42" s="165">
        <f>(Q39+(Q11+Q12)*Q40/100)*8.76*$D$42/100*$D$6</f>
        <v/>
      </c>
      <c r="R42" s="165">
        <f>(R39+(R11+R12)*R40/100)*8.76*$D$42/100*$D$6</f>
        <v/>
      </c>
      <c r="S42" s="165">
        <f>(S39+(S11+S12)*S40/100)*8.76*$D$42/100*$D$6</f>
        <v/>
      </c>
      <c r="T42" s="162" t="inlineStr">
        <is>
          <t>Estimate</t>
        </is>
      </c>
      <c r="U42" s="162" t="inlineStr">
        <is>
          <t>Analyst estimate, calculated in this workbook; method in the definition</t>
        </is>
      </c>
      <c r="V42" s="162" t="inlineStr">
        <is>
          <t>Nigel / Henry to confirm: the load factor in column D</t>
        </is>
      </c>
    </row>
    <row r="43">
      <c r="A43" s="162" t="inlineStr">
        <is>
          <t>Diesel at the five coal sites, low</t>
        </is>
      </c>
      <c r="B43" s="163" t="inlineStr">
        <is>
          <t>million L/year</t>
        </is>
      </c>
      <c r="C43" s="163" t="inlineStr">
        <is>
          <t>Scenario</t>
        </is>
      </c>
      <c r="D43" s="165" t="n"/>
      <c r="E43" s="162" t="inlineStr">
        <is>
          <t>Gas turbine capacity times load factor times share of output on diesel times litres per kWh. Run on gas at the gas-plant load factor, with the backup share on diesel.</t>
        </is>
      </c>
      <c r="F43" s="165">
        <f>F41*8.76*0/100*0/100*$D$6</f>
        <v/>
      </c>
      <c r="G43" s="165">
        <f>G41*8.76*0/100*0/100*$D$6</f>
        <v/>
      </c>
      <c r="H43" s="165">
        <f>H41*8.76*0/100*0/100*$D$6</f>
        <v/>
      </c>
      <c r="I43" s="165">
        <f>I41*8.76*0/100*0/100*$D$6</f>
        <v/>
      </c>
      <c r="J43" s="165">
        <f>J41*8.76*0/100*0/100*$D$6</f>
        <v/>
      </c>
      <c r="K43" s="165">
        <f>K41*8.76*0/100*0/100*$D$6</f>
        <v/>
      </c>
      <c r="L43" s="165">
        <f>L41*8.76*0/100*0/100*$D$6</f>
        <v/>
      </c>
      <c r="M43" s="165">
        <f>M41*8.76*0/100*0/100*$D$6</f>
        <v/>
      </c>
      <c r="N43" s="165">
        <f>N41*8.76*0/100*0/100*$D$6</f>
        <v/>
      </c>
      <c r="O43" s="165">
        <f>O41*8.76*0/100*0/100*$D$6</f>
        <v/>
      </c>
      <c r="P43" s="165">
        <f>P41*8.76*0/100*0/100*$D$6</f>
        <v/>
      </c>
      <c r="Q43" s="165">
        <f>Q41*8.76*0/100*0/100*$D$6</f>
        <v/>
      </c>
      <c r="R43" s="165">
        <f>R41*8.76*0/100*0/100*$D$6</f>
        <v/>
      </c>
      <c r="S43" s="165">
        <f>S41*8.76*0/100*0/100*$D$6</f>
        <v/>
      </c>
      <c r="T43" s="162" t="inlineStr">
        <is>
          <t>Scenario</t>
        </is>
      </c>
      <c r="U43" s="162" t="inlineStr">
        <is>
          <t>Analyst scenario setting; no published source</t>
        </is>
      </c>
      <c r="V43" s="162" t="inlineStr">
        <is>
          <t>Nigel / Henry to confirm</t>
        </is>
      </c>
    </row>
    <row r="44">
      <c r="A44" s="162" t="inlineStr">
        <is>
          <t>Diesel for power, low case</t>
        </is>
      </c>
      <c r="B44" s="163" t="inlineStr">
        <is>
          <t>million L/year</t>
        </is>
      </c>
      <c r="C44" s="163" t="inlineStr">
        <is>
          <t>Proposed estimate</t>
        </is>
      </c>
      <c r="D44" s="165" t="n"/>
      <c r="E44" s="162" t="inlineStr">
        <is>
          <t>The two rows above added.</t>
        </is>
      </c>
      <c r="F44" s="165">
        <f>F42+F43</f>
        <v/>
      </c>
      <c r="G44" s="165">
        <f>G42+G43</f>
        <v/>
      </c>
      <c r="H44" s="165">
        <f>H42+H43</f>
        <v/>
      </c>
      <c r="I44" s="165">
        <f>I42+I43</f>
        <v/>
      </c>
      <c r="J44" s="165">
        <f>J42+J43</f>
        <v/>
      </c>
      <c r="K44" s="165">
        <f>K42+K43</f>
        <v/>
      </c>
      <c r="L44" s="165">
        <f>L42+L43</f>
        <v/>
      </c>
      <c r="M44" s="165">
        <f>M42+M43</f>
        <v/>
      </c>
      <c r="N44" s="165">
        <f>N42+N43</f>
        <v/>
      </c>
      <c r="O44" s="165">
        <f>O42+O43</f>
        <v/>
      </c>
      <c r="P44" s="165">
        <f>P42+P43</f>
        <v/>
      </c>
      <c r="Q44" s="165">
        <f>Q42+Q43</f>
        <v/>
      </c>
      <c r="R44" s="165">
        <f>R42+R43</f>
        <v/>
      </c>
      <c r="S44" s="165">
        <f>S42+S43</f>
        <v/>
      </c>
      <c r="T44" s="162" t="inlineStr"/>
      <c r="U44" s="162" t="inlineStr">
        <is>
          <t>Analyst estimate, calculated in this workbook; method in the definition</t>
        </is>
      </c>
      <c r="V44" s="162" t="inlineStr"/>
    </row>
    <row r="46">
      <c r="A46" s="151" t="inlineStr">
        <is>
          <t>4. Medium case: Avon and Dedisa continue after their agreements; Ankerlig and Gourikwa move to gas; half the IRP 2025 gas requirement is built at the five coal sites and has gas, with diesel as backup; the peakers run as in the year to March 2025.</t>
        </is>
      </c>
      <c r="B46" s="151" t="n"/>
      <c r="C46" s="151" t="n"/>
      <c r="D46" s="151" t="n"/>
      <c r="E46" s="151" t="n"/>
      <c r="F46" s="151" t="n"/>
      <c r="G46" s="151" t="n"/>
      <c r="H46" s="151" t="n"/>
      <c r="I46" s="151" t="n"/>
      <c r="J46" s="151" t="n"/>
      <c r="K46" s="151" t="n"/>
      <c r="L46" s="151" t="n"/>
      <c r="M46" s="151" t="n"/>
      <c r="N46" s="151" t="n"/>
      <c r="O46" s="151" t="n"/>
      <c r="P46" s="151" t="n"/>
      <c r="Q46" s="151" t="n"/>
      <c r="R46" s="151" t="n"/>
      <c r="S46" s="151" t="n"/>
      <c r="T46" s="151" t="n"/>
      <c r="U46" s="151" t="n"/>
      <c r="V46" s="151" t="n"/>
    </row>
    <row r="47">
      <c r="A47" s="162" t="inlineStr">
        <is>
          <t>Avon and Dedisa available, medium</t>
        </is>
      </c>
      <c r="B47" s="163" t="inlineStr">
        <is>
          <t>MW</t>
        </is>
      </c>
      <c r="C47" s="163" t="inlineStr">
        <is>
          <t>Scenario</t>
        </is>
      </c>
      <c r="D47" s="200" t="n"/>
      <c r="E47" s="162" t="inlineStr">
        <is>
          <t>Both stations to 2035.</t>
        </is>
      </c>
      <c r="F47" s="200" t="n">
        <v>1005</v>
      </c>
      <c r="G47" s="200" t="n">
        <v>1005</v>
      </c>
      <c r="H47" s="200" t="n">
        <v>1005</v>
      </c>
      <c r="I47" s="200" t="n">
        <v>1005</v>
      </c>
      <c r="J47" s="200" t="n">
        <v>1005</v>
      </c>
      <c r="K47" s="200" t="n">
        <v>1005</v>
      </c>
      <c r="L47" s="200" t="n">
        <v>1005</v>
      </c>
      <c r="M47" s="200" t="n">
        <v>1005</v>
      </c>
      <c r="N47" s="200" t="n">
        <v>1005</v>
      </c>
      <c r="O47" s="200" t="n">
        <v>1005</v>
      </c>
      <c r="P47" s="200" t="n">
        <v>1005</v>
      </c>
      <c r="Q47" s="200" t="n">
        <v>1005</v>
      </c>
      <c r="R47" s="200" t="n">
        <v>1005</v>
      </c>
      <c r="S47" s="200" t="n">
        <v>1005</v>
      </c>
      <c r="T47" s="162" t="inlineStr">
        <is>
          <t>What follows the agreements is not known</t>
        </is>
      </c>
      <c r="U47" s="162" t="inlineStr">
        <is>
          <t>African Energy, 9 October 2015 (15-year agreements)</t>
        </is>
      </c>
      <c r="V47" s="162" t="inlineStr">
        <is>
          <t>Nigel / Henry to confirm</t>
        </is>
      </c>
    </row>
    <row r="48">
      <c r="A48" s="162" t="inlineStr">
        <is>
          <t>Share of Ankerlig and Gourikwa output on diesel, medium</t>
        </is>
      </c>
      <c r="B48" s="163" t="inlineStr">
        <is>
          <t>%</t>
        </is>
      </c>
      <c r="C48" s="163" t="inlineStr">
        <is>
          <t>Scenario</t>
        </is>
      </c>
      <c r="D48" s="198" t="n"/>
      <c r="E48" s="162" t="inlineStr">
        <is>
          <t>100% until Eskom's stated gas switch in December 2027, then the backup share.</t>
        </is>
      </c>
      <c r="F48" s="198">
        <f>100</f>
        <v/>
      </c>
      <c r="G48" s="198">
        <f>100</f>
        <v/>
      </c>
      <c r="H48" s="198">
        <f>100</f>
        <v/>
      </c>
      <c r="I48" s="198">
        <f>100</f>
        <v/>
      </c>
      <c r="J48" s="198">
        <f>100</f>
        <v/>
      </c>
      <c r="K48" s="198">
        <f>100</f>
        <v/>
      </c>
      <c r="L48" s="198">
        <f>$D$7</f>
        <v/>
      </c>
      <c r="M48" s="198">
        <f>$D$7</f>
        <v/>
      </c>
      <c r="N48" s="198">
        <f>$D$7</f>
        <v/>
      </c>
      <c r="O48" s="198">
        <f>$D$7</f>
        <v/>
      </c>
      <c r="P48" s="198">
        <f>$D$7</f>
        <v/>
      </c>
      <c r="Q48" s="198">
        <f>$D$7</f>
        <v/>
      </c>
      <c r="R48" s="198">
        <f>$D$7</f>
        <v/>
      </c>
      <c r="S48" s="198">
        <f>$D$7</f>
        <v/>
      </c>
      <c r="T48" s="162" t="inlineStr"/>
      <c r="U48" s="162" t="inlineStr">
        <is>
          <t>Eskom gas supply tender, as reported by News24, 12 June 2023</t>
        </is>
      </c>
      <c r="V48" s="162" t="inlineStr">
        <is>
          <t>Nigel / Henry to confirm</t>
        </is>
      </c>
    </row>
    <row r="49">
      <c r="A49" s="162" t="inlineStr">
        <is>
          <t>Gas turbines at the five coal sites, medium</t>
        </is>
      </c>
      <c r="B49" s="163" t="inlineStr">
        <is>
          <t>MW</t>
        </is>
      </c>
      <c r="C49" s="163" t="inlineStr">
        <is>
          <t>Scenario</t>
        </is>
      </c>
      <c r="D49" s="200" t="n"/>
      <c r="E49" s="162" t="inlineStr">
        <is>
          <t>From 2030, when Camden, Grootvlei, Hendrina, Arnot and Kriel are due to stop. Which sites, and how large, is not decided; the national gas requirement is used as a stand-in.</t>
        </is>
      </c>
      <c r="F49" s="200" t="n">
        <v>0</v>
      </c>
      <c r="G49" s="200" t="n">
        <v>0</v>
      </c>
      <c r="H49" s="200" t="n">
        <v>0</v>
      </c>
      <c r="I49" s="200" t="n">
        <v>0</v>
      </c>
      <c r="J49" s="200" t="n">
        <v>0</v>
      </c>
      <c r="K49" s="200" t="n">
        <v>0</v>
      </c>
      <c r="L49" s="200" t="n">
        <v>0</v>
      </c>
      <c r="M49" s="200" t="n">
        <v>0</v>
      </c>
      <c r="N49" s="200" t="n">
        <v>3000</v>
      </c>
      <c r="O49" s="200" t="n">
        <v>3000</v>
      </c>
      <c r="P49" s="200" t="n">
        <v>3000</v>
      </c>
      <c r="Q49" s="200" t="n">
        <v>3000</v>
      </c>
      <c r="R49" s="200" t="n">
        <v>3000</v>
      </c>
      <c r="S49" s="200" t="n">
        <v>3000</v>
      </c>
      <c r="T49" s="162" t="inlineStr"/>
      <c r="U49" s="162" t="inlineStr">
        <is>
          <t>IRP 2025 gas requirement, as reported by TechCentral, 22 April 2026</t>
        </is>
      </c>
      <c r="V49" s="162" t="inlineStr">
        <is>
          <t>Nigel / Henry to confirm</t>
        </is>
      </c>
    </row>
    <row r="50">
      <c r="A50" s="162" t="inlineStr">
        <is>
          <t>Diesel at today's stations, medium</t>
        </is>
      </c>
      <c r="B50" s="163" t="inlineStr">
        <is>
          <t>million L/year</t>
        </is>
      </c>
      <c r="C50" s="163" t="inlineStr">
        <is>
          <t>Proposed estimate</t>
        </is>
      </c>
      <c r="D50" s="165" t="n">
        <v>9.44251246691128</v>
      </c>
      <c r="E50" s="162" t="inlineStr">
        <is>
          <t>Load factor in column D (%), an observed figure for the whole peaking fleet. Avon and Dedisa wholly on diesel; Ankerlig and Gourikwa at the share above.</t>
        </is>
      </c>
      <c r="F50" s="165">
        <f>(F47+(F11+F12)*F48/100)*8.76*$D$50/100*$D$6</f>
        <v/>
      </c>
      <c r="G50" s="165">
        <f>(G47+(G11+G12)*G48/100)*8.76*$D$50/100*$D$6</f>
        <v/>
      </c>
      <c r="H50" s="165">
        <f>(H47+(H11+H12)*H48/100)*8.76*$D$50/100*$D$6</f>
        <v/>
      </c>
      <c r="I50" s="165">
        <f>(I47+(I11+I12)*I48/100)*8.76*$D$50/100*$D$6</f>
        <v/>
      </c>
      <c r="J50" s="165">
        <f>(J47+(J11+J12)*J48/100)*8.76*$D$50/100*$D$6</f>
        <v/>
      </c>
      <c r="K50" s="165">
        <f>(K47+(K11+K12)*K48/100)*8.76*$D$50/100*$D$6</f>
        <v/>
      </c>
      <c r="L50" s="165">
        <f>(L47+(L11+L12)*L48/100)*8.76*$D$50/100*$D$6</f>
        <v/>
      </c>
      <c r="M50" s="165">
        <f>(M47+(M11+M12)*M48/100)*8.76*$D$50/100*$D$6</f>
        <v/>
      </c>
      <c r="N50" s="165">
        <f>(N47+(N11+N12)*N48/100)*8.76*$D$50/100*$D$6</f>
        <v/>
      </c>
      <c r="O50" s="165">
        <f>(O47+(O11+O12)*O48/100)*8.76*$D$50/100*$D$6</f>
        <v/>
      </c>
      <c r="P50" s="165">
        <f>(P47+(P11+P12)*P48/100)*8.76*$D$50/100*$D$6</f>
        <v/>
      </c>
      <c r="Q50" s="165">
        <f>(Q47+(Q11+Q12)*Q48/100)*8.76*$D$50/100*$D$6</f>
        <v/>
      </c>
      <c r="R50" s="165">
        <f>(R47+(R11+R12)*R48/100)*8.76*$D$50/100*$D$6</f>
        <v/>
      </c>
      <c r="S50" s="165">
        <f>(S47+(S11+S12)*S48/100)*8.76*$D$50/100*$D$6</f>
        <v/>
      </c>
      <c r="T50" s="162" t="inlineStr">
        <is>
          <t>Estimate</t>
        </is>
      </c>
      <c r="U50" s="162" t="inlineStr">
        <is>
          <t>Analyst estimate, calculated in this workbook; method in the definition</t>
        </is>
      </c>
      <c r="V50" s="162" t="inlineStr">
        <is>
          <t>Nigel / Henry to confirm: the load factor in column D</t>
        </is>
      </c>
    </row>
    <row r="51">
      <c r="A51" s="162" t="inlineStr">
        <is>
          <t>Diesel at the five coal sites, medium</t>
        </is>
      </c>
      <c r="B51" s="163" t="inlineStr">
        <is>
          <t>million L/year</t>
        </is>
      </c>
      <c r="C51" s="163" t="inlineStr">
        <is>
          <t>Scenario</t>
        </is>
      </c>
      <c r="D51" s="165" t="n"/>
      <c r="E51" s="162" t="inlineStr">
        <is>
          <t>Gas turbine capacity times load factor times share of output on diesel times litres per kWh. Run on gas at the gas-plant load factor, with the backup share on diesel.</t>
        </is>
      </c>
      <c r="F51" s="165">
        <f>F49*8.76*$D$8/100*$D$7/100*$D$6</f>
        <v/>
      </c>
      <c r="G51" s="165">
        <f>G49*8.76*$D$8/100*$D$7/100*$D$6</f>
        <v/>
      </c>
      <c r="H51" s="165">
        <f>H49*8.76*$D$8/100*$D$7/100*$D$6</f>
        <v/>
      </c>
      <c r="I51" s="165">
        <f>I49*8.76*$D$8/100*$D$7/100*$D$6</f>
        <v/>
      </c>
      <c r="J51" s="165">
        <f>J49*8.76*$D$8/100*$D$7/100*$D$6</f>
        <v/>
      </c>
      <c r="K51" s="165">
        <f>K49*8.76*$D$8/100*$D$7/100*$D$6</f>
        <v/>
      </c>
      <c r="L51" s="165">
        <f>L49*8.76*$D$8/100*$D$7/100*$D$6</f>
        <v/>
      </c>
      <c r="M51" s="165">
        <f>M49*8.76*$D$8/100*$D$7/100*$D$6</f>
        <v/>
      </c>
      <c r="N51" s="165">
        <f>N49*8.76*$D$8/100*$D$7/100*$D$6</f>
        <v/>
      </c>
      <c r="O51" s="165">
        <f>O49*8.76*$D$8/100*$D$7/100*$D$6</f>
        <v/>
      </c>
      <c r="P51" s="165">
        <f>P49*8.76*$D$8/100*$D$7/100*$D$6</f>
        <v/>
      </c>
      <c r="Q51" s="165">
        <f>Q49*8.76*$D$8/100*$D$7/100*$D$6</f>
        <v/>
      </c>
      <c r="R51" s="165">
        <f>R49*8.76*$D$8/100*$D$7/100*$D$6</f>
        <v/>
      </c>
      <c r="S51" s="165">
        <f>S49*8.76*$D$8/100*$D$7/100*$D$6</f>
        <v/>
      </c>
      <c r="T51" s="162" t="inlineStr">
        <is>
          <t>Scenario</t>
        </is>
      </c>
      <c r="U51" s="162" t="inlineStr">
        <is>
          <t>Analyst scenario setting; no published source</t>
        </is>
      </c>
      <c r="V51" s="162" t="inlineStr">
        <is>
          <t>Nigel / Henry to confirm</t>
        </is>
      </c>
    </row>
    <row r="52">
      <c r="A52" s="162" t="inlineStr">
        <is>
          <t>Diesel for power, medium case</t>
        </is>
      </c>
      <c r="B52" s="163" t="inlineStr">
        <is>
          <t>million L/year</t>
        </is>
      </c>
      <c r="C52" s="163" t="inlineStr">
        <is>
          <t>Proposed estimate</t>
        </is>
      </c>
      <c r="D52" s="165" t="n"/>
      <c r="E52" s="162" t="inlineStr">
        <is>
          <t>The two rows above added.</t>
        </is>
      </c>
      <c r="F52" s="165">
        <f>F50+F51</f>
        <v/>
      </c>
      <c r="G52" s="165">
        <f>G50+G51</f>
        <v/>
      </c>
      <c r="H52" s="165">
        <f>H50+H51</f>
        <v/>
      </c>
      <c r="I52" s="165">
        <f>I50+I51</f>
        <v/>
      </c>
      <c r="J52" s="165">
        <f>J50+J51</f>
        <v/>
      </c>
      <c r="K52" s="165">
        <f>K50+K51</f>
        <v/>
      </c>
      <c r="L52" s="165">
        <f>L50+L51</f>
        <v/>
      </c>
      <c r="M52" s="165">
        <f>M50+M51</f>
        <v/>
      </c>
      <c r="N52" s="165">
        <f>N50+N51</f>
        <v/>
      </c>
      <c r="O52" s="165">
        <f>O50+O51</f>
        <v/>
      </c>
      <c r="P52" s="165">
        <f>P50+P51</f>
        <v/>
      </c>
      <c r="Q52" s="165">
        <f>Q50+Q51</f>
        <v/>
      </c>
      <c r="R52" s="165">
        <f>R50+R51</f>
        <v/>
      </c>
      <c r="S52" s="165">
        <f>S50+S51</f>
        <v/>
      </c>
      <c r="T52" s="162" t="inlineStr"/>
      <c r="U52" s="162" t="inlineStr">
        <is>
          <t>Analyst estimate, calculated in this workbook; method in the definition</t>
        </is>
      </c>
      <c r="V52" s="162" t="inlineStr"/>
    </row>
    <row r="54">
      <c r="A54" s="151" t="inlineStr">
        <is>
          <t>4. High case: Avon and Dedisa continue; gas does not arrive, so Ankerlig and Gourikwa stay on diesel and the gas turbines built at Camden, Grootvlei, Hendrina, Arnot and Kriel (all 6 GW of the IRP 2025 requirement) run as diesel peakers, as Ankerlig and Gourikwa do today; load factor as at the peak of load-shedding.</t>
        </is>
      </c>
      <c r="B54" s="151" t="n"/>
      <c r="C54" s="151" t="n"/>
      <c r="D54" s="151" t="n"/>
      <c r="E54" s="151" t="n"/>
      <c r="F54" s="151" t="n"/>
      <c r="G54" s="151" t="n"/>
      <c r="H54" s="151" t="n"/>
      <c r="I54" s="151" t="n"/>
      <c r="J54" s="151" t="n"/>
      <c r="K54" s="151" t="n"/>
      <c r="L54" s="151" t="n"/>
      <c r="M54" s="151" t="n"/>
      <c r="N54" s="151" t="n"/>
      <c r="O54" s="151" t="n"/>
      <c r="P54" s="151" t="n"/>
      <c r="Q54" s="151" t="n"/>
      <c r="R54" s="151" t="n"/>
      <c r="S54" s="151" t="n"/>
      <c r="T54" s="151" t="n"/>
      <c r="U54" s="151" t="n"/>
      <c r="V54" s="151" t="n"/>
    </row>
    <row r="55">
      <c r="A55" s="162" t="inlineStr">
        <is>
          <t>Avon and Dedisa available, high</t>
        </is>
      </c>
      <c r="B55" s="163" t="inlineStr">
        <is>
          <t>MW</t>
        </is>
      </c>
      <c r="C55" s="163" t="inlineStr">
        <is>
          <t>Scenario</t>
        </is>
      </c>
      <c r="D55" s="200" t="n"/>
      <c r="E55" s="162" t="inlineStr">
        <is>
          <t>Both stations to 2035.</t>
        </is>
      </c>
      <c r="F55" s="200" t="n">
        <v>1005</v>
      </c>
      <c r="G55" s="200" t="n">
        <v>1005</v>
      </c>
      <c r="H55" s="200" t="n">
        <v>1005</v>
      </c>
      <c r="I55" s="200" t="n">
        <v>1005</v>
      </c>
      <c r="J55" s="200" t="n">
        <v>1005</v>
      </c>
      <c r="K55" s="200" t="n">
        <v>1005</v>
      </c>
      <c r="L55" s="200" t="n">
        <v>1005</v>
      </c>
      <c r="M55" s="200" t="n">
        <v>1005</v>
      </c>
      <c r="N55" s="200" t="n">
        <v>1005</v>
      </c>
      <c r="O55" s="200" t="n">
        <v>1005</v>
      </c>
      <c r="P55" s="200" t="n">
        <v>1005</v>
      </c>
      <c r="Q55" s="200" t="n">
        <v>1005</v>
      </c>
      <c r="R55" s="200" t="n">
        <v>1005</v>
      </c>
      <c r="S55" s="200" t="n">
        <v>1005</v>
      </c>
      <c r="T55" s="162" t="inlineStr">
        <is>
          <t>What follows the agreements is not known</t>
        </is>
      </c>
      <c r="U55" s="162" t="inlineStr">
        <is>
          <t>African Energy, 9 October 2015 (15-year agreements)</t>
        </is>
      </c>
      <c r="V55" s="162" t="inlineStr">
        <is>
          <t>Nigel / Henry to confirm</t>
        </is>
      </c>
    </row>
    <row r="56">
      <c r="A56" s="162" t="inlineStr">
        <is>
          <t>Share of Ankerlig and Gourikwa output on diesel, high</t>
        </is>
      </c>
      <c r="B56" s="163" t="inlineStr">
        <is>
          <t>%</t>
        </is>
      </c>
      <c r="C56" s="163" t="inlineStr">
        <is>
          <t>Scenario</t>
        </is>
      </c>
      <c r="D56" s="198" t="n"/>
      <c r="E56" s="162" t="inlineStr">
        <is>
          <t>100% throughout: the gas supply does not arrive.</t>
        </is>
      </c>
      <c r="F56" s="198">
        <f>100</f>
        <v/>
      </c>
      <c r="G56" s="198">
        <f>100</f>
        <v/>
      </c>
      <c r="H56" s="198">
        <f>100</f>
        <v/>
      </c>
      <c r="I56" s="198">
        <f>100</f>
        <v/>
      </c>
      <c r="J56" s="198">
        <f>100</f>
        <v/>
      </c>
      <c r="K56" s="198">
        <f>100</f>
        <v/>
      </c>
      <c r="L56" s="198">
        <f>100</f>
        <v/>
      </c>
      <c r="M56" s="198">
        <f>100</f>
        <v/>
      </c>
      <c r="N56" s="198">
        <f>100</f>
        <v/>
      </c>
      <c r="O56" s="198">
        <f>100</f>
        <v/>
      </c>
      <c r="P56" s="198">
        <f>100</f>
        <v/>
      </c>
      <c r="Q56" s="198">
        <f>100</f>
        <v/>
      </c>
      <c r="R56" s="198">
        <f>100</f>
        <v/>
      </c>
      <c r="S56" s="198">
        <f>100</f>
        <v/>
      </c>
      <c r="T56" s="162" t="inlineStr"/>
      <c r="U56" s="162" t="inlineStr">
        <is>
          <t>Eskom gas supply tender, as reported by News24, 12 June 2023</t>
        </is>
      </c>
      <c r="V56" s="162" t="inlineStr">
        <is>
          <t>Nigel / Henry to confirm</t>
        </is>
      </c>
    </row>
    <row r="57">
      <c r="A57" s="162" t="inlineStr">
        <is>
          <t>Gas turbines at the five coal sites, high</t>
        </is>
      </c>
      <c r="B57" s="163" t="inlineStr">
        <is>
          <t>MW</t>
        </is>
      </c>
      <c r="C57" s="163" t="inlineStr">
        <is>
          <t>Scenario</t>
        </is>
      </c>
      <c r="D57" s="200" t="n"/>
      <c r="E57" s="162" t="inlineStr">
        <is>
          <t>From 2030, when Camden, Grootvlei, Hendrina, Arnot and Kriel are due to stop. Which sites, and how large, is not decided; the national gas requirement is used as a stand-in.</t>
        </is>
      </c>
      <c r="F57" s="200" t="n">
        <v>0</v>
      </c>
      <c r="G57" s="200" t="n">
        <v>0</v>
      </c>
      <c r="H57" s="200" t="n">
        <v>0</v>
      </c>
      <c r="I57" s="200" t="n">
        <v>0</v>
      </c>
      <c r="J57" s="200" t="n">
        <v>0</v>
      </c>
      <c r="K57" s="200" t="n">
        <v>0</v>
      </c>
      <c r="L57" s="200" t="n">
        <v>0</v>
      </c>
      <c r="M57" s="200" t="n">
        <v>0</v>
      </c>
      <c r="N57" s="200" t="n">
        <v>6000</v>
      </c>
      <c r="O57" s="200" t="n">
        <v>6000</v>
      </c>
      <c r="P57" s="200" t="n">
        <v>6000</v>
      </c>
      <c r="Q57" s="200" t="n">
        <v>6000</v>
      </c>
      <c r="R57" s="200" t="n">
        <v>6000</v>
      </c>
      <c r="S57" s="200" t="n">
        <v>6000</v>
      </c>
      <c r="T57" s="162" t="inlineStr"/>
      <c r="U57" s="162" t="inlineStr">
        <is>
          <t>IRP 2025 gas requirement, as reported by TechCentral, 22 April 2026</t>
        </is>
      </c>
      <c r="V57" s="162" t="inlineStr">
        <is>
          <t>Nigel / Henry to confirm</t>
        </is>
      </c>
    </row>
    <row r="58">
      <c r="A58" s="162" t="inlineStr">
        <is>
          <t>Diesel at today's stations, high</t>
        </is>
      </c>
      <c r="B58" s="163" t="inlineStr">
        <is>
          <t>million L/year</t>
        </is>
      </c>
      <c r="C58" s="163" t="inlineStr">
        <is>
          <t>Proposed estimate</t>
        </is>
      </c>
      <c r="D58" s="165" t="n">
        <v>17.1116425712913</v>
      </c>
      <c r="E58" s="162" t="inlineStr">
        <is>
          <t>Load factor in column D (%), an observed figure for the whole peaking fleet. Avon and Dedisa wholly on diesel; Ankerlig and Gourikwa at the share above.</t>
        </is>
      </c>
      <c r="F58" s="165">
        <f>(F55+(F11+F12)*F56/100)*8.76*$D$58/100*$D$6</f>
        <v/>
      </c>
      <c r="G58" s="165">
        <f>(G55+(G11+G12)*G56/100)*8.76*$D$58/100*$D$6</f>
        <v/>
      </c>
      <c r="H58" s="165">
        <f>(H55+(H11+H12)*H56/100)*8.76*$D$58/100*$D$6</f>
        <v/>
      </c>
      <c r="I58" s="165">
        <f>(I55+(I11+I12)*I56/100)*8.76*$D$58/100*$D$6</f>
        <v/>
      </c>
      <c r="J58" s="165">
        <f>(J55+(J11+J12)*J56/100)*8.76*$D$58/100*$D$6</f>
        <v/>
      </c>
      <c r="K58" s="165">
        <f>(K55+(K11+K12)*K56/100)*8.76*$D$58/100*$D$6</f>
        <v/>
      </c>
      <c r="L58" s="165">
        <f>(L55+(L11+L12)*L56/100)*8.76*$D$58/100*$D$6</f>
        <v/>
      </c>
      <c r="M58" s="165">
        <f>(M55+(M11+M12)*M56/100)*8.76*$D$58/100*$D$6</f>
        <v/>
      </c>
      <c r="N58" s="165">
        <f>(N55+(N11+N12)*N56/100)*8.76*$D$58/100*$D$6</f>
        <v/>
      </c>
      <c r="O58" s="165">
        <f>(O55+(O11+O12)*O56/100)*8.76*$D$58/100*$D$6</f>
        <v/>
      </c>
      <c r="P58" s="165">
        <f>(P55+(P11+P12)*P56/100)*8.76*$D$58/100*$D$6</f>
        <v/>
      </c>
      <c r="Q58" s="165">
        <f>(Q55+(Q11+Q12)*Q56/100)*8.76*$D$58/100*$D$6</f>
        <v/>
      </c>
      <c r="R58" s="165">
        <f>(R55+(R11+R12)*R56/100)*8.76*$D$58/100*$D$6</f>
        <v/>
      </c>
      <c r="S58" s="165">
        <f>(S55+(S11+S12)*S56/100)*8.76*$D$58/100*$D$6</f>
        <v/>
      </c>
      <c r="T58" s="162" t="inlineStr">
        <is>
          <t>Estimate</t>
        </is>
      </c>
      <c r="U58" s="162" t="inlineStr">
        <is>
          <t>Analyst estimate, calculated in this workbook; method in the definition</t>
        </is>
      </c>
      <c r="V58" s="162" t="inlineStr">
        <is>
          <t>Nigel / Henry to confirm: the load factor in column D</t>
        </is>
      </c>
    </row>
    <row r="59">
      <c r="A59" s="162" t="inlineStr">
        <is>
          <t>Diesel at the five coal sites, high</t>
        </is>
      </c>
      <c r="B59" s="163" t="inlineStr">
        <is>
          <t>million L/year</t>
        </is>
      </c>
      <c r="C59" s="163" t="inlineStr">
        <is>
          <t>Scenario</t>
        </is>
      </c>
      <c r="D59" s="165" t="n"/>
      <c r="E59" s="162" t="inlineStr">
        <is>
          <t>Gas turbine capacity times load factor times share of output on diesel times litres per kWh. Run as diesel peakers at the load factor above.</t>
        </is>
      </c>
      <c r="F59" s="165">
        <f>F57*8.76*$D$58/100*100/100*$D$6</f>
        <v/>
      </c>
      <c r="G59" s="165">
        <f>G57*8.76*$D$58/100*100/100*$D$6</f>
        <v/>
      </c>
      <c r="H59" s="165">
        <f>H57*8.76*$D$58/100*100/100*$D$6</f>
        <v/>
      </c>
      <c r="I59" s="165">
        <f>I57*8.76*$D$58/100*100/100*$D$6</f>
        <v/>
      </c>
      <c r="J59" s="165">
        <f>J57*8.76*$D$58/100*100/100*$D$6</f>
        <v/>
      </c>
      <c r="K59" s="165">
        <f>K57*8.76*$D$58/100*100/100*$D$6</f>
        <v/>
      </c>
      <c r="L59" s="165">
        <f>L57*8.76*$D$58/100*100/100*$D$6</f>
        <v/>
      </c>
      <c r="M59" s="165">
        <f>M57*8.76*$D$58/100*100/100*$D$6</f>
        <v/>
      </c>
      <c r="N59" s="165">
        <f>N57*8.76*$D$58/100*100/100*$D$6</f>
        <v/>
      </c>
      <c r="O59" s="165">
        <f>O57*8.76*$D$58/100*100/100*$D$6</f>
        <v/>
      </c>
      <c r="P59" s="165">
        <f>P57*8.76*$D$58/100*100/100*$D$6</f>
        <v/>
      </c>
      <c r="Q59" s="165">
        <f>Q57*8.76*$D$58/100*100/100*$D$6</f>
        <v/>
      </c>
      <c r="R59" s="165">
        <f>R57*8.76*$D$58/100*100/100*$D$6</f>
        <v/>
      </c>
      <c r="S59" s="165">
        <f>S57*8.76*$D$58/100*100/100*$D$6</f>
        <v/>
      </c>
      <c r="T59" s="162" t="inlineStr">
        <is>
          <t>Scenario</t>
        </is>
      </c>
      <c r="U59" s="162" t="inlineStr">
        <is>
          <t>Analyst scenario setting; no published source</t>
        </is>
      </c>
      <c r="V59" s="162" t="inlineStr">
        <is>
          <t>Nigel / Henry to confirm</t>
        </is>
      </c>
    </row>
    <row r="60">
      <c r="A60" s="162" t="inlineStr">
        <is>
          <t>Diesel for power, high case</t>
        </is>
      </c>
      <c r="B60" s="163" t="inlineStr">
        <is>
          <t>million L/year</t>
        </is>
      </c>
      <c r="C60" s="163" t="inlineStr">
        <is>
          <t>Proposed estimate</t>
        </is>
      </c>
      <c r="D60" s="165" t="n"/>
      <c r="E60" s="162" t="inlineStr">
        <is>
          <t>The two rows above added.</t>
        </is>
      </c>
      <c r="F60" s="165">
        <f>F58+F59</f>
        <v/>
      </c>
      <c r="G60" s="165">
        <f>G58+G59</f>
        <v/>
      </c>
      <c r="H60" s="165">
        <f>H58+H59</f>
        <v/>
      </c>
      <c r="I60" s="165">
        <f>I58+I59</f>
        <v/>
      </c>
      <c r="J60" s="165">
        <f>J58+J59</f>
        <v/>
      </c>
      <c r="K60" s="165">
        <f>K58+K59</f>
        <v/>
      </c>
      <c r="L60" s="165">
        <f>L58+L59</f>
        <v/>
      </c>
      <c r="M60" s="165">
        <f>M58+M59</f>
        <v/>
      </c>
      <c r="N60" s="165">
        <f>N58+N59</f>
        <v/>
      </c>
      <c r="O60" s="165">
        <f>O58+O59</f>
        <v/>
      </c>
      <c r="P60" s="165">
        <f>P58+P59</f>
        <v/>
      </c>
      <c r="Q60" s="165">
        <f>Q58+Q59</f>
        <v/>
      </c>
      <c r="R60" s="165">
        <f>R58+R59</f>
        <v/>
      </c>
      <c r="S60" s="165">
        <f>S58+S59</f>
        <v/>
      </c>
      <c r="T60" s="162" t="inlineStr"/>
      <c r="U60" s="162" t="inlineStr">
        <is>
          <t>Analyst estimate, calculated in this workbook; method in the definition</t>
        </is>
      </c>
      <c r="V60" s="162" t="inlineStr"/>
    </row>
    <row r="62">
      <c r="A62" s="151" t="inlineStr">
        <is>
          <t>5. Summary and ceiling</t>
        </is>
      </c>
      <c r="B62" s="151" t="n"/>
      <c r="C62" s="151" t="n"/>
      <c r="D62" s="151" t="n"/>
      <c r="E62" s="151" t="n"/>
      <c r="F62" s="151" t="n"/>
      <c r="G62" s="151" t="n"/>
      <c r="H62" s="151" t="n"/>
      <c r="I62" s="151" t="n"/>
      <c r="J62" s="151" t="n"/>
      <c r="K62" s="151" t="n"/>
      <c r="L62" s="151" t="n"/>
      <c r="M62" s="151" t="n"/>
      <c r="N62" s="151" t="n"/>
      <c r="O62" s="151" t="n"/>
      <c r="P62" s="151" t="n"/>
      <c r="Q62" s="151" t="n"/>
      <c r="R62" s="151" t="n"/>
      <c r="S62" s="151" t="n"/>
      <c r="T62" s="151" t="n"/>
      <c r="U62" s="151" t="n"/>
      <c r="V62" s="151" t="n"/>
    </row>
    <row r="63">
      <c r="A63" s="162" t="inlineStr">
        <is>
          <t>Low case</t>
        </is>
      </c>
      <c r="B63" s="163" t="inlineStr">
        <is>
          <t>million L/year</t>
        </is>
      </c>
      <c r="C63" s="163" t="inlineStr">
        <is>
          <t>Proposed estimate</t>
        </is>
      </c>
      <c r="D63" s="165" t="n"/>
      <c r="E63" s="162" t="inlineStr">
        <is>
          <t>Avon and Dedisa stop when their agreements end; Ankerlig and Gourikwa move to gas; no gas plant is built at a retired coal site; the peakers run as little as in the year to March 2026.</t>
        </is>
      </c>
      <c r="F63" s="165">
        <f>F44</f>
        <v/>
      </c>
      <c r="G63" s="165">
        <f>G44</f>
        <v/>
      </c>
      <c r="H63" s="165">
        <f>H44</f>
        <v/>
      </c>
      <c r="I63" s="165">
        <f>I44</f>
        <v/>
      </c>
      <c r="J63" s="165">
        <f>J44</f>
        <v/>
      </c>
      <c r="K63" s="165">
        <f>K44</f>
        <v/>
      </c>
      <c r="L63" s="165">
        <f>L44</f>
        <v/>
      </c>
      <c r="M63" s="165">
        <f>M44</f>
        <v/>
      </c>
      <c r="N63" s="165">
        <f>N44</f>
        <v/>
      </c>
      <c r="O63" s="165">
        <f>O44</f>
        <v/>
      </c>
      <c r="P63" s="165">
        <f>P44</f>
        <v/>
      </c>
      <c r="Q63" s="165">
        <f>Q44</f>
        <v/>
      </c>
      <c r="R63" s="165">
        <f>R44</f>
        <v/>
      </c>
      <c r="S63" s="165">
        <f>S44</f>
        <v/>
      </c>
      <c r="T63" s="162" t="inlineStr">
        <is>
          <t>Proposed; not agreed</t>
        </is>
      </c>
      <c r="U63" s="162" t="inlineStr">
        <is>
          <t>Analyst estimate, calculated in this workbook; method in the definition</t>
        </is>
      </c>
      <c r="V63" s="162" t="inlineStr">
        <is>
          <t>Nigel / Henry to confirm</t>
        </is>
      </c>
    </row>
    <row r="64">
      <c r="A64" s="162" t="inlineStr">
        <is>
          <t>Medium case</t>
        </is>
      </c>
      <c r="B64" s="163" t="inlineStr">
        <is>
          <t>million L/year</t>
        </is>
      </c>
      <c r="C64" s="163" t="inlineStr">
        <is>
          <t>Proposed estimate</t>
        </is>
      </c>
      <c r="D64" s="165" t="n"/>
      <c r="E64" s="162" t="inlineStr">
        <is>
          <t>Avon and Dedisa continue after their agreements; Ankerlig and Gourikwa move to gas; half the IRP 2025 gas requirement is built at the five coal sites and has gas, with diesel as backup; the peakers run as in the year to March 2025.</t>
        </is>
      </c>
      <c r="F64" s="165">
        <f>F52</f>
        <v/>
      </c>
      <c r="G64" s="165">
        <f>G52</f>
        <v/>
      </c>
      <c r="H64" s="165">
        <f>H52</f>
        <v/>
      </c>
      <c r="I64" s="165">
        <f>I52</f>
        <v/>
      </c>
      <c r="J64" s="165">
        <f>J52</f>
        <v/>
      </c>
      <c r="K64" s="165">
        <f>K52</f>
        <v/>
      </c>
      <c r="L64" s="165">
        <f>L52</f>
        <v/>
      </c>
      <c r="M64" s="165">
        <f>M52</f>
        <v/>
      </c>
      <c r="N64" s="165">
        <f>N52</f>
        <v/>
      </c>
      <c r="O64" s="165">
        <f>O52</f>
        <v/>
      </c>
      <c r="P64" s="165">
        <f>P52</f>
        <v/>
      </c>
      <c r="Q64" s="165">
        <f>Q52</f>
        <v/>
      </c>
      <c r="R64" s="165">
        <f>R52</f>
        <v/>
      </c>
      <c r="S64" s="165">
        <f>S52</f>
        <v/>
      </c>
      <c r="T64" s="162" t="inlineStr">
        <is>
          <t>Proposed; not agreed</t>
        </is>
      </c>
      <c r="U64" s="162" t="inlineStr">
        <is>
          <t>Analyst estimate, calculated in this workbook; method in the definition</t>
        </is>
      </c>
      <c r="V64" s="162" t="inlineStr">
        <is>
          <t>Nigel / Henry to confirm</t>
        </is>
      </c>
    </row>
    <row r="65">
      <c r="A65" s="162" t="inlineStr">
        <is>
          <t>High case</t>
        </is>
      </c>
      <c r="B65" s="163" t="inlineStr">
        <is>
          <t>million L/year</t>
        </is>
      </c>
      <c r="C65" s="163" t="inlineStr">
        <is>
          <t>Proposed estimate</t>
        </is>
      </c>
      <c r="D65" s="165" t="n"/>
      <c r="E65" s="162" t="inlineStr">
        <is>
          <t>Avon and Dedisa continue; gas does not arrive, so Ankerlig and Gourikwa stay on diesel and the gas turbines built at Camden, Grootvlei, Hendrina, Arnot and Kriel (all 6 GW of the IRP 2025 requirement) run as diesel peakers, as Ankerlig and Gourikwa do today; load factor as at the peak of load-shedding.</t>
        </is>
      </c>
      <c r="F65" s="165">
        <f>F60</f>
        <v/>
      </c>
      <c r="G65" s="165">
        <f>G60</f>
        <v/>
      </c>
      <c r="H65" s="165">
        <f>H60</f>
        <v/>
      </c>
      <c r="I65" s="165">
        <f>I60</f>
        <v/>
      </c>
      <c r="J65" s="165">
        <f>J60</f>
        <v/>
      </c>
      <c r="K65" s="165">
        <f>K60</f>
        <v/>
      </c>
      <c r="L65" s="165">
        <f>L60</f>
        <v/>
      </c>
      <c r="M65" s="165">
        <f>M60</f>
        <v/>
      </c>
      <c r="N65" s="165">
        <f>N60</f>
        <v/>
      </c>
      <c r="O65" s="165">
        <f>O60</f>
        <v/>
      </c>
      <c r="P65" s="165">
        <f>P60</f>
        <v/>
      </c>
      <c r="Q65" s="165">
        <f>Q60</f>
        <v/>
      </c>
      <c r="R65" s="165">
        <f>R60</f>
        <v/>
      </c>
      <c r="S65" s="165">
        <f>S60</f>
        <v/>
      </c>
      <c r="T65" s="162" t="inlineStr">
        <is>
          <t>Proposed; not agreed</t>
        </is>
      </c>
      <c r="U65" s="162" t="inlineStr">
        <is>
          <t>Analyst estimate, calculated in this workbook; method in the definition</t>
        </is>
      </c>
      <c r="V65" s="162" t="inlineStr">
        <is>
          <t>Nigel / Henry to confirm</t>
        </is>
      </c>
    </row>
    <row r="66">
      <c r="A66" s="156" t="inlineStr">
        <is>
          <t>Ceiling: four stations and 6 GW of gas turbines on diesel all year</t>
        </is>
      </c>
      <c r="B66" s="157" t="inlineStr">
        <is>
          <t>million L/year</t>
        </is>
      </c>
      <c r="C66" s="157" t="inlineStr">
        <is>
          <t>Reporting formula</t>
        </is>
      </c>
      <c r="D66" s="158" t="n"/>
      <c r="E66" s="156" t="inlineStr">
        <is>
          <t>Capacity times 8,760 hours times litres per kWh. How much the fleet could consume; a physical limit, not a forecast.</t>
        </is>
      </c>
      <c r="F66" s="158">
        <f>(F15+0)*8.76*$D$6</f>
        <v/>
      </c>
      <c r="G66" s="158">
        <f>(G15+0)*8.76*$D$6</f>
        <v/>
      </c>
      <c r="H66" s="158">
        <f>(H15+0)*8.76*$D$6</f>
        <v/>
      </c>
      <c r="I66" s="158">
        <f>(I15+0)*8.76*$D$6</f>
        <v/>
      </c>
      <c r="J66" s="158">
        <f>(J15+0)*8.76*$D$6</f>
        <v/>
      </c>
      <c r="K66" s="158">
        <f>(K15+0)*8.76*$D$6</f>
        <v/>
      </c>
      <c r="L66" s="158">
        <f>(L15+0)*8.76*$D$6</f>
        <v/>
      </c>
      <c r="M66" s="158">
        <f>(M15+0)*8.76*$D$6</f>
        <v/>
      </c>
      <c r="N66" s="158">
        <f>(N15+6000)*8.76*$D$6</f>
        <v/>
      </c>
      <c r="O66" s="158">
        <f>(O15+6000)*8.76*$D$6</f>
        <v/>
      </c>
      <c r="P66" s="158">
        <f>(P15+6000)*8.76*$D$6</f>
        <v/>
      </c>
      <c r="Q66" s="158">
        <f>(Q15+6000)*8.76*$D$6</f>
        <v/>
      </c>
      <c r="R66" s="158">
        <f>(R15+6000)*8.76*$D$6</f>
        <v/>
      </c>
      <c r="S66" s="158">
        <f>(S15+6000)*8.76*$D$6</f>
        <v/>
      </c>
      <c r="T66" s="156" t="inlineStr"/>
      <c r="U66" s="156" t="inlineStr">
        <is>
          <t>Calculated in this workbook from the rows named in the definition</t>
        </is>
      </c>
      <c r="V66" s="156" t="inlineStr"/>
    </row>
    <row r="67">
      <c r="A67" s="156" t="inlineStr">
        <is>
          <t>For reference: diesel burned, estimated</t>
        </is>
      </c>
      <c r="B67" s="157" t="inlineStr">
        <is>
          <t>million L/year</t>
        </is>
      </c>
      <c r="C67" s="157" t="inlineStr">
        <is>
          <t>Reporting formula</t>
        </is>
      </c>
      <c r="D67" s="158" t="n"/>
      <c r="E67" s="156" t="inlineStr">
        <is>
          <t>From section 2.</t>
        </is>
      </c>
      <c r="F67" s="158">
        <f>IF(ISNUMBER(F22),F22,"")</f>
        <v/>
      </c>
      <c r="G67" s="158">
        <f>IF(ISNUMBER(G22),G22,"")</f>
        <v/>
      </c>
      <c r="H67" s="158">
        <f>IF(ISNUMBER(H22),H22,"")</f>
        <v/>
      </c>
      <c r="I67" s="158">
        <f>IF(ISNUMBER(I22),I22,"")</f>
        <v/>
      </c>
      <c r="J67" s="158">
        <f>IF(ISNUMBER(J22),J22,"")</f>
        <v/>
      </c>
      <c r="K67" s="158">
        <f>IF(ISNUMBER(K22),K22,"")</f>
        <v/>
      </c>
      <c r="L67" s="158">
        <f>IF(ISNUMBER(L22),L22,"")</f>
        <v/>
      </c>
      <c r="M67" s="158">
        <f>IF(ISNUMBER(M22),M22,"")</f>
        <v/>
      </c>
      <c r="N67" s="158">
        <f>IF(ISNUMBER(N22),N22,"")</f>
        <v/>
      </c>
      <c r="O67" s="158">
        <f>IF(ISNUMBER(O22),O22,"")</f>
        <v/>
      </c>
      <c r="P67" s="158">
        <f>IF(ISNUMBER(P22),P22,"")</f>
        <v/>
      </c>
      <c r="Q67" s="158">
        <f>IF(ISNUMBER(Q22),Q22,"")</f>
        <v/>
      </c>
      <c r="R67" s="158">
        <f>IF(ISNUMBER(R22),R22,"")</f>
        <v/>
      </c>
      <c r="S67" s="158">
        <f>IF(ISNUMBER(S22),S22,"")</f>
        <v/>
      </c>
      <c r="T67" s="156" t="inlineStr"/>
      <c r="U67" s="156" t="inlineStr">
        <is>
          <t>Calculated in this workbook from the rows named in the definition</t>
        </is>
      </c>
      <c r="V67" s="156" t="inlineStr"/>
    </row>
    <row r="69">
      <c r="A69" s="151" t="inlineStr">
        <is>
          <t>6. Not established</t>
        </is>
      </c>
      <c r="B69" s="151" t="n"/>
      <c r="C69" s="151" t="n"/>
      <c r="D69" s="151" t="n"/>
      <c r="E69" s="151" t="n"/>
      <c r="F69" s="151" t="n"/>
      <c r="G69" s="151" t="n"/>
      <c r="H69" s="151" t="n"/>
      <c r="I69" s="151" t="n"/>
      <c r="J69" s="151" t="n"/>
      <c r="K69" s="151" t="n"/>
      <c r="L69" s="151" t="n"/>
      <c r="M69" s="151" t="n"/>
      <c r="N69" s="151" t="n"/>
      <c r="O69" s="151" t="n"/>
      <c r="P69" s="151" t="n"/>
      <c r="Q69" s="151" t="n"/>
      <c r="R69" s="151" t="n"/>
      <c r="S69" s="151" t="n"/>
      <c r="T69" s="151" t="n"/>
      <c r="U69" s="151" t="n"/>
      <c r="V69" s="151" t="n"/>
    </row>
    <row r="70">
      <c r="A70" s="162" t="inlineStr">
        <is>
          <t>Eskom's decision on Camden, Grootvlei, Hendrina, Arnot and Kriel</t>
        </is>
      </c>
      <c r="B70" s="163" t="inlineStr"/>
      <c r="C70" s="163" t="inlineStr">
        <is>
          <t>Gap</t>
        </is>
      </c>
      <c r="D70" s="165" t="n"/>
      <c r="E70" s="162" t="inlineStr">
        <is>
          <t>Due by end September 2026. None had been announced by 8 October: Eskom's media statements to 7 October carry none. If the stations run past 31 March 2030, the gas turbines in the medium and high cases move later.</t>
        </is>
      </c>
      <c r="F70" s="165" t="n"/>
      <c r="G70" s="165" t="n"/>
      <c r="H70" s="165" t="n"/>
      <c r="I70" s="165" t="n"/>
      <c r="J70" s="165" t="n"/>
      <c r="K70" s="165" t="n"/>
      <c r="L70" s="165" t="n"/>
      <c r="M70" s="165" t="n"/>
      <c r="N70" s="165" t="n"/>
      <c r="O70" s="165" t="n"/>
      <c r="P70" s="165" t="n"/>
      <c r="Q70" s="165" t="n"/>
      <c r="R70" s="165" t="n"/>
      <c r="S70" s="165" t="n"/>
      <c r="T70" s="162" t="inlineStr">
        <is>
          <t>Open</t>
        </is>
      </c>
      <c r="U70" s="162" t="inlineStr">
        <is>
          <t>Described in the definition</t>
        </is>
      </c>
      <c r="V70" s="162" t="inlineStr"/>
    </row>
    <row r="71">
      <c r="A71" s="162" t="inlineStr">
        <is>
          <t>Which sites get gas plants, how large, and whether gas reaches them</t>
        </is>
      </c>
      <c r="B71" s="163" t="inlineStr"/>
      <c r="C71" s="163" t="inlineStr">
        <is>
          <t>Gap</t>
        </is>
      </c>
      <c r="D71" s="165" t="n"/>
      <c r="E71" s="162" t="inlineStr">
        <is>
          <t>The medium and high cases use the national gas requirement as a stand-in.</t>
        </is>
      </c>
      <c r="F71" s="165" t="n"/>
      <c r="G71" s="165" t="n"/>
      <c r="H71" s="165" t="n"/>
      <c r="I71" s="165" t="n"/>
      <c r="J71" s="165" t="n"/>
      <c r="K71" s="165" t="n"/>
      <c r="L71" s="165" t="n"/>
      <c r="M71" s="165" t="n"/>
      <c r="N71" s="165" t="n"/>
      <c r="O71" s="165" t="n"/>
      <c r="P71" s="165" t="n"/>
      <c r="Q71" s="165" t="n"/>
      <c r="R71" s="165" t="n"/>
      <c r="S71" s="165" t="n"/>
      <c r="T71" s="162" t="inlineStr">
        <is>
          <t>Open</t>
        </is>
      </c>
      <c r="U71" s="162" t="inlineStr">
        <is>
          <t>Described in the definition</t>
        </is>
      </c>
      <c r="V71" s="162" t="inlineStr"/>
    </row>
    <row r="72">
      <c r="A72" s="162" t="inlineStr">
        <is>
          <t>Whether Ankerlig and Gourikwa switch to gas on time</t>
        </is>
      </c>
      <c r="B72" s="163" t="inlineStr"/>
      <c r="C72" s="163" t="inlineStr">
        <is>
          <t>Gap</t>
        </is>
      </c>
      <c r="D72" s="165" t="n"/>
      <c r="E72" s="162" t="inlineStr">
        <is>
          <t>Eskom's stated target was December 2027.</t>
        </is>
      </c>
      <c r="F72" s="165" t="n"/>
      <c r="G72" s="165" t="n"/>
      <c r="H72" s="165" t="n"/>
      <c r="I72" s="165" t="n"/>
      <c r="J72" s="165" t="n"/>
      <c r="K72" s="165" t="n"/>
      <c r="L72" s="165" t="n"/>
      <c r="M72" s="165" t="n"/>
      <c r="N72" s="165" t="n"/>
      <c r="O72" s="165" t="n"/>
      <c r="P72" s="165" t="n"/>
      <c r="Q72" s="165" t="n"/>
      <c r="R72" s="165" t="n"/>
      <c r="S72" s="165" t="n"/>
      <c r="T72" s="162" t="inlineStr">
        <is>
          <t>Open</t>
        </is>
      </c>
      <c r="U72" s="162" t="inlineStr">
        <is>
          <t>Described in the definition</t>
        </is>
      </c>
      <c r="V72" s="162" t="inlineStr"/>
    </row>
    <row r="73">
      <c r="A73" s="162" t="inlineStr">
        <is>
          <t>Avon and Dedisa after their agreements end</t>
        </is>
      </c>
      <c r="B73" s="163" t="inlineStr"/>
      <c r="C73" s="163" t="inlineStr">
        <is>
          <t>Gap</t>
        </is>
      </c>
      <c r="D73" s="165" t="n"/>
      <c r="E73" s="162" t="inlineStr">
        <is>
          <t>The 15-year agreements end in October 2030 and July 2031. Low ends them; medium and high continue them.</t>
        </is>
      </c>
      <c r="F73" s="165" t="n"/>
      <c r="G73" s="165" t="n"/>
      <c r="H73" s="165" t="n"/>
      <c r="I73" s="165" t="n"/>
      <c r="J73" s="165" t="n"/>
      <c r="K73" s="165" t="n"/>
      <c r="L73" s="165" t="n"/>
      <c r="M73" s="165" t="n"/>
      <c r="N73" s="165" t="n"/>
      <c r="O73" s="165" t="n"/>
      <c r="P73" s="165" t="n"/>
      <c r="Q73" s="165" t="n"/>
      <c r="R73" s="165" t="n"/>
      <c r="S73" s="165" t="n"/>
      <c r="T73" s="162" t="inlineStr">
        <is>
          <t>Open</t>
        </is>
      </c>
      <c r="U73" s="162" t="inlineStr">
        <is>
          <t>Described in the definition</t>
        </is>
      </c>
      <c r="V73" s="162" t="inlineStr"/>
    </row>
    <row r="74">
      <c r="A74" s="162" t="inlineStr">
        <is>
          <t>Share of output on diesel when gas is available</t>
        </is>
      </c>
      <c r="B74" s="163" t="inlineStr"/>
      <c r="C74" s="163" t="inlineStr">
        <is>
          <t>Gap</t>
        </is>
      </c>
      <c r="D74" s="165" t="n"/>
      <c r="E74" s="162" t="inlineStr">
        <is>
          <t>No source; 10% is a placeholder.</t>
        </is>
      </c>
      <c r="F74" s="165" t="n"/>
      <c r="G74" s="165" t="n"/>
      <c r="H74" s="165" t="n"/>
      <c r="I74" s="165" t="n"/>
      <c r="J74" s="165" t="n"/>
      <c r="K74" s="165" t="n"/>
      <c r="L74" s="165" t="n"/>
      <c r="M74" s="165" t="n"/>
      <c r="N74" s="165" t="n"/>
      <c r="O74" s="165" t="n"/>
      <c r="P74" s="165" t="n"/>
      <c r="Q74" s="165" t="n"/>
      <c r="R74" s="165" t="n"/>
      <c r="S74" s="165" t="n"/>
      <c r="T74" s="162" t="inlineStr">
        <is>
          <t>Open</t>
        </is>
      </c>
      <c r="U74" s="162" t="inlineStr">
        <is>
          <t>Described in the definition</t>
        </is>
      </c>
      <c r="V74" s="162" t="inlineStr"/>
    </row>
    <row r="75">
      <c r="A75" s="162" t="inlineStr">
        <is>
          <t>Private generators at firms and homes</t>
        </is>
      </c>
      <c r="B75" s="163" t="inlineStr"/>
      <c r="C75" s="163" t="inlineStr">
        <is>
          <t>Gap</t>
        </is>
      </c>
      <c r="D75" s="165" t="n"/>
      <c r="E75" s="162" t="inlineStr">
        <is>
          <t>Not in this block; no measured volume exists.</t>
        </is>
      </c>
      <c r="F75" s="165" t="n"/>
      <c r="G75" s="165" t="n"/>
      <c r="H75" s="165" t="n"/>
      <c r="I75" s="165" t="n"/>
      <c r="J75" s="165" t="n"/>
      <c r="K75" s="165" t="n"/>
      <c r="L75" s="165" t="n"/>
      <c r="M75" s="165" t="n"/>
      <c r="N75" s="165" t="n"/>
      <c r="O75" s="165" t="n"/>
      <c r="P75" s="165" t="n"/>
      <c r="Q75" s="165" t="n"/>
      <c r="R75" s="165" t="n"/>
      <c r="S75" s="165" t="n"/>
      <c r="T75" s="162" t="inlineStr">
        <is>
          <t>Open</t>
        </is>
      </c>
      <c r="U75" s="162" t="inlineStr">
        <is>
          <t>Described in the definition</t>
        </is>
      </c>
      <c r="V75" s="16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6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7" customWidth="1" min="3" max="3"/>
    <col width="15" customWidth="1" min="4" max="4"/>
    <col width="44"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26" customWidth="1" min="20" max="20"/>
    <col width="44" customWidth="1" min="21" max="21"/>
    <col width="44" customWidth="1" min="22" max="22"/>
  </cols>
  <sheetData>
    <row r="1">
      <c r="A1" s="149" t="inlineStr">
        <is>
          <t>Vehicle block: what is observed beside what the model assumes</t>
        </is>
      </c>
    </row>
    <row r="2">
      <c r="A2" s="1" t="inlineStr">
        <is>
          <t>Stock, new sales, scrapping, drivetrain, fuel split and use. Observations are values from the registered inputs; the model's settings are in column D; shares, retirements and cross-checks are formulas.</t>
        </is>
      </c>
    </row>
    <row r="4">
      <c r="A4" s="150" t="inlineStr">
        <is>
          <t>Driver / output</t>
        </is>
      </c>
      <c r="B4" s="150" t="inlineStr">
        <is>
          <t>Unit</t>
        </is>
      </c>
      <c r="C4" s="150" t="inlineStr">
        <is>
          <t>Role</t>
        </is>
      </c>
      <c r="D4" s="150" t="inlineStr">
        <is>
          <t>Scalar / latest value</t>
        </is>
      </c>
      <c r="E4" s="150" t="inlineStr">
        <is>
          <t>Definition / period</t>
        </is>
      </c>
      <c r="F4" s="150" t="n">
        <v>2012</v>
      </c>
      <c r="G4" s="150" t="n">
        <v>2013</v>
      </c>
      <c r="H4" s="150" t="n">
        <v>2014</v>
      </c>
      <c r="I4" s="150" t="n">
        <v>2015</v>
      </c>
      <c r="J4" s="150" t="n">
        <v>2016</v>
      </c>
      <c r="K4" s="150" t="n">
        <v>2017</v>
      </c>
      <c r="L4" s="150" t="n">
        <v>2018</v>
      </c>
      <c r="M4" s="150" t="n">
        <v>2019</v>
      </c>
      <c r="N4" s="150" t="n">
        <v>2020</v>
      </c>
      <c r="O4" s="150" t="n">
        <v>2021</v>
      </c>
      <c r="P4" s="150" t="n">
        <v>2022</v>
      </c>
      <c r="Q4" s="150" t="n">
        <v>2023</v>
      </c>
      <c r="R4" s="150" t="n">
        <v>2024</v>
      </c>
      <c r="S4" s="150" t="n">
        <v>2025</v>
      </c>
      <c r="T4" s="150" t="inlineStr">
        <is>
          <t>Coverage / status</t>
        </is>
      </c>
      <c r="U4" s="150" t="inlineStr">
        <is>
          <t>Source</t>
        </is>
      </c>
      <c r="V4" s="150" t="inlineStr">
        <is>
          <t>Missing evidence / next action</t>
        </is>
      </c>
    </row>
    <row r="5">
      <c r="A5" s="151" t="inlineStr">
        <is>
          <t>1. Registered vehicles at December</t>
        </is>
      </c>
      <c r="B5" s="151" t="n"/>
      <c r="C5" s="151" t="n"/>
      <c r="D5" s="151" t="n"/>
      <c r="E5" s="151" t="n"/>
      <c r="F5" s="151" t="n"/>
      <c r="G5" s="151" t="n"/>
      <c r="H5" s="151" t="n"/>
      <c r="I5" s="151" t="n"/>
      <c r="J5" s="151" t="n"/>
      <c r="K5" s="151" t="n"/>
      <c r="L5" s="151" t="n"/>
      <c r="M5" s="151" t="n"/>
      <c r="N5" s="151" t="n"/>
      <c r="O5" s="151" t="n"/>
      <c r="P5" s="151" t="n"/>
      <c r="Q5" s="151" t="n"/>
      <c r="R5" s="151" t="n"/>
      <c r="S5" s="151" t="n"/>
      <c r="T5" s="151" t="n"/>
      <c r="U5" s="151" t="n"/>
      <c r="V5" s="151" t="n"/>
    </row>
    <row r="6">
      <c r="A6" s="152" t="inlineStr">
        <is>
          <t>Cars</t>
        </is>
      </c>
      <c r="B6" s="153" t="inlineStr">
        <is>
          <t>vehicles</t>
        </is>
      </c>
      <c r="C6" s="153" t="inlineStr">
        <is>
          <t>Source observation</t>
        </is>
      </c>
      <c r="D6" s="166" t="n"/>
      <c r="E6" s="152" t="inlineStr">
        <is>
          <t>Live (licensed) vehicles, all fuels together.</t>
        </is>
      </c>
      <c r="F6" s="166" t="n"/>
      <c r="G6" s="166" t="n"/>
      <c r="H6" s="166" t="n"/>
      <c r="I6" s="166" t="n"/>
      <c r="J6" s="166" t="n"/>
      <c r="K6" s="166" t="n"/>
      <c r="L6" s="166" t="n"/>
      <c r="M6" s="166" t="n"/>
      <c r="N6" s="166" t="n"/>
      <c r="O6" s="166" t="n">
        <v>7652077</v>
      </c>
      <c r="P6" s="166" t="n">
        <v>7685153</v>
      </c>
      <c r="Q6" s="166" t="n">
        <v>7794164</v>
      </c>
      <c r="R6" s="166" t="n">
        <v>7949275</v>
      </c>
      <c r="S6" s="166" t="n">
        <v>8184111</v>
      </c>
      <c r="T6" s="152" t="inlineStr">
        <is>
          <t>2021-2025</t>
        </is>
      </c>
      <c r="U6" s="152" t="inlineStr">
        <is>
          <t>NaTIS live vehicle population, December</t>
        </is>
      </c>
      <c r="V6" s="152" t="inlineStr">
        <is>
          <t>No split by fuel or by age in this source</t>
        </is>
      </c>
    </row>
    <row r="7">
      <c r="A7" s="152" t="inlineStr">
        <is>
          <t>Light commercial vehicles</t>
        </is>
      </c>
      <c r="B7" s="153" t="inlineStr">
        <is>
          <t>vehicles</t>
        </is>
      </c>
      <c r="C7" s="153" t="inlineStr">
        <is>
          <t>Source observation</t>
        </is>
      </c>
      <c r="D7" s="166" t="n"/>
      <c r="E7" s="152" t="inlineStr">
        <is>
          <t>Live (licensed) vehicles, all fuels together.</t>
        </is>
      </c>
      <c r="F7" s="166" t="n"/>
      <c r="G7" s="166" t="n"/>
      <c r="H7" s="166" t="n"/>
      <c r="I7" s="166" t="n"/>
      <c r="J7" s="166" t="n"/>
      <c r="K7" s="166" t="n"/>
      <c r="L7" s="166" t="n"/>
      <c r="M7" s="166" t="n"/>
      <c r="N7" s="166" t="n"/>
      <c r="O7" s="166" t="n">
        <v>2671314</v>
      </c>
      <c r="P7" s="166" t="n">
        <v>2658416</v>
      </c>
      <c r="Q7" s="166" t="n">
        <v>2689310</v>
      </c>
      <c r="R7" s="166" t="n">
        <v>2725606</v>
      </c>
      <c r="S7" s="166" t="n">
        <v>2776258</v>
      </c>
      <c r="T7" s="152" t="inlineStr">
        <is>
          <t>2021-2025</t>
        </is>
      </c>
      <c r="U7" s="152" t="inlineStr">
        <is>
          <t>NaTIS live vehicle population, December</t>
        </is>
      </c>
      <c r="V7" s="152" t="inlineStr">
        <is>
          <t>No split by fuel or by age in this source</t>
        </is>
      </c>
    </row>
    <row r="8">
      <c r="A8" s="152" t="inlineStr">
        <is>
          <t>Trucks</t>
        </is>
      </c>
      <c r="B8" s="153" t="inlineStr">
        <is>
          <t>vehicles</t>
        </is>
      </c>
      <c r="C8" s="153" t="inlineStr">
        <is>
          <t>Source observation</t>
        </is>
      </c>
      <c r="D8" s="166" t="n"/>
      <c r="E8" s="152" t="inlineStr">
        <is>
          <t>Live (licensed) vehicles, all fuels together.</t>
        </is>
      </c>
      <c r="F8" s="166" t="n"/>
      <c r="G8" s="166" t="n"/>
      <c r="H8" s="166" t="n"/>
      <c r="I8" s="166" t="n"/>
      <c r="J8" s="166" t="n"/>
      <c r="K8" s="166" t="n"/>
      <c r="L8" s="166" t="n"/>
      <c r="M8" s="166" t="n"/>
      <c r="N8" s="166" t="n"/>
      <c r="O8" s="166" t="n">
        <v>389112</v>
      </c>
      <c r="P8" s="166" t="n">
        <v>385845</v>
      </c>
      <c r="Q8" s="166" t="n">
        <v>392349</v>
      </c>
      <c r="R8" s="166" t="n">
        <v>398542</v>
      </c>
      <c r="S8" s="166" t="n">
        <v>404752</v>
      </c>
      <c r="T8" s="152" t="inlineStr">
        <is>
          <t>2021-2025</t>
        </is>
      </c>
      <c r="U8" s="152" t="inlineStr">
        <is>
          <t>NaTIS live vehicle population, December</t>
        </is>
      </c>
      <c r="V8" s="152" t="inlineStr">
        <is>
          <t>No split by fuel or by age in this source</t>
        </is>
      </c>
    </row>
    <row r="9">
      <c r="A9" s="152" t="inlineStr">
        <is>
          <t>Buses</t>
        </is>
      </c>
      <c r="B9" s="153" t="inlineStr">
        <is>
          <t>vehicles</t>
        </is>
      </c>
      <c r="C9" s="153" t="inlineStr">
        <is>
          <t>Source observation</t>
        </is>
      </c>
      <c r="D9" s="166" t="n"/>
      <c r="E9" s="152" t="inlineStr">
        <is>
          <t>Live (licensed) vehicles, all fuels together.</t>
        </is>
      </c>
      <c r="F9" s="166" t="n"/>
      <c r="G9" s="166" t="n"/>
      <c r="H9" s="166" t="n"/>
      <c r="I9" s="166" t="n"/>
      <c r="J9" s="166" t="n"/>
      <c r="K9" s="166" t="n"/>
      <c r="L9" s="166" t="n"/>
      <c r="M9" s="166" t="n"/>
      <c r="N9" s="166" t="n"/>
      <c r="O9" s="166" t="n">
        <v>64340</v>
      </c>
      <c r="P9" s="166" t="n">
        <v>64170</v>
      </c>
      <c r="Q9" s="166" t="n">
        <v>64982</v>
      </c>
      <c r="R9" s="166" t="n">
        <v>65792</v>
      </c>
      <c r="S9" s="166" t="n">
        <v>66249</v>
      </c>
      <c r="T9" s="152" t="inlineStr">
        <is>
          <t>2021-2025</t>
        </is>
      </c>
      <c r="U9" s="152" t="inlineStr">
        <is>
          <t>NaTIS live vehicle population, December</t>
        </is>
      </c>
      <c r="V9" s="152" t="inlineStr">
        <is>
          <t>No split by fuel or by age in this source</t>
        </is>
      </c>
    </row>
    <row r="10">
      <c r="A10" s="152" t="inlineStr">
        <is>
          <t>Minibuses</t>
        </is>
      </c>
      <c r="B10" s="153" t="inlineStr">
        <is>
          <t>vehicles</t>
        </is>
      </c>
      <c r="C10" s="153" t="inlineStr">
        <is>
          <t>Source observation</t>
        </is>
      </c>
      <c r="D10" s="166" t="n"/>
      <c r="E10" s="152" t="inlineStr">
        <is>
          <t>Live (licensed) vehicles, all fuels together.</t>
        </is>
      </c>
      <c r="F10" s="166" t="n"/>
      <c r="G10" s="166" t="n"/>
      <c r="H10" s="166" t="n"/>
      <c r="I10" s="166" t="n"/>
      <c r="J10" s="166" t="n"/>
      <c r="K10" s="166" t="n"/>
      <c r="L10" s="166" t="n"/>
      <c r="M10" s="166" t="n"/>
      <c r="N10" s="166" t="n"/>
      <c r="O10" s="166" t="n">
        <v>349671</v>
      </c>
      <c r="P10" s="166" t="n">
        <v>349335</v>
      </c>
      <c r="Q10" s="166" t="n">
        <v>355235</v>
      </c>
      <c r="R10" s="166" t="n">
        <v>355139</v>
      </c>
      <c r="S10" s="166" t="n">
        <v>355145</v>
      </c>
      <c r="T10" s="152" t="inlineStr">
        <is>
          <t>2021-2025</t>
        </is>
      </c>
      <c r="U10" s="152" t="inlineStr">
        <is>
          <t>NaTIS live vehicle population, December</t>
        </is>
      </c>
      <c r="V10" s="152" t="inlineStr">
        <is>
          <t>No split by fuel or by age in this source</t>
        </is>
      </c>
    </row>
    <row r="11">
      <c r="A11" s="152" t="inlineStr">
        <is>
          <t>Motorcycles</t>
        </is>
      </c>
      <c r="B11" s="153" t="inlineStr">
        <is>
          <t>vehicles</t>
        </is>
      </c>
      <c r="C11" s="153" t="inlineStr">
        <is>
          <t>Source observation</t>
        </is>
      </c>
      <c r="D11" s="166" t="n"/>
      <c r="E11" s="152" t="inlineStr">
        <is>
          <t>Live (licensed) vehicles, all fuels together.</t>
        </is>
      </c>
      <c r="F11" s="166" t="n"/>
      <c r="G11" s="166" t="n"/>
      <c r="H11" s="166" t="n"/>
      <c r="I11" s="166" t="n"/>
      <c r="J11" s="166" t="n"/>
      <c r="K11" s="166" t="n"/>
      <c r="L11" s="166" t="n"/>
      <c r="M11" s="166" t="n"/>
      <c r="N11" s="166" t="n"/>
      <c r="O11" s="166" t="n">
        <v>347631</v>
      </c>
      <c r="P11" s="166" t="n">
        <v>346153</v>
      </c>
      <c r="Q11" s="166" t="n">
        <v>349215</v>
      </c>
      <c r="R11" s="166" t="n">
        <v>358817</v>
      </c>
      <c r="S11" s="166" t="n">
        <v>372137</v>
      </c>
      <c r="T11" s="152" t="inlineStr">
        <is>
          <t>2021-2025</t>
        </is>
      </c>
      <c r="U11" s="152" t="inlineStr">
        <is>
          <t>NaTIS live vehicle population, December</t>
        </is>
      </c>
      <c r="V11" s="152" t="inlineStr">
        <is>
          <t>No split by fuel or by age in this source</t>
        </is>
      </c>
    </row>
    <row r="13">
      <c r="A13" s="151" t="inlineStr">
        <is>
          <t>2. New vehicle sales</t>
        </is>
      </c>
      <c r="B13" s="151" t="n"/>
      <c r="C13" s="151" t="n"/>
      <c r="D13" s="151" t="n"/>
      <c r="E13" s="151" t="n"/>
      <c r="F13" s="151" t="n"/>
      <c r="G13" s="151" t="n"/>
      <c r="H13" s="151" t="n"/>
      <c r="I13" s="151" t="n"/>
      <c r="J13" s="151" t="n"/>
      <c r="K13" s="151" t="n"/>
      <c r="L13" s="151" t="n"/>
      <c r="M13" s="151" t="n"/>
      <c r="N13" s="151" t="n"/>
      <c r="O13" s="151" t="n"/>
      <c r="P13" s="151" t="n"/>
      <c r="Q13" s="151" t="n"/>
      <c r="R13" s="151" t="n"/>
      <c r="S13" s="151" t="n"/>
      <c r="T13" s="151" t="n"/>
      <c r="U13" s="151" t="n"/>
      <c r="V13" s="151" t="n"/>
    </row>
    <row r="14">
      <c r="A14" s="152" t="inlineStr">
        <is>
          <t>Cars, new sales</t>
        </is>
      </c>
      <c r="B14" s="153" t="inlineStr">
        <is>
          <t>vehicles/year</t>
        </is>
      </c>
      <c r="C14" s="153" t="inlineStr">
        <is>
          <t>Source observation</t>
        </is>
      </c>
      <c r="D14" s="166" t="n"/>
      <c r="E14" s="152" t="inlineStr">
        <is>
          <t>Actual new sales, all drivetrains.</t>
        </is>
      </c>
      <c r="F14" s="166" t="n"/>
      <c r="G14" s="166" t="n"/>
      <c r="H14" s="166" t="n"/>
      <c r="I14" s="166" t="n">
        <v>412397</v>
      </c>
      <c r="J14" s="166" t="n">
        <v>361265</v>
      </c>
      <c r="K14" s="166" t="n">
        <v>368114</v>
      </c>
      <c r="L14" s="166" t="n">
        <v>365247</v>
      </c>
      <c r="M14" s="166" t="n">
        <v>355379</v>
      </c>
      <c r="N14" s="166" t="n">
        <v>246541</v>
      </c>
      <c r="O14" s="166" t="n">
        <v>304338</v>
      </c>
      <c r="P14" s="166" t="n">
        <v>363681</v>
      </c>
      <c r="Q14" s="166" t="n">
        <v>347377</v>
      </c>
      <c r="R14" s="166" t="n">
        <v>351553</v>
      </c>
      <c r="S14" s="166" t="n">
        <v>422463</v>
      </c>
      <c r="T14" s="152" t="inlineStr">
        <is>
          <t>2017-2025</t>
        </is>
      </c>
      <c r="U14" s="152" t="inlineStr">
        <is>
          <t>naamsa industry vehicle sales</t>
        </is>
      </c>
      <c r="V14" s="152" t="inlineStr"/>
    </row>
    <row r="15">
      <c r="A15" s="152" t="inlineStr">
        <is>
          <t>Light commercial vehicles, new sales</t>
        </is>
      </c>
      <c r="B15" s="153" t="inlineStr">
        <is>
          <t>vehicles/year</t>
        </is>
      </c>
      <c r="C15" s="153" t="inlineStr">
        <is>
          <t>Source observation</t>
        </is>
      </c>
      <c r="D15" s="166" t="n"/>
      <c r="E15" s="152" t="inlineStr">
        <is>
          <t>Actual new sales, all drivetrains.</t>
        </is>
      </c>
      <c r="F15" s="166" t="n"/>
      <c r="G15" s="166" t="n"/>
      <c r="H15" s="166" t="n"/>
      <c r="I15" s="166" t="n">
        <v>174812</v>
      </c>
      <c r="J15" s="166" t="n">
        <v>159316</v>
      </c>
      <c r="K15" s="166" t="n">
        <v>163317</v>
      </c>
      <c r="L15" s="166" t="n">
        <v>159525</v>
      </c>
      <c r="M15" s="166" t="n">
        <v>153221</v>
      </c>
      <c r="N15" s="166" t="n">
        <v>110912</v>
      </c>
      <c r="O15" s="166" t="n">
        <v>133078</v>
      </c>
      <c r="P15" s="166" t="n">
        <v>135711</v>
      </c>
      <c r="Q15" s="166" t="n">
        <v>151490</v>
      </c>
      <c r="R15" s="166" t="n">
        <v>133375</v>
      </c>
      <c r="S15" s="166" t="n">
        <v>143964</v>
      </c>
      <c r="T15" s="152" t="inlineStr">
        <is>
          <t>2017-2025</t>
        </is>
      </c>
      <c r="U15" s="152" t="inlineStr">
        <is>
          <t>naamsa industry vehicle sales</t>
        </is>
      </c>
      <c r="V15" s="152" t="inlineStr"/>
    </row>
    <row r="16">
      <c r="A16" s="152" t="inlineStr">
        <is>
          <t>Medium and heavy commercial vehicles, new sales</t>
        </is>
      </c>
      <c r="B16" s="153" t="inlineStr">
        <is>
          <t>vehicles/year</t>
        </is>
      </c>
      <c r="C16" s="153" t="inlineStr">
        <is>
          <t>Source observation</t>
        </is>
      </c>
      <c r="D16" s="166" t="n"/>
      <c r="E16" s="152" t="inlineStr">
        <is>
          <t>Actual new sales, all drivetrains.</t>
        </is>
      </c>
      <c r="F16" s="166" t="n"/>
      <c r="G16" s="166" t="n"/>
      <c r="H16" s="166" t="n"/>
      <c r="I16" s="166" t="n">
        <v>30441</v>
      </c>
      <c r="J16" s="166" t="n">
        <v>26972</v>
      </c>
      <c r="K16" s="166" t="n">
        <v>26272</v>
      </c>
      <c r="L16" s="166" t="n">
        <v>27449</v>
      </c>
      <c r="M16" s="166" t="n">
        <v>27891</v>
      </c>
      <c r="N16" s="166" t="n">
        <v>22614</v>
      </c>
      <c r="O16" s="166" t="n">
        <v>26906</v>
      </c>
      <c r="P16" s="166" t="n">
        <v>29942</v>
      </c>
      <c r="Q16" s="166" t="n">
        <v>32690</v>
      </c>
      <c r="R16" s="166" t="n">
        <v>31175</v>
      </c>
      <c r="S16" s="166" t="n">
        <v>30911</v>
      </c>
      <c r="T16" s="152" t="inlineStr">
        <is>
          <t>2017-2025</t>
        </is>
      </c>
      <c r="U16" s="152" t="inlineStr">
        <is>
          <t>naamsa industry vehicle sales</t>
        </is>
      </c>
      <c r="V16" s="152" t="inlineStr"/>
    </row>
    <row r="17">
      <c r="A17" s="152" t="inlineStr">
        <is>
          <t>All segments, new sales</t>
        </is>
      </c>
      <c r="B17" s="153" t="inlineStr">
        <is>
          <t>vehicles/year</t>
        </is>
      </c>
      <c r="C17" s="153" t="inlineStr">
        <is>
          <t>Source observation</t>
        </is>
      </c>
      <c r="D17" s="166" t="n"/>
      <c r="E17" s="152" t="inlineStr">
        <is>
          <t>Total market as reported.</t>
        </is>
      </c>
      <c r="F17" s="166" t="n"/>
      <c r="G17" s="166" t="n"/>
      <c r="H17" s="166" t="n"/>
      <c r="I17" s="166" t="n">
        <v>617650</v>
      </c>
      <c r="J17" s="166" t="n">
        <v>547552</v>
      </c>
      <c r="K17" s="166" t="n">
        <v>557719</v>
      </c>
      <c r="L17" s="166" t="n">
        <v>552221</v>
      </c>
      <c r="M17" s="166" t="n">
        <v>536486</v>
      </c>
      <c r="N17" s="166" t="n">
        <v>380065</v>
      </c>
      <c r="O17" s="166" t="n">
        <v>464322</v>
      </c>
      <c r="P17" s="166" t="n">
        <v>529335</v>
      </c>
      <c r="Q17" s="166" t="n">
        <v>531557</v>
      </c>
      <c r="R17" s="166" t="n">
        <v>516103</v>
      </c>
      <c r="S17" s="166" t="n">
        <v>597338</v>
      </c>
      <c r="T17" s="152" t="inlineStr">
        <is>
          <t>2017-2025</t>
        </is>
      </c>
      <c r="U17" s="152" t="inlineStr">
        <is>
          <t>naamsa industry vehicle sales</t>
        </is>
      </c>
      <c r="V17" s="152" t="inlineStr"/>
    </row>
    <row r="18">
      <c r="A18" s="156" t="inlineStr">
        <is>
          <t>Cars share of new sales</t>
        </is>
      </c>
      <c r="B18" s="157" t="inlineStr">
        <is>
          <t>%</t>
        </is>
      </c>
      <c r="C18" s="157" t="inlineStr">
        <is>
          <t>Reporting formula</t>
        </is>
      </c>
      <c r="D18" s="199" t="n">
        <v>78</v>
      </c>
      <c r="E18" s="156" t="inlineStr">
        <is>
          <t>Observed share. Column D is the model's fixed split of new vehicles.</t>
        </is>
      </c>
      <c r="F18" s="199">
        <f>IF(COUNT(F14,F17)&lt;2,"",F14/F17*100)</f>
        <v/>
      </c>
      <c r="G18" s="199">
        <f>IF(COUNT(G14,G17)&lt;2,"",G14/G17*100)</f>
        <v/>
      </c>
      <c r="H18" s="199">
        <f>IF(COUNT(H14,H17)&lt;2,"",H14/H17*100)</f>
        <v/>
      </c>
      <c r="I18" s="199">
        <f>IF(COUNT(I14,I17)&lt;2,"",I14/I17*100)</f>
        <v/>
      </c>
      <c r="J18" s="199">
        <f>IF(COUNT(J14,J17)&lt;2,"",J14/J17*100)</f>
        <v/>
      </c>
      <c r="K18" s="199">
        <f>IF(COUNT(K14,K17)&lt;2,"",K14/K17*100)</f>
        <v/>
      </c>
      <c r="L18" s="199">
        <f>IF(COUNT(L14,L17)&lt;2,"",L14/L17*100)</f>
        <v/>
      </c>
      <c r="M18" s="199">
        <f>IF(COUNT(M14,M17)&lt;2,"",M14/M17*100)</f>
        <v/>
      </c>
      <c r="N18" s="199">
        <f>IF(COUNT(N14,N17)&lt;2,"",N14/N17*100)</f>
        <v/>
      </c>
      <c r="O18" s="199">
        <f>IF(COUNT(O14,O17)&lt;2,"",O14/O17*100)</f>
        <v/>
      </c>
      <c r="P18" s="199">
        <f>IF(COUNT(P14,P17)&lt;2,"",P14/P17*100)</f>
        <v/>
      </c>
      <c r="Q18" s="199">
        <f>IF(COUNT(Q14,Q17)&lt;2,"",Q14/Q17*100)</f>
        <v/>
      </c>
      <c r="R18" s="199">
        <f>IF(COUNT(R14,R17)&lt;2,"",R14/R17*100)</f>
        <v/>
      </c>
      <c r="S18" s="199">
        <f>IF(COUNT(S14,S17)&lt;2,"",S14/S17*100)</f>
        <v/>
      </c>
      <c r="T18" s="156" t="inlineStr">
        <is>
          <t>Model setting in column D</t>
        </is>
      </c>
      <c r="U18" s="156" t="inlineStr">
        <is>
          <t>assumptions/2026/vehicles.yaml: new_vehicle_segment_split</t>
        </is>
      </c>
      <c r="V18" s="156" t="inlineStr"/>
    </row>
    <row r="19">
      <c r="A19" s="156" t="inlineStr">
        <is>
          <t>Light commercial share of new sales</t>
        </is>
      </c>
      <c r="B19" s="157" t="inlineStr">
        <is>
          <t>%</t>
        </is>
      </c>
      <c r="C19" s="157" t="inlineStr">
        <is>
          <t>Reporting formula</t>
        </is>
      </c>
      <c r="D19" s="199" t="n">
        <v>18</v>
      </c>
      <c r="E19" s="156" t="inlineStr">
        <is>
          <t>Observed share. Column D is the model's fixed split of new vehicles.</t>
        </is>
      </c>
      <c r="F19" s="199">
        <f>IF(COUNT(F15,F17)&lt;2,"",F15/F17*100)</f>
        <v/>
      </c>
      <c r="G19" s="199">
        <f>IF(COUNT(G15,G17)&lt;2,"",G15/G17*100)</f>
        <v/>
      </c>
      <c r="H19" s="199">
        <f>IF(COUNT(H15,H17)&lt;2,"",H15/H17*100)</f>
        <v/>
      </c>
      <c r="I19" s="199">
        <f>IF(COUNT(I15,I17)&lt;2,"",I15/I17*100)</f>
        <v/>
      </c>
      <c r="J19" s="199">
        <f>IF(COUNT(J15,J17)&lt;2,"",J15/J17*100)</f>
        <v/>
      </c>
      <c r="K19" s="199">
        <f>IF(COUNT(K15,K17)&lt;2,"",K15/K17*100)</f>
        <v/>
      </c>
      <c r="L19" s="199">
        <f>IF(COUNT(L15,L17)&lt;2,"",L15/L17*100)</f>
        <v/>
      </c>
      <c r="M19" s="199">
        <f>IF(COUNT(M15,M17)&lt;2,"",M15/M17*100)</f>
        <v/>
      </c>
      <c r="N19" s="199">
        <f>IF(COUNT(N15,N17)&lt;2,"",N15/N17*100)</f>
        <v/>
      </c>
      <c r="O19" s="199">
        <f>IF(COUNT(O15,O17)&lt;2,"",O15/O17*100)</f>
        <v/>
      </c>
      <c r="P19" s="199">
        <f>IF(COUNT(P15,P17)&lt;2,"",P15/P17*100)</f>
        <v/>
      </c>
      <c r="Q19" s="199">
        <f>IF(COUNT(Q15,Q17)&lt;2,"",Q15/Q17*100)</f>
        <v/>
      </c>
      <c r="R19" s="199">
        <f>IF(COUNT(R15,R17)&lt;2,"",R15/R17*100)</f>
        <v/>
      </c>
      <c r="S19" s="199">
        <f>IF(COUNT(S15,S17)&lt;2,"",S15/S17*100)</f>
        <v/>
      </c>
      <c r="T19" s="156" t="inlineStr">
        <is>
          <t>Model setting in column D</t>
        </is>
      </c>
      <c r="U19" s="156" t="inlineStr">
        <is>
          <t>assumptions/2026/vehicles.yaml: new_vehicle_segment_split</t>
        </is>
      </c>
      <c r="V19" s="156" t="inlineStr"/>
    </row>
    <row r="20">
      <c r="A20" s="156" t="inlineStr">
        <is>
          <t>Medium and heavy commercial share of new sales</t>
        </is>
      </c>
      <c r="B20" s="157" t="inlineStr">
        <is>
          <t>%</t>
        </is>
      </c>
      <c r="C20" s="157" t="inlineStr">
        <is>
          <t>Reporting formula</t>
        </is>
      </c>
      <c r="D20" s="199" t="n">
        <v>4</v>
      </c>
      <c r="E20" s="156" t="inlineStr">
        <is>
          <t>Observed share. Column D is the model's fixed split of new vehicles.</t>
        </is>
      </c>
      <c r="F20" s="199">
        <f>IF(COUNT(F16,F17)&lt;2,"",F16/F17*100)</f>
        <v/>
      </c>
      <c r="G20" s="199">
        <f>IF(COUNT(G16,G17)&lt;2,"",G16/G17*100)</f>
        <v/>
      </c>
      <c r="H20" s="199">
        <f>IF(COUNT(H16,H17)&lt;2,"",H16/H17*100)</f>
        <v/>
      </c>
      <c r="I20" s="199">
        <f>IF(COUNT(I16,I17)&lt;2,"",I16/I17*100)</f>
        <v/>
      </c>
      <c r="J20" s="199">
        <f>IF(COUNT(J16,J17)&lt;2,"",J16/J17*100)</f>
        <v/>
      </c>
      <c r="K20" s="199">
        <f>IF(COUNT(K16,K17)&lt;2,"",K16/K17*100)</f>
        <v/>
      </c>
      <c r="L20" s="199">
        <f>IF(COUNT(L16,L17)&lt;2,"",L16/L17*100)</f>
        <v/>
      </c>
      <c r="M20" s="199">
        <f>IF(COUNT(M16,M17)&lt;2,"",M16/M17*100)</f>
        <v/>
      </c>
      <c r="N20" s="199">
        <f>IF(COUNT(N16,N17)&lt;2,"",N16/N17*100)</f>
        <v/>
      </c>
      <c r="O20" s="199">
        <f>IF(COUNT(O16,O17)&lt;2,"",O16/O17*100)</f>
        <v/>
      </c>
      <c r="P20" s="199">
        <f>IF(COUNT(P16,P17)&lt;2,"",P16/P17*100)</f>
        <v/>
      </c>
      <c r="Q20" s="199">
        <f>IF(COUNT(Q16,Q17)&lt;2,"",Q16/Q17*100)</f>
        <v/>
      </c>
      <c r="R20" s="199">
        <f>IF(COUNT(R16,R17)&lt;2,"",R16/R17*100)</f>
        <v/>
      </c>
      <c r="S20" s="199">
        <f>IF(COUNT(S16,S17)&lt;2,"",S16/S17*100)</f>
        <v/>
      </c>
      <c r="T20" s="156" t="inlineStr">
        <is>
          <t>Model setting in column D</t>
        </is>
      </c>
      <c r="U20" s="156" t="inlineStr">
        <is>
          <t>assumptions/2026/vehicles.yaml: new_vehicle_segment_split</t>
        </is>
      </c>
      <c r="V20" s="156" t="inlineStr"/>
    </row>
    <row r="22">
      <c r="A22" s="151" t="inlineStr">
        <is>
          <t>3. Apparent retirements: last December's stock plus this year's sales less this December's stock</t>
        </is>
      </c>
      <c r="B22" s="151" t="n"/>
      <c r="C22" s="151" t="n"/>
      <c r="D22" s="151" t="n"/>
      <c r="E22" s="151" t="n"/>
      <c r="F22" s="151" t="n"/>
      <c r="G22" s="151" t="n"/>
      <c r="H22" s="151" t="n"/>
      <c r="I22" s="151" t="n"/>
      <c r="J22" s="151" t="n"/>
      <c r="K22" s="151" t="n"/>
      <c r="L22" s="151" t="n"/>
      <c r="M22" s="151" t="n"/>
      <c r="N22" s="151" t="n"/>
      <c r="O22" s="151" t="n"/>
      <c r="P22" s="151" t="n"/>
      <c r="Q22" s="151" t="n"/>
      <c r="R22" s="151" t="n"/>
      <c r="S22" s="151" t="n"/>
      <c r="T22" s="151" t="n"/>
      <c r="U22" s="151" t="n"/>
      <c r="V22" s="151" t="n"/>
    </row>
    <row r="23">
      <c r="A23" s="156" t="inlineStr">
        <is>
          <t>Cars retired</t>
        </is>
      </c>
      <c r="B23" s="157" t="inlineStr">
        <is>
          <t>vehicles/year</t>
        </is>
      </c>
      <c r="C23" s="157" t="inlineStr">
        <is>
          <t>Reporting formula</t>
        </is>
      </c>
      <c r="D23" s="167" t="n"/>
      <c r="E23" s="156" t="inlineStr">
        <is>
          <t>Includes deregistration, export and write-off; used imports and re-registration would lower it.</t>
        </is>
      </c>
      <c r="F23" s="167" t="n"/>
      <c r="G23" s="167">
        <f>IF(COUNT(F6,G6,G14)&lt;3,"",F6+G14-G6)</f>
        <v/>
      </c>
      <c r="H23" s="167">
        <f>IF(COUNT(G6,H6,H14)&lt;3,"",G6+H14-H6)</f>
        <v/>
      </c>
      <c r="I23" s="167">
        <f>IF(COUNT(H6,I6,I14)&lt;3,"",H6+I14-I6)</f>
        <v/>
      </c>
      <c r="J23" s="167">
        <f>IF(COUNT(I6,J6,J14)&lt;3,"",I6+J14-J6)</f>
        <v/>
      </c>
      <c r="K23" s="167">
        <f>IF(COUNT(J6,K6,K14)&lt;3,"",J6+K14-K6)</f>
        <v/>
      </c>
      <c r="L23" s="167">
        <f>IF(COUNT(K6,L6,L14)&lt;3,"",K6+L14-L6)</f>
        <v/>
      </c>
      <c r="M23" s="167">
        <f>IF(COUNT(L6,M6,M14)&lt;3,"",L6+M14-M6)</f>
        <v/>
      </c>
      <c r="N23" s="167">
        <f>IF(COUNT(M6,N6,N14)&lt;3,"",M6+N14-N6)</f>
        <v/>
      </c>
      <c r="O23" s="167">
        <f>IF(COUNT(N6,O6,O14)&lt;3,"",N6+O14-O6)</f>
        <v/>
      </c>
      <c r="P23" s="167">
        <f>IF(COUNT(O6,P6,P14)&lt;3,"",O6+P14-P6)</f>
        <v/>
      </c>
      <c r="Q23" s="167">
        <f>IF(COUNT(P6,Q6,Q14)&lt;3,"",P6+Q14-Q6)</f>
        <v/>
      </c>
      <c r="R23" s="167">
        <f>IF(COUNT(Q6,R6,R14)&lt;3,"",Q6+R14-R6)</f>
        <v/>
      </c>
      <c r="S23" s="167">
        <f>IF(COUNT(R6,S6,S14)&lt;3,"",R6+S14-S6)</f>
        <v/>
      </c>
      <c r="T23" s="156" t="inlineStr"/>
      <c r="U23" s="156" t="inlineStr">
        <is>
          <t>Calculated in this workbook from the rows named in the definition</t>
        </is>
      </c>
      <c r="V23" s="156" t="inlineStr"/>
    </row>
    <row r="24">
      <c r="A24" s="156" t="inlineStr">
        <is>
          <t>Cars retirement rate</t>
        </is>
      </c>
      <c r="B24" s="157" t="inlineStr">
        <is>
          <t>% of last December's stock</t>
        </is>
      </c>
      <c r="C24" s="157" t="inlineStr">
        <is>
          <t>Reporting formula</t>
        </is>
      </c>
      <c r="D24" s="199" t="n">
        <v>4</v>
      </c>
      <c r="E24" s="156" t="inlineStr">
        <is>
          <t>Retired divided by last December's stock. Column D is the model's scrappage rate.</t>
        </is>
      </c>
      <c r="F24" s="199" t="n"/>
      <c r="G24" s="199">
        <f>IF(ISNUMBER(G23),G23/F6*100,"")</f>
        <v/>
      </c>
      <c r="H24" s="199">
        <f>IF(ISNUMBER(H23),H23/G6*100,"")</f>
        <v/>
      </c>
      <c r="I24" s="199">
        <f>IF(ISNUMBER(I23),I23/H6*100,"")</f>
        <v/>
      </c>
      <c r="J24" s="199">
        <f>IF(ISNUMBER(J23),J23/I6*100,"")</f>
        <v/>
      </c>
      <c r="K24" s="199">
        <f>IF(ISNUMBER(K23),K23/J6*100,"")</f>
        <v/>
      </c>
      <c r="L24" s="199">
        <f>IF(ISNUMBER(L23),L23/K6*100,"")</f>
        <v/>
      </c>
      <c r="M24" s="199">
        <f>IF(ISNUMBER(M23),M23/L6*100,"")</f>
        <v/>
      </c>
      <c r="N24" s="199">
        <f>IF(ISNUMBER(N23),N23/M6*100,"")</f>
        <v/>
      </c>
      <c r="O24" s="199">
        <f>IF(ISNUMBER(O23),O23/N6*100,"")</f>
        <v/>
      </c>
      <c r="P24" s="199">
        <f>IF(ISNUMBER(P23),P23/O6*100,"")</f>
        <v/>
      </c>
      <c r="Q24" s="199">
        <f>IF(ISNUMBER(Q23),Q23/P6*100,"")</f>
        <v/>
      </c>
      <c r="R24" s="199">
        <f>IF(ISNUMBER(R23),R23/Q6*100,"")</f>
        <v/>
      </c>
      <c r="S24" s="199">
        <f>IF(ISNUMBER(S23),S23/R6*100,"")</f>
        <v/>
      </c>
      <c r="T24" s="156" t="inlineStr">
        <is>
          <t>Model setting in column D</t>
        </is>
      </c>
      <c r="U24" s="156" t="inlineStr">
        <is>
          <t>assumptions/2026/vehicles.yaml: scrappage_rate</t>
        </is>
      </c>
      <c r="V24" s="156" t="inlineStr"/>
    </row>
    <row r="25">
      <c r="A25" s="156" t="inlineStr">
        <is>
          <t>Light commercial vehicles retired</t>
        </is>
      </c>
      <c r="B25" s="157" t="inlineStr">
        <is>
          <t>vehicles/year</t>
        </is>
      </c>
      <c r="C25" s="157" t="inlineStr">
        <is>
          <t>Reporting formula</t>
        </is>
      </c>
      <c r="D25" s="167" t="n"/>
      <c r="E25" s="156" t="inlineStr">
        <is>
          <t>Includes deregistration, export and write-off; used imports and re-registration would lower it.</t>
        </is>
      </c>
      <c r="F25" s="167" t="n"/>
      <c r="G25" s="167">
        <f>IF(COUNT(F7,G7,G15)&lt;3,"",F7+G15-G7)</f>
        <v/>
      </c>
      <c r="H25" s="167">
        <f>IF(COUNT(G7,H7,H15)&lt;3,"",G7+H15-H7)</f>
        <v/>
      </c>
      <c r="I25" s="167">
        <f>IF(COUNT(H7,I7,I15)&lt;3,"",H7+I15-I7)</f>
        <v/>
      </c>
      <c r="J25" s="167">
        <f>IF(COUNT(I7,J7,J15)&lt;3,"",I7+J15-J7)</f>
        <v/>
      </c>
      <c r="K25" s="167">
        <f>IF(COUNT(J7,K7,K15)&lt;3,"",J7+K15-K7)</f>
        <v/>
      </c>
      <c r="L25" s="167">
        <f>IF(COUNT(K7,L7,L15)&lt;3,"",K7+L15-L7)</f>
        <v/>
      </c>
      <c r="M25" s="167">
        <f>IF(COUNT(L7,M7,M15)&lt;3,"",L7+M15-M7)</f>
        <v/>
      </c>
      <c r="N25" s="167">
        <f>IF(COUNT(M7,N7,N15)&lt;3,"",M7+N15-N7)</f>
        <v/>
      </c>
      <c r="O25" s="167">
        <f>IF(COUNT(N7,O7,O15)&lt;3,"",N7+O15-O7)</f>
        <v/>
      </c>
      <c r="P25" s="167">
        <f>IF(COUNT(O7,P7,P15)&lt;3,"",O7+P15-P7)</f>
        <v/>
      </c>
      <c r="Q25" s="167">
        <f>IF(COUNT(P7,Q7,Q15)&lt;3,"",P7+Q15-Q7)</f>
        <v/>
      </c>
      <c r="R25" s="167">
        <f>IF(COUNT(Q7,R7,R15)&lt;3,"",Q7+R15-R7)</f>
        <v/>
      </c>
      <c r="S25" s="167">
        <f>IF(COUNT(R7,S7,S15)&lt;3,"",R7+S15-S7)</f>
        <v/>
      </c>
      <c r="T25" s="156" t="inlineStr"/>
      <c r="U25" s="156" t="inlineStr">
        <is>
          <t>Calculated in this workbook from the rows named in the definition</t>
        </is>
      </c>
      <c r="V25" s="156" t="inlineStr"/>
    </row>
    <row r="26">
      <c r="A26" s="156" t="inlineStr">
        <is>
          <t>Light commercial vehicles retirement rate</t>
        </is>
      </c>
      <c r="B26" s="157" t="inlineStr">
        <is>
          <t>% of last December's stock</t>
        </is>
      </c>
      <c r="C26" s="157" t="inlineStr">
        <is>
          <t>Reporting formula</t>
        </is>
      </c>
      <c r="D26" s="199" t="n">
        <v>5</v>
      </c>
      <c r="E26" s="156" t="inlineStr">
        <is>
          <t>Retired divided by last December's stock. Column D is the model's scrappage rate.</t>
        </is>
      </c>
      <c r="F26" s="199" t="n"/>
      <c r="G26" s="199">
        <f>IF(ISNUMBER(G25),G25/F7*100,"")</f>
        <v/>
      </c>
      <c r="H26" s="199">
        <f>IF(ISNUMBER(H25),H25/G7*100,"")</f>
        <v/>
      </c>
      <c r="I26" s="199">
        <f>IF(ISNUMBER(I25),I25/H7*100,"")</f>
        <v/>
      </c>
      <c r="J26" s="199">
        <f>IF(ISNUMBER(J25),J25/I7*100,"")</f>
        <v/>
      </c>
      <c r="K26" s="199">
        <f>IF(ISNUMBER(K25),K25/J7*100,"")</f>
        <v/>
      </c>
      <c r="L26" s="199">
        <f>IF(ISNUMBER(L25),L25/K7*100,"")</f>
        <v/>
      </c>
      <c r="M26" s="199">
        <f>IF(ISNUMBER(M25),M25/L7*100,"")</f>
        <v/>
      </c>
      <c r="N26" s="199">
        <f>IF(ISNUMBER(N25),N25/M7*100,"")</f>
        <v/>
      </c>
      <c r="O26" s="199">
        <f>IF(ISNUMBER(O25),O25/N7*100,"")</f>
        <v/>
      </c>
      <c r="P26" s="199">
        <f>IF(ISNUMBER(P25),P25/O7*100,"")</f>
        <v/>
      </c>
      <c r="Q26" s="199">
        <f>IF(ISNUMBER(Q25),Q25/P7*100,"")</f>
        <v/>
      </c>
      <c r="R26" s="199">
        <f>IF(ISNUMBER(R25),R25/Q7*100,"")</f>
        <v/>
      </c>
      <c r="S26" s="199">
        <f>IF(ISNUMBER(S25),S25/R7*100,"")</f>
        <v/>
      </c>
      <c r="T26" s="156" t="inlineStr">
        <is>
          <t>Model setting in column D</t>
        </is>
      </c>
      <c r="U26" s="156" t="inlineStr">
        <is>
          <t>assumptions/2026/vehicles.yaml: scrappage_rate</t>
        </is>
      </c>
      <c r="V26" s="156" t="inlineStr"/>
    </row>
    <row r="27">
      <c r="A27" s="156" t="inlineStr">
        <is>
          <t>Trucks retired</t>
        </is>
      </c>
      <c r="B27" s="157" t="inlineStr">
        <is>
          <t>vehicles/year</t>
        </is>
      </c>
      <c r="C27" s="157" t="inlineStr">
        <is>
          <t>Reporting formula</t>
        </is>
      </c>
      <c r="D27" s="167" t="n"/>
      <c r="E27" s="156" t="inlineStr">
        <is>
          <t>Includes deregistration, export and write-off; used imports and re-registration would lower it.</t>
        </is>
      </c>
      <c r="F27" s="167" t="n"/>
      <c r="G27" s="167">
        <f>IF(COUNT(F8,G8,G16)&lt;3,"",F8+G16-G8)</f>
        <v/>
      </c>
      <c r="H27" s="167">
        <f>IF(COUNT(G8,H8,H16)&lt;3,"",G8+H16-H8)</f>
        <v/>
      </c>
      <c r="I27" s="167">
        <f>IF(COUNT(H8,I8,I16)&lt;3,"",H8+I16-I8)</f>
        <v/>
      </c>
      <c r="J27" s="167">
        <f>IF(COUNT(I8,J8,J16)&lt;3,"",I8+J16-J8)</f>
        <v/>
      </c>
      <c r="K27" s="167">
        <f>IF(COUNT(J8,K8,K16)&lt;3,"",J8+K16-K8)</f>
        <v/>
      </c>
      <c r="L27" s="167">
        <f>IF(COUNT(K8,L8,L16)&lt;3,"",K8+L16-L8)</f>
        <v/>
      </c>
      <c r="M27" s="167">
        <f>IF(COUNT(L8,M8,M16)&lt;3,"",L8+M16-M8)</f>
        <v/>
      </c>
      <c r="N27" s="167">
        <f>IF(COUNT(M8,N8,N16)&lt;3,"",M8+N16-N8)</f>
        <v/>
      </c>
      <c r="O27" s="167">
        <f>IF(COUNT(N8,O8,O16)&lt;3,"",N8+O16-O8)</f>
        <v/>
      </c>
      <c r="P27" s="167">
        <f>IF(COUNT(O8,P8,P16)&lt;3,"",O8+P16-P8)</f>
        <v/>
      </c>
      <c r="Q27" s="167">
        <f>IF(COUNT(P8,Q8,Q16)&lt;3,"",P8+Q16-Q8)</f>
        <v/>
      </c>
      <c r="R27" s="167">
        <f>IF(COUNT(Q8,R8,R16)&lt;3,"",Q8+R16-R8)</f>
        <v/>
      </c>
      <c r="S27" s="167">
        <f>IF(COUNT(R8,S8,S16)&lt;3,"",R8+S16-S8)</f>
        <v/>
      </c>
      <c r="T27" s="156" t="inlineStr"/>
      <c r="U27" s="156" t="inlineStr">
        <is>
          <t>Calculated in this workbook from the rows named in the definition</t>
        </is>
      </c>
      <c r="V27" s="156" t="inlineStr"/>
    </row>
    <row r="28">
      <c r="A28" s="156" t="inlineStr">
        <is>
          <t>Trucks retirement rate</t>
        </is>
      </c>
      <c r="B28" s="157" t="inlineStr">
        <is>
          <t>% of last December's stock</t>
        </is>
      </c>
      <c r="C28" s="157" t="inlineStr">
        <is>
          <t>Reporting formula</t>
        </is>
      </c>
      <c r="D28" s="199" t="n">
        <v>6</v>
      </c>
      <c r="E28" s="156" t="inlineStr">
        <is>
          <t>Retired divided by last December's stock. Column D is the model's scrappage rate.</t>
        </is>
      </c>
      <c r="F28" s="199" t="n"/>
      <c r="G28" s="199">
        <f>IF(ISNUMBER(G27),G27/F8*100,"")</f>
        <v/>
      </c>
      <c r="H28" s="199">
        <f>IF(ISNUMBER(H27),H27/G8*100,"")</f>
        <v/>
      </c>
      <c r="I28" s="199">
        <f>IF(ISNUMBER(I27),I27/H8*100,"")</f>
        <v/>
      </c>
      <c r="J28" s="199">
        <f>IF(ISNUMBER(J27),J27/I8*100,"")</f>
        <v/>
      </c>
      <c r="K28" s="199">
        <f>IF(ISNUMBER(K27),K27/J8*100,"")</f>
        <v/>
      </c>
      <c r="L28" s="199">
        <f>IF(ISNUMBER(L27),L27/K8*100,"")</f>
        <v/>
      </c>
      <c r="M28" s="199">
        <f>IF(ISNUMBER(M27),M27/L8*100,"")</f>
        <v/>
      </c>
      <c r="N28" s="199">
        <f>IF(ISNUMBER(N27),N27/M8*100,"")</f>
        <v/>
      </c>
      <c r="O28" s="199">
        <f>IF(ISNUMBER(O27),O27/N8*100,"")</f>
        <v/>
      </c>
      <c r="P28" s="199">
        <f>IF(ISNUMBER(P27),P27/O8*100,"")</f>
        <v/>
      </c>
      <c r="Q28" s="199">
        <f>IF(ISNUMBER(Q27),Q27/P8*100,"")</f>
        <v/>
      </c>
      <c r="R28" s="199">
        <f>IF(ISNUMBER(R27),R27/Q8*100,"")</f>
        <v/>
      </c>
      <c r="S28" s="199">
        <f>IF(ISNUMBER(S27),S27/R8*100,"")</f>
        <v/>
      </c>
      <c r="T28" s="156" t="inlineStr">
        <is>
          <t>Model setting in column D</t>
        </is>
      </c>
      <c r="U28" s="156" t="inlineStr">
        <is>
          <t>assumptions/2026/vehicles.yaml: scrappage_rate</t>
        </is>
      </c>
      <c r="V28" s="156" t="inlineStr"/>
    </row>
    <row r="30">
      <c r="A30" s="151" t="inlineStr">
        <is>
          <t>4. Electrified new sales (all segments)</t>
        </is>
      </c>
      <c r="B30" s="151" t="n"/>
      <c r="C30" s="151" t="n"/>
      <c r="D30" s="151" t="n"/>
      <c r="E30" s="151" t="n"/>
      <c r="F30" s="151" t="n"/>
      <c r="G30" s="151" t="n"/>
      <c r="H30" s="151" t="n"/>
      <c r="I30" s="151" t="n"/>
      <c r="J30" s="151" t="n"/>
      <c r="K30" s="151" t="n"/>
      <c r="L30" s="151" t="n"/>
      <c r="M30" s="151" t="n"/>
      <c r="N30" s="151" t="n"/>
      <c r="O30" s="151" t="n"/>
      <c r="P30" s="151" t="n"/>
      <c r="Q30" s="151" t="n"/>
      <c r="R30" s="151" t="n"/>
      <c r="S30" s="151" t="n"/>
      <c r="T30" s="151" t="n"/>
      <c r="U30" s="151" t="n"/>
      <c r="V30" s="151" t="n"/>
    </row>
    <row r="31">
      <c r="A31" s="152" t="inlineStr">
        <is>
          <t>Battery electric, new sales</t>
        </is>
      </c>
      <c r="B31" s="153" t="inlineStr">
        <is>
          <t>vehicles/year</t>
        </is>
      </c>
      <c r="C31" s="153" t="inlineStr">
        <is>
          <t>Source observation</t>
        </is>
      </c>
      <c r="D31" s="166" t="n"/>
      <c r="E31" s="152" t="inlineStr">
        <is>
          <t>Total market, not passenger cars only.</t>
        </is>
      </c>
      <c r="F31" s="166" t="n"/>
      <c r="G31" s="166" t="n"/>
      <c r="H31" s="166" t="n"/>
      <c r="I31" s="166" t="n"/>
      <c r="J31" s="166" t="n"/>
      <c r="K31" s="166" t="n"/>
      <c r="L31" s="166" t="n"/>
      <c r="M31" s="166" t="n">
        <v>154</v>
      </c>
      <c r="N31" s="166" t="n">
        <v>92</v>
      </c>
      <c r="O31" s="166" t="n">
        <v>218</v>
      </c>
      <c r="P31" s="166" t="n">
        <v>502</v>
      </c>
      <c r="Q31" s="166" t="n">
        <v>929</v>
      </c>
      <c r="R31" s="166" t="n">
        <v>1257</v>
      </c>
      <c r="S31" s="166" t="n">
        <v>1088</v>
      </c>
      <c r="T31" s="152" t="inlineStr">
        <is>
          <t>2019-2025</t>
        </is>
      </c>
      <c r="U31" s="152" t="inlineStr">
        <is>
          <t>naamsa new-energy vehicle sales</t>
        </is>
      </c>
      <c r="V31" s="152" t="inlineStr"/>
    </row>
    <row r="32">
      <c r="A32" s="156" t="inlineStr">
        <is>
          <t>Battery electric share of new sales</t>
        </is>
      </c>
      <c r="B32" s="157" t="inlineStr">
        <is>
          <t>%</t>
        </is>
      </c>
      <c r="C32" s="157" t="inlineStr">
        <is>
          <t>Reporting formula</t>
        </is>
      </c>
      <c r="D32" s="178" t="n"/>
      <c r="E32" s="156" t="inlineStr">
        <is>
          <t>Share of all new vehicles sold in the year.</t>
        </is>
      </c>
      <c r="F32" s="178">
        <f>IF(COUNT(F31,F17)&lt;2,"",F31/F17*100)</f>
        <v/>
      </c>
      <c r="G32" s="178">
        <f>IF(COUNT(G31,G17)&lt;2,"",G31/G17*100)</f>
        <v/>
      </c>
      <c r="H32" s="178">
        <f>IF(COUNT(H31,H17)&lt;2,"",H31/H17*100)</f>
        <v/>
      </c>
      <c r="I32" s="178">
        <f>IF(COUNT(I31,I17)&lt;2,"",I31/I17*100)</f>
        <v/>
      </c>
      <c r="J32" s="178">
        <f>IF(COUNT(J31,J17)&lt;2,"",J31/J17*100)</f>
        <v/>
      </c>
      <c r="K32" s="178">
        <f>IF(COUNT(K31,K17)&lt;2,"",K31/K17*100)</f>
        <v/>
      </c>
      <c r="L32" s="178">
        <f>IF(COUNT(L31,L17)&lt;2,"",L31/L17*100)</f>
        <v/>
      </c>
      <c r="M32" s="178">
        <f>IF(COUNT(M31,M17)&lt;2,"",M31/M17*100)</f>
        <v/>
      </c>
      <c r="N32" s="178">
        <f>IF(COUNT(N31,N17)&lt;2,"",N31/N17*100)</f>
        <v/>
      </c>
      <c r="O32" s="178">
        <f>IF(COUNT(O31,O17)&lt;2,"",O31/O17*100)</f>
        <v/>
      </c>
      <c r="P32" s="178">
        <f>IF(COUNT(P31,P17)&lt;2,"",P31/P17*100)</f>
        <v/>
      </c>
      <c r="Q32" s="178">
        <f>IF(COUNT(Q31,Q17)&lt;2,"",Q31/Q17*100)</f>
        <v/>
      </c>
      <c r="R32" s="178">
        <f>IF(COUNT(R31,R17)&lt;2,"",R31/R17*100)</f>
        <v/>
      </c>
      <c r="S32" s="178">
        <f>IF(COUNT(S31,S17)&lt;2,"",S31/S17*100)</f>
        <v/>
      </c>
      <c r="T32" s="156" t="inlineStr"/>
      <c r="U32" s="156" t="inlineStr">
        <is>
          <t>Calculated in this workbook from the rows named in the definition</t>
        </is>
      </c>
      <c r="V32" s="156" t="inlineStr">
        <is>
          <t>Share of the fleet is not observed after December 2023</t>
        </is>
      </c>
    </row>
    <row r="33">
      <c r="A33" s="152" t="inlineStr">
        <is>
          <t>Plug-in hybrid, new sales</t>
        </is>
      </c>
      <c r="B33" s="153" t="inlineStr">
        <is>
          <t>vehicles/year</t>
        </is>
      </c>
      <c r="C33" s="153" t="inlineStr">
        <is>
          <t>Source observation</t>
        </is>
      </c>
      <c r="D33" s="166" t="n"/>
      <c r="E33" s="152" t="inlineStr">
        <is>
          <t>Total market, not passenger cars only.</t>
        </is>
      </c>
      <c r="F33" s="166" t="n"/>
      <c r="G33" s="166" t="n"/>
      <c r="H33" s="166" t="n"/>
      <c r="I33" s="166" t="n"/>
      <c r="J33" s="166" t="n"/>
      <c r="K33" s="166" t="n"/>
      <c r="L33" s="166" t="n"/>
      <c r="M33" s="166" t="n">
        <v>72</v>
      </c>
      <c r="N33" s="166" t="n">
        <v>77</v>
      </c>
      <c r="O33" s="166" t="n">
        <v>51</v>
      </c>
      <c r="P33" s="166" t="n">
        <v>122</v>
      </c>
      <c r="Q33" s="166" t="n">
        <v>368</v>
      </c>
      <c r="R33" s="166" t="n">
        <v>738</v>
      </c>
      <c r="S33" s="166" t="n">
        <v>2810</v>
      </c>
      <c r="T33" s="152" t="inlineStr">
        <is>
          <t>2019-2025</t>
        </is>
      </c>
      <c r="U33" s="152" t="inlineStr">
        <is>
          <t>naamsa new-energy vehicle sales</t>
        </is>
      </c>
      <c r="V33" s="152" t="inlineStr"/>
    </row>
    <row r="34">
      <c r="A34" s="156" t="inlineStr">
        <is>
          <t>Plug-in hybrid share of new sales</t>
        </is>
      </c>
      <c r="B34" s="157" t="inlineStr">
        <is>
          <t>%</t>
        </is>
      </c>
      <c r="C34" s="157" t="inlineStr">
        <is>
          <t>Reporting formula</t>
        </is>
      </c>
      <c r="D34" s="178" t="n"/>
      <c r="E34" s="156" t="inlineStr">
        <is>
          <t>Share of all new vehicles sold in the year.</t>
        </is>
      </c>
      <c r="F34" s="178">
        <f>IF(COUNT(F33,F17)&lt;2,"",F33/F17*100)</f>
        <v/>
      </c>
      <c r="G34" s="178">
        <f>IF(COUNT(G33,G17)&lt;2,"",G33/G17*100)</f>
        <v/>
      </c>
      <c r="H34" s="178">
        <f>IF(COUNT(H33,H17)&lt;2,"",H33/H17*100)</f>
        <v/>
      </c>
      <c r="I34" s="178">
        <f>IF(COUNT(I33,I17)&lt;2,"",I33/I17*100)</f>
        <v/>
      </c>
      <c r="J34" s="178">
        <f>IF(COUNT(J33,J17)&lt;2,"",J33/J17*100)</f>
        <v/>
      </c>
      <c r="K34" s="178">
        <f>IF(COUNT(K33,K17)&lt;2,"",K33/K17*100)</f>
        <v/>
      </c>
      <c r="L34" s="178">
        <f>IF(COUNT(L33,L17)&lt;2,"",L33/L17*100)</f>
        <v/>
      </c>
      <c r="M34" s="178">
        <f>IF(COUNT(M33,M17)&lt;2,"",M33/M17*100)</f>
        <v/>
      </c>
      <c r="N34" s="178">
        <f>IF(COUNT(N33,N17)&lt;2,"",N33/N17*100)</f>
        <v/>
      </c>
      <c r="O34" s="178">
        <f>IF(COUNT(O33,O17)&lt;2,"",O33/O17*100)</f>
        <v/>
      </c>
      <c r="P34" s="178">
        <f>IF(COUNT(P33,P17)&lt;2,"",P33/P17*100)</f>
        <v/>
      </c>
      <c r="Q34" s="178">
        <f>IF(COUNT(Q33,Q17)&lt;2,"",Q33/Q17*100)</f>
        <v/>
      </c>
      <c r="R34" s="178">
        <f>IF(COUNT(R33,R17)&lt;2,"",R33/R17*100)</f>
        <v/>
      </c>
      <c r="S34" s="178">
        <f>IF(COUNT(S33,S17)&lt;2,"",S33/S17*100)</f>
        <v/>
      </c>
      <c r="T34" s="156" t="inlineStr"/>
      <c r="U34" s="156" t="inlineStr">
        <is>
          <t>Calculated in this workbook from the rows named in the definition</t>
        </is>
      </c>
      <c r="V34" s="156" t="inlineStr">
        <is>
          <t>Share of the fleet is not observed after December 2023</t>
        </is>
      </c>
    </row>
    <row r="35">
      <c r="A35" s="152" t="inlineStr">
        <is>
          <t>Conventional hybrid, new sales</t>
        </is>
      </c>
      <c r="B35" s="153" t="inlineStr">
        <is>
          <t>vehicles/year</t>
        </is>
      </c>
      <c r="C35" s="153" t="inlineStr">
        <is>
          <t>Source observation</t>
        </is>
      </c>
      <c r="D35" s="166" t="n"/>
      <c r="E35" s="152" t="inlineStr">
        <is>
          <t>Total market, not passenger cars only.</t>
        </is>
      </c>
      <c r="F35" s="166" t="n"/>
      <c r="G35" s="166" t="n"/>
      <c r="H35" s="166" t="n"/>
      <c r="I35" s="166" t="n"/>
      <c r="J35" s="166" t="n"/>
      <c r="K35" s="166" t="n"/>
      <c r="L35" s="166" t="n"/>
      <c r="M35" s="166" t="n">
        <v>181</v>
      </c>
      <c r="N35" s="166" t="n">
        <v>155</v>
      </c>
      <c r="O35" s="166" t="n">
        <v>627</v>
      </c>
      <c r="P35" s="166" t="n">
        <v>4070</v>
      </c>
      <c r="Q35" s="166" t="n">
        <v>6485</v>
      </c>
      <c r="R35" s="166" t="n">
        <v>13616</v>
      </c>
      <c r="S35" s="166" t="n">
        <v>12818</v>
      </c>
      <c r="T35" s="152" t="inlineStr">
        <is>
          <t>2019-2025</t>
        </is>
      </c>
      <c r="U35" s="152" t="inlineStr">
        <is>
          <t>naamsa new-energy vehicle sales</t>
        </is>
      </c>
      <c r="V35" s="152" t="inlineStr"/>
    </row>
    <row r="36">
      <c r="A36" s="156" t="inlineStr">
        <is>
          <t>Conventional hybrid share of new sales</t>
        </is>
      </c>
      <c r="B36" s="157" t="inlineStr">
        <is>
          <t>%</t>
        </is>
      </c>
      <c r="C36" s="157" t="inlineStr">
        <is>
          <t>Reporting formula</t>
        </is>
      </c>
      <c r="D36" s="178" t="n"/>
      <c r="E36" s="156" t="inlineStr">
        <is>
          <t>Share of all new vehicles sold in the year.</t>
        </is>
      </c>
      <c r="F36" s="178">
        <f>IF(COUNT(F35,F17)&lt;2,"",F35/F17*100)</f>
        <v/>
      </c>
      <c r="G36" s="178">
        <f>IF(COUNT(G35,G17)&lt;2,"",G35/G17*100)</f>
        <v/>
      </c>
      <c r="H36" s="178">
        <f>IF(COUNT(H35,H17)&lt;2,"",H35/H17*100)</f>
        <v/>
      </c>
      <c r="I36" s="178">
        <f>IF(COUNT(I35,I17)&lt;2,"",I35/I17*100)</f>
        <v/>
      </c>
      <c r="J36" s="178">
        <f>IF(COUNT(J35,J17)&lt;2,"",J35/J17*100)</f>
        <v/>
      </c>
      <c r="K36" s="178">
        <f>IF(COUNT(K35,K17)&lt;2,"",K35/K17*100)</f>
        <v/>
      </c>
      <c r="L36" s="178">
        <f>IF(COUNT(L35,L17)&lt;2,"",L35/L17*100)</f>
        <v/>
      </c>
      <c r="M36" s="178">
        <f>IF(COUNT(M35,M17)&lt;2,"",M35/M17*100)</f>
        <v/>
      </c>
      <c r="N36" s="178">
        <f>IF(COUNT(N35,N17)&lt;2,"",N35/N17*100)</f>
        <v/>
      </c>
      <c r="O36" s="178">
        <f>IF(COUNT(O35,O17)&lt;2,"",O35/O17*100)</f>
        <v/>
      </c>
      <c r="P36" s="178">
        <f>IF(COUNT(P35,P17)&lt;2,"",P35/P17*100)</f>
        <v/>
      </c>
      <c r="Q36" s="178">
        <f>IF(COUNT(Q35,Q17)&lt;2,"",Q35/Q17*100)</f>
        <v/>
      </c>
      <c r="R36" s="178">
        <f>IF(COUNT(R35,R17)&lt;2,"",R35/R17*100)</f>
        <v/>
      </c>
      <c r="S36" s="178">
        <f>IF(COUNT(S35,S17)&lt;2,"",S35/S17*100)</f>
        <v/>
      </c>
      <c r="T36" s="156" t="inlineStr"/>
      <c r="U36" s="156" t="inlineStr">
        <is>
          <t>Calculated in this workbook from the rows named in the definition</t>
        </is>
      </c>
      <c r="V36" s="156" t="inlineStr">
        <is>
          <t>Share of the fleet is not observed after December 2023</t>
        </is>
      </c>
    </row>
    <row r="38">
      <c r="A38" s="151" t="inlineStr">
        <is>
          <t>5. Fuel split of the registered fleet</t>
        </is>
      </c>
      <c r="B38" s="151" t="n"/>
      <c r="C38" s="151" t="n"/>
      <c r="D38" s="151" t="n"/>
      <c r="E38" s="151" t="n"/>
      <c r="F38" s="151" t="n"/>
      <c r="G38" s="151" t="n"/>
      <c r="H38" s="151" t="n"/>
      <c r="I38" s="151" t="n"/>
      <c r="J38" s="151" t="n"/>
      <c r="K38" s="151" t="n"/>
      <c r="L38" s="151" t="n"/>
      <c r="M38" s="151" t="n"/>
      <c r="N38" s="151" t="n"/>
      <c r="O38" s="151" t="n"/>
      <c r="P38" s="151" t="n"/>
      <c r="Q38" s="151" t="n"/>
      <c r="R38" s="151" t="n"/>
      <c r="S38" s="151" t="n"/>
      <c r="T38" s="151" t="n"/>
      <c r="U38" s="151" t="n"/>
      <c r="V38" s="151" t="n"/>
    </row>
    <row r="39">
      <c r="A39" s="152" t="inlineStr">
        <is>
          <t>Petrol vehicles registered</t>
        </is>
      </c>
      <c r="B39" s="153" t="inlineStr">
        <is>
          <t>vehicles</t>
        </is>
      </c>
      <c r="C39" s="153" t="inlineStr">
        <is>
          <t>Source observation</t>
        </is>
      </c>
      <c r="D39" s="166" t="n"/>
      <c r="E39" s="152" t="inlineStr">
        <is>
          <t>All classes, December 2023.</t>
        </is>
      </c>
      <c r="F39" s="166" t="n"/>
      <c r="G39" s="166" t="n"/>
      <c r="H39" s="166" t="n"/>
      <c r="I39" s="166" t="n"/>
      <c r="J39" s="166" t="n"/>
      <c r="K39" s="166" t="n"/>
      <c r="L39" s="166" t="n"/>
      <c r="M39" s="166" t="n"/>
      <c r="N39" s="166" t="n"/>
      <c r="O39" s="166" t="n"/>
      <c r="P39" s="166" t="n"/>
      <c r="Q39" s="166" t="n">
        <v>8555772</v>
      </c>
      <c r="R39" s="166" t="n"/>
      <c r="S39" s="166" t="n"/>
      <c r="T39" s="152" t="inlineStr">
        <is>
          <t>One date only</t>
        </is>
      </c>
      <c r="U39" s="152" t="inlineStr">
        <is>
          <t>Department of Transport, 2023</t>
        </is>
      </c>
      <c r="V39" s="152" t="inlineStr"/>
    </row>
    <row r="40">
      <c r="A40" s="152" t="inlineStr">
        <is>
          <t>Diesel vehicles registered</t>
        </is>
      </c>
      <c r="B40" s="153" t="inlineStr">
        <is>
          <t>vehicles</t>
        </is>
      </c>
      <c r="C40" s="153" t="inlineStr">
        <is>
          <t>Source observation</t>
        </is>
      </c>
      <c r="D40" s="166" t="n"/>
      <c r="E40" s="152" t="inlineStr">
        <is>
          <t>All classes, December 2023.</t>
        </is>
      </c>
      <c r="F40" s="166" t="n"/>
      <c r="G40" s="166" t="n"/>
      <c r="H40" s="166" t="n"/>
      <c r="I40" s="166" t="n"/>
      <c r="J40" s="166" t="n"/>
      <c r="K40" s="166" t="n"/>
      <c r="L40" s="166" t="n"/>
      <c r="M40" s="166" t="n"/>
      <c r="N40" s="166" t="n"/>
      <c r="O40" s="166" t="n"/>
      <c r="P40" s="166" t="n"/>
      <c r="Q40" s="166" t="n">
        <v>3335546</v>
      </c>
      <c r="R40" s="166" t="n"/>
      <c r="S40" s="166" t="n"/>
      <c r="T40" s="152" t="inlineStr">
        <is>
          <t>One date only</t>
        </is>
      </c>
      <c r="U40" s="152" t="inlineStr">
        <is>
          <t>Department of Transport, 2023</t>
        </is>
      </c>
      <c r="V40" s="152" t="inlineStr"/>
    </row>
    <row r="41">
      <c r="A41" s="152" t="inlineStr">
        <is>
          <t>Electric vehicles registered</t>
        </is>
      </c>
      <c r="B41" s="153" t="inlineStr">
        <is>
          <t>vehicles</t>
        </is>
      </c>
      <c r="C41" s="153" t="inlineStr">
        <is>
          <t>Source observation</t>
        </is>
      </c>
      <c r="D41" s="166" t="n"/>
      <c r="E41" s="152" t="inlineStr">
        <is>
          <t>All classes, December 2023.</t>
        </is>
      </c>
      <c r="F41" s="166" t="n"/>
      <c r="G41" s="166" t="n"/>
      <c r="H41" s="166" t="n"/>
      <c r="I41" s="166" t="n"/>
      <c r="J41" s="166" t="n"/>
      <c r="K41" s="166" t="n"/>
      <c r="L41" s="166" t="n"/>
      <c r="M41" s="166" t="n"/>
      <c r="N41" s="166" t="n"/>
      <c r="O41" s="166" t="n"/>
      <c r="P41" s="166" t="n"/>
      <c r="Q41" s="166" t="n">
        <v>4090</v>
      </c>
      <c r="R41" s="166" t="n"/>
      <c r="S41" s="166" t="n"/>
      <c r="T41" s="152" t="inlineStr">
        <is>
          <t>One date only</t>
        </is>
      </c>
      <c r="U41" s="152" t="inlineStr">
        <is>
          <t>Department of Transport, 2023</t>
        </is>
      </c>
      <c r="V41" s="152" t="inlineStr"/>
    </row>
    <row r="42">
      <c r="A42" s="156" t="inlineStr">
        <is>
          <t>Diesel vehicles implied by the model's split</t>
        </is>
      </c>
      <c r="B42" s="157" t="inlineStr">
        <is>
          <t>vehicles</t>
        </is>
      </c>
      <c r="C42" s="157" t="inlineStr">
        <is>
          <t>Reporting formula</t>
        </is>
      </c>
      <c r="D42" s="167" t="n"/>
      <c r="E42" s="156" t="inlineStr">
        <is>
          <t>Cars x 17% plus light commercial x 70% plus trucks and buses. The model's split is for new sales; applied here to stock as a test.</t>
        </is>
      </c>
      <c r="F42" s="167">
        <f>IF(COUNT(F6,F7)&lt;2,"",F6*0.17+F7*0.7+F8+F9)</f>
        <v/>
      </c>
      <c r="G42" s="167">
        <f>IF(COUNT(G6,G7)&lt;2,"",G6*0.17+G7*0.7+G8+G9)</f>
        <v/>
      </c>
      <c r="H42" s="167">
        <f>IF(COUNT(H6,H7)&lt;2,"",H6*0.17+H7*0.7+H8+H9)</f>
        <v/>
      </c>
      <c r="I42" s="167">
        <f>IF(COUNT(I6,I7)&lt;2,"",I6*0.17+I7*0.7+I8+I9)</f>
        <v/>
      </c>
      <c r="J42" s="167">
        <f>IF(COUNT(J6,J7)&lt;2,"",J6*0.17+J7*0.7+J8+J9)</f>
        <v/>
      </c>
      <c r="K42" s="167">
        <f>IF(COUNT(K6,K7)&lt;2,"",K6*0.17+K7*0.7+K8+K9)</f>
        <v/>
      </c>
      <c r="L42" s="167">
        <f>IF(COUNT(L6,L7)&lt;2,"",L6*0.17+L7*0.7+L8+L9)</f>
        <v/>
      </c>
      <c r="M42" s="167">
        <f>IF(COUNT(M6,M7)&lt;2,"",M6*0.17+M7*0.7+M8+M9)</f>
        <v/>
      </c>
      <c r="N42" s="167">
        <f>IF(COUNT(N6,N7)&lt;2,"",N6*0.17+N7*0.7+N8+N9)</f>
        <v/>
      </c>
      <c r="O42" s="167">
        <f>IF(COUNT(O6,O7)&lt;2,"",O6*0.17+O7*0.7+O8+O9)</f>
        <v/>
      </c>
      <c r="P42" s="167">
        <f>IF(COUNT(P6,P7)&lt;2,"",P6*0.17+P7*0.7+P8+P9)</f>
        <v/>
      </c>
      <c r="Q42" s="167">
        <f>IF(COUNT(Q6,Q7)&lt;2,"",Q6*0.17+Q7*0.7+Q8+Q9)</f>
        <v/>
      </c>
      <c r="R42" s="167">
        <f>IF(COUNT(R6,R7)&lt;2,"",R6*0.17+R7*0.7+R8+R9)</f>
        <v/>
      </c>
      <c r="S42" s="167">
        <f>IF(COUNT(S6,S7)&lt;2,"",S6*0.17+S7*0.7+S8+S9)</f>
        <v/>
      </c>
      <c r="T42" s="156" t="inlineStr"/>
      <c r="U42" s="156" t="inlineStr">
        <is>
          <t>assumptions/2026/vehicles.yaml: petrol_diesel_split</t>
        </is>
      </c>
      <c r="V42" s="156" t="inlineStr"/>
    </row>
    <row r="43">
      <c r="A43" s="156" t="inlineStr">
        <is>
          <t>Implied less registered diesel vehicles</t>
        </is>
      </c>
      <c r="B43" s="157" t="inlineStr">
        <is>
          <t>vehicles</t>
        </is>
      </c>
      <c r="C43" s="157" t="inlineStr">
        <is>
          <t>Reporting formula</t>
        </is>
      </c>
      <c r="D43" s="167" t="n"/>
      <c r="E43" s="156" t="inlineStr">
        <is>
          <t>Positive means the model's split puts more diesel vehicles on the road than are registered. Minibuses and motorcycles are left out of the implied figure.</t>
        </is>
      </c>
      <c r="F43" s="167">
        <f>IF(COUNT(F42,F40)&lt;2,"",F42-F40)</f>
        <v/>
      </c>
      <c r="G43" s="167">
        <f>IF(COUNT(G42,G40)&lt;2,"",G42-G40)</f>
        <v/>
      </c>
      <c r="H43" s="167">
        <f>IF(COUNT(H42,H40)&lt;2,"",H42-H40)</f>
        <v/>
      </c>
      <c r="I43" s="167">
        <f>IF(COUNT(I42,I40)&lt;2,"",I42-I40)</f>
        <v/>
      </c>
      <c r="J43" s="167">
        <f>IF(COUNT(J42,J40)&lt;2,"",J42-J40)</f>
        <v/>
      </c>
      <c r="K43" s="167">
        <f>IF(COUNT(K42,K40)&lt;2,"",K42-K40)</f>
        <v/>
      </c>
      <c r="L43" s="167">
        <f>IF(COUNT(L42,L40)&lt;2,"",L42-L40)</f>
        <v/>
      </c>
      <c r="M43" s="167">
        <f>IF(COUNT(M42,M40)&lt;2,"",M42-M40)</f>
        <v/>
      </c>
      <c r="N43" s="167">
        <f>IF(COUNT(N42,N40)&lt;2,"",N42-N40)</f>
        <v/>
      </c>
      <c r="O43" s="167">
        <f>IF(COUNT(O42,O40)&lt;2,"",O42-O40)</f>
        <v/>
      </c>
      <c r="P43" s="167">
        <f>IF(COUNT(P42,P40)&lt;2,"",P42-P40)</f>
        <v/>
      </c>
      <c r="Q43" s="167">
        <f>IF(COUNT(Q42,Q40)&lt;2,"",Q42-Q40)</f>
        <v/>
      </c>
      <c r="R43" s="167">
        <f>IF(COUNT(R42,R40)&lt;2,"",R42-R40)</f>
        <v/>
      </c>
      <c r="S43" s="167">
        <f>IF(COUNT(S42,S40)&lt;2,"",S42-S40)</f>
        <v/>
      </c>
      <c r="T43" s="156" t="inlineStr"/>
      <c r="U43" s="156" t="inlineStr">
        <is>
          <t>Calculated in this workbook from the rows named in the definition</t>
        </is>
      </c>
      <c r="V43" s="156" t="inlineStr"/>
    </row>
    <row r="45">
      <c r="A45" s="151" t="inlineStr">
        <is>
          <t>6. Distance and fuel use: model settings beside the published study</t>
        </is>
      </c>
      <c r="B45" s="151" t="n"/>
      <c r="C45" s="151" t="n"/>
      <c r="D45" s="151" t="n"/>
      <c r="E45" s="151" t="n"/>
      <c r="F45" s="151" t="n"/>
      <c r="G45" s="151" t="n"/>
      <c r="H45" s="151" t="n"/>
      <c r="I45" s="151" t="n"/>
      <c r="J45" s="151" t="n"/>
      <c r="K45" s="151" t="n"/>
      <c r="L45" s="151" t="n"/>
      <c r="M45" s="151" t="n"/>
      <c r="N45" s="151" t="n"/>
      <c r="O45" s="151" t="n"/>
      <c r="P45" s="151" t="n"/>
      <c r="Q45" s="151" t="n"/>
      <c r="R45" s="151" t="n"/>
      <c r="S45" s="151" t="n"/>
      <c r="T45" s="151" t="n"/>
      <c r="U45" s="151" t="n"/>
      <c r="V45" s="151" t="n"/>
    </row>
    <row r="46">
      <c r="A46" s="159" t="inlineStr">
        <is>
          <t>Passenger cars, distance</t>
        </is>
      </c>
      <c r="B46" s="160" t="inlineStr">
        <is>
          <t>km/vehicle/year</t>
        </is>
      </c>
      <c r="C46" s="160" t="inlineStr">
        <is>
          <t>Model setting</t>
        </is>
      </c>
      <c r="D46" s="161" t="n">
        <v>17000</v>
      </c>
      <c r="E46" s="159" t="inlineStr">
        <is>
          <t>Column D is the model's value. The study gives 14,457.0 for CarGasoline (fleet average, 2014 base).</t>
        </is>
      </c>
      <c r="F46" s="161" t="n"/>
      <c r="G46" s="161" t="n"/>
      <c r="H46" s="161" t="n"/>
      <c r="I46" s="161" t="n"/>
      <c r="J46" s="161" t="n"/>
      <c r="K46" s="161" t="n"/>
      <c r="L46" s="161" t="n"/>
      <c r="M46" s="161" t="n"/>
      <c r="N46" s="161" t="n"/>
      <c r="O46" s="161" t="n"/>
      <c r="P46" s="161" t="n"/>
      <c r="Q46" s="161" t="n"/>
      <c r="R46" s="161" t="n"/>
      <c r="S46" s="161" t="n"/>
      <c r="T46" s="159" t="inlineStr">
        <is>
          <t>Model value is a placeholder with no source</t>
        </is>
      </c>
      <c r="U46" s="159" t="inlineStr">
        <is>
          <t>Stone et al. (2018); assumptions/2026/vehicles.yaml</t>
        </is>
      </c>
      <c r="V46" s="159" t="inlineStr">
        <is>
          <t>The heavy class in the study spans nine weight classes; HCV5 is shown as a mid-point</t>
        </is>
      </c>
    </row>
    <row r="47">
      <c r="A47" s="159" t="inlineStr">
        <is>
          <t>Light commercial, distance</t>
        </is>
      </c>
      <c r="B47" s="160" t="inlineStr">
        <is>
          <t>km/vehicle/year</t>
        </is>
      </c>
      <c r="C47" s="160" t="inlineStr">
        <is>
          <t>Model setting</t>
        </is>
      </c>
      <c r="D47" s="161" t="n">
        <v>28000</v>
      </c>
      <c r="E47" s="159" t="inlineStr">
        <is>
          <t>Column D is the model's value. The study gives 20,397.0 for LCVDiesel (fleet average, 2014 base).</t>
        </is>
      </c>
      <c r="F47" s="161" t="n"/>
      <c r="G47" s="161" t="n"/>
      <c r="H47" s="161" t="n"/>
      <c r="I47" s="161" t="n"/>
      <c r="J47" s="161" t="n"/>
      <c r="K47" s="161" t="n"/>
      <c r="L47" s="161" t="n"/>
      <c r="M47" s="161" t="n"/>
      <c r="N47" s="161" t="n"/>
      <c r="O47" s="161" t="n"/>
      <c r="P47" s="161" t="n"/>
      <c r="Q47" s="161" t="n"/>
      <c r="R47" s="161" t="n"/>
      <c r="S47" s="161" t="n"/>
      <c r="T47" s="159" t="inlineStr">
        <is>
          <t>Model value is a placeholder with no source</t>
        </is>
      </c>
      <c r="U47" s="159" t="inlineStr">
        <is>
          <t>Stone et al. (2018); assumptions/2026/vehicles.yaml</t>
        </is>
      </c>
      <c r="V47" s="159" t="inlineStr">
        <is>
          <t>The heavy class in the study spans nine weight classes; HCV5 is shown as a mid-point</t>
        </is>
      </c>
    </row>
    <row r="48">
      <c r="A48" s="159" t="inlineStr">
        <is>
          <t>Heavy commercial, distance</t>
        </is>
      </c>
      <c r="B48" s="160" t="inlineStr">
        <is>
          <t>km/vehicle/year</t>
        </is>
      </c>
      <c r="C48" s="160" t="inlineStr">
        <is>
          <t>Model setting</t>
        </is>
      </c>
      <c r="D48" s="161" t="n">
        <v>70000</v>
      </c>
      <c r="E48" s="159" t="inlineStr">
        <is>
          <t>Column D is the model's value. The study gives 62,461.0 for HCV5Diesel (fleet average, 2014 base).</t>
        </is>
      </c>
      <c r="F48" s="161" t="n"/>
      <c r="G48" s="161" t="n"/>
      <c r="H48" s="161" t="n"/>
      <c r="I48" s="161" t="n"/>
      <c r="J48" s="161" t="n"/>
      <c r="K48" s="161" t="n"/>
      <c r="L48" s="161" t="n"/>
      <c r="M48" s="161" t="n"/>
      <c r="N48" s="161" t="n"/>
      <c r="O48" s="161" t="n"/>
      <c r="P48" s="161" t="n"/>
      <c r="Q48" s="161" t="n"/>
      <c r="R48" s="161" t="n"/>
      <c r="S48" s="161" t="n"/>
      <c r="T48" s="159" t="inlineStr">
        <is>
          <t>Model value is a placeholder with no source</t>
        </is>
      </c>
      <c r="U48" s="159" t="inlineStr">
        <is>
          <t>Stone et al. (2018); assumptions/2026/vehicles.yaml</t>
        </is>
      </c>
      <c r="V48" s="159" t="inlineStr">
        <is>
          <t>The heavy class in the study spans nine weight classes; HCV5 is shown as a mid-point</t>
        </is>
      </c>
    </row>
    <row r="49">
      <c r="A49" s="159" t="inlineStr">
        <is>
          <t>Petrol cars, fuel use</t>
        </is>
      </c>
      <c r="B49" s="160" t="inlineStr">
        <is>
          <t>L/100 km</t>
        </is>
      </c>
      <c r="C49" s="160" t="inlineStr">
        <is>
          <t>Model setting</t>
        </is>
      </c>
      <c r="D49" s="161" t="n">
        <v>9.5</v>
      </c>
      <c r="E49" s="159" t="inlineStr">
        <is>
          <t>Column D is the model's value. The study gives 8.2 for CarGasoline (fleet average, 2014 base).</t>
        </is>
      </c>
      <c r="F49" s="161" t="n"/>
      <c r="G49" s="161" t="n"/>
      <c r="H49" s="161" t="n"/>
      <c r="I49" s="161" t="n"/>
      <c r="J49" s="161" t="n"/>
      <c r="K49" s="161" t="n"/>
      <c r="L49" s="161" t="n"/>
      <c r="M49" s="161" t="n"/>
      <c r="N49" s="161" t="n"/>
      <c r="O49" s="161" t="n"/>
      <c r="P49" s="161" t="n"/>
      <c r="Q49" s="161" t="n"/>
      <c r="R49" s="161" t="n"/>
      <c r="S49" s="161" t="n"/>
      <c r="T49" s="159" t="inlineStr">
        <is>
          <t>Model value is a placeholder with no source</t>
        </is>
      </c>
      <c r="U49" s="159" t="inlineStr">
        <is>
          <t>Stone et al. (2018); assumptions/2026/vehicles.yaml</t>
        </is>
      </c>
      <c r="V49" s="159" t="inlineStr">
        <is>
          <t>The heavy class in the study spans nine weight classes; HCV5 is shown as a mid-point</t>
        </is>
      </c>
    </row>
    <row r="50">
      <c r="A50" s="159" t="inlineStr">
        <is>
          <t>Diesel light commercial, fuel use</t>
        </is>
      </c>
      <c r="B50" s="160" t="inlineStr">
        <is>
          <t>L/100 km</t>
        </is>
      </c>
      <c r="C50" s="160" t="inlineStr">
        <is>
          <t>Model setting</t>
        </is>
      </c>
      <c r="D50" s="161" t="n">
        <v>9</v>
      </c>
      <c r="E50" s="159" t="inlineStr">
        <is>
          <t>Column D is the model's value. The study gives 12.4 for LCVDiesel (fleet average, 2014 base).</t>
        </is>
      </c>
      <c r="F50" s="161" t="n"/>
      <c r="G50" s="161" t="n"/>
      <c r="H50" s="161" t="n"/>
      <c r="I50" s="161" t="n"/>
      <c r="J50" s="161" t="n"/>
      <c r="K50" s="161" t="n"/>
      <c r="L50" s="161" t="n"/>
      <c r="M50" s="161" t="n"/>
      <c r="N50" s="161" t="n"/>
      <c r="O50" s="161" t="n"/>
      <c r="P50" s="161" t="n"/>
      <c r="Q50" s="161" t="n"/>
      <c r="R50" s="161" t="n"/>
      <c r="S50" s="161" t="n"/>
      <c r="T50" s="159" t="inlineStr">
        <is>
          <t>Model value is a placeholder with no source</t>
        </is>
      </c>
      <c r="U50" s="159" t="inlineStr">
        <is>
          <t>Stone et al. (2018); assumptions/2026/vehicles.yaml</t>
        </is>
      </c>
      <c r="V50" s="159" t="inlineStr">
        <is>
          <t>The heavy class in the study spans nine weight classes; HCV5 is shown as a mid-point</t>
        </is>
      </c>
    </row>
    <row r="51">
      <c r="A51" s="159" t="inlineStr">
        <is>
          <t>Heavy commercial, fuel use</t>
        </is>
      </c>
      <c r="B51" s="160" t="inlineStr">
        <is>
          <t>L/100 km</t>
        </is>
      </c>
      <c r="C51" s="160" t="inlineStr">
        <is>
          <t>Model setting</t>
        </is>
      </c>
      <c r="D51" s="161" t="n">
        <v>35</v>
      </c>
      <c r="E51" s="159" t="inlineStr">
        <is>
          <t>Column D is the model's value. The study gives 31.2 for HCV5Diesel (fleet average, 2014 base).</t>
        </is>
      </c>
      <c r="F51" s="161" t="n"/>
      <c r="G51" s="161" t="n"/>
      <c r="H51" s="161" t="n"/>
      <c r="I51" s="161" t="n"/>
      <c r="J51" s="161" t="n"/>
      <c r="K51" s="161" t="n"/>
      <c r="L51" s="161" t="n"/>
      <c r="M51" s="161" t="n"/>
      <c r="N51" s="161" t="n"/>
      <c r="O51" s="161" t="n"/>
      <c r="P51" s="161" t="n"/>
      <c r="Q51" s="161" t="n"/>
      <c r="R51" s="161" t="n"/>
      <c r="S51" s="161" t="n"/>
      <c r="T51" s="159" t="inlineStr">
        <is>
          <t>Model value is a placeholder with no source</t>
        </is>
      </c>
      <c r="U51" s="159" t="inlineStr">
        <is>
          <t>Stone et al. (2018); assumptions/2026/vehicles.yaml</t>
        </is>
      </c>
      <c r="V51" s="159" t="inlineStr">
        <is>
          <t>The heavy class in the study spans nine weight classes; HCV5 is shown as a mid-point</t>
        </is>
      </c>
    </row>
    <row r="52">
      <c r="A52" s="156" t="inlineStr">
        <is>
          <t>Petrol sold per registered petrol vehicle</t>
        </is>
      </c>
      <c r="B52" s="157" t="inlineStr">
        <is>
          <t>litres/vehicle/year</t>
        </is>
      </c>
      <c r="C52" s="157" t="inlineStr">
        <is>
          <t>Reporting formula</t>
        </is>
      </c>
      <c r="D52" s="167" t="n"/>
      <c r="E52" s="156" t="inlineStr">
        <is>
          <t>National petrol sales used (History) divided by registered petrol vehicles.</t>
        </is>
      </c>
      <c r="F52" s="167">
        <f>IF(COUNT(History!F61,F39)&lt;2,"",History!F61*1000000/F39)</f>
        <v/>
      </c>
      <c r="G52" s="167">
        <f>IF(COUNT(History!G61,G39)&lt;2,"",History!G61*1000000/G39)</f>
        <v/>
      </c>
      <c r="H52" s="167">
        <f>IF(COUNT(History!H61,H39)&lt;2,"",History!H61*1000000/H39)</f>
        <v/>
      </c>
      <c r="I52" s="167">
        <f>IF(COUNT(History!I61,I39)&lt;2,"",History!I61*1000000/I39)</f>
        <v/>
      </c>
      <c r="J52" s="167">
        <f>IF(COUNT(History!J61,J39)&lt;2,"",History!J61*1000000/J39)</f>
        <v/>
      </c>
      <c r="K52" s="167">
        <f>IF(COUNT(History!K61,K39)&lt;2,"",History!K61*1000000/K39)</f>
        <v/>
      </c>
      <c r="L52" s="167">
        <f>IF(COUNT(History!L61,L39)&lt;2,"",History!L61*1000000/L39)</f>
        <v/>
      </c>
      <c r="M52" s="167">
        <f>IF(COUNT(History!M61,M39)&lt;2,"",History!M61*1000000/M39)</f>
        <v/>
      </c>
      <c r="N52" s="167">
        <f>IF(COUNT(History!N61,N39)&lt;2,"",History!N61*1000000/N39)</f>
        <v/>
      </c>
      <c r="O52" s="167">
        <f>IF(COUNT(History!O61,O39)&lt;2,"",History!O61*1000000/O39)</f>
        <v/>
      </c>
      <c r="P52" s="167">
        <f>IF(COUNT(History!P61,P39)&lt;2,"",History!P61*1000000/P39)</f>
        <v/>
      </c>
      <c r="Q52" s="167">
        <f>IF(COUNT(History!Q61,Q39)&lt;2,"",History!Q61*1000000/Q39)</f>
        <v/>
      </c>
      <c r="R52" s="167">
        <f>IF(COUNT(History!R61,R39)&lt;2,"",History!R61*1000000/R39)</f>
        <v/>
      </c>
      <c r="S52" s="167">
        <f>IF(COUNT(History!S61,S39)&lt;2,"",History!S61*1000000/S39)</f>
        <v/>
      </c>
      <c r="T52" s="156" t="inlineStr"/>
      <c r="U52" s="156" t="inlineStr">
        <is>
          <t>Calculated in this workbook from the rows named in the definition</t>
        </is>
      </c>
      <c r="V52" s="156" t="inlineStr"/>
    </row>
    <row r="53">
      <c r="A53" s="156" t="inlineStr">
        <is>
          <t>Distance implied by petrol sales</t>
        </is>
      </c>
      <c r="B53" s="157" t="inlineStr">
        <is>
          <t>km/vehicle/year</t>
        </is>
      </c>
      <c r="C53" s="157" t="inlineStr">
        <is>
          <t>Reporting formula</t>
        </is>
      </c>
      <c r="D53" s="167" t="n">
        <v>17000</v>
      </c>
      <c r="E53" s="156" t="inlineStr">
        <is>
          <t>Litres per vehicle divided by 8.2 L/100 km (the study's petrol car average). Column D is the model's passenger distance.</t>
        </is>
      </c>
      <c r="F53" s="167">
        <f>IF(ISNUMBER(F52),F52/8.2*100,"")</f>
        <v/>
      </c>
      <c r="G53" s="167">
        <f>IF(ISNUMBER(G52),G52/8.2*100,"")</f>
        <v/>
      </c>
      <c r="H53" s="167">
        <f>IF(ISNUMBER(H52),H52/8.2*100,"")</f>
        <v/>
      </c>
      <c r="I53" s="167">
        <f>IF(ISNUMBER(I52),I52/8.2*100,"")</f>
        <v/>
      </c>
      <c r="J53" s="167">
        <f>IF(ISNUMBER(J52),J52/8.2*100,"")</f>
        <v/>
      </c>
      <c r="K53" s="167">
        <f>IF(ISNUMBER(K52),K52/8.2*100,"")</f>
        <v/>
      </c>
      <c r="L53" s="167">
        <f>IF(ISNUMBER(L52),L52/8.2*100,"")</f>
        <v/>
      </c>
      <c r="M53" s="167">
        <f>IF(ISNUMBER(M52),M52/8.2*100,"")</f>
        <v/>
      </c>
      <c r="N53" s="167">
        <f>IF(ISNUMBER(N52),N52/8.2*100,"")</f>
        <v/>
      </c>
      <c r="O53" s="167">
        <f>IF(ISNUMBER(O52),O52/8.2*100,"")</f>
        <v/>
      </c>
      <c r="P53" s="167">
        <f>IF(ISNUMBER(P52),P52/8.2*100,"")</f>
        <v/>
      </c>
      <c r="Q53" s="167">
        <f>IF(ISNUMBER(Q52),Q52/8.2*100,"")</f>
        <v/>
      </c>
      <c r="R53" s="167">
        <f>IF(ISNUMBER(R52),R52/8.2*100,"")</f>
        <v/>
      </c>
      <c r="S53" s="167">
        <f>IF(ISNUMBER(S52),S52/8.2*100,"")</f>
        <v/>
      </c>
      <c r="T53" s="156" t="inlineStr"/>
      <c r="U53" s="156" t="inlineStr">
        <is>
          <t>Calculated in this workbook from the rows named in the definition</t>
        </is>
      </c>
      <c r="V53" s="156" t="inlineStr">
        <is>
          <t>If the model's distance and fuel use both held, petrol sales would be far above what is recorded</t>
        </is>
      </c>
    </row>
    <row r="55">
      <c r="A55" s="151" t="inlineStr">
        <is>
          <t>7. Not available from any source held</t>
        </is>
      </c>
      <c r="B55" s="151" t="n"/>
      <c r="C55" s="151" t="n"/>
      <c r="D55" s="151" t="n"/>
      <c r="E55" s="151" t="n"/>
      <c r="F55" s="151" t="n"/>
      <c r="G55" s="151" t="n"/>
      <c r="H55" s="151" t="n"/>
      <c r="I55" s="151" t="n"/>
      <c r="J55" s="151" t="n"/>
      <c r="K55" s="151" t="n"/>
      <c r="L55" s="151" t="n"/>
      <c r="M55" s="151" t="n"/>
      <c r="N55" s="151" t="n"/>
      <c r="O55" s="151" t="n"/>
      <c r="P55" s="151" t="n"/>
      <c r="Q55" s="151" t="n"/>
      <c r="R55" s="151" t="n"/>
      <c r="S55" s="151" t="n"/>
      <c r="T55" s="151" t="n"/>
      <c r="U55" s="151" t="n"/>
      <c r="V55" s="151" t="n"/>
    </row>
    <row r="56">
      <c r="A56" s="162" t="inlineStr">
        <is>
          <t>Stock by age (year of first registration)</t>
        </is>
      </c>
      <c r="B56" s="163" t="inlineStr"/>
      <c r="C56" s="163" t="inlineStr">
        <is>
          <t>Missing input</t>
        </is>
      </c>
      <c r="D56" s="165" t="n"/>
      <c r="E56" s="162" t="inlineStr">
        <is>
          <t>Needed for the cohort calculation; NaTIS publishes totals by class only.</t>
        </is>
      </c>
      <c r="F56" s="165" t="n"/>
      <c r="G56" s="165" t="n"/>
      <c r="H56" s="165" t="n"/>
      <c r="I56" s="165" t="n"/>
      <c r="J56" s="165" t="n"/>
      <c r="K56" s="165" t="n"/>
      <c r="L56" s="165" t="n"/>
      <c r="M56" s="165" t="n"/>
      <c r="N56" s="165" t="n"/>
      <c r="O56" s="165" t="n"/>
      <c r="P56" s="165" t="n"/>
      <c r="Q56" s="165" t="n"/>
      <c r="R56" s="165" t="n"/>
      <c r="S56" s="165" t="n"/>
      <c r="T56" s="162" t="inlineStr">
        <is>
          <t>Gap</t>
        </is>
      </c>
      <c r="U56" s="162" t="inlineStr">
        <is>
          <t>Described in the definition</t>
        </is>
      </c>
      <c r="V56" s="162" t="inlineStr">
        <is>
          <t>Source to be found or assumption agreed</t>
        </is>
      </c>
    </row>
    <row r="57">
      <c r="A57" s="162" t="inlineStr">
        <is>
          <t>Stock by fuel within each class</t>
        </is>
      </c>
      <c r="B57" s="163" t="inlineStr"/>
      <c r="C57" s="163" t="inlineStr">
        <is>
          <t>Missing input</t>
        </is>
      </c>
      <c r="D57" s="165" t="n"/>
      <c r="E57" s="162" t="inlineStr">
        <is>
          <t>Only an all-class fuel count exists, for December 2023.</t>
        </is>
      </c>
      <c r="F57" s="165" t="n"/>
      <c r="G57" s="165" t="n"/>
      <c r="H57" s="165" t="n"/>
      <c r="I57" s="165" t="n"/>
      <c r="J57" s="165" t="n"/>
      <c r="K57" s="165" t="n"/>
      <c r="L57" s="165" t="n"/>
      <c r="M57" s="165" t="n"/>
      <c r="N57" s="165" t="n"/>
      <c r="O57" s="165" t="n"/>
      <c r="P57" s="165" t="n"/>
      <c r="Q57" s="165" t="n"/>
      <c r="R57" s="165" t="n"/>
      <c r="S57" s="165" t="n"/>
      <c r="T57" s="162" t="inlineStr">
        <is>
          <t>Gap</t>
        </is>
      </c>
      <c r="U57" s="162" t="inlineStr">
        <is>
          <t>Described in the definition</t>
        </is>
      </c>
      <c r="V57" s="162" t="inlineStr">
        <is>
          <t>Source to be found or assumption agreed</t>
        </is>
      </c>
    </row>
    <row r="58">
      <c r="A58" s="162" t="inlineStr">
        <is>
          <t>Electric and hybrid vehicles in the fleet by year</t>
        </is>
      </c>
      <c r="B58" s="163" t="inlineStr"/>
      <c r="C58" s="163" t="inlineStr">
        <is>
          <t>Missing input</t>
        </is>
      </c>
      <c r="D58" s="165" t="n"/>
      <c r="E58" s="162" t="inlineStr">
        <is>
          <t>Sales are known from 2019; stock only for December 2023.</t>
        </is>
      </c>
      <c r="F58" s="165" t="n"/>
      <c r="G58" s="165" t="n"/>
      <c r="H58" s="165" t="n"/>
      <c r="I58" s="165" t="n"/>
      <c r="J58" s="165" t="n"/>
      <c r="K58" s="165" t="n"/>
      <c r="L58" s="165" t="n"/>
      <c r="M58" s="165" t="n"/>
      <c r="N58" s="165" t="n"/>
      <c r="O58" s="165" t="n"/>
      <c r="P58" s="165" t="n"/>
      <c r="Q58" s="165" t="n"/>
      <c r="R58" s="165" t="n"/>
      <c r="S58" s="165" t="n"/>
      <c r="T58" s="162" t="inlineStr">
        <is>
          <t>Gap</t>
        </is>
      </c>
      <c r="U58" s="162" t="inlineStr">
        <is>
          <t>Described in the definition</t>
        </is>
      </c>
      <c r="V58" s="162" t="inlineStr">
        <is>
          <t>Source to be found or assumption agreed</t>
        </is>
      </c>
    </row>
    <row r="59">
      <c r="A59" s="162" t="inlineStr">
        <is>
          <t>Distance driven after 2014</t>
        </is>
      </c>
      <c r="B59" s="163" t="inlineStr"/>
      <c r="C59" s="163" t="inlineStr">
        <is>
          <t>Missing input</t>
        </is>
      </c>
      <c r="D59" s="165" t="n"/>
      <c r="E59" s="162" t="inlineStr">
        <is>
          <t>The study's figures are a 2014 base; no later survey is held.</t>
        </is>
      </c>
      <c r="F59" s="165" t="n"/>
      <c r="G59" s="165" t="n"/>
      <c r="H59" s="165" t="n"/>
      <c r="I59" s="165" t="n"/>
      <c r="J59" s="165" t="n"/>
      <c r="K59" s="165" t="n"/>
      <c r="L59" s="165" t="n"/>
      <c r="M59" s="165" t="n"/>
      <c r="N59" s="165" t="n"/>
      <c r="O59" s="165" t="n"/>
      <c r="P59" s="165" t="n"/>
      <c r="Q59" s="165" t="n"/>
      <c r="R59" s="165" t="n"/>
      <c r="S59" s="165" t="n"/>
      <c r="T59" s="162" t="inlineStr">
        <is>
          <t>Gap</t>
        </is>
      </c>
      <c r="U59" s="162" t="inlineStr">
        <is>
          <t>Described in the definition</t>
        </is>
      </c>
      <c r="V59" s="162" t="inlineStr">
        <is>
          <t>Source to be found or assumption agreed</t>
        </is>
      </c>
    </row>
    <row r="60">
      <c r="A60" s="162" t="inlineStr">
        <is>
          <t>Petrol and diesel split of new sales by segment</t>
        </is>
      </c>
      <c r="B60" s="163" t="inlineStr"/>
      <c r="C60" s="163" t="inlineStr">
        <is>
          <t>Missing input</t>
        </is>
      </c>
      <c r="D60" s="165" t="n"/>
      <c r="E60" s="162" t="inlineStr">
        <is>
          <t>naamsa reports drivetrain for the total market only.</t>
        </is>
      </c>
      <c r="F60" s="165" t="n"/>
      <c r="G60" s="165" t="n"/>
      <c r="H60" s="165" t="n"/>
      <c r="I60" s="165" t="n"/>
      <c r="J60" s="165" t="n"/>
      <c r="K60" s="165" t="n"/>
      <c r="L60" s="165" t="n"/>
      <c r="M60" s="165" t="n"/>
      <c r="N60" s="165" t="n"/>
      <c r="O60" s="165" t="n"/>
      <c r="P60" s="165" t="n"/>
      <c r="Q60" s="165" t="n"/>
      <c r="R60" s="165" t="n"/>
      <c r="S60" s="165" t="n"/>
      <c r="T60" s="162" t="inlineStr">
        <is>
          <t>Gap</t>
        </is>
      </c>
      <c r="U60" s="162" t="inlineStr">
        <is>
          <t>Described in the definition</t>
        </is>
      </c>
      <c r="V60" s="162" t="inlineStr">
        <is>
          <t>Source to be found or assumption agreed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2" customWidth="1" min="3" max="3"/>
    <col width="13" customWidth="1" min="4" max="4"/>
    <col width="44" customWidth="1" min="5" max="5"/>
    <col width="22" customWidth="1" min="6" max="6"/>
    <col width="22" customWidth="1" min="7" max="7"/>
    <col width="22" customWidth="1" min="8" max="8"/>
    <col width="22" customWidth="1" min="9" max="9"/>
    <col width="20" customWidth="1" min="10" max="10"/>
    <col width="110" customWidth="1" min="11" max="11"/>
  </cols>
  <sheetData>
    <row r="1">
      <c r="A1" s="149" t="inlineStr">
        <is>
          <t>Analyst response to the proposed low / medium / high inputs</t>
        </is>
      </c>
    </row>
    <row r="2">
      <c r="A2" s="1" t="inlineStr">
        <is>
          <t>The HML sheet is unchanged. Values are low / medium / high. Replacements and added levers are proposals for review; source: fuel_lever_response_2026-10-07.csv.</t>
        </is>
      </c>
    </row>
    <row r="4">
      <c r="A4" s="150" t="inlineStr">
        <is>
          <t>Fuel</t>
        </is>
      </c>
      <c r="B4" s="150" t="inlineStr">
        <is>
          <t>Lever</t>
        </is>
      </c>
      <c r="C4" s="150" t="inlineStr">
        <is>
          <t>Unit</t>
        </is>
      </c>
      <c r="D4" s="150" t="inlineStr">
        <is>
          <t>Baseline</t>
        </is>
      </c>
      <c r="E4" s="150" t="inlineStr">
        <is>
          <t>Baseline basis</t>
        </is>
      </c>
      <c r="F4" s="150" t="inlineStr">
        <is>
          <t>2030 proposed (Nigel)</t>
        </is>
      </c>
      <c r="G4" s="150" t="inlineStr">
        <is>
          <t>2030 analyst</t>
        </is>
      </c>
      <c r="H4" s="150" t="inlineStr">
        <is>
          <t>2035 proposed (Nigel)</t>
        </is>
      </c>
      <c r="I4" s="150" t="inlineStr">
        <is>
          <t>2035 analyst</t>
        </is>
      </c>
      <c r="J4" s="150" t="inlineStr">
        <is>
          <t>Result</t>
        </is>
      </c>
      <c r="K4" s="150" t="inlineStr">
        <is>
          <t>Evidence and rationale</t>
        </is>
      </c>
    </row>
    <row r="5">
      <c r="A5" s="201" t="inlineStr">
        <is>
          <t>diesel</t>
        </is>
      </c>
      <c r="B5" s="201" t="inlineStr">
        <is>
          <t>road_activity</t>
        </is>
      </c>
      <c r="C5" s="201" t="inlineStr">
        <is>
          <t>index_2024_100</t>
        </is>
      </c>
      <c r="D5" s="201" t="inlineStr">
        <is>
          <t>100</t>
        </is>
      </c>
      <c r="E5" s="201" t="inlineStr">
        <is>
          <t>road freight payload 980 Mt in 2024 (Stats SA P7162)</t>
        </is>
      </c>
      <c r="F5" s="201" t="inlineStr">
        <is>
          <t>95 / 115 / 135</t>
        </is>
      </c>
      <c r="G5" s="201" t="inlineStr">
        <is>
          <t>95 / 115 / 135</t>
        </is>
      </c>
      <c r="H5" s="201" t="inlineStr">
        <is>
          <t>95 / 135 / 175</t>
        </is>
      </c>
      <c r="I5" s="201" t="inlineStr">
        <is>
          <t>95 / 135 / 150</t>
        </is>
      </c>
      <c r="J5" s="201" t="inlineStr">
        <is>
          <t>replacement proposed</t>
        </is>
      </c>
      <c r="K5" s="201" t="inlineStr">
        <is>
          <t>2014-2024 growth 2.4% a year; fastest eleven years (2012-2023) 3.7%; 2025 is 99.5. The 2035 high of 175 needs 5.2% a year for eleven years, without precedent; 150 matches the fastest observed. In tonne-kilometres the only published road figure found is 221 bn for 2013 (Havenga et al. 2016, Logistics Barometer), an average haul of about 307 km against Stats SA's tonnes. No annual tonne-kilometre series exists, so the index stays on tonnes. Part of past growth was freight leaving rail, so this overlaps the rail lever.</t>
        </is>
      </c>
    </row>
    <row r="6">
      <c r="A6" s="201" t="inlineStr">
        <is>
          <t>diesel</t>
        </is>
      </c>
      <c r="B6" s="201" t="inlineStr">
        <is>
          <t>rail_diversion</t>
        </is>
      </c>
      <c r="C6" s="201" t="inlineStr">
        <is>
          <t>percent</t>
        </is>
      </c>
      <c r="D6" s="201" t="inlineStr">
        <is>
          <t>0</t>
        </is>
      </c>
      <c r="E6" s="201" t="inlineStr">
        <is>
          <t>rail 161 Mt and road 980 Mt in 2024 (Stats SA P7162)</t>
        </is>
      </c>
      <c r="F6" s="201" t="inlineStr">
        <is>
          <t>0 / 10 / 20</t>
        </is>
      </c>
      <c r="G6" s="201" t="inlineStr">
        <is>
          <t>0 / 3 / 9</t>
        </is>
      </c>
      <c r="H6" s="201" t="inlineStr">
        <is>
          <t>0 / 20 / 35</t>
        </is>
      </c>
      <c r="I6" s="201" t="inlineStr">
        <is>
          <t>0 / 7 / 13</t>
        </is>
      </c>
      <c r="J6" s="201" t="inlineStr">
        <is>
          <t>replacement proposed</t>
        </is>
      </c>
      <c r="K6" s="201" t="inlineStr">
        <is>
          <t>In tonnes, as a share of 2024 road tonnes: rail back to its 2020 level (190 Mt) is 3%; back to its 2017 peak (225 Mt) is 7%; the 250 Mt target for 2029/30 (Draft National Rail Master Plan, April 2026) is 9%; the market appetite of about 280 Mt reported with that plan is 12%. In tonne-kilometres: rail-friendly general freight was 47 bn in 2019 and rail carried 18 bn (Freight Logistics Roadmap, 2023, p.38); the 29 bn left on road is 13% of road tonne-kilometres (2013 base). Both routes put the ceiling at 12-13%, so the 2035 high is 13 and the proposed 20 and 35 exceed all rail-friendly freight. The 2030 medium of 10 is the full official target, not a middle case.</t>
        </is>
      </c>
    </row>
    <row r="7">
      <c r="A7" s="201" t="inlineStr">
        <is>
          <t>diesel</t>
        </is>
      </c>
      <c r="B7" s="201" t="inlineStr">
        <is>
          <t>ocgt_generation</t>
        </is>
      </c>
      <c r="C7" s="201" t="inlineStr">
        <is>
          <t>index_FY2024_100</t>
        </is>
      </c>
      <c r="D7" s="201" t="inlineStr">
        <is>
          <t>100</t>
        </is>
      </c>
      <c r="E7" s="201" t="inlineStr">
        <is>
          <t>Eskom and independent OCGT output 5,143 GWh, year to March 2024</t>
        </is>
      </c>
      <c r="F7" s="201" t="inlineStr">
        <is>
          <t>10 / 25 / 60</t>
        </is>
      </c>
      <c r="G7" s="201" t="inlineStr">
        <is>
          <t>10 / 25 / 60</t>
        </is>
      </c>
      <c r="H7" s="201" t="inlineStr">
        <is>
          <t>5 / 15 / 50</t>
        </is>
      </c>
      <c r="I7" s="201" t="inlineStr">
        <is>
          <t>5 / 15 / 50</t>
        </is>
      </c>
      <c r="J7" s="201" t="inlineStr">
        <is>
          <t>no change</t>
        </is>
      </c>
      <c r="K7" s="201" t="inlineStr">
        <is>
          <t>Year to March 2025 is 55 and year to March 2026 is 21 on this index, so the medium of 25 in 2030 holds today's level. Reported burn is 0.31 litres per kWh in three years. No change proposed.</t>
        </is>
      </c>
    </row>
    <row r="8">
      <c r="A8" s="201" t="inlineStr">
        <is>
          <t>diesel</t>
        </is>
      </c>
      <c r="B8" s="201" t="inlineStr">
        <is>
          <t>new_cohort_efficiency</t>
        </is>
      </c>
      <c r="C8" s="201" t="inlineStr">
        <is>
          <t>percent_per_year</t>
        </is>
      </c>
      <c r="D8" s="201" t="inlineStr">
        <is>
          <t>0.5 to 1.0</t>
        </is>
      </c>
      <c r="E8" s="201" t="inlineStr">
        <is>
          <t>registered diesel efficiency paths (low and high demand cases)</t>
        </is>
      </c>
      <c r="F8" s="201" t="inlineStr">
        <is>
          <t>0.5 / 0.75 / 1</t>
        </is>
      </c>
      <c r="G8" s="201" t="inlineStr">
        <is>
          <t>0.5 / 0.75 / 1</t>
        </is>
      </c>
      <c r="H8" s="201" t="inlineStr">
        <is>
          <t>0.5 / 0.75 / 1</t>
        </is>
      </c>
      <c r="I8" s="201" t="inlineStr">
        <is>
          <t>0.5 / 0.75 / 1</t>
        </is>
      </c>
      <c r="J8" s="201" t="inlineStr">
        <is>
          <t>no change</t>
        </is>
      </c>
      <c r="K8" s="201" t="inlineStr">
        <is>
          <t>Low and high equal the registered endpoints. Neither has a source. No change proposed.</t>
        </is>
      </c>
    </row>
    <row r="9">
      <c r="A9" s="201" t="inlineStr">
        <is>
          <t>diesel</t>
        </is>
      </c>
      <c r="B9" s="201" t="inlineStr">
        <is>
          <t>plant_utilisation</t>
        </is>
      </c>
      <c r="C9" s="201" t="inlineStr">
        <is>
          <t>percent</t>
        </is>
      </c>
      <c r="D9" s="201" t="inlineStr">
        <is>
          <t>67</t>
        </is>
      </c>
      <c r="E9" s="201" t="inlineStr">
        <is>
          <t>reported 2024 output over reported capacity, three plants; indicative</t>
        </is>
      </c>
      <c r="F9" s="201" t="inlineStr">
        <is>
          <t>60 / 75 / 90</t>
        </is>
      </c>
      <c r="G9" s="201" t="inlineStr">
        <is>
          <t>60 / 75 / 90</t>
        </is>
      </c>
      <c r="H9" s="201" t="inlineStr">
        <is>
          <t>60 / 75 / 90</t>
        </is>
      </c>
      <c r="I9" s="201" t="inlineStr">
        <is>
          <t>60 / 75 / 90</t>
        </is>
      </c>
      <c r="J9" s="201" t="inlineStr">
        <is>
          <t>no change</t>
        </is>
      </c>
      <c r="K9" s="201" t="inlineStr">
        <is>
          <t>Secunda 53%, Natref 71%, Astron 84%. Output is all refined products against crude-equivalent capacity; Sasol's year ends June; Astron converted at an assumed 36 MJ a litre. The model's Secunda capacity was 75 thousand barrels a day and is now FIASA's 150, with utilisation re-based so output is unchanged; the model then gives 62 thousand barrels a day for 2024 against 80 reported.</t>
        </is>
      </c>
    </row>
    <row r="10">
      <c r="A10" s="201" t="inlineStr">
        <is>
          <t>diesel</t>
        </is>
      </c>
      <c r="B10" s="201" t="inlineStr">
        <is>
          <t>product_yield</t>
        </is>
      </c>
      <c r="C10" s="201" t="inlineStr">
        <is>
          <t>percent</t>
        </is>
      </c>
      <c r="D10" s="201" t="inlineStr">
        <is>
          <t>29</t>
        </is>
      </c>
      <c r="E10" s="201" t="inlineStr">
        <is>
          <t>diesel share of refinery output in 2024 (JODI; lowest reliability)</t>
        </is>
      </c>
      <c r="F10" s="201" t="inlineStr">
        <is>
          <t>20 / 25 / 30</t>
        </is>
      </c>
      <c r="G10" s="201" t="inlineStr">
        <is>
          <t>25 / 30 / 40</t>
        </is>
      </c>
      <c r="H10" s="201" t="inlineStr">
        <is>
          <t>20 / 25 / 30</t>
        </is>
      </c>
      <c r="I10" s="201" t="inlineStr">
        <is>
          <t>25 / 30 / 40</t>
        </is>
      </c>
      <c r="J10" s="201" t="inlineStr">
        <is>
          <t>replacement proposed</t>
        </is>
      </c>
      <c r="K10" s="201" t="inlineStr">
        <is>
          <t>Share of all refinery output: 31% in 2023 and 29% in 2024 (JODI). Before the Durban refineries closed, diesel was 40 to 42% of the five fuels in the 2017-2021 energy balances, which overstates its share of all output. The registered legacy yield is 25%. Replacement: legacy as the low, the recent observed share as the medium, the pre-closure share as the high. No plant-level slate is published.</t>
        </is>
      </c>
    </row>
    <row r="11">
      <c r="A11" s="201" t="inlineStr">
        <is>
          <t>diesel</t>
        </is>
      </c>
      <c r="B11" s="201" t="inlineStr">
        <is>
          <t>restart_capacity</t>
        </is>
      </c>
      <c r="C11" s="201" t="inlineStr">
        <is>
          <t>thousand_bbl_per_day</t>
        </is>
      </c>
      <c r="D11" s="201" t="inlineStr">
        <is>
          <t>0</t>
        </is>
      </c>
      <c r="E11" s="201" t="inlineStr">
        <is>
          <t>no committed addition</t>
        </is>
      </c>
      <c r="F11" s="201" t="inlineStr">
        <is>
          <t>0 / 0 / 0</t>
        </is>
      </c>
      <c r="G11" s="201" t="inlineStr">
        <is>
          <t>0 / 0 / 0</t>
        </is>
      </c>
      <c r="H11" s="201" t="inlineStr">
        <is>
          <t>0 / 0 / 400</t>
        </is>
      </c>
      <c r="I11" s="201" t="inlineStr">
        <is>
          <t>0 / 0 / 400</t>
        </is>
      </c>
      <c r="J11" s="201" t="inlineStr">
        <is>
          <t>no change</t>
        </is>
      </c>
      <c r="K11" s="201" t="inlineStr">
        <is>
          <t>Existing conditional illustration; no investment decision, timing or product slate is sourced.</t>
        </is>
      </c>
    </row>
    <row r="12">
      <c r="A12" s="201" t="inlineStr">
        <is>
          <t>jet</t>
        </is>
      </c>
      <c r="B12" s="201" t="inlineStr">
        <is>
          <t>aircraft_movements</t>
        </is>
      </c>
      <c r="C12" s="201" t="inlineStr">
        <is>
          <t>index_2024_100</t>
        </is>
      </c>
      <c r="D12" s="201" t="inlineStr">
        <is>
          <t>100</t>
        </is>
      </c>
      <c r="E12" s="201" t="inlineStr">
        <is>
          <t>456,214 movements at ACSA airports in 2024</t>
        </is>
      </c>
      <c r="F12" s="201" t="inlineStr">
        <is>
          <t>100 / 120 / 140</t>
        </is>
      </c>
      <c r="G12" s="201" t="inlineStr">
        <is>
          <t>100 / 110 / 125</t>
        </is>
      </c>
      <c r="H12" s="201" t="inlineStr">
        <is>
          <t>100 / 145 / 190</t>
        </is>
      </c>
      <c r="I12" s="201" t="inlineStr">
        <is>
          <t>100 / 120 / 140</t>
        </is>
      </c>
      <c r="J12" s="201" t="inlineStr">
        <is>
          <t>replacement proposed</t>
        </is>
      </c>
      <c r="K12" s="201" t="inlineStr">
        <is>
          <t>2019 was 112 and the peak, 2016, was 125 on this index; 2025 is 101.3. Movements fell 0.1% a year over 2013-2019. The proposed highs (140 and 190) are above every year on record. Replacement: medium returns to the 2019 level by 2030, high to the 2016 peak; 2035 extends each.</t>
        </is>
      </c>
    </row>
    <row r="13">
      <c r="A13" s="201" t="inlineStr">
        <is>
          <t>jet</t>
        </is>
      </c>
      <c r="B13" s="201" t="inlineStr">
        <is>
          <t>fuel_burn_per_movement</t>
        </is>
      </c>
      <c r="C13" s="201" t="inlineStr">
        <is>
          <t>index_2024_100</t>
        </is>
      </c>
      <c r="D13" s="201" t="inlineStr">
        <is>
          <t>100</t>
        </is>
      </c>
      <c r="E13" s="201" t="inlineStr">
        <is>
          <t>4,090 litres of jet sold per movement in 2024</t>
        </is>
      </c>
      <c r="F13" s="201" t="inlineStr">
        <is>
          <t>80 / 90 / 100</t>
        </is>
      </c>
      <c r="G13" s="201" t="inlineStr">
        <is>
          <t>80 / 90 / 113</t>
        </is>
      </c>
      <c r="H13" s="201" t="inlineStr">
        <is>
          <t>65 / 80 / 100</t>
        </is>
      </c>
      <c r="I13" s="201" t="inlineStr">
        <is>
          <t>65 / 80 / 113</t>
        </is>
      </c>
      <c r="J13" s="201" t="inlineStr">
        <is>
          <t>replacement proposed</t>
        </is>
      </c>
      <c r="K13" s="201" t="inlineStr">
        <is>
          <t>The 2013-2019 average was 4,608 litres, 113 on this index. Jet sales have recovered less than movements since 2020, for reasons not yet established (aircraft mix, fuel loaded abroad, or sales coverage). The proposed range only falls; the high case should allow a return to the earlier intensity.</t>
        </is>
      </c>
    </row>
    <row r="14">
      <c r="A14" s="201" t="inlineStr">
        <is>
          <t>jet</t>
        </is>
      </c>
      <c r="B14" s="201" t="inlineStr">
        <is>
          <t>saf_volume_share</t>
        </is>
      </c>
      <c r="C14" s="201" t="inlineStr">
        <is>
          <t>percent</t>
        </is>
      </c>
      <c r="D14" s="201" t="inlineStr">
        <is>
          <t>0</t>
        </is>
      </c>
      <c r="E14" s="201" t="inlineStr">
        <is>
          <t>no sustainable aviation fuel supply recorded in the sources held; unsourced</t>
        </is>
      </c>
      <c r="F14" s="201" t="inlineStr">
        <is>
          <t>0 / 2 / 5</t>
        </is>
      </c>
      <c r="G14" s="201" t="inlineStr">
        <is>
          <t>0 / 2 / 5</t>
        </is>
      </c>
      <c r="H14" s="201" t="inlineStr">
        <is>
          <t>0 / 5 / 10</t>
        </is>
      </c>
      <c r="I14" s="201" t="inlineStr">
        <is>
          <t>0 / 5 / 10</t>
        </is>
      </c>
      <c r="J14" s="201" t="inlineStr">
        <is>
          <t>no change</t>
        </is>
      </c>
      <c r="K14" s="201" t="inlineStr">
        <is>
          <t>No South African blend requirement is sourced. No change proposed.</t>
        </is>
      </c>
    </row>
    <row r="15">
      <c r="A15" s="201" t="inlineStr">
        <is>
          <t>jet</t>
        </is>
      </c>
      <c r="B15" s="201" t="inlineStr">
        <is>
          <t>plant_utilisation</t>
        </is>
      </c>
      <c r="C15" s="201" t="inlineStr">
        <is>
          <t>percent</t>
        </is>
      </c>
      <c r="D15" s="201" t="inlineStr">
        <is>
          <t>67</t>
        </is>
      </c>
      <c r="E15" s="201" t="inlineStr">
        <is>
          <t>reported 2024 output over reported capacity, three plants; indicative</t>
        </is>
      </c>
      <c r="F15" s="201" t="inlineStr">
        <is>
          <t>60 / 75 / 90</t>
        </is>
      </c>
      <c r="G15" s="201" t="inlineStr">
        <is>
          <t>60 / 75 / 90</t>
        </is>
      </c>
      <c r="H15" s="201" t="inlineStr">
        <is>
          <t>60 / 75 / 90</t>
        </is>
      </c>
      <c r="I15" s="201" t="inlineStr">
        <is>
          <t>60 / 75 / 90</t>
        </is>
      </c>
      <c r="J15" s="201" t="inlineStr">
        <is>
          <t>no change</t>
        </is>
      </c>
      <c r="K15" s="201" t="inlineStr">
        <is>
          <t>Secunda 53%, Natref 71%, Astron 84%. Output is all refined products against crude-equivalent capacity; Sasol's year ends June; Astron converted at an assumed 36 MJ a litre. The model's Secunda capacity was 75 thousand barrels a day and is now FIASA's 150, with utilisation re-based so output is unchanged; the model then gives 62 thousand barrels a day for 2024 against 80 reported.</t>
        </is>
      </c>
    </row>
    <row r="16">
      <c r="A16" s="201" t="inlineStr">
        <is>
          <t>jet</t>
        </is>
      </c>
      <c r="B16" s="201" t="inlineStr">
        <is>
          <t>product_yield</t>
        </is>
      </c>
      <c r="C16" s="201" t="inlineStr">
        <is>
          <t>percent</t>
        </is>
      </c>
      <c r="D16" s="201" t="inlineStr">
        <is>
          <t>10</t>
        </is>
      </c>
      <c r="E16" s="201" t="inlineStr">
        <is>
          <t>registered legacy yield for capable plants</t>
        </is>
      </c>
      <c r="F16" s="201" t="inlineStr">
        <is>
          <t>5 / 10 / 15</t>
        </is>
      </c>
      <c r="G16" s="201" t="inlineStr">
        <is>
          <t>5 / 10 / 15</t>
        </is>
      </c>
      <c r="H16" s="201" t="inlineStr">
        <is>
          <t>5 / 10 / 15</t>
        </is>
      </c>
      <c r="I16" s="201" t="inlineStr">
        <is>
          <t>5 / 10 / 15</t>
        </is>
      </c>
      <c r="J16" s="201" t="inlineStr">
        <is>
          <t>no change</t>
        </is>
      </c>
      <c r="K16" s="201" t="inlineStr">
        <is>
          <t>Jet was 5 to 8% of the five fuels produced in the 2017-2021 energy balances, consistent with the range. No change proposed.</t>
        </is>
      </c>
    </row>
    <row r="17">
      <c r="A17" s="201" t="inlineStr">
        <is>
          <t>jet</t>
        </is>
      </c>
      <c r="B17" s="201" t="inlineStr">
        <is>
          <t>restart_capacity</t>
        </is>
      </c>
      <c r="C17" s="201" t="inlineStr">
        <is>
          <t>thousand_bbl_per_day</t>
        </is>
      </c>
      <c r="D17" s="201" t="inlineStr">
        <is>
          <t>0</t>
        </is>
      </c>
      <c r="E17" s="201" t="inlineStr">
        <is>
          <t>no committed addition</t>
        </is>
      </c>
      <c r="F17" s="201" t="inlineStr">
        <is>
          <t>0 / 0 / 0</t>
        </is>
      </c>
      <c r="G17" s="201" t="inlineStr">
        <is>
          <t>0 / 0 / 0</t>
        </is>
      </c>
      <c r="H17" s="201" t="inlineStr">
        <is>
          <t>0 / 0 / 400</t>
        </is>
      </c>
      <c r="I17" s="201" t="inlineStr">
        <is>
          <t>0 / 0 / 400</t>
        </is>
      </c>
      <c r="J17" s="201" t="inlineStr">
        <is>
          <t>no change</t>
        </is>
      </c>
      <c r="K17" s="201" t="inlineStr">
        <is>
          <t>Existing conditional illustration; no investment decision, timing or product slate is sourced.</t>
        </is>
      </c>
    </row>
    <row r="18">
      <c r="A18" s="201" t="inlineStr">
        <is>
          <t>petrol</t>
        </is>
      </c>
      <c r="B18" s="201" t="inlineStr">
        <is>
          <t>passenger_mileage</t>
        </is>
      </c>
      <c r="C18" s="201" t="inlineStr">
        <is>
          <t>km_per_vehicle_year</t>
        </is>
      </c>
      <c r="D18" s="201" t="inlineStr">
        <is>
          <t>17000</t>
        </is>
      </c>
      <c r="E18" s="201" t="inlineStr">
        <is>
          <t>registered placeholder; not an observation</t>
        </is>
      </c>
      <c r="F18" s="201" t="inlineStr">
        <is>
          <t>13600 / 17000 / 20400</t>
        </is>
      </c>
      <c r="G18" s="201" t="inlineStr">
        <is>
          <t>12900 / 14500 / 17000</t>
        </is>
      </c>
      <c r="H18" s="201" t="inlineStr">
        <is>
          <t>13600 / 17000 / 20400</t>
        </is>
      </c>
      <c r="I18" s="201" t="inlineStr">
        <is>
          <t>12900 / 14500 / 17000</t>
        </is>
      </c>
      <c r="J18" s="201" t="inlineStr">
        <is>
          <t>replacement proposed</t>
        </is>
      </c>
      <c r="K18" s="201" t="inlineStr">
        <is>
          <t>Stone et al. (2018) give 14,457 km a year for the petrol car fleet. 2023 petrol sales over 8.56 million registered petrol vehicles is 1,056 litres each, about 12,881 km at 8.2 litres per 100 km. The placeholder sits above both, so it is better treated as the high case.</t>
        </is>
      </c>
    </row>
    <row r="19">
      <c r="A19" s="201" t="inlineStr">
        <is>
          <t>petrol</t>
        </is>
      </c>
      <c r="B19" s="201" t="inlineStr">
        <is>
          <t>gdp_growth</t>
        </is>
      </c>
      <c r="C19" s="201" t="inlineStr">
        <is>
          <t>percent_per_year</t>
        </is>
      </c>
      <c r="D19" s="201" t="inlineStr">
        <is>
          <t>0.5</t>
        </is>
      </c>
      <c r="E19" s="201" t="inlineStr">
        <is>
          <t>real GDP growth in 2024 (Stats SA P0441)</t>
        </is>
      </c>
      <c r="F19" s="201" t="inlineStr">
        <is>
          <t>1 / 2 / 3</t>
        </is>
      </c>
      <c r="G19" s="201" t="inlineStr">
        <is>
          <t>0.7 / 1.6 / 2</t>
        </is>
      </c>
      <c r="H19" s="201" t="inlineStr">
        <is>
          <t>1 / 2 / 3</t>
        </is>
      </c>
      <c r="I19" s="201" t="inlineStr">
        <is>
          <t>0.7 / 1.6 / 2</t>
        </is>
      </c>
      <c r="J19" s="201" t="inlineStr">
        <is>
          <t>replacement proposed</t>
        </is>
      </c>
      <c r="K19" s="201" t="inlineStr">
        <is>
          <t>Average growth was 0.7% a year over 2014-2024 and 1.6% over 2010-2019. National Treasury forecasts 1.6% for 2026 rising to 2.0% in 2028. The model's registered cases are 1.0% and 1.6%. A medium of 2% equals the top of the official forecast; 3% has no recent precedent.</t>
        </is>
      </c>
    </row>
    <row r="20">
      <c r="A20" s="201" t="inlineStr">
        <is>
          <t>petrol</t>
        </is>
      </c>
      <c r="B20" s="201" t="inlineStr">
        <is>
          <t>bev_new_sales_share</t>
        </is>
      </c>
      <c r="C20" s="201" t="inlineStr">
        <is>
          <t>percent</t>
        </is>
      </c>
      <c r="D20" s="201" t="inlineStr">
        <is>
          <t>0.2</t>
        </is>
      </c>
      <c r="E20" s="201" t="inlineStr">
        <is>
          <t>1,088 battery electric vehicles sold in 2025, share of all new vehicles (naamsa)</t>
        </is>
      </c>
      <c r="F20" s="201" t="inlineStr">
        <is>
          <t>5 / 15 / 30</t>
        </is>
      </c>
      <c r="G20" s="201" t="inlineStr">
        <is>
          <t>0.5 / 4 / 20</t>
        </is>
      </c>
      <c r="H20" s="201" t="inlineStr">
        <is>
          <t>15 / 35 / 60</t>
        </is>
      </c>
      <c r="I20" s="201" t="inlineStr">
        <is>
          <t>2 / 15 / 40</t>
        </is>
      </c>
      <c r="J20" s="201" t="inlineStr">
        <is>
          <t>replacement proposed</t>
        </is>
      </c>
      <c r="K20" s="201" t="inlineStr">
        <is>
          <t>Battery electric sales fell from 1,257 in 2024 to 1,088 in 2025. No South African forecast was found; each case is tied to a market's observed 2025 share of new car sales (IEA, Global EV Outlook 2026). Low: South Africa stays under 1%, as in 2022-2025. Medium: India's share (nearly 4%) by 2030 and Indonesia's (15%) by 2035. High: Turkiye's path, from just over 1% in 2022 to over 20% in 2025, by 2030, and Vietnam's share (nearly 40%) by 2035. The IEA shares include plug-in hybrids, so they overstate battery electric alone. The proposed 2035 high of 60 is above every market cited.</t>
        </is>
      </c>
    </row>
    <row r="21">
      <c r="A21" s="201" t="inlineStr">
        <is>
          <t>petrol</t>
        </is>
      </c>
      <c r="B21" s="201" t="inlineStr">
        <is>
          <t>new_cohort_efficiency</t>
        </is>
      </c>
      <c r="C21" s="201" t="inlineStr">
        <is>
          <t>percent_per_year</t>
        </is>
      </c>
      <c r="D21" s="201" t="inlineStr">
        <is>
          <t>1.0 to 1.5</t>
        </is>
      </c>
      <c r="E21" s="201" t="inlineStr">
        <is>
          <t>registered petrol efficiency paths (low and high demand cases)</t>
        </is>
      </c>
      <c r="F21" s="201" t="inlineStr">
        <is>
          <t>1 / 1.25 / 1.5</t>
        </is>
      </c>
      <c r="G21" s="201" t="inlineStr">
        <is>
          <t>1 / 1.25 / 1.5</t>
        </is>
      </c>
      <c r="H21" s="201" t="inlineStr">
        <is>
          <t>1 / 1.25 / 1.5</t>
        </is>
      </c>
      <c r="I21" s="201" t="inlineStr">
        <is>
          <t>1 / 1.25 / 1.5</t>
        </is>
      </c>
      <c r="J21" s="201" t="inlineStr">
        <is>
          <t>no change</t>
        </is>
      </c>
      <c r="K21" s="201" t="inlineStr">
        <is>
          <t>Low and high equal the registered endpoints. Neither has a source. No change proposed.</t>
        </is>
      </c>
    </row>
    <row r="22">
      <c r="A22" s="201" t="inlineStr">
        <is>
          <t>petrol</t>
        </is>
      </c>
      <c r="B22" s="201" t="inlineStr">
        <is>
          <t>plant_utilisation</t>
        </is>
      </c>
      <c r="C22" s="201" t="inlineStr">
        <is>
          <t>percent</t>
        </is>
      </c>
      <c r="D22" s="201" t="inlineStr">
        <is>
          <t>67</t>
        </is>
      </c>
      <c r="E22" s="201" t="inlineStr">
        <is>
          <t>reported 2024 output over reported capacity, three plants; indicative</t>
        </is>
      </c>
      <c r="F22" s="201" t="inlineStr">
        <is>
          <t>60 / 75 / 90</t>
        </is>
      </c>
      <c r="G22" s="201" t="inlineStr">
        <is>
          <t>60 / 75 / 90</t>
        </is>
      </c>
      <c r="H22" s="201" t="inlineStr">
        <is>
          <t>60 / 75 / 90</t>
        </is>
      </c>
      <c r="I22" s="201" t="inlineStr">
        <is>
          <t>60 / 75 / 90</t>
        </is>
      </c>
      <c r="J22" s="201" t="inlineStr">
        <is>
          <t>no change</t>
        </is>
      </c>
      <c r="K22" s="201" t="inlineStr">
        <is>
          <t>Secunda 53%, Natref 71%, Astron 84%. Output is all refined products against crude-equivalent capacity; Sasol's year ends June; Astron converted at an assumed 36 MJ a litre. The model's Secunda capacity was 75 thousand barrels a day and is now FIASA's 150, with utilisation re-based so output is unchanged; the model then gives 62 thousand barrels a day for 2024 against 80 reported.</t>
        </is>
      </c>
    </row>
    <row r="23">
      <c r="A23" s="201" t="inlineStr">
        <is>
          <t>petrol</t>
        </is>
      </c>
      <c r="B23" s="201" t="inlineStr">
        <is>
          <t>product_yield</t>
        </is>
      </c>
      <c r="C23" s="201" t="inlineStr">
        <is>
          <t>percent</t>
        </is>
      </c>
      <c r="D23" s="201" t="inlineStr">
        <is>
          <t>54</t>
        </is>
      </c>
      <c r="E23" s="201" t="inlineStr">
        <is>
          <t>petrol share of refinery output in 2024 (JODI; lowest reliability)</t>
        </is>
      </c>
      <c r="F23" s="201" t="inlineStr">
        <is>
          <t>35 / 45 / 55</t>
        </is>
      </c>
      <c r="G23" s="201" t="inlineStr">
        <is>
          <t>45 / 50 / 55</t>
        </is>
      </c>
      <c r="H23" s="201" t="inlineStr">
        <is>
          <t>35 / 45 / 55</t>
        </is>
      </c>
      <c r="I23" s="201" t="inlineStr">
        <is>
          <t>45 / 50 / 55</t>
        </is>
      </c>
      <c r="J23" s="201" t="inlineStr">
        <is>
          <t>replacement proposed</t>
        </is>
      </c>
      <c r="K23" s="201" t="inlineStr">
        <is>
          <t>Share of all refinery output: 51% in 2023 and 54% in 2024 (JODI). Petrol was 47 to 50% of the five fuels in the 2017-2021 energy balances. The registered legacy yield is 45%. Replacement: legacy as the low, 50 as the medium, the recent observed share as the high. Petrol and diesel yields must be chosen together; their highs cannot both hold.</t>
        </is>
      </c>
    </row>
    <row r="24">
      <c r="A24" s="201" t="inlineStr">
        <is>
          <t>petrol</t>
        </is>
      </c>
      <c r="B24" s="201" t="inlineStr">
        <is>
          <t>restart_capacity</t>
        </is>
      </c>
      <c r="C24" s="201" t="inlineStr">
        <is>
          <t>thousand_bbl_per_day</t>
        </is>
      </c>
      <c r="D24" s="201" t="inlineStr">
        <is>
          <t>0</t>
        </is>
      </c>
      <c r="E24" s="201" t="inlineStr">
        <is>
          <t>no committed addition</t>
        </is>
      </c>
      <c r="F24" s="201" t="inlineStr">
        <is>
          <t>0 / 0 / 0</t>
        </is>
      </c>
      <c r="G24" s="201" t="inlineStr">
        <is>
          <t>0 / 0 / 0</t>
        </is>
      </c>
      <c r="H24" s="201" t="inlineStr">
        <is>
          <t>0 / 0 / 400</t>
        </is>
      </c>
      <c r="I24" s="201" t="inlineStr">
        <is>
          <t>0 / 0 / 400</t>
        </is>
      </c>
      <c r="J24" s="201" t="inlineStr">
        <is>
          <t>no change</t>
        </is>
      </c>
      <c r="K24" s="201" t="inlineStr">
        <is>
          <t>Existing conditional illustration; no investment decision, timing or product slate is sourced.</t>
        </is>
      </c>
    </row>
    <row r="25">
      <c r="A25" s="201" t="inlineStr">
        <is>
          <t>diesel</t>
        </is>
      </c>
      <c r="B25" s="201" t="inlineStr">
        <is>
          <t>real_fuel_price</t>
        </is>
      </c>
      <c r="C25" s="201" t="inlineStr">
        <is>
          <t>index_2024_100</t>
        </is>
      </c>
      <c r="D25" s="201" t="inlineStr">
        <is>
          <t>100</t>
        </is>
      </c>
      <c r="E25" s="201" t="inlineStr">
        <is>
          <t>regulated inland price deflated by headline CPI, 2024 average</t>
        </is>
      </c>
      <c r="F25" s="201" t="inlineStr">
        <is>
          <t>- / - / -</t>
        </is>
      </c>
      <c r="G25" s="201" t="inlineStr">
        <is>
          <t>80 / 100 / 140</t>
        </is>
      </c>
      <c r="H25" s="201" t="inlineStr">
        <is>
          <t>- / - / -</t>
        </is>
      </c>
      <c r="I25" s="201" t="inlineStr">
        <is>
          <t>80 / 100 / 140</t>
        </is>
      </c>
      <c r="J25" s="201" t="inlineStr">
        <is>
          <t>added lever</t>
        </is>
      </c>
      <c r="K25" s="201" t="inlineStr">
        <is>
          <t>Annual range 2011-2025 is 76 to 120; October 2026 is 143. Low is the bottom of that range, medium a return to 2024, high October 2026 held. Boshoff (2012) puts the long-run response at -0.13, so the high case lowers demand by about 5%. One study; the model has no price response today.</t>
        </is>
      </c>
    </row>
    <row r="26">
      <c r="A26" s="201" t="inlineStr">
        <is>
          <t>diesel</t>
        </is>
      </c>
      <c r="B26" s="201" t="inlineStr">
        <is>
          <t>private_backup_generation</t>
        </is>
      </c>
      <c r="C26" s="201" t="inlineStr">
        <is>
          <t>bn_litres_per_year</t>
        </is>
      </c>
      <c r="D26" s="201" t="inlineStr">
        <is>
          <t>not measured</t>
        </is>
      </c>
      <c r="E26" s="201" t="inlineStr">
        <is>
          <t>no measured volume exists</t>
        </is>
      </c>
      <c r="F26" s="201" t="inlineStr">
        <is>
          <t>- / - / -</t>
        </is>
      </c>
      <c r="G26" s="201" t="inlineStr">
        <is>
          <t>0 / 0 / 0.5</t>
        </is>
      </c>
      <c r="H26" s="201" t="inlineStr">
        <is>
          <t>- / - / -</t>
        </is>
      </c>
      <c r="I26" s="201" t="inlineStr">
        <is>
          <t>0 / 0 / 0.5</t>
        </is>
      </c>
      <c r="J26" s="201" t="inlineStr">
        <is>
          <t>added lever</t>
        </is>
      </c>
      <c r="K26" s="201" t="inlineStr">
        <is>
          <t>Recorded diesel sales fell by 1.2 bn litres between 2023 and 2024 as load-shedding ended; grid turbines account for about 0.7 of that at 0.31 litres per kWh, leaving about 0.5 that may be private generators. Indicative only: other causes are not excluded. High is load-shedding returning at 2023 intensity. Move together with diesel power generation.</t>
        </is>
      </c>
    </row>
    <row r="27">
      <c r="A27" s="201" t="inlineStr">
        <is>
          <t>diesel</t>
        </is>
      </c>
      <c r="B27" s="201" t="inlineStr">
        <is>
          <t>electric_share_of_new_truck_sales</t>
        </is>
      </c>
      <c r="C27" s="201" t="inlineStr">
        <is>
          <t>percent</t>
        </is>
      </c>
      <c r="D27" s="201" t="inlineStr">
        <is>
          <t>not reported</t>
        </is>
      </c>
      <c r="E27" s="201" t="inlineStr">
        <is>
          <t>naamsa reports electrified sales for the whole market only; assumed close to zero</t>
        </is>
      </c>
      <c r="F27" s="201" t="inlineStr">
        <is>
          <t>- / - / -</t>
        </is>
      </c>
      <c r="G27" s="201" t="inlineStr">
        <is>
          <t>0 / 0.4 / 3</t>
        </is>
      </c>
      <c r="H27" s="201" t="inlineStr">
        <is>
          <t>- / - / -</t>
        </is>
      </c>
      <c r="I27" s="201" t="inlineStr">
        <is>
          <t>0 / 3 / 9</t>
        </is>
      </c>
      <c r="J27" s="201" t="inlineStr">
        <is>
          <t>added lever</t>
        </is>
      </c>
      <c r="K27" s="201" t="inlineStr">
        <is>
          <t>No South African figure exists for electric trucks sold or on the road. Benchmarks, share of new truck sales in 2025: Brazil 0.4% (ICCT); India about 800 trucks, well under 1%; Europe 3%; world 9%; China 25%, which is over 90% of all electric trucks sold (IEA, Global EV Outlook 2026). Brazil and India are the closest comparators: long hauls, little purchase support. Low stays at zero; medium reaches Brazil's 2025 share by 2030 and Europe's by 2035; high reaches Europe's by 2030 and the world average by 2035. China is not used. The effect on diesel is small within the horizon: about 6% of trucks are replaced a year, so the high case puts roughly 2.5% of the fleet on electricity by 2035.</t>
        </is>
      </c>
    </row>
    <row r="28">
      <c r="A28" s="201" t="inlineStr">
        <is>
          <t>diesel</t>
        </is>
      </c>
      <c r="B28" s="201" t="inlineStr">
        <is>
          <t>electric_share_of_new_light_commercial_sales</t>
        </is>
      </c>
      <c r="C28" s="201" t="inlineStr">
        <is>
          <t>percent</t>
        </is>
      </c>
      <c r="D28" s="201" t="inlineStr">
        <is>
          <t>not reported</t>
        </is>
      </c>
      <c r="E28" s="201" t="inlineStr">
        <is>
          <t>naamsa reports electrified sales for the whole market only; assumed close to zero</t>
        </is>
      </c>
      <c r="F28" s="201" t="inlineStr">
        <is>
          <t>- / - / -</t>
        </is>
      </c>
      <c r="G28" s="201" t="inlineStr">
        <is>
          <t>0 / 1 / 5</t>
        </is>
      </c>
      <c r="H28" s="201" t="inlineStr">
        <is>
          <t>- / - / -</t>
        </is>
      </c>
      <c r="I28" s="201" t="inlineStr">
        <is>
          <t>0 / 5 / 10</t>
        </is>
      </c>
      <c r="J28" s="201" t="inlineStr">
        <is>
          <t>added lever</t>
        </is>
      </c>
      <c r="K28" s="201" t="inlineStr">
        <is>
          <t>No South African figure by segment. Benchmarks, share of new light commercial sales in 2025: India 1%, Europe 10%, China 14% (IEA, Global EV Outlook 2026). Low stays at zero; medium reaches India's 2025 share by 2030 and half of Europe's by 2035; high reaches half of Europe's by 2030 and Europe's by 2035. Light commercial vehicles are mostly bakkies here, which differ from the vans that dominate electric sales elsewhere, so these are loose comparators.</t>
        </is>
      </c>
    </row>
    <row r="29">
      <c r="A29" s="201" t="inlineStr">
        <is>
          <t>petrol</t>
        </is>
      </c>
      <c r="B29" s="201" t="inlineStr">
        <is>
          <t>real_fuel_price</t>
        </is>
      </c>
      <c r="C29" s="201" t="inlineStr">
        <is>
          <t>index_2024_100</t>
        </is>
      </c>
      <c r="D29" s="201" t="inlineStr">
        <is>
          <t>100</t>
        </is>
      </c>
      <c r="E29" s="201" t="inlineStr">
        <is>
          <t>regulated inland price deflated by headline CPI, 2024 average</t>
        </is>
      </c>
      <c r="F29" s="201" t="inlineStr">
        <is>
          <t>- / - / -</t>
        </is>
      </c>
      <c r="G29" s="201" t="inlineStr">
        <is>
          <t>80 / 100 / 120</t>
        </is>
      </c>
      <c r="H29" s="201" t="inlineStr">
        <is>
          <t>- / - / -</t>
        </is>
      </c>
      <c r="I29" s="201" t="inlineStr">
        <is>
          <t>80 / 100 / 120</t>
        </is>
      </c>
      <c r="J29" s="201" t="inlineStr">
        <is>
          <t>added lever</t>
        </is>
      </c>
      <c r="K29" s="201" t="inlineStr">
        <is>
          <t>Annual range 2011-2025 is 79 to 109; October 2026 is 121. Low is the bottom of that range, medium a return to 2024, high October 2026 held. Boshoff (2012) puts the long-run response at -0.5, so the high case lowers demand by about 10%. One study; the model has no price response today.</t>
        </is>
      </c>
    </row>
    <row r="30">
      <c r="A30" s="201" t="inlineStr">
        <is>
          <t>petrol</t>
        </is>
      </c>
      <c r="B30" s="201" t="inlineStr">
        <is>
          <t>plug_in_hybrid_new_sales_share</t>
        </is>
      </c>
      <c r="C30" s="201" t="inlineStr">
        <is>
          <t>percent</t>
        </is>
      </c>
      <c r="D30" s="201" t="inlineStr">
        <is>
          <t>0.5</t>
        </is>
      </c>
      <c r="E30" s="201" t="inlineStr">
        <is>
          <t>share of all new vehicles in 2025 (naamsa)</t>
        </is>
      </c>
      <c r="F30" s="201" t="inlineStr">
        <is>
          <t>- / - / -</t>
        </is>
      </c>
      <c r="G30" s="201" t="inlineStr">
        <is>
          <t>0.5 / 1.2 / 2.1</t>
        </is>
      </c>
      <c r="H30" s="201" t="inlineStr">
        <is>
          <t>- / - / -</t>
        </is>
      </c>
      <c r="I30" s="201" t="inlineStr">
        <is>
          <t>0.5 / 2 / 3.7</t>
        </is>
      </c>
      <c r="J30" s="201" t="inlineStr">
        <is>
          <t>added lever</t>
        </is>
      </c>
      <c r="K30" s="201" t="inlineStr">
        <is>
          <t>Share rose from 0.02% in 2022 to 0.47% in 2025. Low holds 2025; medium adds the 2022-2025 average of 0.15 points a year; high adds the 2025 increase of 0.33 points a year. An extrapolation of South Africa's own sales, not a forecast. Enters through fuel use per kilometre; the share of distance on the battery is unsourced.</t>
        </is>
      </c>
    </row>
    <row r="31">
      <c r="A31" s="201" t="inlineStr">
        <is>
          <t>petrol</t>
        </is>
      </c>
      <c r="B31" s="201" t="inlineStr">
        <is>
          <t>conventional_hybrid_new_sales_share</t>
        </is>
      </c>
      <c r="C31" s="201" t="inlineStr">
        <is>
          <t>percent</t>
        </is>
      </c>
      <c r="D31" s="201" t="inlineStr">
        <is>
          <t>2.1</t>
        </is>
      </c>
      <c r="E31" s="201" t="inlineStr">
        <is>
          <t>share of all new vehicles in 2025 (naamsa)</t>
        </is>
      </c>
      <c r="F31" s="201" t="inlineStr">
        <is>
          <t>- / - / -</t>
        </is>
      </c>
      <c r="G31" s="201" t="inlineStr">
        <is>
          <t>2.1 / 4.4 / 6.7</t>
        </is>
      </c>
      <c r="H31" s="201" t="inlineStr">
        <is>
          <t>- / - / -</t>
        </is>
      </c>
      <c r="I31" s="201" t="inlineStr">
        <is>
          <t>2.1 / 6.7 / 11.3</t>
        </is>
      </c>
      <c r="J31" s="201" t="inlineStr">
        <is>
          <t>added lever</t>
        </is>
      </c>
      <c r="K31" s="201" t="inlineStr">
        <is>
          <t>Share rose from 0.77% in 2022 to 2.64% in 2024 and was 2.15% in 2025. Low holds 2025; medium adds the 2022-2025 average of 0.46 points a year; high adds twice that. An extrapolation of South Africa's own sales, not a forecast. Enters through fuel use per kilometre; the saving per vehicle is unsourced.</t>
        </is>
      </c>
    </row>
    <row r="32">
      <c r="A32" s="201" t="inlineStr">
        <is>
          <t>petrol</t>
        </is>
      </c>
      <c r="B32" s="201" t="inlineStr">
        <is>
          <t>rail_passenger_journeys</t>
        </is>
      </c>
      <c r="C32" s="201" t="inlineStr">
        <is>
          <t>million_per_year</t>
        </is>
      </c>
      <c r="D32" s="201" t="inlineStr">
        <is>
          <t>74</t>
        </is>
      </c>
      <c r="E32" s="201" t="inlineStr">
        <is>
          <t>rail passenger journeys in 2024 (Stats SA P7162)</t>
        </is>
      </c>
      <c r="F32" s="201" t="inlineStr">
        <is>
          <t>- / - / -</t>
        </is>
      </c>
      <c r="G32" s="201" t="inlineStr">
        <is>
          <t>100 / 180 / 320</t>
        </is>
      </c>
      <c r="H32" s="201" t="inlineStr">
        <is>
          <t>- / - / -</t>
        </is>
      </c>
      <c r="I32" s="201" t="inlineStr">
        <is>
          <t>100 / 250 / 320</t>
        </is>
      </c>
      <c r="J32" s="201" t="inlineStr">
        <is>
          <t>added lever</t>
        </is>
      </c>
      <c r="K32" s="201" t="inlineStr">
        <is>
          <t>Journeys were 317 million in 2017 and 175 in 2019, fell to 19 in 2022 and recovered to 103 in 2025. Low holds 2025; medium returns to 2019 by 2030 and to 2018 by 2035; high returns to 2017 by 2030 and holds. More rail journeys lower petrol use, but no survey covers the minibus taxi and car trips displaced, so the effect in litres cannot yet be stated.</t>
        </is>
      </c>
    </row>
    <row r="33">
      <c r="A33" s="201" t="inlineStr">
        <is>
          <t>throughput</t>
        </is>
      </c>
      <c r="B33" s="201" t="inlineStr">
        <is>
          <t>exports_to_neighbours</t>
        </is>
      </c>
      <c r="C33" s="201" t="inlineStr">
        <is>
          <t>bn_litres_per_year</t>
        </is>
      </c>
      <c r="D33" s="201" t="inlineStr">
        <is>
          <t>1.48</t>
        </is>
      </c>
      <c r="E33" s="201" t="inlineStr">
        <is>
          <t>petrol and diesel exported to nine neighbouring countries in 2024 (SARS customs)</t>
        </is>
      </c>
      <c r="F33" s="201" t="inlineStr">
        <is>
          <t>- / - / -</t>
        </is>
      </c>
      <c r="G33" s="201" t="inlineStr">
        <is>
          <t>0.7 / 1.4 / 1.7</t>
        </is>
      </c>
      <c r="H33" s="201" t="inlineStr">
        <is>
          <t>- / - / -</t>
        </is>
      </c>
      <c r="I33" s="201" t="inlineStr">
        <is>
          <t>0.7 / 1.4 / 1.7</t>
        </is>
      </c>
      <c r="J33" s="201" t="inlineStr">
        <is>
          <t>added lever</t>
        </is>
      </c>
      <c r="K33" s="201" t="inlineStr">
        <is>
          <t>2.66 bn litres in 2019, 1.73 in 2023 and 1.37 in 2025. Botswana took 1.05 in 2023 and 0.68 in 2025 and has said it is moving to Walvis Bay and Maputo. Low is 2025 with Botswana gone; medium holds 2025; high returns to 2023. This is throughput for South African terminals, not South African demand, and must not be added to it.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2" customWidth="1" min="3" max="3"/>
    <col width="70" customWidth="1" min="4" max="4"/>
    <col width="60" customWidth="1" min="5" max="5"/>
    <col width="28" customWidth="1" min="6" max="6"/>
  </cols>
  <sheetData>
    <row r="1">
      <c r="A1" s="149" t="inlineStr">
        <is>
          <t>Status against the 13 data gaps on the Data gaps sheet, 8 October 2026</t>
        </is>
      </c>
    </row>
    <row r="2">
      <c r="A2" s="1" t="inlineStr">
        <is>
          <t>The Data gaps sheet is unchanged. Statuses are the analyst's reading; closure is for the owner named there.</t>
        </is>
      </c>
    </row>
    <row r="4">
      <c r="A4" s="150" t="inlineStr">
        <is>
          <t>ID</t>
        </is>
      </c>
      <c r="B4" s="150" t="inlineStr">
        <is>
          <t>Demand component</t>
        </is>
      </c>
      <c r="C4" s="150" t="inlineStr">
        <is>
          <t>Status</t>
        </is>
      </c>
      <c r="D4" s="150" t="inlineStr">
        <is>
          <t>What has been added</t>
        </is>
      </c>
      <c r="E4" s="150" t="inlineStr">
        <is>
          <t>What is still missing</t>
        </is>
      </c>
      <c r="F4" s="150" t="inlineStr">
        <is>
          <t>Where to look</t>
        </is>
      </c>
    </row>
    <row r="5">
      <c r="A5" s="201" t="inlineStr">
        <is>
          <t>G01</t>
        </is>
      </c>
      <c r="B5" s="201" t="inlineStr">
        <is>
          <t>National fuel balance</t>
        </is>
      </c>
      <c r="C5" s="201" t="inlineStr">
        <is>
          <t>Narrowed</t>
        </is>
      </c>
      <c r="D5" s="201" t="inlineStr">
        <is>
          <t>Balance rebuilt on customs trade for 2014-2025; Road Accident Fund levy found as an independent count.</t>
        </is>
      </c>
      <c r="E5" s="201" t="inlineStr">
        <is>
          <t>No sales after 2023; no production after 2021 (the last energy balance); no stock series.</t>
        </is>
      </c>
      <c r="F5" s="201" t="inlineStr">
        <is>
          <t>History, sections 2-5</t>
        </is>
      </c>
    </row>
    <row r="6">
      <c r="A6" s="201" t="inlineStr">
        <is>
          <t>G02</t>
        </is>
      </c>
      <c r="B6" s="201" t="inlineStr">
        <is>
          <t>Fleet and new sales</t>
        </is>
      </c>
      <c r="C6" s="201" t="inlineStr">
        <is>
          <t>Narrowed</t>
        </is>
      </c>
      <c r="D6" s="201" t="inlineStr">
        <is>
          <t>Registered vehicles by class 2021-2025, new sales 2017-2025 and apparent retirements lined up against the model.</t>
        </is>
      </c>
      <c r="E6" s="201" t="inlineStr">
        <is>
          <t>Stock by age and by fuel within each class is in no source held.</t>
        </is>
      </c>
      <c r="F6" s="201" t="inlineStr">
        <is>
          <t>Vehicle history</t>
        </is>
      </c>
    </row>
    <row r="7">
      <c r="A7" s="201" t="inlineStr">
        <is>
          <t>G03</t>
        </is>
      </c>
      <c r="B7" s="201" t="inlineStr">
        <is>
          <t>Passenger electrification</t>
        </is>
      </c>
      <c r="C7" s="201" t="inlineStr">
        <is>
          <t>Narrowed</t>
        </is>
      </c>
      <c r="D7" s="201" t="inlineStr">
        <is>
          <t>Battery electric, plug-in and conventional hybrid sales and shares, 2019-2025.</t>
        </is>
      </c>
      <c r="E7" s="201" t="inlineStr">
        <is>
          <t>Passenger-only denominators; electric vehicles in the fleet after 2023; fuel saved by hybrids.</t>
        </is>
      </c>
      <c r="F7" s="201" t="inlineStr">
        <is>
          <t>Vehicle history, section 4</t>
        </is>
      </c>
    </row>
    <row r="8">
      <c r="A8" s="201" t="inlineStr">
        <is>
          <t>G04</t>
        </is>
      </c>
      <c r="B8" s="201" t="inlineStr">
        <is>
          <t>Road freight activity</t>
        </is>
      </c>
      <c r="C8" s="201" t="inlineStr">
        <is>
          <t>Narrowed</t>
        </is>
      </c>
      <c r="D8" s="201" t="inlineStr">
        <is>
          <t>Heavy vehicle diesel is estimated for every year and set against road freight tonnes, giving litres per tonne. Stats SA fuel purchases by road freight firms give a floor of about 2.9 bn litres (2019) and 3.2 bn (2023).</t>
        </is>
      </c>
      <c r="E8" s="201" t="inlineStr">
        <is>
          <t>An annual tonne-kilometre series (only 2013 is published); distance, payload and empty running; light commercial freight scope.</t>
        </is>
      </c>
      <c r="F8" s="201" t="inlineStr">
        <is>
          <t>Diesel by use, sections 3, 3b and 4</t>
        </is>
      </c>
    </row>
    <row r="9">
      <c r="A9" s="201" t="inlineStr">
        <is>
          <t>G05</t>
        </is>
      </c>
      <c r="B9" s="201" t="inlineStr">
        <is>
          <t>Freight electrification</t>
        </is>
      </c>
      <c r="C9" s="201" t="inlineStr">
        <is>
          <t>Proposed</t>
        </is>
      </c>
      <c r="D9" s="201" t="inlineStr">
        <is>
          <t>No South African data on electric trucks exists, so the gap cannot be closed with observation. Benchmarks for 2025: Brazil 0.4% of new truck sales, India well under 1%, Europe 3%, world 9%, China 25%. Low / medium / high proposed from Brazil and Europe; even the high case electrifies about 2.5% of trucks by 2035.</t>
        </is>
      </c>
      <c r="E9" s="201" t="inlineStr">
        <is>
          <t>South African sales of electric trucks by size; duty cycles that could switch first; charging at depots.</t>
        </is>
      </c>
      <c r="F9" s="201" t="inlineStr">
        <is>
          <t>HML response</t>
        </is>
      </c>
    </row>
    <row r="10">
      <c r="A10" s="201" t="inlineStr">
        <is>
          <t>G06</t>
        </is>
      </c>
      <c r="B10" s="201" t="inlineStr">
        <is>
          <t>Manufacturing</t>
        </is>
      </c>
      <c r="C10" s="201" t="inlineStr">
        <is>
          <t>Narrowed</t>
        </is>
      </c>
      <c r="D10" s="201" t="inlineStr">
        <is>
          <t>Manufacturing and other industry diesel by difference, 2016-2021 (0.16-0.23 bn litres), with litres per index point.</t>
        </is>
      </c>
      <c r="E10" s="201" t="inlineStr">
        <is>
          <t>Sub-sector detail; the balance has no manufacturing lines before 2016.</t>
        </is>
      </c>
      <c r="F10" s="201" t="inlineStr">
        <is>
          <t>Sector history</t>
        </is>
      </c>
    </row>
    <row r="11">
      <c r="A11" s="201" t="inlineStr">
        <is>
          <t>G07</t>
        </is>
      </c>
      <c r="B11" s="201" t="inlineStr">
        <is>
          <t>Mining and construction</t>
        </is>
      </c>
      <c r="C11" s="201" t="inlineStr">
        <is>
          <t>Narrowed</t>
        </is>
      </c>
      <c r="D11" s="201" t="inlineStr">
        <is>
          <t>Mining diesel 2012-2021 with litres per index point (11-17 million); indicative 2022-2025.</t>
        </is>
      </c>
      <c r="E11" s="201" t="inlineStr">
        <is>
          <t>Observed fuel after 2021; site and commodity split; on-road boundary.</t>
        </is>
      </c>
      <c r="F11" s="201" t="inlineStr">
        <is>
          <t>Sector history</t>
        </is>
      </c>
    </row>
    <row r="12">
      <c r="A12" s="201" t="inlineStr">
        <is>
          <t>G08</t>
        </is>
      </c>
      <c r="B12" s="201" t="inlineStr">
        <is>
          <t>Agriculture</t>
        </is>
      </c>
      <c r="C12" s="201" t="inlineStr">
        <is>
          <t>Narrowed</t>
        </is>
      </c>
      <c r="D12" s="201" t="inlineStr">
        <is>
          <t>Agriculture diesel 2012-2021 with litres per rand of value added; indicative 2022-2025. Rebated diesel across all rebate sectors is 1.46 bn litres (year to March 2025).</t>
        </is>
      </c>
      <c r="E12" s="201" t="inlineStr">
        <is>
          <t>A fuel baseline after 2021; crop and irrigation activity.</t>
        </is>
      </c>
      <c r="F12" s="201" t="inlineStr">
        <is>
          <t>Sector history</t>
        </is>
      </c>
    </row>
    <row r="13">
      <c r="A13" s="201" t="inlineStr">
        <is>
          <t>G09</t>
        </is>
      </c>
      <c r="B13" s="201" t="inlineStr">
        <is>
          <t>Generation</t>
        </is>
      </c>
      <c r="C13" s="201" t="inlineStr">
        <is>
          <t>Narrowed</t>
        </is>
      </c>
      <c r="D13" s="201" t="inlineStr">
        <is>
          <t>Generation to the year ending March 2026; 0.31 litres per kWh in three reported years. The model's 2024 figure (3.58 bn litres) is at least 2 bn above reported burn.</t>
        </is>
      </c>
      <c r="E13" s="201" t="inlineStr">
        <is>
          <t>Matched fuel burn by calendar year; private backup generation has no measured volume.</t>
        </is>
      </c>
      <c r="F13" s="201" t="inlineStr">
        <is>
          <t>Diesel by use, section 1</t>
        </is>
      </c>
    </row>
    <row r="14">
      <c r="A14" s="201" t="inlineStr">
        <is>
          <t>G10</t>
        </is>
      </c>
      <c r="B14" s="201" t="inlineStr">
        <is>
          <t>Aviation</t>
        </is>
      </c>
      <c r="C14" s="201" t="inlineStr">
        <is>
          <t>Narrowed</t>
        </is>
      </c>
      <c r="D14" s="201" t="inlineStr">
        <is>
          <t>Jet sales, trade, production and aircraft movements lined up; jet sold per movement computed.</t>
        </is>
      </c>
      <c r="E14" s="201" t="inlineStr">
        <is>
          <t>Cargo, aircraft and route mix; airports outside ACSA; jet by airport.</t>
        </is>
      </c>
      <c r="F14" s="201" t="inlineStr">
        <is>
          <t>History, section 7</t>
        </is>
      </c>
    </row>
    <row r="15">
      <c r="A15" s="201" t="inlineStr">
        <is>
          <t>G11</t>
        </is>
      </c>
      <c r="B15" s="201" t="inlineStr">
        <is>
          <t>Provincial demand</t>
        </is>
      </c>
      <c r="C15" s="201" t="inlineStr">
        <is>
          <t>Narrowed</t>
        </is>
      </c>
      <c r="D15" s="201" t="inlineStr">
        <is>
          <t>2013-2022 observed; 2023 estimated with the best of six methods back-tested; 2024 blank (no national total).</t>
        </is>
      </c>
      <c r="E15" s="201" t="inlineStr">
        <is>
          <t>District data after 2023 quarter 1, which the department has not published; 2025 national total.</t>
        </is>
      </c>
      <c r="F15" s="201" t="inlineStr">
        <is>
          <t>History, sections 1 and 6</t>
        </is>
      </c>
    </row>
    <row r="16">
      <c r="A16" s="201" t="inlineStr">
        <is>
          <t>G12</t>
        </is>
      </c>
      <c r="B16" s="201" t="inlineStr">
        <is>
          <t>Marine and other coverage</t>
        </is>
      </c>
      <c r="C16" s="201" t="inlineStr">
        <is>
          <t>Open</t>
        </is>
      </c>
      <c r="D16" s="201" t="inlineStr">
        <is>
          <t>Nothing new. The model's marine placeholder equals the 2007 balance figure.</t>
        </is>
      </c>
      <c r="E16" s="201" t="inlineStr">
        <is>
          <t>Everything listed.</t>
        </is>
      </c>
      <c r="F16" s="201" t="inlineStr"/>
    </row>
    <row r="17">
      <c r="A17" s="201" t="inlineStr">
        <is>
          <t>G13</t>
        </is>
      </c>
      <c r="B17" s="201" t="inlineStr">
        <is>
          <t>Ranges and annual forecast paths</t>
        </is>
      </c>
      <c r="C17" s="201" t="inlineStr">
        <is>
          <t>Proposed</t>
        </is>
      </c>
      <c r="D17" s="201" t="inlineStr">
        <is>
          <t>Baseline, rationale and source for all 20 levers; 39 of 120 values with a proposed replacement; nine levers added.</t>
        </is>
      </c>
      <c r="E17" s="201" t="inlineStr">
        <is>
          <t>Agreement on the reference case and annual paths.</t>
        </is>
      </c>
      <c r="F17" s="201" t="inlineStr">
        <is>
          <t>HML response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12" customWidth="1" min="1" max="1"/>
    <col width="40" customWidth="1" min="2" max="2"/>
    <col width="8" customWidth="1" min="3" max="3"/>
    <col width="18" customWidth="1" min="4" max="4"/>
    <col width="22" customWidth="1" min="5" max="5"/>
    <col width="14" customWidth="1" min="6" max="6"/>
    <col width="48" customWidth="1" min="7" max="7"/>
  </cols>
  <sheetData>
    <row r="1">
      <c r="A1" s="149" t="inlineStr">
        <is>
          <t>Checks on the workshop workbook, 7 October 2026</t>
        </is>
      </c>
    </row>
    <row r="2">
      <c r="A2" t="inlineStr">
        <is>
          <t>Each Evidence row that can be traced to a registered input is recomputed from that input. Differences above 0.05% are listed as 'differs'.</t>
        </is>
      </c>
    </row>
    <row r="4">
      <c r="A4" s="185" t="inlineStr">
        <is>
          <t>Evidence row</t>
        </is>
      </c>
      <c r="B4" s="185" t="inlineStr">
        <is>
          <t>Series</t>
        </is>
      </c>
      <c r="C4" s="185" t="inlineStr">
        <is>
          <t>Year</t>
        </is>
      </c>
      <c r="D4" s="185" t="inlineStr">
        <is>
          <t>Workbook value</t>
        </is>
      </c>
      <c r="E4" s="185" t="inlineStr">
        <is>
          <t>Recomputed from inputs</t>
        </is>
      </c>
      <c r="F4" s="185" t="inlineStr">
        <is>
          <t>Result</t>
        </is>
      </c>
      <c r="G4" s="185" t="inlineStr">
        <is>
          <t>Input file</t>
        </is>
      </c>
    </row>
    <row r="5">
      <c r="A5" s="1" t="inlineStr">
        <is>
          <t>F5</t>
        </is>
      </c>
      <c r="B5" s="1" t="inlineStr">
        <is>
          <t>sales_petrol</t>
        </is>
      </c>
      <c r="C5" s="1" t="n">
        <v>2022</v>
      </c>
      <c r="D5" s="202" t="n">
        <v>9185</v>
      </c>
      <c r="E5" s="202" t="n">
        <v>9185</v>
      </c>
      <c r="F5" s="1" t="inlineStr">
        <is>
          <t>matches</t>
        </is>
      </c>
      <c r="G5" s="1" t="inlineStr">
        <is>
          <t>fuel_sales_fiasa.csv</t>
        </is>
      </c>
    </row>
    <row r="6">
      <c r="A6" s="1" t="inlineStr">
        <is>
          <t>G5</t>
        </is>
      </c>
      <c r="B6" s="1" t="inlineStr">
        <is>
          <t>sales_petrol</t>
        </is>
      </c>
      <c r="C6" s="1" t="n">
        <v>2023</v>
      </c>
      <c r="D6" s="202" t="n">
        <v>9037</v>
      </c>
      <c r="E6" s="202" t="n">
        <v>9037</v>
      </c>
      <c r="F6" s="1" t="inlineStr">
        <is>
          <t>matches</t>
        </is>
      </c>
      <c r="G6" s="1" t="inlineStr">
        <is>
          <t>fuel_sales_fiasa.csv</t>
        </is>
      </c>
    </row>
    <row r="7">
      <c r="A7" s="1" t="inlineStr">
        <is>
          <t>H5</t>
        </is>
      </c>
      <c r="B7" s="1" t="inlineStr">
        <is>
          <t>sales_petrol</t>
        </is>
      </c>
      <c r="C7" s="1" t="n">
        <v>2024</v>
      </c>
      <c r="D7" s="202" t="n">
        <v>9029</v>
      </c>
      <c r="E7" s="202" t="n">
        <v>9029</v>
      </c>
      <c r="F7" s="1" t="inlineStr">
        <is>
          <t>matches</t>
        </is>
      </c>
      <c r="G7" s="1" t="inlineStr">
        <is>
          <t>fuel_sales_fiasa.csv</t>
        </is>
      </c>
    </row>
    <row r="8">
      <c r="A8" s="1" t="inlineStr">
        <is>
          <t>F6</t>
        </is>
      </c>
      <c r="B8" s="1" t="inlineStr">
        <is>
          <t>dept_petrol</t>
        </is>
      </c>
      <c r="C8" s="1" t="n">
        <v>2022</v>
      </c>
      <c r="D8" s="202" t="n">
        <v>9184.869915572999</v>
      </c>
      <c r="E8" s="202" t="n">
        <v>9184.869915572999</v>
      </c>
      <c r="F8" s="1" t="inlineStr">
        <is>
          <t>matches</t>
        </is>
      </c>
      <c r="G8" s="1" t="inlineStr">
        <is>
          <t>fuel_sales_department.csv</t>
        </is>
      </c>
    </row>
    <row r="9">
      <c r="A9" s="1" t="inlineStr">
        <is>
          <t>G6</t>
        </is>
      </c>
      <c r="B9" s="1" t="inlineStr">
        <is>
          <t>dept_petrol</t>
        </is>
      </c>
      <c r="C9" s="1" t="n">
        <v>2023</v>
      </c>
      <c r="D9" s="202" t="n">
        <v>9036.950113492001</v>
      </c>
      <c r="E9" s="202" t="n">
        <v>9036.950113492001</v>
      </c>
      <c r="F9" s="1" t="inlineStr">
        <is>
          <t>matches</t>
        </is>
      </c>
      <c r="G9" s="1" t="inlineStr">
        <is>
          <t>fuel_sales_department.csv</t>
        </is>
      </c>
    </row>
    <row r="10">
      <c r="A10" s="1" t="inlineStr">
        <is>
          <t>F7</t>
        </is>
      </c>
      <c r="B10" s="1" t="inlineStr">
        <is>
          <t>sales_diesel</t>
        </is>
      </c>
      <c r="C10" s="1" t="n">
        <v>2022</v>
      </c>
      <c r="D10" s="202" t="n">
        <v>12717</v>
      </c>
      <c r="E10" s="202" t="n">
        <v>12717</v>
      </c>
      <c r="F10" s="1" t="inlineStr">
        <is>
          <t>matches</t>
        </is>
      </c>
      <c r="G10" s="1" t="inlineStr">
        <is>
          <t>fuel_sales_fiasa.csv</t>
        </is>
      </c>
    </row>
    <row r="11">
      <c r="A11" s="1" t="inlineStr">
        <is>
          <t>G7</t>
        </is>
      </c>
      <c r="B11" s="1" t="inlineStr">
        <is>
          <t>sales_diesel</t>
        </is>
      </c>
      <c r="C11" s="1" t="n">
        <v>2023</v>
      </c>
      <c r="D11" s="202" t="n">
        <v>12907</v>
      </c>
      <c r="E11" s="202" t="n">
        <v>12907</v>
      </c>
      <c r="F11" s="1" t="inlineStr">
        <is>
          <t>matches</t>
        </is>
      </c>
      <c r="G11" s="1" t="inlineStr">
        <is>
          <t>fuel_sales_fiasa.csv</t>
        </is>
      </c>
    </row>
    <row r="12">
      <c r="A12" s="1" t="inlineStr">
        <is>
          <t>H7</t>
        </is>
      </c>
      <c r="B12" s="1" t="inlineStr">
        <is>
          <t>sales_diesel</t>
        </is>
      </c>
      <c r="C12" s="1" t="n">
        <v>2024</v>
      </c>
      <c r="D12" s="202" t="n">
        <v>11734</v>
      </c>
      <c r="E12" s="202" t="n">
        <v>11734</v>
      </c>
      <c r="F12" s="1" t="inlineStr">
        <is>
          <t>matches</t>
        </is>
      </c>
      <c r="G12" s="1" t="inlineStr">
        <is>
          <t>fuel_sales_fiasa.csv</t>
        </is>
      </c>
    </row>
    <row r="13">
      <c r="A13" s="1" t="inlineStr">
        <is>
          <t>F8</t>
        </is>
      </c>
      <c r="B13" s="1" t="inlineStr">
        <is>
          <t>dept_diesel</t>
        </is>
      </c>
      <c r="C13" s="1" t="n">
        <v>2022</v>
      </c>
      <c r="D13" s="202" t="n">
        <v>12717.326319019</v>
      </c>
      <c r="E13" s="202" t="n">
        <v>12717.326319019</v>
      </c>
      <c r="F13" s="1" t="inlineStr">
        <is>
          <t>matches</t>
        </is>
      </c>
      <c r="G13" s="1" t="inlineStr">
        <is>
          <t>fuel_sales_department.csv</t>
        </is>
      </c>
    </row>
    <row r="14">
      <c r="A14" s="1" t="inlineStr">
        <is>
          <t>G8</t>
        </is>
      </c>
      <c r="B14" s="1" t="inlineStr">
        <is>
          <t>dept_diesel</t>
        </is>
      </c>
      <c r="C14" s="1" t="n">
        <v>2023</v>
      </c>
      <c r="D14" s="202" t="n">
        <v>12907.499965808</v>
      </c>
      <c r="E14" s="202" t="n">
        <v>12907.499965808</v>
      </c>
      <c r="F14" s="1" t="inlineStr">
        <is>
          <t>matches</t>
        </is>
      </c>
      <c r="G14" s="1" t="inlineStr">
        <is>
          <t>fuel_sales_department.csv</t>
        </is>
      </c>
    </row>
    <row r="15">
      <c r="A15" s="1" t="inlineStr">
        <is>
          <t>F9</t>
        </is>
      </c>
      <c r="B15" s="1" t="inlineStr">
        <is>
          <t>sales_jet</t>
        </is>
      </c>
      <c r="C15" s="1" t="n">
        <v>2022</v>
      </c>
      <c r="D15" s="202" t="n">
        <v>1478</v>
      </c>
      <c r="E15" s="202" t="n">
        <v>1478</v>
      </c>
      <c r="F15" s="1" t="inlineStr">
        <is>
          <t>matches</t>
        </is>
      </c>
      <c r="G15" s="1" t="inlineStr">
        <is>
          <t>fuel_sales_fiasa.csv</t>
        </is>
      </c>
    </row>
    <row r="16">
      <c r="A16" s="1" t="inlineStr">
        <is>
          <t>G9</t>
        </is>
      </c>
      <c r="B16" s="1" t="inlineStr">
        <is>
          <t>sales_jet</t>
        </is>
      </c>
      <c r="C16" s="1" t="n">
        <v>2023</v>
      </c>
      <c r="D16" s="202" t="n">
        <v>1844</v>
      </c>
      <c r="E16" s="202" t="n">
        <v>1844</v>
      </c>
      <c r="F16" s="1" t="inlineStr">
        <is>
          <t>matches</t>
        </is>
      </c>
      <c r="G16" s="1" t="inlineStr">
        <is>
          <t>fuel_sales_fiasa.csv</t>
        </is>
      </c>
    </row>
    <row r="17">
      <c r="A17" s="1" t="inlineStr">
        <is>
          <t>H9</t>
        </is>
      </c>
      <c r="B17" s="1" t="inlineStr">
        <is>
          <t>sales_jet</t>
        </is>
      </c>
      <c r="C17" s="1" t="n">
        <v>2024</v>
      </c>
      <c r="D17" s="202" t="n">
        <v>1955</v>
      </c>
      <c r="E17" s="202" t="n">
        <v>1955</v>
      </c>
      <c r="F17" s="1" t="inlineStr">
        <is>
          <t>matches</t>
        </is>
      </c>
      <c r="G17" s="1" t="inlineStr">
        <is>
          <t>fuel_sales_fiasa.csv</t>
        </is>
      </c>
    </row>
    <row r="18">
      <c r="A18" s="1" t="inlineStr">
        <is>
          <t>F10</t>
        </is>
      </c>
      <c r="B18" s="1" t="inlineStr">
        <is>
          <t>dept_jet</t>
        </is>
      </c>
      <c r="C18" s="1" t="n">
        <v>2022</v>
      </c>
      <c r="D18" s="202" t="n">
        <v>1478.149852603</v>
      </c>
      <c r="E18" s="202" t="n">
        <v>1478.149852603</v>
      </c>
      <c r="F18" s="1" t="inlineStr">
        <is>
          <t>matches</t>
        </is>
      </c>
      <c r="G18" s="1" t="inlineStr">
        <is>
          <t>fuel_sales_department.csv</t>
        </is>
      </c>
    </row>
    <row r="19">
      <c r="A19" s="1" t="inlineStr">
        <is>
          <t>G10</t>
        </is>
      </c>
      <c r="B19" s="1" t="inlineStr">
        <is>
          <t>dept_jet</t>
        </is>
      </c>
      <c r="C19" s="1" t="n">
        <v>2023</v>
      </c>
      <c r="D19" s="202" t="n">
        <v>1843.971762465</v>
      </c>
      <c r="E19" s="202" t="n">
        <v>1843.971762465</v>
      </c>
      <c r="F19" s="1" t="inlineStr">
        <is>
          <t>matches</t>
        </is>
      </c>
      <c r="G19" s="1" t="inlineStr">
        <is>
          <t>fuel_sales_department.csv</t>
        </is>
      </c>
    </row>
    <row r="20">
      <c r="A20" s="1" t="inlineStr">
        <is>
          <t>F11</t>
        </is>
      </c>
      <c r="B20" s="1" t="inlineStr">
        <is>
          <t>sales_fuel_oil</t>
        </is>
      </c>
      <c r="C20" s="1" t="n">
        <v>2022</v>
      </c>
      <c r="D20" s="202" t="n">
        <v>594</v>
      </c>
      <c r="E20" s="202" t="n">
        <v>594</v>
      </c>
      <c r="F20" s="1" t="inlineStr">
        <is>
          <t>matches</t>
        </is>
      </c>
      <c r="G20" s="1" t="inlineStr">
        <is>
          <t>fuel_sales_fiasa.csv</t>
        </is>
      </c>
    </row>
    <row r="21">
      <c r="A21" s="1" t="inlineStr">
        <is>
          <t>G11</t>
        </is>
      </c>
      <c r="B21" s="1" t="inlineStr">
        <is>
          <t>sales_fuel_oil</t>
        </is>
      </c>
      <c r="C21" s="1" t="n">
        <v>2023</v>
      </c>
      <c r="D21" s="202" t="n">
        <v>658</v>
      </c>
      <c r="E21" s="202" t="n">
        <v>658</v>
      </c>
      <c r="F21" s="1" t="inlineStr">
        <is>
          <t>matches</t>
        </is>
      </c>
      <c r="G21" s="1" t="inlineStr">
        <is>
          <t>fuel_sales_fiasa.csv</t>
        </is>
      </c>
    </row>
    <row r="22">
      <c r="A22" s="1" t="inlineStr">
        <is>
          <t>H11</t>
        </is>
      </c>
      <c r="B22" s="1" t="inlineStr">
        <is>
          <t>sales_fuel_oil</t>
        </is>
      </c>
      <c r="C22" s="1" t="n">
        <v>2024</v>
      </c>
      <c r="D22" s="202" t="n">
        <v>441</v>
      </c>
      <c r="E22" s="202" t="n">
        <v>441</v>
      </c>
      <c r="F22" s="1" t="inlineStr">
        <is>
          <t>matches</t>
        </is>
      </c>
      <c r="G22" s="1" t="inlineStr">
        <is>
          <t>fuel_sales_fiasa.csv</t>
        </is>
      </c>
    </row>
    <row r="23">
      <c r="A23" s="1" t="inlineStr">
        <is>
          <t>F12</t>
        </is>
      </c>
      <c r="B23" s="1" t="inlineStr">
        <is>
          <t>dept_fuel_oil</t>
        </is>
      </c>
      <c r="C23" s="1" t="n">
        <v>2022</v>
      </c>
      <c r="D23" s="202" t="n">
        <v>594.0401649620001</v>
      </c>
      <c r="E23" s="202" t="n">
        <v>594.0401649620001</v>
      </c>
      <c r="F23" s="1" t="inlineStr">
        <is>
          <t>matches</t>
        </is>
      </c>
      <c r="G23" s="1" t="inlineStr">
        <is>
          <t>fuel_sales_department.csv</t>
        </is>
      </c>
    </row>
    <row r="24">
      <c r="A24" s="1" t="inlineStr">
        <is>
          <t>G12</t>
        </is>
      </c>
      <c r="B24" s="1" t="inlineStr">
        <is>
          <t>dept_fuel_oil</t>
        </is>
      </c>
      <c r="C24" s="1" t="n">
        <v>2023</v>
      </c>
      <c r="D24" s="202" t="n">
        <v>658.0930416160001</v>
      </c>
      <c r="E24" s="202" t="n">
        <v>658.0930416160001</v>
      </c>
      <c r="F24" s="1" t="inlineStr">
        <is>
          <t>matches</t>
        </is>
      </c>
      <c r="G24" s="1" t="inlineStr">
        <is>
          <t>fuel_sales_department.csv</t>
        </is>
      </c>
    </row>
    <row r="25">
      <c r="A25" s="1" t="inlineStr">
        <is>
          <t>F25</t>
        </is>
      </c>
      <c r="B25" s="1" t="inlineStr">
        <is>
          <t>macro_gdp_per_capita</t>
        </is>
      </c>
      <c r="C25" s="1" t="n">
        <v>2022</v>
      </c>
      <c r="D25" s="202" t="n">
        <v>76055.06748983047</v>
      </c>
      <c r="E25" s="202" t="n">
        <v>76055.06748983047</v>
      </c>
      <c r="F25" s="1" t="inlineStr">
        <is>
          <t>matches</t>
        </is>
      </c>
      <c r="G25" s="1" t="inlineStr">
        <is>
          <t>macro_statssa.csv</t>
        </is>
      </c>
    </row>
    <row r="26">
      <c r="A26" s="1" t="inlineStr">
        <is>
          <t>G25</t>
        </is>
      </c>
      <c r="B26" s="1" t="inlineStr">
        <is>
          <t>macro_gdp_per_capita</t>
        </is>
      </c>
      <c r="C26" s="1" t="n">
        <v>2023</v>
      </c>
      <c r="D26" s="202" t="n">
        <v>75781.52071231291</v>
      </c>
      <c r="E26" s="202" t="n">
        <v>75781.52071231291</v>
      </c>
      <c r="F26" s="1" t="inlineStr">
        <is>
          <t>matches</t>
        </is>
      </c>
      <c r="G26" s="1" t="inlineStr">
        <is>
          <t>macro_statssa.csv</t>
        </is>
      </c>
    </row>
    <row r="27">
      <c r="A27" s="1" t="inlineStr">
        <is>
          <t>H25</t>
        </is>
      </c>
      <c r="B27" s="1" t="inlineStr">
        <is>
          <t>macro_gdp_per_capita</t>
        </is>
      </c>
      <c r="C27" s="1" t="n">
        <v>2024</v>
      </c>
      <c r="D27" s="202" t="n">
        <v>75255.62912098455</v>
      </c>
      <c r="E27" s="202" t="n">
        <v>75255.62912098455</v>
      </c>
      <c r="F27" s="1" t="inlineStr">
        <is>
          <t>matches</t>
        </is>
      </c>
      <c r="G27" s="1" t="inlineStr">
        <is>
          <t>macro_statssa.csv</t>
        </is>
      </c>
    </row>
    <row r="28">
      <c r="A28" s="1" t="inlineStr">
        <is>
          <t>I25</t>
        </is>
      </c>
      <c r="B28" s="1" t="inlineStr">
        <is>
          <t>macro_gdp_per_capita</t>
        </is>
      </c>
      <c r="C28" s="1" t="n">
        <v>2025</v>
      </c>
      <c r="D28" s="202" t="n">
        <v>75149.98563223911</v>
      </c>
      <c r="E28" s="202" t="n">
        <v>75149.98563223911</v>
      </c>
      <c r="F28" s="1" t="inlineStr">
        <is>
          <t>matches</t>
        </is>
      </c>
      <c r="G28" s="1" t="inlineStr">
        <is>
          <t>macro_statssa.csv</t>
        </is>
      </c>
    </row>
    <row r="29">
      <c r="A29" s="1" t="inlineStr">
        <is>
          <t>F26</t>
        </is>
      </c>
      <c r="B29" s="1" t="inlineStr">
        <is>
          <t>macro_agriculture_forestry_and_fishing</t>
        </is>
      </c>
      <c r="C29" s="1" t="n">
        <v>2022</v>
      </c>
      <c r="D29" s="202" t="n">
        <v>131.7706421450265</v>
      </c>
      <c r="E29" s="202" t="n">
        <v>131.7706421450265</v>
      </c>
      <c r="F29" s="1" t="inlineStr">
        <is>
          <t>matches</t>
        </is>
      </c>
      <c r="G29" s="1" t="inlineStr">
        <is>
          <t>macro_statssa.csv</t>
        </is>
      </c>
    </row>
    <row r="30">
      <c r="A30" s="1" t="inlineStr">
        <is>
          <t>G26</t>
        </is>
      </c>
      <c r="B30" s="1" t="inlineStr">
        <is>
          <t>macro_agriculture_forestry_and_fishing</t>
        </is>
      </c>
      <c r="C30" s="1" t="n">
        <v>2023</v>
      </c>
      <c r="D30" s="202" t="n">
        <v>125.7466421450265</v>
      </c>
      <c r="E30" s="202" t="n">
        <v>125.7466421450265</v>
      </c>
      <c r="F30" s="1" t="inlineStr">
        <is>
          <t>matches</t>
        </is>
      </c>
      <c r="G30" s="1" t="inlineStr">
        <is>
          <t>macro_statssa.csv</t>
        </is>
      </c>
    </row>
    <row r="31">
      <c r="A31" s="1" t="inlineStr">
        <is>
          <t>H26</t>
        </is>
      </c>
      <c r="B31" s="1" t="inlineStr">
        <is>
          <t>macro_agriculture_forestry_and_fishing</t>
        </is>
      </c>
      <c r="C31" s="1" t="n">
        <v>2024</v>
      </c>
      <c r="D31" s="202" t="n">
        <v>114.7916421450265</v>
      </c>
      <c r="E31" s="202" t="n">
        <v>114.7916421450265</v>
      </c>
      <c r="F31" s="1" t="inlineStr">
        <is>
          <t>matches</t>
        </is>
      </c>
      <c r="G31" s="1" t="inlineStr">
        <is>
          <t>macro_statssa.csv</t>
        </is>
      </c>
    </row>
    <row r="32">
      <c r="A32" s="1" t="inlineStr">
        <is>
          <t>I26</t>
        </is>
      </c>
      <c r="B32" s="1" t="inlineStr">
        <is>
          <t>macro_agriculture_forestry_and_fishing</t>
        </is>
      </c>
      <c r="C32" s="1" t="n">
        <v>2025</v>
      </c>
      <c r="D32" s="202" t="n">
        <v>134.7967469817132</v>
      </c>
      <c r="E32" s="202" t="n">
        <v>134.7967469817132</v>
      </c>
      <c r="F32" s="1" t="inlineStr">
        <is>
          <t>matches</t>
        </is>
      </c>
      <c r="G32" s="1" t="inlineStr">
        <is>
          <t>macro_statssa.csv</t>
        </is>
      </c>
    </row>
    <row r="33">
      <c r="A33" s="1" t="inlineStr">
        <is>
          <t>F27</t>
        </is>
      </c>
      <c r="B33" s="1" t="inlineStr">
        <is>
          <t>macro_manufacturing</t>
        </is>
      </c>
      <c r="C33" s="1" t="n">
        <v>2022</v>
      </c>
      <c r="D33" s="202" t="n">
        <v>523.0907540648606</v>
      </c>
      <c r="E33" s="202" t="n">
        <v>523.0907540648606</v>
      </c>
      <c r="F33" s="1" t="inlineStr">
        <is>
          <t>matches</t>
        </is>
      </c>
      <c r="G33" s="1" t="inlineStr">
        <is>
          <t>macro_statssa.csv</t>
        </is>
      </c>
    </row>
    <row r="34">
      <c r="A34" s="1" t="inlineStr">
        <is>
          <t>G27</t>
        </is>
      </c>
      <c r="B34" s="1" t="inlineStr">
        <is>
          <t>macro_manufacturing</t>
        </is>
      </c>
      <c r="C34" s="1" t="n">
        <v>2023</v>
      </c>
      <c r="D34" s="202" t="n">
        <v>524.9937540648609</v>
      </c>
      <c r="E34" s="202" t="n">
        <v>524.9937540648609</v>
      </c>
      <c r="F34" s="1" t="inlineStr">
        <is>
          <t>matches</t>
        </is>
      </c>
      <c r="G34" s="1" t="inlineStr">
        <is>
          <t>macro_statssa.csv</t>
        </is>
      </c>
    </row>
    <row r="35">
      <c r="A35" s="1" t="inlineStr">
        <is>
          <t>H27</t>
        </is>
      </c>
      <c r="B35" s="1" t="inlineStr">
        <is>
          <t>macro_manufacturing</t>
        </is>
      </c>
      <c r="C35" s="1" t="n">
        <v>2024</v>
      </c>
      <c r="D35" s="202" t="n">
        <v>523.150754064861</v>
      </c>
      <c r="E35" s="202" t="n">
        <v>523.150754064861</v>
      </c>
      <c r="F35" s="1" t="inlineStr">
        <is>
          <t>matches</t>
        </is>
      </c>
      <c r="G35" s="1" t="inlineStr">
        <is>
          <t>macro_statssa.csv</t>
        </is>
      </c>
    </row>
    <row r="36">
      <c r="A36" s="1" t="inlineStr">
        <is>
          <t>I27</t>
        </is>
      </c>
      <c r="B36" s="1" t="inlineStr">
        <is>
          <t>macro_manufacturing</t>
        </is>
      </c>
      <c r="C36" s="1" t="n">
        <v>2025</v>
      </c>
      <c r="D36" s="202" t="n">
        <v>516.9856529750193</v>
      </c>
      <c r="E36" s="202" t="n">
        <v>516.9856529750193</v>
      </c>
      <c r="F36" s="1" t="inlineStr">
        <is>
          <t>matches</t>
        </is>
      </c>
      <c r="G36" s="1" t="inlineStr">
        <is>
          <t>macro_statssa.csv</t>
        </is>
      </c>
    </row>
    <row r="37">
      <c r="A37" s="1" t="inlineStr">
        <is>
          <t>F28</t>
        </is>
      </c>
      <c r="B37" s="1" t="inlineStr">
        <is>
          <t>macro_mining_and_quarrying</t>
        </is>
      </c>
      <c r="C37" s="1" t="n">
        <v>2022</v>
      </c>
      <c r="D37" s="202" t="n">
        <v>204.4529227196744</v>
      </c>
      <c r="E37" s="202" t="n">
        <v>204.4529227196744</v>
      </c>
      <c r="F37" s="1" t="inlineStr">
        <is>
          <t>matches</t>
        </is>
      </c>
      <c r="G37" s="1" t="inlineStr">
        <is>
          <t>macro_statssa.csv</t>
        </is>
      </c>
    </row>
    <row r="38">
      <c r="A38" s="1" t="inlineStr">
        <is>
          <t>G28</t>
        </is>
      </c>
      <c r="B38" s="1" t="inlineStr">
        <is>
          <t>macro_mining_and_quarrying</t>
        </is>
      </c>
      <c r="C38" s="1" t="n">
        <v>2023</v>
      </c>
      <c r="D38" s="202" t="n">
        <v>204.2286999662737</v>
      </c>
      <c r="E38" s="202" t="n">
        <v>204.2286999662738</v>
      </c>
      <c r="F38" s="1" t="inlineStr">
        <is>
          <t>matches</t>
        </is>
      </c>
      <c r="G38" s="1" t="inlineStr">
        <is>
          <t>macro_statssa.csv</t>
        </is>
      </c>
    </row>
    <row r="39">
      <c r="A39" s="1" t="inlineStr">
        <is>
          <t>H28</t>
        </is>
      </c>
      <c r="B39" s="1" t="inlineStr">
        <is>
          <t>macro_mining_and_quarrying</t>
        </is>
      </c>
      <c r="C39" s="1" t="n">
        <v>2024</v>
      </c>
      <c r="D39" s="202" t="n">
        <v>205.1258295918731</v>
      </c>
      <c r="E39" s="202" t="n">
        <v>205.1258295918731</v>
      </c>
      <c r="F39" s="1" t="inlineStr">
        <is>
          <t>matches</t>
        </is>
      </c>
      <c r="G39" s="1" t="inlineStr">
        <is>
          <t>macro_statssa.csv</t>
        </is>
      </c>
    </row>
    <row r="40">
      <c r="A40" s="1" t="inlineStr">
        <is>
          <t>I28</t>
        </is>
      </c>
      <c r="B40" s="1" t="inlineStr">
        <is>
          <t>macro_mining_and_quarrying</t>
        </is>
      </c>
      <c r="C40" s="1" t="n">
        <v>2025</v>
      </c>
      <c r="D40" s="202" t="n">
        <v>205.4648860142573</v>
      </c>
      <c r="E40" s="202" t="n">
        <v>205.4648860142574</v>
      </c>
      <c r="F40" s="1" t="inlineStr">
        <is>
          <t>matches</t>
        </is>
      </c>
      <c r="G40" s="1" t="inlineStr">
        <is>
          <t>macro_statssa.csv</t>
        </is>
      </c>
    </row>
    <row r="41">
      <c r="A41" s="1" t="inlineStr">
        <is>
          <t>F29</t>
        </is>
      </c>
      <c r="B41" s="1" t="inlineStr">
        <is>
          <t>macro_construction</t>
        </is>
      </c>
      <c r="C41" s="1" t="n">
        <v>2022</v>
      </c>
      <c r="D41" s="202" t="n">
        <v>110.0650907489087</v>
      </c>
      <c r="E41" s="202" t="n">
        <v>110.0650907489087</v>
      </c>
      <c r="F41" s="1" t="inlineStr">
        <is>
          <t>matches</t>
        </is>
      </c>
      <c r="G41" s="1" t="inlineStr">
        <is>
          <t>macro_statssa.csv</t>
        </is>
      </c>
    </row>
    <row r="42">
      <c r="A42" s="1" t="inlineStr">
        <is>
          <t>G29</t>
        </is>
      </c>
      <c r="B42" s="1" t="inlineStr">
        <is>
          <t>macro_construction</t>
        </is>
      </c>
      <c r="C42" s="1" t="n">
        <v>2023</v>
      </c>
      <c r="D42" s="202" t="n">
        <v>109.5650907489087</v>
      </c>
      <c r="E42" s="202" t="n">
        <v>109.5650907489087</v>
      </c>
      <c r="F42" s="1" t="inlineStr">
        <is>
          <t>matches</t>
        </is>
      </c>
      <c r="G42" s="1" t="inlineStr">
        <is>
          <t>macro_statssa.csv</t>
        </is>
      </c>
    </row>
    <row r="43">
      <c r="A43" s="1" t="inlineStr">
        <is>
          <t>H29</t>
        </is>
      </c>
      <c r="B43" s="1" t="inlineStr">
        <is>
          <t>macro_construction</t>
        </is>
      </c>
      <c r="C43" s="1" t="n">
        <v>2024</v>
      </c>
      <c r="D43" s="202" t="n">
        <v>103.6250907489087</v>
      </c>
      <c r="E43" s="202" t="n">
        <v>103.6250907489087</v>
      </c>
      <c r="F43" s="1" t="inlineStr">
        <is>
          <t>matches</t>
        </is>
      </c>
      <c r="G43" s="1" t="inlineStr">
        <is>
          <t>macro_statssa.csv</t>
        </is>
      </c>
    </row>
    <row r="44">
      <c r="A44" s="1" t="inlineStr">
        <is>
          <t>I29</t>
        </is>
      </c>
      <c r="B44" s="1" t="inlineStr">
        <is>
          <t>macro_construction</t>
        </is>
      </c>
      <c r="C44" s="1" t="n">
        <v>2025</v>
      </c>
      <c r="D44" s="202" t="n">
        <v>99.09852067977131</v>
      </c>
      <c r="E44" s="202" t="n">
        <v>99.09852067977131</v>
      </c>
      <c r="F44" s="1" t="inlineStr">
        <is>
          <t>matches</t>
        </is>
      </c>
      <c r="G44" s="1" t="inlineStr">
        <is>
          <t>macro_statssa.csv</t>
        </is>
      </c>
    </row>
    <row r="45">
      <c r="A45" s="1" t="inlineStr">
        <is>
          <t>F30</t>
        </is>
      </c>
      <c r="B45" s="1" t="inlineStr">
        <is>
          <t>manufacturing_volume_total</t>
        </is>
      </c>
      <c r="C45" s="1" t="n">
        <v>2022</v>
      </c>
      <c r="D45" s="202" t="n">
        <v>93.14166666666667</v>
      </c>
      <c r="E45" s="202" t="n">
        <v>93.14166666666667</v>
      </c>
      <c r="F45" s="1" t="inlineStr">
        <is>
          <t>matches</t>
        </is>
      </c>
      <c r="G45" s="1" t="inlineStr">
        <is>
          <t>activity_statssa_monthly.csv</t>
        </is>
      </c>
    </row>
    <row r="46">
      <c r="A46" s="1" t="inlineStr">
        <is>
          <t>G30</t>
        </is>
      </c>
      <c r="B46" s="1" t="inlineStr">
        <is>
          <t>manufacturing_volume_total</t>
        </is>
      </c>
      <c r="C46" s="1" t="n">
        <v>2023</v>
      </c>
      <c r="D46" s="202" t="n">
        <v>93.71666666666665</v>
      </c>
      <c r="E46" s="202" t="n">
        <v>93.71666666666665</v>
      </c>
      <c r="F46" s="1" t="inlineStr">
        <is>
          <t>matches</t>
        </is>
      </c>
      <c r="G46" s="1" t="inlineStr">
        <is>
          <t>activity_statssa_monthly.csv</t>
        </is>
      </c>
    </row>
    <row r="47">
      <c r="A47" s="1" t="inlineStr">
        <is>
          <t>H30</t>
        </is>
      </c>
      <c r="B47" s="1" t="inlineStr">
        <is>
          <t>manufacturing_volume_total</t>
        </is>
      </c>
      <c r="C47" s="1" t="n">
        <v>2024</v>
      </c>
      <c r="D47" s="202" t="n">
        <v>93.33333333333333</v>
      </c>
      <c r="E47" s="202" t="n">
        <v>93.33333333333333</v>
      </c>
      <c r="F47" s="1" t="inlineStr">
        <is>
          <t>matches</t>
        </is>
      </c>
      <c r="G47" s="1" t="inlineStr">
        <is>
          <t>activity_statssa_monthly.csv</t>
        </is>
      </c>
    </row>
    <row r="48">
      <c r="A48" s="1" t="inlineStr">
        <is>
          <t>I30</t>
        </is>
      </c>
      <c r="B48" s="1" t="inlineStr">
        <is>
          <t>manufacturing_volume_total</t>
        </is>
      </c>
      <c r="C48" s="1" t="n">
        <v>2025</v>
      </c>
      <c r="D48" s="202" t="n">
        <v>92.14166666666665</v>
      </c>
      <c r="E48" s="202" t="n">
        <v>92.14166666666667</v>
      </c>
      <c r="F48" s="1" t="inlineStr">
        <is>
          <t>matches</t>
        </is>
      </c>
      <c r="G48" s="1" t="inlineStr">
        <is>
          <t>activity_statssa_monthly.csv</t>
        </is>
      </c>
    </row>
    <row r="49">
      <c r="A49" s="1" t="inlineStr">
        <is>
          <t>F31</t>
        </is>
      </c>
      <c r="B49" s="1" t="inlineStr">
        <is>
          <t>mining_volume_total</t>
        </is>
      </c>
      <c r="C49" s="1" t="n">
        <v>2022</v>
      </c>
      <c r="D49" s="202" t="n">
        <v>93.00833333333334</v>
      </c>
      <c r="E49" s="202" t="n">
        <v>93.00833333333333</v>
      </c>
      <c r="F49" s="1" t="inlineStr">
        <is>
          <t>matches</t>
        </is>
      </c>
      <c r="G49" s="1" t="inlineStr">
        <is>
          <t>activity_statssa_monthly.csv</t>
        </is>
      </c>
    </row>
    <row r="50">
      <c r="A50" s="1" t="inlineStr">
        <is>
          <t>G31</t>
        </is>
      </c>
      <c r="B50" s="1" t="inlineStr">
        <is>
          <t>mining_volume_total</t>
        </is>
      </c>
      <c r="C50" s="1" t="n">
        <v>2023</v>
      </c>
      <c r="D50" s="202" t="n">
        <v>93.01666666666667</v>
      </c>
      <c r="E50" s="202" t="n">
        <v>93.01666666666667</v>
      </c>
      <c r="F50" s="1" t="inlineStr">
        <is>
          <t>matches</t>
        </is>
      </c>
      <c r="G50" s="1" t="inlineStr">
        <is>
          <t>activity_statssa_monthly.csv</t>
        </is>
      </c>
    </row>
    <row r="51">
      <c r="A51" s="1" t="inlineStr">
        <is>
          <t>H31</t>
        </is>
      </c>
      <c r="B51" s="1" t="inlineStr">
        <is>
          <t>mining_volume_total</t>
        </is>
      </c>
      <c r="C51" s="1" t="n">
        <v>2024</v>
      </c>
      <c r="D51" s="202" t="n">
        <v>93.53333333333332</v>
      </c>
      <c r="E51" s="202" t="n">
        <v>93.53333333333335</v>
      </c>
      <c r="F51" s="1" t="inlineStr">
        <is>
          <t>matches</t>
        </is>
      </c>
      <c r="G51" s="1" t="inlineStr">
        <is>
          <t>activity_statssa_monthly.csv</t>
        </is>
      </c>
    </row>
    <row r="52">
      <c r="A52" s="1" t="inlineStr">
        <is>
          <t>I31</t>
        </is>
      </c>
      <c r="B52" s="1" t="inlineStr">
        <is>
          <t>mining_volume_total</t>
        </is>
      </c>
      <c r="C52" s="1" t="n">
        <v>2025</v>
      </c>
      <c r="D52" s="202" t="n">
        <v>93.70833333333333</v>
      </c>
      <c r="E52" s="202" t="n">
        <v>93.70833333333333</v>
      </c>
      <c r="F52" s="1" t="inlineStr">
        <is>
          <t>matches</t>
        </is>
      </c>
      <c r="G52" s="1" t="inlineStr">
        <is>
          <t>activity_statssa_monthly.csv</t>
        </is>
      </c>
    </row>
    <row r="53">
      <c r="A53" s="1" t="inlineStr">
        <is>
          <t>F43</t>
        </is>
      </c>
      <c r="B53" s="1" t="inlineStr">
        <is>
          <t>Provincial: EC petrol / million L/year</t>
        </is>
      </c>
      <c r="C53" s="1" t="n">
        <v>2022</v>
      </c>
      <c r="D53" s="202" t="n">
        <v>703.1324447169991</v>
      </c>
      <c r="E53" s="202" t="n">
        <v>703.132444716999</v>
      </c>
      <c r="F53" s="1" t="inlineStr">
        <is>
          <t>matches</t>
        </is>
      </c>
      <c r="G53" s="1" t="inlineStr">
        <is>
          <t>fuel_sales_department_by_province.csv</t>
        </is>
      </c>
    </row>
    <row r="54">
      <c r="A54" s="1" t="inlineStr">
        <is>
          <t>F44</t>
        </is>
      </c>
      <c r="B54" s="1" t="inlineStr">
        <is>
          <t>Provincial: FS petrol / million L/year</t>
        </is>
      </c>
      <c r="C54" s="1" t="n">
        <v>2022</v>
      </c>
      <c r="D54" s="202" t="n">
        <v>587.4580081820001</v>
      </c>
      <c r="E54" s="202" t="n">
        <v>587.4580081820001</v>
      </c>
      <c r="F54" s="1" t="inlineStr">
        <is>
          <t>matches</t>
        </is>
      </c>
      <c r="G54" s="1" t="inlineStr">
        <is>
          <t>fuel_sales_department_by_province.csv</t>
        </is>
      </c>
    </row>
    <row r="55">
      <c r="A55" s="1" t="inlineStr">
        <is>
          <t>F45</t>
        </is>
      </c>
      <c r="B55" s="1" t="inlineStr">
        <is>
          <t>Provincial: GP petrol / million L/year</t>
        </is>
      </c>
      <c r="C55" s="1" t="n">
        <v>2022</v>
      </c>
      <c r="D55" s="202" t="n">
        <v>3530.440256933996</v>
      </c>
      <c r="E55" s="202" t="n">
        <v>3530.440256933996</v>
      </c>
      <c r="F55" s="1" t="inlineStr">
        <is>
          <t>matches</t>
        </is>
      </c>
      <c r="G55" s="1" t="inlineStr">
        <is>
          <t>fuel_sales_department_by_province.csv</t>
        </is>
      </c>
    </row>
    <row r="56">
      <c r="A56" s="1" t="inlineStr">
        <is>
          <t>F46</t>
        </is>
      </c>
      <c r="B56" s="1" t="inlineStr">
        <is>
          <t>Provincial: KZN petrol / million L/year</t>
        </is>
      </c>
      <c r="C56" s="1" t="n">
        <v>2022</v>
      </c>
      <c r="D56" s="202" t="n">
        <v>1498.937893394999</v>
      </c>
      <c r="E56" s="202" t="n">
        <v>1498.937893394999</v>
      </c>
      <c r="F56" s="1" t="inlineStr">
        <is>
          <t>matches</t>
        </is>
      </c>
      <c r="G56" s="1" t="inlineStr">
        <is>
          <t>fuel_sales_department_by_province.csv</t>
        </is>
      </c>
    </row>
    <row r="57">
      <c r="A57" s="1" t="inlineStr">
        <is>
          <t>F47</t>
        </is>
      </c>
      <c r="B57" s="1" t="inlineStr">
        <is>
          <t>Provincial: LP petrol / million L/year</t>
        </is>
      </c>
      <c r="C57" s="1" t="n">
        <v>2022</v>
      </c>
      <c r="D57" s="202" t="n">
        <v>273.644045045999</v>
      </c>
      <c r="E57" s="202" t="n">
        <v>273.644045045999</v>
      </c>
      <c r="F57" s="1" t="inlineStr">
        <is>
          <t>matches</t>
        </is>
      </c>
      <c r="G57" s="1" t="inlineStr">
        <is>
          <t>fuel_sales_department_by_province.csv</t>
        </is>
      </c>
    </row>
    <row r="58">
      <c r="A58" s="1" t="inlineStr">
        <is>
          <t>F48</t>
        </is>
      </c>
      <c r="B58" s="1" t="inlineStr">
        <is>
          <t>Provincial: MP petrol / million L/year</t>
        </is>
      </c>
      <c r="C58" s="1" t="n">
        <v>2022</v>
      </c>
      <c r="D58" s="202" t="n">
        <v>612.2656460789989</v>
      </c>
      <c r="E58" s="202" t="n">
        <v>612.2656460789989</v>
      </c>
      <c r="F58" s="1" t="inlineStr">
        <is>
          <t>matches</t>
        </is>
      </c>
      <c r="G58" s="1" t="inlineStr">
        <is>
          <t>fuel_sales_department_by_province.csv</t>
        </is>
      </c>
    </row>
    <row r="59">
      <c r="A59" s="1" t="inlineStr">
        <is>
          <t>F49</t>
        </is>
      </c>
      <c r="B59" s="1" t="inlineStr">
        <is>
          <t>Provincial: NC petrol / million L/year</t>
        </is>
      </c>
      <c r="C59" s="1" t="n">
        <v>2022</v>
      </c>
      <c r="D59" s="202" t="n">
        <v>99.82992901300001</v>
      </c>
      <c r="E59" s="202" t="n">
        <v>99.829929013</v>
      </c>
      <c r="F59" s="1" t="inlineStr">
        <is>
          <t>matches</t>
        </is>
      </c>
      <c r="G59" s="1" t="inlineStr">
        <is>
          <t>fuel_sales_department_by_province.csv</t>
        </is>
      </c>
    </row>
    <row r="60">
      <c r="A60" s="1" t="inlineStr">
        <is>
          <t>F50</t>
        </is>
      </c>
      <c r="B60" s="1" t="inlineStr">
        <is>
          <t>Provincial: NW petrol / million L/year</t>
        </is>
      </c>
      <c r="C60" s="1" t="n">
        <v>2022</v>
      </c>
      <c r="D60" s="202" t="n">
        <v>448.1562321239999</v>
      </c>
      <c r="E60" s="202" t="n">
        <v>448.1562321239999</v>
      </c>
      <c r="F60" s="1" t="inlineStr">
        <is>
          <t>matches</t>
        </is>
      </c>
      <c r="G60" s="1" t="inlineStr">
        <is>
          <t>fuel_sales_department_by_province.csv</t>
        </is>
      </c>
    </row>
    <row r="61">
      <c r="A61" s="1" t="inlineStr">
        <is>
          <t>F51</t>
        </is>
      </c>
      <c r="B61" s="1" t="inlineStr">
        <is>
          <t>Provincial: WC petrol / million L/year</t>
        </is>
      </c>
      <c r="C61" s="1" t="n">
        <v>2022</v>
      </c>
      <c r="D61" s="202" t="n">
        <v>1431.005460082997</v>
      </c>
      <c r="E61" s="202" t="n">
        <v>1431.005460082997</v>
      </c>
      <c r="F61" s="1" t="inlineStr">
        <is>
          <t>matches</t>
        </is>
      </c>
      <c r="G61" s="1" t="inlineStr">
        <is>
          <t>fuel_sales_department_by_province.csv</t>
        </is>
      </c>
    </row>
    <row r="62">
      <c r="A62" s="1" t="inlineStr">
        <is>
          <t>F52</t>
        </is>
      </c>
      <c r="B62" s="1" t="inlineStr">
        <is>
          <t>Provincial: EC diesel / million L/year</t>
        </is>
      </c>
      <c r="C62" s="1" t="n">
        <v>2022</v>
      </c>
      <c r="D62" s="202" t="n">
        <v>1032.35218272</v>
      </c>
      <c r="E62" s="202" t="n">
        <v>1032.35218272</v>
      </c>
      <c r="F62" s="1" t="inlineStr">
        <is>
          <t>matches</t>
        </is>
      </c>
      <c r="G62" s="1" t="inlineStr">
        <is>
          <t>fuel_sales_department_by_province.csv</t>
        </is>
      </c>
    </row>
    <row r="63">
      <c r="A63" s="1" t="inlineStr">
        <is>
          <t>F53</t>
        </is>
      </c>
      <c r="B63" s="1" t="inlineStr">
        <is>
          <t>Provincial: FS diesel / million L/year</t>
        </is>
      </c>
      <c r="C63" s="1" t="n">
        <v>2022</v>
      </c>
      <c r="D63" s="202" t="n">
        <v>781.8611598310002</v>
      </c>
      <c r="E63" s="202" t="n">
        <v>781.8611598310002</v>
      </c>
      <c r="F63" s="1" t="inlineStr">
        <is>
          <t>matches</t>
        </is>
      </c>
      <c r="G63" s="1" t="inlineStr">
        <is>
          <t>fuel_sales_department_by_province.csv</t>
        </is>
      </c>
    </row>
    <row r="64">
      <c r="A64" s="1" t="inlineStr">
        <is>
          <t>F54</t>
        </is>
      </c>
      <c r="B64" s="1" t="inlineStr">
        <is>
          <t>Provincial: GP diesel / million L/year</t>
        </is>
      </c>
      <c r="C64" s="1" t="n">
        <v>2022</v>
      </c>
      <c r="D64" s="202" t="n">
        <v>3278.990501961999</v>
      </c>
      <c r="E64" s="202" t="n">
        <v>3278.990501961999</v>
      </c>
      <c r="F64" s="1" t="inlineStr">
        <is>
          <t>matches</t>
        </is>
      </c>
      <c r="G64" s="1" t="inlineStr">
        <is>
          <t>fuel_sales_department_by_province.csv</t>
        </is>
      </c>
    </row>
    <row r="65">
      <c r="A65" s="1" t="inlineStr">
        <is>
          <t>F55</t>
        </is>
      </c>
      <c r="B65" s="1" t="inlineStr">
        <is>
          <t>Provincial: KZN diesel / million L/year</t>
        </is>
      </c>
      <c r="C65" s="1" t="n">
        <v>2022</v>
      </c>
      <c r="D65" s="202" t="n">
        <v>2785.554802503</v>
      </c>
      <c r="E65" s="202" t="n">
        <v>2785.554802503</v>
      </c>
      <c r="F65" s="1" t="inlineStr">
        <is>
          <t>matches</t>
        </is>
      </c>
      <c r="G65" s="1" t="inlineStr">
        <is>
          <t>fuel_sales_department_by_province.csv</t>
        </is>
      </c>
    </row>
    <row r="66">
      <c r="A66" s="1" t="inlineStr">
        <is>
          <t>F56</t>
        </is>
      </c>
      <c r="B66" s="1" t="inlineStr">
        <is>
          <t>Provincial: LP diesel / million L/year</t>
        </is>
      </c>
      <c r="C66" s="1" t="n">
        <v>2022</v>
      </c>
      <c r="D66" s="202" t="n">
        <v>221.987440248</v>
      </c>
      <c r="E66" s="202" t="n">
        <v>221.987440248</v>
      </c>
      <c r="F66" s="1" t="inlineStr">
        <is>
          <t>matches</t>
        </is>
      </c>
      <c r="G66" s="1" t="inlineStr">
        <is>
          <t>fuel_sales_department_by_province.csv</t>
        </is>
      </c>
    </row>
    <row r="67">
      <c r="A67" s="1" t="inlineStr">
        <is>
          <t>F57</t>
        </is>
      </c>
      <c r="B67" s="1" t="inlineStr">
        <is>
          <t>Provincial: MP diesel / million L/year</t>
        </is>
      </c>
      <c r="C67" s="1" t="n">
        <v>2022</v>
      </c>
      <c r="D67" s="202" t="n">
        <v>1144.924075864997</v>
      </c>
      <c r="E67" s="202" t="n">
        <v>1144.924075864997</v>
      </c>
      <c r="F67" s="1" t="inlineStr">
        <is>
          <t>matches</t>
        </is>
      </c>
      <c r="G67" s="1" t="inlineStr">
        <is>
          <t>fuel_sales_department_by_province.csv</t>
        </is>
      </c>
    </row>
    <row r="68">
      <c r="A68" s="1" t="inlineStr">
        <is>
          <t>F58</t>
        </is>
      </c>
      <c r="B68" s="1" t="inlineStr">
        <is>
          <t>Provincial: NC diesel / million L/year</t>
        </is>
      </c>
      <c r="C68" s="1" t="n">
        <v>2022</v>
      </c>
      <c r="D68" s="202" t="n">
        <v>351.9801199100001</v>
      </c>
      <c r="E68" s="202" t="n">
        <v>351.9801199100001</v>
      </c>
      <c r="F68" s="1" t="inlineStr">
        <is>
          <t>matches</t>
        </is>
      </c>
      <c r="G68" s="1" t="inlineStr">
        <is>
          <t>fuel_sales_department_by_province.csv</t>
        </is>
      </c>
    </row>
    <row r="69">
      <c r="A69" s="1" t="inlineStr">
        <is>
          <t>F59</t>
        </is>
      </c>
      <c r="B69" s="1" t="inlineStr">
        <is>
          <t>Provincial: NW diesel / million L/year</t>
        </is>
      </c>
      <c r="C69" s="1" t="n">
        <v>2022</v>
      </c>
      <c r="D69" s="202" t="n">
        <v>619.906488913</v>
      </c>
      <c r="E69" s="202" t="n">
        <v>619.906488913</v>
      </c>
      <c r="F69" s="1" t="inlineStr">
        <is>
          <t>matches</t>
        </is>
      </c>
      <c r="G69" s="1" t="inlineStr">
        <is>
          <t>fuel_sales_department_by_province.csv</t>
        </is>
      </c>
    </row>
    <row r="70">
      <c r="A70" s="1" t="inlineStr">
        <is>
          <t>F60</t>
        </is>
      </c>
      <c r="B70" s="1" t="inlineStr">
        <is>
          <t>Provincial: WC diesel / million L/year</t>
        </is>
      </c>
      <c r="C70" s="1" t="n">
        <v>2022</v>
      </c>
      <c r="D70" s="202" t="n">
        <v>2499.769547067</v>
      </c>
      <c r="E70" s="202" t="n">
        <v>2499.769547067</v>
      </c>
      <c r="F70" s="1" t="inlineStr">
        <is>
          <t>matches</t>
        </is>
      </c>
      <c r="G70" s="1" t="inlineStr">
        <is>
          <t>fuel_sales_department_by_province.csv</t>
        </is>
      </c>
    </row>
    <row r="72">
      <c r="A72" s="1" t="inlineStr">
        <is>
          <t>66 values recomputed; 0 differ.</t>
        </is>
      </c>
    </row>
    <row r="73">
      <c r="A73" s="1" t="inlineStr">
        <is>
          <t>Not recomputed: vehicle sales and stock, electric vehicle sales, freight, power and airport rows (vehicle block is next), and every 'Model run' row, which is a frozen engine run on main.</t>
        </is>
      </c>
    </row>
    <row r="74">
      <c r="A74" s="1" t="inlineStr">
        <is>
          <t>The model run in this workbook was made on main, where industry starts at 2.5 bn litres and agriculture at 0.7 (2024). manish-branch proposes 1.50 and 1.06 (2021 energy balance); see sector_baselines_2026-10-07.md.</t>
        </is>
      </c>
    </row>
    <row r="75">
      <c r="A75" s="1" t="inlineStr">
        <is>
          <t>Changes made in this copy:</t>
        </is>
      </c>
    </row>
    <row r="76">
      <c r="A76" s="1" t="inlineStr">
        <is>
          <t>Source selection!E5: petrol 2022 FIASA -&gt; Department (official series; the two agree to within rounding in these years).</t>
        </is>
      </c>
    </row>
    <row r="77">
      <c r="A77" s="1" t="inlineStr">
        <is>
          <t>Source selection!E6: petrol 2023 FIASA -&gt; Department (official series; the two agree to within rounding in these years).</t>
        </is>
      </c>
    </row>
    <row r="78">
      <c r="A78" s="1" t="inlineStr">
        <is>
          <t>Source selection!E10: diesel 2022 FIASA -&gt; Department (official series; the two agree to within rounding in these years).</t>
        </is>
      </c>
    </row>
    <row r="79">
      <c r="A79" s="1" t="inlineStr">
        <is>
          <t>Source selection!E11: diesel 2023 FIASA -&gt; Department (official series; the two agree to within rounding in these years).</t>
        </is>
      </c>
    </row>
    <row r="80">
      <c r="A80" s="1" t="inlineStr">
        <is>
          <t>Source selection!E15: jet 2022 FIASA -&gt; Department (official series; the two agree to within rounding in these years).</t>
        </is>
      </c>
    </row>
    <row r="81">
      <c r="A81" s="1" t="inlineStr">
        <is>
          <t>Source selection!E16: jet 2023 FIASA -&gt; Department (official series; the two agree to within rounding in these years).</t>
        </is>
      </c>
    </row>
    <row r="82">
      <c r="A82" s="1" t="inlineStr">
        <is>
          <t>Source selection!E20: fuel_oil 2022 FIASA -&gt; Department (official series; the two agree to within rounding in these years).</t>
        </is>
      </c>
    </row>
    <row r="83">
      <c r="A83" s="1" t="inlineStr">
        <is>
          <t>Source selection!E21: fuel_oil 2023 FIASA -&gt; Department (official series; the two agree to within rounding in these years).</t>
        </is>
      </c>
    </row>
    <row r="84">
      <c r="A84" s="1" t="inlineStr">
        <is>
          <t>Source selection: 2024 is still set to FIASA on Nigel's sheet, because the department has no 2024 figure to switch to. The added sheets do not use FIASA for any year. For Nigel to decide.</t>
        </is>
      </c>
    </row>
    <row r="85">
      <c r="A85" s="1" t="inlineStr">
        <is>
          <t>Sheets added: History, DR01 balance, Sector history, Diesel by use, Demand by use, DR04 routes, DR04 entry points, DR04 transport cost, DR07 evidence, DR07 power diesel, DR07 fleet by province, Power fleet, Vehicle history, HML response, Gap status, Checks, History sources. No other cell changed.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44" customWidth="1" min="1" max="1"/>
    <col width="40" customWidth="1" min="2" max="2"/>
    <col width="52" customWidth="1" min="3" max="3"/>
    <col width="46" customWidth="1" min="4" max="4"/>
    <col width="40" customWidth="1" min="5" max="5"/>
    <col width="52" customWidth="1" min="6" max="6"/>
    <col width="46" customWidth="1" min="7" max="7"/>
    <col width="14" customWidth="1" min="8" max="8"/>
    <col width="60" customWidth="1" min="9" max="9"/>
  </cols>
  <sheetData>
    <row r="1">
      <c r="A1" s="149" t="inlineStr">
        <is>
          <t>Sources for the sheets added to the workshop workbook</t>
        </is>
      </c>
    </row>
    <row r="4">
      <c r="A4" s="185" t="inlineStr">
        <is>
          <t>Used for</t>
        </is>
      </c>
      <c r="B4" s="185" t="inlineStr">
        <is>
          <t>Publisher</t>
        </is>
      </c>
      <c r="C4" s="185" t="inlineStr">
        <is>
          <t>Link</t>
        </is>
      </c>
      <c r="D4" s="185" t="inlineStr">
        <is>
          <t>Original file</t>
        </is>
      </c>
      <c r="E4" s="185" t="inlineStr">
        <is>
          <t>Where the original is kept</t>
        </is>
      </c>
      <c r="F4" s="185" t="inlineStr">
        <is>
          <t>Extract in the repository</t>
        </is>
      </c>
      <c r="G4" s="185" t="inlineStr">
        <is>
          <t>Refresh command</t>
        </is>
      </c>
      <c r="H4" s="185" t="inlineStr">
        <is>
          <t>Periods</t>
        </is>
      </c>
      <c r="I4" s="185" t="inlineStr">
        <is>
          <t>Limits</t>
        </is>
      </c>
    </row>
    <row r="5">
      <c r="A5" s="201" t="inlineStr">
        <is>
          <t>History sections 1 and 4: national sales</t>
        </is>
      </c>
      <c r="B5" s="201" t="inlineStr">
        <is>
          <t>Department of Mineral and Petroleum Resources (energy department)</t>
        </is>
      </c>
      <c r="C5" s="201" t="inlineStr">
        <is>
          <t>https://www.dmpr.gov.za/Portals/0/Energy_Website/files/media/SA FUEL SALES VOLUME/</t>
        </is>
      </c>
      <c r="D5" s="201" t="inlineStr">
        <is>
          <t>&lt;year&gt;-...-FSV....xls(x), national annual workbooks 2005-2023</t>
        </is>
      </c>
      <c r="E5" s="201" t="inlineStr">
        <is>
          <t>local to Manish and Nigel; not on main</t>
        </is>
      </c>
      <c r="F5" s="201" t="inlineStr">
        <is>
          <t>assumptions/2026/timeseries/fuel_sales_department.csv</t>
        </is>
      </c>
      <c r="G5" s="201" t="inlineStr">
        <is>
          <t>python -m lfm.scripts.fetch_energy_dept --vintage 2026</t>
        </is>
      </c>
      <c r="H5" s="201" t="inlineStr">
        <is>
          <t>2005-2023</t>
        </is>
      </c>
      <c r="I5" s="201" t="inlineStr">
        <is>
          <t>2013 corrected on manish-branch (published sheet). Series ends 2023.</t>
        </is>
      </c>
    </row>
    <row r="6">
      <c r="A6" s="201" t="inlineStr">
        <is>
          <t>History section 1: sales by province</t>
        </is>
      </c>
      <c r="B6" s="201" t="inlineStr">
        <is>
          <t>Department of Mineral and Petroleum Resources (energy department)</t>
        </is>
      </c>
      <c r="C6" s="201" t="inlineStr">
        <is>
          <t>https://www.dmpr.gov.za/Portals/0/Energy_Website/files/media/SA FUEL SALES VOLUME/</t>
        </is>
      </c>
      <c r="D6" s="201" t="inlineStr">
        <is>
          <t>&lt;year&gt;-...-Magisterial-Districts-data.xlsx, quarterly sheets</t>
        </is>
      </c>
      <c r="E6" s="201" t="inlineStr">
        <is>
          <t>local to Manish and Nigel; not on main (2013 annual workbook on manish-branch)</t>
        </is>
      </c>
      <c r="F6" s="201" t="inlineStr">
        <is>
          <t>assumptions/2026/timeseries/fuel_sales_department_by_province.csv</t>
        </is>
      </c>
      <c r="G6" s="201" t="inlineStr">
        <is>
          <t>python -m lfm.scripts.fetch_energy_dept --vintage 2026</t>
        </is>
      </c>
      <c r="H6" s="201" t="inlineStr">
        <is>
          <t>2013-2022</t>
        </is>
      </c>
      <c r="I6" s="201" t="inlineStr">
        <is>
          <t>Ends 2022. 2018 understated about 1.8% (district Q1 sheet incomplete). 2014-Q3 differs from national file.</t>
        </is>
      </c>
    </row>
    <row r="7">
      <c r="A7" s="201" t="inlineStr">
        <is>
          <t>History section 2: imports and exports</t>
        </is>
      </c>
      <c r="B7" s="201" t="inlineStr">
        <is>
          <t>South African Revenue Service, trade statistics</t>
        </is>
      </c>
      <c r="C7" s="201" t="inlineStr">
        <is>
          <t>https://tools.sars.gov.za/tradestatsportal/data_download.aspx</t>
        </is>
      </c>
      <c r="D7" s="201" t="inlineStr">
        <is>
          <t>sars-&lt;imports|exports&gt;-chapter27-fuels-&lt;year&gt;.xlsx, 2010-2026</t>
        </is>
      </c>
      <c r="E7" s="201" t="inlineStr">
        <is>
          <t>on manish-branch (external/data/raw/sars/)</t>
        </is>
      </c>
      <c r="F7" s="201" t="inlineStr">
        <is>
          <t>assumptions/2026/timeseries/fuel_trade_sars.csv</t>
        </is>
      </c>
      <c r="G7" s="201" t="inlineStr">
        <is>
          <t>python -m lfm.scripts.fetch_sars --vintage 2026</t>
        </is>
      </c>
      <c r="H7" s="201" t="inlineStr">
        <is>
          <t>2010-2026</t>
        </is>
      </c>
      <c r="I7" s="201" t="inlineStr">
        <is>
          <t>Primary record of imports and exports from 2014. Kilograms to 2012, litres from 2014, both in 2013.</t>
        </is>
      </c>
    </row>
    <row r="8">
      <c r="A8" s="201" t="inlineStr">
        <is>
          <t>History section 2: FIASA comparison rows</t>
        </is>
      </c>
      <c r="B8" s="201" t="inlineStr">
        <is>
          <t>Fuels Industry Association of South Africa (from customs data)</t>
        </is>
      </c>
      <c r="C8" s="201" t="inlineStr">
        <is>
          <t>https://fuelsindustry.org.za/publications/annual-reports/</t>
        </is>
      </c>
      <c r="D8" s="201" t="inlineStr">
        <is>
          <t>annual-report-&lt;year&gt;.pdf; 2025 edition pp.47-49</t>
        </is>
      </c>
      <c r="E8" s="201" t="inlineStr">
        <is>
          <t>local to Manish and Nigel; not on main; 2025 edition on main</t>
        </is>
      </c>
      <c r="F8" s="201" t="inlineStr">
        <is>
          <t>assumptions/2026/timeseries/fuel_trade_fiasa.csv</t>
        </is>
      </c>
      <c r="G8" s="201" t="inlineStr">
        <is>
          <t>python -m lfm.scripts.fetch_fuel_sales --vintage 2026</t>
        </is>
      </c>
      <c r="H8" s="201" t="inlineStr">
        <is>
          <t>2009-2025</t>
        </is>
      </c>
      <c r="I8" s="201" t="inlineStr">
        <is>
          <t>Cross-check, and the record before 2014; SARS is primary from 2014. 'Kerosene' is jet plus paraffin. Its 2024 diesel import figure is 4.000 bn L above customs.</t>
        </is>
      </c>
    </row>
    <row r="9">
      <c r="A9" s="201" t="inlineStr">
        <is>
          <t>History section 4: FIASA comparison row</t>
        </is>
      </c>
      <c r="B9" s="201" t="inlineStr">
        <is>
          <t>Fuels Industry Association of South Africa</t>
        </is>
      </c>
      <c r="C9" s="201" t="inlineStr">
        <is>
          <t>https://fuelsindustry.org.za/publications/annual-reports/</t>
        </is>
      </c>
      <c r="D9" s="201" t="inlineStr">
        <is>
          <t>annual-report-&lt;year&gt;.pdf, 2021-2025 editions</t>
        </is>
      </c>
      <c r="E9" s="201" t="inlineStr">
        <is>
          <t>local to Manish and Nigel; not on main; 2025 edition on main</t>
        </is>
      </c>
      <c r="F9" s="201" t="inlineStr">
        <is>
          <t>assumptions/2026/timeseries/fuel_sales_fiasa.csv</t>
        </is>
      </c>
      <c r="G9" s="201" t="inlineStr">
        <is>
          <t>python -m lfm.scripts.fetch_fuel_sales --vintage 2026</t>
        </is>
      </c>
      <c r="H9" s="201" t="inlineStr">
        <is>
          <t>2009-2024</t>
        </is>
      </c>
      <c r="I9" s="201" t="inlineStr">
        <is>
          <t>Used for 2024 only. Its 2013 figures equal the department's superseded sheet.</t>
        </is>
      </c>
    </row>
    <row r="10">
      <c r="A10" s="201" t="inlineStr">
        <is>
          <t>History section 3 and Sector history: production and diesel by sector</t>
        </is>
      </c>
      <c r="B10" s="201" t="inlineStr">
        <is>
          <t>Department of Mineral and Petroleum Resources (energy department)</t>
        </is>
      </c>
      <c r="C10" s="201" t="inlineStr">
        <is>
          <t>https://www.dmpr.gov.za/Portals/0/Energy_Website/files/media/Energy_Balances.html</t>
        </is>
      </c>
      <c r="D10" s="201" t="inlineStr">
        <is>
          <t>&lt;year&gt;-Commodity-Flow-and-Energy-Balance.xlsx, 2007-2021</t>
        </is>
      </c>
      <c r="E10" s="201" t="inlineStr">
        <is>
          <t>local to Manish and Nigel; not on main</t>
        </is>
      </c>
      <c r="F10" s="201" t="inlineStr">
        <is>
          <t>assumptions/2026/timeseries/energy_balance_department.csv</t>
        </is>
      </c>
      <c r="G10" s="201" t="inlineStr">
        <is>
          <t>python -m lfm.scripts.fetch_energy_dept --vintage 2026</t>
        </is>
      </c>
      <c r="H10" s="201" t="inlineStr">
        <is>
          <t>2007-2021</t>
        </is>
      </c>
      <c r="I10" s="201" t="inlineStr">
        <is>
          <t>Ends 2021. Sector definitions shift in 2016. Fuel oil not extracted.</t>
        </is>
      </c>
    </row>
    <row r="11">
      <c r="A11" s="201" t="inlineStr">
        <is>
          <t>History section 3: refinery output reported to JODI (comparison only, not used)</t>
        </is>
      </c>
      <c r="B11" s="201" t="inlineStr">
        <is>
          <t>JODI oil database (South Africa's submissions)</t>
        </is>
      </c>
      <c r="C11" s="201" t="inlineStr">
        <is>
          <t>https://www.jodidata.org/oil/database/data-downloads.aspx</t>
        </is>
      </c>
      <c r="D11" s="201" t="inlineStr">
        <is>
          <t>jodi-secondary-zaf-2017-2022.csv; jodi-secondary-zaf-2023-2025.csv</t>
        </is>
      </c>
      <c r="E11" s="201" t="inlineStr">
        <is>
          <t>on manish-branch (external/data/raw/jodi/)</t>
        </is>
      </c>
      <c r="F11" s="201" t="inlineStr">
        <is>
          <t>assumptions/2026/timeseries/oil_balance_jodi.csv</t>
        </is>
      </c>
      <c r="G11" s="201" t="inlineStr">
        <is>
          <t>python -m lfm.scripts.stage_jodi --vintage 2026</t>
        </is>
      </c>
      <c r="H11" s="201" t="inlineStr">
        <is>
          <t>2017-2024</t>
        </is>
      </c>
      <c r="I11" s="201" t="inlineStr">
        <is>
          <t>Lowest JODI assessment code throughout. Diesel refinery output agrees with the energy balance within 4% for 2017-2021; petrol is 12-24% higher. Imports, demand and stocks are not usable.</t>
        </is>
      </c>
    </row>
    <row r="12">
      <c r="A12" s="201" t="inlineStr">
        <is>
          <t>DR04 entry points: petrol and diesel imports by customs office</t>
        </is>
      </c>
      <c r="B12" s="201" t="inlineStr">
        <is>
          <t>South African Revenue Service, trade statistics</t>
        </is>
      </c>
      <c r="C12" s="201" t="inlineStr">
        <is>
          <t>https://tools.sars.gov.za/tradestatsportal/data_download.aspx</t>
        </is>
      </c>
      <c r="D12" s="201" t="inlineStr">
        <is>
          <t>same workbooks</t>
        </is>
      </c>
      <c r="E12" s="201" t="inlineStr">
        <is>
          <t>on manish-branch (external/data/raw/sars/)</t>
        </is>
      </c>
      <c r="F12" s="201" t="inlineStr">
        <is>
          <t>assumptions/2026/timeseries/fuel_trade_sars_by_office.csv</t>
        </is>
      </c>
      <c r="G12" s="201" t="inlineStr">
        <is>
          <t>python -m lfm.scripts.fetch_sars --vintage 2026</t>
        </is>
      </c>
      <c r="H12" s="201" t="inlineStr">
        <is>
          <t>2010-2026</t>
        </is>
      </c>
      <c r="I12" s="201" t="inlineStr">
        <is>
          <t>Customs office that cleared the goods: a proxy for entry port, not a terminal record.</t>
        </is>
      </c>
    </row>
    <row r="13">
      <c r="A13" s="201" t="inlineStr">
        <is>
          <t>History section 3: operators' reported output</t>
        </is>
      </c>
      <c r="B13" s="201" t="inlineStr">
        <is>
          <t>Sasol (production and sales metrics); Glencore (annual reports)</t>
        </is>
      </c>
      <c r="C13" s="201" t="inlineStr">
        <is>
          <t>https://www.sasol.com/</t>
        </is>
      </c>
      <c r="D13" s="201" t="inlineStr">
        <is>
          <t>sasol-metrics-fy2022/2025/2026.pdf, p.4; GLEN-2023/2024/2025-Annual-Report.pdf</t>
        </is>
      </c>
      <c r="E13" s="201" t="inlineStr">
        <is>
          <t>Sasol files on manish-branch (external/data/raw/sasol/); Glencore reports by link only</t>
        </is>
      </c>
      <c r="F13" s="201" t="inlineStr">
        <is>
          <t>assumptions/2026/reference/refinery_output_operators.csv</t>
        </is>
      </c>
      <c r="G13" s="201" t="inlineStr">
        <is>
          <t>none</t>
        </is>
      </c>
      <c r="H13" s="201" t="inlineStr">
        <is>
          <t>2020-2026</t>
        </is>
      </c>
      <c r="I13" s="201" t="inlineStr">
        <is>
          <t>All refined products, no product split; fiscal and calendar years; Astron as energy content.</t>
        </is>
      </c>
    </row>
    <row r="14">
      <c r="A14" s="201" t="inlineStr">
        <is>
          <t>History section 5: litres levied</t>
        </is>
      </c>
      <c r="B14" s="201" t="inlineStr">
        <is>
          <t>Road Accident Fund</t>
        </is>
      </c>
      <c r="C14" s="201" t="inlineStr">
        <is>
          <t>https://static.pmg.org.za/RAF_Annual_Report_2025.pdf</t>
        </is>
      </c>
      <c r="D14" s="201" t="inlineStr">
        <is>
          <t>raf-annual-report-2024-25.pdf, note 16 (p.183)</t>
        </is>
      </c>
      <c r="E14" s="201" t="inlineStr">
        <is>
          <t>on manish-branch (external/data/raw/raf/)</t>
        </is>
      </c>
      <c r="F14" s="201" t="inlineStr">
        <is>
          <t>assumptions/2026/reference/fuel_levy_revenue_raf.csv</t>
        </is>
      </c>
      <c r="G14" s="201" t="inlineStr">
        <is>
          <t>none</t>
        </is>
      </c>
      <c r="H14" s="201" t="inlineStr">
        <is>
          <t>2024-2025</t>
        </is>
      </c>
      <c r="I14" s="201" t="inlineStr">
        <is>
          <t>Gross levies and diesel rebate in rand; litres derived in the balance note. Fiscal years; petrol and diesel together.</t>
        </is>
      </c>
    </row>
    <row r="15">
      <c r="A15" s="201" t="inlineStr">
        <is>
          <t>Sector history: mining and manufacturing volume indices</t>
        </is>
      </c>
      <c r="B15" s="201" t="inlineStr">
        <is>
          <t>Statistics South Africa (P2041 mining, P3041.2 manufacturing, P7162 land transport, P0141 CPI)</t>
        </is>
      </c>
      <c r="C15" s="201" t="inlineStr">
        <is>
          <t>https://www.statssa.gov.za/?page_id=1847</t>
        </is>
      </c>
      <c r="D15" s="201" t="inlineStr">
        <is>
          <t>release zips, July and August 2026</t>
        </is>
      </c>
      <c r="E15" s="201" t="inlineStr">
        <is>
          <t>on manish-branch (external/data/raw/statssa/)</t>
        </is>
      </c>
      <c r="F15" s="201" t="inlineStr">
        <is>
          <t>assumptions/2026/timeseries/activity_statssa_monthly.csv</t>
        </is>
      </c>
      <c r="G15" s="201" t="inlineStr">
        <is>
          <t>python -m lfm.scripts.fetch_statssa_monthly --vintage 2026</t>
        </is>
      </c>
      <c r="H15" s="201" t="inlineStr">
        <is>
          <t>1998-01-2026-08</t>
        </is>
      </c>
      <c r="I15" s="201" t="inlineStr">
        <is>
          <t>Activity measures, not fuel volumes. Not seasonally adjusted. Tonnes, not tonne-kilometres.</t>
        </is>
      </c>
    </row>
    <row r="16">
      <c r="A16" s="201" t="inlineStr">
        <is>
          <t>Sector history: agriculture real value added</t>
        </is>
      </c>
      <c r="B16" s="201" t="inlineStr">
        <is>
          <t>Statistics South Africa (P0441 GDP; P0302 mid-year population)</t>
        </is>
      </c>
      <c r="C16" s="201" t="inlineStr">
        <is>
          <t>https://www.statssa.gov.za/?page_id=1854&amp;PPN=P0441</t>
        </is>
      </c>
      <c r="D16" s="201" t="inlineStr">
        <is>
          <t>GDP P0441 - GDP Time series Q2 2026.xlsx (Annual sheet); Country projection ... (2002-2026).xlsx</t>
        </is>
      </c>
      <c r="E16" s="201" t="inlineStr">
        <is>
          <t>on manish-branch (external/data/raw/statssa/)</t>
        </is>
      </c>
      <c r="F16" s="201" t="inlineStr">
        <is>
          <t>assumptions/2026/timeseries/macro_statssa.csv</t>
        </is>
      </c>
      <c r="G16" s="201" t="inlineStr">
        <is>
          <t>python -m lfm.scripts.fetch_economy --vintage 2026</t>
        </is>
      </c>
      <c r="H16" s="201" t="inlineStr">
        <is>
          <t>1993-2050</t>
        </is>
      </c>
      <c r="I16" s="201" t="inlineStr">
        <is>
          <t>Manual placement each release. Years after 2026 are projections, not observations.</t>
        </is>
      </c>
    </row>
    <row r="17">
      <c r="A17" s="201" t="inlineStr">
        <is>
          <t>History section 7: aircraft movements</t>
        </is>
      </c>
      <c r="B17" s="201" t="inlineStr">
        <is>
          <t>Airports Company South Africa</t>
        </is>
      </c>
      <c r="C17" s="201" t="inlineStr">
        <is>
          <t>https://www.airports.co.za/StatisticsLib/</t>
        </is>
      </c>
      <c r="D17" s="201" t="inlineStr">
        <is>
          <t>derived from the monthly file</t>
        </is>
      </c>
      <c r="E17" s="201" t="inlineStr">
        <is>
          <t>derived</t>
        </is>
      </c>
      <c r="F17" s="201" t="inlineStr">
        <is>
          <t>assumptions/2026/timeseries/air_traffic_acsa_annual.csv</t>
        </is>
      </c>
      <c r="G17" s="201" t="inlineStr">
        <is>
          <t>python -m lfm.scripts.fetch_acsa --vintage 2026</t>
        </is>
      </c>
      <c r="H17" s="201" t="inlineStr">
        <is>
          <t>2013-2025</t>
        </is>
      </c>
      <c r="I17" s="201" t="inlineStr"/>
    </row>
    <row r="18">
      <c r="A18" s="201" t="inlineStr">
        <is>
          <t>History section 6: quarter 1 2023 provincial shares</t>
        </is>
      </c>
      <c r="B18" s="201" t="inlineStr">
        <is>
          <t>Department of Mineral and Petroleum Resources (energy department)</t>
        </is>
      </c>
      <c r="C18" s="201" t="inlineStr">
        <is>
          <t>https://www.dmpr.gov.za/Portals/0/Energy_Website/files/media/SA FUEL SALES VOLUME/</t>
        </is>
      </c>
      <c r="D18" s="201" t="inlineStr">
        <is>
          <t>same workbooks; source_file column names each one</t>
        </is>
      </c>
      <c r="E18" s="201" t="inlineStr">
        <is>
          <t>local to Manish and Nigel; not on main</t>
        </is>
      </c>
      <c r="F18" s="201" t="inlineStr">
        <is>
          <t>assumptions/2026/timeseries/fuel_sales_department_by_province_quarterly.csv</t>
        </is>
      </c>
      <c r="G18" s="201" t="inlineStr">
        <is>
          <t>python -m lfm.scripts.fetch_energy_dept --vintage 2026</t>
        </is>
      </c>
      <c r="H18" s="201" t="inlineStr">
        <is>
          <t>2013-Q1-2023-Q1</t>
        </is>
      </c>
      <c r="I18" s="201" t="inlineStr">
        <is>
          <t>26 province/product years have blank quarters in the source (none petrol or diesel).</t>
        </is>
      </c>
    </row>
    <row r="19">
      <c r="A19" s="201" t="inlineStr">
        <is>
          <t>History section 6: provincial GDP used to move the 2024 shares</t>
        </is>
      </c>
      <c r="B19" s="201" t="inlineStr">
        <is>
          <t>Statistics South Africa (P0441.2 Provincial GDP)</t>
        </is>
      </c>
      <c r="C19" s="201" t="inlineStr">
        <is>
          <t>https://www.statssa.gov.za/?page_id=1847</t>
        </is>
      </c>
      <c r="D19" s="201" t="inlineStr">
        <is>
          <t>P0441.2  Provincial Gross Domestic Product(2024).zip, Tables 2-10, block c</t>
        </is>
      </c>
      <c r="E19" s="201" t="inlineStr">
        <is>
          <t>on manish-branch (external/data/raw/statssa/)</t>
        </is>
      </c>
      <c r="F19" s="201" t="inlineStr">
        <is>
          <t>assumptions/2026/timeseries/gdp_by_province_statssa.csv</t>
        </is>
      </c>
      <c r="G19" s="201" t="inlineStr">
        <is>
          <t>python -m lfm.scripts.fetch_economy --vintage 2026</t>
        </is>
      </c>
      <c r="H19" s="201" t="inlineStr">
        <is>
          <t>2013-2024</t>
        </is>
      </c>
      <c r="I19" s="201" t="inlineStr">
        <is>
          <t>Annual, 2013-2024. Economic activity by province, not fuel litres.</t>
        </is>
      </c>
    </row>
    <row r="20">
      <c r="A20" s="201" t="inlineStr">
        <is>
          <t>Diesel by use and Power fleet: power generation</t>
        </is>
      </c>
      <c r="B20" s="201" t="inlineStr">
        <is>
          <t>Eskom integrated reports</t>
        </is>
      </c>
      <c r="C20" s="201" t="inlineStr">
        <is>
          <t>https://www.eskom.co.za/investors/integrated-results/</t>
        </is>
      </c>
      <c r="D20" s="201" t="inlineStr">
        <is>
          <t>integrated report PDFs, years to March 2022-2026</t>
        </is>
      </c>
      <c r="E20" s="201" t="inlineStr">
        <is>
          <t>local to Manish and Nigel; not on main</t>
        </is>
      </c>
      <c r="F20" s="201" t="inlineStr">
        <is>
          <t>assumptions/2026/timeseries/ocgt_generation_eskom.csv</t>
        </is>
      </c>
      <c r="G20" s="201" t="inlineStr">
        <is>
          <t>python -m lfm.scripts.fetch_eskom --vintage 2026</t>
        </is>
      </c>
      <c r="H20" s="201" t="inlineStr">
        <is>
          <t>2022-2026</t>
        </is>
      </c>
      <c r="I20" s="201" t="inlineStr">
        <is>
          <t>GWh for financial years; diesel litres not reported in the extract.</t>
        </is>
      </c>
    </row>
    <row r="21">
      <c r="A21" s="201" t="inlineStr">
        <is>
          <t>Power fleet: stations, capacities and retirement dates</t>
        </is>
      </c>
      <c r="B21" s="201" t="inlineStr">
        <is>
          <t>Eskom; press reports</t>
        </is>
      </c>
      <c r="C21" s="201" t="inlineStr">
        <is>
          <t>https://www.eskom.co.za/eskom-divisions/gx/peaking-power-stations/</t>
        </is>
      </c>
      <c r="D21" s="201" t="inlineStr">
        <is>
          <t>eskom-gx0001-generation-plant-mix-rev29.pdf</t>
        </is>
      </c>
      <c r="E21" s="201" t="inlineStr">
        <is>
          <t>on manish-branch (external/data/raw/eskom/)</t>
        </is>
      </c>
      <c r="F21" s="201" t="inlineStr">
        <is>
          <t>assumptions/2026/infrastructure/power_fleet_diesel.csv</t>
        </is>
      </c>
      <c r="G21" s="201" t="inlineStr">
        <is>
          <t>none</t>
        </is>
      </c>
      <c r="H21" s="201" t="inlineStr">
        <is>
          <t>-</t>
        </is>
      </c>
      <c r="I21" s="201" t="inlineStr">
        <is>
          <t>Diesel peaking stations and coal stations being retired, with capacities and dates. Three rows are marked to confirm.</t>
        </is>
      </c>
    </row>
    <row r="22">
      <c r="A22" s="201" t="inlineStr">
        <is>
          <t>Diesel by use: the 0.31 litres per kWh factor</t>
        </is>
      </c>
      <c r="B22" s="201" t="inlineStr">
        <is>
          <t>Parliament (replies by the Ministers of Public Enterprises and of Electricity and Energy)</t>
        </is>
      </c>
      <c r="C22" s="201" t="inlineStr">
        <is>
          <t>https://pmg.org.za/committee-question/30686/</t>
        </is>
      </c>
      <c r="D22" s="201" t="inlineStr">
        <is>
          <t>reply NW1980 (2025); press reports for 2022 and 2023</t>
        </is>
      </c>
      <c r="E22" s="201" t="inlineStr">
        <is>
          <t>by link only</t>
        </is>
      </c>
      <c r="F22" s="201" t="inlineStr">
        <is>
          <t>assumptions/2026/reference/ocgt_diesel_burn_reported.csv</t>
        </is>
      </c>
      <c r="G22" s="201" t="inlineStr">
        <is>
          <t>none</t>
        </is>
      </c>
      <c r="H22" s="201" t="inlineStr">
        <is>
          <t>2022-2025</t>
        </is>
      </c>
      <c r="I22" s="201" t="inlineStr">
        <is>
          <t>Three years; none for the year to March 2024. Implies 0.31 litres per kWh; not adopted in the model.</t>
        </is>
      </c>
    </row>
    <row r="23">
      <c r="A23" s="201" t="inlineStr">
        <is>
          <t>Diesel by use: price used to convert road freight fuel spending to litres</t>
        </is>
      </c>
      <c r="B23" s="201" t="inlineStr">
        <is>
          <t>Department of Mineral and Petroleum Resources (energy department)</t>
        </is>
      </c>
      <c r="C23" s="201" t="inlineStr">
        <is>
          <t>https://www.dmpr.gov.za/Portals/0/Energy_Website/files/media/</t>
        </is>
      </c>
      <c r="D23" s="201" t="inlineStr">
        <is>
          <t>fuel-price-history-&lt;year&gt;.pdf, 2011-2025; price-breakdown-&lt;year&gt;-&lt;month&gt;.pdf to February 2026; cef-daily-&lt;date&gt;.pdf from February 2026 (Central Energy Fund)</t>
        </is>
      </c>
      <c r="E23" s="201" t="inlineStr">
        <is>
          <t>local to Manish and Nigel; not on main</t>
        </is>
      </c>
      <c r="F23" s="201" t="inlineStr">
        <is>
          <t>assumptions/2026/timeseries/fuel_prices_department.csv</t>
        </is>
      </c>
      <c r="G23" s="201" t="inlineStr">
        <is>
          <t>python -m lfm.scripts.fetch_energy_dept --vintage 2026</t>
        </is>
      </c>
      <c r="H23" s="201" t="inlineStr">
        <is>
          <t>2011-01-2026-10</t>
        </is>
      </c>
      <c r="I23" s="201" t="inlineStr">
        <is>
          <t>Runs to October 2026. Department to February 2026, then CEF daily sheets, which give inland prices only: coastal diesel has no value from December 2025, coastal petrol and paraffin none from March 2026.</t>
        </is>
      </c>
    </row>
    <row r="24">
      <c r="A24" s="201" t="inlineStr">
        <is>
          <t>Diesel by use and Vehicle history: vehicle classes, distance and fuel use</t>
        </is>
      </c>
      <c r="B24" s="201" t="inlineStr">
        <is>
          <t>Stone, Merven, Maseela and Moonsamy (2018), J. Energy in Southern Africa 29(2), and supplement</t>
        </is>
      </c>
      <c r="C24" s="201" t="inlineStr">
        <is>
          <t>https://www.scielo.org.za/pdf/jesa/v29n2/06.pdf</t>
        </is>
      </c>
      <c r="D24" s="201" t="inlineStr">
        <is>
          <t>stone-2018-vehicle-parc-model-jesa-29-2.pdf; stone-2018-supplementary.pdf</t>
        </is>
      </c>
      <c r="E24" s="201" t="inlineStr">
        <is>
          <t>on manish-branch (external/data/raw/literature/)</t>
        </is>
      </c>
      <c r="F24" s="201" t="inlineStr">
        <is>
          <t>assumptions/2026/reference/vehicle_parameters_stone2018.csv</t>
        </is>
      </c>
      <c r="G24" s="201" t="inlineStr">
        <is>
          <t>none</t>
        </is>
      </c>
      <c r="H24" s="201" t="inlineStr">
        <is>
          <t>-</t>
        </is>
      </c>
      <c r="I24" s="201" t="inlineStr">
        <is>
          <t>Values are for 2014. Transcription not independently re-checked.</t>
        </is>
      </c>
    </row>
    <row r="25">
      <c r="A25" s="201" t="inlineStr">
        <is>
          <t>Vehicle history: registered vehicles by class</t>
        </is>
      </c>
      <c r="B25" s="201" t="inlineStr">
        <is>
          <t>NaTIS (Road Traffic Management Corporation)</t>
        </is>
      </c>
      <c r="C25" s="201" t="inlineStr">
        <is>
          <t>https://www.natis.gov.za/</t>
        </is>
      </c>
      <c r="D25" s="201" t="inlineStr">
        <is>
          <t>monthly live vehicle population PDFs</t>
        </is>
      </c>
      <c r="E25" s="201" t="inlineStr">
        <is>
          <t>local to Manish and Nigel; not on main</t>
        </is>
      </c>
      <c r="F25" s="201" t="inlineStr">
        <is>
          <t>assumptions/2026/timeseries/vehicle_population_natis.csv</t>
        </is>
      </c>
      <c r="G25" s="201" t="inlineStr">
        <is>
          <t>python -m lfm.scripts.fetch_natis --vintage 2026</t>
        </is>
      </c>
      <c r="H25" s="201" t="inlineStr">
        <is>
          <t>2021-02-2026-06</t>
        </is>
      </c>
      <c r="I25" s="201" t="inlineStr">
        <is>
          <t>All fuels together; no petrol/diesel split.</t>
        </is>
      </c>
    </row>
    <row r="26">
      <c r="A26" s="201" t="inlineStr">
        <is>
          <t>Vehicle history: new sales by segment</t>
        </is>
      </c>
      <c r="B26" s="201" t="inlineStr">
        <is>
          <t>naamsa, quarterly review of business conditions</t>
        </is>
      </c>
      <c r="C26" s="201" t="inlineStr">
        <is>
          <t>https://naamsa.net/quarterly-reviews/</t>
        </is>
      </c>
      <c r="D26" s="201" t="inlineStr">
        <is>
          <t>quarterly review PDFs</t>
        </is>
      </c>
      <c r="E26" s="201" t="inlineStr">
        <is>
          <t>local to Manish and Nigel; not on main</t>
        </is>
      </c>
      <c r="F26" s="201" t="inlineStr">
        <is>
          <t>assumptions/2026/timeseries/new_vehicle_market_naamsa.csv</t>
        </is>
      </c>
      <c r="G26" s="201" t="inlineStr">
        <is>
          <t>python -m lfm.scripts.fetch_naamsa --vintage 2026</t>
        </is>
      </c>
      <c r="H26" s="201" t="inlineStr">
        <is>
          <t>2015-2027</t>
        </is>
      </c>
      <c r="I26" s="201" t="inlineStr">
        <is>
          <t>2026-2027 are naamsa's own outlook, not observations.</t>
        </is>
      </c>
    </row>
    <row r="27">
      <c r="A27" s="201" t="inlineStr">
        <is>
          <t>Vehicle history: electrified new sales</t>
        </is>
      </c>
      <c r="B27" s="201" t="inlineStr">
        <is>
          <t>naamsa, quarterly review of business conditions</t>
        </is>
      </c>
      <c r="C27" s="201" t="inlineStr">
        <is>
          <t>https://naamsa.net/quarterly-reviews/</t>
        </is>
      </c>
      <c r="D27" s="201" t="inlineStr">
        <is>
          <t>quarterly review PDFs</t>
        </is>
      </c>
      <c r="E27" s="201" t="inlineStr">
        <is>
          <t>local to Manish and Nigel; not on main</t>
        </is>
      </c>
      <c r="F27" s="201" t="inlineStr">
        <is>
          <t>assumptions/2026/timeseries/nev_sales_naamsa.csv</t>
        </is>
      </c>
      <c r="G27" s="201" t="inlineStr">
        <is>
          <t>python -m lfm.scripts.fetch_naamsa --vintage 2026</t>
        </is>
      </c>
      <c r="H27" s="201" t="inlineStr">
        <is>
          <t>2019-2025</t>
        </is>
      </c>
      <c r="I27" s="201" t="inlineStr">
        <is>
          <t>New sales, not fleet. Audit logged parser warnings on the 5 October refresh.</t>
        </is>
      </c>
    </row>
    <row r="28">
      <c r="A28" s="201" t="inlineStr">
        <is>
          <t>Vehicle history: fuel split of the registered fleet</t>
        </is>
      </c>
      <c r="B28" s="201" t="inlineStr">
        <is>
          <t>Department of Transport, Transport Statistics Bulletin 2023, Table 2.8 (source: RTMC)</t>
        </is>
      </c>
      <c r="C28" s="201" t="inlineStr">
        <is>
          <t>https://www.transport.gov.za/wp-content/uploads/2023/02/Transport-Statistics-Bulletin-2023.pdf</t>
        </is>
      </c>
      <c r="D28" s="201" t="inlineStr">
        <is>
          <t>dot-transport-statistics-bulletin-2023.pdf, p.40</t>
        </is>
      </c>
      <c r="E28" s="201" t="inlineStr">
        <is>
          <t>on manish-branch (external/data/raw/literature/)</t>
        </is>
      </c>
      <c r="F28" s="201" t="inlineStr">
        <is>
          <t>assumptions/2026/reference/vehicle_population_by_fuel_dot2023.csv</t>
        </is>
      </c>
      <c r="G28" s="201" t="inlineStr">
        <is>
          <t>none</t>
        </is>
      </c>
      <c r="H28" s="201" t="inlineStr">
        <is>
          <t>2023-12-2023-12</t>
        </is>
      </c>
      <c r="I28" s="201" t="inlineStr">
        <is>
          <t>One date only (December 2023). No later edition found.</t>
        </is>
      </c>
    </row>
    <row r="29">
      <c r="A29" s="201" t="inlineStr">
        <is>
          <t>Diesel by use: fuel bought by road freight businesses</t>
        </is>
      </c>
      <c r="B29" s="201" t="inlineStr">
        <is>
          <t>Statistics South Africa</t>
        </is>
      </c>
      <c r="C29" s="201" t="inlineStr">
        <is>
          <t>https://www.statssa.gov.za/?page_id=1854&amp;PPN=Report-71-02-01</t>
        </is>
      </c>
      <c r="D29" s="201" t="inlineStr">
        <is>
          <t>Report-71-02-012023.pdf, Table 20 (p.33)</t>
        </is>
      </c>
      <c r="E29" s="201" t="inlineStr">
        <is>
          <t>on manish-branch (external/data/raw/statssa/statssa-transport-and-storage-industry-2023.pdf)</t>
        </is>
      </c>
      <c r="F29" s="201" t="inlineStr">
        <is>
          <t>typed into build_demand_baseline_workbook.py (ROAD_FREIGHT_FUEL_RAND)</t>
        </is>
      </c>
      <c r="G29" s="201" t="inlineStr">
        <is>
          <t>none</t>
        </is>
      </c>
      <c r="H29" s="201" t="inlineStr">
        <is>
          <t>2019, 2023</t>
        </is>
      </c>
      <c r="I29" s="201" t="inlineStr">
        <is>
          <t>Hire-and-reward operators only; 2023 preliminary</t>
        </is>
      </c>
    </row>
    <row r="30">
      <c r="A30" s="201" t="inlineStr">
        <is>
          <t>Diesel by use: land freight share of diesel</t>
        </is>
      </c>
      <c r="B30" s="201" t="inlineStr">
        <is>
          <t>Merven, Hartley and Ahjum (2019), SA-TIED Working Paper 60</t>
        </is>
      </c>
      <c r="C30" s="201" t="inlineStr">
        <is>
          <t>https://sa-tied.wider.unu.edu/sites/default/files/pdf/SATIED_WP60_Merven_Hartley_Ahjum_April_2019.pdf</t>
        </is>
      </c>
      <c r="D30" s="201" t="inlineStr">
        <is>
          <t>p.10</t>
        </is>
      </c>
      <c r="E30" s="201" t="inlineStr">
        <is>
          <t>on manish-branch (external/data/raw/literature/)</t>
        </is>
      </c>
      <c r="F30" s="201" t="inlineStr">
        <is>
          <t>quoted on the sheet</t>
        </is>
      </c>
      <c r="G30" s="201" t="inlineStr">
        <is>
          <t>none</t>
        </is>
      </c>
      <c r="H30" s="201" t="inlineStr">
        <is>
          <t>2012</t>
        </is>
      </c>
      <c r="I30" s="201" t="inlineStr">
        <is>
          <t>Modelled; same research group as the vehicle study</t>
        </is>
      </c>
    </row>
    <row r="31">
      <c r="A31" s="201" t="inlineStr">
        <is>
          <t>Vehicle history and Diesel by use: the model's settings</t>
        </is>
      </c>
      <c r="B31" s="201" t="inlineStr">
        <is>
          <t>AIA (Reatile workbook, March 2025)</t>
        </is>
      </c>
      <c r="C31" s="201" t="inlineStr"/>
      <c r="D31" s="201" t="inlineStr">
        <is>
          <t>assumptions/2026/vehicles.yaml</t>
        </is>
      </c>
      <c r="E31" s="201" t="inlineStr">
        <is>
          <t>in the repository</t>
        </is>
      </c>
      <c r="F31" s="201" t="inlineStr">
        <is>
          <t>assumptions/2026/vehicles.yaml</t>
        </is>
      </c>
      <c r="G31" s="201" t="inlineStr">
        <is>
          <t>none</t>
        </is>
      </c>
      <c r="H31" s="201" t="inlineStr"/>
      <c r="I31" s="201" t="inlineStr">
        <is>
          <t>Placeholders without a published source</t>
        </is>
      </c>
    </row>
    <row r="32">
      <c r="A32" s="201" t="inlineStr">
        <is>
          <t>HML response</t>
        </is>
      </c>
      <c r="B32" s="201" t="inlineStr">
        <is>
          <t>AIA (analyst), from the sources named in each row</t>
        </is>
      </c>
      <c r="C32" s="201" t="inlineStr"/>
      <c r="D32" s="201" t="inlineStr">
        <is>
          <t>workstreams/WS2_model_development/fuel_lever_response_2026-10-07.csv</t>
        </is>
      </c>
      <c r="E32" s="201" t="inlineStr">
        <is>
          <t>in the repository</t>
        </is>
      </c>
      <c r="F32" s="201" t="inlineStr">
        <is>
          <t>same file</t>
        </is>
      </c>
      <c r="G32" s="201" t="inlineStr">
        <is>
          <t>python -m lfm.scripts.build_fuel_lever_response --vintage 2026</t>
        </is>
      </c>
      <c r="H32" s="201" t="inlineStr">
        <is>
          <t>2030, 2035</t>
        </is>
      </c>
      <c r="I32" s="201" t="inlineStr">
        <is>
          <t>Proposals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2026-10-08T19:31:33Z</dcterms:created>
  <dcterms:modified xmlns:dcterms="http://purl.org/dc/terms/" xmlns:xsi="http://www.w3.org/2001/XMLSchema-instance" xsi:type="dcterms:W3CDTF">2026-10-08T19:31:35Z</dcterms:modified>
</cp:coreProperties>
</file>