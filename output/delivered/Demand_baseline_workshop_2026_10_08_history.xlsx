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DR01 balance" sheetId="18" state="visible" r:id="rId18"/>
    <sheet xmlns:r="http://schemas.openxmlformats.org/officeDocument/2006/relationships" name="Sector history" sheetId="19" state="visible" r:id="rId19"/>
    <sheet xmlns:r="http://schemas.openxmlformats.org/officeDocument/2006/relationships" name="Diesel by use" sheetId="20" state="visible" r:id="rId20"/>
    <sheet xmlns:r="http://schemas.openxmlformats.org/officeDocument/2006/relationships" name="Demand by use" sheetId="21" state="visible" r:id="rId21"/>
    <sheet xmlns:r="http://schemas.openxmlformats.org/officeDocument/2006/relationships" name="DR04 routes" sheetId="22" state="visible" r:id="rId22"/>
    <sheet xmlns:r="http://schemas.openxmlformats.org/officeDocument/2006/relationships" name="DR04 entry points" sheetId="23" state="visible" r:id="rId23"/>
    <sheet xmlns:r="http://schemas.openxmlformats.org/officeDocument/2006/relationships" name="DR04 transport cost" sheetId="24" state="visible" r:id="rId24"/>
    <sheet xmlns:r="http://schemas.openxmlformats.org/officeDocument/2006/relationships" name="DR07 evidence" sheetId="25" state="visible" r:id="rId25"/>
    <sheet xmlns:r="http://schemas.openxmlformats.org/officeDocument/2006/relationships" name="DR07 power diesel" sheetId="26" state="visible" r:id="rId26"/>
    <sheet xmlns:r="http://schemas.openxmlformats.org/officeDocument/2006/relationships" name="DR07 fleet by province" sheetId="27" state="visible" r:id="rId27"/>
    <sheet xmlns:r="http://schemas.openxmlformats.org/officeDocument/2006/relationships" name="DR07 efficiency and rail" sheetId="28" state="visible" r:id="rId28"/>
    <sheet xmlns:r="http://schemas.openxmlformats.org/officeDocument/2006/relationships" name="Power fleet" sheetId="29" state="visible" r:id="rId29"/>
    <sheet xmlns:r="http://schemas.openxmlformats.org/officeDocument/2006/relationships" name="Vehicle history" sheetId="30" state="visible" r:id="rId30"/>
    <sheet xmlns:r="http://schemas.openxmlformats.org/officeDocument/2006/relationships" name="HML response" sheetId="31" state="visible" r:id="rId31"/>
    <sheet xmlns:r="http://schemas.openxmlformats.org/officeDocument/2006/relationships" name="Gap status" sheetId="32" state="visible" r:id="rId32"/>
    <sheet xmlns:r="http://schemas.openxmlformats.org/officeDocument/2006/relationships" name="Checks" sheetId="33" state="visible" r:id="rId33"/>
    <sheet xmlns:r="http://schemas.openxmlformats.org/officeDocument/2006/relationships" name="History sources" sheetId="34" state="visible" r:id="rId34"/>
  </sheets>
  <definedNames/>
</workbook>
</file>

<file path=xl/styles.xml><?xml version="1.0" encoding="utf-8"?>
<styleSheet xmlns="http://schemas.openxmlformats.org/spreadsheetml/2006/main">
  <numFmts count="8">
    <numFmt numFmtId="164" formatCode="#,##0.0"/>
    <numFmt numFmtId="165" formatCode="0.0%"/>
    <numFmt numFmtId="166" formatCode="0.0000"/>
    <numFmt numFmtId="167" formatCode="#,##0.0000"/>
    <numFmt numFmtId="168" formatCode="0.0"/>
    <numFmt numFmtId="169" formatCode="[&gt;=0.005]0.00;[&lt;=-0.005]-0.00;0.00"/>
    <numFmt numFmtId="170" formatCode="0.000"/>
    <numFmt numFmtId="171"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206">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0" fontId="4" fillId="19" borderId="0" applyAlignment="1" pivotButton="0" quotePrefix="0" xfId="0">
      <alignment horizontal="left" vertical="top"/>
    </xf>
    <xf numFmtId="0" fontId="4" fillId="19" borderId="0" applyAlignment="1" pivotButton="0" quotePrefix="0" xfId="0">
      <alignment horizontal="right" vertical="top"/>
    </xf>
    <xf numFmtId="0" fontId="1" fillId="18" borderId="0" applyAlignment="1" pivotButton="0" quotePrefix="0" xfId="0">
      <alignment horizontal="left" vertical="top"/>
    </xf>
    <xf numFmtId="169" fontId="1" fillId="18" borderId="0" applyAlignment="1" pivotButton="0" quotePrefix="0" xfId="0">
      <alignment horizontal="right" vertical="top"/>
    </xf>
    <xf numFmtId="0" fontId="1" fillId="18" borderId="0" applyAlignment="1" pivotButton="0" quotePrefix="0" xfId="0">
      <alignment horizontal="left" vertical="top" wrapText="1"/>
    </xf>
    <xf numFmtId="0" fontId="5" fillId="10" borderId="0" applyAlignment="1" pivotButton="0" quotePrefix="0" xfId="0">
      <alignment horizontal="left" vertical="top"/>
    </xf>
    <xf numFmtId="169" fontId="1" fillId="10" borderId="0" applyAlignment="1" pivotButton="0" quotePrefix="0" xfId="0">
      <alignment horizontal="right" vertical="top"/>
    </xf>
    <xf numFmtId="0" fontId="1" fillId="10" borderId="0" applyAlignment="1" pivotButton="0" quotePrefix="0" xfId="0">
      <alignment horizontal="left" vertical="top" wrapText="1"/>
    </xf>
    <xf numFmtId="0" fontId="1" fillId="10" borderId="0" applyAlignment="1" pivotButton="0" quotePrefix="0" xfId="0">
      <alignment horizontal="lef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0" fontId="1" fillId="15" borderId="0" applyAlignment="1" pivotButton="0" quotePrefix="0" xfId="0">
      <alignment horizontal="left" vertical="top"/>
    </xf>
    <xf numFmtId="169" fontId="7" fillId="15" borderId="0" applyAlignment="1" pivotButton="0" quotePrefix="0" xfId="0">
      <alignment horizontal="right" vertical="top"/>
    </xf>
    <xf numFmtId="0" fontId="1" fillId="15" borderId="0" applyAlignment="1" pivotButton="0" quotePrefix="0" xfId="0">
      <alignment horizontal="left" vertical="top" wrapText="1"/>
    </xf>
    <xf numFmtId="9" fontId="1" fillId="10" borderId="0" applyAlignment="1" pivotButton="0" quotePrefix="0" xfId="0">
      <alignment horizontal="right" vertical="top"/>
    </xf>
    <xf numFmtId="0" fontId="4" fillId="19" borderId="0" pivotButton="0" quotePrefix="0" xfId="0"/>
    <xf numFmtId="2" fontId="1" fillId="18" borderId="0" applyAlignment="1" pivotButton="0" quotePrefix="0" xfId="0">
      <alignment horizontal="right" vertical="top"/>
    </xf>
    <xf numFmtId="2" fontId="7" fillId="18" borderId="0" applyAlignment="1" pivotButton="0" quotePrefix="0" xfId="0">
      <alignment horizontal="right" vertical="top"/>
    </xf>
    <xf numFmtId="2" fontId="1" fillId="15" borderId="0" applyAlignment="1" pivotButton="0" quotePrefix="0" xfId="0">
      <alignment horizontal="right" vertical="top"/>
    </xf>
    <xf numFmtId="0" fontId="5" fillId="18" borderId="0" applyAlignment="1" pivotButton="0" quotePrefix="0" xfId="0">
      <alignment horizontal="left" vertical="top"/>
    </xf>
    <xf numFmtId="0" fontId="1" fillId="18" borderId="0" applyAlignment="1" pivotButton="0" quotePrefix="0" xfId="0">
      <alignment horizontal="right" vertical="top"/>
    </xf>
    <xf numFmtId="168" fontId="1" fillId="18" borderId="0" applyAlignment="1" pivotButton="0" quotePrefix="0" xfId="0">
      <alignment horizontal="right" vertical="top"/>
    </xf>
    <xf numFmtId="168" fontId="1" fillId="10" borderId="0" applyAlignment="1" pivotButton="0" quotePrefix="0" xfId="0">
      <alignment horizontal="right" vertical="top"/>
    </xf>
    <xf numFmtId="3" fontId="1" fillId="18" borderId="0" applyAlignment="1" pivotButton="0" quotePrefix="0" xfId="0">
      <alignment horizontal="right" vertical="top"/>
    </xf>
    <xf numFmtId="170" fontId="1" fillId="10" borderId="0" applyAlignment="1" pivotButton="0" quotePrefix="0" xfId="0">
      <alignment horizontal="right" vertical="top"/>
    </xf>
    <xf numFmtId="165" fontId="1" fillId="10" borderId="0" applyAlignment="1" pivotButton="0" quotePrefix="0" xfId="0">
      <alignment horizontal="right" vertical="top"/>
    </xf>
    <xf numFmtId="3" fontId="1" fillId="10" borderId="0" applyAlignment="1" pivotButton="0" quotePrefix="0" xfId="0">
      <alignment horizontal="right" vertical="top"/>
    </xf>
    <xf numFmtId="1" fontId="5" fillId="10" borderId="0" applyAlignment="1" pivotButton="0" quotePrefix="0" xfId="0">
      <alignment horizontal="right" vertical="top"/>
    </xf>
    <xf numFmtId="0" fontId="5" fillId="10" borderId="0" applyAlignment="1" pivotButton="0" quotePrefix="0" xfId="0">
      <alignment horizontal="left" vertical="top" wrapText="1"/>
    </xf>
    <xf numFmtId="0" fontId="1" fillId="10" borderId="0" applyAlignment="1" pivotButton="0" quotePrefix="0" xfId="0">
      <alignment horizontal="righ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171"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 has published no petrol sales after 2023, by province or nationally, so there is no total to split. FIASA and JODI each have a national 2024 figure (9,029 and 10,138 million litres) but neither is reliable, so FIASA is not used and JODI is not used. FIASA: its 2024 and 2025 annual reports give different figures for 2024 (8,763 in the 2024 edition), its 2025 row is a copy of its 2024 row, and it attributes its sales to the department, which has published none. JODI: its demand was 2,648 and 3,035 million litres above department sales in 2022 and 2023, so it is not on the same basis, and every entry carries JODI's lowest reliability code. Neither has provincial data, and neither has a 2025 figure.</t>
        </is>
      </c>
      <c r="F18" s="161" t="n"/>
      <c r="G18" s="161" t="n"/>
      <c r="H18" s="161" t="n"/>
      <c r="I18" s="161" t="n"/>
      <c r="J18" s="161" t="n"/>
      <c r="K18" s="161" t="n"/>
      <c r="L18" s="161" t="n"/>
      <c r="M18" s="161" t="n"/>
      <c r="N18" s="161" t="n"/>
      <c r="O18" s="161" t="n"/>
      <c r="P18" s="161" t="n"/>
      <c r="Q18" s="161" t="n"/>
      <c r="R18" s="161" t="n"/>
      <c r="S18" s="161" t="n"/>
      <c r="T18" s="159" t="inlineStr">
        <is>
          <t>2024 and 2025 blank</t>
        </is>
      </c>
      <c r="U18" s="159" t="inlineStr">
        <is>
          <t>FIASA annual reports 2024 (p.32) and 2025 (p.47); JODI oil database; department sales volumes page</t>
        </is>
      </c>
      <c r="V18" s="159" t="inlineStr">
        <is>
          <t>Fill in when the department publishes</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 has published no diesel sales after 2023, by province or nationally, so there is no total to split. FIASA and JODI each have a national 2024 figure (11,734 and 10,038 million litres) but neither is reliable, so FIASA is not used and JODI is not used. FIASA: its 2024 and 2025 annual reports give different figures for 2024 (11,807 in the 2024 edition), its 2025 row is a copy of its 2024 row, and it attributes its sales to the department, which has published none. JODI: its demand was 945 and 1,464 million litres above department sales in 2022 and 2023, so it is not on the same basis, and every entry carries JODI's lowest reliability code. Neither has provincial data, and neither has a 2025 figure.</t>
        </is>
      </c>
      <c r="F33" s="161" t="n"/>
      <c r="G33" s="161" t="n"/>
      <c r="H33" s="161" t="n"/>
      <c r="I33" s="161" t="n"/>
      <c r="J33" s="161" t="n"/>
      <c r="K33" s="161" t="n"/>
      <c r="L33" s="161" t="n"/>
      <c r="M33" s="161" t="n"/>
      <c r="N33" s="161" t="n"/>
      <c r="O33" s="161" t="n"/>
      <c r="P33" s="161" t="n"/>
      <c r="Q33" s="161" t="n"/>
      <c r="R33" s="161" t="n"/>
      <c r="S33" s="161" t="n"/>
      <c r="T33" s="159" t="inlineStr">
        <is>
          <t>2024 and 2025 blank</t>
        </is>
      </c>
      <c r="U33" s="159" t="inlineStr">
        <is>
          <t>FIASA annual reports 2024 (p.32) and 2025 (p.47); JODI oil database; department sales volumes page</t>
        </is>
      </c>
      <c r="V33" s="159" t="inlineStr">
        <is>
          <t>Fill in when the department publishes</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The sum of the nine provinces (section 1) where there is one; otherwise the department's national file. 2023 is the national total, which the provincial estimates add up to.</t>
        </is>
      </c>
      <c r="F61" s="158">
        <f>IF(ISNUMBER(F15),F15,IF(ISNUMBER(F16),F16,""))</f>
        <v/>
      </c>
      <c r="G61" s="158">
        <f>IF(ISNUMBER(G15),G15,IF(ISNUMBER(G16),G16,""))</f>
        <v/>
      </c>
      <c r="H61" s="158">
        <f>IF(ISNUMBER(H15),H15,IF(ISNUMBER(H16),H16,""))</f>
        <v/>
      </c>
      <c r="I61" s="158">
        <f>IF(ISNUMBER(I15),I15,IF(ISNUMBER(I16),I16,""))</f>
        <v/>
      </c>
      <c r="J61" s="158">
        <f>IF(ISNUMBER(J15),J15,IF(ISNUMBER(J16),J16,""))</f>
        <v/>
      </c>
      <c r="K61" s="158">
        <f>IF(ISNUMBER(K15),K15,IF(ISNUMBER(K16),K16,""))</f>
        <v/>
      </c>
      <c r="L61" s="158">
        <f>IF(ISNUMBER(L15),L15,IF(ISNUMBER(L16),L16,""))</f>
        <v/>
      </c>
      <c r="M61" s="158">
        <f>IF(ISNUMBER(M15),M15,IF(ISNUMBER(M16),M16,""))</f>
        <v/>
      </c>
      <c r="N61" s="158">
        <f>IF(ISNUMBER(N15),N15,IF(ISNUMBER(N16),N16,""))</f>
        <v/>
      </c>
      <c r="O61" s="158">
        <f>IF(ISNUMBER(O15),O15,IF(ISNUMBER(O16),O16,""))</f>
        <v/>
      </c>
      <c r="P61" s="158">
        <f>IF(ISNUMBER(P15),P15,IF(ISNUMBER(P16),P16,""))</f>
        <v/>
      </c>
      <c r="Q61" s="158">
        <f>IF(ISNUMBER(Q15),Q15,IF(ISNUMBER(Q16),Q16,""))</f>
        <v/>
      </c>
      <c r="R61" s="158">
        <f>IF(ISNUMBER(R15),R15,IF(ISNUMBER(R16),R16,""))</f>
        <v/>
      </c>
      <c r="S61" s="158">
        <f>IF(ISNUMBER(S15),S15,IF(ISNUMBER(S16),S16,""))</f>
        <v/>
      </c>
      <c r="T61" s="156" t="inlineStr">
        <is>
          <t>Provinces 2013-2023 (2023 estimated); national file 2012; blank for 2024 and 2025</t>
        </is>
      </c>
      <c r="U61" s="156" t="inlineStr">
        <is>
          <t>Department district sales summed to province; national file for 2012 and the 2023 total</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The sum of the nine provinces (section 1) where there is one; otherwise the department's national file. 2023 is the national total, which the provincial estimates add up to.</t>
        </is>
      </c>
      <c r="F66" s="158">
        <f>IF(ISNUMBER(F30),F30,IF(ISNUMBER(F31),F31,""))</f>
        <v/>
      </c>
      <c r="G66" s="158">
        <f>IF(ISNUMBER(G30),G30,IF(ISNUMBER(G31),G31,""))</f>
        <v/>
      </c>
      <c r="H66" s="158">
        <f>IF(ISNUMBER(H30),H30,IF(ISNUMBER(H31),H31,""))</f>
        <v/>
      </c>
      <c r="I66" s="158">
        <f>IF(ISNUMBER(I30),I30,IF(ISNUMBER(I31),I31,""))</f>
        <v/>
      </c>
      <c r="J66" s="158">
        <f>IF(ISNUMBER(J30),J30,IF(ISNUMBER(J31),J31,""))</f>
        <v/>
      </c>
      <c r="K66" s="158">
        <f>IF(ISNUMBER(K30),K30,IF(ISNUMBER(K31),K31,""))</f>
        <v/>
      </c>
      <c r="L66" s="158">
        <f>IF(ISNUMBER(L30),L30,IF(ISNUMBER(L31),L31,""))</f>
        <v/>
      </c>
      <c r="M66" s="158">
        <f>IF(ISNUMBER(M30),M30,IF(ISNUMBER(M31),M31,""))</f>
        <v/>
      </c>
      <c r="N66" s="158">
        <f>IF(ISNUMBER(N30),N30,IF(ISNUMBER(N31),N31,""))</f>
        <v/>
      </c>
      <c r="O66" s="158">
        <f>IF(ISNUMBER(O30),O30,IF(ISNUMBER(O31),O31,""))</f>
        <v/>
      </c>
      <c r="P66" s="158">
        <f>IF(ISNUMBER(P30),P30,IF(ISNUMBER(P31),P31,""))</f>
        <v/>
      </c>
      <c r="Q66" s="158">
        <f>IF(ISNUMBER(Q30),Q30,IF(ISNUMBER(Q31),Q31,""))</f>
        <v/>
      </c>
      <c r="R66" s="158">
        <f>IF(ISNUMBER(R30),R30,IF(ISNUMBER(R31),R31,""))</f>
        <v/>
      </c>
      <c r="S66" s="158">
        <f>IF(ISNUMBER(S30),S30,IF(ISNUMBER(S31),S31,""))</f>
        <v/>
      </c>
      <c r="T66" s="156" t="inlineStr">
        <is>
          <t>Provinces 2013-2023 (2023 estimated); national file 2012; blank for 2024 and 2025</t>
        </is>
      </c>
      <c r="U66" s="156" t="inlineStr">
        <is>
          <t>Department district sales summed to province; national file for 2012 and the 2023 total</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the department's national total (section 1). Blank where no national figure exists.</t>
        </is>
      </c>
      <c r="F86" s="165" t="n"/>
      <c r="G86" s="165" t="n"/>
      <c r="H86" s="165" t="n"/>
      <c r="I86" s="165" t="n"/>
      <c r="J86" s="165" t="n"/>
      <c r="K86" s="165" t="n"/>
      <c r="L86" s="165" t="n"/>
      <c r="M86" s="165" t="n"/>
      <c r="N86" s="165" t="n"/>
      <c r="O86" s="165" t="n"/>
      <c r="P86" s="165" t="n"/>
      <c r="Q86" s="165">
        <f>IF(COUNT(Q77,Q16)&lt;2,"",Q77/100*Q16)</f>
        <v/>
      </c>
      <c r="R86" s="165">
        <f>IF(COUNT(R77,R16)&lt;2,"",R77/100*R16)</f>
        <v/>
      </c>
      <c r="S86" s="165">
        <f>IF(COUNT(S77,S16)&lt;2,"",S77/100*S16)</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the department's national total (section 1). Blank where no national figure exists.</t>
        </is>
      </c>
      <c r="F87" s="165" t="n"/>
      <c r="G87" s="165" t="n"/>
      <c r="H87" s="165" t="n"/>
      <c r="I87" s="165" t="n"/>
      <c r="J87" s="165" t="n"/>
      <c r="K87" s="165" t="n"/>
      <c r="L87" s="165" t="n"/>
      <c r="M87" s="165" t="n"/>
      <c r="N87" s="165" t="n"/>
      <c r="O87" s="165" t="n"/>
      <c r="P87" s="165" t="n"/>
      <c r="Q87" s="165">
        <f>IF(COUNT(Q78,Q16)&lt;2,"",Q78/100*Q16)</f>
        <v/>
      </c>
      <c r="R87" s="165">
        <f>IF(COUNT(R78,R16)&lt;2,"",R78/100*R16)</f>
        <v/>
      </c>
      <c r="S87" s="165">
        <f>IF(COUNT(S78,S16)&lt;2,"",S78/100*S16)</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the department's national total (section 1). Blank where no national figure exists.</t>
        </is>
      </c>
      <c r="F88" s="165" t="n"/>
      <c r="G88" s="165" t="n"/>
      <c r="H88" s="165" t="n"/>
      <c r="I88" s="165" t="n"/>
      <c r="J88" s="165" t="n"/>
      <c r="K88" s="165" t="n"/>
      <c r="L88" s="165" t="n"/>
      <c r="M88" s="165" t="n"/>
      <c r="N88" s="165" t="n"/>
      <c r="O88" s="165" t="n"/>
      <c r="P88" s="165" t="n"/>
      <c r="Q88" s="165">
        <f>IF(COUNT(Q79,Q16)&lt;2,"",Q79/100*Q16)</f>
        <v/>
      </c>
      <c r="R88" s="165">
        <f>IF(COUNT(R79,R16)&lt;2,"",R79/100*R16)</f>
        <v/>
      </c>
      <c r="S88" s="165">
        <f>IF(COUNT(S79,S16)&lt;2,"",S79/100*S16)</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the department's national total (section 1). Blank where no national figure exists.</t>
        </is>
      </c>
      <c r="F89" s="165" t="n"/>
      <c r="G89" s="165" t="n"/>
      <c r="H89" s="165" t="n"/>
      <c r="I89" s="165" t="n"/>
      <c r="J89" s="165" t="n"/>
      <c r="K89" s="165" t="n"/>
      <c r="L89" s="165" t="n"/>
      <c r="M89" s="165" t="n"/>
      <c r="N89" s="165" t="n"/>
      <c r="O89" s="165" t="n"/>
      <c r="P89" s="165" t="n"/>
      <c r="Q89" s="165">
        <f>IF(COUNT(Q80,Q16)&lt;2,"",Q80/100*Q16)</f>
        <v/>
      </c>
      <c r="R89" s="165">
        <f>IF(COUNT(R80,R16)&lt;2,"",R80/100*R16)</f>
        <v/>
      </c>
      <c r="S89" s="165">
        <f>IF(COUNT(S80,S16)&lt;2,"",S80/100*S16)</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the department's national total (section 1). Blank where no national figure exists.</t>
        </is>
      </c>
      <c r="F90" s="165" t="n"/>
      <c r="G90" s="165" t="n"/>
      <c r="H90" s="165" t="n"/>
      <c r="I90" s="165" t="n"/>
      <c r="J90" s="165" t="n"/>
      <c r="K90" s="165" t="n"/>
      <c r="L90" s="165" t="n"/>
      <c r="M90" s="165" t="n"/>
      <c r="N90" s="165" t="n"/>
      <c r="O90" s="165" t="n"/>
      <c r="P90" s="165" t="n"/>
      <c r="Q90" s="165">
        <f>IF(COUNT(Q81,Q16)&lt;2,"",Q81/100*Q16)</f>
        <v/>
      </c>
      <c r="R90" s="165">
        <f>IF(COUNT(R81,R16)&lt;2,"",R81/100*R16)</f>
        <v/>
      </c>
      <c r="S90" s="165">
        <f>IF(COUNT(S81,S16)&lt;2,"",S81/100*S16)</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the department's national total (section 1). Blank where no national figure exists.</t>
        </is>
      </c>
      <c r="F91" s="165" t="n"/>
      <c r="G91" s="165" t="n"/>
      <c r="H91" s="165" t="n"/>
      <c r="I91" s="165" t="n"/>
      <c r="J91" s="165" t="n"/>
      <c r="K91" s="165" t="n"/>
      <c r="L91" s="165" t="n"/>
      <c r="M91" s="165" t="n"/>
      <c r="N91" s="165" t="n"/>
      <c r="O91" s="165" t="n"/>
      <c r="P91" s="165" t="n"/>
      <c r="Q91" s="165">
        <f>IF(COUNT(Q82,Q16)&lt;2,"",Q82/100*Q16)</f>
        <v/>
      </c>
      <c r="R91" s="165">
        <f>IF(COUNT(R82,R16)&lt;2,"",R82/100*R16)</f>
        <v/>
      </c>
      <c r="S91" s="165">
        <f>IF(COUNT(S82,S16)&lt;2,"",S82/100*S16)</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the department's national total (section 1). Blank where no national figure exists.</t>
        </is>
      </c>
      <c r="F92" s="165" t="n"/>
      <c r="G92" s="165" t="n"/>
      <c r="H92" s="165" t="n"/>
      <c r="I92" s="165" t="n"/>
      <c r="J92" s="165" t="n"/>
      <c r="K92" s="165" t="n"/>
      <c r="L92" s="165" t="n"/>
      <c r="M92" s="165" t="n"/>
      <c r="N92" s="165" t="n"/>
      <c r="O92" s="165" t="n"/>
      <c r="P92" s="165" t="n"/>
      <c r="Q92" s="165">
        <f>IF(COUNT(Q83,Q16)&lt;2,"",Q83/100*Q16)</f>
        <v/>
      </c>
      <c r="R92" s="165">
        <f>IF(COUNT(R83,R16)&lt;2,"",R83/100*R16)</f>
        <v/>
      </c>
      <c r="S92" s="165">
        <f>IF(COUNT(S83,S16)&lt;2,"",S83/100*S16)</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the department's national total (section 1). Blank where no national figure exists.</t>
        </is>
      </c>
      <c r="F93" s="165" t="n"/>
      <c r="G93" s="165" t="n"/>
      <c r="H93" s="165" t="n"/>
      <c r="I93" s="165" t="n"/>
      <c r="J93" s="165" t="n"/>
      <c r="K93" s="165" t="n"/>
      <c r="L93" s="165" t="n"/>
      <c r="M93" s="165" t="n"/>
      <c r="N93" s="165" t="n"/>
      <c r="O93" s="165" t="n"/>
      <c r="P93" s="165" t="n"/>
      <c r="Q93" s="165">
        <f>IF(COUNT(Q84,Q16)&lt;2,"",Q84/100*Q16)</f>
        <v/>
      </c>
      <c r="R93" s="165">
        <f>IF(COUNT(R84,R16)&lt;2,"",R84/100*R16)</f>
        <v/>
      </c>
      <c r="S93" s="165">
        <f>IF(COUNT(S84,S16)&lt;2,"",S84/100*S16)</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the department's national total (section 1). Blank where no national figure exists.</t>
        </is>
      </c>
      <c r="F94" s="165" t="n"/>
      <c r="G94" s="165" t="n"/>
      <c r="H94" s="165" t="n"/>
      <c r="I94" s="165" t="n"/>
      <c r="J94" s="165" t="n"/>
      <c r="K94" s="165" t="n"/>
      <c r="L94" s="165" t="n"/>
      <c r="M94" s="165" t="n"/>
      <c r="N94" s="165" t="n"/>
      <c r="O94" s="165" t="n"/>
      <c r="P94" s="165" t="n"/>
      <c r="Q94" s="165">
        <f>IF(COUNT(Q85,Q16)&lt;2,"",Q85/100*Q16)</f>
        <v/>
      </c>
      <c r="R94" s="165">
        <f>IF(COUNT(R85,R16)&lt;2,"",R85/100*R16)</f>
        <v/>
      </c>
      <c r="S94" s="165">
        <f>IF(COUNT(S85,S16)&lt;2,"",S85/100*S16)</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the department's national total (section 1). Blank where no national figure exists.</t>
        </is>
      </c>
      <c r="F106" s="165" t="n"/>
      <c r="G106" s="165" t="n"/>
      <c r="H106" s="165" t="n"/>
      <c r="I106" s="165" t="n"/>
      <c r="J106" s="165" t="n"/>
      <c r="K106" s="165" t="n"/>
      <c r="L106" s="165" t="n"/>
      <c r="M106" s="165" t="n"/>
      <c r="N106" s="165" t="n"/>
      <c r="O106" s="165" t="n"/>
      <c r="P106" s="165" t="n"/>
      <c r="Q106" s="165">
        <f>IF(COUNT(Q97,Q31)&lt;2,"",Q97/100*Q31)</f>
        <v/>
      </c>
      <c r="R106" s="165">
        <f>IF(COUNT(R97,R31)&lt;2,"",R97/100*R31)</f>
        <v/>
      </c>
      <c r="S106" s="165">
        <f>IF(COUNT(S97,S31)&lt;2,"",S97/100*S31)</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the department's national total (section 1). Blank where no national figure exists.</t>
        </is>
      </c>
      <c r="F107" s="165" t="n"/>
      <c r="G107" s="165" t="n"/>
      <c r="H107" s="165" t="n"/>
      <c r="I107" s="165" t="n"/>
      <c r="J107" s="165" t="n"/>
      <c r="K107" s="165" t="n"/>
      <c r="L107" s="165" t="n"/>
      <c r="M107" s="165" t="n"/>
      <c r="N107" s="165" t="n"/>
      <c r="O107" s="165" t="n"/>
      <c r="P107" s="165" t="n"/>
      <c r="Q107" s="165">
        <f>IF(COUNT(Q98,Q31)&lt;2,"",Q98/100*Q31)</f>
        <v/>
      </c>
      <c r="R107" s="165">
        <f>IF(COUNT(R98,R31)&lt;2,"",R98/100*R31)</f>
        <v/>
      </c>
      <c r="S107" s="165">
        <f>IF(COUNT(S98,S31)&lt;2,"",S98/100*S31)</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the department's national total (section 1). Blank where no national figure exists.</t>
        </is>
      </c>
      <c r="F108" s="165" t="n"/>
      <c r="G108" s="165" t="n"/>
      <c r="H108" s="165" t="n"/>
      <c r="I108" s="165" t="n"/>
      <c r="J108" s="165" t="n"/>
      <c r="K108" s="165" t="n"/>
      <c r="L108" s="165" t="n"/>
      <c r="M108" s="165" t="n"/>
      <c r="N108" s="165" t="n"/>
      <c r="O108" s="165" t="n"/>
      <c r="P108" s="165" t="n"/>
      <c r="Q108" s="165">
        <f>IF(COUNT(Q99,Q31)&lt;2,"",Q99/100*Q31)</f>
        <v/>
      </c>
      <c r="R108" s="165">
        <f>IF(COUNT(R99,R31)&lt;2,"",R99/100*R31)</f>
        <v/>
      </c>
      <c r="S108" s="165">
        <f>IF(COUNT(S99,S31)&lt;2,"",S99/100*S31)</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the department's national total (section 1). Blank where no national figure exists.</t>
        </is>
      </c>
      <c r="F109" s="165" t="n"/>
      <c r="G109" s="165" t="n"/>
      <c r="H109" s="165" t="n"/>
      <c r="I109" s="165" t="n"/>
      <c r="J109" s="165" t="n"/>
      <c r="K109" s="165" t="n"/>
      <c r="L109" s="165" t="n"/>
      <c r="M109" s="165" t="n"/>
      <c r="N109" s="165" t="n"/>
      <c r="O109" s="165" t="n"/>
      <c r="P109" s="165" t="n"/>
      <c r="Q109" s="165">
        <f>IF(COUNT(Q100,Q31)&lt;2,"",Q100/100*Q31)</f>
        <v/>
      </c>
      <c r="R109" s="165">
        <f>IF(COUNT(R100,R31)&lt;2,"",R100/100*R31)</f>
        <v/>
      </c>
      <c r="S109" s="165">
        <f>IF(COUNT(S100,S31)&lt;2,"",S100/100*S31)</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the department's national total (section 1). Blank where no national figure exists.</t>
        </is>
      </c>
      <c r="F110" s="165" t="n"/>
      <c r="G110" s="165" t="n"/>
      <c r="H110" s="165" t="n"/>
      <c r="I110" s="165" t="n"/>
      <c r="J110" s="165" t="n"/>
      <c r="K110" s="165" t="n"/>
      <c r="L110" s="165" t="n"/>
      <c r="M110" s="165" t="n"/>
      <c r="N110" s="165" t="n"/>
      <c r="O110" s="165" t="n"/>
      <c r="P110" s="165" t="n"/>
      <c r="Q110" s="165">
        <f>IF(COUNT(Q101,Q31)&lt;2,"",Q101/100*Q31)</f>
        <v/>
      </c>
      <c r="R110" s="165">
        <f>IF(COUNT(R101,R31)&lt;2,"",R101/100*R31)</f>
        <v/>
      </c>
      <c r="S110" s="165">
        <f>IF(COUNT(S101,S31)&lt;2,"",S101/100*S31)</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the department's national total (section 1). Blank where no national figure exists.</t>
        </is>
      </c>
      <c r="F111" s="165" t="n"/>
      <c r="G111" s="165" t="n"/>
      <c r="H111" s="165" t="n"/>
      <c r="I111" s="165" t="n"/>
      <c r="J111" s="165" t="n"/>
      <c r="K111" s="165" t="n"/>
      <c r="L111" s="165" t="n"/>
      <c r="M111" s="165" t="n"/>
      <c r="N111" s="165" t="n"/>
      <c r="O111" s="165" t="n"/>
      <c r="P111" s="165" t="n"/>
      <c r="Q111" s="165">
        <f>IF(COUNT(Q102,Q31)&lt;2,"",Q102/100*Q31)</f>
        <v/>
      </c>
      <c r="R111" s="165">
        <f>IF(COUNT(R102,R31)&lt;2,"",R102/100*R31)</f>
        <v/>
      </c>
      <c r="S111" s="165">
        <f>IF(COUNT(S102,S31)&lt;2,"",S102/100*S31)</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the department's national total (section 1). Blank where no national figure exists.</t>
        </is>
      </c>
      <c r="F112" s="165" t="n"/>
      <c r="G112" s="165" t="n"/>
      <c r="H112" s="165" t="n"/>
      <c r="I112" s="165" t="n"/>
      <c r="J112" s="165" t="n"/>
      <c r="K112" s="165" t="n"/>
      <c r="L112" s="165" t="n"/>
      <c r="M112" s="165" t="n"/>
      <c r="N112" s="165" t="n"/>
      <c r="O112" s="165" t="n"/>
      <c r="P112" s="165" t="n"/>
      <c r="Q112" s="165">
        <f>IF(COUNT(Q103,Q31)&lt;2,"",Q103/100*Q31)</f>
        <v/>
      </c>
      <c r="R112" s="165">
        <f>IF(COUNT(R103,R31)&lt;2,"",R103/100*R31)</f>
        <v/>
      </c>
      <c r="S112" s="165">
        <f>IF(COUNT(S103,S31)&lt;2,"",S103/100*S31)</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the department's national total (section 1). Blank where no national figure exists.</t>
        </is>
      </c>
      <c r="F113" s="165" t="n"/>
      <c r="G113" s="165" t="n"/>
      <c r="H113" s="165" t="n"/>
      <c r="I113" s="165" t="n"/>
      <c r="J113" s="165" t="n"/>
      <c r="K113" s="165" t="n"/>
      <c r="L113" s="165" t="n"/>
      <c r="M113" s="165" t="n"/>
      <c r="N113" s="165" t="n"/>
      <c r="O113" s="165" t="n"/>
      <c r="P113" s="165" t="n"/>
      <c r="Q113" s="165">
        <f>IF(COUNT(Q104,Q31)&lt;2,"",Q104/100*Q31)</f>
        <v/>
      </c>
      <c r="R113" s="165">
        <f>IF(COUNT(R104,R31)&lt;2,"",R104/100*R31)</f>
        <v/>
      </c>
      <c r="S113" s="165">
        <f>IF(COUNT(S104,S31)&lt;2,"",S104/100*S31)</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the department's national total (section 1). Blank where no national figure exists.</t>
        </is>
      </c>
      <c r="F114" s="165" t="n"/>
      <c r="G114" s="165" t="n"/>
      <c r="H114" s="165" t="n"/>
      <c r="I114" s="165" t="n"/>
      <c r="J114" s="165" t="n"/>
      <c r="K114" s="165" t="n"/>
      <c r="L114" s="165" t="n"/>
      <c r="M114" s="165" t="n"/>
      <c r="N114" s="165" t="n"/>
      <c r="O114" s="165" t="n"/>
      <c r="P114" s="165" t="n"/>
      <c r="Q114" s="165">
        <f>IF(COUNT(Q105,Q31)&lt;2,"",Q105/100*Q31)</f>
        <v/>
      </c>
      <c r="R114" s="165">
        <f>IF(COUNT(R105,R31)&lt;2,"",R105/100*R31)</f>
        <v/>
      </c>
      <c r="S114" s="165">
        <f>IF(COUNT(S105,S31)&lt;2,"",S105/100*S31)</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2" customWidth="1" min="14" max="14"/>
    <col width="58" customWidth="1" min="15" max="15"/>
  </cols>
  <sheetData>
    <row r="1">
      <c r="A1" s="149" t="inlineStr">
        <is>
          <t>DR01 National balance: petrol and diesel</t>
        </is>
      </c>
    </row>
    <row r="2">
      <c r="A2" s="1" t="inlineStr">
        <is>
          <t>Billion litres, calendar years. Every number is a formula on the History sheet. Blank means not published. FIASA and JODI are not used.</t>
        </is>
      </c>
    </row>
    <row r="4">
      <c r="A4" s="168" t="inlineStr">
        <is>
          <t>Line</t>
        </is>
      </c>
      <c r="B4" s="169" t="n">
        <v>2014</v>
      </c>
      <c r="C4" s="169" t="n">
        <v>2015</v>
      </c>
      <c r="D4" s="169" t="n">
        <v>2016</v>
      </c>
      <c r="E4" s="169" t="n">
        <v>2017</v>
      </c>
      <c r="F4" s="169" t="n">
        <v>2018</v>
      </c>
      <c r="G4" s="169" t="n">
        <v>2019</v>
      </c>
      <c r="H4" s="169" t="n">
        <v>2020</v>
      </c>
      <c r="I4" s="169" t="n">
        <v>2021</v>
      </c>
      <c r="J4" s="169" t="n">
        <v>2022</v>
      </c>
      <c r="K4" s="169" t="n">
        <v>2023</v>
      </c>
      <c r="L4" s="169" t="n">
        <v>2024</v>
      </c>
      <c r="M4" s="169" t="n">
        <v>2025</v>
      </c>
      <c r="N4" s="168" t="inlineStr">
        <is>
          <t>Source</t>
        </is>
      </c>
      <c r="O4" s="168" t="inlineStr">
        <is>
          <t>Note</t>
        </is>
      </c>
    </row>
    <row r="5">
      <c r="A5" s="151" t="inlineStr">
        <is>
          <t>Diesel</t>
        </is>
      </c>
      <c r="B5" s="151" t="n"/>
      <c r="C5" s="151" t="n"/>
      <c r="D5" s="151" t="n"/>
      <c r="E5" s="151" t="n"/>
      <c r="F5" s="151" t="n"/>
      <c r="G5" s="151" t="n"/>
      <c r="H5" s="151" t="n"/>
      <c r="I5" s="151" t="n"/>
      <c r="J5" s="151" t="n"/>
      <c r="K5" s="151" t="n"/>
      <c r="L5" s="151" t="n"/>
      <c r="M5" s="151" t="n"/>
      <c r="N5" s="151" t="n"/>
      <c r="O5" s="151" t="n"/>
    </row>
    <row r="6">
      <c r="A6" s="170" t="inlineStr">
        <is>
          <t>Sales</t>
        </is>
      </c>
      <c r="B6" s="171">
        <f>IF(ISNUMBER(History!H66),History!H66/1000,"")</f>
        <v/>
      </c>
      <c r="C6" s="171">
        <f>IF(ISNUMBER(History!I66),History!I66/1000,"")</f>
        <v/>
      </c>
      <c r="D6" s="171">
        <f>IF(ISNUMBER(History!J66),History!J66/1000,"")</f>
        <v/>
      </c>
      <c r="E6" s="171">
        <f>IF(ISNUMBER(History!K66),History!K66/1000,"")</f>
        <v/>
      </c>
      <c r="F6" s="171">
        <f>IF(ISNUMBER(History!L66),History!L66/1000,"")</f>
        <v/>
      </c>
      <c r="G6" s="171">
        <f>IF(ISNUMBER(History!M66),History!M66/1000,"")</f>
        <v/>
      </c>
      <c r="H6" s="171">
        <f>IF(ISNUMBER(History!N66),History!N66/1000,"")</f>
        <v/>
      </c>
      <c r="I6" s="171">
        <f>IF(ISNUMBER(History!O66),History!O66/1000,"")</f>
        <v/>
      </c>
      <c r="J6" s="171">
        <f>IF(ISNUMBER(History!P66),History!P66/1000,"")</f>
        <v/>
      </c>
      <c r="K6" s="171">
        <f>IF(ISNUMBER(History!Q66),History!Q66/1000,"")</f>
        <v/>
      </c>
      <c r="L6" s="171">
        <f>IF(ISNUMBER(History!R66),History!R66/1000,"")</f>
        <v/>
      </c>
      <c r="M6" s="171">
        <f>IF(ISNUMBER(History!S66),History!S66/1000,"")</f>
        <v/>
      </c>
      <c r="N6" s="172" t="inlineStr">
        <is>
          <t>Department: sales by province added up (2013-2022); national total (2023)</t>
        </is>
      </c>
      <c r="O6" s="172" t="inlineStr">
        <is>
          <t>2023 by province is an estimate. Nothing published after 2023.</t>
        </is>
      </c>
    </row>
    <row r="7">
      <c r="A7" s="170" t="inlineStr">
        <is>
          <t>Production</t>
        </is>
      </c>
      <c r="B7" s="171">
        <f>IF(ISNUMBER(History!H53),History!H53/1000,"")</f>
        <v/>
      </c>
      <c r="C7" s="171">
        <f>IF(ISNUMBER(History!I53),History!I53/1000,"")</f>
        <v/>
      </c>
      <c r="D7" s="171">
        <f>IF(ISNUMBER(History!J53),History!J53/1000,"")</f>
        <v/>
      </c>
      <c r="E7" s="171">
        <f>IF(ISNUMBER(History!K53),History!K53/1000,"")</f>
        <v/>
      </c>
      <c r="F7" s="171">
        <f>IF(ISNUMBER(History!L53),History!L53/1000,"")</f>
        <v/>
      </c>
      <c r="G7" s="171">
        <f>IF(ISNUMBER(History!M53),History!M53/1000,"")</f>
        <v/>
      </c>
      <c r="H7" s="171">
        <f>IF(ISNUMBER(History!N53),History!N53/1000,"")</f>
        <v/>
      </c>
      <c r="I7" s="171">
        <f>IF(ISNUMBER(History!O53),History!O53/1000,"")</f>
        <v/>
      </c>
      <c r="J7" s="171">
        <f>IF(ISNUMBER(History!P53),History!P53/1000,"")</f>
        <v/>
      </c>
      <c r="K7" s="171">
        <f>IF(ISNUMBER(History!Q53),History!Q53/1000,"")</f>
        <v/>
      </c>
      <c r="L7" s="171">
        <f>IF(ISNUMBER(History!R53),History!R53/1000,"")</f>
        <v/>
      </c>
      <c r="M7" s="171">
        <f>IF(ISNUMBER(History!S53),History!S53/1000,"")</f>
        <v/>
      </c>
      <c r="N7" s="172" t="inlineStr">
        <is>
          <t>Department energy balances, one file a year</t>
        </is>
      </c>
      <c r="O7" s="172" t="inlineStr">
        <is>
          <t>Last balance published is 2021.</t>
        </is>
      </c>
    </row>
    <row r="8">
      <c r="A8" s="170" t="inlineStr">
        <is>
          <t>Imports</t>
        </is>
      </c>
      <c r="B8" s="171">
        <f>IF(ISNUMBER(History!H36),History!H36/1000,"")</f>
        <v/>
      </c>
      <c r="C8" s="171">
        <f>IF(ISNUMBER(History!I36),History!I36/1000,"")</f>
        <v/>
      </c>
      <c r="D8" s="171">
        <f>IF(ISNUMBER(History!J36),History!J36/1000,"")</f>
        <v/>
      </c>
      <c r="E8" s="171">
        <f>IF(ISNUMBER(History!K36),History!K36/1000,"")</f>
        <v/>
      </c>
      <c r="F8" s="171">
        <f>IF(ISNUMBER(History!L36),History!L36/1000,"")</f>
        <v/>
      </c>
      <c r="G8" s="171">
        <f>IF(ISNUMBER(History!M36),History!M36/1000,"")</f>
        <v/>
      </c>
      <c r="H8" s="171">
        <f>IF(ISNUMBER(History!N36),History!N36/1000,"")</f>
        <v/>
      </c>
      <c r="I8" s="171">
        <f>IF(ISNUMBER(History!O36),History!O36/1000,"")</f>
        <v/>
      </c>
      <c r="J8" s="171">
        <f>IF(ISNUMBER(History!P36),History!P36/1000,"")</f>
        <v/>
      </c>
      <c r="K8" s="171">
        <f>IF(ISNUMBER(History!Q36),History!Q36/1000,"")</f>
        <v/>
      </c>
      <c r="L8" s="171">
        <f>IF(ISNUMBER(History!R36),History!R36/1000,"")</f>
        <v/>
      </c>
      <c r="M8" s="171">
        <f>IF(ISNUMBER(History!S36),History!S36/1000,"")</f>
        <v/>
      </c>
      <c r="N8" s="172" t="inlineStr">
        <is>
          <t>SARS customs, by tariff line</t>
        </is>
      </c>
      <c r="O8" s="172" t="inlineStr">
        <is>
          <t>Complete calendar years in litres.</t>
        </is>
      </c>
    </row>
    <row r="9">
      <c r="A9" s="170" t="inlineStr">
        <is>
          <t>Exports</t>
        </is>
      </c>
      <c r="B9" s="171">
        <f>IF(ISNUMBER(History!H39),History!H39/1000,"")</f>
        <v/>
      </c>
      <c r="C9" s="171">
        <f>IF(ISNUMBER(History!I39),History!I39/1000,"")</f>
        <v/>
      </c>
      <c r="D9" s="171">
        <f>IF(ISNUMBER(History!J39),History!J39/1000,"")</f>
        <v/>
      </c>
      <c r="E9" s="171">
        <f>IF(ISNUMBER(History!K39),History!K39/1000,"")</f>
        <v/>
      </c>
      <c r="F9" s="171">
        <f>IF(ISNUMBER(History!L39),History!L39/1000,"")</f>
        <v/>
      </c>
      <c r="G9" s="171">
        <f>IF(ISNUMBER(History!M39),History!M39/1000,"")</f>
        <v/>
      </c>
      <c r="H9" s="171">
        <f>IF(ISNUMBER(History!N39),History!N39/1000,"")</f>
        <v/>
      </c>
      <c r="I9" s="171">
        <f>IF(ISNUMBER(History!O39),History!O39/1000,"")</f>
        <v/>
      </c>
      <c r="J9" s="171">
        <f>IF(ISNUMBER(History!P39),History!P39/1000,"")</f>
        <v/>
      </c>
      <c r="K9" s="171">
        <f>IF(ISNUMBER(History!Q39),History!Q39/1000,"")</f>
        <v/>
      </c>
      <c r="L9" s="171">
        <f>IF(ISNUMBER(History!R39),History!R39/1000,"")</f>
        <v/>
      </c>
      <c r="M9" s="171">
        <f>IF(ISNUMBER(History!S39),History!S39/1000,"")</f>
        <v/>
      </c>
      <c r="N9" s="172" t="inlineStr">
        <is>
          <t>SARS customs, by tariff line</t>
        </is>
      </c>
      <c r="O9" s="172" t="inlineStr"/>
    </row>
    <row r="10">
      <c r="A10" s="173" t="inlineStr">
        <is>
          <t>Supply</t>
        </is>
      </c>
      <c r="B10" s="174">
        <f>IF(COUNT(B7,B8,B9)&lt;3,"",B7+B8-B9)</f>
        <v/>
      </c>
      <c r="C10" s="174">
        <f>IF(COUNT(C7,C8,C9)&lt;3,"",C7+C8-C9)</f>
        <v/>
      </c>
      <c r="D10" s="174">
        <f>IF(COUNT(D7,D8,D9)&lt;3,"",D7+D8-D9)</f>
        <v/>
      </c>
      <c r="E10" s="174">
        <f>IF(COUNT(E7,E8,E9)&lt;3,"",E7+E8-E9)</f>
        <v/>
      </c>
      <c r="F10" s="174">
        <f>IF(COUNT(F7,F8,F9)&lt;3,"",F7+F8-F9)</f>
        <v/>
      </c>
      <c r="G10" s="174">
        <f>IF(COUNT(G7,G8,G9)&lt;3,"",G7+G8-G9)</f>
        <v/>
      </c>
      <c r="H10" s="174">
        <f>IF(COUNT(H7,H8,H9)&lt;3,"",H7+H8-H9)</f>
        <v/>
      </c>
      <c r="I10" s="174">
        <f>IF(COUNT(I7,I8,I9)&lt;3,"",I7+I8-I9)</f>
        <v/>
      </c>
      <c r="J10" s="174">
        <f>IF(COUNT(J7,J8,J9)&lt;3,"",J7+J8-J9)</f>
        <v/>
      </c>
      <c r="K10" s="174">
        <f>IF(COUNT(K7,K8,K9)&lt;3,"",K7+K8-K9)</f>
        <v/>
      </c>
      <c r="L10" s="174">
        <f>IF(COUNT(L7,L8,L9)&lt;3,"",L7+L8-L9)</f>
        <v/>
      </c>
      <c r="M10" s="174">
        <f>IF(COUNT(M7,M8,M9)&lt;3,"",M7+M8-M9)</f>
        <v/>
      </c>
      <c r="N10" s="175" t="inlineStr">
        <is>
          <t>Calculated: production + imports - exports</t>
        </is>
      </c>
      <c r="O10" s="175" t="inlineStr"/>
    </row>
    <row r="11">
      <c r="A11" s="170" t="inlineStr">
        <is>
          <t>Stock change</t>
        </is>
      </c>
      <c r="B11" s="171" t="n"/>
      <c r="C11" s="171" t="n"/>
      <c r="D11" s="171" t="n"/>
      <c r="E11" s="171" t="n"/>
      <c r="F11" s="171" t="n"/>
      <c r="G11" s="171" t="n"/>
      <c r="H11" s="171" t="n"/>
      <c r="I11" s="171" t="n"/>
      <c r="J11" s="171" t="n"/>
      <c r="K11" s="171" t="n"/>
      <c r="L11" s="171" t="n"/>
      <c r="M11" s="171" t="n"/>
      <c r="N11" s="172" t="inlineStr">
        <is>
          <t>None</t>
        </is>
      </c>
      <c r="O11" s="172" t="inlineStr">
        <is>
          <t>Not published by any source used.</t>
        </is>
      </c>
    </row>
    <row r="12">
      <c r="A12" s="173" t="inlineStr">
        <is>
          <t>Supply less sales</t>
        </is>
      </c>
      <c r="B12" s="174">
        <f>IF(COUNT(B10,B6)&lt;2,"",B10-B6)</f>
        <v/>
      </c>
      <c r="C12" s="174">
        <f>IF(COUNT(C10,C6)&lt;2,"",C10-C6)</f>
        <v/>
      </c>
      <c r="D12" s="174">
        <f>IF(COUNT(D10,D6)&lt;2,"",D10-D6)</f>
        <v/>
      </c>
      <c r="E12" s="174">
        <f>IF(COUNT(E10,E6)&lt;2,"",E10-E6)</f>
        <v/>
      </c>
      <c r="F12" s="174">
        <f>IF(COUNT(F10,F6)&lt;2,"",F10-F6)</f>
        <v/>
      </c>
      <c r="G12" s="174">
        <f>IF(COUNT(G10,G6)&lt;2,"",G10-G6)</f>
        <v/>
      </c>
      <c r="H12" s="174">
        <f>IF(COUNT(H10,H6)&lt;2,"",H10-H6)</f>
        <v/>
      </c>
      <c r="I12" s="174">
        <f>IF(COUNT(I10,I6)&lt;2,"",I10-I6)</f>
        <v/>
      </c>
      <c r="J12" s="174">
        <f>IF(COUNT(J10,J6)&lt;2,"",J10-J6)</f>
        <v/>
      </c>
      <c r="K12" s="174">
        <f>IF(COUNT(K10,K6)&lt;2,"",K10-K6)</f>
        <v/>
      </c>
      <c r="L12" s="174">
        <f>IF(COUNT(L10,L6)&lt;2,"",L10-L6)</f>
        <v/>
      </c>
      <c r="M12" s="174">
        <f>IF(COUNT(M10,M6)&lt;2,"",M10-M6)</f>
        <v/>
      </c>
      <c r="N12" s="175" t="inlineStr">
        <is>
          <t>Calculated: supply - sales</t>
        </is>
      </c>
      <c r="O12" s="175" t="inlineStr">
        <is>
          <t>Stock change and statistical difference together. Not production.</t>
        </is>
      </c>
    </row>
    <row r="14">
      <c r="A14" s="151" t="inlineStr">
        <is>
          <t>Petrol</t>
        </is>
      </c>
      <c r="B14" s="151" t="n"/>
      <c r="C14" s="151" t="n"/>
      <c r="D14" s="151" t="n"/>
      <c r="E14" s="151" t="n"/>
      <c r="F14" s="151" t="n"/>
      <c r="G14" s="151" t="n"/>
      <c r="H14" s="151" t="n"/>
      <c r="I14" s="151" t="n"/>
      <c r="J14" s="151" t="n"/>
      <c r="K14" s="151" t="n"/>
      <c r="L14" s="151" t="n"/>
      <c r="M14" s="151" t="n"/>
      <c r="N14" s="151" t="n"/>
      <c r="O14" s="151" t="n"/>
    </row>
    <row r="15">
      <c r="A15" s="170" t="inlineStr">
        <is>
          <t>Sales</t>
        </is>
      </c>
      <c r="B15" s="171">
        <f>IF(ISNUMBER(History!H61),History!H61/1000,"")</f>
        <v/>
      </c>
      <c r="C15" s="171">
        <f>IF(ISNUMBER(History!I61),History!I61/1000,"")</f>
        <v/>
      </c>
      <c r="D15" s="171">
        <f>IF(ISNUMBER(History!J61),History!J61/1000,"")</f>
        <v/>
      </c>
      <c r="E15" s="171">
        <f>IF(ISNUMBER(History!K61),History!K61/1000,"")</f>
        <v/>
      </c>
      <c r="F15" s="171">
        <f>IF(ISNUMBER(History!L61),History!L61/1000,"")</f>
        <v/>
      </c>
      <c r="G15" s="171">
        <f>IF(ISNUMBER(History!M61),History!M61/1000,"")</f>
        <v/>
      </c>
      <c r="H15" s="171">
        <f>IF(ISNUMBER(History!N61),History!N61/1000,"")</f>
        <v/>
      </c>
      <c r="I15" s="171">
        <f>IF(ISNUMBER(History!O61),History!O61/1000,"")</f>
        <v/>
      </c>
      <c r="J15" s="171">
        <f>IF(ISNUMBER(History!P61),History!P61/1000,"")</f>
        <v/>
      </c>
      <c r="K15" s="171">
        <f>IF(ISNUMBER(History!Q61),History!Q61/1000,"")</f>
        <v/>
      </c>
      <c r="L15" s="171">
        <f>IF(ISNUMBER(History!R61),History!R61/1000,"")</f>
        <v/>
      </c>
      <c r="M15" s="171">
        <f>IF(ISNUMBER(History!S61),History!S61/1000,"")</f>
        <v/>
      </c>
      <c r="N15" s="172" t="inlineStr">
        <is>
          <t>Department: sales by province added up (2013-2022); national total (2023)</t>
        </is>
      </c>
      <c r="O15" s="172" t="inlineStr">
        <is>
          <t>2023 by province is an estimate. Nothing published after 2023.</t>
        </is>
      </c>
    </row>
    <row r="16">
      <c r="A16" s="170" t="inlineStr">
        <is>
          <t>Production</t>
        </is>
      </c>
      <c r="B16" s="171">
        <f>IF(ISNUMBER(History!H51),History!H51/1000,"")</f>
        <v/>
      </c>
      <c r="C16" s="171">
        <f>IF(ISNUMBER(History!I51),History!I51/1000,"")</f>
        <v/>
      </c>
      <c r="D16" s="171">
        <f>IF(ISNUMBER(History!J51),History!J51/1000,"")</f>
        <v/>
      </c>
      <c r="E16" s="171">
        <f>IF(ISNUMBER(History!K51),History!K51/1000,"")</f>
        <v/>
      </c>
      <c r="F16" s="171">
        <f>IF(ISNUMBER(History!L51),History!L51/1000,"")</f>
        <v/>
      </c>
      <c r="G16" s="171">
        <f>IF(ISNUMBER(History!M51),History!M51/1000,"")</f>
        <v/>
      </c>
      <c r="H16" s="171">
        <f>IF(ISNUMBER(History!N51),History!N51/1000,"")</f>
        <v/>
      </c>
      <c r="I16" s="171">
        <f>IF(ISNUMBER(History!O51),History!O51/1000,"")</f>
        <v/>
      </c>
      <c r="J16" s="171">
        <f>IF(ISNUMBER(History!P51),History!P51/1000,"")</f>
        <v/>
      </c>
      <c r="K16" s="171">
        <f>IF(ISNUMBER(History!Q51),History!Q51/1000,"")</f>
        <v/>
      </c>
      <c r="L16" s="171">
        <f>IF(ISNUMBER(History!R51),History!R51/1000,"")</f>
        <v/>
      </c>
      <c r="M16" s="171">
        <f>IF(ISNUMBER(History!S51),History!S51/1000,"")</f>
        <v/>
      </c>
      <c r="N16" s="172" t="inlineStr">
        <is>
          <t>Department energy balances, one file a year</t>
        </is>
      </c>
      <c r="O16" s="172" t="inlineStr">
        <is>
          <t>Last balance published is 2021.</t>
        </is>
      </c>
    </row>
    <row r="17">
      <c r="A17" s="170" t="inlineStr">
        <is>
          <t>Imports</t>
        </is>
      </c>
      <c r="B17" s="171">
        <f>IF(ISNUMBER(History!H37),History!H37/1000,"")</f>
        <v/>
      </c>
      <c r="C17" s="171">
        <f>IF(ISNUMBER(History!I37),History!I37/1000,"")</f>
        <v/>
      </c>
      <c r="D17" s="171">
        <f>IF(ISNUMBER(History!J37),History!J37/1000,"")</f>
        <v/>
      </c>
      <c r="E17" s="171">
        <f>IF(ISNUMBER(History!K37),History!K37/1000,"")</f>
        <v/>
      </c>
      <c r="F17" s="171">
        <f>IF(ISNUMBER(History!L37),History!L37/1000,"")</f>
        <v/>
      </c>
      <c r="G17" s="171">
        <f>IF(ISNUMBER(History!M37),History!M37/1000,"")</f>
        <v/>
      </c>
      <c r="H17" s="171">
        <f>IF(ISNUMBER(History!N37),History!N37/1000,"")</f>
        <v/>
      </c>
      <c r="I17" s="171">
        <f>IF(ISNUMBER(History!O37),History!O37/1000,"")</f>
        <v/>
      </c>
      <c r="J17" s="171">
        <f>IF(ISNUMBER(History!P37),History!P37/1000,"")</f>
        <v/>
      </c>
      <c r="K17" s="171">
        <f>IF(ISNUMBER(History!Q37),History!Q37/1000,"")</f>
        <v/>
      </c>
      <c r="L17" s="171">
        <f>IF(ISNUMBER(History!R37),History!R37/1000,"")</f>
        <v/>
      </c>
      <c r="M17" s="171">
        <f>IF(ISNUMBER(History!S37),History!S37/1000,"")</f>
        <v/>
      </c>
      <c r="N17" s="172" t="inlineStr">
        <is>
          <t>SARS customs, by tariff line</t>
        </is>
      </c>
      <c r="O17" s="172" t="inlineStr">
        <is>
          <t>Complete calendar years in litres.</t>
        </is>
      </c>
    </row>
    <row r="18">
      <c r="A18" s="170" t="inlineStr">
        <is>
          <t>Exports</t>
        </is>
      </c>
      <c r="B18" s="171">
        <f>IF(ISNUMBER(History!H40),History!H40/1000,"")</f>
        <v/>
      </c>
      <c r="C18" s="171">
        <f>IF(ISNUMBER(History!I40),History!I40/1000,"")</f>
        <v/>
      </c>
      <c r="D18" s="171">
        <f>IF(ISNUMBER(History!J40),History!J40/1000,"")</f>
        <v/>
      </c>
      <c r="E18" s="171">
        <f>IF(ISNUMBER(History!K40),History!K40/1000,"")</f>
        <v/>
      </c>
      <c r="F18" s="171">
        <f>IF(ISNUMBER(History!L40),History!L40/1000,"")</f>
        <v/>
      </c>
      <c r="G18" s="171">
        <f>IF(ISNUMBER(History!M40),History!M40/1000,"")</f>
        <v/>
      </c>
      <c r="H18" s="171">
        <f>IF(ISNUMBER(History!N40),History!N40/1000,"")</f>
        <v/>
      </c>
      <c r="I18" s="171">
        <f>IF(ISNUMBER(History!O40),History!O40/1000,"")</f>
        <v/>
      </c>
      <c r="J18" s="171">
        <f>IF(ISNUMBER(History!P40),History!P40/1000,"")</f>
        <v/>
      </c>
      <c r="K18" s="171">
        <f>IF(ISNUMBER(History!Q40),History!Q40/1000,"")</f>
        <v/>
      </c>
      <c r="L18" s="171">
        <f>IF(ISNUMBER(History!R40),History!R40/1000,"")</f>
        <v/>
      </c>
      <c r="M18" s="171">
        <f>IF(ISNUMBER(History!S40),History!S40/1000,"")</f>
        <v/>
      </c>
      <c r="N18" s="172" t="inlineStr">
        <is>
          <t>SARS customs, by tariff line</t>
        </is>
      </c>
      <c r="O18" s="172" t="inlineStr"/>
    </row>
    <row r="19">
      <c r="A19" s="173" t="inlineStr">
        <is>
          <t>Supply</t>
        </is>
      </c>
      <c r="B19" s="174">
        <f>IF(COUNT(B16,B17,B18)&lt;3,"",B16+B17-B18)</f>
        <v/>
      </c>
      <c r="C19" s="174">
        <f>IF(COUNT(C16,C17,C18)&lt;3,"",C16+C17-C18)</f>
        <v/>
      </c>
      <c r="D19" s="174">
        <f>IF(COUNT(D16,D17,D18)&lt;3,"",D16+D17-D18)</f>
        <v/>
      </c>
      <c r="E19" s="174">
        <f>IF(COUNT(E16,E17,E18)&lt;3,"",E16+E17-E18)</f>
        <v/>
      </c>
      <c r="F19" s="174">
        <f>IF(COUNT(F16,F17,F18)&lt;3,"",F16+F17-F18)</f>
        <v/>
      </c>
      <c r="G19" s="174">
        <f>IF(COUNT(G16,G17,G18)&lt;3,"",G16+G17-G18)</f>
        <v/>
      </c>
      <c r="H19" s="174">
        <f>IF(COUNT(H16,H17,H18)&lt;3,"",H16+H17-H18)</f>
        <v/>
      </c>
      <c r="I19" s="174">
        <f>IF(COUNT(I16,I17,I18)&lt;3,"",I16+I17-I18)</f>
        <v/>
      </c>
      <c r="J19" s="174">
        <f>IF(COUNT(J16,J17,J18)&lt;3,"",J16+J17-J18)</f>
        <v/>
      </c>
      <c r="K19" s="174">
        <f>IF(COUNT(K16,K17,K18)&lt;3,"",K16+K17-K18)</f>
        <v/>
      </c>
      <c r="L19" s="174">
        <f>IF(COUNT(L16,L17,L18)&lt;3,"",L16+L17-L18)</f>
        <v/>
      </c>
      <c r="M19" s="174">
        <f>IF(COUNT(M16,M17,M18)&lt;3,"",M16+M17-M18)</f>
        <v/>
      </c>
      <c r="N19" s="175" t="inlineStr">
        <is>
          <t>Calculated: production + imports - exports</t>
        </is>
      </c>
      <c r="O19" s="175" t="inlineStr"/>
    </row>
    <row r="20">
      <c r="A20" s="170" t="inlineStr">
        <is>
          <t>Stock change</t>
        </is>
      </c>
      <c r="B20" s="171" t="n"/>
      <c r="C20" s="171" t="n"/>
      <c r="D20" s="171" t="n"/>
      <c r="E20" s="171" t="n"/>
      <c r="F20" s="171" t="n"/>
      <c r="G20" s="171" t="n"/>
      <c r="H20" s="171" t="n"/>
      <c r="I20" s="171" t="n"/>
      <c r="J20" s="171" t="n"/>
      <c r="K20" s="171" t="n"/>
      <c r="L20" s="171" t="n"/>
      <c r="M20" s="171" t="n"/>
      <c r="N20" s="172" t="inlineStr">
        <is>
          <t>None</t>
        </is>
      </c>
      <c r="O20" s="172" t="inlineStr">
        <is>
          <t>Not published by any source used.</t>
        </is>
      </c>
    </row>
    <row r="21">
      <c r="A21" s="173" t="inlineStr">
        <is>
          <t>Supply less sales</t>
        </is>
      </c>
      <c r="B21" s="174">
        <f>IF(COUNT(B19,B15)&lt;2,"",B19-B15)</f>
        <v/>
      </c>
      <c r="C21" s="174">
        <f>IF(COUNT(C19,C15)&lt;2,"",C19-C15)</f>
        <v/>
      </c>
      <c r="D21" s="174">
        <f>IF(COUNT(D19,D15)&lt;2,"",D19-D15)</f>
        <v/>
      </c>
      <c r="E21" s="174">
        <f>IF(COUNT(E19,E15)&lt;2,"",E19-E15)</f>
        <v/>
      </c>
      <c r="F21" s="174">
        <f>IF(COUNT(F19,F15)&lt;2,"",F19-F15)</f>
        <v/>
      </c>
      <c r="G21" s="174">
        <f>IF(COUNT(G19,G15)&lt;2,"",G19-G15)</f>
        <v/>
      </c>
      <c r="H21" s="174">
        <f>IF(COUNT(H19,H15)&lt;2,"",H19-H15)</f>
        <v/>
      </c>
      <c r="I21" s="174">
        <f>IF(COUNT(I19,I15)&lt;2,"",I19-I15)</f>
        <v/>
      </c>
      <c r="J21" s="174">
        <f>IF(COUNT(J19,J15)&lt;2,"",J19-J15)</f>
        <v/>
      </c>
      <c r="K21" s="174">
        <f>IF(COUNT(K19,K15)&lt;2,"",K19-K15)</f>
        <v/>
      </c>
      <c r="L21" s="174">
        <f>IF(COUNT(L19,L15)&lt;2,"",L19-L15)</f>
        <v/>
      </c>
      <c r="M21" s="174">
        <f>IF(COUNT(M19,M15)&lt;2,"",M19-M15)</f>
        <v/>
      </c>
      <c r="N21" s="175" t="inlineStr">
        <is>
          <t>Calculated: supply - sales</t>
        </is>
      </c>
      <c r="O21" s="175" t="inlineStr">
        <is>
          <t>Stock change and statistical difference together. Not production.</t>
        </is>
      </c>
    </row>
    <row r="23">
      <c r="A23" s="151" t="inlineStr">
        <is>
          <t>Diesel and petrol</t>
        </is>
      </c>
      <c r="B23" s="151" t="n"/>
      <c r="C23" s="151" t="n"/>
      <c r="D23" s="151" t="n"/>
      <c r="E23" s="151" t="n"/>
      <c r="F23" s="151" t="n"/>
      <c r="G23" s="151" t="n"/>
      <c r="H23" s="151" t="n"/>
      <c r="I23" s="151" t="n"/>
      <c r="J23" s="151" t="n"/>
      <c r="K23" s="151" t="n"/>
      <c r="L23" s="151" t="n"/>
      <c r="M23" s="151" t="n"/>
      <c r="N23" s="151" t="n"/>
      <c r="O23" s="151" t="n"/>
    </row>
    <row r="24">
      <c r="A24" s="176" t="inlineStr">
        <is>
          <t>Sales</t>
        </is>
      </c>
      <c r="B24" s="174">
        <f>IF(COUNT(B6,B15)&lt;2,"",B6+B15)</f>
        <v/>
      </c>
      <c r="C24" s="174">
        <f>IF(COUNT(C6,C15)&lt;2,"",C6+C15)</f>
        <v/>
      </c>
      <c r="D24" s="174">
        <f>IF(COUNT(D6,D15)&lt;2,"",D6+D15)</f>
        <v/>
      </c>
      <c r="E24" s="174">
        <f>IF(COUNT(E6,E15)&lt;2,"",E6+E15)</f>
        <v/>
      </c>
      <c r="F24" s="174">
        <f>IF(COUNT(F6,F15)&lt;2,"",F6+F15)</f>
        <v/>
      </c>
      <c r="G24" s="174">
        <f>IF(COUNT(G6,G15)&lt;2,"",G6+G15)</f>
        <v/>
      </c>
      <c r="H24" s="174">
        <f>IF(COUNT(H6,H15)&lt;2,"",H6+H15)</f>
        <v/>
      </c>
      <c r="I24" s="174">
        <f>IF(COUNT(I6,I15)&lt;2,"",I6+I15)</f>
        <v/>
      </c>
      <c r="J24" s="174">
        <f>IF(COUNT(J6,J15)&lt;2,"",J6+J15)</f>
        <v/>
      </c>
      <c r="K24" s="174">
        <f>IF(COUNT(K6,K15)&lt;2,"",K6+K15)</f>
        <v/>
      </c>
      <c r="L24" s="174">
        <f>IF(COUNT(L6,L15)&lt;2,"",L6+L15)</f>
        <v/>
      </c>
      <c r="M24" s="174">
        <f>IF(COUNT(M6,M15)&lt;2,"",M6+M15)</f>
        <v/>
      </c>
      <c r="N24" s="175" t="inlineStr">
        <is>
          <t>Sum of the diesel and petrol rows</t>
        </is>
      </c>
      <c r="O24" s="175" t="inlineStr">
        <is>
          <t>2023 by province is an estimate. Nothing published after 2023.</t>
        </is>
      </c>
    </row>
    <row r="25">
      <c r="A25" s="176" t="inlineStr">
        <is>
          <t>Production</t>
        </is>
      </c>
      <c r="B25" s="174">
        <f>IF(COUNT(B7,B16)&lt;2,"",B7+B16)</f>
        <v/>
      </c>
      <c r="C25" s="174">
        <f>IF(COUNT(C7,C16)&lt;2,"",C7+C16)</f>
        <v/>
      </c>
      <c r="D25" s="174">
        <f>IF(COUNT(D7,D16)&lt;2,"",D7+D16)</f>
        <v/>
      </c>
      <c r="E25" s="174">
        <f>IF(COUNT(E7,E16)&lt;2,"",E7+E16)</f>
        <v/>
      </c>
      <c r="F25" s="174">
        <f>IF(COUNT(F7,F16)&lt;2,"",F7+F16)</f>
        <v/>
      </c>
      <c r="G25" s="174">
        <f>IF(COUNT(G7,G16)&lt;2,"",G7+G16)</f>
        <v/>
      </c>
      <c r="H25" s="174">
        <f>IF(COUNT(H7,H16)&lt;2,"",H7+H16)</f>
        <v/>
      </c>
      <c r="I25" s="174">
        <f>IF(COUNT(I7,I16)&lt;2,"",I7+I16)</f>
        <v/>
      </c>
      <c r="J25" s="174">
        <f>IF(COUNT(J7,J16)&lt;2,"",J7+J16)</f>
        <v/>
      </c>
      <c r="K25" s="174">
        <f>IF(COUNT(K7,K16)&lt;2,"",K7+K16)</f>
        <v/>
      </c>
      <c r="L25" s="174">
        <f>IF(COUNT(L7,L16)&lt;2,"",L7+L16)</f>
        <v/>
      </c>
      <c r="M25" s="174">
        <f>IF(COUNT(M7,M16)&lt;2,"",M7+M16)</f>
        <v/>
      </c>
      <c r="N25" s="175" t="inlineStr">
        <is>
          <t>Sum of the diesel and petrol rows</t>
        </is>
      </c>
      <c r="O25" s="175" t="inlineStr">
        <is>
          <t>Last balance published is 2021.</t>
        </is>
      </c>
    </row>
    <row r="26">
      <c r="A26" s="176" t="inlineStr">
        <is>
          <t>Imports</t>
        </is>
      </c>
      <c r="B26" s="174">
        <f>IF(COUNT(B8,B17)&lt;2,"",B8+B17)</f>
        <v/>
      </c>
      <c r="C26" s="174">
        <f>IF(COUNT(C8,C17)&lt;2,"",C8+C17)</f>
        <v/>
      </c>
      <c r="D26" s="174">
        <f>IF(COUNT(D8,D17)&lt;2,"",D8+D17)</f>
        <v/>
      </c>
      <c r="E26" s="174">
        <f>IF(COUNT(E8,E17)&lt;2,"",E8+E17)</f>
        <v/>
      </c>
      <c r="F26" s="174">
        <f>IF(COUNT(F8,F17)&lt;2,"",F8+F17)</f>
        <v/>
      </c>
      <c r="G26" s="174">
        <f>IF(COUNT(G8,G17)&lt;2,"",G8+G17)</f>
        <v/>
      </c>
      <c r="H26" s="174">
        <f>IF(COUNT(H8,H17)&lt;2,"",H8+H17)</f>
        <v/>
      </c>
      <c r="I26" s="174">
        <f>IF(COUNT(I8,I17)&lt;2,"",I8+I17)</f>
        <v/>
      </c>
      <c r="J26" s="174">
        <f>IF(COUNT(J8,J17)&lt;2,"",J8+J17)</f>
        <v/>
      </c>
      <c r="K26" s="174">
        <f>IF(COUNT(K8,K17)&lt;2,"",K8+K17)</f>
        <v/>
      </c>
      <c r="L26" s="174">
        <f>IF(COUNT(L8,L17)&lt;2,"",L8+L17)</f>
        <v/>
      </c>
      <c r="M26" s="174">
        <f>IF(COUNT(M8,M17)&lt;2,"",M8+M17)</f>
        <v/>
      </c>
      <c r="N26" s="175" t="inlineStr">
        <is>
          <t>Sum of the diesel and petrol rows</t>
        </is>
      </c>
      <c r="O26" s="175" t="inlineStr">
        <is>
          <t>Complete calendar years in litres.</t>
        </is>
      </c>
    </row>
    <row r="27">
      <c r="A27" s="176" t="inlineStr">
        <is>
          <t>Exports</t>
        </is>
      </c>
      <c r="B27" s="174">
        <f>IF(COUNT(B9,B18)&lt;2,"",B9+B18)</f>
        <v/>
      </c>
      <c r="C27" s="174">
        <f>IF(COUNT(C9,C18)&lt;2,"",C9+C18)</f>
        <v/>
      </c>
      <c r="D27" s="174">
        <f>IF(COUNT(D9,D18)&lt;2,"",D9+D18)</f>
        <v/>
      </c>
      <c r="E27" s="174">
        <f>IF(COUNT(E9,E18)&lt;2,"",E9+E18)</f>
        <v/>
      </c>
      <c r="F27" s="174">
        <f>IF(COUNT(F9,F18)&lt;2,"",F9+F18)</f>
        <v/>
      </c>
      <c r="G27" s="174">
        <f>IF(COUNT(G9,G18)&lt;2,"",G9+G18)</f>
        <v/>
      </c>
      <c r="H27" s="174">
        <f>IF(COUNT(H9,H18)&lt;2,"",H9+H18)</f>
        <v/>
      </c>
      <c r="I27" s="174">
        <f>IF(COUNT(I9,I18)&lt;2,"",I9+I18)</f>
        <v/>
      </c>
      <c r="J27" s="174">
        <f>IF(COUNT(J9,J18)&lt;2,"",J9+J18)</f>
        <v/>
      </c>
      <c r="K27" s="174">
        <f>IF(COUNT(K9,K18)&lt;2,"",K9+K18)</f>
        <v/>
      </c>
      <c r="L27" s="174">
        <f>IF(COUNT(L9,L18)&lt;2,"",L9+L18)</f>
        <v/>
      </c>
      <c r="M27" s="174">
        <f>IF(COUNT(M9,M18)&lt;2,"",M9+M18)</f>
        <v/>
      </c>
      <c r="N27" s="175" t="inlineStr">
        <is>
          <t>Sum of the diesel and petrol rows</t>
        </is>
      </c>
      <c r="O27" s="175" t="inlineStr"/>
    </row>
    <row r="28">
      <c r="A28" s="173" t="inlineStr">
        <is>
          <t>Supply</t>
        </is>
      </c>
      <c r="B28" s="174">
        <f>IF(COUNT(B10,B19)&lt;2,"",B10+B19)</f>
        <v/>
      </c>
      <c r="C28" s="174">
        <f>IF(COUNT(C10,C19)&lt;2,"",C10+C19)</f>
        <v/>
      </c>
      <c r="D28" s="174">
        <f>IF(COUNT(D10,D19)&lt;2,"",D10+D19)</f>
        <v/>
      </c>
      <c r="E28" s="174">
        <f>IF(COUNT(E10,E19)&lt;2,"",E10+E19)</f>
        <v/>
      </c>
      <c r="F28" s="174">
        <f>IF(COUNT(F10,F19)&lt;2,"",F10+F19)</f>
        <v/>
      </c>
      <c r="G28" s="174">
        <f>IF(COUNT(G10,G19)&lt;2,"",G10+G19)</f>
        <v/>
      </c>
      <c r="H28" s="174">
        <f>IF(COUNT(H10,H19)&lt;2,"",H10+H19)</f>
        <v/>
      </c>
      <c r="I28" s="174">
        <f>IF(COUNT(I10,I19)&lt;2,"",I10+I19)</f>
        <v/>
      </c>
      <c r="J28" s="174">
        <f>IF(COUNT(J10,J19)&lt;2,"",J10+J19)</f>
        <v/>
      </c>
      <c r="K28" s="174">
        <f>IF(COUNT(K10,K19)&lt;2,"",K10+K19)</f>
        <v/>
      </c>
      <c r="L28" s="174">
        <f>IF(COUNT(L10,L19)&lt;2,"",L10+L19)</f>
        <v/>
      </c>
      <c r="M28" s="174">
        <f>IF(COUNT(M10,M19)&lt;2,"",M10+M19)</f>
        <v/>
      </c>
      <c r="N28" s="175" t="inlineStr">
        <is>
          <t>Sum of the diesel and petrol rows</t>
        </is>
      </c>
      <c r="O28" s="175" t="inlineStr"/>
    </row>
    <row r="29">
      <c r="A29" s="176" t="inlineStr">
        <is>
          <t>Stock change</t>
        </is>
      </c>
      <c r="B29" s="174" t="n"/>
      <c r="C29" s="174" t="n"/>
      <c r="D29" s="174" t="n"/>
      <c r="E29" s="174" t="n"/>
      <c r="F29" s="174" t="n"/>
      <c r="G29" s="174" t="n"/>
      <c r="H29" s="174" t="n"/>
      <c r="I29" s="174" t="n"/>
      <c r="J29" s="174" t="n"/>
      <c r="K29" s="174" t="n"/>
      <c r="L29" s="174" t="n"/>
      <c r="M29" s="174" t="n"/>
      <c r="N29" s="175" t="inlineStr">
        <is>
          <t>None</t>
        </is>
      </c>
      <c r="O29" s="175" t="inlineStr">
        <is>
          <t>Not published by any source used.</t>
        </is>
      </c>
    </row>
    <row r="30">
      <c r="A30" s="173" t="inlineStr">
        <is>
          <t>Supply less sales</t>
        </is>
      </c>
      <c r="B30" s="174">
        <f>IF(COUNT(B12,B21)&lt;2,"",B12+B21)</f>
        <v/>
      </c>
      <c r="C30" s="174">
        <f>IF(COUNT(C12,C21)&lt;2,"",C12+C21)</f>
        <v/>
      </c>
      <c r="D30" s="174">
        <f>IF(COUNT(D12,D21)&lt;2,"",D12+D21)</f>
        <v/>
      </c>
      <c r="E30" s="174">
        <f>IF(COUNT(E12,E21)&lt;2,"",E12+E21)</f>
        <v/>
      </c>
      <c r="F30" s="174">
        <f>IF(COUNT(F12,F21)&lt;2,"",F12+F21)</f>
        <v/>
      </c>
      <c r="G30" s="174">
        <f>IF(COUNT(G12,G21)&lt;2,"",G12+G21)</f>
        <v/>
      </c>
      <c r="H30" s="174">
        <f>IF(COUNT(H12,H21)&lt;2,"",H12+H21)</f>
        <v/>
      </c>
      <c r="I30" s="174">
        <f>IF(COUNT(I12,I21)&lt;2,"",I12+I21)</f>
        <v/>
      </c>
      <c r="J30" s="174">
        <f>IF(COUNT(J12,J21)&lt;2,"",J12+J21)</f>
        <v/>
      </c>
      <c r="K30" s="174">
        <f>IF(COUNT(K12,K21)&lt;2,"",K12+K21)</f>
        <v/>
      </c>
      <c r="L30" s="174">
        <f>IF(COUNT(L12,L21)&lt;2,"",L12+L21)</f>
        <v/>
      </c>
      <c r="M30" s="174">
        <f>IF(COUNT(M12,M21)&lt;2,"",M12+M21)</f>
        <v/>
      </c>
      <c r="N30" s="175" t="inlineStr">
        <is>
          <t>Sum of the diesel and petrol rows</t>
        </is>
      </c>
      <c r="O30" s="175" t="inlineStr">
        <is>
          <t>Stock change and statistical difference together. Not production.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77" t="n"/>
      <c r="E8" s="156" t="inlineStr">
        <is>
          <t>Diesel divided by the activity measure, each year both exist.</t>
        </is>
      </c>
      <c r="F8" s="177">
        <f>IF(COUNT(F6,F7)&lt;2,"",F6/F7)</f>
        <v/>
      </c>
      <c r="G8" s="177">
        <f>IF(COUNT(G6,G7)&lt;2,"",G6/G7)</f>
        <v/>
      </c>
      <c r="H8" s="177">
        <f>IF(COUNT(H6,H7)&lt;2,"",H6/H7)</f>
        <v/>
      </c>
      <c r="I8" s="177">
        <f>IF(COUNT(I6,I7)&lt;2,"",I6/I7)</f>
        <v/>
      </c>
      <c r="J8" s="177">
        <f>IF(COUNT(J6,J7)&lt;2,"",J6/J7)</f>
        <v/>
      </c>
      <c r="K8" s="177">
        <f>IF(COUNT(K6,K7)&lt;2,"",K6/K7)</f>
        <v/>
      </c>
      <c r="L8" s="177">
        <f>IF(COUNT(L6,L7)&lt;2,"",L6/L7)</f>
        <v/>
      </c>
      <c r="M8" s="177">
        <f>IF(COUNT(M6,M7)&lt;2,"",M6/M7)</f>
        <v/>
      </c>
      <c r="N8" s="177">
        <f>IF(COUNT(N6,N7)&lt;2,"",N6/N7)</f>
        <v/>
      </c>
      <c r="O8" s="177">
        <f>IF(COUNT(O6,O7)&lt;2,"",O6/O7)</f>
        <v/>
      </c>
      <c r="P8" s="177">
        <f>IF(COUNT(P6,P7)&lt;2,"",P6/P7)</f>
        <v/>
      </c>
      <c r="Q8" s="177">
        <f>IF(COUNT(Q6,Q7)&lt;2,"",Q6/Q7)</f>
        <v/>
      </c>
      <c r="R8" s="177">
        <f>IF(COUNT(R6,R7)&lt;2,"",R6/R7)</f>
        <v/>
      </c>
      <c r="S8" s="177">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77" t="n"/>
      <c r="E18" s="156" t="inlineStr">
        <is>
          <t>Diesel divided by the activity measure, each year both exist.</t>
        </is>
      </c>
      <c r="F18" s="177">
        <f>IF(COUNT(F16,F17)&lt;2,"",F16/F17)</f>
        <v/>
      </c>
      <c r="G18" s="177">
        <f>IF(COUNT(G16,G17)&lt;2,"",G16/G17)</f>
        <v/>
      </c>
      <c r="H18" s="177">
        <f>IF(COUNT(H16,H17)&lt;2,"",H16/H17)</f>
        <v/>
      </c>
      <c r="I18" s="177">
        <f>IF(COUNT(I16,I17)&lt;2,"",I16/I17)</f>
        <v/>
      </c>
      <c r="J18" s="177">
        <f>IF(COUNT(J16,J17)&lt;2,"",J16/J17)</f>
        <v/>
      </c>
      <c r="K18" s="177">
        <f>IF(COUNT(K16,K17)&lt;2,"",K16/K17)</f>
        <v/>
      </c>
      <c r="L18" s="177">
        <f>IF(COUNT(L16,L17)&lt;2,"",L16/L17)</f>
        <v/>
      </c>
      <c r="M18" s="177">
        <f>IF(COUNT(M16,M17)&lt;2,"",M16/M17)</f>
        <v/>
      </c>
      <c r="N18" s="177">
        <f>IF(COUNT(N16,N17)&lt;2,"",N16/N17)</f>
        <v/>
      </c>
      <c r="O18" s="177">
        <f>IF(COUNT(O16,O17)&lt;2,"",O16/O17)</f>
        <v/>
      </c>
      <c r="P18" s="177">
        <f>IF(COUNT(P16,P17)&lt;2,"",P16/P17)</f>
        <v/>
      </c>
      <c r="Q18" s="177">
        <f>IF(COUNT(Q16,Q17)&lt;2,"",Q16/Q17)</f>
        <v/>
      </c>
      <c r="R18" s="177">
        <f>IF(COUNT(R16,R17)&lt;2,"",R16/R17)</f>
        <v/>
      </c>
      <c r="S18" s="177">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77" t="n"/>
      <c r="E24" s="156" t="inlineStr">
        <is>
          <t>Diesel divided by the activity measure, each year both exist.</t>
        </is>
      </c>
      <c r="F24" s="177">
        <f>IF(COUNT(F22,F23)&lt;2,"",F22/F23)</f>
        <v/>
      </c>
      <c r="G24" s="177">
        <f>IF(COUNT(G22,G23)&lt;2,"",G22/G23)</f>
        <v/>
      </c>
      <c r="H24" s="177">
        <f>IF(COUNT(H22,H23)&lt;2,"",H22/H23)</f>
        <v/>
      </c>
      <c r="I24" s="177">
        <f>IF(COUNT(I22,I23)&lt;2,"",I22/I23)</f>
        <v/>
      </c>
      <c r="J24" s="177">
        <f>IF(COUNT(J22,J23)&lt;2,"",J22/J23)</f>
        <v/>
      </c>
      <c r="K24" s="177">
        <f>IF(COUNT(K22,K23)&lt;2,"",K22/K23)</f>
        <v/>
      </c>
      <c r="L24" s="177">
        <f>IF(COUNT(L22,L23)&lt;2,"",L22/L23)</f>
        <v/>
      </c>
      <c r="M24" s="177">
        <f>IF(COUNT(M22,M23)&lt;2,"",M22/M23)</f>
        <v/>
      </c>
      <c r="N24" s="177">
        <f>IF(COUNT(N22,N23)&lt;2,"",N22/N23)</f>
        <v/>
      </c>
      <c r="O24" s="177">
        <f>IF(COUNT(O22,O23)&lt;2,"",O22/O23)</f>
        <v/>
      </c>
      <c r="P24" s="177">
        <f>IF(COUNT(P22,P23)&lt;2,"",P22/P23)</f>
        <v/>
      </c>
      <c r="Q24" s="177">
        <f>IF(COUNT(Q22,Q23)&lt;2,"",Q22/Q23)</f>
        <v/>
      </c>
      <c r="R24" s="177">
        <f>IF(COUNT(R22,R23)&lt;2,"",R22/R23)</f>
        <v/>
      </c>
      <c r="S24" s="177">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77" t="n">
        <v>0.31</v>
      </c>
      <c r="E12" s="156" t="inlineStr">
        <is>
          <t>Energy balance to 2021; from 2022 generation times litres per kWh (column D). Driver: turbine output.</t>
        </is>
      </c>
      <c r="F12" s="177">
        <f>IF(ISNUMBER(F10),F10*$D$12,IF(ISNUMBER(F11),F11,""))</f>
        <v/>
      </c>
      <c r="G12" s="177">
        <f>IF(ISNUMBER(G10),G10*$D$12,IF(ISNUMBER(G11),G11,""))</f>
        <v/>
      </c>
      <c r="H12" s="177">
        <f>IF(ISNUMBER(H10),H10*$D$12,IF(ISNUMBER(H11),H11,""))</f>
        <v/>
      </c>
      <c r="I12" s="177">
        <f>IF(ISNUMBER(I10),I10*$D$12,IF(ISNUMBER(I11),I11,""))</f>
        <v/>
      </c>
      <c r="J12" s="177">
        <f>IF(ISNUMBER(J10),J10*$D$12,IF(ISNUMBER(J11),J11,""))</f>
        <v/>
      </c>
      <c r="K12" s="177">
        <f>IF(ISNUMBER(K10),K10*$D$12,IF(ISNUMBER(K11),K11,""))</f>
        <v/>
      </c>
      <c r="L12" s="177">
        <f>IF(ISNUMBER(L10),L10*$D$12,IF(ISNUMBER(L11),L11,""))</f>
        <v/>
      </c>
      <c r="M12" s="177">
        <f>IF(ISNUMBER(M10),M10*$D$12,IF(ISNUMBER(M11),M11,""))</f>
        <v/>
      </c>
      <c r="N12" s="177">
        <f>IF(ISNUMBER(N10),N10*$D$12,IF(ISNUMBER(N11),N11,""))</f>
        <v/>
      </c>
      <c r="O12" s="177">
        <f>IF(ISNUMBER(O10),O10*$D$12,IF(ISNUMBER(O11),O11,""))</f>
        <v/>
      </c>
      <c r="P12" s="177">
        <f>IF(ISNUMBER(P10),P10*$D$12,IF(ISNUMBER(P11),P11,""))</f>
        <v/>
      </c>
      <c r="Q12" s="177">
        <f>IF(ISNUMBER(Q10),Q10*$D$12,IF(ISNUMBER(Q11),Q11,""))</f>
        <v/>
      </c>
      <c r="R12" s="177">
        <f>IF(ISNUMBER(R10),R10*$D$12,IF(ISNUMBER(R11),R11,""))</f>
        <v/>
      </c>
      <c r="S12" s="177">
        <f>IF(ISNUMBER(S10),S10*$D$12,IF(ISNUMBER(S11),S11,""))</f>
        <v/>
      </c>
      <c r="T12" s="156" t="inlineStr">
        <is>
          <t>Estimated from 2022 at 0.31 litres per kWh</t>
        </is>
      </c>
      <c r="U12" s="156" t="inlineStr">
        <is>
          <t>Eskom; parliamentary replies on diesel burn</t>
        </is>
      </c>
      <c r="V12" s="156" t="inlineStr">
        <is>
          <t>0.31 is confirmed by Eskom's reported fuel and generation (DR07 power diesel sheet)</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78" t="n"/>
      <c r="E24" s="156" t="inlineStr">
        <is>
          <t>Heavy vehicle diesel divided by road freight payload. This is the link from freight activity to litres: road freight grows or shifts to rail in tonnes, and diesel follows at this intensity.</t>
        </is>
      </c>
      <c r="F24" s="178">
        <f>IF(COUNT(F18,F23)&lt;2,"",F18/F23)</f>
        <v/>
      </c>
      <c r="G24" s="178">
        <f>IF(COUNT(G18,G23)&lt;2,"",G18/G23)</f>
        <v/>
      </c>
      <c r="H24" s="178">
        <f>IF(COUNT(H18,H23)&lt;2,"",H18/H23)</f>
        <v/>
      </c>
      <c r="I24" s="178">
        <f>IF(COUNT(I18,I23)&lt;2,"",I18/I23)</f>
        <v/>
      </c>
      <c r="J24" s="178">
        <f>IF(COUNT(J18,J23)&lt;2,"",J18/J23)</f>
        <v/>
      </c>
      <c r="K24" s="178">
        <f>IF(COUNT(K18,K23)&lt;2,"",K18/K23)</f>
        <v/>
      </c>
      <c r="L24" s="178">
        <f>IF(COUNT(L18,L23)&lt;2,"",L18/L23)</f>
        <v/>
      </c>
      <c r="M24" s="178">
        <f>IF(COUNT(M18,M23)&lt;2,"",M18/M23)</f>
        <v/>
      </c>
      <c r="N24" s="178">
        <f>IF(COUNT(N18,N23)&lt;2,"",N18/N23)</f>
        <v/>
      </c>
      <c r="O24" s="178">
        <f>IF(COUNT(O18,O23)&lt;2,"",O18/O23)</f>
        <v/>
      </c>
      <c r="P24" s="178">
        <f>IF(COUNT(P18,P23)&lt;2,"",P18/P23)</f>
        <v/>
      </c>
      <c r="Q24" s="178">
        <f>IF(COUNT(Q18,Q23)&lt;2,"",Q18/Q23)</f>
        <v/>
      </c>
      <c r="R24" s="178">
        <f>IF(COUNT(R18,R23)&lt;2,"",R18/R23)</f>
        <v/>
      </c>
      <c r="S24" s="178">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9" t="n">
        <v>60.5</v>
      </c>
      <c r="E30" s="159" t="inlineStr">
        <is>
          <t>Merven, Hartley and Ahjum (2019): land freight took 60.5% of domestic diesel demand in 2012. Same research group as the vehicle study.</t>
        </is>
      </c>
      <c r="F30" s="179" t="n"/>
      <c r="G30" s="179" t="n"/>
      <c r="H30" s="179" t="n"/>
      <c r="I30" s="179" t="n"/>
      <c r="J30" s="179" t="n"/>
      <c r="K30" s="179" t="n"/>
      <c r="L30" s="179" t="n"/>
      <c r="M30" s="179" t="n"/>
      <c r="N30" s="179" t="n"/>
      <c r="O30" s="179" t="n"/>
      <c r="P30" s="179" t="n"/>
      <c r="Q30" s="179" t="n"/>
      <c r="R30" s="179" t="n"/>
      <c r="S30" s="179"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80" t="n">
        <v>4836.490501047</v>
      </c>
      <c r="E33" s="159" t="inlineStr">
        <is>
          <t>Diesel classes counted: HCV1Diesel, HCV2Diesel, HCV3Diesel, HCV4Diesel, HCV5Diesel, HCV6Diesel, HCV7Diesel, HCV8Diesel, HCV9Diesel. Other classes in the group, not diesel: HCV1Gasoline.</t>
        </is>
      </c>
      <c r="F33" s="180" t="n"/>
      <c r="G33" s="180" t="n"/>
      <c r="H33" s="180" t="n"/>
      <c r="I33" s="180" t="n"/>
      <c r="J33" s="180" t="n"/>
      <c r="K33" s="180" t="n"/>
      <c r="L33" s="180" t="n"/>
      <c r="M33" s="180" t="n"/>
      <c r="N33" s="180" t="n"/>
      <c r="O33" s="180" t="n"/>
      <c r="P33" s="180" t="n"/>
      <c r="Q33" s="180" t="n"/>
      <c r="R33" s="180" t="n"/>
      <c r="S33" s="180"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80" t="n">
        <v>2156.667657144</v>
      </c>
      <c r="E34" s="159" t="inlineStr">
        <is>
          <t>Diesel classes counted: LCVDiesel. Other classes in the group, not diesel: LCVGasoline.</t>
        </is>
      </c>
      <c r="F34" s="180" t="n"/>
      <c r="G34" s="180" t="n"/>
      <c r="H34" s="180" t="n"/>
      <c r="I34" s="180" t="n"/>
      <c r="J34" s="180" t="n"/>
      <c r="K34" s="180" t="n"/>
      <c r="L34" s="180" t="n"/>
      <c r="M34" s="180" t="n"/>
      <c r="N34" s="180" t="n"/>
      <c r="O34" s="180" t="n"/>
      <c r="P34" s="180" t="n"/>
      <c r="Q34" s="180" t="n"/>
      <c r="R34" s="180" t="n"/>
      <c r="S34" s="180"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80" t="n">
        <v>996.994409071</v>
      </c>
      <c r="E35" s="159" t="inlineStr">
        <is>
          <t>Diesel classes counted: CarDiesel, CarHybridDiesel, BusDiesel, MBTDiesel, SUVDiesel. Other classes in the group, not diesel: CarElectric, CarGasoline, CarHybridGasoline, MBTGasoline, MotoGasoline, SUVGasoline, SUVHybridGasoline.</t>
        </is>
      </c>
      <c r="F35" s="180" t="n"/>
      <c r="G35" s="180" t="n"/>
      <c r="H35" s="180" t="n"/>
      <c r="I35" s="180" t="n"/>
      <c r="J35" s="180" t="n"/>
      <c r="K35" s="180" t="n"/>
      <c r="L35" s="180" t="n"/>
      <c r="M35" s="180" t="n"/>
      <c r="N35" s="180" t="n"/>
      <c r="O35" s="180" t="n"/>
      <c r="P35" s="180" t="n"/>
      <c r="Q35" s="180" t="n"/>
      <c r="R35" s="180" t="n"/>
      <c r="S35" s="180"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30" customWidth="1" min="12" max="12"/>
    <col width="62" customWidth="1" min="13" max="13"/>
    <col width="44" customWidth="1" min="14" max="14"/>
  </cols>
  <sheetData>
    <row r="1">
      <c r="A1" s="149" t="inlineStr">
        <is>
          <t>Demand by use: who burns the diesel and petrol</t>
        </is>
      </c>
    </row>
    <row r="2">
      <c r="A2" s="1" t="inlineStr">
        <is>
          <t>Billion litres, calendar years. Every number is a formula on the Diesel by use and History sheets. Road diesel is what remains of sales after the four sourced uses, and includes rail, construction and ships' diesel.</t>
        </is>
      </c>
    </row>
    <row r="4">
      <c r="A4" s="168" t="inlineStr">
        <is>
          <t>Use</t>
        </is>
      </c>
      <c r="B4" s="169" t="n">
        <v>2014</v>
      </c>
      <c r="C4" s="169" t="n">
        <v>2015</v>
      </c>
      <c r="D4" s="169" t="n">
        <v>2016</v>
      </c>
      <c r="E4" s="169" t="n">
        <v>2017</v>
      </c>
      <c r="F4" s="169" t="n">
        <v>2018</v>
      </c>
      <c r="G4" s="169" t="n">
        <v>2019</v>
      </c>
      <c r="H4" s="169" t="n">
        <v>2020</v>
      </c>
      <c r="I4" s="169" t="n">
        <v>2021</v>
      </c>
      <c r="J4" s="169" t="n">
        <v>2022</v>
      </c>
      <c r="K4" s="169" t="n">
        <v>2023</v>
      </c>
      <c r="L4" s="168" t="inlineStr">
        <is>
          <t>Basis</t>
        </is>
      </c>
      <c r="M4" s="168" t="inlineStr">
        <is>
          <t>Source</t>
        </is>
      </c>
      <c r="N4" s="168" t="inlineStr">
        <is>
          <t>Note</t>
        </is>
      </c>
    </row>
    <row r="5">
      <c r="A5" s="151" t="inlineStr">
        <is>
          <t>Diesel</t>
        </is>
      </c>
      <c r="B5" s="151" t="n"/>
      <c r="C5" s="151" t="n"/>
      <c r="D5" s="151" t="n"/>
      <c r="E5" s="151" t="n"/>
      <c r="F5" s="151" t="n"/>
      <c r="G5" s="151" t="n"/>
      <c r="H5" s="151" t="n"/>
      <c r="I5" s="151" t="n"/>
      <c r="J5" s="151" t="n"/>
      <c r="K5" s="151" t="n"/>
      <c r="L5" s="151" t="n"/>
      <c r="M5" s="151" t="n"/>
      <c r="N5" s="151" t="n"/>
    </row>
    <row r="6">
      <c r="A6" s="170" t="inlineStr">
        <is>
          <t>Power generation</t>
        </is>
      </c>
      <c r="B6" s="171">
        <f>IF(ISNUMBER('Diesel by use'!H12),'Diesel by use'!H12/1000,"")</f>
        <v/>
      </c>
      <c r="C6" s="171">
        <f>IF(ISNUMBER('Diesel by use'!I12),'Diesel by use'!I12/1000,"")</f>
        <v/>
      </c>
      <c r="D6" s="171">
        <f>IF(ISNUMBER('Diesel by use'!J12),'Diesel by use'!J12/1000,"")</f>
        <v/>
      </c>
      <c r="E6" s="171">
        <f>IF(ISNUMBER('Diesel by use'!K12),'Diesel by use'!K12/1000,"")</f>
        <v/>
      </c>
      <c r="F6" s="171">
        <f>IF(ISNUMBER('Diesel by use'!L12),'Diesel by use'!L12/1000,"")</f>
        <v/>
      </c>
      <c r="G6" s="171">
        <f>IF(ISNUMBER('Diesel by use'!M12),'Diesel by use'!M12/1000,"")</f>
        <v/>
      </c>
      <c r="H6" s="171">
        <f>IF(ISNUMBER('Diesel by use'!N12),'Diesel by use'!N12/1000,"")</f>
        <v/>
      </c>
      <c r="I6" s="171">
        <f>IF(ISNUMBER('Diesel by use'!O12),'Diesel by use'!O12/1000,"")</f>
        <v/>
      </c>
      <c r="J6" s="171">
        <f>IF(ISNUMBER('Diesel by use'!P12),'Diesel by use'!P12/1000,"")</f>
        <v/>
      </c>
      <c r="K6" s="171">
        <f>IF(ISNUMBER('Diesel by use'!Q12),'Diesel by use'!Q12/1000,"")</f>
        <v/>
      </c>
      <c r="L6" s="172" t="inlineStr">
        <is>
          <t>Observed to 2021; estimated from 2022</t>
        </is>
      </c>
      <c r="M6" s="172" t="inlineStr">
        <is>
          <t>Department energy balances to 2021; Eskom generation x 0.31 litres per kWh from 2022</t>
        </is>
      </c>
      <c r="N6" s="172" t="inlineStr">
        <is>
          <t>Eskom and independent diesel turbines. The balance records almost none for 2017-2019 and nothing for 2020-2021; the Eskom generation data held starts in 2022. Eskom's reported litres are on the DR07 power diesel sheet.</t>
        </is>
      </c>
    </row>
    <row r="7">
      <c r="A7" s="170" t="inlineStr">
        <is>
          <t>Mining</t>
        </is>
      </c>
      <c r="B7" s="171">
        <f>IF(ISNUMBER('Diesel by use'!H7),'Diesel by use'!H7/1000,"")</f>
        <v/>
      </c>
      <c r="C7" s="171">
        <f>IF(ISNUMBER('Diesel by use'!I7),'Diesel by use'!I7/1000,"")</f>
        <v/>
      </c>
      <c r="D7" s="171">
        <f>IF(ISNUMBER('Diesel by use'!J7),'Diesel by use'!J7/1000,"")</f>
        <v/>
      </c>
      <c r="E7" s="171">
        <f>IF(ISNUMBER('Diesel by use'!K7),'Diesel by use'!K7/1000,"")</f>
        <v/>
      </c>
      <c r="F7" s="171">
        <f>IF(ISNUMBER('Diesel by use'!L7),'Diesel by use'!L7/1000,"")</f>
        <v/>
      </c>
      <c r="G7" s="171">
        <f>IF(ISNUMBER('Diesel by use'!M7),'Diesel by use'!M7/1000,"")</f>
        <v/>
      </c>
      <c r="H7" s="171">
        <f>IF(ISNUMBER('Diesel by use'!N7),'Diesel by use'!N7/1000,"")</f>
        <v/>
      </c>
      <c r="I7" s="171">
        <f>IF(ISNUMBER('Diesel by use'!O7),'Diesel by use'!O7/1000,"")</f>
        <v/>
      </c>
      <c r="J7" s="171">
        <f>IF(ISNUMBER('Diesel by use'!P7),'Diesel by use'!P7/1000,"")</f>
        <v/>
      </c>
      <c r="K7" s="171">
        <f>IF(ISNUMBER('Diesel by use'!Q7),'Diesel by use'!Q7/1000,"")</f>
        <v/>
      </c>
      <c r="L7" s="172" t="inlineStr">
        <is>
          <t>Observed to 2021; estimated from 2022</t>
        </is>
      </c>
      <c r="M7" s="172" t="inlineStr">
        <is>
          <t>Department energy balances; moved with the Stats SA mining volume index after 2021</t>
        </is>
      </c>
      <c r="N7" s="172" t="inlineStr"/>
    </row>
    <row r="8">
      <c r="A8" s="170" t="inlineStr">
        <is>
          <t>Manufacturing and other industry</t>
        </is>
      </c>
      <c r="B8" s="171">
        <f>IF(ISNUMBER('Diesel by use'!H8),'Diesel by use'!H8/1000,"")</f>
        <v/>
      </c>
      <c r="C8" s="171">
        <f>IF(ISNUMBER('Diesel by use'!I8),'Diesel by use'!I8/1000,"")</f>
        <v/>
      </c>
      <c r="D8" s="171">
        <f>IF(ISNUMBER('Diesel by use'!J8),'Diesel by use'!J8/1000,"")</f>
        <v/>
      </c>
      <c r="E8" s="171">
        <f>IF(ISNUMBER('Diesel by use'!K8),'Diesel by use'!K8/1000,"")</f>
        <v/>
      </c>
      <c r="F8" s="171">
        <f>IF(ISNUMBER('Diesel by use'!L8),'Diesel by use'!L8/1000,"")</f>
        <v/>
      </c>
      <c r="G8" s="171">
        <f>IF(ISNUMBER('Diesel by use'!M8),'Diesel by use'!M8/1000,"")</f>
        <v/>
      </c>
      <c r="H8" s="171">
        <f>IF(ISNUMBER('Diesel by use'!N8),'Diesel by use'!N8/1000,"")</f>
        <v/>
      </c>
      <c r="I8" s="171">
        <f>IF(ISNUMBER('Diesel by use'!O8),'Diesel by use'!O8/1000,"")</f>
        <v/>
      </c>
      <c r="J8" s="171">
        <f>IF(ISNUMBER('Diesel by use'!P8),'Diesel by use'!P8/1000,"")</f>
        <v/>
      </c>
      <c r="K8" s="171">
        <f>IF(ISNUMBER('Diesel by use'!Q8),'Diesel by use'!Q8/1000,"")</f>
        <v/>
      </c>
      <c r="L8" s="172" t="inlineStr">
        <is>
          <t>Observed to 2021; estimated from 2022</t>
        </is>
      </c>
      <c r="M8" s="172" t="inlineStr">
        <is>
          <t>Department energy balances; moved with the Stats SA manufacturing volume index after 2021</t>
        </is>
      </c>
      <c r="N8" s="172" t="inlineStr">
        <is>
          <t>Not reported separately before 2016.</t>
        </is>
      </c>
    </row>
    <row r="9">
      <c r="A9" s="170" t="inlineStr">
        <is>
          <t>Agriculture</t>
        </is>
      </c>
      <c r="B9" s="171">
        <f>IF(ISNUMBER('Diesel by use'!H9),'Diesel by use'!H9/1000,"")</f>
        <v/>
      </c>
      <c r="C9" s="171">
        <f>IF(ISNUMBER('Diesel by use'!I9),'Diesel by use'!I9/1000,"")</f>
        <v/>
      </c>
      <c r="D9" s="171">
        <f>IF(ISNUMBER('Diesel by use'!J9),'Diesel by use'!J9/1000,"")</f>
        <v/>
      </c>
      <c r="E9" s="171">
        <f>IF(ISNUMBER('Diesel by use'!K9),'Diesel by use'!K9/1000,"")</f>
        <v/>
      </c>
      <c r="F9" s="171">
        <f>IF(ISNUMBER('Diesel by use'!L9),'Diesel by use'!L9/1000,"")</f>
        <v/>
      </c>
      <c r="G9" s="171">
        <f>IF(ISNUMBER('Diesel by use'!M9),'Diesel by use'!M9/1000,"")</f>
        <v/>
      </c>
      <c r="H9" s="171">
        <f>IF(ISNUMBER('Diesel by use'!N9),'Diesel by use'!N9/1000,"")</f>
        <v/>
      </c>
      <c r="I9" s="171">
        <f>IF(ISNUMBER('Diesel by use'!O9),'Diesel by use'!O9/1000,"")</f>
        <v/>
      </c>
      <c r="J9" s="171">
        <f>IF(ISNUMBER('Diesel by use'!P9),'Diesel by use'!P9/1000,"")</f>
        <v/>
      </c>
      <c r="K9" s="171">
        <f>IF(ISNUMBER('Diesel by use'!Q9),'Diesel by use'!Q9/1000,"")</f>
        <v/>
      </c>
      <c r="L9" s="172" t="inlineStr">
        <is>
          <t>Observed to 2021; estimated from 2022</t>
        </is>
      </c>
      <c r="M9" s="172" t="inlineStr">
        <is>
          <t>Department energy balances; moved with agricultural real value added after 2021</t>
        </is>
      </c>
      <c r="N9" s="172" t="inlineStr"/>
    </row>
    <row r="10">
      <c r="A10" s="181" t="inlineStr">
        <is>
          <t>Heavy vehicles</t>
        </is>
      </c>
      <c r="B10" s="182">
        <f>IF(ISNUMBER('Diesel by use'!H18),'Diesel by use'!H18/1000,"")</f>
        <v/>
      </c>
      <c r="C10" s="182">
        <f>IF(ISNUMBER('Diesel by use'!I18),'Diesel by use'!I18/1000,"")</f>
        <v/>
      </c>
      <c r="D10" s="182">
        <f>IF(ISNUMBER('Diesel by use'!J18),'Diesel by use'!J18/1000,"")</f>
        <v/>
      </c>
      <c r="E10" s="182">
        <f>IF(ISNUMBER('Diesel by use'!K18),'Diesel by use'!K18/1000,"")</f>
        <v/>
      </c>
      <c r="F10" s="182">
        <f>IF(ISNUMBER('Diesel by use'!L18),'Diesel by use'!L18/1000,"")</f>
        <v/>
      </c>
      <c r="G10" s="182">
        <f>IF(ISNUMBER('Diesel by use'!M18),'Diesel by use'!M18/1000,"")</f>
        <v/>
      </c>
      <c r="H10" s="182">
        <f>IF(ISNUMBER('Diesel by use'!N18),'Diesel by use'!N18/1000,"")</f>
        <v/>
      </c>
      <c r="I10" s="182">
        <f>IF(ISNUMBER('Diesel by use'!O18),'Diesel by use'!O18/1000,"")</f>
        <v/>
      </c>
      <c r="J10" s="182">
        <f>IF(ISNUMBER('Diesel by use'!P18),'Diesel by use'!P18/1000,"")</f>
        <v/>
      </c>
      <c r="K10" s="182">
        <f>IF(ISNUMBER('Diesel by use'!Q18),'Diesel by use'!Q18/1000,"")</f>
        <v/>
      </c>
      <c r="L10" s="183" t="inlineStr">
        <is>
          <t>Estimate</t>
        </is>
      </c>
      <c r="M10" s="183" t="inlineStr">
        <is>
          <t>Road diesel x 60.5%, the share in Stone et al. (2018)</t>
        </is>
      </c>
      <c r="N10" s="183" t="inlineStr">
        <is>
          <t>Trucks and buses. Shares are for the 2010 fleet.</t>
        </is>
      </c>
    </row>
    <row r="11">
      <c r="A11" s="181" t="inlineStr">
        <is>
          <t>Light vehicles</t>
        </is>
      </c>
      <c r="B11" s="182">
        <f>IF(ISNUMBER('Diesel by use'!H19),'Diesel by use'!H19/1000,"")</f>
        <v/>
      </c>
      <c r="C11" s="182">
        <f>IF(ISNUMBER('Diesel by use'!I19),'Diesel by use'!I19/1000,"")</f>
        <v/>
      </c>
      <c r="D11" s="182">
        <f>IF(ISNUMBER('Diesel by use'!J19),'Diesel by use'!J19/1000,"")</f>
        <v/>
      </c>
      <c r="E11" s="182">
        <f>IF(ISNUMBER('Diesel by use'!K19),'Diesel by use'!K19/1000,"")</f>
        <v/>
      </c>
      <c r="F11" s="182">
        <f>IF(ISNUMBER('Diesel by use'!L19),'Diesel by use'!L19/1000,"")</f>
        <v/>
      </c>
      <c r="G11" s="182">
        <f>IF(ISNUMBER('Diesel by use'!M19),'Diesel by use'!M19/1000,"")</f>
        <v/>
      </c>
      <c r="H11" s="182">
        <f>IF(ISNUMBER('Diesel by use'!N19),'Diesel by use'!N19/1000,"")</f>
        <v/>
      </c>
      <c r="I11" s="182">
        <f>IF(ISNUMBER('Diesel by use'!O19),'Diesel by use'!O19/1000,"")</f>
        <v/>
      </c>
      <c r="J11" s="182">
        <f>IF(ISNUMBER('Diesel by use'!P19),'Diesel by use'!P19/1000,"")</f>
        <v/>
      </c>
      <c r="K11" s="182">
        <f>IF(ISNUMBER('Diesel by use'!Q19),'Diesel by use'!Q19/1000,"")</f>
        <v/>
      </c>
      <c r="L11" s="183" t="inlineStr">
        <is>
          <t>Estimate</t>
        </is>
      </c>
      <c r="M11" s="183" t="inlineStr">
        <is>
          <t>Road diesel x 27.0%, the share in Stone et al. (2018)</t>
        </is>
      </c>
      <c r="N11" s="183" t="inlineStr">
        <is>
          <t>Bakkies and minibuses.</t>
        </is>
      </c>
    </row>
    <row r="12">
      <c r="A12" s="181" t="inlineStr">
        <is>
          <t>Passenger vehicles</t>
        </is>
      </c>
      <c r="B12" s="182">
        <f>IF(ISNUMBER('Diesel by use'!H20),'Diesel by use'!H20/1000,"")</f>
        <v/>
      </c>
      <c r="C12" s="182">
        <f>IF(ISNUMBER('Diesel by use'!I20),'Diesel by use'!I20/1000,"")</f>
        <v/>
      </c>
      <c r="D12" s="182">
        <f>IF(ISNUMBER('Diesel by use'!J20),'Diesel by use'!J20/1000,"")</f>
        <v/>
      </c>
      <c r="E12" s="182">
        <f>IF(ISNUMBER('Diesel by use'!K20),'Diesel by use'!K20/1000,"")</f>
        <v/>
      </c>
      <c r="F12" s="182">
        <f>IF(ISNUMBER('Diesel by use'!L20),'Diesel by use'!L20/1000,"")</f>
        <v/>
      </c>
      <c r="G12" s="182">
        <f>IF(ISNUMBER('Diesel by use'!M20),'Diesel by use'!M20/1000,"")</f>
        <v/>
      </c>
      <c r="H12" s="182">
        <f>IF(ISNUMBER('Diesel by use'!N20),'Diesel by use'!N20/1000,"")</f>
        <v/>
      </c>
      <c r="I12" s="182">
        <f>IF(ISNUMBER('Diesel by use'!O20),'Diesel by use'!O20/1000,"")</f>
        <v/>
      </c>
      <c r="J12" s="182">
        <f>IF(ISNUMBER('Diesel by use'!P20),'Diesel by use'!P20/1000,"")</f>
        <v/>
      </c>
      <c r="K12" s="182">
        <f>IF(ISNUMBER('Diesel by use'!Q20),'Diesel by use'!Q20/1000,"")</f>
        <v/>
      </c>
      <c r="L12" s="183" t="inlineStr">
        <is>
          <t>Estimate</t>
        </is>
      </c>
      <c r="M12" s="183" t="inlineStr">
        <is>
          <t>Road diesel x 12.5%, the share in Stone et al. (2018)</t>
        </is>
      </c>
      <c r="N12" s="183" t="inlineStr">
        <is>
          <t>Cars and SUVs.</t>
        </is>
      </c>
    </row>
    <row r="13">
      <c r="A13" s="173" t="inlineStr">
        <is>
          <t>Diesel sales</t>
        </is>
      </c>
      <c r="B13" s="174">
        <f>IF(COUNT(B6:B12)&lt;6,"",SUM(B6:B12))</f>
        <v/>
      </c>
      <c r="C13" s="174">
        <f>IF(COUNT(C6:C12)&lt;6,"",SUM(C6:C12))</f>
        <v/>
      </c>
      <c r="D13" s="174">
        <f>IF(COUNT(D6:D12)&lt;6,"",SUM(D6:D12))</f>
        <v/>
      </c>
      <c r="E13" s="174">
        <f>IF(COUNT(E6:E12)&lt;6,"",SUM(E6:E12))</f>
        <v/>
      </c>
      <c r="F13" s="174">
        <f>IF(COUNT(F6:F12)&lt;6,"",SUM(F6:F12))</f>
        <v/>
      </c>
      <c r="G13" s="174">
        <f>IF(COUNT(G6:G12)&lt;6,"",SUM(G6:G12))</f>
        <v/>
      </c>
      <c r="H13" s="174">
        <f>IF(COUNT(H6:H12)&lt;6,"",SUM(H6:H12))</f>
        <v/>
      </c>
      <c r="I13" s="174">
        <f>IF(COUNT(I6:I12)&lt;6,"",SUM(I6:I12))</f>
        <v/>
      </c>
      <c r="J13" s="174">
        <f>IF(COUNT(J6:J12)&lt;6,"",SUM(J6:J12))</f>
        <v/>
      </c>
      <c r="K13" s="174">
        <f>IF(COUNT(K6:K12)&lt;6,"",SUM(K6:K12))</f>
        <v/>
      </c>
      <c r="L13" s="175" t="inlineStr">
        <is>
          <t>Sum of the rows above</t>
        </is>
      </c>
      <c r="M13" s="175" t="inlineStr">
        <is>
          <t>Equals department sales (provinces added up; national total for 2023)</t>
        </is>
      </c>
      <c r="N13" s="175" t="inlineStr">
        <is>
          <t>Nothing published after 2023.</t>
        </is>
      </c>
    </row>
    <row r="14">
      <c r="A14" s="176" t="inlineStr">
        <is>
          <t>Road vehicles, share of diesel</t>
        </is>
      </c>
      <c r="B14" s="184">
        <f>IF(ISNUMBER(B13),(B10+B11+B12)/B13,"")</f>
        <v/>
      </c>
      <c r="C14" s="184">
        <f>IF(ISNUMBER(C13),(C10+C11+C12)/C13,"")</f>
        <v/>
      </c>
      <c r="D14" s="184">
        <f>IF(ISNUMBER(D13),(D10+D11+D12)/D13,"")</f>
        <v/>
      </c>
      <c r="E14" s="184">
        <f>IF(ISNUMBER(E13),(E10+E11+E12)/E13,"")</f>
        <v/>
      </c>
      <c r="F14" s="184">
        <f>IF(ISNUMBER(F13),(F10+F11+F12)/F13,"")</f>
        <v/>
      </c>
      <c r="G14" s="184">
        <f>IF(ISNUMBER(G13),(G10+G11+G12)/G13,"")</f>
        <v/>
      </c>
      <c r="H14" s="184">
        <f>IF(ISNUMBER(H13),(H10+H11+H12)/H13,"")</f>
        <v/>
      </c>
      <c r="I14" s="184">
        <f>IF(ISNUMBER(I13),(I10+I11+I12)/I13,"")</f>
        <v/>
      </c>
      <c r="J14" s="184">
        <f>IF(ISNUMBER(J13),(J10+J11+J12)/J13,"")</f>
        <v/>
      </c>
      <c r="K14" s="184">
        <f>IF(ISNUMBER(K13),(K10+K11+K12)/K13,"")</f>
        <v/>
      </c>
      <c r="L14" s="175" t="inlineStr">
        <is>
          <t>Calculated</t>
        </is>
      </c>
      <c r="M14" s="175" t="inlineStr">
        <is>
          <t>Heavy, light and passenger vehicles over diesel sales</t>
        </is>
      </c>
      <c r="N14" s="175" t="inlineStr"/>
    </row>
    <row r="16">
      <c r="A16" s="151" t="inlineStr">
        <is>
          <t>Petrol</t>
        </is>
      </c>
      <c r="B16" s="151" t="n"/>
      <c r="C16" s="151" t="n"/>
      <c r="D16" s="151" t="n"/>
      <c r="E16" s="151" t="n"/>
      <c r="F16" s="151" t="n"/>
      <c r="G16" s="151" t="n"/>
      <c r="H16" s="151" t="n"/>
      <c r="I16" s="151" t="n"/>
      <c r="J16" s="151" t="n"/>
      <c r="K16" s="151" t="n"/>
      <c r="L16" s="151" t="n"/>
      <c r="M16" s="151" t="n"/>
      <c r="N16" s="151" t="n"/>
    </row>
    <row r="17">
      <c r="A17" s="170" t="inlineStr">
        <is>
          <t>Road vehicles</t>
        </is>
      </c>
      <c r="B17" s="171">
        <f>IF(ISNUMBER('History'!H61),'History'!H61/1000,"")</f>
        <v/>
      </c>
      <c r="C17" s="171">
        <f>IF(ISNUMBER('History'!I61),'History'!I61/1000,"")</f>
        <v/>
      </c>
      <c r="D17" s="171">
        <f>IF(ISNUMBER('History'!J61),'History'!J61/1000,"")</f>
        <v/>
      </c>
      <c r="E17" s="171">
        <f>IF(ISNUMBER('History'!K61),'History'!K61/1000,"")</f>
        <v/>
      </c>
      <c r="F17" s="171">
        <f>IF(ISNUMBER('History'!L61),'History'!L61/1000,"")</f>
        <v/>
      </c>
      <c r="G17" s="171">
        <f>IF(ISNUMBER('History'!M61),'History'!M61/1000,"")</f>
        <v/>
      </c>
      <c r="H17" s="171">
        <f>IF(ISNUMBER('History'!N61),'History'!N61/1000,"")</f>
        <v/>
      </c>
      <c r="I17" s="171">
        <f>IF(ISNUMBER('History'!O61),'History'!O61/1000,"")</f>
        <v/>
      </c>
      <c r="J17" s="171">
        <f>IF(ISNUMBER('History'!P61),'History'!P61/1000,"")</f>
        <v/>
      </c>
      <c r="K17" s="171">
        <f>IF(ISNUMBER('History'!Q61),'History'!Q61/1000,"")</f>
        <v/>
      </c>
      <c r="L17" s="172" t="inlineStr">
        <is>
          <t>Observed</t>
        </is>
      </c>
      <c r="M17" s="172" t="inlineStr">
        <is>
          <t>Department sales (provinces added up; national total for 2023)</t>
        </is>
      </c>
      <c r="N17" s="172" t="inlineStr">
        <is>
          <t>No source splits petrol by use; cars and light vehicles burn nearly all of it.</t>
        </is>
      </c>
    </row>
    <row r="18">
      <c r="A18" s="173" t="inlineStr">
        <is>
          <t>Petrol sales</t>
        </is>
      </c>
      <c r="B18" s="174">
        <f>IF(ISNUMBER(B17),B17,"")</f>
        <v/>
      </c>
      <c r="C18" s="174">
        <f>IF(ISNUMBER(C17),C17,"")</f>
        <v/>
      </c>
      <c r="D18" s="174">
        <f>IF(ISNUMBER(D17),D17,"")</f>
        <v/>
      </c>
      <c r="E18" s="174">
        <f>IF(ISNUMBER(E17),E17,"")</f>
        <v/>
      </c>
      <c r="F18" s="174">
        <f>IF(ISNUMBER(F17),F17,"")</f>
        <v/>
      </c>
      <c r="G18" s="174">
        <f>IF(ISNUMBER(G17),G17,"")</f>
        <v/>
      </c>
      <c r="H18" s="174">
        <f>IF(ISNUMBER(H17),H17,"")</f>
        <v/>
      </c>
      <c r="I18" s="174">
        <f>IF(ISNUMBER(I17),I17,"")</f>
        <v/>
      </c>
      <c r="J18" s="174">
        <f>IF(ISNUMBER(J17),J17,"")</f>
        <v/>
      </c>
      <c r="K18" s="174">
        <f>IF(ISNUMBER(K17),K17,"")</f>
        <v/>
      </c>
      <c r="L18" s="175" t="inlineStr">
        <is>
          <t>Sum of the row above</t>
        </is>
      </c>
      <c r="M18" s="175" t="inlineStr">
        <is>
          <t>Equals department sales</t>
        </is>
      </c>
      <c r="N18" s="175" t="inlineStr">
        <is>
          <t>Nothing published after 2023.</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5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DR04 Routes and access: what the documents establish</t>
        </is>
      </c>
    </row>
    <row r="2">
      <c r="A2" s="1" t="inlineStr">
        <is>
          <t>32 facts read from sources, 3 calculated, 6 not available (yellow). Each row gives its source. Petrol and diesel only: 26 facts that mix in other products are left out. Built from dr04_routes_access_evidence_2026-10-08.csv.</t>
        </is>
      </c>
    </row>
    <row r="4">
      <c r="A4" s="150" t="inlineStr">
        <is>
          <t>Item</t>
        </is>
      </c>
      <c r="B4" s="150" t="inlineStr">
        <is>
          <t>Asset or route</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Pipeline limit</t>
        </is>
      </c>
      <c r="B5" s="151" t="n"/>
      <c r="C5" s="151" t="n"/>
      <c r="D5" s="151" t="n"/>
      <c r="E5" s="151" t="n"/>
      <c r="F5" s="151" t="n"/>
      <c r="G5" s="151" t="n"/>
      <c r="H5" s="151" t="n"/>
      <c r="I5" s="151" t="n"/>
    </row>
    <row r="6">
      <c r="A6" s="152" t="inlineStr">
        <is>
          <t>Trunk line capacity</t>
        </is>
      </c>
      <c r="B6" s="152" t="inlineStr">
        <is>
          <t>Durban to Jameson Park, 24-inch multi-product line</t>
        </is>
      </c>
      <c r="C6" s="152" t="inlineStr">
        <is>
          <t>148</t>
        </is>
      </c>
      <c r="D6" s="152" t="inlineStr">
        <is>
          <t>million litres a week</t>
        </is>
      </c>
      <c r="E6" s="152" t="inlineStr">
        <is>
          <t>as stated in 2020</t>
        </is>
      </c>
      <c r="F6" s="152" t="inlineStr">
        <is>
          <t>observed</t>
        </is>
      </c>
      <c r="G6" s="152" t="inlineStr">
        <is>
          <t>Transnet Pipelines 2020 report</t>
        </is>
      </c>
      <c r="H6" s="152" t="inlineStr">
        <is>
          <t>PDF p.3</t>
        </is>
      </c>
      <c r="I6" s="152" t="inlineStr">
        <is>
          <t>Not confirmed as today's capacity; later phases and pump stations may have changed it.</t>
        </is>
      </c>
    </row>
    <row r="7">
      <c r="A7" s="156" t="inlineStr">
        <is>
          <t>Trunk line capacity, annualised</t>
        </is>
      </c>
      <c r="B7" s="156" t="inlineStr">
        <is>
          <t>Durban to Jameson Park, 24-inch multi-product line</t>
        </is>
      </c>
      <c r="C7" s="156" t="inlineStr">
        <is>
          <t>7.70</t>
        </is>
      </c>
      <c r="D7" s="156" t="inlineStr">
        <is>
          <t>billion litres a year</t>
        </is>
      </c>
      <c r="E7" s="156" t="inlineStr">
        <is>
          <t>as stated in 2020</t>
        </is>
      </c>
      <c r="F7" s="156" t="inlineStr">
        <is>
          <t>inferred</t>
        </is>
      </c>
      <c r="G7" s="156" t="inlineStr">
        <is>
          <t>148 million litres a week x 52</t>
        </is>
      </c>
      <c r="H7" s="156" t="inlineStr">
        <is>
          <t>PDF p.3</t>
        </is>
      </c>
      <c r="I7" s="156" t="inlineStr">
        <is>
          <t>Assumes every week at full rate; real annual capacity is lower.</t>
        </is>
      </c>
    </row>
    <row r="8">
      <c r="A8" s="152" t="inlineStr">
        <is>
          <t>Inland accumulation facility</t>
        </is>
      </c>
      <c r="B8" s="152" t="inlineStr">
        <is>
          <t>Jameson Park, Gauteng (Transnet's TM2)</t>
        </is>
      </c>
      <c r="C8" s="152" t="inlineStr">
        <is>
          <t>180</t>
        </is>
      </c>
      <c r="D8" s="152" t="inlineStr">
        <is>
          <t>million litres</t>
        </is>
      </c>
      <c r="E8" s="152" t="inlineStr">
        <is>
          <t>operational since December 2017</t>
        </is>
      </c>
      <c r="F8" s="152" t="inlineStr">
        <is>
          <t>observed</t>
        </is>
      </c>
      <c r="G8" s="152" t="inlineStr">
        <is>
          <t>Transnet Pipelines 2020 report</t>
        </is>
      </c>
      <c r="H8" s="152" t="inlineStr">
        <is>
          <t>PDF p.3</t>
        </is>
      </c>
      <c r="I8" s="152" t="inlineStr">
        <is>
          <t>Working capacity by product not stated.</t>
        </is>
      </c>
    </row>
    <row r="9">
      <c r="A9" s="152" t="inlineStr">
        <is>
          <t>Products carried on the trunk line</t>
        </is>
      </c>
      <c r="B9" s="152" t="inlineStr">
        <is>
          <t>Durban to Jameson Park</t>
        </is>
      </c>
      <c r="C9" s="152" t="inlineStr">
        <is>
          <t>Two diesel grades, two petrol grades, jet fuel</t>
        </is>
      </c>
      <c r="D9" s="152" t="inlineStr"/>
      <c r="E9" s="152" t="inlineStr">
        <is>
          <t>as stated in 2020</t>
        </is>
      </c>
      <c r="F9" s="152" t="inlineStr">
        <is>
          <t>observed</t>
        </is>
      </c>
      <c r="G9" s="152" t="inlineStr">
        <is>
          <t>Transnet Pipelines 2020 report</t>
        </is>
      </c>
      <c r="H9" s="152" t="inlineStr">
        <is>
          <t>PDF p.3</t>
        </is>
      </c>
      <c r="I9" s="152" t="inlineStr"/>
    </row>
    <row r="10">
      <c r="A10" s="152" t="inlineStr">
        <is>
          <t>Old Durban to Johannesburg pipeline</t>
        </is>
      </c>
      <c r="B10" s="152" t="inlineStr">
        <is>
          <t>Durban to Johannesburg (DJP)</t>
        </is>
      </c>
      <c r="C10" s="152" t="inlineStr">
        <is>
          <t>Being decommissioned; completion expected 2021</t>
        </is>
      </c>
      <c r="D10" s="152" t="inlineStr"/>
      <c r="E10" s="152" t="inlineStr">
        <is>
          <t>as stated in 2020</t>
        </is>
      </c>
      <c r="F10" s="152" t="inlineStr">
        <is>
          <t>observed</t>
        </is>
      </c>
      <c r="G10" s="152" t="inlineStr">
        <is>
          <t>Transnet Pipelines 2020 report</t>
        </is>
      </c>
      <c r="H10" s="152" t="inlineStr">
        <is>
          <t>PDF p.3</t>
        </is>
      </c>
      <c r="I10" s="152" t="inlineStr">
        <is>
          <t>Whether decommissioning is complete is not confirmed from a later source.</t>
        </is>
      </c>
    </row>
    <row r="12">
      <c r="A12" s="151" t="inlineStr">
        <is>
          <t>Pipeline cost</t>
        </is>
      </c>
      <c r="B12" s="151" t="n"/>
      <c r="C12" s="151" t="n"/>
      <c r="D12" s="151" t="n"/>
      <c r="E12" s="151" t="n"/>
      <c r="F12" s="151" t="n"/>
      <c r="G12" s="151" t="n"/>
      <c r="H12" s="151" t="n"/>
      <c r="I12" s="151" t="n"/>
    </row>
    <row r="13">
      <c r="A13" s="152" t="inlineStr">
        <is>
          <t>Effect of the tariff decision on the fuel price</t>
        </is>
      </c>
      <c r="B13" s="152" t="inlineStr">
        <is>
          <t>Durban to Johannesburg proxy</t>
        </is>
      </c>
      <c r="C13" s="152" t="inlineStr">
        <is>
          <t>+5.23; +3.80</t>
        </is>
      </c>
      <c r="D13" s="152" t="inlineStr">
        <is>
          <t>cents a litre</t>
        </is>
      </c>
      <c r="E13" s="152" t="inlineStr">
        <is>
          <t>2025/26; 2026/27</t>
        </is>
      </c>
      <c r="F13" s="152" t="inlineStr">
        <is>
          <t>observed</t>
        </is>
      </c>
      <c r="G13" s="152" t="inlineStr">
        <is>
          <t>NERSA media statement, 15 April 2025</t>
        </is>
      </c>
      <c r="H13" s="152" t="inlineStr">
        <is>
          <t>p.1</t>
        </is>
      </c>
      <c r="I13" s="152" t="inlineStr">
        <is>
          <t>This is the change, not the tariff. The tariff by route is in the reasons for decision, not yet obtained.</t>
        </is>
      </c>
    </row>
    <row r="14">
      <c r="A14" s="152" t="inlineStr">
        <is>
          <t>Pipeline tariff, Durban to Alrode</t>
        </is>
      </c>
      <c r="B14" s="152" t="inlineStr">
        <is>
          <t>Durban to Alrode (Johannesburg)</t>
        </is>
      </c>
      <c r="C14" s="152" t="inlineStr">
        <is>
          <t>61.74; 67.99</t>
        </is>
      </c>
      <c r="D14" s="152" t="inlineStr">
        <is>
          <t>cents a litre</t>
        </is>
      </c>
      <c r="E14" s="152" t="inlineStr">
        <is>
          <t>2023/24; 2024/25</t>
        </is>
      </c>
      <c r="F14" s="152" t="inlineStr">
        <is>
          <t>observed</t>
        </is>
      </c>
      <c r="G14" s="152" t="inlineStr">
        <is>
          <t>NERSA statement of 15 March 2024, as quoted by Engineering News</t>
        </is>
      </c>
      <c r="H14" s="152" t="inlineStr"/>
      <c r="I14" s="152" t="inlineStr">
        <is>
          <t>Read from a news report quoting the regulator word for word; NERSA's own statement was not located. A 10.13% increase.</t>
        </is>
      </c>
    </row>
    <row r="15">
      <c r="A15" s="156" t="inlineStr">
        <is>
          <t>Pipeline tariff, Durban to Alrode</t>
        </is>
      </c>
      <c r="B15" s="156" t="inlineStr">
        <is>
          <t>Durban to Alrode (Johannesburg)</t>
        </is>
      </c>
      <c r="C15" s="156" t="inlineStr">
        <is>
          <t>73.22; 77.02</t>
        </is>
      </c>
      <c r="D15" s="156" t="inlineStr">
        <is>
          <t>cents a litre</t>
        </is>
      </c>
      <c r="E15" s="156" t="inlineStr">
        <is>
          <t>2025/26; 2026/27</t>
        </is>
      </c>
      <c r="F15" s="156" t="inlineStr">
        <is>
          <t>inferred</t>
        </is>
      </c>
      <c r="G15" s="156" t="inlineStr">
        <is>
          <t>67.99 plus the increases of 5.23 and 3.80 in NERSA's statement of 15 April 2025</t>
        </is>
      </c>
      <c r="H15" s="156" t="inlineStr">
        <is>
          <t>p.1</t>
        </is>
      </c>
      <c r="I15" s="156" t="inlineStr">
        <is>
          <t>Assumes the stated effect on the fuel price is the change in this tariff, as it was in 2024/25. To confirm in the reasons for decision.</t>
        </is>
      </c>
    </row>
    <row r="16">
      <c r="A16" s="162" t="inlineStr">
        <is>
          <t>Tariff on routes other than Durban to Alrode</t>
        </is>
      </c>
      <c r="B16" s="162" t="inlineStr">
        <is>
          <t>Other inland routes</t>
        </is>
      </c>
      <c r="C16" s="162" t="inlineStr">
        <is>
          <t>Not available</t>
        </is>
      </c>
      <c r="D16" s="162" t="inlineStr">
        <is>
          <t>cents a litre</t>
        </is>
      </c>
      <c r="E16" s="162" t="inlineStr">
        <is>
          <t>2026/27</t>
        </is>
      </c>
      <c r="F16" s="162" t="inlineStr">
        <is>
          <t>not available</t>
        </is>
      </c>
      <c r="G16" s="162" t="inlineStr">
        <is>
          <t>NERSA reasons for decision (not obtained)</t>
        </is>
      </c>
      <c r="H16" s="162" t="inlineStr"/>
      <c r="I16" s="162" t="inlineStr">
        <is>
          <t>Needed to compare destinations other than Gauteng. In NERSA's reasons for decision, not located. Owner: Manish.</t>
        </is>
      </c>
    </row>
    <row r="18">
      <c r="A18" s="151" t="inlineStr">
        <is>
          <t>Delivered cost</t>
        </is>
      </c>
      <c r="B18" s="151" t="n"/>
      <c r="C18" s="151" t="n"/>
      <c r="D18" s="151" t="n"/>
      <c r="E18" s="151" t="n"/>
      <c r="F18" s="151" t="n"/>
      <c r="G18" s="151" t="n"/>
      <c r="H18" s="151" t="n"/>
      <c r="I18" s="151" t="n"/>
    </row>
    <row r="19">
      <c r="A19" s="152" t="inlineStr">
        <is>
          <t>Regulated price difference, inland less coast, diesel wholesale</t>
        </is>
      </c>
      <c r="B19" s="152" t="inlineStr">
        <is>
          <t>Gauteng less coast</t>
        </is>
      </c>
      <c r="C19" s="152" t="inlineStr">
        <is>
          <t>79.0; 83.3; 83.3</t>
        </is>
      </c>
      <c r="D19" s="152" t="inlineStr">
        <is>
          <t>cents a litre</t>
        </is>
      </c>
      <c r="E19" s="152" t="inlineStr">
        <is>
          <t>July 2024; July 2025; November 2025</t>
        </is>
      </c>
      <c r="F19" s="152" t="inlineStr">
        <is>
          <t>observed</t>
        </is>
      </c>
      <c r="G19" s="152" t="inlineStr">
        <is>
          <t>Department of Mineral and Petroleum Resources, regulated fuel prices</t>
        </is>
      </c>
      <c r="H19" s="152" t="inlineStr"/>
      <c r="I19" s="152" t="inlineStr">
        <is>
          <t>The regulated allowance for moving fuel inland, not an operator's actual cost. Coast series held ends November 2025.</t>
        </is>
      </c>
    </row>
    <row r="20">
      <c r="A20" s="152" t="inlineStr">
        <is>
          <t>Regulated transport differential, Gauteng (zone 9C)</t>
        </is>
      </c>
      <c r="B20" s="152" t="inlineStr">
        <is>
          <t>Coast to Gauteng</t>
        </is>
      </c>
      <c r="C20" s="152" t="inlineStr">
        <is>
          <t>33.1; 82.8; 91.1</t>
        </is>
      </c>
      <c r="D20" s="152" t="inlineStr">
        <is>
          <t>cents a litre</t>
        </is>
      </c>
      <c r="E20" s="152" t="inlineStr">
        <is>
          <t>April 2014; April 2024; April 2026</t>
        </is>
      </c>
      <c r="F20" s="152" t="inlineStr">
        <is>
          <t>observed</t>
        </is>
      </c>
      <c r="G20" s="152" t="inlineStr">
        <is>
          <t>Department zone lists (2014, 2024); Central Energy Fund price composition (2026)</t>
        </is>
      </c>
      <c r="H20" s="152" t="inlineStr">
        <is>
          <t>CEF p.3</t>
        </is>
      </c>
      <c r="I20" s="152" t="inlineStr">
        <is>
          <t>The regulated allowance for getting petrol and diesel to Gauteng, which the regulator ties to the pipeline tariff. Not a commercial rate.</t>
        </is>
      </c>
    </row>
    <row r="21">
      <c r="A21" s="152" t="inlineStr">
        <is>
          <t>Regulated transport differential, all zones</t>
        </is>
      </c>
      <c r="B21" s="152" t="inlineStr">
        <is>
          <t>Coast to each of 54 pricing zones</t>
        </is>
      </c>
      <c r="C21" s="152" t="inlineStr">
        <is>
          <t>3.8 to 179.6</t>
        </is>
      </c>
      <c r="D21" s="152" t="inlineStr">
        <is>
          <t>cents a litre</t>
        </is>
      </c>
      <c r="E21" s="152" t="inlineStr">
        <is>
          <t>April 2024</t>
        </is>
      </c>
      <c r="F21" s="152" t="inlineStr">
        <is>
          <t>observed</t>
        </is>
      </c>
      <c r="G21" s="152" t="inlineStr">
        <is>
          <t>Department diesel wholesale price list, effective 3 April 2024</t>
        </is>
      </c>
      <c r="H21" s="152" t="inlineStr">
        <is>
          <t>pp.1-2</t>
        </is>
      </c>
      <c r="I21" s="152" t="inlineStr">
        <is>
          <t>Lowest at the coast (zone 1A), highest in zone 17A. By zone on the DR04 transport cost sheet. The files do not say which mode serves each zone.</t>
        </is>
      </c>
    </row>
    <row r="22">
      <c r="A22" s="156" t="inlineStr">
        <is>
          <t>Regulated transport differential less the pipeline tariff, Gauteng</t>
        </is>
      </c>
      <c r="B22" s="156" t="inlineStr">
        <is>
          <t>Coast to Gauteng</t>
        </is>
      </c>
      <c r="C22" s="156" t="inlineStr">
        <is>
          <t>14.8</t>
        </is>
      </c>
      <c r="D22" s="156" t="inlineStr">
        <is>
          <t>cents a litre</t>
        </is>
      </c>
      <c r="E22" s="156" t="inlineStr">
        <is>
          <t>2024/25</t>
        </is>
      </c>
      <c r="F22" s="156" t="inlineStr">
        <is>
          <t>inferred</t>
        </is>
      </c>
      <c r="G22" s="156" t="inlineStr">
        <is>
          <t>82.8 (zone 9C, April 2024) less 67.99 (Durban to Alrode, 2024/25)</t>
        </is>
      </c>
      <c r="H22" s="156" t="inlineStr"/>
      <c r="I22" s="156" t="inlineStr">
        <is>
          <t>What the rest of the Gauteng differential covers is not established.</t>
        </is>
      </c>
    </row>
    <row r="23">
      <c r="A23" s="152" t="inlineStr">
        <is>
          <t>Regulated secondary distribution (depot to service station by road)</t>
        </is>
      </c>
      <c r="B23" s="152" t="inlineStr">
        <is>
          <t>All zones</t>
        </is>
      </c>
      <c r="C23" s="152" t="inlineStr">
        <is>
          <t>17.2; 19.1</t>
        </is>
      </c>
      <c r="D23" s="152" t="inlineStr">
        <is>
          <t>cents a litre</t>
        </is>
      </c>
      <c r="E23" s="152" t="inlineStr">
        <is>
          <t>April 2024; April 2026</t>
        </is>
      </c>
      <c r="F23" s="152" t="inlineStr">
        <is>
          <t>observed</t>
        </is>
      </c>
      <c r="G23" s="152" t="inlineStr">
        <is>
          <t>Department diesel margins (2024); Central Energy Fund price composition (2026)</t>
        </is>
      </c>
      <c r="H23" s="152" t="inlineStr">
        <is>
          <t>CEF p.3</t>
        </is>
      </c>
      <c r="I23" s="152" t="inlineStr">
        <is>
          <t>The only regulated road delivery element. One national figure; it does not vary by distance.</t>
        </is>
      </c>
    </row>
    <row r="24">
      <c r="A24" s="152" t="inlineStr">
        <is>
          <t>Regulated secondary storage</t>
        </is>
      </c>
      <c r="B24" s="152" t="inlineStr">
        <is>
          <t>All zones</t>
        </is>
      </c>
      <c r="C24" s="152" t="inlineStr">
        <is>
          <t>36.6; 39.0</t>
        </is>
      </c>
      <c r="D24" s="152" t="inlineStr">
        <is>
          <t>cents a litre</t>
        </is>
      </c>
      <c r="E24" s="152" t="inlineStr">
        <is>
          <t>April 2024; April 2026</t>
        </is>
      </c>
      <c r="F24" s="152" t="inlineStr">
        <is>
          <t>observed</t>
        </is>
      </c>
      <c r="G24" s="152" t="inlineStr">
        <is>
          <t>Department diesel margins (2024); Central Energy Fund price composition (2026)</t>
        </is>
      </c>
      <c r="H24" s="152" t="inlineStr">
        <is>
          <t>CEF p.3</t>
        </is>
      </c>
      <c r="I24" s="152" t="inlineStr">
        <is>
          <t>The regulated allowance for depot storage, which is the service a terminal such as Lesedi sells. One national figure.</t>
        </is>
      </c>
    </row>
    <row r="25">
      <c r="A25" s="152" t="inlineStr">
        <is>
          <t>Road against pipeline, as stated by a haulier</t>
        </is>
      </c>
      <c r="B25" s="152" t="inlineStr">
        <is>
          <t>Durban to Gauteng</t>
        </is>
      </c>
      <c r="C25" s="152" t="inlineStr">
        <is>
          <t>Pipeline plus the last stretch by truck costs about a third more than trucking all the way</t>
        </is>
      </c>
      <c r="D25" s="152" t="inlineStr"/>
      <c r="E25" s="152" t="inlineStr">
        <is>
          <t>May 2025</t>
        </is>
      </c>
      <c r="F25" s="152" t="inlineStr">
        <is>
          <t>observed</t>
        </is>
      </c>
      <c r="G25" s="152" t="inlineStr">
        <is>
          <t>Bloomberg, 12 May 2025, quoting the managing director of a fuel haulier</t>
        </is>
      </c>
      <c r="H25" s="152" t="inlineStr"/>
      <c r="I25" s="152" t="inlineStr">
        <is>
          <t>One operator's statement, with no rate given. It implies road is competitive with the pipeline; it is not a measured cost.</t>
        </is>
      </c>
    </row>
    <row r="26">
      <c r="A26" s="162" t="inlineStr">
        <is>
          <t>Commercial road tanker rate, Durban to Gauteng</t>
        </is>
      </c>
      <c r="B26" s="162" t="inlineStr">
        <is>
          <t>Road</t>
        </is>
      </c>
      <c r="C26" s="162" t="inlineStr">
        <is>
          <t>Not available</t>
        </is>
      </c>
      <c r="D26" s="162" t="inlineStr">
        <is>
          <t>cents a litre</t>
        </is>
      </c>
      <c r="E26" s="162" t="inlineStr"/>
      <c r="F26" s="162" t="inlineStr">
        <is>
          <t>not available</t>
        </is>
      </c>
      <c r="G26" s="162" t="inlineStr">
        <is>
          <t>None public</t>
        </is>
      </c>
      <c r="H26" s="162" t="inlineStr"/>
      <c r="I26" s="162" t="inlineStr">
        <is>
          <t>Hauliers' rates are not published. The regulated differentials above are the nearest public figure. Needs Vopak or a haulier quote.</t>
        </is>
      </c>
    </row>
    <row r="27">
      <c r="A27" s="162" t="inlineStr">
        <is>
          <t>Rail rate, Durban to Gauteng</t>
        </is>
      </c>
      <c r="B27" s="162" t="inlineStr">
        <is>
          <t>Rail</t>
        </is>
      </c>
      <c r="C27" s="162" t="inlineStr">
        <is>
          <t>Not available</t>
        </is>
      </c>
      <c r="D27" s="162" t="inlineStr">
        <is>
          <t>cents a litre</t>
        </is>
      </c>
      <c r="E27" s="162" t="inlineStr"/>
      <c r="F27" s="162" t="inlineStr">
        <is>
          <t>not available</t>
        </is>
      </c>
      <c r="G27" s="162" t="inlineStr">
        <is>
          <t>None public</t>
        </is>
      </c>
      <c r="H27" s="162" t="inlineStr"/>
      <c r="I27" s="162" t="inlineStr">
        <is>
          <t>Transnet Freight Rail does not publish rates by commodity, and none was found for fuel. Needs Transnet or Vopak.</t>
        </is>
      </c>
    </row>
    <row r="29">
      <c r="A29" s="151" t="inlineStr">
        <is>
          <t>Port use</t>
        </is>
      </c>
      <c r="B29" s="151" t="n"/>
      <c r="C29" s="151" t="n"/>
      <c r="D29" s="151" t="n"/>
      <c r="E29" s="151" t="n"/>
      <c r="F29" s="151" t="n"/>
      <c r="G29" s="151" t="n"/>
      <c r="H29" s="151" t="n"/>
      <c r="I29" s="151" t="n"/>
    </row>
    <row r="30">
      <c r="A30" s="152" t="inlineStr">
        <is>
          <t>Petrol and diesel imports cleared</t>
        </is>
      </c>
      <c r="B30" s="152" t="inlineStr">
        <is>
          <t>Durban customs office</t>
        </is>
      </c>
      <c r="C30" s="152" t="inlineStr">
        <is>
          <t>11.84; 13.16</t>
        </is>
      </c>
      <c r="D30" s="152" t="inlineStr">
        <is>
          <t>billion litres</t>
        </is>
      </c>
      <c r="E30" s="152" t="inlineStr">
        <is>
          <t>2024; 2025</t>
        </is>
      </c>
      <c r="F30" s="152" t="inlineStr">
        <is>
          <t>observed</t>
        </is>
      </c>
      <c r="G30" s="152" t="inlineStr">
        <is>
          <t>SARS customs, by office</t>
        </is>
      </c>
      <c r="H30" s="152" t="inlineStr"/>
      <c r="I30" s="152" t="inlineStr">
        <is>
          <t>Customs office of clearance: the nearest public record of entry port, not a berth or terminal record.</t>
        </is>
      </c>
    </row>
    <row r="31">
      <c r="A31" s="152" t="inlineStr">
        <is>
          <t>Durban share of petrol and diesel imports</t>
        </is>
      </c>
      <c r="B31" s="152" t="inlineStr">
        <is>
          <t>Durban customs office</t>
        </is>
      </c>
      <c r="C31" s="152" t="inlineStr">
        <is>
          <t>80.0; 78.8</t>
        </is>
      </c>
      <c r="D31" s="152" t="inlineStr">
        <is>
          <t>%</t>
        </is>
      </c>
      <c r="E31" s="152" t="inlineStr">
        <is>
          <t>2024; 2025</t>
        </is>
      </c>
      <c r="F31" s="152" t="inlineStr">
        <is>
          <t>observed</t>
        </is>
      </c>
      <c r="G31" s="152" t="inlineStr">
        <is>
          <t>SARS customs, by office</t>
        </is>
      </c>
      <c r="H31" s="152" t="inlineStr"/>
      <c r="I31" s="152" t="inlineStr"/>
    </row>
    <row r="32">
      <c r="A32" s="152" t="inlineStr">
        <is>
          <t>Petrol and diesel imports cleared</t>
        </is>
      </c>
      <c r="B32" s="152" t="inlineStr">
        <is>
          <t>Richards Bay customs office</t>
        </is>
      </c>
      <c r="C32" s="152" t="inlineStr">
        <is>
          <t>0.39; 0.66</t>
        </is>
      </c>
      <c r="D32" s="152" t="inlineStr">
        <is>
          <t>billion litres</t>
        </is>
      </c>
      <c r="E32" s="152" t="inlineStr">
        <is>
          <t>2024; 2025</t>
        </is>
      </c>
      <c r="F32" s="152" t="inlineStr">
        <is>
          <t>observed</t>
        </is>
      </c>
      <c r="G32" s="152" t="inlineStr">
        <is>
          <t>SARS customs, by office</t>
        </is>
      </c>
      <c r="H32" s="152" t="inlineStr"/>
      <c r="I32" s="152" t="inlineStr"/>
    </row>
    <row r="33">
      <c r="A33" s="152" t="inlineStr">
        <is>
          <t>Petrol and diesel imports cleared</t>
        </is>
      </c>
      <c r="B33" s="152" t="inlineStr">
        <is>
          <t>Cape Town customs office</t>
        </is>
      </c>
      <c r="C33" s="152" t="inlineStr">
        <is>
          <t>1.09; 1.52</t>
        </is>
      </c>
      <c r="D33" s="152" t="inlineStr">
        <is>
          <t>billion litres</t>
        </is>
      </c>
      <c r="E33" s="152" t="inlineStr">
        <is>
          <t>2024; 2025</t>
        </is>
      </c>
      <c r="F33" s="152" t="inlineStr">
        <is>
          <t>observed</t>
        </is>
      </c>
      <c r="G33" s="152" t="inlineStr">
        <is>
          <t>SARS customs, by office</t>
        </is>
      </c>
      <c r="H33" s="152" t="inlineStr"/>
      <c r="I33" s="152" t="inlineStr"/>
    </row>
    <row r="34">
      <c r="A34" s="152" t="inlineStr">
        <is>
          <t>Petrol and diesel imports by road from Mozambique</t>
        </is>
      </c>
      <c r="B34" s="152" t="inlineStr">
        <is>
          <t>Komatipoort customs office</t>
        </is>
      </c>
      <c r="C34" s="152" t="inlineStr">
        <is>
          <t>0.19; 0.09</t>
        </is>
      </c>
      <c r="D34" s="152" t="inlineStr">
        <is>
          <t>billion litres</t>
        </is>
      </c>
      <c r="E34" s="152" t="inlineStr">
        <is>
          <t>2024; 2025</t>
        </is>
      </c>
      <c r="F34" s="152" t="inlineStr">
        <is>
          <t>observed</t>
        </is>
      </c>
      <c r="G34" s="152" t="inlineStr">
        <is>
          <t>SARS customs, by office</t>
        </is>
      </c>
      <c r="H34" s="152" t="inlineStr"/>
      <c r="I34" s="152" t="inlineStr">
        <is>
          <t>The only recorded entry from the Maputo and Matola side.</t>
        </is>
      </c>
    </row>
    <row r="36">
      <c r="A36" s="151" t="inlineStr">
        <is>
          <t>Port limit</t>
        </is>
      </c>
      <c r="B36" s="151" t="n"/>
      <c r="C36" s="151" t="n"/>
      <c r="D36" s="151" t="n"/>
      <c r="E36" s="151" t="n"/>
      <c r="F36" s="151" t="n"/>
      <c r="G36" s="151" t="n"/>
      <c r="H36" s="151" t="n"/>
      <c r="I36" s="151" t="n"/>
    </row>
    <row r="37">
      <c r="A37" s="152" t="inlineStr">
        <is>
          <t>Berths</t>
        </is>
      </c>
      <c r="B37" s="152" t="inlineStr">
        <is>
          <t>Durban</t>
        </is>
      </c>
      <c r="C37" s="152" t="inlineStr">
        <is>
          <t>58 berths, 41 in operation, of which 8 liquid bulk</t>
        </is>
      </c>
      <c r="D37" s="152" t="inlineStr"/>
      <c r="E37" s="152" t="inlineStr">
        <is>
          <t>as on the page, read 8 October 2026</t>
        </is>
      </c>
      <c r="F37" s="152" t="inlineStr">
        <is>
          <t>observed</t>
        </is>
      </c>
      <c r="G37" s="152" t="inlineStr">
        <is>
          <t>Transnet National Ports Authority, Our Ports page</t>
        </is>
      </c>
      <c r="H37" s="152" t="inlineStr">
        <is>
          <t>Port of Durban, Fast Fact</t>
        </is>
      </c>
      <c r="I37" s="152" t="inlineStr">
        <is>
          <t>No capacity in kilolitres is given on the page.</t>
        </is>
      </c>
    </row>
    <row r="38">
      <c r="A38" s="152" t="inlineStr">
        <is>
          <t>Berths</t>
        </is>
      </c>
      <c r="B38" s="152" t="inlineStr">
        <is>
          <t>Richards Bay</t>
        </is>
      </c>
      <c r="C38" s="152" t="inlineStr">
        <is>
          <t>22 berths, of which 2 liquid bulk</t>
        </is>
      </c>
      <c r="D38" s="152" t="inlineStr"/>
      <c r="E38" s="152" t="inlineStr">
        <is>
          <t>as on the page, read 8 October 2026</t>
        </is>
      </c>
      <c r="F38" s="152" t="inlineStr">
        <is>
          <t>observed</t>
        </is>
      </c>
      <c r="G38" s="152" t="inlineStr">
        <is>
          <t>Transnet National Ports Authority, Our Ports page</t>
        </is>
      </c>
      <c r="H38" s="152" t="inlineStr">
        <is>
          <t>Port of Richards Bay, Fast Fact</t>
        </is>
      </c>
      <c r="I38" s="152" t="inlineStr">
        <is>
          <t>No capacity in kilolitres is given on the page.</t>
        </is>
      </c>
    </row>
    <row r="39">
      <c r="A39" s="152" t="inlineStr">
        <is>
          <t>Planned berth changes at Island View</t>
        </is>
      </c>
      <c r="B39" s="152" t="inlineStr">
        <is>
          <t>Durban, Island View</t>
        </is>
      </c>
      <c r="C39" s="152" t="inlineStr">
        <is>
          <t>Berth 1 to be rebuilt (2026); Berth 3 to convert from dry bulk to liquid bulk (2026)</t>
        </is>
      </c>
      <c r="D39" s="152" t="inlineStr"/>
      <c r="E39" s="152" t="inlineStr">
        <is>
          <t>port framework plan 2022-2032</t>
        </is>
      </c>
      <c r="F39" s="152" t="inlineStr">
        <is>
          <t>observed</t>
        </is>
      </c>
      <c r="G39" s="152" t="inlineStr">
        <is>
          <t>Port authority tariff application slides, 2 September 2025</t>
        </is>
      </c>
      <c r="H39" s="152" t="inlineStr">
        <is>
          <t>PDF p.14</t>
        </is>
      </c>
      <c r="I39" s="152" t="inlineStr">
        <is>
          <t>Whether either is delivered is shown only by colour on the slide, which the text does not carry.</t>
        </is>
      </c>
    </row>
    <row r="40">
      <c r="A40" s="152" t="inlineStr">
        <is>
          <t>Planned liquid bulk berth at Richards Bay</t>
        </is>
      </c>
      <c r="B40" s="152" t="inlineStr">
        <is>
          <t>Richards Bay</t>
        </is>
      </c>
      <c r="C40" s="152" t="inlineStr">
        <is>
          <t>New liquid bulk berth 210 (2025); South Dunes liquid bulk development (2024)</t>
        </is>
      </c>
      <c r="D40" s="152" t="inlineStr"/>
      <c r="E40" s="152" t="inlineStr">
        <is>
          <t>port framework plan 2022-2032</t>
        </is>
      </c>
      <c r="F40" s="152" t="inlineStr">
        <is>
          <t>observed</t>
        </is>
      </c>
      <c r="G40" s="152" t="inlineStr">
        <is>
          <t>Port authority tariff application slides, 2 September 2025</t>
        </is>
      </c>
      <c r="H40" s="152" t="inlineStr">
        <is>
          <t>PDF pp.11-12</t>
        </is>
      </c>
      <c r="I40" s="152" t="inlineStr">
        <is>
          <t>Delivery status not readable from the text.</t>
        </is>
      </c>
    </row>
    <row r="42">
      <c r="A42" s="151" t="inlineStr">
        <is>
          <t>Access</t>
        </is>
      </c>
      <c r="B42" s="151" t="n"/>
      <c r="C42" s="151" t="n"/>
      <c r="D42" s="151" t="n"/>
      <c r="E42" s="151" t="n"/>
      <c r="F42" s="151" t="n"/>
      <c r="G42" s="151" t="n"/>
      <c r="H42" s="151" t="n"/>
      <c r="I42" s="151" t="n"/>
    </row>
    <row r="43">
      <c r="A43" s="152" t="inlineStr">
        <is>
          <t>Lesedi connection to the pipeline</t>
        </is>
      </c>
      <c r="B43" s="152" t="inlineStr">
        <is>
          <t>Vopak Lesedi, Jameson Park</t>
        </is>
      </c>
      <c r="C43" s="152" t="inlineStr">
        <is>
          <t>Four pipelines to the Transnet system at Jameson Park; intake from the Transnet pipeline</t>
        </is>
      </c>
      <c r="D43" s="152" t="inlineStr"/>
      <c r="E43" s="152" t="inlineStr">
        <is>
          <t>licence of 26 August 2020</t>
        </is>
      </c>
      <c r="F43" s="152" t="inlineStr">
        <is>
          <t>observed</t>
        </is>
      </c>
      <c r="G43" s="152" t="inlineStr">
        <is>
          <t>NERSA reasons for decision, Vopak licence amendment</t>
        </is>
      </c>
      <c r="H43" s="152" t="inlineStr">
        <is>
          <t>PDF p.6</t>
        </is>
      </c>
      <c r="I43" s="152" t="inlineStr"/>
    </row>
    <row r="44">
      <c r="A44" s="152" t="inlineStr">
        <is>
          <t>Lesedi dispatch</t>
        </is>
      </c>
      <c r="B44" s="152" t="inlineStr">
        <is>
          <t>Vopak Lesedi, Jameson Park</t>
        </is>
      </c>
      <c r="C44" s="152" t="inlineStr">
        <is>
          <t>8</t>
        </is>
      </c>
      <c r="D44" s="152" t="inlineStr">
        <is>
          <t>road loading bays</t>
        </is>
      </c>
      <c r="E44" s="152" t="inlineStr">
        <is>
          <t>2025</t>
        </is>
      </c>
      <c r="F44" s="152" t="inlineStr">
        <is>
          <t>observed</t>
        </is>
      </c>
      <c r="G44" s="152" t="inlineStr">
        <is>
          <t>NERSA reasons for decision, Vopak licence amendment</t>
        </is>
      </c>
      <c r="H44" s="152" t="inlineStr">
        <is>
          <t>PDF p.7</t>
        </is>
      </c>
      <c r="I44" s="152" t="inlineStr">
        <is>
          <t>Dispatch is by road only; no rail or outbound pipeline is mentioned.</t>
        </is>
      </c>
    </row>
    <row r="45">
      <c r="A45" s="152" t="inlineStr">
        <is>
          <t>Lesedi licensed capacity</t>
        </is>
      </c>
      <c r="B45" s="152" t="inlineStr">
        <is>
          <t>Vopak Lesedi, Jameson Park</t>
        </is>
      </c>
      <c r="C45" s="152" t="inlineStr">
        <is>
          <t>100000 rising to 140000</t>
        </is>
      </c>
      <c r="D45" s="152" t="inlineStr">
        <is>
          <t>m3</t>
        </is>
      </c>
      <c r="E45" s="152" t="inlineStr">
        <is>
          <t>2020; after the 2025 expansion</t>
        </is>
      </c>
      <c r="F45" s="152" t="inlineStr">
        <is>
          <t>observed</t>
        </is>
      </c>
      <c r="G45" s="152" t="inlineStr">
        <is>
          <t>NERSA reasons for decision, Vopak licence amendment</t>
        </is>
      </c>
      <c r="H45" s="152" t="inlineStr">
        <is>
          <t>PDF p.6</t>
        </is>
      </c>
      <c r="I45" s="152" t="inlineStr">
        <is>
          <t>Design capacity. Six tanks (three diesel, three petrol) plus two diesel tanks.</t>
        </is>
      </c>
    </row>
    <row r="46">
      <c r="A46" s="152" t="inlineStr">
        <is>
          <t>Who ships to Lesedi</t>
        </is>
      </c>
      <c r="B46" s="152" t="inlineStr">
        <is>
          <t>Durban to Jameson Park</t>
        </is>
      </c>
      <c r="C46" s="152" t="inlineStr">
        <is>
          <t>Lesedi's contracted customers are shippers on the Transnet pipeline from Durban, with one exception</t>
        </is>
      </c>
      <c r="D46" s="152" t="inlineStr"/>
      <c r="E46" s="152" t="inlineStr">
        <is>
          <t>2024/25</t>
        </is>
      </c>
      <c r="F46" s="152" t="inlineStr">
        <is>
          <t>observed</t>
        </is>
      </c>
      <c r="G46" s="152" t="inlineStr">
        <is>
          <t>NERSA reasons for decision, Vopak licence amendment</t>
        </is>
      </c>
      <c r="H46" s="152" t="inlineStr">
        <is>
          <t>PDF p.9</t>
        </is>
      </c>
      <c r="I46" s="152" t="inlineStr">
        <is>
          <t>Customer names are redacted.</t>
        </is>
      </c>
    </row>
    <row r="47">
      <c r="A47" s="152" t="inlineStr">
        <is>
          <t>Durban terminal receipt</t>
        </is>
      </c>
      <c r="B47" s="152" t="inlineStr">
        <is>
          <t>Vopak Terminal Durban, Island View</t>
        </is>
      </c>
      <c r="C47" s="152" t="inlineStr">
        <is>
          <t>By ship (own lines at jetties 1, 2 and 4; industry lines at berths 6, 7 and 8) and by pipeline transfer from neighbouring companies</t>
        </is>
      </c>
      <c r="D47" s="152" t="inlineStr"/>
      <c r="E47" s="152" t="inlineStr">
        <is>
          <t>undated allocation mechanism</t>
        </is>
      </c>
      <c r="F47" s="152" t="inlineStr">
        <is>
          <t>observed</t>
        </is>
      </c>
      <c r="G47" s="152" t="inlineStr">
        <is>
          <t>Vopak Terminal Durban allocation mechanism filed with NERSA</t>
        </is>
      </c>
      <c r="H47" s="152" t="inlineStr">
        <is>
          <t>p.5</t>
        </is>
      </c>
      <c r="I47" s="152" t="inlineStr">
        <is>
          <t>The document is old: it gives 18,091 m3 of petroleum storage, far below today's. Berth access needs confirming with Vopak.</t>
        </is>
      </c>
    </row>
    <row r="48">
      <c r="A48" s="152" t="inlineStr">
        <is>
          <t>Durban terminal dispatch</t>
        </is>
      </c>
      <c r="B48" s="152" t="inlineStr">
        <is>
          <t>Vopak Terminal Durban, Island View</t>
        </is>
      </c>
      <c r="C48" s="152" t="inlineStr">
        <is>
          <t>Mainly road; also ship or barge loading and pipeline transfer</t>
        </is>
      </c>
      <c r="D48" s="152" t="inlineStr"/>
      <c r="E48" s="152" t="inlineStr">
        <is>
          <t>undated allocation mechanism</t>
        </is>
      </c>
      <c r="F48" s="152" t="inlineStr">
        <is>
          <t>observed</t>
        </is>
      </c>
      <c r="G48" s="152" t="inlineStr">
        <is>
          <t>Vopak Terminal Durban allocation mechanism filed with NERSA</t>
        </is>
      </c>
      <c r="H48" s="152" t="inlineStr">
        <is>
          <t>pp.4, 6</t>
        </is>
      </c>
      <c r="I48" s="152" t="inlineStr">
        <is>
          <t>Whether Vopak Durban injects directly into the Transnet trunk line is not stated in this document.</t>
        </is>
      </c>
    </row>
    <row r="49">
      <c r="A49" s="152" t="inlineStr">
        <is>
          <t>Notice periods at Durban</t>
        </is>
      </c>
      <c r="B49" s="152" t="inlineStr">
        <is>
          <t>Vopak Terminal Durban</t>
        </is>
      </c>
      <c r="C49" s="152" t="inlineStr">
        <is>
          <t>Two weeks for a vessel; one week for a pipeline transfer; two days for road loading</t>
        </is>
      </c>
      <c r="D49" s="152" t="inlineStr"/>
      <c r="E49" s="152" t="inlineStr">
        <is>
          <t>undated allocation mechanism</t>
        </is>
      </c>
      <c r="F49" s="152" t="inlineStr">
        <is>
          <t>observed</t>
        </is>
      </c>
      <c r="G49" s="152" t="inlineStr">
        <is>
          <t>Vopak Terminal Durban allocation mechanism filed with NERSA</t>
        </is>
      </c>
      <c r="H49" s="152" t="inlineStr">
        <is>
          <t>p.3</t>
        </is>
      </c>
      <c r="I49" s="152" t="inlineStr">
        <is>
          <t>Old document; confirm with Vopak.</t>
        </is>
      </c>
    </row>
    <row r="51">
      <c r="A51" s="151" t="inlineStr">
        <is>
          <t>Competing routes</t>
        </is>
      </c>
      <c r="B51" s="151" t="n"/>
      <c r="C51" s="151" t="n"/>
      <c r="D51" s="151" t="n"/>
      <c r="E51" s="151" t="n"/>
      <c r="F51" s="151" t="n"/>
      <c r="G51" s="151" t="n"/>
      <c r="H51" s="151" t="n"/>
      <c r="I51" s="151" t="n"/>
    </row>
    <row r="52">
      <c r="A52" s="152" t="inlineStr">
        <is>
          <t>Diesel imported by road from Mozambique</t>
        </is>
      </c>
      <c r="B52" s="152" t="inlineStr">
        <is>
          <t>Maputo and Matola, through Komatipoort</t>
        </is>
      </c>
      <c r="C52" s="152" t="inlineStr">
        <is>
          <t>0.21; 0.21; 0.20; 0.27; 0.25; 0.19; 0.08</t>
        </is>
      </c>
      <c r="D52" s="152" t="inlineStr">
        <is>
          <t>billion litres</t>
        </is>
      </c>
      <c r="E52" s="152" t="inlineStr">
        <is>
          <t>2019; 2020; 2021; 2022; 2023; 2024; 2025</t>
        </is>
      </c>
      <c r="F52" s="152" t="inlineStr">
        <is>
          <t>observed</t>
        </is>
      </c>
      <c r="G52" s="152" t="inlineStr">
        <is>
          <t>SARS customs, by office</t>
        </is>
      </c>
      <c r="H52" s="152" t="inlineStr"/>
      <c r="I52" s="152" t="inlineStr">
        <is>
          <t>Falling since 2022. Diesel and petrol together were 0.5% of petrol and diesel imports in 2025.</t>
        </is>
      </c>
    </row>
    <row r="53">
      <c r="A53" s="152" t="inlineStr">
        <is>
          <t>Petrol imported by road from Mozambique</t>
        </is>
      </c>
      <c r="B53" s="152" t="inlineStr">
        <is>
          <t>Maputo and Matola, through Komatipoort</t>
        </is>
      </c>
      <c r="C53" s="152" t="inlineStr">
        <is>
          <t>0.039; 0.031; 0.039; 0.029; 0.000; 0.001; 0.004</t>
        </is>
      </c>
      <c r="D53" s="152" t="inlineStr">
        <is>
          <t>billion litres</t>
        </is>
      </c>
      <c r="E53" s="152" t="inlineStr">
        <is>
          <t>2019; 2020; 2021; 2022; 2023; 2024; 2025</t>
        </is>
      </c>
      <c r="F53" s="152" t="inlineStr">
        <is>
          <t>observed</t>
        </is>
      </c>
      <c r="G53" s="152" t="inlineStr">
        <is>
          <t>SARS customs, by office</t>
        </is>
      </c>
      <c r="H53" s="152" t="inlineStr"/>
      <c r="I53" s="152" t="inlineStr">
        <is>
          <t>Small and almost nil since 2023.</t>
        </is>
      </c>
    </row>
    <row r="54">
      <c r="A54" s="152" t="inlineStr">
        <is>
          <t>Petrol and diesel imported through Namibian and Botswanan border posts</t>
        </is>
      </c>
      <c r="B54" s="152" t="inlineStr">
        <is>
          <t>Walvis Bay and the Trans-Kalahari road</t>
        </is>
      </c>
      <c r="C54" s="152" t="inlineStr">
        <is>
          <t>0.00 in every year</t>
        </is>
      </c>
      <c r="D54" s="152" t="inlineStr">
        <is>
          <t>billion litres</t>
        </is>
      </c>
      <c r="E54" s="152" t="inlineStr">
        <is>
          <t>2019-2025</t>
        </is>
      </c>
      <c r="F54" s="152" t="inlineStr">
        <is>
          <t>observed</t>
        </is>
      </c>
      <c r="G54" s="152" t="inlineStr">
        <is>
          <t>SARS customs, by office</t>
        </is>
      </c>
      <c r="H54" s="152" t="inlineStr"/>
      <c r="I54" s="152" t="inlineStr">
        <is>
          <t>Nakop (Narogas), Kopfontein, Skilpadshek, Groblersbrug and Ramatlabama record none. The route is not used for supply into South Africa.</t>
        </is>
      </c>
    </row>
    <row r="55">
      <c r="A55" s="152" t="inlineStr">
        <is>
          <t>Diesel and petrol storage planned at Walvis Bay</t>
        </is>
      </c>
      <c r="B55" s="152" t="inlineStr">
        <is>
          <t>Walvis Bay, national fuel storage facility</t>
        </is>
      </c>
      <c r="C55" s="152" t="inlineStr">
        <is>
          <t>45 diesel; 20 petrol</t>
        </is>
      </c>
      <c r="D55" s="152" t="inlineStr">
        <is>
          <t>million litres</t>
        </is>
      </c>
      <c r="E55" s="152" t="inlineStr">
        <is>
          <t>as planned; news item undated</t>
        </is>
      </c>
      <c r="F55" s="152" t="inlineStr">
        <is>
          <t>observed</t>
        </is>
      </c>
      <c r="G55" s="152" t="inlineStr">
        <is>
          <t>Namibian Ports Authority news item</t>
        </is>
      </c>
      <c r="H55" s="152" t="inlineStr"/>
      <c r="I55" s="152" t="inlineStr">
        <is>
          <t>Of 75 million litres in all; the rest is fuel oil and aviation fuel. Built for Namibia's own supply. Current operating capacity not confirmed.</t>
        </is>
      </c>
    </row>
    <row r="56">
      <c r="A56" s="162" t="inlineStr">
        <is>
          <t>Petrol and diesel storage at Matola</t>
        </is>
      </c>
      <c r="B56" s="162" t="inlineStr">
        <is>
          <t>Maputo and Matola terminals</t>
        </is>
      </c>
      <c r="C56" s="162" t="inlineStr">
        <is>
          <t>Not available</t>
        </is>
      </c>
      <c r="D56" s="162" t="inlineStr">
        <is>
          <t>m3</t>
        </is>
      </c>
      <c r="E56" s="162" t="inlineStr"/>
      <c r="F56" s="162" t="inlineStr">
        <is>
          <t>not available</t>
        </is>
      </c>
      <c r="G56" s="162" t="inlineStr">
        <is>
          <t>None for petrol and diesel alone</t>
        </is>
      </c>
      <c r="H56" s="162" t="inlineStr"/>
      <c r="I56" s="162" t="inlineStr">
        <is>
          <t>A 2015 report gives one operator 275,500 m3 in Mozambique, but that includes bitumen, so it is not used. Capacity by product not found.</t>
        </is>
      </c>
    </row>
    <row r="57">
      <c r="A57" s="162" t="inlineStr">
        <is>
          <t>Road rate and border cost, Matola to Gauteng</t>
        </is>
      </c>
      <c r="B57" s="162" t="inlineStr">
        <is>
          <t>Maputo and Matola, through Komatipoort</t>
        </is>
      </c>
      <c r="C57" s="162" t="inlineStr">
        <is>
          <t>Not available</t>
        </is>
      </c>
      <c r="D57" s="162" t="inlineStr">
        <is>
          <t>cents a litre</t>
        </is>
      </c>
      <c r="E57" s="162" t="inlineStr"/>
      <c r="F57" s="162" t="inlineStr">
        <is>
          <t>not available</t>
        </is>
      </c>
      <c r="G57" s="162" t="inlineStr">
        <is>
          <t>None public</t>
        </is>
      </c>
      <c r="H57" s="162" t="inlineStr"/>
      <c r="I57" s="162" t="inlineStr">
        <is>
          <t>Needed for a matched delivered cost. Needs a haulier or Vopak.</t>
        </is>
      </c>
    </row>
    <row r="58">
      <c r="A58" s="162" t="inlineStr">
        <is>
          <t>Petrol and diesel supplied inland by Natref and Secunda</t>
        </is>
      </c>
      <c r="B58" s="162" t="inlineStr">
        <is>
          <t>Sasolburg and Secunda</t>
        </is>
      </c>
      <c r="C58" s="162" t="inlineStr">
        <is>
          <t>Not available</t>
        </is>
      </c>
      <c r="D58" s="162" t="inlineStr">
        <is>
          <t>billion litres</t>
        </is>
      </c>
      <c r="E58" s="162" t="inlineStr"/>
      <c r="F58" s="162" t="inlineStr">
        <is>
          <t>not started</t>
        </is>
      </c>
      <c r="G58" s="162" t="inlineStr">
        <is>
          <t>None found</t>
        </is>
      </c>
      <c r="H58" s="162" t="inlineStr"/>
      <c r="I58" s="162" t="inlineStr">
        <is>
          <t>No production by product after 2021. Belongs with DR08.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0" customWidth="1" min="15" max="15"/>
    <col width="52" customWidth="1" min="16" max="16"/>
  </cols>
  <sheetData>
    <row r="1">
      <c r="A1" s="149" t="inlineStr">
        <is>
          <t>DR04 Where petrol and diesel imports enter</t>
        </is>
      </c>
    </row>
    <row r="2">
      <c r="A2" s="1" t="inlineStr">
        <is>
          <t>Billion litres, calendar years. Petrol and diesel only. The office is where the fuel was cleared through customs: the nearest public record of the entry point, not a berth or terminal record.</t>
        </is>
      </c>
    </row>
    <row r="4">
      <c r="A4" s="150" t="inlineStr">
        <is>
          <t>Entry point</t>
        </is>
      </c>
      <c r="B4" s="150" t="inlineStr">
        <is>
          <t>Route</t>
        </is>
      </c>
      <c r="C4" s="150" t="n">
        <v>2014</v>
      </c>
      <c r="D4" s="150" t="n">
        <v>2015</v>
      </c>
      <c r="E4" s="150" t="n">
        <v>2016</v>
      </c>
      <c r="F4" s="150" t="n">
        <v>2017</v>
      </c>
      <c r="G4" s="150" t="n">
        <v>2018</v>
      </c>
      <c r="H4" s="150" t="n">
        <v>2019</v>
      </c>
      <c r="I4" s="150" t="n">
        <v>2020</v>
      </c>
      <c r="J4" s="150" t="n">
        <v>2021</v>
      </c>
      <c r="K4" s="150" t="n">
        <v>2022</v>
      </c>
      <c r="L4" s="150" t="n">
        <v>2023</v>
      </c>
      <c r="M4" s="150" t="n">
        <v>2024</v>
      </c>
      <c r="N4" s="150" t="n">
        <v>2025</v>
      </c>
      <c r="O4" s="150" t="inlineStr">
        <is>
          <t>Source</t>
        </is>
      </c>
      <c r="P4" s="150" t="inlineStr">
        <is>
          <t>Note</t>
        </is>
      </c>
    </row>
    <row r="5">
      <c r="A5" s="151" t="inlineStr">
        <is>
          <t>Diesel</t>
        </is>
      </c>
      <c r="B5" s="151" t="n"/>
      <c r="C5" s="151" t="n"/>
      <c r="D5" s="151" t="n"/>
      <c r="E5" s="151" t="n"/>
      <c r="F5" s="151" t="n"/>
      <c r="G5" s="151" t="n"/>
      <c r="H5" s="151" t="n"/>
      <c r="I5" s="151" t="n"/>
      <c r="J5" s="151" t="n"/>
      <c r="K5" s="151" t="n"/>
      <c r="L5" s="151" t="n"/>
      <c r="M5" s="151" t="n"/>
      <c r="N5" s="151" t="n"/>
      <c r="O5" s="151" t="n"/>
      <c r="P5" s="151" t="n"/>
    </row>
    <row r="6">
      <c r="A6" s="170" t="inlineStr">
        <is>
          <t>Durban</t>
        </is>
      </c>
      <c r="B6" s="170" t="inlineStr">
        <is>
          <t>Sea</t>
        </is>
      </c>
      <c r="C6" s="171" t="n">
        <v>3.40129340791</v>
      </c>
      <c r="D6" s="171" t="n">
        <v>4.042700255</v>
      </c>
      <c r="E6" s="171" t="n">
        <v>3.44135703988</v>
      </c>
      <c r="F6" s="171" t="n">
        <v>4.876537276</v>
      </c>
      <c r="G6" s="171" t="n">
        <v>3.98590410655</v>
      </c>
      <c r="H6" s="171" t="n">
        <v>3.80914333</v>
      </c>
      <c r="I6" s="171" t="n">
        <v>3.825937678</v>
      </c>
      <c r="J6" s="171" t="n">
        <v>5.83487318</v>
      </c>
      <c r="K6" s="171" t="n">
        <v>7.88124800634</v>
      </c>
      <c r="L6" s="171" t="n">
        <v>9.125036510419999</v>
      </c>
      <c r="M6" s="171" t="n">
        <v>8.03288993764</v>
      </c>
      <c r="N6" s="171" t="n">
        <v>8.931535440639999</v>
      </c>
      <c r="O6" s="172" t="inlineStr">
        <is>
          <t>SARS customs, imports by office of clearance (fuel_trade_sars_by_office.csv)</t>
        </is>
      </c>
      <c r="P6" s="172" t="inlineStr">
        <is>
          <t>Includes fuel for the inland pipeline and for the coast.</t>
        </is>
      </c>
    </row>
    <row r="7">
      <c r="A7" s="170" t="inlineStr">
        <is>
          <t>Cape Town</t>
        </is>
      </c>
      <c r="B7" s="170" t="inlineStr">
        <is>
          <t>Sea</t>
        </is>
      </c>
      <c r="C7" s="171" t="n">
        <v>0.563485067</v>
      </c>
      <c r="D7" s="171" t="n">
        <v>0.996642134</v>
      </c>
      <c r="E7" s="171" t="n">
        <v>0.214951975</v>
      </c>
      <c r="F7" s="171" t="n">
        <v>0.39464311319</v>
      </c>
      <c r="G7" s="171" t="n">
        <v>0.5131333877200001</v>
      </c>
      <c r="H7" s="171" t="n">
        <v>0.6015612915299999</v>
      </c>
      <c r="I7" s="171" t="n">
        <v>1.842722376</v>
      </c>
      <c r="J7" s="171" t="n">
        <v>2.350715322</v>
      </c>
      <c r="K7" s="171" t="n">
        <v>2.485097027</v>
      </c>
      <c r="L7" s="171" t="n">
        <v>1.387584117</v>
      </c>
      <c r="M7" s="171" t="n">
        <v>0.957476429</v>
      </c>
      <c r="N7" s="171" t="n">
        <v>1.335392185</v>
      </c>
      <c r="O7" s="172" t="inlineStr">
        <is>
          <t>SARS customs, imports by office of clearance (fuel_trade_sars_by_office.csv)</t>
        </is>
      </c>
      <c r="P7" s="172" t="inlineStr"/>
    </row>
    <row r="8">
      <c r="A8" s="170" t="inlineStr">
        <is>
          <t>Mossel Bay</t>
        </is>
      </c>
      <c r="B8" s="170" t="inlineStr">
        <is>
          <t>Sea</t>
        </is>
      </c>
      <c r="C8" s="171" t="n">
        <v>0.770853449</v>
      </c>
      <c r="D8" s="171" t="n">
        <v>0.951908118</v>
      </c>
      <c r="E8" s="171" t="n">
        <v>0.39227171302</v>
      </c>
      <c r="F8" s="171" t="n">
        <v>0.290250522</v>
      </c>
      <c r="G8" s="171" t="n">
        <v>0.138237059</v>
      </c>
      <c r="H8" s="171" t="n">
        <v>0.713752548</v>
      </c>
      <c r="I8" s="171" t="n">
        <v>0.400193929</v>
      </c>
      <c r="J8" s="171" t="n">
        <v>0.674675826</v>
      </c>
      <c r="K8" s="171" t="n">
        <v>0.56689834524</v>
      </c>
      <c r="L8" s="171" t="n">
        <v>1.093150604</v>
      </c>
      <c r="M8" s="171" t="n">
        <v>0.573384652</v>
      </c>
      <c r="N8" s="171" t="n">
        <v>0.521797795</v>
      </c>
      <c r="O8" s="172" t="inlineStr">
        <is>
          <t>SARS customs, imports by office of clearance (fuel_trade_sars_by_office.csv)</t>
        </is>
      </c>
      <c r="P8" s="172" t="inlineStr"/>
    </row>
    <row r="9">
      <c r="A9" s="170" t="inlineStr">
        <is>
          <t>East London</t>
        </is>
      </c>
      <c r="B9" s="170" t="inlineStr">
        <is>
          <t>Sea</t>
        </is>
      </c>
      <c r="C9" s="171" t="n">
        <v>0.059488792</v>
      </c>
      <c r="D9" s="171" t="n">
        <v>0.10177180707</v>
      </c>
      <c r="E9" s="171" t="n">
        <v>0.07380239</v>
      </c>
      <c r="F9" s="171" t="n">
        <v>0.0834004894</v>
      </c>
      <c r="G9" s="171" t="n">
        <v>0.06618653100000001</v>
      </c>
      <c r="H9" s="171" t="n">
        <v>0.07354029300000001</v>
      </c>
      <c r="I9" s="171" t="n">
        <v>0.19997504</v>
      </c>
      <c r="J9" s="171" t="n">
        <v>0.206861973</v>
      </c>
      <c r="K9" s="171" t="n">
        <v>0.189680792</v>
      </c>
      <c r="L9" s="171" t="n">
        <v>0.351388819</v>
      </c>
      <c r="M9" s="171" t="n">
        <v>0.51376771</v>
      </c>
      <c r="N9" s="171" t="n">
        <v>0.403307375</v>
      </c>
      <c r="O9" s="172" t="inlineStr">
        <is>
          <t>SARS customs, imports by office of clearance (fuel_trade_sars_by_office.csv)</t>
        </is>
      </c>
      <c r="P9" s="172" t="inlineStr"/>
    </row>
    <row r="10">
      <c r="A10" s="170" t="inlineStr">
        <is>
          <t>Port Elizabeth</t>
        </is>
      </c>
      <c r="B10" s="170" t="inlineStr">
        <is>
          <t>Sea</t>
        </is>
      </c>
      <c r="C10" s="171" t="n">
        <v>0.045097549</v>
      </c>
      <c r="D10" s="171" t="n">
        <v>0.09579346198000001</v>
      </c>
      <c r="E10" s="171" t="n">
        <v>0.06197985031</v>
      </c>
      <c r="F10" s="171" t="n">
        <v>0.05229008</v>
      </c>
      <c r="G10" s="171" t="n">
        <v>0.09921999692</v>
      </c>
      <c r="H10" s="171" t="n">
        <v>0.08568754889000001</v>
      </c>
      <c r="I10" s="171" t="n">
        <v>0.191707363</v>
      </c>
      <c r="J10" s="171" t="n">
        <v>0.2561779</v>
      </c>
      <c r="K10" s="171" t="n">
        <v>0.225130346</v>
      </c>
      <c r="L10" s="171" t="n">
        <v>0.336667375</v>
      </c>
      <c r="M10" s="171" t="n">
        <v>0.137698441</v>
      </c>
      <c r="N10" s="171" t="n">
        <v>0.31335745393</v>
      </c>
      <c r="O10" s="172" t="inlineStr">
        <is>
          <t>SARS customs, imports by office of clearance (fuel_trade_sars_by_office.csv)</t>
        </is>
      </c>
      <c r="P10" s="172" t="inlineStr"/>
    </row>
    <row r="11">
      <c r="A11" s="170" t="inlineStr">
        <is>
          <t>Richards Bay</t>
        </is>
      </c>
      <c r="B11" s="170" t="inlineStr">
        <is>
          <t>Sea</t>
        </is>
      </c>
      <c r="C11" s="171" t="n">
        <v>0</v>
      </c>
      <c r="D11" s="171" t="n">
        <v>0</v>
      </c>
      <c r="E11" s="171" t="n">
        <v>0</v>
      </c>
      <c r="F11" s="171" t="n">
        <v>0.105714823</v>
      </c>
      <c r="G11" s="171" t="n">
        <v>0.091830959</v>
      </c>
      <c r="H11" s="171" t="n">
        <v>0.093812929</v>
      </c>
      <c r="I11" s="171" t="n">
        <v>0.146792846</v>
      </c>
      <c r="J11" s="171" t="n">
        <v>0.234036815</v>
      </c>
      <c r="K11" s="171" t="n">
        <v>0.331319789</v>
      </c>
      <c r="L11" s="171" t="n">
        <v>0.320766702</v>
      </c>
      <c r="M11" s="171" t="n">
        <v>0.390782477</v>
      </c>
      <c r="N11" s="171" t="n">
        <v>0.6579146</v>
      </c>
      <c r="O11" s="172" t="inlineStr">
        <is>
          <t>SARS customs, imports by office of clearance (fuel_trade_sars_by_office.csv)</t>
        </is>
      </c>
      <c r="P11" s="172" t="inlineStr"/>
    </row>
    <row r="12">
      <c r="A12" s="170" t="inlineStr">
        <is>
          <t>Komatipoort</t>
        </is>
      </c>
      <c r="B12" s="170" t="inlineStr">
        <is>
          <t>Road, from Mozambique</t>
        </is>
      </c>
      <c r="C12" s="171" t="n">
        <v>0.151062295</v>
      </c>
      <c r="D12" s="171" t="n">
        <v>0.25728800257</v>
      </c>
      <c r="E12" s="171" t="n">
        <v>0.236796023</v>
      </c>
      <c r="F12" s="171" t="n">
        <v>0.23388003104</v>
      </c>
      <c r="G12" s="171" t="n">
        <v>0.22802977396</v>
      </c>
      <c r="H12" s="171" t="n">
        <v>0.21272690407</v>
      </c>
      <c r="I12" s="171" t="n">
        <v>0.20753876099</v>
      </c>
      <c r="J12" s="171" t="n">
        <v>0.20133574</v>
      </c>
      <c r="K12" s="171" t="n">
        <v>0.27415852432</v>
      </c>
      <c r="L12" s="171" t="n">
        <v>0.254570839</v>
      </c>
      <c r="M12" s="171" t="n">
        <v>0.18582006085</v>
      </c>
      <c r="N12" s="171" t="n">
        <v>0.08202250600000001</v>
      </c>
      <c r="O12" s="172" t="inlineStr">
        <is>
          <t>SARS customs, imports by office of clearance (fuel_trade_sars_by_office.csv)</t>
        </is>
      </c>
      <c r="P12" s="172" t="inlineStr">
        <is>
          <t>The only recorded entry from the Maputo and Matola side.</t>
        </is>
      </c>
    </row>
    <row r="13">
      <c r="A13" s="170" t="inlineStr">
        <is>
          <t>Other offices</t>
        </is>
      </c>
      <c r="B13" s="170" t="inlineStr">
        <is>
          <t>Land borders and inland offices</t>
        </is>
      </c>
      <c r="C13" s="171" t="n">
        <v>0.00043176669</v>
      </c>
      <c r="D13" s="171" t="n">
        <v>0.00467525594</v>
      </c>
      <c r="E13" s="171" t="n">
        <v>0.00313597368</v>
      </c>
      <c r="F13" s="171" t="n">
        <v>0.00074357618</v>
      </c>
      <c r="G13" s="171" t="n">
        <v>0.00041767239</v>
      </c>
      <c r="H13" s="171" t="n">
        <v>4.726407e-05</v>
      </c>
      <c r="I13" s="171" t="n">
        <v>0.00011745485</v>
      </c>
      <c r="J13" s="171" t="n">
        <v>0.00271854974</v>
      </c>
      <c r="K13" s="171" t="n">
        <v>0.000723718</v>
      </c>
      <c r="L13" s="171" t="n">
        <v>0.00086713425</v>
      </c>
      <c r="M13" s="171" t="n">
        <v>0.00072742656</v>
      </c>
      <c r="N13" s="171" t="n">
        <v>0.0033929065</v>
      </c>
      <c r="O13" s="172" t="inlineStr">
        <is>
          <t>SARS customs, imports by office of clearance (fuel_trade_sars_by_office.csv)</t>
        </is>
      </c>
      <c r="P13" s="172" t="inlineStr"/>
    </row>
    <row r="14">
      <c r="A14" s="173" t="inlineStr">
        <is>
          <t>All offices</t>
        </is>
      </c>
      <c r="B14" s="176" t="n"/>
      <c r="C14" s="174">
        <f>SUM(C6:C13)</f>
        <v/>
      </c>
      <c r="D14" s="174">
        <f>SUM(D6:D13)</f>
        <v/>
      </c>
      <c r="E14" s="174">
        <f>SUM(E6:E13)</f>
        <v/>
      </c>
      <c r="F14" s="174">
        <f>SUM(F6:F13)</f>
        <v/>
      </c>
      <c r="G14" s="174">
        <f>SUM(G6:G13)</f>
        <v/>
      </c>
      <c r="H14" s="174">
        <f>SUM(H6:H13)</f>
        <v/>
      </c>
      <c r="I14" s="174">
        <f>SUM(I6:I13)</f>
        <v/>
      </c>
      <c r="J14" s="174">
        <f>SUM(J6:J13)</f>
        <v/>
      </c>
      <c r="K14" s="174">
        <f>SUM(K6:K13)</f>
        <v/>
      </c>
      <c r="L14" s="174">
        <f>SUM(L6:L13)</f>
        <v/>
      </c>
      <c r="M14" s="174">
        <f>SUM(M6:M13)</f>
        <v/>
      </c>
      <c r="N14" s="174">
        <f>SUM(N6:N13)</f>
        <v/>
      </c>
      <c r="O14" s="175" t="inlineStr">
        <is>
          <t>Sum of the rows above; equals SARS national imports on the History sheet</t>
        </is>
      </c>
      <c r="P14" s="175" t="n"/>
    </row>
    <row r="15">
      <c r="A15" s="176" t="inlineStr">
        <is>
          <t>Durban share</t>
        </is>
      </c>
      <c r="B15" s="176" t="n"/>
      <c r="C15" s="184">
        <f>IF(C14=0,"",C6/C14)</f>
        <v/>
      </c>
      <c r="D15" s="184">
        <f>IF(D14=0,"",D6/D14)</f>
        <v/>
      </c>
      <c r="E15" s="184">
        <f>IF(E14=0,"",E6/E14)</f>
        <v/>
      </c>
      <c r="F15" s="184">
        <f>IF(F14=0,"",F6/F14)</f>
        <v/>
      </c>
      <c r="G15" s="184">
        <f>IF(G14=0,"",G6/G14)</f>
        <v/>
      </c>
      <c r="H15" s="184">
        <f>IF(H14=0,"",H6/H14)</f>
        <v/>
      </c>
      <c r="I15" s="184">
        <f>IF(I14=0,"",I6/I14)</f>
        <v/>
      </c>
      <c r="J15" s="184">
        <f>IF(J14=0,"",J6/J14)</f>
        <v/>
      </c>
      <c r="K15" s="184">
        <f>IF(K14=0,"",K6/K14)</f>
        <v/>
      </c>
      <c r="L15" s="184">
        <f>IF(L14=0,"",L6/L14)</f>
        <v/>
      </c>
      <c r="M15" s="184">
        <f>IF(M14=0,"",M6/M14)</f>
        <v/>
      </c>
      <c r="N15" s="184">
        <f>IF(N14=0,"",N6/N14)</f>
        <v/>
      </c>
      <c r="O15" s="175" t="inlineStr">
        <is>
          <t>Calculated: Durban over all offices</t>
        </is>
      </c>
      <c r="P15" s="175" t="n"/>
    </row>
    <row r="17">
      <c r="A17" s="151" t="inlineStr">
        <is>
          <t>Petrol</t>
        </is>
      </c>
      <c r="B17" s="151" t="n"/>
      <c r="C17" s="151" t="n"/>
      <c r="D17" s="151" t="n"/>
      <c r="E17" s="151" t="n"/>
      <c r="F17" s="151" t="n"/>
      <c r="G17" s="151" t="n"/>
      <c r="H17" s="151" t="n"/>
      <c r="I17" s="151" t="n"/>
      <c r="J17" s="151" t="n"/>
      <c r="K17" s="151" t="n"/>
      <c r="L17" s="151" t="n"/>
      <c r="M17" s="151" t="n"/>
      <c r="N17" s="151" t="n"/>
      <c r="O17" s="151" t="n"/>
      <c r="P17" s="151" t="n"/>
    </row>
    <row r="18">
      <c r="A18" s="170" t="inlineStr">
        <is>
          <t>Durban</t>
        </is>
      </c>
      <c r="B18" s="170" t="inlineStr">
        <is>
          <t>Sea</t>
        </is>
      </c>
      <c r="C18" s="171" t="n">
        <v>0.85247094</v>
      </c>
      <c r="D18" s="171" t="n">
        <v>1.44254280764</v>
      </c>
      <c r="E18" s="171" t="n">
        <v>1.13647002436</v>
      </c>
      <c r="F18" s="171" t="n">
        <v>1.72928571202</v>
      </c>
      <c r="G18" s="171" t="n">
        <v>1.53643879</v>
      </c>
      <c r="H18" s="171" t="n">
        <v>1.25634839252</v>
      </c>
      <c r="I18" s="171" t="n">
        <v>0.664092731</v>
      </c>
      <c r="J18" s="171" t="n">
        <v>2.436564685</v>
      </c>
      <c r="K18" s="171" t="n">
        <v>3.882669362</v>
      </c>
      <c r="L18" s="171" t="n">
        <v>4.165599231</v>
      </c>
      <c r="M18" s="171" t="n">
        <v>3.804725224</v>
      </c>
      <c r="N18" s="171" t="n">
        <v>4.228979739</v>
      </c>
      <c r="O18" s="172" t="inlineStr">
        <is>
          <t>SARS customs, imports by office of clearance (fuel_trade_sars_by_office.csv)</t>
        </is>
      </c>
      <c r="P18" s="172" t="inlineStr">
        <is>
          <t>Includes fuel for the inland pipeline and for the coast.</t>
        </is>
      </c>
    </row>
    <row r="19">
      <c r="A19" s="170" t="inlineStr">
        <is>
          <t>Cape Town</t>
        </is>
      </c>
      <c r="B19" s="170" t="inlineStr">
        <is>
          <t>Sea</t>
        </is>
      </c>
      <c r="C19" s="171" t="n">
        <v>0.187501032</v>
      </c>
      <c r="D19" s="171" t="n">
        <v>0.262594189</v>
      </c>
      <c r="E19" s="171" t="n">
        <v>0.058894374</v>
      </c>
      <c r="F19" s="171" t="n">
        <v>0.21050907424</v>
      </c>
      <c r="G19" s="171" t="n">
        <v>0.18265634019</v>
      </c>
      <c r="H19" s="171" t="n">
        <v>0.11619285849</v>
      </c>
      <c r="I19" s="171" t="n">
        <v>1.0027419188</v>
      </c>
      <c r="J19" s="171" t="n">
        <v>1.431945116</v>
      </c>
      <c r="K19" s="171" t="n">
        <v>1.500340893</v>
      </c>
      <c r="L19" s="171" t="n">
        <v>0.233049258</v>
      </c>
      <c r="M19" s="171" t="n">
        <v>0.131091</v>
      </c>
      <c r="N19" s="171" t="n">
        <v>0.185597544</v>
      </c>
      <c r="O19" s="172" t="inlineStr">
        <is>
          <t>SARS customs, imports by office of clearance (fuel_trade_sars_by_office.csv)</t>
        </is>
      </c>
      <c r="P19" s="172" t="inlineStr"/>
    </row>
    <row r="20">
      <c r="A20" s="170" t="inlineStr">
        <is>
          <t>Mossel Bay</t>
        </is>
      </c>
      <c r="B20" s="170" t="inlineStr">
        <is>
          <t>Sea</t>
        </is>
      </c>
      <c r="C20" s="171" t="n">
        <v>0</v>
      </c>
      <c r="D20" s="171" t="n">
        <v>0</v>
      </c>
      <c r="E20" s="171" t="n">
        <v>0.010228015</v>
      </c>
      <c r="F20" s="171" t="n">
        <v>0</v>
      </c>
      <c r="G20" s="171" t="n">
        <v>0</v>
      </c>
      <c r="H20" s="171" t="n">
        <v>0.046954148</v>
      </c>
      <c r="I20" s="171" t="n">
        <v>0</v>
      </c>
      <c r="J20" s="171" t="n">
        <v>0.099757575</v>
      </c>
      <c r="K20" s="171" t="n">
        <v>0.034555764</v>
      </c>
      <c r="L20" s="171" t="n">
        <v>0.068691824</v>
      </c>
      <c r="M20" s="171" t="n">
        <v>0.049694999</v>
      </c>
      <c r="N20" s="171" t="n">
        <v>0</v>
      </c>
      <c r="O20" s="172" t="inlineStr">
        <is>
          <t>SARS customs, imports by office of clearance (fuel_trade_sars_by_office.csv)</t>
        </is>
      </c>
      <c r="P20" s="172" t="inlineStr"/>
    </row>
    <row r="21">
      <c r="A21" s="170" t="inlineStr">
        <is>
          <t>East London</t>
        </is>
      </c>
      <c r="B21" s="170" t="inlineStr">
        <is>
          <t>Sea</t>
        </is>
      </c>
      <c r="C21" s="171" t="n">
        <v>0.069111017</v>
      </c>
      <c r="D21" s="171" t="n">
        <v>0.10173686088</v>
      </c>
      <c r="E21" s="171" t="n">
        <v>0.08370649099999999</v>
      </c>
      <c r="F21" s="171" t="n">
        <v>0.06964011619</v>
      </c>
      <c r="G21" s="171" t="n">
        <v>0.018334526</v>
      </c>
      <c r="H21" s="171" t="n">
        <v>0</v>
      </c>
      <c r="I21" s="171" t="n">
        <v>0.0118587</v>
      </c>
      <c r="J21" s="171" t="n">
        <v>0</v>
      </c>
      <c r="K21" s="171" t="n">
        <v>0.005168638</v>
      </c>
      <c r="L21" s="171" t="n">
        <v>0.008596477</v>
      </c>
      <c r="M21" s="171" t="n">
        <v>0.01313950301</v>
      </c>
      <c r="N21" s="171" t="n">
        <v>0.031405816</v>
      </c>
      <c r="O21" s="172" t="inlineStr">
        <is>
          <t>SARS customs, imports by office of clearance (fuel_trade_sars_by_office.csv)</t>
        </is>
      </c>
      <c r="P21" s="172" t="inlineStr"/>
    </row>
    <row r="22">
      <c r="A22" s="170" t="inlineStr">
        <is>
          <t>Port Elizabeth</t>
        </is>
      </c>
      <c r="B22" s="170" t="inlineStr">
        <is>
          <t>Sea</t>
        </is>
      </c>
      <c r="C22" s="171" t="n">
        <v>0.04104864063</v>
      </c>
      <c r="D22" s="171" t="n">
        <v>0.06273817831</v>
      </c>
      <c r="E22" s="171" t="n">
        <v>0.07059936554</v>
      </c>
      <c r="F22" s="171" t="n">
        <v>0.01998260759</v>
      </c>
      <c r="G22" s="171" t="n">
        <v>0.01489263246</v>
      </c>
      <c r="H22" s="171" t="n">
        <v>0.00108430111</v>
      </c>
      <c r="I22" s="171" t="n">
        <v>0.0007748566800000001</v>
      </c>
      <c r="J22" s="171" t="n">
        <v>0.0007812402099999999</v>
      </c>
      <c r="K22" s="171" t="n">
        <v>0.00371315593</v>
      </c>
      <c r="L22" s="171" t="n">
        <v>0.00670979238</v>
      </c>
      <c r="M22" s="171" t="n">
        <v>0.00119405589</v>
      </c>
      <c r="N22" s="171" t="n">
        <v>0.00306974015</v>
      </c>
      <c r="O22" s="172" t="inlineStr">
        <is>
          <t>SARS customs, imports by office of clearance (fuel_trade_sars_by_office.csv)</t>
        </is>
      </c>
      <c r="P22" s="172" t="inlineStr"/>
    </row>
    <row r="23">
      <c r="A23" s="170" t="inlineStr">
        <is>
          <t>Richards Bay</t>
        </is>
      </c>
      <c r="B23" s="170" t="inlineStr">
        <is>
          <t>Sea</t>
        </is>
      </c>
      <c r="C23" s="171" t="n">
        <v>0</v>
      </c>
      <c r="D23" s="171" t="n">
        <v>0</v>
      </c>
      <c r="E23" s="171" t="n">
        <v>0</v>
      </c>
      <c r="F23" s="171" t="n">
        <v>0.038417234</v>
      </c>
      <c r="G23" s="171" t="n">
        <v>0.03354092</v>
      </c>
      <c r="H23" s="171" t="n">
        <v>0.018129952</v>
      </c>
      <c r="I23" s="171" t="n">
        <v>0.009266228</v>
      </c>
      <c r="J23" s="171" t="n">
        <v>0</v>
      </c>
      <c r="K23" s="171" t="n">
        <v>0</v>
      </c>
      <c r="L23" s="171" t="n">
        <v>0</v>
      </c>
      <c r="M23" s="171" t="n">
        <v>0</v>
      </c>
      <c r="N23" s="171" t="n">
        <v>0</v>
      </c>
      <c r="O23" s="172" t="inlineStr">
        <is>
          <t>SARS customs, imports by office of clearance (fuel_trade_sars_by_office.csv)</t>
        </is>
      </c>
      <c r="P23" s="172" t="inlineStr"/>
    </row>
    <row r="24">
      <c r="A24" s="170" t="inlineStr">
        <is>
          <t>Komatipoort</t>
        </is>
      </c>
      <c r="B24" s="170" t="inlineStr">
        <is>
          <t>Road, from Mozambique</t>
        </is>
      </c>
      <c r="C24" s="171" t="n">
        <v>0</v>
      </c>
      <c r="D24" s="171" t="n">
        <v>0</v>
      </c>
      <c r="E24" s="171" t="n">
        <v>0.0346726134</v>
      </c>
      <c r="F24" s="171" t="n">
        <v>0.046040565</v>
      </c>
      <c r="G24" s="171" t="n">
        <v>0.04390319</v>
      </c>
      <c r="H24" s="171" t="n">
        <v>0.03866750897</v>
      </c>
      <c r="I24" s="171" t="n">
        <v>0.030842959</v>
      </c>
      <c r="J24" s="171" t="n">
        <v>0.039454367</v>
      </c>
      <c r="K24" s="171" t="n">
        <v>0.028805741</v>
      </c>
      <c r="L24" s="171" t="n">
        <v>0.000125422</v>
      </c>
      <c r="M24" s="171" t="n">
        <v>0.001009567</v>
      </c>
      <c r="N24" s="171" t="n">
        <v>0.004416485</v>
      </c>
      <c r="O24" s="172" t="inlineStr">
        <is>
          <t>SARS customs, imports by office of clearance (fuel_trade_sars_by_office.csv)</t>
        </is>
      </c>
      <c r="P24" s="172" t="inlineStr">
        <is>
          <t>The only recorded entry from the Maputo and Matola side.</t>
        </is>
      </c>
    </row>
    <row r="25">
      <c r="A25" s="170" t="inlineStr">
        <is>
          <t>Other offices</t>
        </is>
      </c>
      <c r="B25" s="170" t="inlineStr">
        <is>
          <t>Land borders and inland offices</t>
        </is>
      </c>
      <c r="C25" s="171" t="n">
        <v>6.319224e-05</v>
      </c>
      <c r="D25" s="171" t="n">
        <v>3.317238e-05</v>
      </c>
      <c r="E25" s="171" t="n">
        <v>0.0010675928</v>
      </c>
      <c r="F25" s="171" t="n">
        <v>0.0002811756</v>
      </c>
      <c r="G25" s="171" t="n">
        <v>4.86485e-06</v>
      </c>
      <c r="H25" s="171" t="n">
        <v>8.68e-06</v>
      </c>
      <c r="I25" s="171" t="n">
        <v>9.5671e-05</v>
      </c>
      <c r="J25" s="171" t="n">
        <v>0.00010978057</v>
      </c>
      <c r="K25" s="171" t="n">
        <v>8.26079e-06</v>
      </c>
      <c r="L25" s="171" t="n">
        <v>2.756e-06</v>
      </c>
      <c r="M25" s="171" t="n">
        <v>8.455e-08</v>
      </c>
      <c r="N25" s="171" t="n">
        <v>1.854e-06</v>
      </c>
      <c r="O25" s="172" t="inlineStr">
        <is>
          <t>SARS customs, imports by office of clearance (fuel_trade_sars_by_office.csv)</t>
        </is>
      </c>
      <c r="P25" s="172" t="inlineStr"/>
    </row>
    <row r="26">
      <c r="A26" s="173" t="inlineStr">
        <is>
          <t>All offices</t>
        </is>
      </c>
      <c r="B26" s="176" t="n"/>
      <c r="C26" s="174">
        <f>SUM(C18:C25)</f>
        <v/>
      </c>
      <c r="D26" s="174">
        <f>SUM(D18:D25)</f>
        <v/>
      </c>
      <c r="E26" s="174">
        <f>SUM(E18:E25)</f>
        <v/>
      </c>
      <c r="F26" s="174">
        <f>SUM(F18:F25)</f>
        <v/>
      </c>
      <c r="G26" s="174">
        <f>SUM(G18:G25)</f>
        <v/>
      </c>
      <c r="H26" s="174">
        <f>SUM(H18:H25)</f>
        <v/>
      </c>
      <c r="I26" s="174">
        <f>SUM(I18:I25)</f>
        <v/>
      </c>
      <c r="J26" s="174">
        <f>SUM(J18:J25)</f>
        <v/>
      </c>
      <c r="K26" s="174">
        <f>SUM(K18:K25)</f>
        <v/>
      </c>
      <c r="L26" s="174">
        <f>SUM(L18:L25)</f>
        <v/>
      </c>
      <c r="M26" s="174">
        <f>SUM(M18:M25)</f>
        <v/>
      </c>
      <c r="N26" s="174">
        <f>SUM(N18:N25)</f>
        <v/>
      </c>
      <c r="O26" s="175" t="inlineStr">
        <is>
          <t>Sum of the rows above; equals SARS national imports on the History sheet</t>
        </is>
      </c>
      <c r="P26" s="175" t="n"/>
    </row>
    <row r="27">
      <c r="A27" s="176" t="inlineStr">
        <is>
          <t>Durban share</t>
        </is>
      </c>
      <c r="B27" s="176" t="n"/>
      <c r="C27" s="184">
        <f>IF(C26=0,"",C18/C26)</f>
        <v/>
      </c>
      <c r="D27" s="184">
        <f>IF(D26=0,"",D18/D26)</f>
        <v/>
      </c>
      <c r="E27" s="184">
        <f>IF(E26=0,"",E18/E26)</f>
        <v/>
      </c>
      <c r="F27" s="184">
        <f>IF(F26=0,"",F18/F26)</f>
        <v/>
      </c>
      <c r="G27" s="184">
        <f>IF(G26=0,"",G18/G26)</f>
        <v/>
      </c>
      <c r="H27" s="184">
        <f>IF(H26=0,"",H18/H26)</f>
        <v/>
      </c>
      <c r="I27" s="184">
        <f>IF(I26=0,"",I18/I26)</f>
        <v/>
      </c>
      <c r="J27" s="184">
        <f>IF(J26=0,"",J18/J26)</f>
        <v/>
      </c>
      <c r="K27" s="184">
        <f>IF(K26=0,"",K18/K26)</f>
        <v/>
      </c>
      <c r="L27" s="184">
        <f>IF(L26=0,"",L18/L26)</f>
        <v/>
      </c>
      <c r="M27" s="184">
        <f>IF(M26=0,"",M18/M26)</f>
        <v/>
      </c>
      <c r="N27" s="184">
        <f>IF(N26=0,"",N18/N26)</f>
        <v/>
      </c>
      <c r="O27" s="175" t="inlineStr">
        <is>
          <t>Calculated: Durban over all offices</t>
        </is>
      </c>
      <c r="P27" s="175" t="n"/>
    </row>
    <row r="29">
      <c r="A29" s="151" t="inlineStr">
        <is>
          <t>Diesel and petrol</t>
        </is>
      </c>
      <c r="B29" s="151" t="n"/>
      <c r="C29" s="151" t="n"/>
      <c r="D29" s="151" t="n"/>
      <c r="E29" s="151" t="n"/>
      <c r="F29" s="151" t="n"/>
      <c r="G29" s="151" t="n"/>
      <c r="H29" s="151" t="n"/>
      <c r="I29" s="151" t="n"/>
      <c r="J29" s="151" t="n"/>
      <c r="K29" s="151" t="n"/>
      <c r="L29" s="151" t="n"/>
      <c r="M29" s="151" t="n"/>
      <c r="N29" s="151" t="n"/>
      <c r="O29" s="151" t="n"/>
      <c r="P29" s="151" t="n"/>
    </row>
    <row r="30">
      <c r="A30" s="170" t="inlineStr">
        <is>
          <t>Durban</t>
        </is>
      </c>
      <c r="B30" s="170" t="inlineStr">
        <is>
          <t>Sea</t>
        </is>
      </c>
      <c r="C30" s="171" t="n">
        <v>4.25376434791</v>
      </c>
      <c r="D30" s="171" t="n">
        <v>5.48524306264</v>
      </c>
      <c r="E30" s="171" t="n">
        <v>4.57782706424</v>
      </c>
      <c r="F30" s="171" t="n">
        <v>6.60582298802</v>
      </c>
      <c r="G30" s="171" t="n">
        <v>5.522342896550001</v>
      </c>
      <c r="H30" s="171" t="n">
        <v>5.06549172252</v>
      </c>
      <c r="I30" s="171" t="n">
        <v>4.490030409</v>
      </c>
      <c r="J30" s="171" t="n">
        <v>8.271437864999999</v>
      </c>
      <c r="K30" s="171" t="n">
        <v>11.76391736834</v>
      </c>
      <c r="L30" s="171" t="n">
        <v>13.29063574142</v>
      </c>
      <c r="M30" s="171" t="n">
        <v>11.83761516164</v>
      </c>
      <c r="N30" s="171" t="n">
        <v>13.16051517964</v>
      </c>
      <c r="O30" s="172" t="inlineStr">
        <is>
          <t>SARS customs, imports by office of clearance (fuel_trade_sars_by_office.csv)</t>
        </is>
      </c>
      <c r="P30" s="172" t="inlineStr">
        <is>
          <t>Includes fuel for the inland pipeline and for the coast.</t>
        </is>
      </c>
    </row>
    <row r="31">
      <c r="A31" s="170" t="inlineStr">
        <is>
          <t>Cape Town</t>
        </is>
      </c>
      <c r="B31" s="170" t="inlineStr">
        <is>
          <t>Sea</t>
        </is>
      </c>
      <c r="C31" s="171" t="n">
        <v>0.750986099</v>
      </c>
      <c r="D31" s="171" t="n">
        <v>1.259236323</v>
      </c>
      <c r="E31" s="171" t="n">
        <v>0.273846349</v>
      </c>
      <c r="F31" s="171" t="n">
        <v>0.60515218743</v>
      </c>
      <c r="G31" s="171" t="n">
        <v>0.69578972791</v>
      </c>
      <c r="H31" s="171" t="n">
        <v>0.71775415002</v>
      </c>
      <c r="I31" s="171" t="n">
        <v>2.8454642948</v>
      </c>
      <c r="J31" s="171" t="n">
        <v>3.782660438</v>
      </c>
      <c r="K31" s="171" t="n">
        <v>3.98543792</v>
      </c>
      <c r="L31" s="171" t="n">
        <v>1.620633375</v>
      </c>
      <c r="M31" s="171" t="n">
        <v>1.088567429</v>
      </c>
      <c r="N31" s="171" t="n">
        <v>1.520989729</v>
      </c>
      <c r="O31" s="172" t="inlineStr">
        <is>
          <t>SARS customs, imports by office of clearance (fuel_trade_sars_by_office.csv)</t>
        </is>
      </c>
      <c r="P31" s="172" t="inlineStr"/>
    </row>
    <row r="32">
      <c r="A32" s="170" t="inlineStr">
        <is>
          <t>Mossel Bay</t>
        </is>
      </c>
      <c r="B32" s="170" t="inlineStr">
        <is>
          <t>Sea</t>
        </is>
      </c>
      <c r="C32" s="171" t="n">
        <v>0.770853449</v>
      </c>
      <c r="D32" s="171" t="n">
        <v>0.951908118</v>
      </c>
      <c r="E32" s="171" t="n">
        <v>0.4024997280199999</v>
      </c>
      <c r="F32" s="171" t="n">
        <v>0.290250522</v>
      </c>
      <c r="G32" s="171" t="n">
        <v>0.138237059</v>
      </c>
      <c r="H32" s="171" t="n">
        <v>0.760706696</v>
      </c>
      <c r="I32" s="171" t="n">
        <v>0.400193929</v>
      </c>
      <c r="J32" s="171" t="n">
        <v>0.774433401</v>
      </c>
      <c r="K32" s="171" t="n">
        <v>0.6014541092400001</v>
      </c>
      <c r="L32" s="171" t="n">
        <v>1.161842428</v>
      </c>
      <c r="M32" s="171" t="n">
        <v>0.623079651</v>
      </c>
      <c r="N32" s="171" t="n">
        <v>0.521797795</v>
      </c>
      <c r="O32" s="172" t="inlineStr">
        <is>
          <t>SARS customs, imports by office of clearance (fuel_trade_sars_by_office.csv)</t>
        </is>
      </c>
      <c r="P32" s="172" t="inlineStr"/>
    </row>
    <row r="33">
      <c r="A33" s="170" t="inlineStr">
        <is>
          <t>East London</t>
        </is>
      </c>
      <c r="B33" s="170" t="inlineStr">
        <is>
          <t>Sea</t>
        </is>
      </c>
      <c r="C33" s="171" t="n">
        <v>0.128599809</v>
      </c>
      <c r="D33" s="171" t="n">
        <v>0.20350866795</v>
      </c>
      <c r="E33" s="171" t="n">
        <v>0.157508881</v>
      </c>
      <c r="F33" s="171" t="n">
        <v>0.15304060559</v>
      </c>
      <c r="G33" s="171" t="n">
        <v>0.08452105700000001</v>
      </c>
      <c r="H33" s="171" t="n">
        <v>0.07354029300000001</v>
      </c>
      <c r="I33" s="171" t="n">
        <v>0.21183374</v>
      </c>
      <c r="J33" s="171" t="n">
        <v>0.206861973</v>
      </c>
      <c r="K33" s="171" t="n">
        <v>0.19484943</v>
      </c>
      <c r="L33" s="171" t="n">
        <v>0.359985296</v>
      </c>
      <c r="M33" s="171" t="n">
        <v>0.52690721301</v>
      </c>
      <c r="N33" s="171" t="n">
        <v>0.4347131910000001</v>
      </c>
      <c r="O33" s="172" t="inlineStr">
        <is>
          <t>SARS customs, imports by office of clearance (fuel_trade_sars_by_office.csv)</t>
        </is>
      </c>
      <c r="P33" s="172" t="inlineStr"/>
    </row>
    <row r="34">
      <c r="A34" s="170" t="inlineStr">
        <is>
          <t>Port Elizabeth</t>
        </is>
      </c>
      <c r="B34" s="170" t="inlineStr">
        <is>
          <t>Sea</t>
        </is>
      </c>
      <c r="C34" s="171" t="n">
        <v>0.08614618963000001</v>
      </c>
      <c r="D34" s="171" t="n">
        <v>0.15853164029</v>
      </c>
      <c r="E34" s="171" t="n">
        <v>0.13257921585</v>
      </c>
      <c r="F34" s="171" t="n">
        <v>0.07227268759</v>
      </c>
      <c r="G34" s="171" t="n">
        <v>0.11411262938</v>
      </c>
      <c r="H34" s="171" t="n">
        <v>0.08677185000000001</v>
      </c>
      <c r="I34" s="171" t="n">
        <v>0.19248221968</v>
      </c>
      <c r="J34" s="171" t="n">
        <v>0.25695914021</v>
      </c>
      <c r="K34" s="171" t="n">
        <v>0.22884350193</v>
      </c>
      <c r="L34" s="171" t="n">
        <v>0.34337716738</v>
      </c>
      <c r="M34" s="171" t="n">
        <v>0.13889249689</v>
      </c>
      <c r="N34" s="171" t="n">
        <v>0.31642719408</v>
      </c>
      <c r="O34" s="172" t="inlineStr">
        <is>
          <t>SARS customs, imports by office of clearance (fuel_trade_sars_by_office.csv)</t>
        </is>
      </c>
      <c r="P34" s="172" t="inlineStr"/>
    </row>
    <row r="35">
      <c r="A35" s="170" t="inlineStr">
        <is>
          <t>Richards Bay</t>
        </is>
      </c>
      <c r="B35" s="170" t="inlineStr">
        <is>
          <t>Sea</t>
        </is>
      </c>
      <c r="C35" s="171" t="n">
        <v>0</v>
      </c>
      <c r="D35" s="171" t="n">
        <v>0</v>
      </c>
      <c r="E35" s="171" t="n">
        <v>0</v>
      </c>
      <c r="F35" s="171" t="n">
        <v>0.144132057</v>
      </c>
      <c r="G35" s="171" t="n">
        <v>0.125371879</v>
      </c>
      <c r="H35" s="171" t="n">
        <v>0.111942881</v>
      </c>
      <c r="I35" s="171" t="n">
        <v>0.156059074</v>
      </c>
      <c r="J35" s="171" t="n">
        <v>0.234036815</v>
      </c>
      <c r="K35" s="171" t="n">
        <v>0.331319789</v>
      </c>
      <c r="L35" s="171" t="n">
        <v>0.320766702</v>
      </c>
      <c r="M35" s="171" t="n">
        <v>0.390782477</v>
      </c>
      <c r="N35" s="171" t="n">
        <v>0.6579146</v>
      </c>
      <c r="O35" s="172" t="inlineStr">
        <is>
          <t>SARS customs, imports by office of clearance (fuel_trade_sars_by_office.csv)</t>
        </is>
      </c>
      <c r="P35" s="172" t="inlineStr"/>
    </row>
    <row r="36">
      <c r="A36" s="170" t="inlineStr">
        <is>
          <t>Komatipoort</t>
        </is>
      </c>
      <c r="B36" s="170" t="inlineStr">
        <is>
          <t>Road, from Mozambique</t>
        </is>
      </c>
      <c r="C36" s="171" t="n">
        <v>0.151062295</v>
      </c>
      <c r="D36" s="171" t="n">
        <v>0.25728800257</v>
      </c>
      <c r="E36" s="171" t="n">
        <v>0.2714686364</v>
      </c>
      <c r="F36" s="171" t="n">
        <v>0.27992059604</v>
      </c>
      <c r="G36" s="171" t="n">
        <v>0.27193296396</v>
      </c>
      <c r="H36" s="171" t="n">
        <v>0.25139441304</v>
      </c>
      <c r="I36" s="171" t="n">
        <v>0.23838171999</v>
      </c>
      <c r="J36" s="171" t="n">
        <v>0.240790107</v>
      </c>
      <c r="K36" s="171" t="n">
        <v>0.30296426532</v>
      </c>
      <c r="L36" s="171" t="n">
        <v>0.254696261</v>
      </c>
      <c r="M36" s="171" t="n">
        <v>0.18682962785</v>
      </c>
      <c r="N36" s="171" t="n">
        <v>0.08643899100000001</v>
      </c>
      <c r="O36" s="172" t="inlineStr">
        <is>
          <t>SARS customs, imports by office of clearance (fuel_trade_sars_by_office.csv)</t>
        </is>
      </c>
      <c r="P36" s="172" t="inlineStr">
        <is>
          <t>The only recorded entry from the Maputo and Matola side.</t>
        </is>
      </c>
    </row>
    <row r="37">
      <c r="A37" s="170" t="inlineStr">
        <is>
          <t>Other offices</t>
        </is>
      </c>
      <c r="B37" s="170" t="inlineStr">
        <is>
          <t>Land borders and inland offices</t>
        </is>
      </c>
      <c r="C37" s="171" t="n">
        <v>0.00049495893</v>
      </c>
      <c r="D37" s="171" t="n">
        <v>0.00470842832</v>
      </c>
      <c r="E37" s="171" t="n">
        <v>0.00420356648</v>
      </c>
      <c r="F37" s="171" t="n">
        <v>0.00102475178</v>
      </c>
      <c r="G37" s="171" t="n">
        <v>0.00042253724</v>
      </c>
      <c r="H37" s="171" t="n">
        <v>5.594407e-05</v>
      </c>
      <c r="I37" s="171" t="n">
        <v>0.00021312585</v>
      </c>
      <c r="J37" s="171" t="n">
        <v>0.00282833031</v>
      </c>
      <c r="K37" s="171" t="n">
        <v>0.00073197879</v>
      </c>
      <c r="L37" s="171" t="n">
        <v>0.00086989025</v>
      </c>
      <c r="M37" s="171" t="n">
        <v>0.00072751111</v>
      </c>
      <c r="N37" s="171" t="n">
        <v>0.0033947605</v>
      </c>
      <c r="O37" s="172" t="inlineStr">
        <is>
          <t>SARS customs, imports by office of clearance (fuel_trade_sars_by_office.csv)</t>
        </is>
      </c>
      <c r="P37" s="172" t="inlineStr"/>
    </row>
    <row r="38">
      <c r="A38" s="173" t="inlineStr">
        <is>
          <t>All offices</t>
        </is>
      </c>
      <c r="B38" s="176" t="n"/>
      <c r="C38" s="174">
        <f>SUM(C30:C37)</f>
        <v/>
      </c>
      <c r="D38" s="174">
        <f>SUM(D30:D37)</f>
        <v/>
      </c>
      <c r="E38" s="174">
        <f>SUM(E30:E37)</f>
        <v/>
      </c>
      <c r="F38" s="174">
        <f>SUM(F30:F37)</f>
        <v/>
      </c>
      <c r="G38" s="174">
        <f>SUM(G30:G37)</f>
        <v/>
      </c>
      <c r="H38" s="174">
        <f>SUM(H30:H37)</f>
        <v/>
      </c>
      <c r="I38" s="174">
        <f>SUM(I30:I37)</f>
        <v/>
      </c>
      <c r="J38" s="174">
        <f>SUM(J30:J37)</f>
        <v/>
      </c>
      <c r="K38" s="174">
        <f>SUM(K30:K37)</f>
        <v/>
      </c>
      <c r="L38" s="174">
        <f>SUM(L30:L37)</f>
        <v/>
      </c>
      <c r="M38" s="174">
        <f>SUM(M30:M37)</f>
        <v/>
      </c>
      <c r="N38" s="174">
        <f>SUM(N30:N37)</f>
        <v/>
      </c>
      <c r="O38" s="175" t="inlineStr">
        <is>
          <t>Sum of the rows above; equals SARS national imports on the History sheet</t>
        </is>
      </c>
      <c r="P38" s="175" t="n"/>
    </row>
    <row r="39">
      <c r="A39" s="176" t="inlineStr">
        <is>
          <t>Durban share</t>
        </is>
      </c>
      <c r="B39" s="176" t="n"/>
      <c r="C39" s="184">
        <f>IF(C38=0,"",C30/C38)</f>
        <v/>
      </c>
      <c r="D39" s="184">
        <f>IF(D38=0,"",D30/D38)</f>
        <v/>
      </c>
      <c r="E39" s="184">
        <f>IF(E38=0,"",E30/E38)</f>
        <v/>
      </c>
      <c r="F39" s="184">
        <f>IF(F38=0,"",F30/F38)</f>
        <v/>
      </c>
      <c r="G39" s="184">
        <f>IF(G38=0,"",G30/G38)</f>
        <v/>
      </c>
      <c r="H39" s="184">
        <f>IF(H38=0,"",H30/H38)</f>
        <v/>
      </c>
      <c r="I39" s="184">
        <f>IF(I38=0,"",I30/I38)</f>
        <v/>
      </c>
      <c r="J39" s="184">
        <f>IF(J38=0,"",J30/J38)</f>
        <v/>
      </c>
      <c r="K39" s="184">
        <f>IF(K38=0,"",K30/K38)</f>
        <v/>
      </c>
      <c r="L39" s="184">
        <f>IF(L38=0,"",L30/L38)</f>
        <v/>
      </c>
      <c r="M39" s="184">
        <f>IF(M38=0,"",M30/M38)</f>
        <v/>
      </c>
      <c r="N39" s="184">
        <f>IF(N38=0,"",N30/N38)</f>
        <v/>
      </c>
      <c r="O39" s="175" t="inlineStr">
        <is>
          <t>Calculated: Durban over all offices</t>
        </is>
      </c>
      <c r="P39" s="175"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68"/>
  <sheetViews>
    <sheetView workbookViewId="0">
      <pane xSplit="1" ySplit="14" topLeftCell="B15" activePane="bottomRight" state="frozen"/>
      <selection pane="topRight"/>
      <selection pane="bottomLeft"/>
      <selection pane="bottomRight" activeCell="A1" sqref="A1"/>
    </sheetView>
  </sheetViews>
  <sheetFormatPr baseColWidth="8" defaultRowHeight="15"/>
  <cols>
    <col width="44" customWidth="1" min="1" max="1"/>
    <col width="34" customWidth="1" min="2" max="2"/>
    <col width="10" customWidth="1" min="3" max="3"/>
    <col width="58" customWidth="1" min="4" max="4"/>
    <col width="9" customWidth="1" min="5" max="5"/>
    <col width="9" customWidth="1" min="6" max="6"/>
    <col width="9" customWidth="1" min="7" max="7"/>
    <col width="62" customWidth="1" min="8" max="8"/>
  </cols>
  <sheetData>
    <row r="1">
      <c r="A1" s="149" t="inlineStr">
        <is>
          <t>DR04 Regulated cost of moving petrol and diesel</t>
        </is>
      </c>
    </row>
    <row r="2">
      <c r="A2" s="1" t="inlineStr">
        <is>
          <t>Cents a litre. These are regulated allowances in the fuel price, set by the department and the energy regulator. They are not what a haulier or Transnet charges a shipper: commercial road and rail rates are not published.</t>
        </is>
      </c>
    </row>
    <row r="4">
      <c r="A4" s="151" t="inlineStr">
        <is>
          <t>Durban to Gauteng, by element</t>
        </is>
      </c>
      <c r="B4" s="151" t="n"/>
      <c r="C4" s="151" t="n"/>
      <c r="D4" s="151" t="n"/>
      <c r="E4" s="151" t="n"/>
      <c r="F4" s="151" t="n"/>
      <c r="G4" s="151" t="n"/>
      <c r="H4" s="151" t="n"/>
    </row>
    <row r="5">
      <c r="A5" s="185" t="inlineStr">
        <is>
          <t>Element</t>
        </is>
      </c>
      <c r="B5" s="185" t="inlineStr">
        <is>
          <t>2024/25</t>
        </is>
      </c>
      <c r="C5" s="185" t="inlineStr">
        <is>
          <t>2025/26</t>
        </is>
      </c>
      <c r="D5" s="185" t="inlineStr">
        <is>
          <t>2026/27</t>
        </is>
      </c>
      <c r="E5" s="185" t="inlineStr">
        <is>
          <t>Basis</t>
        </is>
      </c>
      <c r="H5" s="185" t="inlineStr">
        <is>
          <t>Source</t>
        </is>
      </c>
    </row>
    <row r="6">
      <c r="A6" s="170" t="inlineStr">
        <is>
          <t>Pipeline tariff, Durban to Alrode</t>
        </is>
      </c>
      <c r="B6" s="186" t="n">
        <v>67.98999999999999</v>
      </c>
      <c r="C6" s="187" t="n">
        <v>73.22</v>
      </c>
      <c r="D6" s="187" t="n">
        <v>77.02</v>
      </c>
      <c r="E6" s="172" t="inlineStr">
        <is>
          <t>2024/25 as reported; later years calculated by adding NERSA's stated increases</t>
        </is>
      </c>
      <c r="H6" s="172" t="inlineStr">
        <is>
          <t>NERSA statements of 15 March 2024 (as quoted by Engineering News) and 15 April 2025</t>
        </is>
      </c>
    </row>
    <row r="7">
      <c r="A7" s="170" t="inlineStr">
        <is>
          <t>Regulated transport differential, Gauteng (zone 9C)</t>
        </is>
      </c>
      <c r="B7" s="186" t="n">
        <v>82.8</v>
      </c>
      <c r="C7" s="186" t="n"/>
      <c r="D7" s="186" t="n">
        <v>91.09999999999999</v>
      </c>
      <c r="E7" s="172" t="inlineStr">
        <is>
          <t>Regulated allowance in the petrol and diesel price for transport from the coast</t>
        </is>
      </c>
      <c r="H7" s="172" t="inlineStr">
        <is>
          <t>Department zone list, April 2024; Central Energy Fund price composition, 1 April 2026</t>
        </is>
      </c>
    </row>
    <row r="8">
      <c r="A8" s="170" t="inlineStr">
        <is>
          <t>Regulated secondary storage</t>
        </is>
      </c>
      <c r="B8" s="186" t="n">
        <v>36.6</v>
      </c>
      <c r="C8" s="186" t="n"/>
      <c r="D8" s="186" t="n">
        <v>39</v>
      </c>
      <c r="E8" s="172" t="inlineStr">
        <is>
          <t>Regulated allowance for depot storage; one national figure</t>
        </is>
      </c>
      <c r="H8" s="172" t="inlineStr">
        <is>
          <t>Department diesel margins, 2024; Central Energy Fund price composition, 1 April 2026</t>
        </is>
      </c>
    </row>
    <row r="9">
      <c r="A9" s="170" t="inlineStr">
        <is>
          <t>Regulated secondary distribution</t>
        </is>
      </c>
      <c r="B9" s="186" t="n">
        <v>17.2</v>
      </c>
      <c r="C9" s="186" t="n"/>
      <c r="D9" s="186" t="n">
        <v>19.1</v>
      </c>
      <c r="E9" s="172" t="inlineStr">
        <is>
          <t>Regulated allowance for road delivery from depot to service station; one national figure</t>
        </is>
      </c>
      <c r="H9" s="172" t="inlineStr">
        <is>
          <t>Department diesel margins, 2024; Central Energy Fund price composition, 1 April 2026</t>
        </is>
      </c>
    </row>
    <row r="10">
      <c r="A10" s="181" t="inlineStr">
        <is>
          <t>Commercial road tanker rate, Durban to Gauteng</t>
        </is>
      </c>
      <c r="B10" s="188" t="n"/>
      <c r="C10" s="188" t="n"/>
      <c r="D10" s="188" t="n"/>
      <c r="E10" s="183" t="inlineStr">
        <is>
          <t>Not published</t>
        </is>
      </c>
      <c r="H10" s="183" t="inlineStr">
        <is>
          <t>None found; needs Vopak or a haulier</t>
        </is>
      </c>
    </row>
    <row r="11">
      <c r="A11" s="181" t="inlineStr">
        <is>
          <t>Rail rate, Durban to Gauteng</t>
        </is>
      </c>
      <c r="B11" s="188" t="n"/>
      <c r="C11" s="188" t="n"/>
      <c r="D11" s="188" t="n"/>
      <c r="E11" s="183" t="inlineStr">
        <is>
          <t>Not published</t>
        </is>
      </c>
      <c r="H11" s="183" t="inlineStr">
        <is>
          <t>None found; needs Transnet or Vopak</t>
        </is>
      </c>
    </row>
    <row r="13">
      <c r="A13" s="151" t="inlineStr">
        <is>
          <t>Regulated transport differential by pricing zone (the same for petrol and diesel in 2014; diesel list for 2024)</t>
        </is>
      </c>
      <c r="B13" s="151" t="n"/>
      <c r="C13" s="151" t="n"/>
      <c r="D13" s="151" t="n"/>
      <c r="E13" s="151" t="n"/>
      <c r="F13" s="151" t="n"/>
      <c r="G13" s="151" t="n"/>
      <c r="H13" s="151" t="n"/>
    </row>
    <row r="14">
      <c r="A14" s="150" t="inlineStr">
        <is>
          <t>Zone</t>
        </is>
      </c>
      <c r="B14" s="150" t="inlineStr">
        <is>
          <t>Provinces</t>
        </is>
      </c>
      <c r="C14" s="150" t="inlineStr">
        <is>
          <t>Districts</t>
        </is>
      </c>
      <c r="D14" s="150" t="inlineStr">
        <is>
          <t>Examples</t>
        </is>
      </c>
      <c r="E14" s="150" t="inlineStr">
        <is>
          <t>2014</t>
        </is>
      </c>
      <c r="F14" s="150" t="inlineStr">
        <is>
          <t>2024</t>
        </is>
      </c>
      <c r="G14" s="150" t="inlineStr">
        <is>
          <t>Change</t>
        </is>
      </c>
      <c r="H14" s="150" t="inlineStr">
        <is>
          <t>Source</t>
        </is>
      </c>
    </row>
    <row r="15">
      <c r="A15" s="189" t="inlineStr">
        <is>
          <t>9C (Gauteng)</t>
        </is>
      </c>
      <c r="B15" s="172" t="inlineStr">
        <is>
          <t>Gauteng, Mpumalanga, Free State, North West</t>
        </is>
      </c>
      <c r="C15" s="190" t="n">
        <v>51</v>
      </c>
      <c r="D15" s="172" t="inlineStr">
        <is>
          <t>Alberton, Bafokeng, Balfour, Benoni, Bethal, Boksburg</t>
        </is>
      </c>
      <c r="E15" s="191" t="n">
        <v>33.1</v>
      </c>
      <c r="F15" s="191" t="n">
        <v>82.8</v>
      </c>
      <c r="G15" s="192">
        <f>IF(COUNT(E15,F15)&lt;2,"",F15-E15)</f>
        <v/>
      </c>
      <c r="H15" s="172" t="inlineStr">
        <is>
          <t>Department of Mineral and Petroleum Resources, zone lists effective 2 April 2014 and 3 April 2024</t>
        </is>
      </c>
    </row>
    <row r="16">
      <c r="A16" s="170" t="inlineStr">
        <is>
          <t>57C</t>
        </is>
      </c>
      <c r="B16" s="172" t="inlineStr">
        <is>
          <t>Mpumalanga, KwaZulu Natal</t>
        </is>
      </c>
      <c r="C16" s="190" t="n">
        <v>3</v>
      </c>
      <c r="D16" s="172" t="inlineStr">
        <is>
          <t>Paulpietersburg, Utrecht, Volksrust</t>
        </is>
      </c>
      <c r="E16" s="191" t="n">
        <v>30.5</v>
      </c>
      <c r="F16" s="191" t="n">
        <v>75.7</v>
      </c>
      <c r="G16" s="192">
        <f>IF(COUNT(E16,F16)&lt;2,"",F16-E16)</f>
        <v/>
      </c>
      <c r="H16" s="172" t="inlineStr">
        <is>
          <t>Department of Mineral and Petroleum Resources, zone lists effective 2 April 2014 and 3 April 2024</t>
        </is>
      </c>
    </row>
    <row r="17">
      <c r="A17" s="170" t="inlineStr">
        <is>
          <t>58C</t>
        </is>
      </c>
      <c r="B17" s="172" t="inlineStr">
        <is>
          <t>Mpumalanga, KwaZulu Natal</t>
        </is>
      </c>
      <c r="C17" s="190" t="n">
        <v>3</v>
      </c>
      <c r="D17" s="172" t="inlineStr">
        <is>
          <t>Piet Retief, Simdlangentsha, Wakkerstroom</t>
        </is>
      </c>
      <c r="E17" s="191" t="n">
        <v>35.4</v>
      </c>
      <c r="F17" s="191" t="n">
        <v>93.09999999999999</v>
      </c>
      <c r="G17" s="192">
        <f>IF(COUNT(E17,F17)&lt;2,"",F17-E17)</f>
        <v/>
      </c>
      <c r="H17" s="172" t="inlineStr">
        <is>
          <t>Department of Mineral and Petroleum Resources, zone lists effective 2 April 2014 and 3 April 2024</t>
        </is>
      </c>
    </row>
    <row r="18">
      <c r="A18" s="170" t="inlineStr">
        <is>
          <t>8C</t>
        </is>
      </c>
      <c r="B18" s="172" t="inlineStr">
        <is>
          <t>Mpumalanga, Free State</t>
        </is>
      </c>
      <c r="C18" s="190" t="n">
        <v>14</v>
      </c>
      <c r="D18" s="172" t="inlineStr">
        <is>
          <t>Amersfoort, Clocolan, Ermelo, Ficksburg, Frankfort, Heilbron</t>
        </is>
      </c>
      <c r="E18" s="191" t="n">
        <v>35.4</v>
      </c>
      <c r="F18" s="191" t="n">
        <v>93.09999999999999</v>
      </c>
      <c r="G18" s="192">
        <f>IF(COUNT(E18,F18)&lt;2,"",F18-E18)</f>
        <v/>
      </c>
      <c r="H18" s="172" t="inlineStr">
        <is>
          <t>Department of Mineral and Petroleum Resources, zone lists effective 2 April 2014 and 3 April 2024</t>
        </is>
      </c>
    </row>
    <row r="19">
      <c r="A19" s="170" t="inlineStr">
        <is>
          <t>10C</t>
        </is>
      </c>
      <c r="B19" s="172" t="inlineStr">
        <is>
          <t>Mpumalanga, Free State, North West, Limpopo</t>
        </is>
      </c>
      <c r="C19" s="190" t="n">
        <v>28</v>
      </c>
      <c r="D19" s="172" t="inlineStr">
        <is>
          <t>Bela-Bela (Warmbad), Belfast, Bloemhof, Brandfort, Bultfontein, Carolina</t>
        </is>
      </c>
      <c r="E19" s="191" t="n">
        <v>44.3</v>
      </c>
      <c r="F19" s="191" t="n">
        <v>104</v>
      </c>
      <c r="G19" s="192">
        <f>IF(COUNT(E19,F19)&lt;2,"",F19-E19)</f>
        <v/>
      </c>
      <c r="H19" s="172" t="inlineStr">
        <is>
          <t>Department of Mineral and Petroleum Resources, zone lists effective 2 April 2014 and 3 April 2024</t>
        </is>
      </c>
    </row>
    <row r="20">
      <c r="A20" s="170" t="inlineStr">
        <is>
          <t>61C</t>
        </is>
      </c>
      <c r="B20" s="172" t="inlineStr">
        <is>
          <t>Mpumalanga, Limpopo</t>
        </is>
      </c>
      <c r="C20" s="190" t="n">
        <v>8</v>
      </c>
      <c r="D20" s="172" t="inlineStr">
        <is>
          <t>Barberton, Mapulaneng, Mhala, Nelspruit, Nkomazi (Kamhulshwa), Nsikazi (Kangwane)</t>
        </is>
      </c>
      <c r="E20" s="191" t="n">
        <v>59.2</v>
      </c>
      <c r="F20" s="191" t="n">
        <v>128</v>
      </c>
      <c r="G20" s="192">
        <f>IF(COUNT(E20,F20)&lt;2,"",F20-E20)</f>
        <v/>
      </c>
      <c r="H20" s="172" t="inlineStr">
        <is>
          <t>Department of Mineral and Petroleum Resources, zone lists effective 2 April 2014 and 3 April 2024</t>
        </is>
      </c>
    </row>
    <row r="21">
      <c r="A21" s="170" t="inlineStr">
        <is>
          <t>6C</t>
        </is>
      </c>
      <c r="B21" s="172" t="inlineStr">
        <is>
          <t>Free State, KwaZulu Natal</t>
        </is>
      </c>
      <c r="C21" s="190" t="n">
        <v>8</v>
      </c>
      <c r="D21" s="172" t="inlineStr">
        <is>
          <t>Bergville, Dannhauser, Dundee, Glencoe, Harrismith, Newcastle</t>
        </is>
      </c>
      <c r="E21" s="191" t="n">
        <v>24.2</v>
      </c>
      <c r="F21" s="191" t="n">
        <v>59.1</v>
      </c>
      <c r="G21" s="192">
        <f>IF(COUNT(E21,F21)&lt;2,"",F21-E21)</f>
        <v/>
      </c>
      <c r="H21" s="172" t="inlineStr">
        <is>
          <t>Department of Mineral and Petroleum Resources, zone lists effective 2 April 2014 and 3 April 2024</t>
        </is>
      </c>
    </row>
    <row r="22">
      <c r="A22" s="170" t="inlineStr">
        <is>
          <t>7C</t>
        </is>
      </c>
      <c r="B22" s="172" t="inlineStr">
        <is>
          <t>Free State</t>
        </is>
      </c>
      <c r="C22" s="190" t="n">
        <v>3</v>
      </c>
      <c r="D22" s="172" t="inlineStr">
        <is>
          <t>Bethlehem, Fouriesburg, Witsieshoek</t>
        </is>
      </c>
      <c r="E22" s="191" t="n">
        <v>30.5</v>
      </c>
      <c r="F22" s="191" t="n">
        <v>75.7</v>
      </c>
      <c r="G22" s="192">
        <f>IF(COUNT(E22,F22)&lt;2,"",F22-E22)</f>
        <v/>
      </c>
      <c r="H22" s="172" t="inlineStr">
        <is>
          <t>Department of Mineral and Petroleum Resources, zone lists effective 2 April 2014 and 3 April 2024</t>
        </is>
      </c>
    </row>
    <row r="23">
      <c r="A23" s="170" t="inlineStr">
        <is>
          <t>8A</t>
        </is>
      </c>
      <c r="B23" s="172" t="inlineStr">
        <is>
          <t>Free State, Eastern Cape, Northern Cape</t>
        </is>
      </c>
      <c r="C23" s="190" t="n">
        <v>20</v>
      </c>
      <c r="D23" s="172" t="inlineStr">
        <is>
          <t>Barkly East, Bethulie, Colesberg, De Aar, Edenburg, Elliot</t>
        </is>
      </c>
      <c r="E23" s="191" t="n">
        <v>55.2</v>
      </c>
      <c r="F23" s="191" t="n">
        <v>87.59999999999999</v>
      </c>
      <c r="G23" s="192">
        <f>IF(COUNT(E23,F23)&lt;2,"",F23-E23)</f>
        <v/>
      </c>
      <c r="H23" s="172" t="inlineStr">
        <is>
          <t>Department of Mineral and Petroleum Resources, zone lists effective 2 April 2014 and 3 April 2024</t>
        </is>
      </c>
    </row>
    <row r="24">
      <c r="A24" s="170" t="inlineStr">
        <is>
          <t>9A</t>
        </is>
      </c>
      <c r="B24" s="172" t="inlineStr">
        <is>
          <t>Free State, Northern Cape</t>
        </is>
      </c>
      <c r="C24" s="190" t="n">
        <v>6</v>
      </c>
      <c r="D24" s="172" t="inlineStr">
        <is>
          <t>Britstown, Fauresmith, Hopetown, Koffiefontein, Philipstown, Prieska</t>
        </is>
      </c>
      <c r="E24" s="191" t="n">
        <v>72.09999999999999</v>
      </c>
      <c r="F24" s="191" t="n">
        <v>114.4</v>
      </c>
      <c r="G24" s="192">
        <f>IF(COUNT(E24,F24)&lt;2,"",F24-E24)</f>
        <v/>
      </c>
      <c r="H24" s="172" t="inlineStr">
        <is>
          <t>Department of Mineral and Petroleum Resources, zone lists effective 2 April 2014 and 3 April 2024</t>
        </is>
      </c>
    </row>
    <row r="25">
      <c r="A25" s="170" t="inlineStr">
        <is>
          <t>11C</t>
        </is>
      </c>
      <c r="B25" s="172" t="inlineStr">
        <is>
          <t>Free State, North West, Limpopo, Northern Cape</t>
        </is>
      </c>
      <c r="C25" s="190" t="n">
        <v>23</v>
      </c>
      <c r="D25" s="172" t="inlineStr">
        <is>
          <t>Barkly West, Bloemfontein, Boshof, Botshabelo, Delareyville, Dewetsdorp</t>
        </is>
      </c>
      <c r="E25" s="191" t="n">
        <v>59.2</v>
      </c>
      <c r="F25" s="191" t="n">
        <v>128</v>
      </c>
      <c r="G25" s="192">
        <f>IF(COUNT(E25,F25)&lt;2,"",F25-E25)</f>
        <v/>
      </c>
      <c r="H25" s="172" t="inlineStr">
        <is>
          <t>Department of Mineral and Petroleum Resources, zone lists effective 2 April 2014 and 3 April 2024</t>
        </is>
      </c>
    </row>
    <row r="26">
      <c r="A26" s="170" t="inlineStr">
        <is>
          <t>12C</t>
        </is>
      </c>
      <c r="B26" s="172" t="inlineStr">
        <is>
          <t>North West, Limpopo</t>
        </is>
      </c>
      <c r="C26" s="190" t="n">
        <v>6</v>
      </c>
      <c r="D26" s="172" t="inlineStr">
        <is>
          <t>Ditsobotla, Polokwane (Pietersburg) (south of tropic of capricorn), Seshego, Thabamoopo, Thabazimbi (east of 27o longitude), Vryburg (south of 26o30' latitude)</t>
        </is>
      </c>
      <c r="E26" s="191" t="n">
        <v>65</v>
      </c>
      <c r="F26" s="191" t="n">
        <v>132.8</v>
      </c>
      <c r="G26" s="192">
        <f>IF(COUNT(E26,F26)&lt;2,"",F26-E26)</f>
        <v/>
      </c>
      <c r="H26" s="172" t="inlineStr">
        <is>
          <t>Department of Mineral and Petroleum Resources, zone lists effective 2 April 2014 and 3 April 2024</t>
        </is>
      </c>
    </row>
    <row r="27">
      <c r="A27" s="170" t="inlineStr">
        <is>
          <t>13C</t>
        </is>
      </c>
      <c r="B27" s="172" t="inlineStr">
        <is>
          <t>North West, Limpopo, Northern Cape</t>
        </is>
      </c>
      <c r="C27" s="190" t="n">
        <v>14</v>
      </c>
      <c r="D27" s="172" t="inlineStr">
        <is>
          <t>Bochum, Dzanani Central (North of Makhado), Dzanani South (West of Makhado), Hlanganani, Kuruman (south of 27olatitude), Lephalale (Ellisras)</t>
        </is>
      </c>
      <c r="E27" s="191" t="n">
        <v>77.40000000000001</v>
      </c>
      <c r="F27" s="191" t="n">
        <v>152.3</v>
      </c>
      <c r="G27" s="192">
        <f>IF(COUNT(E27,F27)&lt;2,"",F27-E27)</f>
        <v/>
      </c>
      <c r="H27" s="172" t="inlineStr">
        <is>
          <t>Department of Mineral and Petroleum Resources, zone lists effective 2 April 2014 and 3 April 2024</t>
        </is>
      </c>
    </row>
    <row r="28">
      <c r="A28" s="170" t="inlineStr">
        <is>
          <t>15C</t>
        </is>
      </c>
      <c r="B28" s="172" t="inlineStr">
        <is>
          <t>North West</t>
        </is>
      </c>
      <c r="C28" s="190" t="n">
        <v>2</v>
      </c>
      <c r="D28" s="172" t="inlineStr">
        <is>
          <t>Ganyesa, Kudumane</t>
        </is>
      </c>
      <c r="E28" s="191" t="n">
        <v>80.8</v>
      </c>
      <c r="F28" s="191" t="n">
        <v>158.5</v>
      </c>
      <c r="G28" s="192">
        <f>IF(COUNT(E28,F28)&lt;2,"",F28-E28)</f>
        <v/>
      </c>
      <c r="H28" s="172" t="inlineStr">
        <is>
          <t>Department of Mineral and Petroleum Resources, zone lists effective 2 April 2014 and 3 April 2024</t>
        </is>
      </c>
    </row>
    <row r="29">
      <c r="A29" s="170" t="inlineStr">
        <is>
          <t>17C</t>
        </is>
      </c>
      <c r="B29" s="172" t="inlineStr">
        <is>
          <t>North West, Northern Cape</t>
        </is>
      </c>
      <c r="C29" s="190" t="n">
        <v>2</v>
      </c>
      <c r="D29" s="172" t="inlineStr">
        <is>
          <t>Kuruman (north of 27o latitude), Vryburg (west of 24o longitude)</t>
        </is>
      </c>
      <c r="E29" s="191" t="n">
        <v>93</v>
      </c>
      <c r="F29" s="191" t="n">
        <v>177.7</v>
      </c>
      <c r="G29" s="192">
        <f>IF(COUNT(E29,F29)&lt;2,"",F29-E29)</f>
        <v/>
      </c>
      <c r="H29" s="172" t="inlineStr">
        <is>
          <t>Department of Mineral and Petroleum Resources, zone lists effective 2 April 2014 and 3 April 2024</t>
        </is>
      </c>
    </row>
    <row r="30">
      <c r="A30" s="170" t="inlineStr">
        <is>
          <t>62C</t>
        </is>
      </c>
      <c r="B30" s="172" t="inlineStr">
        <is>
          <t>Limpopo</t>
        </is>
      </c>
      <c r="C30" s="190" t="n">
        <v>1</v>
      </c>
      <c r="D30" s="172" t="inlineStr">
        <is>
          <t>Lulekani</t>
        </is>
      </c>
      <c r="E30" s="191" t="n">
        <v>65</v>
      </c>
      <c r="F30" s="191" t="n">
        <v>132.8</v>
      </c>
      <c r="G30" s="192">
        <f>IF(COUNT(E30,F30)&lt;2,"",F30-E30)</f>
        <v/>
      </c>
      <c r="H30" s="172" t="inlineStr">
        <is>
          <t>Department of Mineral and Petroleum Resources, zone lists effective 2 April 2014 and 3 April 2024</t>
        </is>
      </c>
    </row>
    <row r="31">
      <c r="A31" s="170" t="inlineStr">
        <is>
          <t>63C</t>
        </is>
      </c>
      <c r="B31" s="172" t="inlineStr">
        <is>
          <t>Limpopo</t>
        </is>
      </c>
      <c r="C31" s="190" t="n">
        <v>7</v>
      </c>
      <c r="D31" s="172" t="inlineStr">
        <is>
          <t>Bolobedu, Letaba, Namakgale, Naphuno, Phalaborwa, Ritavi</t>
        </is>
      </c>
      <c r="E31" s="191" t="n">
        <v>77.40000000000001</v>
      </c>
      <c r="F31" s="191" t="n">
        <v>152.3</v>
      </c>
      <c r="G31" s="192">
        <f>IF(COUNT(E31,F31)&lt;2,"",F31-E31)</f>
        <v/>
      </c>
      <c r="H31" s="172" t="inlineStr">
        <is>
          <t>Department of Mineral and Petroleum Resources, zone lists effective 2 April 2014 and 3 April 2024</t>
        </is>
      </c>
    </row>
    <row r="32">
      <c r="A32" s="170" t="inlineStr">
        <is>
          <t>16C</t>
        </is>
      </c>
      <c r="B32" s="172" t="inlineStr">
        <is>
          <t>Limpopo</t>
        </is>
      </c>
      <c r="C32" s="190" t="n">
        <v>4</v>
      </c>
      <c r="D32" s="172" t="inlineStr">
        <is>
          <t>Mokerong 1 (East of Lephalale), Mokopane (Potgietersrus) (north of tropic of capricorn), Musina (Messina) (West of 30o longitude), Soutpansberg (west of 29o 30' longitude)</t>
        </is>
      </c>
      <c r="E32" s="191" t="n">
        <v>79.7</v>
      </c>
      <c r="F32" s="191" t="n">
        <v>155.9</v>
      </c>
      <c r="G32" s="192">
        <f>IF(COUNT(E32,F32)&lt;2,"",F32-E32)</f>
        <v/>
      </c>
      <c r="H32" s="172" t="inlineStr">
        <is>
          <t>Department of Mineral and Petroleum Resources, zone lists effective 2 April 2014 and 3 April 2024</t>
        </is>
      </c>
    </row>
    <row r="33">
      <c r="A33" s="170" t="inlineStr">
        <is>
          <t>64C</t>
        </is>
      </c>
      <c r="B33" s="172" t="inlineStr">
        <is>
          <t>Limpopo</t>
        </is>
      </c>
      <c r="C33" s="190" t="n">
        <v>2</v>
      </c>
      <c r="D33" s="172" t="inlineStr">
        <is>
          <t>Giyani, Malamulele</t>
        </is>
      </c>
      <c r="E33" s="191" t="n">
        <v>92.2</v>
      </c>
      <c r="F33" s="191" t="n">
        <v>175.8</v>
      </c>
      <c r="G33" s="192">
        <f>IF(COUNT(E33,F33)&lt;2,"",F33-E33)</f>
        <v/>
      </c>
      <c r="H33" s="172" t="inlineStr">
        <is>
          <t>Department of Mineral and Petroleum Resources, zone lists effective 2 April 2014 and 3 April 2024</t>
        </is>
      </c>
    </row>
    <row r="34">
      <c r="A34" s="170" t="inlineStr">
        <is>
          <t>14C</t>
        </is>
      </c>
      <c r="B34" s="172" t="inlineStr">
        <is>
          <t>Limpopo</t>
        </is>
      </c>
      <c r="C34" s="190" t="n">
        <v>3</v>
      </c>
      <c r="D34" s="172" t="inlineStr">
        <is>
          <t>Dzanani North (East of Musina), Musina (Messina) (East of 30o longitude), Mutale</t>
        </is>
      </c>
      <c r="E34" s="191" t="n">
        <v>92.2</v>
      </c>
      <c r="F34" s="191" t="n">
        <v>175.8</v>
      </c>
      <c r="G34" s="192">
        <f>IF(COUNT(E34,F34)&lt;2,"",F34-E34)</f>
        <v/>
      </c>
      <c r="H34" s="172" t="inlineStr">
        <is>
          <t>Department of Mineral and Petroleum Resources, zone lists effective 2 April 2014 and 3 April 2024</t>
        </is>
      </c>
    </row>
    <row r="35">
      <c r="A35" s="170" t="inlineStr">
        <is>
          <t>67C</t>
        </is>
      </c>
      <c r="B35" s="172" t="inlineStr">
        <is>
          <t>Limpopo</t>
        </is>
      </c>
      <c r="C35" s="190" t="n">
        <v>1</v>
      </c>
      <c r="D35" s="172" t="inlineStr">
        <is>
          <t>Thohoyandou (east of 31o longitude)</t>
        </is>
      </c>
      <c r="E35" s="191" t="n">
        <v>93</v>
      </c>
      <c r="F35" s="191" t="n">
        <v>177.7</v>
      </c>
      <c r="G35" s="192">
        <f>IF(COUNT(E35,F35)&lt;2,"",F35-E35)</f>
        <v/>
      </c>
      <c r="H35" s="172" t="inlineStr">
        <is>
          <t>Department of Mineral and Petroleum Resources, zone lists effective 2 April 2014 and 3 April 2024</t>
        </is>
      </c>
    </row>
    <row r="36">
      <c r="A36" s="189" t="inlineStr">
        <is>
          <t>1A (coast)</t>
        </is>
      </c>
      <c r="B36" s="172" t="inlineStr">
        <is>
          <t>KwaZulu Natal, Eastern Cape, Western Cape</t>
        </is>
      </c>
      <c r="C36" s="190" t="n">
        <v>17</v>
      </c>
      <c r="D36" s="172" t="inlineStr">
        <is>
          <t>Bellville, Cape Town, Chatsworth, Durban, East London, Goodwood</t>
        </is>
      </c>
      <c r="E36" s="191" t="n">
        <v>2.5</v>
      </c>
      <c r="F36" s="191" t="n">
        <v>3.8</v>
      </c>
      <c r="G36" s="192">
        <f>IF(COUNT(E36,F36)&lt;2,"",F36-E36)</f>
        <v/>
      </c>
      <c r="H36" s="172" t="inlineStr">
        <is>
          <t>Department of Mineral and Petroleum Resources, zone lists effective 2 April 2014 and 3 April 2024</t>
        </is>
      </c>
    </row>
    <row r="37">
      <c r="A37" s="170" t="inlineStr">
        <is>
          <t>2A</t>
        </is>
      </c>
      <c r="B37" s="172" t="inlineStr">
        <is>
          <t>KwaZulu Natal, Eastern Cape, Western Cape</t>
        </is>
      </c>
      <c r="C37" s="190" t="n">
        <v>9</v>
      </c>
      <c r="D37" s="172" t="inlineStr">
        <is>
          <t>Camperdown, Ndwedwe, Paarl, Somerset West, Stellenbosch, Strand</t>
        </is>
      </c>
      <c r="E37" s="191" t="n">
        <v>6.4</v>
      </c>
      <c r="F37" s="191" t="n">
        <v>10.1</v>
      </c>
      <c r="G37" s="192">
        <f>IF(COUNT(E37,F37)&lt;2,"",F37-E37)</f>
        <v/>
      </c>
      <c r="H37" s="172" t="inlineStr">
        <is>
          <t>Department of Mineral and Petroleum Resources, zone lists effective 2 April 2014 and 3 April 2024</t>
        </is>
      </c>
    </row>
    <row r="38">
      <c r="A38" s="170" t="inlineStr">
        <is>
          <t>3A</t>
        </is>
      </c>
      <c r="B38" s="172" t="inlineStr">
        <is>
          <t>KwaZulu Natal, Eastern Cape, Western Cape</t>
        </is>
      </c>
      <c r="C38" s="190" t="n">
        <v>11</v>
      </c>
      <c r="D38" s="172" t="inlineStr">
        <is>
          <t>George, Hankey, King Williams Town, Kirkwood, Komga, Lower Tugela</t>
        </is>
      </c>
      <c r="E38" s="191" t="n">
        <v>10</v>
      </c>
      <c r="F38" s="191" t="n">
        <v>15.8</v>
      </c>
      <c r="G38" s="192">
        <f>IF(COUNT(E38,F38)&lt;2,"",F38-E38)</f>
        <v/>
      </c>
      <c r="H38" s="172" t="inlineStr">
        <is>
          <t>Department of Mineral and Petroleum Resources, zone lists effective 2 April 2014 and 3 April 2024</t>
        </is>
      </c>
    </row>
    <row r="39">
      <c r="A39" s="170" t="inlineStr">
        <is>
          <t>4A</t>
        </is>
      </c>
      <c r="B39" s="172" t="inlineStr">
        <is>
          <t>KwaZulu Natal, Eastern Cape, Western Cape</t>
        </is>
      </c>
      <c r="C39" s="190" t="n">
        <v>18</v>
      </c>
      <c r="D39" s="172" t="inlineStr">
        <is>
          <t>Albany, Alexandria, Calitzdorp, Eshowe, Heidelberg (W.Cape), Ixopo</t>
        </is>
      </c>
      <c r="E39" s="191" t="n">
        <v>14.7</v>
      </c>
      <c r="F39" s="191" t="n">
        <v>23.2</v>
      </c>
      <c r="G39" s="192">
        <f>IF(COUNT(E39,F39)&lt;2,"",F39-E39)</f>
        <v/>
      </c>
      <c r="H39" s="172" t="inlineStr">
        <is>
          <t>Department of Mineral and Petroleum Resources, zone lists effective 2 April 2014 and 3 April 2024</t>
        </is>
      </c>
    </row>
    <row r="40">
      <c r="A40" s="170" t="inlineStr">
        <is>
          <t>3B</t>
        </is>
      </c>
      <c r="B40" s="172" t="inlineStr">
        <is>
          <t>KwaZulu Natal, Eastern Cape</t>
        </is>
      </c>
      <c r="C40" s="190" t="n">
        <v>4</v>
      </c>
      <c r="D40" s="172" t="inlineStr">
        <is>
          <t>Humansdorp, Lions River, New Hanover, Pietermaritzburg</t>
        </is>
      </c>
      <c r="E40" s="191" t="n">
        <v>15.3</v>
      </c>
      <c r="F40" s="191" t="n">
        <v>24.1</v>
      </c>
      <c r="G40" s="192">
        <f>IF(COUNT(E40,F40)&lt;2,"",F40-E40)</f>
        <v/>
      </c>
      <c r="H40" s="172" t="inlineStr">
        <is>
          <t>Department of Mineral and Petroleum Resources, zone lists effective 2 April 2014 and 3 April 2024</t>
        </is>
      </c>
    </row>
    <row r="41">
      <c r="A41" s="170" t="inlineStr">
        <is>
          <t>5A</t>
        </is>
      </c>
      <c r="B41" s="172" t="inlineStr">
        <is>
          <t>KwaZulu Natal, Eastern Cape, Western Cape</t>
        </is>
      </c>
      <c r="C41" s="190" t="n">
        <v>33</v>
      </c>
      <c r="D41" s="172" t="inlineStr">
        <is>
          <t>Adelaide, Alfred, Bathurst (Port Alfred), Bedford, Caledon, Cathcart</t>
        </is>
      </c>
      <c r="E41" s="191" t="n">
        <v>21.2</v>
      </c>
      <c r="F41" s="191" t="n">
        <v>33.6</v>
      </c>
      <c r="G41" s="192">
        <f>IF(COUNT(E41,F41)&lt;2,"",F41-E41)</f>
        <v/>
      </c>
      <c r="H41" s="172" t="inlineStr">
        <is>
          <t>Department of Mineral and Petroleum Resources, zone lists effective 2 April 2014 and 3 April 2024</t>
        </is>
      </c>
    </row>
    <row r="42">
      <c r="A42" s="170" t="inlineStr">
        <is>
          <t>5B</t>
        </is>
      </c>
      <c r="B42" s="172" t="inlineStr">
        <is>
          <t>KwaZulu Natal</t>
        </is>
      </c>
      <c r="C42" s="190" t="n">
        <v>8</v>
      </c>
      <c r="D42" s="172" t="inlineStr">
        <is>
          <t>Estcourt, Impendle, Mooirivier, Msinga, Polela, Umvoti</t>
        </is>
      </c>
      <c r="E42" s="191" t="n">
        <v>24.1</v>
      </c>
      <c r="F42" s="191" t="n">
        <v>38.1</v>
      </c>
      <c r="G42" s="192">
        <f>IF(COUNT(E42,F42)&lt;2,"",F42-E42)</f>
        <v/>
      </c>
      <c r="H42" s="172" t="inlineStr">
        <is>
          <t>Department of Mineral and Petroleum Resources, zone lists effective 2 April 2014 and 3 April 2024</t>
        </is>
      </c>
    </row>
    <row r="43">
      <c r="A43" s="170" t="inlineStr">
        <is>
          <t>6A</t>
        </is>
      </c>
      <c r="B43" s="172" t="inlineStr">
        <is>
          <t>KwaZulu Natal, Eastern Cape, Western Cape</t>
        </is>
      </c>
      <c r="C43" s="190" t="n">
        <v>7</v>
      </c>
      <c r="D43" s="172" t="inlineStr">
        <is>
          <t>Babanango, Bredasdorp, Glen Grey/Cacadu/Lady Frere, Mahlabatini, Molteno, Nongoma</t>
        </is>
      </c>
      <c r="E43" s="191" t="n">
        <v>30.7</v>
      </c>
      <c r="F43" s="191" t="n">
        <v>48.6</v>
      </c>
      <c r="G43" s="192">
        <f>IF(COUNT(E43,F43)&lt;2,"",F43-E43)</f>
        <v/>
      </c>
      <c r="H43" s="172" t="inlineStr">
        <is>
          <t>Department of Mineral and Petroleum Resources, zone lists effective 2 April 2014 and 3 April 2024</t>
        </is>
      </c>
    </row>
    <row r="44">
      <c r="A44" s="170" t="inlineStr">
        <is>
          <t>5C</t>
        </is>
      </c>
      <c r="B44" s="172" t="inlineStr">
        <is>
          <t>KwaZulu Natal</t>
        </is>
      </c>
      <c r="C44" s="190" t="n">
        <v>1</v>
      </c>
      <c r="D44" s="172" t="inlineStr">
        <is>
          <t>Kliprivier</t>
        </is>
      </c>
      <c r="E44" s="191" t="n">
        <v>9.6</v>
      </c>
      <c r="F44" s="191" t="n">
        <v>49.1</v>
      </c>
      <c r="G44" s="192">
        <f>IF(COUNT(E44,F44)&lt;2,"",F44-E44)</f>
        <v/>
      </c>
      <c r="H44" s="172" t="inlineStr">
        <is>
          <t>Department of Mineral and Petroleum Resources, zone lists effective 2 April 2014 and 3 April 2024</t>
        </is>
      </c>
    </row>
    <row r="45">
      <c r="A45" s="170" t="inlineStr">
        <is>
          <t>57A</t>
        </is>
      </c>
      <c r="B45" s="172" t="inlineStr">
        <is>
          <t>KwaZulu Natal, Eastern Cape</t>
        </is>
      </c>
      <c r="C45" s="190" t="n">
        <v>15</v>
      </c>
      <c r="D45" s="172" t="inlineStr">
        <is>
          <t>Engcobo, Hofmeyer, Indwe, Ingwavuma, Libode, Maluki (Matatiele)</t>
        </is>
      </c>
      <c r="E45" s="191" t="n">
        <v>39.1</v>
      </c>
      <c r="F45" s="191" t="n">
        <v>62</v>
      </c>
      <c r="G45" s="192">
        <f>IF(COUNT(E45,F45)&lt;2,"",F45-E45)</f>
        <v/>
      </c>
      <c r="H45" s="172" t="inlineStr">
        <is>
          <t>Department of Mineral and Petroleum Resources, zone lists effective 2 April 2014 and 3 April 2024</t>
        </is>
      </c>
    </row>
    <row r="46">
      <c r="A46" s="170" t="inlineStr">
        <is>
          <t>7B</t>
        </is>
      </c>
      <c r="B46" s="172" t="inlineStr">
        <is>
          <t>Eastern Cape, Western Cape</t>
        </is>
      </c>
      <c r="C46" s="190" t="n">
        <v>8</v>
      </c>
      <c r="D46" s="172" t="inlineStr">
        <is>
          <t>Clanwilliam, Jansenville, Joubertina, Laingsburg, Prince Albert, Somerset East</t>
        </is>
      </c>
      <c r="E46" s="191" t="n">
        <v>27</v>
      </c>
      <c r="F46" s="191" t="n">
        <v>42.8</v>
      </c>
      <c r="G46" s="192">
        <f>IF(COUNT(E46,F46)&lt;2,"",F46-E46)</f>
        <v/>
      </c>
      <c r="H46" s="172" t="inlineStr">
        <is>
          <t>Department of Mineral and Petroleum Resources, zone lists effective 2 April 2014 and 3 April 2024</t>
        </is>
      </c>
    </row>
    <row r="47">
      <c r="A47" s="170" t="inlineStr">
        <is>
          <t>9B</t>
        </is>
      </c>
      <c r="B47" s="172" t="inlineStr">
        <is>
          <t>Eastern Cape, Western Cape</t>
        </is>
      </c>
      <c r="C47" s="190" t="n">
        <v>7</v>
      </c>
      <c r="D47" s="172" t="inlineStr">
        <is>
          <t>Aberdeen, Bizana, Graaffreinett, Murraysburg, Sipangeni (Flagstaff), Van Rhynsdorp</t>
        </is>
      </c>
      <c r="E47" s="191" t="n">
        <v>34.9</v>
      </c>
      <c r="F47" s="191" t="n">
        <v>55.4</v>
      </c>
      <c r="G47" s="192">
        <f>IF(COUNT(E47,F47)&lt;2,"",F47-E47)</f>
        <v/>
      </c>
      <c r="H47" s="172" t="inlineStr">
        <is>
          <t>Department of Mineral and Petroleum Resources, zone lists effective 2 April 2014 and 3 April 2024</t>
        </is>
      </c>
    </row>
    <row r="48">
      <c r="A48" s="170" t="inlineStr">
        <is>
          <t>8B</t>
        </is>
      </c>
      <c r="B48" s="172" t="inlineStr">
        <is>
          <t>Eastern Cape, Western Cape, Northern Cape</t>
        </is>
      </c>
      <c r="C48" s="190" t="n">
        <v>4</v>
      </c>
      <c r="D48" s="172" t="inlineStr">
        <is>
          <t>Beaufort West, Cradock, Fraserburg, Pearston</t>
        </is>
      </c>
      <c r="E48" s="191" t="n">
        <v>37</v>
      </c>
      <c r="F48" s="191" t="n">
        <v>58.7</v>
      </c>
      <c r="G48" s="192">
        <f>IF(COUNT(E48,F48)&lt;2,"",F48-E48)</f>
        <v/>
      </c>
      <c r="H48" s="172" t="inlineStr">
        <is>
          <t>Department of Mineral and Petroleum Resources, zone lists effective 2 April 2014 and 3 April 2024</t>
        </is>
      </c>
    </row>
    <row r="49">
      <c r="A49" s="170" t="inlineStr">
        <is>
          <t>7A</t>
        </is>
      </c>
      <c r="B49" s="172" t="inlineStr">
        <is>
          <t>Eastern Cape, Northern Cape</t>
        </is>
      </c>
      <c r="C49" s="190" t="n">
        <v>6</v>
      </c>
      <c r="D49" s="172" t="inlineStr">
        <is>
          <t>Albert, Aliwal North, Noupoort, Steynsburg, Wodehouse, Xalanga</t>
        </is>
      </c>
      <c r="E49" s="191" t="n">
        <v>39.1</v>
      </c>
      <c r="F49" s="191" t="n">
        <v>62</v>
      </c>
      <c r="G49" s="192">
        <f>IF(COUNT(E49,F49)&lt;2,"",F49-E49)</f>
        <v/>
      </c>
      <c r="H49" s="172" t="inlineStr">
        <is>
          <t>Department of Mineral and Petroleum Resources, zone lists effective 2 April 2014 and 3 April 2024</t>
        </is>
      </c>
    </row>
    <row r="50">
      <c r="A50" s="170" t="inlineStr">
        <is>
          <t>10B</t>
        </is>
      </c>
      <c r="B50" s="172" t="inlineStr">
        <is>
          <t>Eastern Cape, Northern Cape</t>
        </is>
      </c>
      <c r="C50" s="190" t="n">
        <v>6</v>
      </c>
      <c r="D50" s="172" t="inlineStr">
        <is>
          <t>Carnavon, Kwabhaca (Mount Frere), Lusikisiki (PortStJohns), Maxesibeni (Mount Ayliff), Tabankulu, Williston</t>
        </is>
      </c>
      <c r="E50" s="191" t="n">
        <v>44.2</v>
      </c>
      <c r="F50" s="191" t="n">
        <v>70.09999999999999</v>
      </c>
      <c r="G50" s="192">
        <f>IF(COUNT(E50,F50)&lt;2,"",F50-E50)</f>
        <v/>
      </c>
      <c r="H50" s="172" t="inlineStr">
        <is>
          <t>Department of Mineral and Petroleum Resources, zone lists effective 2 April 2014 and 3 April 2024</t>
        </is>
      </c>
    </row>
    <row r="51">
      <c r="A51" s="170" t="inlineStr">
        <is>
          <t>12B</t>
        </is>
      </c>
      <c r="B51" s="172" t="inlineStr">
        <is>
          <t>Eastern Cape, Northern Cape</t>
        </is>
      </c>
      <c r="C51" s="190" t="n">
        <v>5</v>
      </c>
      <c r="D51" s="172" t="inlineStr">
        <is>
          <t>Calvinia (west of 20o longitude), Mount Fletcher, Sutherland, Umzimvubu, Victoria West</t>
        </is>
      </c>
      <c r="E51" s="191" t="n">
        <v>47.8</v>
      </c>
      <c r="F51" s="191" t="n">
        <v>75.8</v>
      </c>
      <c r="G51" s="192">
        <f>IF(COUNT(E51,F51)&lt;2,"",F51-E51)</f>
        <v/>
      </c>
      <c r="H51" s="172" t="inlineStr">
        <is>
          <t>Department of Mineral and Petroleum Resources, zone lists effective 2 April 2014 and 3 April 2024</t>
        </is>
      </c>
    </row>
    <row r="52">
      <c r="A52" s="170" t="inlineStr">
        <is>
          <t>6B</t>
        </is>
      </c>
      <c r="B52" s="172" t="inlineStr">
        <is>
          <t>Western Cape</t>
        </is>
      </c>
      <c r="C52" s="190" t="n">
        <v>3</v>
      </c>
      <c r="D52" s="172" t="inlineStr">
        <is>
          <t>Ladismith (Cape), Piketberg, Uniondale</t>
        </is>
      </c>
      <c r="E52" s="191" t="n">
        <v>19</v>
      </c>
      <c r="F52" s="191" t="n">
        <v>30.1</v>
      </c>
      <c r="G52" s="192">
        <f>IF(COUNT(E52,F52)&lt;2,"",F52-E52)</f>
        <v/>
      </c>
      <c r="H52" s="172" t="inlineStr">
        <is>
          <t>Department of Mineral and Petroleum Resources, zone lists effective 2 April 2014 and 3 April 2024</t>
        </is>
      </c>
    </row>
    <row r="53">
      <c r="A53" s="170" t="inlineStr">
        <is>
          <t>14B</t>
        </is>
      </c>
      <c r="B53" s="172" t="inlineStr">
        <is>
          <t>Northern Cape</t>
        </is>
      </c>
      <c r="C53" s="190" t="n">
        <v>1</v>
      </c>
      <c r="D53" s="172" t="inlineStr">
        <is>
          <t>Calvinia (east of 20o longitude)</t>
        </is>
      </c>
      <c r="E53" s="191" t="n">
        <v>55.9</v>
      </c>
      <c r="F53" s="191" t="n">
        <v>88.59999999999999</v>
      </c>
      <c r="G53" s="192">
        <f>IF(COUNT(E53,F53)&lt;2,"",F53-E53)</f>
        <v/>
      </c>
      <c r="H53" s="172" t="inlineStr">
        <is>
          <t>Department of Mineral and Petroleum Resources, zone lists effective 2 April 2014 and 3 April 2024</t>
        </is>
      </c>
    </row>
    <row r="54">
      <c r="A54" s="170" t="inlineStr">
        <is>
          <t>31J</t>
        </is>
      </c>
      <c r="B54" s="172" t="inlineStr">
        <is>
          <t>Northern Cape</t>
        </is>
      </c>
      <c r="C54" s="190" t="n">
        <v>1</v>
      </c>
      <c r="D54" s="172" t="inlineStr">
        <is>
          <t>Namakwaland South (south of 30o latitude)</t>
        </is>
      </c>
      <c r="E54" s="191" t="n">
        <v>56.1</v>
      </c>
      <c r="F54" s="191" t="n">
        <v>89</v>
      </c>
      <c r="G54" s="192">
        <f>IF(COUNT(E54,F54)&lt;2,"",F54-E54)</f>
        <v/>
      </c>
      <c r="H54" s="172" t="inlineStr">
        <is>
          <t>Department of Mineral and Petroleum Resources, zone lists effective 2 April 2014 and 3 April 2024</t>
        </is>
      </c>
    </row>
    <row r="55">
      <c r="A55" s="170" t="inlineStr">
        <is>
          <t>32J</t>
        </is>
      </c>
      <c r="B55" s="172" t="inlineStr">
        <is>
          <t>Northern Cape</t>
        </is>
      </c>
      <c r="C55" s="190" t="n">
        <v>1</v>
      </c>
      <c r="D55" s="172" t="inlineStr">
        <is>
          <t>Namakwaland Central (between 29o and 30o latitude and between 17o30' and 18o30' longitude)</t>
        </is>
      </c>
      <c r="E55" s="191" t="n">
        <v>76.3</v>
      </c>
      <c r="F55" s="191" t="n">
        <v>114.5</v>
      </c>
      <c r="G55" s="192">
        <f>IF(COUNT(E55,F55)&lt;2,"",F55-E55)</f>
        <v/>
      </c>
      <c r="H55" s="172" t="inlineStr">
        <is>
          <t>Department of Mineral and Petroleum Resources, zone lists effective 2 April 2014 and 3 April 2024</t>
        </is>
      </c>
    </row>
    <row r="56">
      <c r="A56" s="170" t="inlineStr">
        <is>
          <t>34J</t>
        </is>
      </c>
      <c r="B56" s="172" t="inlineStr">
        <is>
          <t>Northern Cape</t>
        </is>
      </c>
      <c r="C56" s="190" t="n">
        <v>1</v>
      </c>
      <c r="D56" s="172" t="inlineStr">
        <is>
          <t>Namakwaland Vioolsdrif (north of 29o latitude and east of 17o longitude)</t>
        </is>
      </c>
      <c r="E56" s="191" t="n">
        <v>85.90000000000001</v>
      </c>
      <c r="F56" s="191" t="n">
        <v>130.7</v>
      </c>
      <c r="G56" s="192">
        <f>IF(COUNT(E56,F56)&lt;2,"",F56-E56)</f>
        <v/>
      </c>
      <c r="H56" s="172" t="inlineStr">
        <is>
          <t>Department of Mineral and Petroleum Resources, zone lists effective 2 April 2014 and 3 April 2024</t>
        </is>
      </c>
    </row>
    <row r="57">
      <c r="A57" s="170" t="inlineStr">
        <is>
          <t>33J</t>
        </is>
      </c>
      <c r="B57" s="172" t="inlineStr">
        <is>
          <t>Northern Cape</t>
        </is>
      </c>
      <c r="C57" s="190" t="n">
        <v>1</v>
      </c>
      <c r="D57" s="172" t="inlineStr">
        <is>
          <t>Namakwaland Aggeneys(east of 18o30' longitude and north of 30o latitude)</t>
        </is>
      </c>
      <c r="E57" s="191" t="n">
        <v>87.3</v>
      </c>
      <c r="F57" s="191" t="n">
        <v>133.3</v>
      </c>
      <c r="G57" s="192">
        <f>IF(COUNT(E57,F57)&lt;2,"",F57-E57)</f>
        <v/>
      </c>
      <c r="H57" s="172" t="inlineStr">
        <is>
          <t>Department of Mineral and Petroleum Resources, zone lists effective 2 April 2014 and 3 April 2024</t>
        </is>
      </c>
    </row>
    <row r="58">
      <c r="A58" s="170" t="inlineStr">
        <is>
          <t>15A</t>
        </is>
      </c>
      <c r="B58" s="172" t="inlineStr">
        <is>
          <t>Northern Cape</t>
        </is>
      </c>
      <c r="C58" s="190" t="n">
        <v>1</v>
      </c>
      <c r="D58" s="172" t="inlineStr">
        <is>
          <t>Kenhardt (east of 20o longitude)</t>
        </is>
      </c>
      <c r="E58" s="191" t="n">
        <v>84.7</v>
      </c>
      <c r="F58" s="191" t="n">
        <v>134</v>
      </c>
      <c r="G58" s="192">
        <f>IF(COUNT(E58,F58)&lt;2,"",F58-E58)</f>
        <v/>
      </c>
      <c r="H58" s="172" t="inlineStr">
        <is>
          <t>Department of Mineral and Petroleum Resources, zone lists effective 2 April 2014 and 3 April 2024</t>
        </is>
      </c>
    </row>
    <row r="59">
      <c r="A59" s="170" t="inlineStr">
        <is>
          <t>36J</t>
        </is>
      </c>
      <c r="B59" s="172" t="inlineStr">
        <is>
          <t>Northern Cape</t>
        </is>
      </c>
      <c r="C59" s="190" t="n">
        <v>1</v>
      </c>
      <c r="D59" s="172" t="inlineStr">
        <is>
          <t>Namakwaland Kleinsee (between 29o and 30o latitude and between 17o and 17o30' longitude)</t>
        </is>
      </c>
      <c r="E59" s="191" t="n">
        <v>89.7</v>
      </c>
      <c r="F59" s="191" t="n">
        <v>138.4</v>
      </c>
      <c r="G59" s="192">
        <f>IF(COUNT(E59,F59)&lt;2,"",F59-E59)</f>
        <v/>
      </c>
      <c r="H59" s="172" t="inlineStr">
        <is>
          <t>Department of Mineral and Petroleum Resources, zone lists effective 2 April 2014 and 3 April 2024</t>
        </is>
      </c>
    </row>
    <row r="60">
      <c r="A60" s="170" t="inlineStr">
        <is>
          <t>35J</t>
        </is>
      </c>
      <c r="B60" s="172" t="inlineStr">
        <is>
          <t>Northern Cape</t>
        </is>
      </c>
      <c r="C60" s="190" t="n">
        <v>1</v>
      </c>
      <c r="D60" s="172" t="inlineStr">
        <is>
          <t>Namakwaland Port Nolloth (south of 29o latitude and west of 17o longitude)</t>
        </is>
      </c>
      <c r="E60" s="191" t="n">
        <v>89.7</v>
      </c>
      <c r="F60" s="191" t="n">
        <v>138.8</v>
      </c>
      <c r="G60" s="192">
        <f>IF(COUNT(E60,F60)&lt;2,"",F60-E60)</f>
        <v/>
      </c>
      <c r="H60" s="172" t="inlineStr">
        <is>
          <t>Department of Mineral and Petroleum Resources, zone lists effective 2 April 2014 and 3 April 2024</t>
        </is>
      </c>
    </row>
    <row r="61">
      <c r="A61" s="170" t="inlineStr">
        <is>
          <t>37J</t>
        </is>
      </c>
      <c r="B61" s="172" t="inlineStr">
        <is>
          <t>Northern Cape</t>
        </is>
      </c>
      <c r="C61" s="190" t="n">
        <v>1</v>
      </c>
      <c r="D61" s="172" t="inlineStr">
        <is>
          <t>Namakwaland Alexander Bay (north of 29o latitude and west of 17o longitude)</t>
        </is>
      </c>
      <c r="E61" s="191" t="n">
        <v>99.7</v>
      </c>
      <c r="F61" s="191" t="n">
        <v>155.7</v>
      </c>
      <c r="G61" s="192">
        <f>IF(COUNT(E61,F61)&lt;2,"",F61-E61)</f>
        <v/>
      </c>
      <c r="H61" s="172" t="inlineStr">
        <is>
          <t>Department of Mineral and Petroleum Resources, zone lists effective 2 April 2014 and 3 April 2024</t>
        </is>
      </c>
    </row>
    <row r="62">
      <c r="A62" s="170" t="inlineStr">
        <is>
          <t>69A</t>
        </is>
      </c>
      <c r="B62" s="172" t="inlineStr">
        <is>
          <t>Northern Cape</t>
        </is>
      </c>
      <c r="C62" s="190" t="n">
        <v>1</v>
      </c>
      <c r="D62" s="172" t="inlineStr">
        <is>
          <t>Kenhardt (west of 20o longitude)</t>
        </is>
      </c>
      <c r="E62" s="191" t="n">
        <v>106.6</v>
      </c>
      <c r="F62" s="191" t="n">
        <v>167.3</v>
      </c>
      <c r="G62" s="192">
        <f>IF(COUNT(E62,F62)&lt;2,"",F62-E62)</f>
        <v/>
      </c>
      <c r="H62" s="172" t="inlineStr">
        <is>
          <t>Department of Mineral and Petroleum Resources, zone lists effective 2 April 2014 and 3 April 2024</t>
        </is>
      </c>
    </row>
    <row r="63">
      <c r="A63" s="170" t="inlineStr">
        <is>
          <t>19A</t>
        </is>
      </c>
      <c r="B63" s="172" t="inlineStr">
        <is>
          <t>Northern Cape</t>
        </is>
      </c>
      <c r="C63" s="190" t="n">
        <v>1</v>
      </c>
      <c r="D63" s="172" t="inlineStr">
        <is>
          <t>Gordonia (north of 27o30' latitude)</t>
        </is>
      </c>
      <c r="E63" s="191" t="n">
        <v>106.6</v>
      </c>
      <c r="F63" s="191" t="n">
        <v>167.3</v>
      </c>
      <c r="G63" s="192">
        <f>IF(COUNT(E63,F63)&lt;2,"",F63-E63)</f>
        <v/>
      </c>
      <c r="H63" s="172" t="inlineStr">
        <is>
          <t>Department of Mineral and Petroleum Resources, zone lists effective 2 April 2014 and 3 April 2024</t>
        </is>
      </c>
    </row>
    <row r="64">
      <c r="A64" s="170" t="inlineStr">
        <is>
          <t>11A</t>
        </is>
      </c>
      <c r="B64" s="172" t="inlineStr">
        <is>
          <t>Northern Cape</t>
        </is>
      </c>
      <c r="C64" s="190" t="n">
        <v>1</v>
      </c>
      <c r="D64" s="172" t="inlineStr">
        <is>
          <t>Hay</t>
        </is>
      </c>
      <c r="E64" s="191" t="n">
        <v>87.5</v>
      </c>
      <c r="F64" s="191" t="n">
        <v>169.9</v>
      </c>
      <c r="G64" s="192">
        <f>IF(COUNT(E64,F64)&lt;2,"",F64-E64)</f>
        <v/>
      </c>
      <c r="H64" s="172" t="inlineStr">
        <is>
          <t>Department of Mineral and Petroleum Resources, zone lists effective 2 April 2014 and 3 April 2024</t>
        </is>
      </c>
    </row>
    <row r="65">
      <c r="A65" s="170" t="inlineStr">
        <is>
          <t>13A</t>
        </is>
      </c>
      <c r="B65" s="172" t="inlineStr">
        <is>
          <t>Northern Cape</t>
        </is>
      </c>
      <c r="C65" s="190" t="n">
        <v>1</v>
      </c>
      <c r="D65" s="172" t="inlineStr">
        <is>
          <t>Gordonia (south of 28o latitude)</t>
        </is>
      </c>
      <c r="E65" s="191" t="n">
        <v>88.7</v>
      </c>
      <c r="F65" s="191" t="n">
        <v>178.2</v>
      </c>
      <c r="G65" s="192">
        <f>IF(COUNT(E65,F65)&lt;2,"",F65-E65)</f>
        <v/>
      </c>
      <c r="H65" s="172" t="inlineStr">
        <is>
          <t>Department of Mineral and Petroleum Resources, zone lists effective 2 April 2014 and 3 April 2024</t>
        </is>
      </c>
    </row>
    <row r="66">
      <c r="A66" s="170" t="inlineStr">
        <is>
          <t>17A</t>
        </is>
      </c>
      <c r="B66" s="172" t="inlineStr">
        <is>
          <t>Northern Cape</t>
        </is>
      </c>
      <c r="C66" s="190" t="n">
        <v>1</v>
      </c>
      <c r="D66" s="172" t="inlineStr">
        <is>
          <t>Gordonia Central (between 27o30' and 28o latituded)</t>
        </is>
      </c>
      <c r="E66" s="191" t="n">
        <v>99.8</v>
      </c>
      <c r="F66" s="191" t="n">
        <v>179.6</v>
      </c>
      <c r="G66" s="192">
        <f>IF(COUNT(E66,F66)&lt;2,"",F66-E66)</f>
        <v/>
      </c>
      <c r="H66" s="172" t="inlineStr">
        <is>
          <t>Department of Mineral and Petroleum Resources, zone lists effective 2 April 2014 and 3 April 2024</t>
        </is>
      </c>
    </row>
    <row r="67">
      <c r="A67" s="170" t="inlineStr">
        <is>
          <t>60C</t>
        </is>
      </c>
      <c r="B67" s="172" t="inlineStr">
        <is>
          <t>Not in the 2014 district list</t>
        </is>
      </c>
      <c r="C67" s="190" t="n"/>
      <c r="D67" s="172" t="inlineStr"/>
      <c r="E67" s="191" t="n">
        <v>44.3</v>
      </c>
      <c r="F67" s="191" t="n">
        <v>104</v>
      </c>
      <c r="G67" s="192">
        <f>IF(COUNT(E67,F67)&lt;2,"",F67-E67)</f>
        <v/>
      </c>
      <c r="H67" s="172" t="inlineStr">
        <is>
          <t>Department of Mineral and Petroleum Resources, zone lists effective 2 April 2014 and 3 April 2024</t>
        </is>
      </c>
    </row>
    <row r="68">
      <c r="A68" s="170" t="inlineStr">
        <is>
          <t>10A</t>
        </is>
      </c>
      <c r="B68" s="172" t="inlineStr">
        <is>
          <t>Not in the 2014 district list</t>
        </is>
      </c>
      <c r="C68" s="190" t="n"/>
      <c r="D68" s="172" t="inlineStr"/>
      <c r="E68" s="191" t="n">
        <v>82.59999999999999</v>
      </c>
      <c r="F68" s="191" t="n">
        <v>121.5</v>
      </c>
      <c r="G68" s="192">
        <f>IF(COUNT(E68,F68)&lt;2,"",F68-E68)</f>
        <v/>
      </c>
      <c r="H68" s="172" t="inlineStr">
        <is>
          <t>Department of Mineral and Petroleum Resources, zone lists effective 2 April 2014 and 3 April 2024</t>
        </is>
      </c>
    </row>
  </sheetData>
  <mergeCells count="7">
    <mergeCell ref="E10:G10"/>
    <mergeCell ref="E11:G11"/>
    <mergeCell ref="E5:G5"/>
    <mergeCell ref="E8:G8"/>
    <mergeCell ref="E9:G9"/>
    <mergeCell ref="E7:G7"/>
    <mergeCell ref="E6:G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6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DR07 Demand evidence: what calibrates the demand levers</t>
        </is>
      </c>
    </row>
    <row r="2">
      <c r="A2" s="1" t="inlineStr">
        <is>
          <t>35 facts read from sources, 9 calculated, 7 not available (yellow). Each row gives its source. Built by python -m lfm.scripts.build_dr07_demand_evidence.</t>
        </is>
      </c>
    </row>
    <row r="4">
      <c r="A4" s="150" t="inlineStr">
        <is>
          <t>Item</t>
        </is>
      </c>
      <c r="B4" s="150" t="inlineStr">
        <is>
          <t>Covers</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Power generation</t>
        </is>
      </c>
      <c r="B5" s="151" t="n"/>
      <c r="C5" s="151" t="n"/>
      <c r="D5" s="151" t="n"/>
      <c r="E5" s="151" t="n"/>
      <c r="F5" s="151" t="n"/>
      <c r="G5" s="151" t="n"/>
      <c r="H5" s="151" t="n"/>
      <c r="I5" s="151" t="n"/>
    </row>
    <row r="6">
      <c r="A6" s="152" t="inlineStr">
        <is>
          <t>Fuel burned at Eskom's turbines, as reported</t>
        </is>
      </c>
      <c r="B6" s="152" t="inlineStr">
        <is>
          <t>Eskom: Ankerlig, Gourikwa, Acacia, Port Rex</t>
        </is>
      </c>
      <c r="C6" s="152" t="inlineStr">
        <is>
          <t>458.7; 580.4; 937.5; 1,129.5; 679.1</t>
        </is>
      </c>
      <c r="D6" s="152" t="inlineStr">
        <is>
          <t>million litres</t>
        </is>
      </c>
      <c r="E6" s="152" t="inlineStr">
        <is>
          <t>years to March 2021; 2022; 2023; 2024; 2025</t>
        </is>
      </c>
      <c r="F6" s="152" t="inlineStr">
        <is>
          <t>observed</t>
        </is>
      </c>
      <c r="G6" s="152" t="inlineStr">
        <is>
          <t>Eskom Integrated Report 2025, technical statistics</t>
        </is>
      </c>
      <c r="H6" s="152" t="inlineStr">
        <is>
          <t>PDF p.141</t>
        </is>
      </c>
      <c r="I6" s="152" t="inlineStr">
        <is>
          <t>Eskom reports diesel and kerosene together. Acacia and Port Rex burn kerosene and are 342 MW of Eskom's 2,426 MW, so nearly all of it is diesel. Ten years (2016-2025) are on the DR07 power diesel sheet. 2026 is not yet reported.</t>
        </is>
      </c>
    </row>
    <row r="7">
      <c r="A7" s="152" t="inlineStr">
        <is>
          <t>Electricity generated at Eskom's turbines</t>
        </is>
      </c>
      <c r="B7" s="152" t="inlineStr">
        <is>
          <t>Eskom</t>
        </is>
      </c>
      <c r="C7" s="152" t="inlineStr">
        <is>
          <t>1,826; 3,018; 3,634; 2,176; 811</t>
        </is>
      </c>
      <c r="D7" s="152" t="inlineStr">
        <is>
          <t>GWh</t>
        </is>
      </c>
      <c r="E7" s="152" t="inlineStr">
        <is>
          <t>years to March 2022; 2023; 2024; 2025; 2026</t>
        </is>
      </c>
      <c r="F7" s="152" t="inlineStr">
        <is>
          <t>observed</t>
        </is>
      </c>
      <c r="G7" s="152" t="inlineStr">
        <is>
          <t>Eskom data portal and reports</t>
        </is>
      </c>
      <c r="H7" s="152" t="inlineStr"/>
      <c r="I7" s="152" t="inlineStr"/>
    </row>
    <row r="8">
      <c r="A8" s="156" t="inlineStr">
        <is>
          <t>Litres burned per kWh, implied</t>
        </is>
      </c>
      <c r="B8" s="156" t="inlineStr">
        <is>
          <t>Eskom</t>
        </is>
      </c>
      <c r="C8" s="156" t="inlineStr">
        <is>
          <t>0.311; 0.311; 0.312</t>
        </is>
      </c>
      <c r="D8" s="156" t="inlineStr">
        <is>
          <t>litres per kWh</t>
        </is>
      </c>
      <c r="E8" s="156" t="inlineStr">
        <is>
          <t>years to March 2023; 2024; 2025</t>
        </is>
      </c>
      <c r="F8" s="156" t="inlineStr">
        <is>
          <t>inferred</t>
        </is>
      </c>
      <c r="G8" s="156" t="inlineStr">
        <is>
          <t>Reported fuel divided by reported generation</t>
        </is>
      </c>
      <c r="H8" s="156" t="inlineStr"/>
      <c r="I8" s="156" t="inlineStr">
        <is>
          <t>Confirms the 0.31 litres per kWh used on the Power fleet sheet.</t>
        </is>
      </c>
    </row>
    <row r="9">
      <c r="A9" s="152" t="inlineStr">
        <is>
          <t>Electricity generated at independent diesel plants</t>
        </is>
      </c>
      <c r="B9" s="152" t="inlineStr">
        <is>
          <t>Avon and Dedisa</t>
        </is>
      </c>
      <c r="C9" s="152" t="inlineStr">
        <is>
          <t>1,098; 1,509; 662; 268</t>
        </is>
      </c>
      <c r="D9" s="152" t="inlineStr">
        <is>
          <t>GWh</t>
        </is>
      </c>
      <c r="E9" s="152" t="inlineStr">
        <is>
          <t>years to March 2023; 2024; 2025; 2026</t>
        </is>
      </c>
      <c r="F9" s="152" t="inlineStr">
        <is>
          <t>observed</t>
        </is>
      </c>
      <c r="G9" s="152" t="inlineStr">
        <is>
          <t>Eskom data portal and reports</t>
        </is>
      </c>
      <c r="H9" s="152" t="inlineStr"/>
      <c r="I9" s="152" t="inlineStr"/>
    </row>
    <row r="10">
      <c r="A10" s="156" t="inlineStr">
        <is>
          <t>Diesel burned at independent plants, estimated</t>
        </is>
      </c>
      <c r="B10" s="156" t="inlineStr">
        <is>
          <t>Avon and Dedisa</t>
        </is>
      </c>
      <c r="C10" s="156" t="inlineStr">
        <is>
          <t>340; 468; 205; 83</t>
        </is>
      </c>
      <c r="D10" s="156" t="inlineStr">
        <is>
          <t>million litres</t>
        </is>
      </c>
      <c r="E10" s="156" t="inlineStr">
        <is>
          <t>years to March 2023; 2024; 2025; 2026</t>
        </is>
      </c>
      <c r="F10" s="156" t="inlineStr">
        <is>
          <t>inferred</t>
        </is>
      </c>
      <c r="G10" s="156" t="inlineStr">
        <is>
          <t>Generation x 0.31 litres per kWh</t>
        </is>
      </c>
      <c r="H10" s="156" t="inlineStr"/>
      <c r="I10" s="156" t="inlineStr">
        <is>
          <t>The producers do not report litres. Uses Eskom's implied rate.</t>
        </is>
      </c>
    </row>
    <row r="11">
      <c r="A11" s="162" t="inlineStr">
        <is>
          <t>Diesel burned in private backup generators</t>
        </is>
      </c>
      <c r="B11" s="162" t="inlineStr">
        <is>
          <t>Businesses and households</t>
        </is>
      </c>
      <c r="C11" s="162" t="inlineStr">
        <is>
          <t>Not available</t>
        </is>
      </c>
      <c r="D11" s="162" t="inlineStr">
        <is>
          <t>million litres</t>
        </is>
      </c>
      <c r="E11" s="162" t="inlineStr"/>
      <c r="F11" s="162" t="inlineStr">
        <is>
          <t>not available</t>
        </is>
      </c>
      <c r="G11" s="162" t="inlineStr">
        <is>
          <t>None found</t>
        </is>
      </c>
      <c r="H11" s="162" t="inlineStr"/>
      <c r="I11" s="162" t="inlineStr">
        <is>
          <t>No source measures it: checked the Reserve Bank, the CSIR, Eskom and the system operator. It is inside recorded diesel sales and cannot be separated.</t>
        </is>
      </c>
    </row>
    <row r="12">
      <c r="A12" s="152" t="inlineStr">
        <is>
          <t>Electricity not supplied through load-shedding</t>
        </is>
      </c>
      <c r="B12" s="152" t="inlineStr">
        <is>
          <t>Electricity not supplied through load-shedding</t>
        </is>
      </c>
      <c r="C12" s="152" t="inlineStr">
        <is>
          <t>10.6; 2.5</t>
        </is>
      </c>
      <c r="D12" s="152" t="inlineStr">
        <is>
          <t>TWh</t>
        </is>
      </c>
      <c r="E12" s="152" t="inlineStr">
        <is>
          <t>2023; 2024</t>
        </is>
      </c>
      <c r="F12" s="152" t="inlineStr">
        <is>
          <t>observed</t>
        </is>
      </c>
      <c r="G12" s="152" t="inlineStr">
        <is>
          <t>CSIR, Utility-scale power generation statistics in South Africa 2024</t>
        </is>
      </c>
      <c r="H12" s="152" t="inlineStr">
        <is>
          <t>PDF p.4</t>
        </is>
      </c>
      <c r="I12" s="152" t="inlineStr">
        <is>
          <t>An upper limit: each stage is counted as its full megawatts for the full hour.</t>
        </is>
      </c>
    </row>
    <row r="13">
      <c r="A13" s="156" t="inlineStr">
        <is>
          <t>Ceiling on backup generator diesel</t>
        </is>
      </c>
      <c r="B13" s="156" t="inlineStr">
        <is>
          <t>Businesses and households</t>
        </is>
      </c>
      <c r="C13" s="156" t="inlineStr">
        <is>
          <t>3.3; 0.8</t>
        </is>
      </c>
      <c r="D13" s="156" t="inlineStr">
        <is>
          <t>billion litres</t>
        </is>
      </c>
      <c r="E13" s="156" t="inlineStr">
        <is>
          <t>2023; 2024</t>
        </is>
      </c>
      <c r="F13" s="156" t="inlineStr">
        <is>
          <t>inferred</t>
        </is>
      </c>
      <c r="G13" s="156" t="inlineStr">
        <is>
          <t>Load-shedding energy x 0.31 litres per kWh</t>
        </is>
      </c>
      <c r="H13" s="156" t="inlineStr"/>
      <c r="I13" s="156" t="inlineStr">
        <is>
          <t>The most diesel that replacing every unit shed could have burned. Not an estimate: much of the gap was met by solar, batteries or going without.</t>
        </is>
      </c>
    </row>
    <row r="14">
      <c r="A14" s="152" t="inlineStr">
        <is>
          <t>Diesel stations and capacity</t>
        </is>
      </c>
      <c r="B14" s="152" t="inlineStr">
        <is>
          <t>Ankerlig; Gourikwa; Avon; Dedisa</t>
        </is>
      </c>
      <c r="C14" s="152" t="inlineStr">
        <is>
          <t>1,338; 746; 670; 335</t>
        </is>
      </c>
      <c r="D14" s="152" t="inlineStr">
        <is>
          <t>MW</t>
        </is>
      </c>
      <c r="E14" s="152" t="inlineStr">
        <is>
          <t>current</t>
        </is>
      </c>
      <c r="F14" s="152" t="inlineStr">
        <is>
          <t>observed</t>
        </is>
      </c>
      <c r="G14" s="152" t="inlineStr">
        <is>
          <t>Eskom fact sheet GX 0001 (July 2024); African Energy (2015)</t>
        </is>
      </c>
      <c r="H14" s="152" t="inlineStr"/>
      <c r="I14" s="152" t="inlineStr">
        <is>
          <t>Avon began in July 2016 and Dedisa in October 2015.</t>
        </is>
      </c>
    </row>
    <row r="15">
      <c r="A15" s="152" t="inlineStr">
        <is>
          <t>Coal stations retiring</t>
        </is>
      </c>
      <c r="B15" s="152" t="inlineStr">
        <is>
          <t>Komati; Camden; Grootvlei; Hendrina; Arnot; Kriel; Duvha; Matla</t>
        </is>
      </c>
      <c r="C15" s="152" t="inlineStr">
        <is>
          <t>2022; 2029; 2029; 2029; 2029; 2029; 2033; 2033</t>
        </is>
      </c>
      <c r="D15" s="152" t="inlineStr">
        <is>
          <t>last full year</t>
        </is>
      </c>
      <c r="E15" s="152" t="inlineStr"/>
      <c r="F15" s="152" t="inlineStr">
        <is>
          <t>observed</t>
        </is>
      </c>
      <c r="G15" s="152" t="inlineStr">
        <is>
          <t>Eskom statements and press reports named in the file</t>
        </is>
      </c>
      <c r="H15" s="152" t="inlineStr"/>
      <c r="I15" s="152" t="inlineStr">
        <is>
          <t>Eskom's decision on five of them, due end September 2026, had not been announced by 8 October.</t>
        </is>
      </c>
    </row>
    <row r="16">
      <c r="A16" s="152" t="inlineStr">
        <is>
          <t>Independent diesel plants: contract end</t>
        </is>
      </c>
      <c r="B16" s="152" t="inlineStr">
        <is>
          <t>Dedisa and Avon (1.01 GW)</t>
        </is>
      </c>
      <c r="C16" s="152" t="inlineStr">
        <is>
          <t>Contracts expire</t>
        </is>
      </c>
      <c r="D16" s="152" t="inlineStr"/>
      <c r="E16" s="152" t="inlineStr">
        <is>
          <t>August and September 2030</t>
        </is>
      </c>
      <c r="F16" s="152" t="inlineStr">
        <is>
          <t>observed</t>
        </is>
      </c>
      <c r="G16" s="152" t="inlineStr">
        <is>
          <t>System operator, Medium-Term System Adequacy Outlook 2026-2030 (30 October 2025)</t>
        </is>
      </c>
      <c r="H16" s="152" t="inlineStr">
        <is>
          <t>PDF p.22</t>
        </is>
      </c>
      <c r="I16" s="152" t="inlineStr">
        <is>
          <t>The department's two diesel peaking plants.</t>
        </is>
      </c>
    </row>
    <row r="17">
      <c r="A17" s="152" t="inlineStr">
        <is>
          <t>Kerosene stations: shutdown</t>
        </is>
      </c>
      <c r="B17" s="152" t="inlineStr">
        <is>
          <t>Acacia and Port Rex (0.34 GW)</t>
        </is>
      </c>
      <c r="C17" s="152" t="inlineStr">
        <is>
          <t>Scheduled for shutdown</t>
        </is>
      </c>
      <c r="D17" s="152" t="inlineStr"/>
      <c r="E17" s="152" t="inlineStr">
        <is>
          <t>2030</t>
        </is>
      </c>
      <c r="F17" s="152" t="inlineStr">
        <is>
          <t>observed</t>
        </is>
      </c>
      <c r="G17" s="152" t="inlineStr">
        <is>
          <t>System operator, Medium-Term System Adequacy Outlook 2026-2030 (30 October 2025)</t>
        </is>
      </c>
      <c r="H17" s="152" t="inlineStr">
        <is>
          <t>PDF p.18</t>
        </is>
      </c>
      <c r="I17" s="152" t="inlineStr"/>
    </row>
    <row r="18">
      <c r="A18" s="152" t="inlineStr">
        <is>
          <t>New gas plant: commissioning</t>
        </is>
      </c>
      <c r="B18" s="152" t="inlineStr">
        <is>
          <t>Combined-cycle gas turbines: 3 GW Eskom, 3 GW independent (gas bid windows 1 and 2)</t>
        </is>
      </c>
      <c r="C18" s="152" t="inlineStr">
        <is>
          <t>6 GW</t>
        </is>
      </c>
      <c r="D18" s="152" t="inlineStr"/>
      <c r="E18" s="152" t="inlineStr">
        <is>
          <t>2030</t>
        </is>
      </c>
      <c r="F18" s="152" t="inlineStr">
        <is>
          <t>observed</t>
        </is>
      </c>
      <c r="G18" s="152" t="inlineStr">
        <is>
          <t>System operator, Medium-Term System Adequacy Outlook 2026-2030 (30 October 2025)</t>
        </is>
      </c>
      <c r="H18" s="152" t="inlineStr">
        <is>
          <t>PDF p.25</t>
        </is>
      </c>
      <c r="I18" s="152" t="inlineStr">
        <is>
          <t>Assumed, not in construction. The outlook studies a delay beyond 2030 as a risk.</t>
        </is>
      </c>
    </row>
    <row r="19">
      <c r="A19" s="152" t="inlineStr">
        <is>
          <t>Diesel turbine use expected by the system operator</t>
        </is>
      </c>
      <c r="B19" s="152" t="inlineStr">
        <is>
          <t>Diesel turbines (Ankerlig, Gourikwa, Dedisa, Avon)</t>
        </is>
      </c>
      <c r="C19" s="152" t="inlineStr">
        <is>
          <t>Minimal, below 6% in most cases; higher in 2029, and in 2030 if the gas plant is late</t>
        </is>
      </c>
      <c r="D19" s="152" t="inlineStr"/>
      <c r="E19" s="152" t="inlineStr">
        <is>
          <t>2026-2030</t>
        </is>
      </c>
      <c r="F19" s="152" t="inlineStr">
        <is>
          <t>observed</t>
        </is>
      </c>
      <c r="G19" s="152" t="inlineStr">
        <is>
          <t>System operator, Medium-Term System Adequacy Outlook 2026-2030 (30 October 2025)</t>
        </is>
      </c>
      <c r="H19" s="152" t="inlineStr">
        <is>
          <t>PDF p.35</t>
        </is>
      </c>
      <c r="I19" s="152" t="inlineStr">
        <is>
          <t>The system operator's own modelling.</t>
        </is>
      </c>
    </row>
    <row r="20">
      <c r="A20" s="152" t="inlineStr">
        <is>
          <t>Coal capacity shutting down</t>
        </is>
      </c>
      <c r="B20" s="152" t="inlineStr">
        <is>
          <t>Eskom coal fleet</t>
        </is>
      </c>
      <c r="C20" s="152" t="inlineStr">
        <is>
          <t>5.26; 3.14</t>
        </is>
      </c>
      <c r="D20" s="152" t="inlineStr">
        <is>
          <t>GW</t>
        </is>
      </c>
      <c r="E20" s="152" t="inlineStr">
        <is>
          <t>2029; 2030, by March</t>
        </is>
      </c>
      <c r="F20" s="152" t="inlineStr">
        <is>
          <t>observed</t>
        </is>
      </c>
      <c r="G20" s="152" t="inlineStr">
        <is>
          <t>System operator, Medium-Term System Adequacy Outlook 2026-2030 (30 October 2025)</t>
        </is>
      </c>
      <c r="H20" s="152" t="inlineStr">
        <is>
          <t>PDF p.18</t>
        </is>
      </c>
      <c r="I20" s="152" t="inlineStr">
        <is>
          <t>Camden, Hendrina, Arnot, Grootvlei and Kriel run to the end of 2028; phased shutdown from 2029. Eskom's coal fleet falls from 40.1 GW to 31.7 GW.</t>
        </is>
      </c>
    </row>
    <row r="21">
      <c r="A21" s="152" t="inlineStr">
        <is>
          <t>New gas plant, by project</t>
        </is>
      </c>
      <c r="B21" s="152" t="inlineStr">
        <is>
          <t>Eskom, Richards Bay combined-cycle plant (3,000 MW)</t>
        </is>
      </c>
      <c r="C21" s="152" t="inlineStr">
        <is>
          <t>Minister's determination: connect as soon as possible and not beyond 2028</t>
        </is>
      </c>
      <c r="D21" s="152" t="inlineStr"/>
      <c r="E21" s="152" t="inlineStr">
        <is>
          <t>not beyond 2028</t>
        </is>
      </c>
      <c r="F21" s="152" t="inlineStr">
        <is>
          <t>observed</t>
        </is>
      </c>
      <c r="G21" s="152" t="inlineStr">
        <is>
          <t>NERSA, reasons for decision on the 3,000 MW gas determination (November 2024)</t>
        </is>
      </c>
      <c r="H21" s="152" t="inlineStr">
        <is>
          <t>PDF pp.1, 11</t>
        </is>
      </c>
      <c r="I21" s="152" t="inlineStr">
        <is>
          <t>Eskom's feasibility study had all four units commissioned by the end of 2028 (p.49). The system operator now assumes 2030.</t>
        </is>
      </c>
    </row>
    <row r="22">
      <c r="A22" s="152" t="inlineStr">
        <is>
          <t>New gas plant, by project</t>
        </is>
      </c>
      <c r="B22" s="152" t="inlineStr">
        <is>
          <t>Independent producers, gas bid window 1 (2,000 MW)</t>
        </is>
      </c>
      <c r="C22" s="152" t="inlineStr">
        <is>
          <t>No bidder appointed; no commissioning date</t>
        </is>
      </c>
      <c r="D22" s="152" t="inlineStr"/>
      <c r="E22" s="152" t="inlineStr">
        <is>
          <t>request for proposals issued 14 December 2023</t>
        </is>
      </c>
      <c r="F22" s="152" t="inlineStr">
        <is>
          <t>observed</t>
        </is>
      </c>
      <c r="G22" s="152" t="inlineStr">
        <is>
          <t>Independent Power Producers Office, gas programme site</t>
        </is>
      </c>
      <c r="H22" s="152" t="inlineStr"/>
      <c r="I22" s="152" t="inlineStr">
        <is>
          <t>Sites anywhere in the country except Coega, which has a separate process.</t>
        </is>
      </c>
    </row>
    <row r="23">
      <c r="A23" s="162" t="inlineStr">
        <is>
          <t>New gas plant: firm commissioning date for any project</t>
        </is>
      </c>
      <c r="B23" s="162" t="inlineStr">
        <is>
          <t>Independent producers and Eskom</t>
        </is>
      </c>
      <c r="C23" s="162" t="inlineStr">
        <is>
          <t>Not available</t>
        </is>
      </c>
      <c r="D23" s="162" t="inlineStr"/>
      <c r="E23" s="162" t="inlineStr"/>
      <c r="F23" s="162" t="inlineStr">
        <is>
          <t>not available</t>
        </is>
      </c>
      <c r="G23" s="162" t="inlineStr">
        <is>
          <t>None exists</t>
        </is>
      </c>
      <c r="H23" s="162" t="inlineStr"/>
      <c r="I23" s="162" t="inlineStr">
        <is>
          <t>No gas project has a bidder appointed or is in construction, so no firm date exists to find.</t>
        </is>
      </c>
    </row>
    <row r="25">
      <c r="A25" s="151" t="inlineStr">
        <is>
          <t>Vehicle fleet</t>
        </is>
      </c>
      <c r="B25" s="151" t="n"/>
      <c r="C25" s="151" t="n"/>
      <c r="D25" s="151" t="n"/>
      <c r="E25" s="151" t="n"/>
      <c r="F25" s="151" t="n"/>
      <c r="G25" s="151" t="n"/>
      <c r="H25" s="151" t="n"/>
      <c r="I25" s="151" t="n"/>
    </row>
    <row r="26">
      <c r="A26" s="152" t="inlineStr">
        <is>
          <t>Registered vehicles by class</t>
        </is>
      </c>
      <c r="B26" s="152" t="inlineStr">
        <is>
          <t>South Africa</t>
        </is>
      </c>
      <c r="C26" s="152" t="inlineStr">
        <is>
          <t>cars 8,340,592; light commercial 2,816,547; trucks 409,049; buses 66,872; minibuses 356,997</t>
        </is>
      </c>
      <c r="D26" s="152" t="inlineStr">
        <is>
          <t>vehicles</t>
        </is>
      </c>
      <c r="E26" s="152" t="inlineStr">
        <is>
          <t>2026-06</t>
        </is>
      </c>
      <c r="F26" s="152" t="inlineStr">
        <is>
          <t>observed</t>
        </is>
      </c>
      <c r="G26" s="152" t="inlineStr">
        <is>
          <t>eNaTIS live vehicle population by class and province</t>
        </is>
      </c>
      <c r="H26" s="152" t="inlineStr"/>
      <c r="I26" s="152" t="inlineStr">
        <is>
          <t>By province on the DR07 fleet by province sheet. Monthly from February 2021.</t>
        </is>
      </c>
    </row>
    <row r="27">
      <c r="A27" s="156" t="inlineStr">
        <is>
          <t>Largest provinces, share of registered vehicles</t>
        </is>
      </c>
      <c r="B27" s="156" t="inlineStr">
        <is>
          <t>Gauteng; Western Cape; KwaZulu-Natal</t>
        </is>
      </c>
      <c r="C27" s="156" t="inlineStr">
        <is>
          <t>39.0; 16.3; 14.1</t>
        </is>
      </c>
      <c r="D27" s="156" t="inlineStr">
        <is>
          <t>%</t>
        </is>
      </c>
      <c r="E27" s="156" t="inlineStr">
        <is>
          <t>2026-06</t>
        </is>
      </c>
      <c r="F27" s="156" t="inlineStr">
        <is>
          <t>inferred</t>
        </is>
      </c>
      <c r="G27" s="156" t="inlineStr">
        <is>
          <t>Calculated from eNaTIS</t>
        </is>
      </c>
      <c r="H27" s="156" t="inlineStr"/>
      <c r="I27" s="156" t="inlineStr"/>
    </row>
    <row r="28">
      <c r="A28" s="152" t="inlineStr">
        <is>
          <t>Registered vehicles by fuel</t>
        </is>
      </c>
      <c r="B28" s="152" t="inlineStr">
        <is>
          <t>South Africa</t>
        </is>
      </c>
      <c r="C28" s="152" t="inlineStr">
        <is>
          <t>petrol 8,555,772; diesel 3,335,546</t>
        </is>
      </c>
      <c r="D28" s="152" t="inlineStr">
        <is>
          <t>vehicles</t>
        </is>
      </c>
      <c r="E28" s="152" t="inlineStr">
        <is>
          <t>December 2023</t>
        </is>
      </c>
      <c r="F28" s="152" t="inlineStr">
        <is>
          <t>observed</t>
        </is>
      </c>
      <c r="G28" s="152" t="inlineStr">
        <is>
          <t>Department of Transport, Transport Statistics Bulletin 2023</t>
        </is>
      </c>
      <c r="H28" s="152" t="inlineStr"/>
      <c r="I28" s="152" t="inlineStr">
        <is>
          <t>National only, and not split by class. No later edition found.</t>
        </is>
      </c>
    </row>
    <row r="29">
      <c r="A29" s="152" t="inlineStr">
        <is>
          <t>Diesel vehicles by province</t>
        </is>
      </c>
      <c r="B29" s="152" t="inlineStr">
        <is>
          <t>Gauteng; Western Cape; KwaZulu-Natal</t>
        </is>
      </c>
      <c r="C29" s="152" t="inlineStr">
        <is>
          <t>1,142,275; 507,006; 459,888</t>
        </is>
      </c>
      <c r="D29" s="152" t="inlineStr">
        <is>
          <t>vehicles</t>
        </is>
      </c>
      <c r="E29" s="152" t="inlineStr">
        <is>
          <t>December 2023</t>
        </is>
      </c>
      <c r="F29" s="152" t="inlineStr">
        <is>
          <t>observed</t>
        </is>
      </c>
      <c r="G29" s="152" t="inlineStr">
        <is>
          <t>Department of Transport, Transport Statistics Bulletin 2023, Table 2.8</t>
        </is>
      </c>
      <c r="H29" s="152" t="inlineStr">
        <is>
          <t>PDF p.40</t>
        </is>
      </c>
      <c r="I29" s="152" t="inlineStr">
        <is>
          <t>All nine provinces, petrol and diesel, are on the DR07 fleet by province sheet.</t>
        </is>
      </c>
    </row>
    <row r="30">
      <c r="A30" s="156" t="inlineStr">
        <is>
          <t>Diesel share of petrol and diesel vehicles, by province</t>
        </is>
      </c>
      <c r="B30" s="156" t="inlineStr">
        <is>
          <t>Highest; lowest</t>
        </is>
      </c>
      <c r="C30" s="156" t="inlineStr">
        <is>
          <t>Northern Cape 38.0; Gauteng 24.8</t>
        </is>
      </c>
      <c r="D30" s="156" t="inlineStr">
        <is>
          <t>%</t>
        </is>
      </c>
      <c r="E30" s="156" t="inlineStr">
        <is>
          <t>December 2023</t>
        </is>
      </c>
      <c r="F30" s="156" t="inlineStr">
        <is>
          <t>inferred</t>
        </is>
      </c>
      <c r="G30" s="156" t="inlineStr">
        <is>
          <t>Calculated from the bulletin</t>
        </is>
      </c>
      <c r="H30" s="156" t="inlineStr"/>
      <c r="I30" s="156" t="inlineStr"/>
    </row>
    <row r="31">
      <c r="A31" s="162" t="inlineStr">
        <is>
          <t>Vehicles by fuel within each class</t>
        </is>
      </c>
      <c r="B31" s="162" t="inlineStr">
        <is>
          <t>South Africa</t>
        </is>
      </c>
      <c r="C31" s="162" t="inlineStr">
        <is>
          <t>Not available</t>
        </is>
      </c>
      <c r="D31" s="162" t="inlineStr">
        <is>
          <t>vehicles</t>
        </is>
      </c>
      <c r="E31" s="162" t="inlineStr"/>
      <c r="F31" s="162" t="inlineStr">
        <is>
          <t>not available</t>
        </is>
      </c>
      <c r="G31" s="162" t="inlineStr">
        <is>
          <t>None found</t>
        </is>
      </c>
      <c r="H31" s="162" t="inlineStr"/>
      <c r="I31" s="162" t="inlineStr">
        <is>
          <t>The bulletin splits fuel by province and the register splits class by province; nothing published crosses fuel with class.</t>
        </is>
      </c>
    </row>
    <row r="32">
      <c r="A32" s="152" t="inlineStr">
        <is>
          <t>Average age of vehicles</t>
        </is>
      </c>
      <c r="B32" s="152" t="inlineStr">
        <is>
          <t>All vehicles and passenger vehicles</t>
        </is>
      </c>
      <c r="C32" s="152" t="inlineStr">
        <is>
          <t>10.5</t>
        </is>
      </c>
      <c r="D32" s="152" t="inlineStr">
        <is>
          <t>years</t>
        </is>
      </c>
      <c r="E32" s="152" t="inlineStr">
        <is>
          <t>2022</t>
        </is>
      </c>
      <c r="F32" s="152" t="inlineStr">
        <is>
          <t>observed</t>
        </is>
      </c>
      <c r="G32" s="152" t="inlineStr">
        <is>
          <t>Lightstone Auto Insights, April 2022</t>
        </is>
      </c>
      <c r="H32" s="152" t="inlineStr"/>
      <c r="I32" s="152" t="inlineStr">
        <is>
          <t>Ten years and six months, up from nine years and four months for passenger vehicles in 2014 and 2015.</t>
        </is>
      </c>
    </row>
    <row r="33">
      <c r="A33" s="162" t="inlineStr">
        <is>
          <t>Vehicles by year of age</t>
        </is>
      </c>
      <c r="B33" s="162" t="inlineStr">
        <is>
          <t>South Africa</t>
        </is>
      </c>
      <c r="C33" s="162" t="inlineStr">
        <is>
          <t>Not available</t>
        </is>
      </c>
      <c r="D33" s="162" t="inlineStr">
        <is>
          <t>vehicles</t>
        </is>
      </c>
      <c r="E33" s="162" t="inlineStr"/>
      <c r="F33" s="162" t="inlineStr">
        <is>
          <t>not available</t>
        </is>
      </c>
      <c r="G33" s="162" t="inlineStr">
        <is>
          <t>None published</t>
        </is>
      </c>
      <c r="H33" s="162" t="inlineStr"/>
      <c r="I33" s="162" t="inlineStr">
        <is>
          <t>Lightstone holds the age profile and sells it; the register does not publish it. Only apparent retirements can be calculated.</t>
        </is>
      </c>
    </row>
    <row r="35">
      <c r="A35" s="151" t="inlineStr">
        <is>
          <t>New vehicles and electric share</t>
        </is>
      </c>
      <c r="B35" s="151" t="n"/>
      <c r="C35" s="151" t="n"/>
      <c r="D35" s="151" t="n"/>
      <c r="E35" s="151" t="n"/>
      <c r="F35" s="151" t="n"/>
      <c r="G35" s="151" t="n"/>
      <c r="H35" s="151" t="n"/>
      <c r="I35" s="151" t="n"/>
    </row>
    <row r="36">
      <c r="A36" s="152" t="inlineStr">
        <is>
          <t>New vehicles sold, by segment</t>
        </is>
      </c>
      <c r="B36" s="152" t="inlineStr">
        <is>
          <t>South Africa</t>
        </is>
      </c>
      <c r="C36" s="152" t="inlineStr">
        <is>
          <t>cars 422,463; light commercial 143,964; medium and heavy commercial 30,911</t>
        </is>
      </c>
      <c r="D36" s="152" t="inlineStr">
        <is>
          <t>vehicles</t>
        </is>
      </c>
      <c r="E36" s="152" t="inlineStr">
        <is>
          <t>2025</t>
        </is>
      </c>
      <c r="F36" s="152" t="inlineStr">
        <is>
          <t>observed</t>
        </is>
      </c>
      <c r="G36" s="152" t="inlineStr">
        <is>
          <t>naamsa, industry vehicle sales</t>
        </is>
      </c>
      <c r="H36" s="152" t="inlineStr"/>
      <c r="I36" s="152" t="inlineStr"/>
    </row>
    <row r="37">
      <c r="A37" s="152" t="inlineStr">
        <is>
          <t>Electric and hybrid vehicles sold</t>
        </is>
      </c>
      <c r="B37" s="152" t="inlineStr">
        <is>
          <t>South Africa</t>
        </is>
      </c>
      <c r="C37" s="152" t="inlineStr">
        <is>
          <t>battery electric 1,088; plug-in hybrid 2,810; conventional hybrid 12,818</t>
        </is>
      </c>
      <c r="D37" s="152" t="inlineStr">
        <is>
          <t>vehicles</t>
        </is>
      </c>
      <c r="E37" s="152" t="inlineStr">
        <is>
          <t>2025</t>
        </is>
      </c>
      <c r="F37" s="152" t="inlineStr">
        <is>
          <t>observed</t>
        </is>
      </c>
      <c r="G37" s="152" t="inlineStr">
        <is>
          <t>naamsa, new energy vehicle sales</t>
        </is>
      </c>
      <c r="H37" s="152" t="inlineStr"/>
      <c r="I37" s="152" t="inlineStr"/>
    </row>
    <row r="38">
      <c r="A38" s="156" t="inlineStr">
        <is>
          <t>Share of new vehicles sold</t>
        </is>
      </c>
      <c r="B38" s="156" t="inlineStr">
        <is>
          <t>South Africa</t>
        </is>
      </c>
      <c r="C38" s="156" t="inlineStr">
        <is>
          <t>battery electric 0.18; plug-in hybrid 0.47; conventional hybrid 2.15</t>
        </is>
      </c>
      <c r="D38" s="156" t="inlineStr">
        <is>
          <t>%</t>
        </is>
      </c>
      <c r="E38" s="156" t="inlineStr">
        <is>
          <t>2025</t>
        </is>
      </c>
      <c r="F38" s="156" t="inlineStr">
        <is>
          <t>inferred</t>
        </is>
      </c>
      <c r="G38" s="156" t="inlineStr">
        <is>
          <t>Calculated from the two naamsa series</t>
        </is>
      </c>
      <c r="H38" s="156" t="inlineStr"/>
      <c r="I38" s="156" t="inlineStr">
        <is>
          <t>Battery electric sales fell from 2024 to 2025.</t>
        </is>
      </c>
    </row>
    <row r="39">
      <c r="A39" s="152" t="inlineStr">
        <is>
          <t>Diesel share of new light vehicles sold</t>
        </is>
      </c>
      <c r="B39" s="152" t="inlineStr">
        <is>
          <t>New light-duty vehicles</t>
        </is>
      </c>
      <c r="C39" s="152" t="inlineStr">
        <is>
          <t>35</t>
        </is>
      </c>
      <c r="D39" s="152" t="inlineStr">
        <is>
          <t>%</t>
        </is>
      </c>
      <c r="E39" s="152" t="inlineStr">
        <is>
          <t>2019</t>
        </is>
      </c>
      <c r="F39" s="152" t="inlineStr">
        <is>
          <t>observed</t>
        </is>
      </c>
      <c r="G39" s="152" t="inlineStr">
        <is>
          <t>IEA, Fuel economy in South Africa (Global Fuel Economy Initiative 2021)</t>
        </is>
      </c>
      <c r="H39" s="152" t="inlineStr"/>
      <c r="I39" s="152" t="inlineStr">
        <is>
          <t>No later figure found.</t>
        </is>
      </c>
    </row>
    <row r="40">
      <c r="A40" s="162" t="inlineStr">
        <is>
          <t>Electric trucks and electric light commercial vehicles sold</t>
        </is>
      </c>
      <c r="B40" s="162" t="inlineStr">
        <is>
          <t>South Africa</t>
        </is>
      </c>
      <c r="C40" s="162" t="inlineStr">
        <is>
          <t>Not available</t>
        </is>
      </c>
      <c r="D40" s="162" t="inlineStr">
        <is>
          <t>vehicles</t>
        </is>
      </c>
      <c r="E40" s="162" t="inlineStr"/>
      <c r="F40" s="162" t="inlineStr">
        <is>
          <t>not available</t>
        </is>
      </c>
      <c r="G40" s="162" t="inlineStr">
        <is>
          <t>None published</t>
        </is>
      </c>
      <c r="H40" s="162" t="inlineStr"/>
      <c r="I40" s="162" t="inlineStr">
        <is>
          <t>naamsa reports electric sales by drivetrain, not by segment (checked its fourth-quarter 2025 review). Benchmarks from other countries are on the HML response sheet.</t>
        </is>
      </c>
    </row>
    <row r="42">
      <c r="A42" s="151" t="inlineStr">
        <is>
          <t>Vehicle efficiency and distance</t>
        </is>
      </c>
      <c r="B42" s="151" t="n"/>
      <c r="C42" s="151" t="n"/>
      <c r="D42" s="151" t="n"/>
      <c r="E42" s="151" t="n"/>
      <c r="F42" s="151" t="n"/>
      <c r="G42" s="151" t="n"/>
      <c r="H42" s="151" t="n"/>
      <c r="I42" s="151" t="n"/>
    </row>
    <row r="43">
      <c r="A43" s="152" t="inlineStr">
        <is>
          <t>Fuel use and distance, petrol cars</t>
        </is>
      </c>
      <c r="B43" s="152" t="inlineStr">
        <is>
          <t>Petrol cars</t>
        </is>
      </c>
      <c r="C43" s="152" t="inlineStr">
        <is>
          <t>8.2 fleet average; 7.8 new; 14,457 km a year</t>
        </is>
      </c>
      <c r="D43" s="152" t="inlineStr">
        <is>
          <t>litres per 100 km; km</t>
        </is>
      </c>
      <c r="E43" s="152" t="inlineStr">
        <is>
          <t>2010 fleet</t>
        </is>
      </c>
      <c r="F43" s="152" t="inlineStr">
        <is>
          <t>observed</t>
        </is>
      </c>
      <c r="G43" s="152" t="inlineStr">
        <is>
          <t>Stone et al. (2018), vehicle parc model</t>
        </is>
      </c>
      <c r="H43" s="152" t="inlineStr"/>
      <c r="I43" s="152" t="inlineStr">
        <is>
          <t>One year only. All 24 vehicle types are in the file and on the Vehicle history sheet.</t>
        </is>
      </c>
    </row>
    <row r="44">
      <c r="A44" s="152" t="inlineStr">
        <is>
          <t>Fuel use and distance, diesel cars</t>
        </is>
      </c>
      <c r="B44" s="152" t="inlineStr">
        <is>
          <t>Diesel cars</t>
        </is>
      </c>
      <c r="C44" s="152" t="inlineStr">
        <is>
          <t>8.1 fleet average; 7.4 new; 16,748 km a year</t>
        </is>
      </c>
      <c r="D44" s="152" t="inlineStr">
        <is>
          <t>litres per 100 km; km</t>
        </is>
      </c>
      <c r="E44" s="152" t="inlineStr">
        <is>
          <t>2010 fleet</t>
        </is>
      </c>
      <c r="F44" s="152" t="inlineStr">
        <is>
          <t>observed</t>
        </is>
      </c>
      <c r="G44" s="152" t="inlineStr">
        <is>
          <t>Stone et al. (2018), vehicle parc model</t>
        </is>
      </c>
      <c r="H44" s="152" t="inlineStr"/>
      <c r="I44" s="152" t="inlineStr">
        <is>
          <t>One year only. All 24 vehicle types are in the file and on the Vehicle history sheet.</t>
        </is>
      </c>
    </row>
    <row r="45">
      <c r="A45" s="152" t="inlineStr">
        <is>
          <t>Fuel use of new light vehicles, by year</t>
        </is>
      </c>
      <c r="B45" s="152" t="inlineStr">
        <is>
          <t>New cars and light commercial vehicles</t>
        </is>
      </c>
      <c r="C45" s="152" t="inlineStr">
        <is>
          <t>8.8; 8.6; 7.8; 7.4</t>
        </is>
      </c>
      <c r="D45" s="152" t="inlineStr">
        <is>
          <t>litres of petrol equivalent per 100 km</t>
        </is>
      </c>
      <c r="E45" s="152" t="inlineStr">
        <is>
          <t>2005; 2010; 2015; 2019</t>
        </is>
      </c>
      <c r="F45" s="152" t="inlineStr">
        <is>
          <t>observed</t>
        </is>
      </c>
      <c r="G45" s="152" t="inlineStr">
        <is>
          <t>IEA and Global Fuel Economy Initiative (Working Paper 15, 2017; country page, 2021)</t>
        </is>
      </c>
      <c r="H45" s="152" t="inlineStr">
        <is>
          <t>PDF p.119</t>
        </is>
      </c>
      <c r="I45" s="152" t="inlineStr">
        <is>
          <t>Nine years between 2005 and 2019 are on the DR07 efficiency and rail sheet. Nothing after 2019 was found.</t>
        </is>
      </c>
    </row>
    <row r="46">
      <c r="A46" s="152" t="inlineStr">
        <is>
          <t>Fuel use of new light vehicles: average change</t>
        </is>
      </c>
      <c r="B46" s="152" t="inlineStr">
        <is>
          <t>New light-duty vehicles</t>
        </is>
      </c>
      <c r="C46" s="152" t="inlineStr">
        <is>
          <t>-1.3</t>
        </is>
      </c>
      <c r="D46" s="152" t="inlineStr">
        <is>
          <t>% a year</t>
        </is>
      </c>
      <c r="E46" s="152" t="inlineStr">
        <is>
          <t>2005-2019</t>
        </is>
      </c>
      <c r="F46" s="152" t="inlineStr">
        <is>
          <t>observed</t>
        </is>
      </c>
      <c r="G46" s="152" t="inlineStr">
        <is>
          <t>IEA, Fuel economy in South Africa (Global Fuel Economy Initiative 2021)</t>
        </is>
      </c>
      <c r="H46" s="152" t="inlineStr"/>
      <c r="I46" s="152" t="inlineStr">
        <is>
          <t>The model assumes 0.5 to 1.5% a year, so the observed rate sits inside the model's range.</t>
        </is>
      </c>
    </row>
    <row r="47">
      <c r="A47" s="152" t="inlineStr">
        <is>
          <t>Fuel use of new passenger cars</t>
        </is>
      </c>
      <c r="B47" s="152" t="inlineStr">
        <is>
          <t>New passenger cars</t>
        </is>
      </c>
      <c r="C47" s="152" t="inlineStr">
        <is>
          <t>6.3</t>
        </is>
      </c>
      <c r="D47" s="152" t="inlineStr">
        <is>
          <t>litres per 100 km</t>
        </is>
      </c>
      <c r="E47" s="152" t="inlineStr">
        <is>
          <t>2015</t>
        </is>
      </c>
      <c r="F47" s="152" t="inlineStr">
        <is>
          <t>observed</t>
        </is>
      </c>
      <c r="G47" s="152" t="inlineStr">
        <is>
          <t>ICCT white paper, South Africa's new passenger vehicle CO2 emission standards (January 2018)</t>
        </is>
      </c>
      <c r="H47" s="152" t="inlineStr">
        <is>
          <t>PDF p.5</t>
        </is>
      </c>
      <c r="I47" s="152" t="inlineStr">
        <is>
          <t>148 g CO2 per km on the older European test cycle, which reads lower than the worldwide cycle. From naamsa data.</t>
        </is>
      </c>
    </row>
    <row r="48">
      <c r="A48" s="152" t="inlineStr">
        <is>
          <t>Fuel use of trucks, lightest to heaviest class</t>
        </is>
      </c>
      <c r="B48" s="152" t="inlineStr">
        <is>
          <t>Diesel trucks (classes 1, 3, 6 and 9 of nine)</t>
        </is>
      </c>
      <c r="C48" s="152" t="inlineStr">
        <is>
          <t>17.3; 24.6; 44.9; 51.6</t>
        </is>
      </c>
      <c r="D48" s="152" t="inlineStr">
        <is>
          <t>litres per 100 km, fleet average</t>
        </is>
      </c>
      <c r="E48" s="152" t="inlineStr">
        <is>
          <t>2010 fleet</t>
        </is>
      </c>
      <c r="F48" s="152" t="inlineStr">
        <is>
          <t>observed</t>
        </is>
      </c>
      <c r="G48" s="152" t="inlineStr">
        <is>
          <t>Stone et al. (2018), vehicle parc model</t>
        </is>
      </c>
      <c r="H48" s="152" t="inlineStr"/>
      <c r="I48" s="152" t="inlineStr">
        <is>
          <t>One year only. Light commercial diesel vehicles use 12.4 and buses 32.6.</t>
        </is>
      </c>
    </row>
    <row r="49">
      <c r="A49" s="162" t="inlineStr">
        <is>
          <t>Fuel use of new vehicles after 2019; of trucks by year</t>
        </is>
      </c>
      <c r="B49" s="162" t="inlineStr">
        <is>
          <t>South Africa</t>
        </is>
      </c>
      <c r="C49" s="162" t="inlineStr">
        <is>
          <t>Not available</t>
        </is>
      </c>
      <c r="D49" s="162" t="inlineStr">
        <is>
          <t>litres per 100 km</t>
        </is>
      </c>
      <c r="E49" s="162" t="inlineStr"/>
      <c r="F49" s="162" t="inlineStr">
        <is>
          <t>not available</t>
        </is>
      </c>
      <c r="G49" s="162" t="inlineStr">
        <is>
          <t>None found</t>
        </is>
      </c>
      <c r="H49" s="162" t="inlineStr"/>
      <c r="I49" s="162" t="inlineStr">
        <is>
          <t>The IEA series stops at 2019 (its 2021 edition is the latest with South Africa). No truck series by year exists.</t>
        </is>
      </c>
    </row>
    <row r="50">
      <c r="A50" s="152" t="inlineStr">
        <is>
          <t>Efficiency gain assumed in the model</t>
        </is>
      </c>
      <c r="B50" s="152" t="inlineStr">
        <is>
          <t>New diesel and petrol vehicles</t>
        </is>
      </c>
      <c r="C50" s="152" t="inlineStr">
        <is>
          <t>diesel 0.5 (high demand); diesel 1.0 (low demand); petrol 1.0 (high demand); petrol 1.5 (low demand)</t>
        </is>
      </c>
      <c r="D50" s="152" t="inlineStr">
        <is>
          <t>% a year</t>
        </is>
      </c>
      <c r="E50" s="152" t="inlineStr">
        <is>
          <t>2030</t>
        </is>
      </c>
      <c r="F50" s="152" t="inlineStr">
        <is>
          <t>observed</t>
        </is>
      </c>
      <c r="G50" s="152" t="inlineStr">
        <is>
          <t>Reatile workbook (model input)</t>
        </is>
      </c>
      <c r="H50" s="152" t="inlineStr"/>
      <c r="I50" s="152" t="inlineStr">
        <is>
          <t>A model setting with no source behind it. Nothing was found to confirm or replace it.</t>
        </is>
      </c>
    </row>
    <row r="52">
      <c r="A52" s="151" t="inlineStr">
        <is>
          <t>Freight and rail</t>
        </is>
      </c>
      <c r="B52" s="151" t="n"/>
      <c r="C52" s="151" t="n"/>
      <c r="D52" s="151" t="n"/>
      <c r="E52" s="151" t="n"/>
      <c r="F52" s="151" t="n"/>
      <c r="G52" s="151" t="n"/>
      <c r="H52" s="151" t="n"/>
      <c r="I52" s="151" t="n"/>
    </row>
    <row r="53">
      <c r="A53" s="152" t="inlineStr">
        <is>
          <t>Freight carried by road</t>
        </is>
      </c>
      <c r="B53" s="152" t="inlineStr">
        <is>
          <t>South Africa</t>
        </is>
      </c>
      <c r="C53" s="152" t="inlineStr">
        <is>
          <t>980; 976</t>
        </is>
      </c>
      <c r="D53" s="152" t="inlineStr">
        <is>
          <t>million tonnes</t>
        </is>
      </c>
      <c r="E53" s="152" t="inlineStr">
        <is>
          <t>2024; 2025</t>
        </is>
      </c>
      <c r="F53" s="152" t="inlineStr">
        <is>
          <t>observed</t>
        </is>
      </c>
      <c r="G53" s="152" t="inlineStr">
        <is>
          <t>Statistics South Africa, Land transport survey (P7162), December 2025</t>
        </is>
      </c>
      <c r="H53" s="152" t="inlineStr">
        <is>
          <t>PDF p.7</t>
        </is>
      </c>
      <c r="I53" s="152" t="inlineStr">
        <is>
          <t>Tonnes, not tonne-kilometres.</t>
        </is>
      </c>
    </row>
    <row r="54">
      <c r="A54" s="152" t="inlineStr">
        <is>
          <t>Freight carried by rail</t>
        </is>
      </c>
      <c r="B54" s="152" t="inlineStr">
        <is>
          <t>South Africa</t>
        </is>
      </c>
      <c r="C54" s="152" t="inlineStr">
        <is>
          <t>161; 168</t>
        </is>
      </c>
      <c r="D54" s="152" t="inlineStr">
        <is>
          <t>million tonnes</t>
        </is>
      </c>
      <c r="E54" s="152" t="inlineStr">
        <is>
          <t>2024; 2025</t>
        </is>
      </c>
      <c r="F54" s="152" t="inlineStr">
        <is>
          <t>observed</t>
        </is>
      </c>
      <c r="G54" s="152" t="inlineStr">
        <is>
          <t>Statistics South Africa, Land transport survey (P7162), December 2025</t>
        </is>
      </c>
      <c r="H54" s="152" t="inlineStr">
        <is>
          <t>PDF p.7</t>
        </is>
      </c>
      <c r="I54" s="152" t="inlineStr">
        <is>
          <t>Tonnes, not tonne-kilometres.</t>
        </is>
      </c>
    </row>
    <row r="55">
      <c r="A55" s="156" t="inlineStr">
        <is>
          <t>Rail's share of road and rail tonnes</t>
        </is>
      </c>
      <c r="B55" s="156" t="inlineStr">
        <is>
          <t>South Africa</t>
        </is>
      </c>
      <c r="C55" s="156" t="inlineStr">
        <is>
          <t>14.1; 14.7</t>
        </is>
      </c>
      <c r="D55" s="156" t="inlineStr">
        <is>
          <t>%</t>
        </is>
      </c>
      <c r="E55" s="156" t="inlineStr">
        <is>
          <t>2024; 2025</t>
        </is>
      </c>
      <c r="F55" s="156" t="inlineStr">
        <is>
          <t>inferred</t>
        </is>
      </c>
      <c r="G55" s="156" t="inlineStr">
        <is>
          <t>Calculated from the survey</t>
        </is>
      </c>
      <c r="H55" s="156" t="inlineStr"/>
      <c r="I55" s="156" t="inlineStr"/>
    </row>
    <row r="56">
      <c r="A56" s="152" t="inlineStr">
        <is>
          <t>Freight carried by Transnet Freight Rail</t>
        </is>
      </c>
      <c r="B56" s="152" t="inlineStr">
        <is>
          <t>Transnet Freight Rail, all freight</t>
        </is>
      </c>
      <c r="C56" s="152" t="inlineStr">
        <is>
          <t>226.3; 215.1; 212.4; 183.3; 173.1; 149.5; 151.7; 160.1</t>
        </is>
      </c>
      <c r="D56" s="152" t="inlineStr">
        <is>
          <t>million tonnes</t>
        </is>
      </c>
      <c r="E56" s="152" t="inlineStr">
        <is>
          <t>years to March 2018; 2019; 2020; 2021; 2022; 2023; 2024; 2025</t>
        </is>
      </c>
      <c r="F56" s="152" t="inlineStr">
        <is>
          <t>observed</t>
        </is>
      </c>
      <c r="G56" s="152" t="inlineStr">
        <is>
          <t>Transnet annual results 2025, presentation</t>
        </is>
      </c>
      <c r="H56" s="152" t="inlineStr">
        <is>
          <t>PDF p.14</t>
        </is>
      </c>
      <c r="I56" s="152" t="inlineStr">
        <is>
          <t>Fell by a third from 2018 to 2023 and has risen since. Export iron ore, export coal and general freight together.</t>
        </is>
      </c>
    </row>
    <row r="57">
      <c r="A57" s="152" t="inlineStr">
        <is>
          <t>Transnet's rail target</t>
        </is>
      </c>
      <c r="B57" s="152" t="inlineStr">
        <is>
          <t>Transnet</t>
        </is>
      </c>
      <c r="C57" s="152" t="inlineStr">
        <is>
          <t>250</t>
        </is>
      </c>
      <c r="D57" s="152" t="inlineStr">
        <is>
          <t>million tonnes</t>
        </is>
      </c>
      <c r="E57" s="152" t="inlineStr">
        <is>
          <t>target</t>
        </is>
      </c>
      <c r="F57" s="152" t="inlineStr">
        <is>
          <t>observed</t>
        </is>
      </c>
      <c r="G57" s="152" t="inlineStr">
        <is>
          <t>Transnet annual results 2025, presentation</t>
        </is>
      </c>
      <c r="H57" s="152" t="inlineStr">
        <is>
          <t>PDF p.36</t>
        </is>
      </c>
      <c r="I57" s="152" t="inlineStr">
        <is>
          <t>Transnet 'aims to grow its capacity to handle 250 million tons'. The slide gives no year; Nigel cited 2030.</t>
        </is>
      </c>
    </row>
    <row r="58">
      <c r="A58" s="156" t="inlineStr">
        <is>
          <t>Extra rail freight if the target is met</t>
        </is>
      </c>
      <c r="B58" s="156" t="inlineStr">
        <is>
          <t>Transnet Freight Rail</t>
        </is>
      </c>
      <c r="C58" s="156" t="inlineStr">
        <is>
          <t>90</t>
        </is>
      </c>
      <c r="D58" s="156" t="inlineStr">
        <is>
          <t>million tonnes</t>
        </is>
      </c>
      <c r="E58" s="156" t="inlineStr">
        <is>
          <t>target less the year to March 2025</t>
        </is>
      </c>
      <c r="F58" s="156" t="inlineStr">
        <is>
          <t>inferred</t>
        </is>
      </c>
      <c r="G58" s="156" t="inlineStr">
        <is>
          <t>Calculated from the two rows above</t>
        </is>
      </c>
      <c r="H58" s="156" t="inlineStr"/>
      <c r="I58" s="156" t="inlineStr">
        <is>
          <t>About 9% of road freight tonnes. Not all of it would come from road.</t>
        </is>
      </c>
    </row>
    <row r="59">
      <c r="A59" s="152" t="inlineStr">
        <is>
          <t>Freight in tonne-kilometres</t>
        </is>
      </c>
      <c r="B59" s="152" t="inlineStr">
        <is>
          <t>All freight; rail-friendly freight; carried by rail</t>
        </is>
      </c>
      <c r="C59" s="152" t="inlineStr">
        <is>
          <t>446; 181; 141</t>
        </is>
      </c>
      <c r="D59" s="152" t="inlineStr">
        <is>
          <t>billion tonne-km</t>
        </is>
      </c>
      <c r="E59" s="152" t="inlineStr">
        <is>
          <t>2019</t>
        </is>
      </c>
      <c r="F59" s="152" t="inlineStr">
        <is>
          <t>observed</t>
        </is>
      </c>
      <c r="G59" s="152" t="inlineStr">
        <is>
          <t>Havenga et al., A proposed freight and passenger road-to-rail strategy for South Africa (SA-TIED)</t>
        </is>
      </c>
      <c r="H59" s="152" t="inlineStr">
        <is>
          <t>PDF pp.17, 25</t>
        </is>
      </c>
      <c r="I59" s="152" t="inlineStr">
        <is>
          <t>Line haul 305, last mile 132, pipelines and conveyors 9.</t>
        </is>
      </c>
    </row>
    <row r="60">
      <c r="A60" s="152" t="inlineStr">
        <is>
          <t>General freight that rail should carry but does not</t>
        </is>
      </c>
      <c r="B60" s="152" t="inlineStr">
        <is>
          <t>Rail-friendly general freight on road</t>
        </is>
      </c>
      <c r="C60" s="152" t="inlineStr">
        <is>
          <t>30</t>
        </is>
      </c>
      <c r="D60" s="152" t="inlineStr">
        <is>
          <t>billion tonne-km</t>
        </is>
      </c>
      <c r="E60" s="152" t="inlineStr">
        <is>
          <t>2019</t>
        </is>
      </c>
      <c r="F60" s="152" t="inlineStr">
        <is>
          <t>observed</t>
        </is>
      </c>
      <c r="G60" s="152" t="inlineStr">
        <is>
          <t>Havenga et al., A proposed freight and passenger road-to-rail strategy for South Africa (SA-TIED)</t>
        </is>
      </c>
      <c r="H60" s="152" t="inlineStr">
        <is>
          <t>PDF p.26</t>
        </is>
      </c>
      <c r="I60" s="152" t="inlineStr">
        <is>
          <t>As the source states it: rail should have carried 47 and carried 18. This is the freight that a road-to-rail shift would move.</t>
        </is>
      </c>
    </row>
    <row r="61">
      <c r="A61" s="162" t="inlineStr">
        <is>
          <t>Road freight in tonne-kilometres, by year</t>
        </is>
      </c>
      <c r="B61" s="162" t="inlineStr">
        <is>
          <t>South Africa</t>
        </is>
      </c>
      <c r="C61" s="162" t="inlineStr">
        <is>
          <t>Not available</t>
        </is>
      </c>
      <c r="D61" s="162" t="inlineStr">
        <is>
          <t>billion tonne-km</t>
        </is>
      </c>
      <c r="E61" s="162" t="inlineStr"/>
      <c r="F61" s="162" t="inlineStr">
        <is>
          <t>not available</t>
        </is>
      </c>
      <c r="G61" s="162" t="inlineStr">
        <is>
          <t>None published as numbers</t>
        </is>
      </c>
      <c r="H61" s="162" t="inlineStr"/>
      <c r="I61" s="162" t="inlineStr">
        <is>
          <t>The research group that models it (GAIN, Stellenbosch) shows yearly charts but publishes figures for single years only.</t>
        </is>
      </c>
    </row>
    <row r="62">
      <c r="A62" s="152" t="inlineStr">
        <is>
          <t>Fuel used by Transnet, all divisions</t>
        </is>
      </c>
      <c r="B62" s="152" t="inlineStr">
        <is>
          <t>Transnet, all divisions</t>
        </is>
      </c>
      <c r="C62" s="152" t="inlineStr">
        <is>
          <t>190; 199</t>
        </is>
      </c>
      <c r="D62" s="152" t="inlineStr">
        <is>
          <t>million litres</t>
        </is>
      </c>
      <c r="E62" s="152" t="inlineStr">
        <is>
          <t>years to March 2024; 2025</t>
        </is>
      </c>
      <c r="F62" s="152" t="inlineStr">
        <is>
          <t>observed</t>
        </is>
      </c>
      <c r="G62" s="152" t="inlineStr">
        <is>
          <t>Transnet Integrated Report 2025</t>
        </is>
      </c>
      <c r="H62" s="152" t="inlineStr">
        <is>
          <t>PDF p.73</t>
        </is>
      </c>
      <c r="I62" s="152" t="inlineStr">
        <is>
          <t>Up 4.37%, mainly an 8.49% rise in fuel for traction.</t>
        </is>
      </c>
    </row>
    <row r="63">
      <c r="A63" s="156" t="inlineStr">
        <is>
          <t>Diesel used by rail locomotives</t>
        </is>
      </c>
      <c r="B63" s="156" t="inlineStr">
        <is>
          <t>Transnet Freight Rail</t>
        </is>
      </c>
      <c r="C63" s="156" t="inlineStr">
        <is>
          <t>138</t>
        </is>
      </c>
      <c r="D63" s="156" t="inlineStr">
        <is>
          <t>million litres</t>
        </is>
      </c>
      <c r="E63" s="156" t="inlineStr">
        <is>
          <t>year to March 2025</t>
        </is>
      </c>
      <c r="F63" s="156" t="inlineStr">
        <is>
          <t>inferred</t>
        </is>
      </c>
      <c r="G63" s="156" t="inlineStr">
        <is>
          <t>199 million litres x 69.2% used for diesel traction (both from the Transnet report)</t>
        </is>
      </c>
      <c r="H63" s="156" t="inlineStr">
        <is>
          <t>PDF p.73</t>
        </is>
      </c>
      <c r="I63" s="156" t="inlineStr">
        <is>
          <t>About 1% of diesel sales. So freight moving to rail saves nearly all the road diesel it displaces. The rest is generators 13.8%, vehicle fleets 10.2%, marine diesel 6.7%, jet fuel 0.1%.</t>
        </is>
      </c>
    </row>
    <row r="65">
      <c r="A65" s="151" t="inlineStr">
        <is>
          <t>Sector activity</t>
        </is>
      </c>
      <c r="B65" s="151" t="n"/>
      <c r="C65" s="151" t="n"/>
      <c r="D65" s="151" t="n"/>
      <c r="E65" s="151" t="n"/>
      <c r="F65" s="151" t="n"/>
      <c r="G65" s="151" t="n"/>
      <c r="H65" s="151" t="n"/>
      <c r="I65" s="151" t="n"/>
    </row>
    <row r="66">
      <c r="A66" s="152" t="inlineStr">
        <is>
          <t>Mining, manufacturing and agriculture: activity and diesel per unit</t>
        </is>
      </c>
      <c r="B66" s="152" t="inlineStr">
        <is>
          <t>South Africa</t>
        </is>
      </c>
      <c r="C66" s="152" t="inlineStr">
        <is>
          <t>On the Sector history sheet</t>
        </is>
      </c>
      <c r="D66" s="152" t="inlineStr"/>
      <c r="E66" s="152" t="inlineStr">
        <is>
          <t>2012-2025</t>
        </is>
      </c>
      <c r="F66" s="152" t="inlineStr">
        <is>
          <t>observed</t>
        </is>
      </c>
      <c r="G66" s="152" t="inlineStr">
        <is>
          <t>Statistics South Africa (P2041, P3041.2, P0441); department energy balances</t>
        </is>
      </c>
      <c r="H66" s="152" t="inlineStr"/>
      <c r="I66" s="152" t="inlineStr">
        <is>
          <t>Diesel by sector is observed to 2021 only, the last energy balance.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56" customWidth="1" min="13" max="13"/>
    <col width="60" customWidth="1" min="14" max="14"/>
  </cols>
  <sheetData>
    <row r="1">
      <c r="A1" s="149" t="inlineStr">
        <is>
          <t>DR07 Diesel burned for power generation</t>
        </is>
      </c>
    </row>
    <row r="2">
      <c r="A2" s="1" t="inlineStr">
        <is>
          <t>Years to 31 March (2025 is April 2024 to March 2025). Volumes in billion litres. Blank means not reported.</t>
        </is>
      </c>
    </row>
    <row r="4">
      <c r="A4" s="150" t="inlineStr">
        <is>
          <t>Line</t>
        </is>
      </c>
      <c r="B4" s="150" t="n">
        <v>2016</v>
      </c>
      <c r="C4" s="150" t="n">
        <v>2017</v>
      </c>
      <c r="D4" s="150" t="n">
        <v>2018</v>
      </c>
      <c r="E4" s="150" t="n">
        <v>2019</v>
      </c>
      <c r="F4" s="150" t="n">
        <v>2020</v>
      </c>
      <c r="G4" s="150" t="n">
        <v>2021</v>
      </c>
      <c r="H4" s="150" t="n">
        <v>2022</v>
      </c>
      <c r="I4" s="150" t="n">
        <v>2023</v>
      </c>
      <c r="J4" s="150" t="n">
        <v>2024</v>
      </c>
      <c r="K4" s="150" t="n">
        <v>2025</v>
      </c>
      <c r="L4" s="150" t="n">
        <v>2026</v>
      </c>
      <c r="M4" s="150" t="inlineStr">
        <is>
          <t>Source</t>
        </is>
      </c>
      <c r="N4" s="150" t="inlineStr">
        <is>
          <t>Note</t>
        </is>
      </c>
    </row>
    <row r="5">
      <c r="A5" s="151" t="inlineStr">
        <is>
          <t>Eskom's own turbines (Ankerlig, Gourikwa, Acacia, Port Rex)</t>
        </is>
      </c>
      <c r="B5" s="151" t="n"/>
      <c r="C5" s="151" t="n"/>
      <c r="D5" s="151" t="n"/>
      <c r="E5" s="151" t="n"/>
      <c r="F5" s="151" t="n"/>
      <c r="G5" s="151" t="n"/>
      <c r="H5" s="151" t="n"/>
      <c r="I5" s="151" t="n"/>
      <c r="J5" s="151" t="n"/>
      <c r="K5" s="151" t="n"/>
      <c r="L5" s="151" t="n"/>
      <c r="M5" s="151" t="n"/>
      <c r="N5" s="151" t="n"/>
    </row>
    <row r="6">
      <c r="A6" s="170" t="inlineStr">
        <is>
          <t>Fuel burned, as reported</t>
        </is>
      </c>
      <c r="B6" s="171" t="n">
        <v>1.2478</v>
      </c>
      <c r="C6" s="171" t="n">
        <v>0.01</v>
      </c>
      <c r="D6" s="171" t="n">
        <v>0.0378</v>
      </c>
      <c r="E6" s="171" t="n">
        <v>0.385</v>
      </c>
      <c r="F6" s="171" t="n">
        <v>0.4262</v>
      </c>
      <c r="G6" s="171" t="n">
        <v>0.4587</v>
      </c>
      <c r="H6" s="171" t="n">
        <v>0.5804</v>
      </c>
      <c r="I6" s="171" t="n">
        <v>0.9375</v>
      </c>
      <c r="J6" s="171" t="n">
        <v>1.1295</v>
      </c>
      <c r="K6" s="171" t="n">
        <v>0.6791</v>
      </c>
      <c r="L6" s="171" t="n"/>
      <c r="M6" s="172" t="inlineStr">
        <is>
          <t>Eskom Integrated Report 2025, technical statistics, PDF p.141</t>
        </is>
      </c>
      <c r="N6" s="172" t="inlineStr">
        <is>
          <t>Diesel and kerosene together, as Eskom reports them. Acacia and Port Rex burn kerosene and are 342 of 2,426 MW.</t>
        </is>
      </c>
    </row>
    <row r="7">
      <c r="A7" s="170" t="inlineStr">
        <is>
          <t>Electricity generated by Eskom, GWh</t>
        </is>
      </c>
      <c r="B7" s="193" t="n"/>
      <c r="C7" s="193" t="n"/>
      <c r="D7" s="193" t="n"/>
      <c r="E7" s="193" t="n"/>
      <c r="F7" s="193" t="n"/>
      <c r="G7" s="193" t="n"/>
      <c r="H7" s="193" t="n">
        <v>1826</v>
      </c>
      <c r="I7" s="193" t="n">
        <v>3018</v>
      </c>
      <c r="J7" s="193" t="n">
        <v>3634</v>
      </c>
      <c r="K7" s="193" t="n">
        <v>2176</v>
      </c>
      <c r="L7" s="193" t="n">
        <v>811</v>
      </c>
      <c r="M7" s="172" t="inlineStr">
        <is>
          <t>Eskom data portal and reports (ocgt_generation_eskom.csv)</t>
        </is>
      </c>
      <c r="N7" s="172" t="inlineStr">
        <is>
          <t>Published from the year to March 2022.</t>
        </is>
      </c>
    </row>
    <row r="8">
      <c r="A8" s="176" t="inlineStr">
        <is>
          <t>Litres per kWh, implied</t>
        </is>
      </c>
      <c r="B8" s="194">
        <f>IF(COUNT(B6,B7)&lt;2,"",B6*1000/B7)</f>
        <v/>
      </c>
      <c r="C8" s="194">
        <f>IF(COUNT(C6,C7)&lt;2,"",C6*1000/C7)</f>
        <v/>
      </c>
      <c r="D8" s="194">
        <f>IF(COUNT(D6,D7)&lt;2,"",D6*1000/D7)</f>
        <v/>
      </c>
      <c r="E8" s="194">
        <f>IF(COUNT(E6,E7)&lt;2,"",E6*1000/E7)</f>
        <v/>
      </c>
      <c r="F8" s="194">
        <f>IF(COUNT(F6,F7)&lt;2,"",F6*1000/F7)</f>
        <v/>
      </c>
      <c r="G8" s="194">
        <f>IF(COUNT(G6,G7)&lt;2,"",G6*1000/G7)</f>
        <v/>
      </c>
      <c r="H8" s="194">
        <f>IF(COUNT(H6,H7)&lt;2,"",H6*1000/H7)</f>
        <v/>
      </c>
      <c r="I8" s="194">
        <f>IF(COUNT(I6,I7)&lt;2,"",I6*1000/I7)</f>
        <v/>
      </c>
      <c r="J8" s="194">
        <f>IF(COUNT(J6,J7)&lt;2,"",J6*1000/J7)</f>
        <v/>
      </c>
      <c r="K8" s="194">
        <f>IF(COUNT(K6,K7)&lt;2,"",K6*1000/K7)</f>
        <v/>
      </c>
      <c r="L8" s="194">
        <f>IF(COUNT(L6,L7)&lt;2,"",L6*1000/L7)</f>
        <v/>
      </c>
      <c r="M8" s="175" t="inlineStr">
        <is>
          <t>Calculated: fuel burned over electricity generated</t>
        </is>
      </c>
      <c r="N8" s="175" t="inlineStr">
        <is>
          <t>Confirms the 0.31 used on the Power fleet sheet.</t>
        </is>
      </c>
    </row>
    <row r="10">
      <c r="A10" s="151" t="inlineStr">
        <is>
          <t>Independent producers (Avon, Dedisa)</t>
        </is>
      </c>
      <c r="B10" s="151" t="n"/>
      <c r="C10" s="151" t="n"/>
      <c r="D10" s="151" t="n"/>
      <c r="E10" s="151" t="n"/>
      <c r="F10" s="151" t="n"/>
      <c r="G10" s="151" t="n"/>
      <c r="H10" s="151" t="n"/>
      <c r="I10" s="151" t="n"/>
      <c r="J10" s="151" t="n"/>
      <c r="K10" s="151" t="n"/>
      <c r="L10" s="151" t="n"/>
      <c r="M10" s="151" t="n"/>
      <c r="N10" s="151" t="n"/>
    </row>
    <row r="11">
      <c r="A11" s="170" t="inlineStr">
        <is>
          <t>Electricity generated by independent plants, GWh</t>
        </is>
      </c>
      <c r="B11" s="193" t="n"/>
      <c r="C11" s="193" t="n"/>
      <c r="D11" s="193" t="n"/>
      <c r="E11" s="193" t="n"/>
      <c r="F11" s="193" t="n"/>
      <c r="G11" s="193" t="n"/>
      <c r="H11" s="193" t="n"/>
      <c r="I11" s="193" t="n">
        <v>1098</v>
      </c>
      <c r="J11" s="193" t="n">
        <v>1509</v>
      </c>
      <c r="K11" s="193" t="n">
        <v>662</v>
      </c>
      <c r="L11" s="193" t="n">
        <v>268</v>
      </c>
      <c r="M11" s="172" t="inlineStr">
        <is>
          <t>Eskom data portal and reports (ocgt_generation_eskom.csv)</t>
        </is>
      </c>
      <c r="N11" s="172" t="inlineStr">
        <is>
          <t>The producers do not report litres.</t>
        </is>
      </c>
    </row>
    <row r="12">
      <c r="A12" s="181" t="inlineStr">
        <is>
          <t>Diesel burned, estimated</t>
        </is>
      </c>
      <c r="B12" s="182">
        <f>IF(ISNUMBER(B11),B11*0.31/1000,"")</f>
        <v/>
      </c>
      <c r="C12" s="182">
        <f>IF(ISNUMBER(C11),C11*0.31/1000,"")</f>
        <v/>
      </c>
      <c r="D12" s="182">
        <f>IF(ISNUMBER(D11),D11*0.31/1000,"")</f>
        <v/>
      </c>
      <c r="E12" s="182">
        <f>IF(ISNUMBER(E11),E11*0.31/1000,"")</f>
        <v/>
      </c>
      <c r="F12" s="182">
        <f>IF(ISNUMBER(F11),F11*0.31/1000,"")</f>
        <v/>
      </c>
      <c r="G12" s="182">
        <f>IF(ISNUMBER(G11),G11*0.31/1000,"")</f>
        <v/>
      </c>
      <c r="H12" s="182">
        <f>IF(ISNUMBER(H11),H11*0.31/1000,"")</f>
        <v/>
      </c>
      <c r="I12" s="182">
        <f>IF(ISNUMBER(I11),I11*0.31/1000,"")</f>
        <v/>
      </c>
      <c r="J12" s="182">
        <f>IF(ISNUMBER(J11),J11*0.31/1000,"")</f>
        <v/>
      </c>
      <c r="K12" s="182">
        <f>IF(ISNUMBER(K11),K11*0.31/1000,"")</f>
        <v/>
      </c>
      <c r="L12" s="182">
        <f>IF(ISNUMBER(L11),L11*0.31/1000,"")</f>
        <v/>
      </c>
      <c r="M12" s="183" t="inlineStr">
        <is>
          <t>Calculated: generation x 0.31 litres per kWh</t>
        </is>
      </c>
      <c r="N12" s="183" t="inlineStr">
        <is>
          <t>An estimate, at Eskom's implied rate.</t>
        </is>
      </c>
    </row>
    <row r="14">
      <c r="A14" s="151" t="inlineStr">
        <is>
          <t>All grid turbines</t>
        </is>
      </c>
      <c r="B14" s="151" t="n"/>
      <c r="C14" s="151" t="n"/>
      <c r="D14" s="151" t="n"/>
      <c r="E14" s="151" t="n"/>
      <c r="F14" s="151" t="n"/>
      <c r="G14" s="151" t="n"/>
      <c r="H14" s="151" t="n"/>
      <c r="I14" s="151" t="n"/>
      <c r="J14" s="151" t="n"/>
      <c r="K14" s="151" t="n"/>
      <c r="L14" s="151" t="n"/>
      <c r="M14" s="151" t="n"/>
      <c r="N14" s="151" t="n"/>
    </row>
    <row r="15">
      <c r="A15" s="173" t="inlineStr">
        <is>
          <t>Diesel burned, Eskom reported plus independent estimated</t>
        </is>
      </c>
      <c r="B15" s="174">
        <f>IF(COUNT(B6,B12)&lt;2,"",B6+B12)</f>
        <v/>
      </c>
      <c r="C15" s="174">
        <f>IF(COUNT(C6,C12)&lt;2,"",C6+C12)</f>
        <v/>
      </c>
      <c r="D15" s="174">
        <f>IF(COUNT(D6,D12)&lt;2,"",D6+D12)</f>
        <v/>
      </c>
      <c r="E15" s="174">
        <f>IF(COUNT(E6,E12)&lt;2,"",E6+E12)</f>
        <v/>
      </c>
      <c r="F15" s="174">
        <f>IF(COUNT(F6,F12)&lt;2,"",F6+F12)</f>
        <v/>
      </c>
      <c r="G15" s="174">
        <f>IF(COUNT(G6,G12)&lt;2,"",G6+G12)</f>
        <v/>
      </c>
      <c r="H15" s="174">
        <f>IF(COUNT(H6,H12)&lt;2,"",H6+H12)</f>
        <v/>
      </c>
      <c r="I15" s="174">
        <f>IF(COUNT(I6,I12)&lt;2,"",I6+I12)</f>
        <v/>
      </c>
      <c r="J15" s="174">
        <f>IF(COUNT(J6,J12)&lt;2,"",J6+J12)</f>
        <v/>
      </c>
      <c r="K15" s="174">
        <f>IF(COUNT(K6,K12)&lt;2,"",K6+K12)</f>
        <v/>
      </c>
      <c r="L15" s="174">
        <f>IF(COUNT(L6,L12)&lt;2,"",L6+L12)</f>
        <v/>
      </c>
      <c r="M15" s="175" t="inlineStr">
        <is>
          <t>Sum of the two volume rows above</t>
        </is>
      </c>
      <c r="N15" s="175" t="inlineStr">
        <is>
          <t>Only where both are known. Private backup generators are not in any source.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4" customWidth="1" min="9" max="9"/>
    <col width="62" customWidth="1" min="10" max="10"/>
  </cols>
  <sheetData>
    <row r="1">
      <c r="A1" s="149" t="inlineStr">
        <is>
          <t>DR07 Registered vehicles by province and class, 2026-06</t>
        </is>
      </c>
    </row>
    <row r="2">
      <c r="A2" s="1" t="inlineStr">
        <is>
          <t>Vehicles on the register at month end, by class; then petrol and diesel vehicles by province at December 2023. Nothing published crosses fuel with class.</t>
        </is>
      </c>
    </row>
    <row r="4">
      <c r="A4" s="150" t="inlineStr">
        <is>
          <t>Province</t>
        </is>
      </c>
      <c r="B4" s="150" t="inlineStr">
        <is>
          <t>Cars</t>
        </is>
      </c>
      <c r="C4" s="150" t="inlineStr">
        <is>
          <t>Light commercial</t>
        </is>
      </c>
      <c r="D4" s="150" t="inlineStr">
        <is>
          <t>Trucks</t>
        </is>
      </c>
      <c r="E4" s="150" t="inlineStr">
        <is>
          <t>Buses</t>
        </is>
      </c>
      <c r="F4" s="150" t="inlineStr">
        <is>
          <t>Minibuses</t>
        </is>
      </c>
      <c r="G4" s="150" t="inlineStr">
        <is>
          <t>Motorcycles</t>
        </is>
      </c>
      <c r="H4" s="150" t="inlineStr">
        <is>
          <t>All self-propelled</t>
        </is>
      </c>
      <c r="I4" s="150" t="inlineStr">
        <is>
          <t>Share of all vehicles</t>
        </is>
      </c>
      <c r="J4" s="150" t="inlineStr">
        <is>
          <t>Source</t>
        </is>
      </c>
    </row>
    <row r="5">
      <c r="A5" s="170" t="inlineStr">
        <is>
          <t>Gauteng</t>
        </is>
      </c>
      <c r="B5" s="193" t="n">
        <v>3485272</v>
      </c>
      <c r="C5" s="193" t="n">
        <v>936521</v>
      </c>
      <c r="D5" s="193" t="n">
        <v>150862</v>
      </c>
      <c r="E5" s="193" t="n">
        <v>20937</v>
      </c>
      <c r="F5" s="193" t="n">
        <v>127451</v>
      </c>
      <c r="G5" s="193" t="n">
        <v>158810</v>
      </c>
      <c r="H5" s="193" t="n">
        <v>4919011</v>
      </c>
      <c r="I5" s="195">
        <f>H5/H$14</f>
        <v/>
      </c>
      <c r="J5" s="172" t="inlineStr">
        <is>
          <t>eNaTIS live vehicle population by class and province (vehicle_population_natis.csv)</t>
        </is>
      </c>
    </row>
    <row r="6">
      <c r="A6" s="170" t="inlineStr">
        <is>
          <t>KwaZulu-Natal</t>
        </is>
      </c>
      <c r="B6" s="193" t="n">
        <v>1171505</v>
      </c>
      <c r="C6" s="193" t="n">
        <v>411049</v>
      </c>
      <c r="D6" s="193" t="n">
        <v>59557</v>
      </c>
      <c r="E6" s="193" t="n">
        <v>8253</v>
      </c>
      <c r="F6" s="193" t="n">
        <v>61665</v>
      </c>
      <c r="G6" s="193" t="n">
        <v>39411</v>
      </c>
      <c r="H6" s="193" t="n">
        <v>1783517</v>
      </c>
      <c r="I6" s="195">
        <f>H6/H$14</f>
        <v/>
      </c>
      <c r="J6" s="172" t="inlineStr">
        <is>
          <t>eNaTIS live vehicle population by class and province (vehicle_population_natis.csv)</t>
        </is>
      </c>
    </row>
    <row r="7">
      <c r="A7" s="170" t="inlineStr">
        <is>
          <t>Western Cape</t>
        </is>
      </c>
      <c r="B7" s="193" t="n">
        <v>1448715</v>
      </c>
      <c r="C7" s="193" t="n">
        <v>371420</v>
      </c>
      <c r="D7" s="193" t="n">
        <v>50960</v>
      </c>
      <c r="E7" s="193" t="n">
        <v>7463</v>
      </c>
      <c r="F7" s="193" t="n">
        <v>41603</v>
      </c>
      <c r="G7" s="193" t="n">
        <v>96388</v>
      </c>
      <c r="H7" s="193" t="n">
        <v>2060254</v>
      </c>
      <c r="I7" s="195">
        <f>H7/H$14</f>
        <v/>
      </c>
      <c r="J7" s="172" t="inlineStr">
        <is>
          <t>eNaTIS live vehicle population by class and province (vehicle_population_natis.csv)</t>
        </is>
      </c>
    </row>
    <row r="8">
      <c r="A8" s="170" t="inlineStr">
        <is>
          <t>Eastern Cape</t>
        </is>
      </c>
      <c r="B8" s="193" t="n">
        <v>506193</v>
      </c>
      <c r="C8" s="193" t="n">
        <v>212296</v>
      </c>
      <c r="D8" s="193" t="n">
        <v>23146</v>
      </c>
      <c r="E8" s="193" t="n">
        <v>4894</v>
      </c>
      <c r="F8" s="193" t="n">
        <v>27406</v>
      </c>
      <c r="G8" s="193" t="n">
        <v>21876</v>
      </c>
      <c r="H8" s="193" t="n">
        <v>813557</v>
      </c>
      <c r="I8" s="195">
        <f>H8/H$14</f>
        <v/>
      </c>
      <c r="J8" s="172" t="inlineStr">
        <is>
          <t>eNaTIS live vehicle population by class and province (vehicle_population_natis.csv)</t>
        </is>
      </c>
    </row>
    <row r="9">
      <c r="A9" s="170" t="inlineStr">
        <is>
          <t>Mpumalanga</t>
        </is>
      </c>
      <c r="B9" s="193" t="n">
        <v>477358</v>
      </c>
      <c r="C9" s="193" t="n">
        <v>231790</v>
      </c>
      <c r="D9" s="193" t="n">
        <v>41125</v>
      </c>
      <c r="E9" s="193" t="n">
        <v>7812</v>
      </c>
      <c r="F9" s="193" t="n">
        <v>28469</v>
      </c>
      <c r="G9" s="193" t="n">
        <v>17205</v>
      </c>
      <c r="H9" s="193" t="n">
        <v>830714</v>
      </c>
      <c r="I9" s="195">
        <f>H9/H$14</f>
        <v/>
      </c>
      <c r="J9" s="172" t="inlineStr">
        <is>
          <t>eNaTIS live vehicle population by class and province (vehicle_population_natis.csv)</t>
        </is>
      </c>
    </row>
    <row r="10">
      <c r="A10" s="170" t="inlineStr">
        <is>
          <t>Limpopo</t>
        </is>
      </c>
      <c r="B10" s="193" t="n">
        <v>419050</v>
      </c>
      <c r="C10" s="193" t="n">
        <v>260224</v>
      </c>
      <c r="D10" s="193" t="n">
        <v>28357</v>
      </c>
      <c r="E10" s="193" t="n">
        <v>7774</v>
      </c>
      <c r="F10" s="193" t="n">
        <v>28651</v>
      </c>
      <c r="G10" s="193" t="n">
        <v>9060</v>
      </c>
      <c r="H10" s="193" t="n">
        <v>771478</v>
      </c>
      <c r="I10" s="195">
        <f>H10/H$14</f>
        <v/>
      </c>
      <c r="J10" s="172" t="inlineStr">
        <is>
          <t>eNaTIS live vehicle population by class and province (vehicle_population_natis.csv)</t>
        </is>
      </c>
    </row>
    <row r="11">
      <c r="A11" s="170" t="inlineStr">
        <is>
          <t>North West</t>
        </is>
      </c>
      <c r="B11" s="193" t="n">
        <v>365628</v>
      </c>
      <c r="C11" s="193" t="n">
        <v>168694</v>
      </c>
      <c r="D11" s="193" t="n">
        <v>18997</v>
      </c>
      <c r="E11" s="193" t="n">
        <v>4326</v>
      </c>
      <c r="F11" s="193" t="n">
        <v>22262</v>
      </c>
      <c r="G11" s="193" t="n">
        <v>13126</v>
      </c>
      <c r="H11" s="193" t="n">
        <v>614380</v>
      </c>
      <c r="I11" s="195">
        <f>H11/H$14</f>
        <v/>
      </c>
      <c r="J11" s="172" t="inlineStr">
        <is>
          <t>eNaTIS live vehicle population by class and province (vehicle_population_natis.csv)</t>
        </is>
      </c>
    </row>
    <row r="12">
      <c r="A12" s="170" t="inlineStr">
        <is>
          <t>Free State</t>
        </is>
      </c>
      <c r="B12" s="193" t="n">
        <v>328418</v>
      </c>
      <c r="C12" s="193" t="n">
        <v>138820</v>
      </c>
      <c r="D12" s="193" t="n">
        <v>26190</v>
      </c>
      <c r="E12" s="193" t="n">
        <v>3425</v>
      </c>
      <c r="F12" s="193" t="n">
        <v>12679</v>
      </c>
      <c r="G12" s="193" t="n">
        <v>16810</v>
      </c>
      <c r="H12" s="193" t="n">
        <v>561774</v>
      </c>
      <c r="I12" s="195">
        <f>H12/H$14</f>
        <v/>
      </c>
      <c r="J12" s="172" t="inlineStr">
        <is>
          <t>eNaTIS live vehicle population by class and province (vehicle_population_natis.csv)</t>
        </is>
      </c>
    </row>
    <row r="13">
      <c r="A13" s="170" t="inlineStr">
        <is>
          <t>Northern Cape</t>
        </is>
      </c>
      <c r="B13" s="193" t="n">
        <v>138453</v>
      </c>
      <c r="C13" s="193" t="n">
        <v>85733</v>
      </c>
      <c r="D13" s="193" t="n">
        <v>9855</v>
      </c>
      <c r="E13" s="193" t="n">
        <v>1988</v>
      </c>
      <c r="F13" s="193" t="n">
        <v>6811</v>
      </c>
      <c r="G13" s="193" t="n">
        <v>7123</v>
      </c>
      <c r="H13" s="193" t="n">
        <v>259795</v>
      </c>
      <c r="I13" s="195">
        <f>H13/H$14</f>
        <v/>
      </c>
      <c r="J13" s="172" t="inlineStr">
        <is>
          <t>eNaTIS live vehicle population by class and province (vehicle_population_natis.csv)</t>
        </is>
      </c>
    </row>
    <row r="14">
      <c r="A14" s="173" t="inlineStr">
        <is>
          <t>South Africa</t>
        </is>
      </c>
      <c r="B14" s="196">
        <f>SUM(B5:B13)</f>
        <v/>
      </c>
      <c r="C14" s="196">
        <f>SUM(C5:C13)</f>
        <v/>
      </c>
      <c r="D14" s="196">
        <f>SUM(D5:D13)</f>
        <v/>
      </c>
      <c r="E14" s="196">
        <f>SUM(E5:E13)</f>
        <v/>
      </c>
      <c r="F14" s="196">
        <f>SUM(F5:F13)</f>
        <v/>
      </c>
      <c r="G14" s="196">
        <f>SUM(G5:G13)</f>
        <v/>
      </c>
      <c r="H14" s="196">
        <f>SUM(H5:H13)</f>
        <v/>
      </c>
      <c r="I14" s="195">
        <f>H14/H$14</f>
        <v/>
      </c>
      <c r="J14" s="175" t="inlineStr">
        <is>
          <t>Sum of the nine provinces</t>
        </is>
      </c>
    </row>
    <row r="16">
      <c r="A16" s="151" t="inlineStr">
        <is>
          <t>Petrol and diesel vehicles by province, December 2023</t>
        </is>
      </c>
      <c r="B16" s="151" t="n"/>
      <c r="C16" s="151" t="n"/>
      <c r="D16" s="151" t="n"/>
      <c r="E16" s="151" t="n"/>
      <c r="F16" s="151" t="n"/>
      <c r="G16" s="151" t="n"/>
      <c r="H16" s="151" t="n"/>
      <c r="I16" s="151" t="n"/>
      <c r="J16" s="151" t="n"/>
    </row>
    <row r="17">
      <c r="A17" s="185" t="inlineStr">
        <is>
          <t>Province</t>
        </is>
      </c>
      <c r="B17" s="185" t="inlineStr">
        <is>
          <t>Petrol</t>
        </is>
      </c>
      <c r="C17" s="185" t="inlineStr">
        <is>
          <t>Diesel</t>
        </is>
      </c>
      <c r="D17" s="185" t="inlineStr">
        <is>
          <t>Petrol and diesel</t>
        </is>
      </c>
      <c r="E17" s="185" t="inlineStr">
        <is>
          <t>Diesel share</t>
        </is>
      </c>
      <c r="J17" s="185" t="inlineStr">
        <is>
          <t>Source</t>
        </is>
      </c>
    </row>
    <row r="18">
      <c r="A18" s="170" t="inlineStr">
        <is>
          <t>Gauteng</t>
        </is>
      </c>
      <c r="B18" s="193" t="n">
        <v>3466725</v>
      </c>
      <c r="C18" s="193" t="n">
        <v>1142275</v>
      </c>
      <c r="D18" s="196">
        <f>B18+C18</f>
        <v/>
      </c>
      <c r="E18" s="195">
        <f>C18/D18</f>
        <v/>
      </c>
      <c r="J18" s="172" t="inlineStr">
        <is>
          <t>Department of Transport, Transport Statistics Bulletin 2023, Table 2.8 (PDF p.40)</t>
        </is>
      </c>
    </row>
    <row r="19">
      <c r="A19" s="170" t="inlineStr">
        <is>
          <t>KwaZulu-Natal</t>
        </is>
      </c>
      <c r="B19" s="193" t="n">
        <v>1181017</v>
      </c>
      <c r="C19" s="193" t="n">
        <v>459888</v>
      </c>
      <c r="D19" s="196">
        <f>B19+C19</f>
        <v/>
      </c>
      <c r="E19" s="195">
        <f>C19/D19</f>
        <v/>
      </c>
      <c r="J19" s="172" t="inlineStr">
        <is>
          <t>Department of Transport, Transport Statistics Bulletin 2023, Table 2.8 (PDF p.40)</t>
        </is>
      </c>
    </row>
    <row r="20">
      <c r="A20" s="170" t="inlineStr">
        <is>
          <t>Western Cape</t>
        </is>
      </c>
      <c r="B20" s="193" t="n">
        <v>1426954</v>
      </c>
      <c r="C20" s="193" t="n">
        <v>507006</v>
      </c>
      <c r="D20" s="196">
        <f>B20+C20</f>
        <v/>
      </c>
      <c r="E20" s="195">
        <f>C20/D20</f>
        <v/>
      </c>
      <c r="J20" s="172" t="inlineStr">
        <is>
          <t>Department of Transport, Transport Statistics Bulletin 2023, Table 2.8 (PDF p.40)</t>
        </is>
      </c>
    </row>
    <row r="21">
      <c r="A21" s="170" t="inlineStr">
        <is>
          <t>Eastern Cape</t>
        </is>
      </c>
      <c r="B21" s="193" t="n">
        <v>550085</v>
      </c>
      <c r="C21" s="193" t="n">
        <v>233959</v>
      </c>
      <c r="D21" s="196">
        <f>B21+C21</f>
        <v/>
      </c>
      <c r="E21" s="195">
        <f>C21/D21</f>
        <v/>
      </c>
      <c r="J21" s="172" t="inlineStr">
        <is>
          <t>Department of Transport, Transport Statistics Bulletin 2023, Table 2.8 (PDF p.40)</t>
        </is>
      </c>
    </row>
    <row r="22">
      <c r="A22" s="170" t="inlineStr">
        <is>
          <t>Mpumalanga</t>
        </is>
      </c>
      <c r="B22" s="193" t="n">
        <v>529640</v>
      </c>
      <c r="C22" s="193" t="n">
        <v>281750</v>
      </c>
      <c r="D22" s="196">
        <f>B22+C22</f>
        <v/>
      </c>
      <c r="E22" s="195">
        <f>C22/D22</f>
        <v/>
      </c>
      <c r="J22" s="172" t="inlineStr">
        <is>
          <t>Department of Transport, Transport Statistics Bulletin 2023, Table 2.8 (PDF p.40)</t>
        </is>
      </c>
    </row>
    <row r="23">
      <c r="A23" s="170" t="inlineStr">
        <is>
          <t>Limpopo</t>
        </is>
      </c>
      <c r="B23" s="193" t="n">
        <v>482248</v>
      </c>
      <c r="C23" s="193" t="n">
        <v>240595</v>
      </c>
      <c r="D23" s="196">
        <f>B23+C23</f>
        <v/>
      </c>
      <c r="E23" s="195">
        <f>C23/D23</f>
        <v/>
      </c>
      <c r="J23" s="172" t="inlineStr">
        <is>
          <t>Department of Transport, Transport Statistics Bulletin 2023, Table 2.8 (PDF p.40)</t>
        </is>
      </c>
    </row>
    <row r="24">
      <c r="A24" s="170" t="inlineStr">
        <is>
          <t>North West</t>
        </is>
      </c>
      <c r="B24" s="193" t="n">
        <v>404398</v>
      </c>
      <c r="C24" s="193" t="n">
        <v>184614</v>
      </c>
      <c r="D24" s="196">
        <f>B24+C24</f>
        <v/>
      </c>
      <c r="E24" s="195">
        <f>C24/D24</f>
        <v/>
      </c>
      <c r="J24" s="172" t="inlineStr">
        <is>
          <t>Department of Transport, Transport Statistics Bulletin 2023, Table 2.8 (PDF p.40)</t>
        </is>
      </c>
    </row>
    <row r="25">
      <c r="A25" s="170" t="inlineStr">
        <is>
          <t>Free State</t>
        </is>
      </c>
      <c r="B25" s="193" t="n">
        <v>358000</v>
      </c>
      <c r="C25" s="193" t="n">
        <v>189266</v>
      </c>
      <c r="D25" s="196">
        <f>B25+C25</f>
        <v/>
      </c>
      <c r="E25" s="195">
        <f>C25/D25</f>
        <v/>
      </c>
      <c r="J25" s="172" t="inlineStr">
        <is>
          <t>Department of Transport, Transport Statistics Bulletin 2023, Table 2.8 (PDF p.40)</t>
        </is>
      </c>
    </row>
    <row r="26">
      <c r="A26" s="170" t="inlineStr">
        <is>
          <t>Northern Cape</t>
        </is>
      </c>
      <c r="B26" s="193" t="n">
        <v>156705</v>
      </c>
      <c r="C26" s="193" t="n">
        <v>96193</v>
      </c>
      <c r="D26" s="196">
        <f>B26+C26</f>
        <v/>
      </c>
      <c r="E26" s="195">
        <f>C26/D26</f>
        <v/>
      </c>
      <c r="J26" s="172" t="inlineStr">
        <is>
          <t>Department of Transport, Transport Statistics Bulletin 2023, Table 2.8 (PDF p.40)</t>
        </is>
      </c>
    </row>
    <row r="27">
      <c r="A27" s="173" t="inlineStr">
        <is>
          <t>South Africa</t>
        </is>
      </c>
      <c r="B27" s="196">
        <f>SUM(B18:B26)</f>
        <v/>
      </c>
      <c r="C27" s="196">
        <f>SUM(C18:C26)</f>
        <v/>
      </c>
      <c r="D27" s="196">
        <f>B27+C27</f>
        <v/>
      </c>
      <c r="E27" s="195">
        <f>C27/D27</f>
        <v/>
      </c>
      <c r="J27" s="175" t="inlineStr">
        <is>
          <t>Sum of the nine provinces; equals the bulletin's national totals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58" customWidth="1" min="11" max="11"/>
    <col width="62" customWidth="1" min="12" max="12"/>
  </cols>
  <sheetData>
    <row r="1">
      <c r="A1" s="149" t="inlineStr">
        <is>
          <t>DR07 Vehicle efficiency history and rail freight</t>
        </is>
      </c>
    </row>
    <row r="2">
      <c r="A2" s="1" t="inlineStr">
        <is>
          <t>Two series read from published documents. Each row gives its source.</t>
        </is>
      </c>
    </row>
    <row r="4">
      <c r="A4" s="150" t="inlineStr">
        <is>
          <t>Line</t>
        </is>
      </c>
      <c r="B4" s="150" t="inlineStr"/>
      <c r="C4" s="150" t="inlineStr"/>
      <c r="D4" s="150" t="inlineStr"/>
      <c r="E4" s="150" t="inlineStr"/>
      <c r="F4" s="150" t="inlineStr"/>
      <c r="G4" s="150" t="inlineStr"/>
      <c r="H4" s="150" t="inlineStr"/>
      <c r="I4" s="150" t="inlineStr"/>
      <c r="J4" s="150" t="inlineStr"/>
      <c r="K4" s="150" t="inlineStr">
        <is>
          <t>Source</t>
        </is>
      </c>
      <c r="L4" s="150" t="inlineStr">
        <is>
          <t>Note</t>
        </is>
      </c>
    </row>
    <row r="5">
      <c r="A5" s="151" t="inlineStr">
        <is>
          <t>Fuel use of new light vehicles (cars and light commercial vehicles)</t>
        </is>
      </c>
      <c r="B5" s="151" t="n"/>
      <c r="C5" s="151" t="n"/>
      <c r="D5" s="151" t="n"/>
      <c r="E5" s="151" t="n"/>
      <c r="F5" s="151" t="n"/>
      <c r="G5" s="151" t="n"/>
      <c r="H5" s="151" t="n"/>
      <c r="I5" s="151" t="n"/>
      <c r="J5" s="151" t="n"/>
      <c r="K5" s="151" t="n"/>
      <c r="L5" s="151" t="n"/>
    </row>
    <row r="6">
      <c r="A6" s="173" t="inlineStr">
        <is>
          <t>Year</t>
        </is>
      </c>
      <c r="B6" s="197" t="n">
        <v>2005</v>
      </c>
      <c r="C6" s="197" t="n">
        <v>2008</v>
      </c>
      <c r="D6" s="197" t="n">
        <v>2010</v>
      </c>
      <c r="E6" s="197" t="n">
        <v>2011</v>
      </c>
      <c r="F6" s="197" t="n">
        <v>2012</v>
      </c>
      <c r="G6" s="197" t="n">
        <v>2013</v>
      </c>
      <c r="H6" s="197" t="n">
        <v>2014</v>
      </c>
      <c r="I6" s="197" t="n">
        <v>2015</v>
      </c>
      <c r="J6" s="197" t="n">
        <v>2019</v>
      </c>
      <c r="K6" s="198" t="inlineStr"/>
      <c r="L6" s="198" t="inlineStr"/>
    </row>
    <row r="7">
      <c r="A7" s="170" t="inlineStr">
        <is>
          <t>Litres of petrol equivalent per 100 km</t>
        </is>
      </c>
      <c r="B7" s="191" t="n">
        <v>8.800000000000001</v>
      </c>
      <c r="C7" s="191" t="n">
        <v>8.6</v>
      </c>
      <c r="D7" s="191" t="n">
        <v>8.6</v>
      </c>
      <c r="E7" s="191" t="n">
        <v>8.199999999999999</v>
      </c>
      <c r="F7" s="191" t="n">
        <v>7.9</v>
      </c>
      <c r="G7" s="191" t="n">
        <v>7.7</v>
      </c>
      <c r="H7" s="191" t="n">
        <v>7.8</v>
      </c>
      <c r="I7" s="191" t="n">
        <v>7.8</v>
      </c>
      <c r="J7" s="191" t="n">
        <v>7.4</v>
      </c>
      <c r="K7" s="172" t="inlineStr">
        <is>
          <t>IEA and Global Fuel Economy Initiative: Working Paper 15 (2017), PDF p.119; country page (2021) for 2019</t>
        </is>
      </c>
      <c r="L7" s="172" t="inlineStr">
        <is>
          <t>New vehicles registered that year. Nothing after 2019 was found.</t>
        </is>
      </c>
    </row>
    <row r="8">
      <c r="A8" s="176" t="inlineStr">
        <is>
          <t>Change a year, first to last</t>
        </is>
      </c>
      <c r="B8" s="195">
        <f>(J7/B7)^(1/(J6-B6))-1</f>
        <v/>
      </c>
      <c r="C8" s="199" t="n"/>
      <c r="D8" s="199" t="n"/>
      <c r="E8" s="199" t="n"/>
      <c r="F8" s="199" t="n"/>
      <c r="G8" s="199" t="n"/>
      <c r="H8" s="199" t="n"/>
      <c r="I8" s="199" t="n"/>
      <c r="J8" s="199" t="n"/>
      <c r="K8" s="175" t="inlineStr">
        <is>
          <t>Calculated from the row above</t>
        </is>
      </c>
      <c r="L8" s="175" t="inlineStr">
        <is>
          <t>The IEA states 1.3% a year for 2005 to 2019. The model assumes 0.5 to 1.5% a year.</t>
        </is>
      </c>
    </row>
    <row r="10">
      <c r="A10" s="151" t="inlineStr">
        <is>
          <t>Freight carried by Transnet Freight Rail</t>
        </is>
      </c>
      <c r="B10" s="151" t="n"/>
      <c r="C10" s="151" t="n"/>
      <c r="D10" s="151" t="n"/>
      <c r="E10" s="151" t="n"/>
      <c r="F10" s="151" t="n"/>
      <c r="G10" s="151" t="n"/>
      <c r="H10" s="151" t="n"/>
      <c r="I10" s="151" t="n"/>
      <c r="J10" s="151" t="n"/>
      <c r="K10" s="151" t="n"/>
      <c r="L10" s="151" t="n"/>
    </row>
    <row r="11">
      <c r="A11" s="173" t="inlineStr">
        <is>
          <t>Year to March</t>
        </is>
      </c>
      <c r="B11" s="197" t="n">
        <v>2018</v>
      </c>
      <c r="C11" s="197" t="n">
        <v>2019</v>
      </c>
      <c r="D11" s="197" t="n">
        <v>2020</v>
      </c>
      <c r="E11" s="197" t="n">
        <v>2021</v>
      </c>
      <c r="F11" s="197" t="n">
        <v>2022</v>
      </c>
      <c r="G11" s="197" t="n">
        <v>2023</v>
      </c>
      <c r="H11" s="197" t="n">
        <v>2024</v>
      </c>
      <c r="I11" s="197" t="n">
        <v>2025</v>
      </c>
      <c r="J11" s="197" t="inlineStr">
        <is>
          <t>Target</t>
        </is>
      </c>
      <c r="K11" s="198" t="inlineStr"/>
      <c r="L11" s="198" t="inlineStr"/>
    </row>
    <row r="12">
      <c r="A12" s="170" t="inlineStr">
        <is>
          <t>Million tonnes</t>
        </is>
      </c>
      <c r="B12" s="191" t="n">
        <v>226.3</v>
      </c>
      <c r="C12" s="191" t="n">
        <v>215.1</v>
      </c>
      <c r="D12" s="191" t="n">
        <v>212.4</v>
      </c>
      <c r="E12" s="191" t="n">
        <v>183.3</v>
      </c>
      <c r="F12" s="191" t="n">
        <v>173.1</v>
      </c>
      <c r="G12" s="191" t="n">
        <v>149.5</v>
      </c>
      <c r="H12" s="191" t="n">
        <v>151.7</v>
      </c>
      <c r="I12" s="191" t="n">
        <v>160.1</v>
      </c>
      <c r="J12" s="191" t="n">
        <v>250</v>
      </c>
      <c r="K12" s="172" t="inlineStr">
        <is>
          <t>Transnet annual results 2025, presentation, PDF pp.14 and 36</t>
        </is>
      </c>
      <c r="L12" s="172" t="inlineStr">
        <is>
          <t>Export iron ore, export coal and general freight together. The target has no year on the slide.</t>
        </is>
      </c>
    </row>
    <row r="13">
      <c r="A13" s="176" t="inlineStr">
        <is>
          <t>Target less the latest year, million tonnes</t>
        </is>
      </c>
      <c r="B13" s="192">
        <f>J12-I12</f>
        <v/>
      </c>
      <c r="C13" s="199" t="n"/>
      <c r="D13" s="199" t="n"/>
      <c r="E13" s="199" t="n"/>
      <c r="F13" s="199" t="n"/>
      <c r="G13" s="199" t="n"/>
      <c r="H13" s="199" t="n"/>
      <c r="I13" s="199" t="n"/>
      <c r="J13" s="199" t="n"/>
      <c r="K13" s="175" t="inlineStr">
        <is>
          <t>Calculated from the row above</t>
        </is>
      </c>
      <c r="L13" s="175" t="inlineStr">
        <is>
          <t>The most freight that could move to rail if the target is met. Not all of it would come from road.</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200" t="n">
        <v>0.31</v>
      </c>
      <c r="E6" s="162" t="inlineStr">
        <is>
          <t>Reported Eskom burn over generation in three years. A proposal awaiting review.</t>
        </is>
      </c>
      <c r="F6" s="200" t="n"/>
      <c r="G6" s="200" t="n"/>
      <c r="H6" s="200" t="n"/>
      <c r="I6" s="200" t="n"/>
      <c r="J6" s="200" t="n"/>
      <c r="K6" s="200" t="n"/>
      <c r="L6" s="200" t="n"/>
      <c r="M6" s="200" t="n"/>
      <c r="N6" s="200" t="n"/>
      <c r="O6" s="200" t="n"/>
      <c r="P6" s="200" t="n"/>
      <c r="Q6" s="200" t="n"/>
      <c r="R6" s="200" t="n"/>
      <c r="S6" s="200"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201" t="n">
        <v>10</v>
      </c>
      <c r="E7" s="162" t="inlineStr">
        <is>
          <t>Diesel as the backup fuel of a station whose main fuel is gas. NO SOURCE: Eskom's tender says only that gas will be 'supplemented by diesel as and when it's required'.</t>
        </is>
      </c>
      <c r="F7" s="201" t="n"/>
      <c r="G7" s="201" t="n"/>
      <c r="H7" s="201" t="n"/>
      <c r="I7" s="201" t="n"/>
      <c r="J7" s="201" t="n"/>
      <c r="K7" s="201" t="n"/>
      <c r="L7" s="201" t="n"/>
      <c r="M7" s="201" t="n"/>
      <c r="N7" s="201" t="n"/>
      <c r="O7" s="201" t="n"/>
      <c r="P7" s="201" t="n"/>
      <c r="Q7" s="201" t="n"/>
      <c r="R7" s="201" t="n"/>
      <c r="S7" s="201"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201" t="n">
        <v>40</v>
      </c>
      <c r="E8" s="162" t="inlineStr">
        <is>
          <t>NO SOURCE. Eskom describes the gas it needs as dispatchable baseload, so well above a peaker.</t>
        </is>
      </c>
      <c r="F8" s="201" t="n"/>
      <c r="G8" s="201" t="n"/>
      <c r="H8" s="201" t="n"/>
      <c r="I8" s="201" t="n"/>
      <c r="J8" s="201" t="n"/>
      <c r="K8" s="201" t="n"/>
      <c r="L8" s="201" t="n"/>
      <c r="M8" s="201" t="n"/>
      <c r="N8" s="201" t="n"/>
      <c r="O8" s="201" t="n"/>
      <c r="P8" s="201" t="n"/>
      <c r="Q8" s="201" t="n"/>
      <c r="R8" s="201" t="n"/>
      <c r="S8" s="201"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The system operator states that the contracts of Dedisa and Avon expire in August and September 2030. Shown to the last full year. An earlier reading of July 2031 (15 years from commercial operation in July 2016) is replaced by this.</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 Contract end: System operator Medium-Term System Adequacy Outlook 2026-2030 (30 October 2025) p.21</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The system operator states that the contracts of Dedisa and Avon expire in August and September 2030. Shown to the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 Contract end: System operator Medium-Term System Adequacy Outlook 2026-2030 (30 October 2025) p.21</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80" t="n"/>
      <c r="E16" s="159" t="inlineStr">
        <is>
          <t>Cape Town. Three 57 MW units. Burns kerosene not diesel so it is left out of the diesel total.</t>
        </is>
      </c>
      <c r="F16" s="180" t="n">
        <v>171</v>
      </c>
      <c r="G16" s="180" t="n">
        <v>171</v>
      </c>
      <c r="H16" s="180" t="n">
        <v>171</v>
      </c>
      <c r="I16" s="180" t="n">
        <v>171</v>
      </c>
      <c r="J16" s="180" t="n">
        <v>171</v>
      </c>
      <c r="K16" s="180" t="n">
        <v>171</v>
      </c>
      <c r="L16" s="180" t="n">
        <v>171</v>
      </c>
      <c r="M16" s="180" t="n">
        <v>171</v>
      </c>
      <c r="N16" s="180" t="n">
        <v>171</v>
      </c>
      <c r="O16" s="180" t="n">
        <v>171</v>
      </c>
      <c r="P16" s="180" t="n">
        <v>171</v>
      </c>
      <c r="Q16" s="180" t="n">
        <v>171</v>
      </c>
      <c r="R16" s="180" t="n">
        <v>171</v>
      </c>
      <c r="S16" s="180" t="n">
        <v>171</v>
      </c>
      <c r="T16" s="159" t="inlineStr"/>
      <c r="U16" s="159" t="inlineStr">
        <is>
          <t>Eskom fact sheet GX 0001 Rev 29 (July 2024); Eskom peaking power stations page. Shutdown: System operator Medium-Term System Adequacy Outlook 2026-2030 p.17</t>
        </is>
      </c>
      <c r="V16" s="159" t="inlineStr"/>
    </row>
    <row r="17">
      <c r="A17" s="159" t="inlineStr">
        <is>
          <t>Port Rex (Eskom)</t>
        </is>
      </c>
      <c r="B17" s="160" t="inlineStr">
        <is>
          <t>MW</t>
        </is>
      </c>
      <c r="C17" s="160" t="inlineStr">
        <is>
          <t>Not counted</t>
        </is>
      </c>
      <c r="D17" s="180" t="n"/>
      <c r="E17" s="159" t="inlineStr">
        <is>
          <t>East London. Three 57 MW units. Burns kerosene not diesel so it is left out of the diesel total.</t>
        </is>
      </c>
      <c r="F17" s="180" t="n">
        <v>171</v>
      </c>
      <c r="G17" s="180" t="n">
        <v>171</v>
      </c>
      <c r="H17" s="180" t="n">
        <v>171</v>
      </c>
      <c r="I17" s="180" t="n">
        <v>171</v>
      </c>
      <c r="J17" s="180" t="n">
        <v>171</v>
      </c>
      <c r="K17" s="180" t="n">
        <v>171</v>
      </c>
      <c r="L17" s="180" t="n">
        <v>171</v>
      </c>
      <c r="M17" s="180" t="n">
        <v>171</v>
      </c>
      <c r="N17" s="180" t="n">
        <v>171</v>
      </c>
      <c r="O17" s="180" t="n">
        <v>171</v>
      </c>
      <c r="P17" s="180" t="n">
        <v>171</v>
      </c>
      <c r="Q17" s="180" t="n">
        <v>171</v>
      </c>
      <c r="R17" s="180" t="n">
        <v>171</v>
      </c>
      <c r="S17" s="180" t="n">
        <v>171</v>
      </c>
      <c r="T17" s="159" t="inlineStr"/>
      <c r="U17" s="159" t="inlineStr">
        <is>
          <t>Eskom fact sheet GX 0001 Rev 29 (July 2024); Eskom peaking power stations page. Shutdown: System operator Medium-Term System Adequacy Outlook 2026-2030 p.17</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202" t="n"/>
      <c r="E21" s="156" t="inlineStr">
        <is>
          <t>Generation divided by what all six stations would produce running all year.</t>
        </is>
      </c>
      <c r="F21" s="202">
        <f>IF(ISNUMBER(F20),F20/((F15+F16+F17)*8.76)*100,"")</f>
        <v/>
      </c>
      <c r="G21" s="202">
        <f>IF(ISNUMBER(G20),G20/((G15+G16+G17)*8.76)*100,"")</f>
        <v/>
      </c>
      <c r="H21" s="202">
        <f>IF(ISNUMBER(H20),H20/((H15+H16+H17)*8.76)*100,"")</f>
        <v/>
      </c>
      <c r="I21" s="202">
        <f>IF(ISNUMBER(I20),I20/((I15+I16+I17)*8.76)*100,"")</f>
        <v/>
      </c>
      <c r="J21" s="202">
        <f>IF(ISNUMBER(J20),J20/((J15+J16+J17)*8.76)*100,"")</f>
        <v/>
      </c>
      <c r="K21" s="202">
        <f>IF(ISNUMBER(K20),K20/((K15+K16+K17)*8.76)*100,"")</f>
        <v/>
      </c>
      <c r="L21" s="202">
        <f>IF(ISNUMBER(L20),L20/((L15+L16+L17)*8.76)*100,"")</f>
        <v/>
      </c>
      <c r="M21" s="202">
        <f>IF(ISNUMBER(M20),M20/((M15+M16+M17)*8.76)*100,"")</f>
        <v/>
      </c>
      <c r="N21" s="202">
        <f>IF(ISNUMBER(N20),N20/((N15+N16+N17)*8.76)*100,"")</f>
        <v/>
      </c>
      <c r="O21" s="202">
        <f>IF(ISNUMBER(O20),O20/((O15+O16+O17)*8.76)*100,"")</f>
        <v/>
      </c>
      <c r="P21" s="202">
        <f>IF(ISNUMBER(P20),P20/((P15+P16+P17)*8.76)*100,"")</f>
        <v/>
      </c>
      <c r="Q21" s="202">
        <f>IF(ISNUMBER(Q20),Q20/((Q15+Q16+Q17)*8.76)*100,"")</f>
        <v/>
      </c>
      <c r="R21" s="202">
        <f>IF(ISNUMBER(R20),R20/((R15+R16+R17)*8.76)*100,"")</f>
        <v/>
      </c>
      <c r="S21" s="202">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statement of 31 October 2022 (eskom.co.za)</t>
        </is>
      </c>
      <c r="V27" s="152" t="inlineStr"/>
    </row>
    <row r="28">
      <c r="A28" s="152" t="inlineStr">
        <is>
          <t>Camden</t>
        </is>
      </c>
      <c r="B28" s="153" t="inlineStr">
        <is>
          <t>MW</t>
        </is>
      </c>
      <c r="C28" s="153" t="inlineStr">
        <is>
          <t>Source observation</t>
        </is>
      </c>
      <c r="D28" s="166" t="n"/>
      <c r="E28" s="152" t="inlineStr">
        <is>
          <t>Exemption to operate until 31 March 2030. Eskom was to decide by end September 2026 between shutdown repowering and repurposing. No decision had been announced by 8 October 2026: Eskom's media statements to 7 October carry none and on 3 September its chief executive said only that shutdown repowering and repurposing 'must be informed by evidence'.</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TechCentral 22 April 2026. Decision status: Eskom media statements page and Sunday Times 3 September 2026</t>
        </is>
      </c>
      <c r="V28" s="152" t="inlineStr"/>
    </row>
    <row r="29">
      <c r="A29" s="152" t="inlineStr">
        <is>
          <t>Grootvlei</t>
        </is>
      </c>
      <c r="B29" s="153" t="inlineStr">
        <is>
          <t>MW</t>
        </is>
      </c>
      <c r="C29" s="153" t="inlineStr">
        <is>
          <t>Source observation</t>
        </is>
      </c>
      <c r="D29" s="166" t="n"/>
      <c r="E29"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TechCentral 22 April 2026. Decision status: Eskom media statements page and Sunday Times 3 September 2026</t>
        </is>
      </c>
      <c r="V29" s="152" t="inlineStr"/>
    </row>
    <row r="30">
      <c r="A30" s="152" t="inlineStr">
        <is>
          <t>Hendrina</t>
        </is>
      </c>
      <c r="B30" s="153" t="inlineStr">
        <is>
          <t>MW</t>
        </is>
      </c>
      <c r="C30" s="153" t="inlineStr">
        <is>
          <t>Source observation</t>
        </is>
      </c>
      <c r="D30" s="166" t="n"/>
      <c r="E30"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TechCentral 22 April 2026. Decision status: Eskom media statements page and Sunday Times 3 September 2026</t>
        </is>
      </c>
      <c r="V30" s="152" t="inlineStr"/>
    </row>
    <row r="31">
      <c r="A31" s="152" t="inlineStr">
        <is>
          <t>Arnot</t>
        </is>
      </c>
      <c r="B31" s="153" t="inlineStr">
        <is>
          <t>MW</t>
        </is>
      </c>
      <c r="C31" s="153" t="inlineStr">
        <is>
          <t>Source observation</t>
        </is>
      </c>
      <c r="D31" s="166" t="n"/>
      <c r="E31"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TechCentral 22 April 2026. Decision status: Eskom media statements page and Sunday Times 3 September 2026</t>
        </is>
      </c>
      <c r="V31" s="152" t="inlineStr"/>
    </row>
    <row r="32">
      <c r="A32" s="152" t="inlineStr">
        <is>
          <t>Kriel</t>
        </is>
      </c>
      <c r="B32" s="153" t="inlineStr">
        <is>
          <t>MW</t>
        </is>
      </c>
      <c r="C32" s="153" t="inlineStr">
        <is>
          <t>Source observation</t>
        </is>
      </c>
      <c r="D32" s="166" t="n"/>
      <c r="E32"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TechCentral 22 April 2026. Decision status: Eskom media statements page and Sunday Times 3 September 2026</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Mail &amp; Guardian 31 March 2025 reporting the environment minister's decision</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Mail &amp; Guardian 31 March 2025 reporting the environment minister's decision</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203" t="n"/>
      <c r="E39" s="162" t="inlineStr">
        <is>
          <t>Each to the last full year of its agreement (Dedisa 2029, Avon 2030), then zero.</t>
        </is>
      </c>
      <c r="F39" s="203" t="n">
        <v>1005</v>
      </c>
      <c r="G39" s="203" t="n">
        <v>1005</v>
      </c>
      <c r="H39" s="203" t="n">
        <v>1005</v>
      </c>
      <c r="I39" s="203" t="n">
        <v>1005</v>
      </c>
      <c r="J39" s="203" t="n">
        <v>1005</v>
      </c>
      <c r="K39" s="203" t="n">
        <v>1005</v>
      </c>
      <c r="L39" s="203" t="n">
        <v>1005</v>
      </c>
      <c r="M39" s="203" t="n">
        <v>1005</v>
      </c>
      <c r="N39" s="203" t="n">
        <v>0</v>
      </c>
      <c r="O39" s="203" t="n">
        <v>0</v>
      </c>
      <c r="P39" s="203" t="n">
        <v>0</v>
      </c>
      <c r="Q39" s="203" t="n">
        <v>0</v>
      </c>
      <c r="R39" s="203" t="n">
        <v>0</v>
      </c>
      <c r="S39" s="203"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201" t="n"/>
      <c r="E40" s="162" t="inlineStr">
        <is>
          <t>100% until Eskom's stated gas switch in December 2027, then the backup share.</t>
        </is>
      </c>
      <c r="F40" s="201">
        <f>100</f>
        <v/>
      </c>
      <c r="G40" s="201">
        <f>100</f>
        <v/>
      </c>
      <c r="H40" s="201">
        <f>100</f>
        <v/>
      </c>
      <c r="I40" s="201">
        <f>100</f>
        <v/>
      </c>
      <c r="J40" s="201">
        <f>100</f>
        <v/>
      </c>
      <c r="K40" s="201">
        <f>100</f>
        <v/>
      </c>
      <c r="L40" s="201">
        <f>$D$7</f>
        <v/>
      </c>
      <c r="M40" s="201">
        <f>$D$7</f>
        <v/>
      </c>
      <c r="N40" s="201">
        <f>$D$7</f>
        <v/>
      </c>
      <c r="O40" s="201">
        <f>$D$7</f>
        <v/>
      </c>
      <c r="P40" s="201">
        <f>$D$7</f>
        <v/>
      </c>
      <c r="Q40" s="201">
        <f>$D$7</f>
        <v/>
      </c>
      <c r="R40" s="201">
        <f>$D$7</f>
        <v/>
      </c>
      <c r="S40" s="201">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203" t="n"/>
      <c r="E41" s="162" t="inlineStr">
        <is>
          <t>From 2030, when Camden, Grootvlei, Hendrina, Arnot and Kriel are due to stop. Which sites, and how large, is not decided; the national gas requirement is used as a stand-in.</t>
        </is>
      </c>
      <c r="F41" s="203" t="n">
        <v>0</v>
      </c>
      <c r="G41" s="203" t="n">
        <v>0</v>
      </c>
      <c r="H41" s="203" t="n">
        <v>0</v>
      </c>
      <c r="I41" s="203" t="n">
        <v>0</v>
      </c>
      <c r="J41" s="203" t="n">
        <v>0</v>
      </c>
      <c r="K41" s="203" t="n">
        <v>0</v>
      </c>
      <c r="L41" s="203" t="n">
        <v>0</v>
      </c>
      <c r="M41" s="203" t="n">
        <v>0</v>
      </c>
      <c r="N41" s="203" t="n">
        <v>0</v>
      </c>
      <c r="O41" s="203" t="n">
        <v>0</v>
      </c>
      <c r="P41" s="203" t="n">
        <v>0</v>
      </c>
      <c r="Q41" s="203" t="n">
        <v>0</v>
      </c>
      <c r="R41" s="203" t="n">
        <v>0</v>
      </c>
      <c r="S41" s="203"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203" t="n"/>
      <c r="E47" s="162" t="inlineStr">
        <is>
          <t>Both stations to 2035.</t>
        </is>
      </c>
      <c r="F47" s="203" t="n">
        <v>1005</v>
      </c>
      <c r="G47" s="203" t="n">
        <v>1005</v>
      </c>
      <c r="H47" s="203" t="n">
        <v>1005</v>
      </c>
      <c r="I47" s="203" t="n">
        <v>1005</v>
      </c>
      <c r="J47" s="203" t="n">
        <v>1005</v>
      </c>
      <c r="K47" s="203" t="n">
        <v>1005</v>
      </c>
      <c r="L47" s="203" t="n">
        <v>1005</v>
      </c>
      <c r="M47" s="203" t="n">
        <v>1005</v>
      </c>
      <c r="N47" s="203" t="n">
        <v>1005</v>
      </c>
      <c r="O47" s="203" t="n">
        <v>1005</v>
      </c>
      <c r="P47" s="203" t="n">
        <v>1005</v>
      </c>
      <c r="Q47" s="203" t="n">
        <v>1005</v>
      </c>
      <c r="R47" s="203" t="n">
        <v>1005</v>
      </c>
      <c r="S47" s="203"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201" t="n"/>
      <c r="E48" s="162" t="inlineStr">
        <is>
          <t>100% until Eskom's stated gas switch in December 2027, then the backup share.</t>
        </is>
      </c>
      <c r="F48" s="201">
        <f>100</f>
        <v/>
      </c>
      <c r="G48" s="201">
        <f>100</f>
        <v/>
      </c>
      <c r="H48" s="201">
        <f>100</f>
        <v/>
      </c>
      <c r="I48" s="201">
        <f>100</f>
        <v/>
      </c>
      <c r="J48" s="201">
        <f>100</f>
        <v/>
      </c>
      <c r="K48" s="201">
        <f>100</f>
        <v/>
      </c>
      <c r="L48" s="201">
        <f>$D$7</f>
        <v/>
      </c>
      <c r="M48" s="201">
        <f>$D$7</f>
        <v/>
      </c>
      <c r="N48" s="201">
        <f>$D$7</f>
        <v/>
      </c>
      <c r="O48" s="201">
        <f>$D$7</f>
        <v/>
      </c>
      <c r="P48" s="201">
        <f>$D$7</f>
        <v/>
      </c>
      <c r="Q48" s="201">
        <f>$D$7</f>
        <v/>
      </c>
      <c r="R48" s="201">
        <f>$D$7</f>
        <v/>
      </c>
      <c r="S48" s="201">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203" t="n"/>
      <c r="E49" s="162" t="inlineStr">
        <is>
          <t>From 2030, when Camden, Grootvlei, Hendrina, Arnot and Kriel are due to stop. Which sites, and how large, is not decided; the national gas requirement is used as a stand-in.</t>
        </is>
      </c>
      <c r="F49" s="203" t="n">
        <v>0</v>
      </c>
      <c r="G49" s="203" t="n">
        <v>0</v>
      </c>
      <c r="H49" s="203" t="n">
        <v>0</v>
      </c>
      <c r="I49" s="203" t="n">
        <v>0</v>
      </c>
      <c r="J49" s="203" t="n">
        <v>0</v>
      </c>
      <c r="K49" s="203" t="n">
        <v>0</v>
      </c>
      <c r="L49" s="203" t="n">
        <v>0</v>
      </c>
      <c r="M49" s="203" t="n">
        <v>0</v>
      </c>
      <c r="N49" s="203" t="n">
        <v>3000</v>
      </c>
      <c r="O49" s="203" t="n">
        <v>3000</v>
      </c>
      <c r="P49" s="203" t="n">
        <v>3000</v>
      </c>
      <c r="Q49" s="203" t="n">
        <v>3000</v>
      </c>
      <c r="R49" s="203" t="n">
        <v>3000</v>
      </c>
      <c r="S49" s="203"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203" t="n"/>
      <c r="E55" s="162" t="inlineStr">
        <is>
          <t>Both stations to 2035.</t>
        </is>
      </c>
      <c r="F55" s="203" t="n">
        <v>1005</v>
      </c>
      <c r="G55" s="203" t="n">
        <v>1005</v>
      </c>
      <c r="H55" s="203" t="n">
        <v>1005</v>
      </c>
      <c r="I55" s="203" t="n">
        <v>1005</v>
      </c>
      <c r="J55" s="203" t="n">
        <v>1005</v>
      </c>
      <c r="K55" s="203" t="n">
        <v>1005</v>
      </c>
      <c r="L55" s="203" t="n">
        <v>1005</v>
      </c>
      <c r="M55" s="203" t="n">
        <v>1005</v>
      </c>
      <c r="N55" s="203" t="n">
        <v>1005</v>
      </c>
      <c r="O55" s="203" t="n">
        <v>1005</v>
      </c>
      <c r="P55" s="203" t="n">
        <v>1005</v>
      </c>
      <c r="Q55" s="203" t="n">
        <v>1005</v>
      </c>
      <c r="R55" s="203" t="n">
        <v>1005</v>
      </c>
      <c r="S55" s="203"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201" t="n"/>
      <c r="E56" s="162" t="inlineStr">
        <is>
          <t>100% throughout: the gas supply does not arrive.</t>
        </is>
      </c>
      <c r="F56" s="201">
        <f>100</f>
        <v/>
      </c>
      <c r="G56" s="201">
        <f>100</f>
        <v/>
      </c>
      <c r="H56" s="201">
        <f>100</f>
        <v/>
      </c>
      <c r="I56" s="201">
        <f>100</f>
        <v/>
      </c>
      <c r="J56" s="201">
        <f>100</f>
        <v/>
      </c>
      <c r="K56" s="201">
        <f>100</f>
        <v/>
      </c>
      <c r="L56" s="201">
        <f>100</f>
        <v/>
      </c>
      <c r="M56" s="201">
        <f>100</f>
        <v/>
      </c>
      <c r="N56" s="201">
        <f>100</f>
        <v/>
      </c>
      <c r="O56" s="201">
        <f>100</f>
        <v/>
      </c>
      <c r="P56" s="201">
        <f>100</f>
        <v/>
      </c>
      <c r="Q56" s="201">
        <f>100</f>
        <v/>
      </c>
      <c r="R56" s="201">
        <f>100</f>
        <v/>
      </c>
      <c r="S56" s="201">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203" t="n"/>
      <c r="E57" s="162" t="inlineStr">
        <is>
          <t>From 2030, when Camden, Grootvlei, Hendrina, Arnot and Kriel are due to stop. Which sites, and how large, is not decided; the national gas requirement is used as a stand-in.</t>
        </is>
      </c>
      <c r="F57" s="203" t="n">
        <v>0</v>
      </c>
      <c r="G57" s="203" t="n">
        <v>0</v>
      </c>
      <c r="H57" s="203" t="n">
        <v>0</v>
      </c>
      <c r="I57" s="203" t="n">
        <v>0</v>
      </c>
      <c r="J57" s="203" t="n">
        <v>0</v>
      </c>
      <c r="K57" s="203" t="n">
        <v>0</v>
      </c>
      <c r="L57" s="203" t="n">
        <v>0</v>
      </c>
      <c r="M57" s="203" t="n">
        <v>0</v>
      </c>
      <c r="N57" s="203" t="n">
        <v>6000</v>
      </c>
      <c r="O57" s="203" t="n">
        <v>6000</v>
      </c>
      <c r="P57" s="203" t="n">
        <v>6000</v>
      </c>
      <c r="Q57" s="203" t="n">
        <v>6000</v>
      </c>
      <c r="R57" s="203" t="n">
        <v>6000</v>
      </c>
      <c r="S57" s="203"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Both contracts end in August and September 2030 (system operator).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202" t="n">
        <v>78</v>
      </c>
      <c r="E18" s="156" t="inlineStr">
        <is>
          <t>Observed share. Column D is the model's fixed split of new vehicles.</t>
        </is>
      </c>
      <c r="F18" s="202">
        <f>IF(COUNT(F14,F17)&lt;2,"",F14/F17*100)</f>
        <v/>
      </c>
      <c r="G18" s="202">
        <f>IF(COUNT(G14,G17)&lt;2,"",G14/G17*100)</f>
        <v/>
      </c>
      <c r="H18" s="202">
        <f>IF(COUNT(H14,H17)&lt;2,"",H14/H17*100)</f>
        <v/>
      </c>
      <c r="I18" s="202">
        <f>IF(COUNT(I14,I17)&lt;2,"",I14/I17*100)</f>
        <v/>
      </c>
      <c r="J18" s="202">
        <f>IF(COUNT(J14,J17)&lt;2,"",J14/J17*100)</f>
        <v/>
      </c>
      <c r="K18" s="202">
        <f>IF(COUNT(K14,K17)&lt;2,"",K14/K17*100)</f>
        <v/>
      </c>
      <c r="L18" s="202">
        <f>IF(COUNT(L14,L17)&lt;2,"",L14/L17*100)</f>
        <v/>
      </c>
      <c r="M18" s="202">
        <f>IF(COUNT(M14,M17)&lt;2,"",M14/M17*100)</f>
        <v/>
      </c>
      <c r="N18" s="202">
        <f>IF(COUNT(N14,N17)&lt;2,"",N14/N17*100)</f>
        <v/>
      </c>
      <c r="O18" s="202">
        <f>IF(COUNT(O14,O17)&lt;2,"",O14/O17*100)</f>
        <v/>
      </c>
      <c r="P18" s="202">
        <f>IF(COUNT(P14,P17)&lt;2,"",P14/P17*100)</f>
        <v/>
      </c>
      <c r="Q18" s="202">
        <f>IF(COUNT(Q14,Q17)&lt;2,"",Q14/Q17*100)</f>
        <v/>
      </c>
      <c r="R18" s="202">
        <f>IF(COUNT(R14,R17)&lt;2,"",R14/R17*100)</f>
        <v/>
      </c>
      <c r="S18" s="202">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202" t="n">
        <v>18</v>
      </c>
      <c r="E19" s="156" t="inlineStr">
        <is>
          <t>Observed share. Column D is the model's fixed split of new vehicles.</t>
        </is>
      </c>
      <c r="F19" s="202">
        <f>IF(COUNT(F15,F17)&lt;2,"",F15/F17*100)</f>
        <v/>
      </c>
      <c r="G19" s="202">
        <f>IF(COUNT(G15,G17)&lt;2,"",G15/G17*100)</f>
        <v/>
      </c>
      <c r="H19" s="202">
        <f>IF(COUNT(H15,H17)&lt;2,"",H15/H17*100)</f>
        <v/>
      </c>
      <c r="I19" s="202">
        <f>IF(COUNT(I15,I17)&lt;2,"",I15/I17*100)</f>
        <v/>
      </c>
      <c r="J19" s="202">
        <f>IF(COUNT(J15,J17)&lt;2,"",J15/J17*100)</f>
        <v/>
      </c>
      <c r="K19" s="202">
        <f>IF(COUNT(K15,K17)&lt;2,"",K15/K17*100)</f>
        <v/>
      </c>
      <c r="L19" s="202">
        <f>IF(COUNT(L15,L17)&lt;2,"",L15/L17*100)</f>
        <v/>
      </c>
      <c r="M19" s="202">
        <f>IF(COUNT(M15,M17)&lt;2,"",M15/M17*100)</f>
        <v/>
      </c>
      <c r="N19" s="202">
        <f>IF(COUNT(N15,N17)&lt;2,"",N15/N17*100)</f>
        <v/>
      </c>
      <c r="O19" s="202">
        <f>IF(COUNT(O15,O17)&lt;2,"",O15/O17*100)</f>
        <v/>
      </c>
      <c r="P19" s="202">
        <f>IF(COUNT(P15,P17)&lt;2,"",P15/P17*100)</f>
        <v/>
      </c>
      <c r="Q19" s="202">
        <f>IF(COUNT(Q15,Q17)&lt;2,"",Q15/Q17*100)</f>
        <v/>
      </c>
      <c r="R19" s="202">
        <f>IF(COUNT(R15,R17)&lt;2,"",R15/R17*100)</f>
        <v/>
      </c>
      <c r="S19" s="202">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202" t="n">
        <v>4</v>
      </c>
      <c r="E20" s="156" t="inlineStr">
        <is>
          <t>Observed share. Column D is the model's fixed split of new vehicles.</t>
        </is>
      </c>
      <c r="F20" s="202">
        <f>IF(COUNT(F16,F17)&lt;2,"",F16/F17*100)</f>
        <v/>
      </c>
      <c r="G20" s="202">
        <f>IF(COUNT(G16,G17)&lt;2,"",G16/G17*100)</f>
        <v/>
      </c>
      <c r="H20" s="202">
        <f>IF(COUNT(H16,H17)&lt;2,"",H16/H17*100)</f>
        <v/>
      </c>
      <c r="I20" s="202">
        <f>IF(COUNT(I16,I17)&lt;2,"",I16/I17*100)</f>
        <v/>
      </c>
      <c r="J20" s="202">
        <f>IF(COUNT(J16,J17)&lt;2,"",J16/J17*100)</f>
        <v/>
      </c>
      <c r="K20" s="202">
        <f>IF(COUNT(K16,K17)&lt;2,"",K16/K17*100)</f>
        <v/>
      </c>
      <c r="L20" s="202">
        <f>IF(COUNT(L16,L17)&lt;2,"",L16/L17*100)</f>
        <v/>
      </c>
      <c r="M20" s="202">
        <f>IF(COUNT(M16,M17)&lt;2,"",M16/M17*100)</f>
        <v/>
      </c>
      <c r="N20" s="202">
        <f>IF(COUNT(N16,N17)&lt;2,"",N16/N17*100)</f>
        <v/>
      </c>
      <c r="O20" s="202">
        <f>IF(COUNT(O16,O17)&lt;2,"",O16/O17*100)</f>
        <v/>
      </c>
      <c r="P20" s="202">
        <f>IF(COUNT(P16,P17)&lt;2,"",P16/P17*100)</f>
        <v/>
      </c>
      <c r="Q20" s="202">
        <f>IF(COUNT(Q16,Q17)&lt;2,"",Q16/Q17*100)</f>
        <v/>
      </c>
      <c r="R20" s="202">
        <f>IF(COUNT(R16,R17)&lt;2,"",R16/R17*100)</f>
        <v/>
      </c>
      <c r="S20" s="202">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202" t="n">
        <v>4</v>
      </c>
      <c r="E24" s="156" t="inlineStr">
        <is>
          <t>Retired divided by last December's stock. Column D is the model's scrappage rate.</t>
        </is>
      </c>
      <c r="F24" s="202" t="n"/>
      <c r="G24" s="202">
        <f>IF(ISNUMBER(G23),G23/F6*100,"")</f>
        <v/>
      </c>
      <c r="H24" s="202">
        <f>IF(ISNUMBER(H23),H23/G6*100,"")</f>
        <v/>
      </c>
      <c r="I24" s="202">
        <f>IF(ISNUMBER(I23),I23/H6*100,"")</f>
        <v/>
      </c>
      <c r="J24" s="202">
        <f>IF(ISNUMBER(J23),J23/I6*100,"")</f>
        <v/>
      </c>
      <c r="K24" s="202">
        <f>IF(ISNUMBER(K23),K23/J6*100,"")</f>
        <v/>
      </c>
      <c r="L24" s="202">
        <f>IF(ISNUMBER(L23),L23/K6*100,"")</f>
        <v/>
      </c>
      <c r="M24" s="202">
        <f>IF(ISNUMBER(M23),M23/L6*100,"")</f>
        <v/>
      </c>
      <c r="N24" s="202">
        <f>IF(ISNUMBER(N23),N23/M6*100,"")</f>
        <v/>
      </c>
      <c r="O24" s="202">
        <f>IF(ISNUMBER(O23),O23/N6*100,"")</f>
        <v/>
      </c>
      <c r="P24" s="202">
        <f>IF(ISNUMBER(P23),P23/O6*100,"")</f>
        <v/>
      </c>
      <c r="Q24" s="202">
        <f>IF(ISNUMBER(Q23),Q23/P6*100,"")</f>
        <v/>
      </c>
      <c r="R24" s="202">
        <f>IF(ISNUMBER(R23),R23/Q6*100,"")</f>
        <v/>
      </c>
      <c r="S24" s="202">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202" t="n">
        <v>5</v>
      </c>
      <c r="E26" s="156" t="inlineStr">
        <is>
          <t>Retired divided by last December's stock. Column D is the model's scrappage rate.</t>
        </is>
      </c>
      <c r="F26" s="202" t="n"/>
      <c r="G26" s="202">
        <f>IF(ISNUMBER(G25),G25/F7*100,"")</f>
        <v/>
      </c>
      <c r="H26" s="202">
        <f>IF(ISNUMBER(H25),H25/G7*100,"")</f>
        <v/>
      </c>
      <c r="I26" s="202">
        <f>IF(ISNUMBER(I25),I25/H7*100,"")</f>
        <v/>
      </c>
      <c r="J26" s="202">
        <f>IF(ISNUMBER(J25),J25/I7*100,"")</f>
        <v/>
      </c>
      <c r="K26" s="202">
        <f>IF(ISNUMBER(K25),K25/J7*100,"")</f>
        <v/>
      </c>
      <c r="L26" s="202">
        <f>IF(ISNUMBER(L25),L25/K7*100,"")</f>
        <v/>
      </c>
      <c r="M26" s="202">
        <f>IF(ISNUMBER(M25),M25/L7*100,"")</f>
        <v/>
      </c>
      <c r="N26" s="202">
        <f>IF(ISNUMBER(N25),N25/M7*100,"")</f>
        <v/>
      </c>
      <c r="O26" s="202">
        <f>IF(ISNUMBER(O25),O25/N7*100,"")</f>
        <v/>
      </c>
      <c r="P26" s="202">
        <f>IF(ISNUMBER(P25),P25/O7*100,"")</f>
        <v/>
      </c>
      <c r="Q26" s="202">
        <f>IF(ISNUMBER(Q25),Q25/P7*100,"")</f>
        <v/>
      </c>
      <c r="R26" s="202">
        <f>IF(ISNUMBER(R25),R25/Q7*100,"")</f>
        <v/>
      </c>
      <c r="S26" s="202">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202" t="n">
        <v>6</v>
      </c>
      <c r="E28" s="156" t="inlineStr">
        <is>
          <t>Retired divided by last December's stock. Column D is the model's scrappage rate.</t>
        </is>
      </c>
      <c r="F28" s="202" t="n"/>
      <c r="G28" s="202">
        <f>IF(ISNUMBER(G27),G27/F8*100,"")</f>
        <v/>
      </c>
      <c r="H28" s="202">
        <f>IF(ISNUMBER(H27),H27/G8*100,"")</f>
        <v/>
      </c>
      <c r="I28" s="202">
        <f>IF(ISNUMBER(I27),I27/H8*100,"")</f>
        <v/>
      </c>
      <c r="J28" s="202">
        <f>IF(ISNUMBER(J27),J27/I8*100,"")</f>
        <v/>
      </c>
      <c r="K28" s="202">
        <f>IF(ISNUMBER(K27),K27/J8*100,"")</f>
        <v/>
      </c>
      <c r="L28" s="202">
        <f>IF(ISNUMBER(L27),L27/K8*100,"")</f>
        <v/>
      </c>
      <c r="M28" s="202">
        <f>IF(ISNUMBER(M27),M27/L8*100,"")</f>
        <v/>
      </c>
      <c r="N28" s="202">
        <f>IF(ISNUMBER(N27),N27/M8*100,"")</f>
        <v/>
      </c>
      <c r="O28" s="202">
        <f>IF(ISNUMBER(O27),O27/N8*100,"")</f>
        <v/>
      </c>
      <c r="P28" s="202">
        <f>IF(ISNUMBER(P27),P27/O8*100,"")</f>
        <v/>
      </c>
      <c r="Q28" s="202">
        <f>IF(ISNUMBER(Q27),Q27/P8*100,"")</f>
        <v/>
      </c>
      <c r="R28" s="202">
        <f>IF(ISNUMBER(R27),R27/Q8*100,"")</f>
        <v/>
      </c>
      <c r="S28" s="202">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78" t="n"/>
      <c r="E32" s="156" t="inlineStr">
        <is>
          <t>Share of all new vehicles sold in the year.</t>
        </is>
      </c>
      <c r="F32" s="178">
        <f>IF(COUNT(F31,F17)&lt;2,"",F31/F17*100)</f>
        <v/>
      </c>
      <c r="G32" s="178">
        <f>IF(COUNT(G31,G17)&lt;2,"",G31/G17*100)</f>
        <v/>
      </c>
      <c r="H32" s="178">
        <f>IF(COUNT(H31,H17)&lt;2,"",H31/H17*100)</f>
        <v/>
      </c>
      <c r="I32" s="178">
        <f>IF(COUNT(I31,I17)&lt;2,"",I31/I17*100)</f>
        <v/>
      </c>
      <c r="J32" s="178">
        <f>IF(COUNT(J31,J17)&lt;2,"",J31/J17*100)</f>
        <v/>
      </c>
      <c r="K32" s="178">
        <f>IF(COUNT(K31,K17)&lt;2,"",K31/K17*100)</f>
        <v/>
      </c>
      <c r="L32" s="178">
        <f>IF(COUNT(L31,L17)&lt;2,"",L31/L17*100)</f>
        <v/>
      </c>
      <c r="M32" s="178">
        <f>IF(COUNT(M31,M17)&lt;2,"",M31/M17*100)</f>
        <v/>
      </c>
      <c r="N32" s="178">
        <f>IF(COUNT(N31,N17)&lt;2,"",N31/N17*100)</f>
        <v/>
      </c>
      <c r="O32" s="178">
        <f>IF(COUNT(O31,O17)&lt;2,"",O31/O17*100)</f>
        <v/>
      </c>
      <c r="P32" s="178">
        <f>IF(COUNT(P31,P17)&lt;2,"",P31/P17*100)</f>
        <v/>
      </c>
      <c r="Q32" s="178">
        <f>IF(COUNT(Q31,Q17)&lt;2,"",Q31/Q17*100)</f>
        <v/>
      </c>
      <c r="R32" s="178">
        <f>IF(COUNT(R31,R17)&lt;2,"",R31/R17*100)</f>
        <v/>
      </c>
      <c r="S32" s="178">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78" t="n"/>
      <c r="E34" s="156" t="inlineStr">
        <is>
          <t>Share of all new vehicles sold in the year.</t>
        </is>
      </c>
      <c r="F34" s="178">
        <f>IF(COUNT(F33,F17)&lt;2,"",F33/F17*100)</f>
        <v/>
      </c>
      <c r="G34" s="178">
        <f>IF(COUNT(G33,G17)&lt;2,"",G33/G17*100)</f>
        <v/>
      </c>
      <c r="H34" s="178">
        <f>IF(COUNT(H33,H17)&lt;2,"",H33/H17*100)</f>
        <v/>
      </c>
      <c r="I34" s="178">
        <f>IF(COUNT(I33,I17)&lt;2,"",I33/I17*100)</f>
        <v/>
      </c>
      <c r="J34" s="178">
        <f>IF(COUNT(J33,J17)&lt;2,"",J33/J17*100)</f>
        <v/>
      </c>
      <c r="K34" s="178">
        <f>IF(COUNT(K33,K17)&lt;2,"",K33/K17*100)</f>
        <v/>
      </c>
      <c r="L34" s="178">
        <f>IF(COUNT(L33,L17)&lt;2,"",L33/L17*100)</f>
        <v/>
      </c>
      <c r="M34" s="178">
        <f>IF(COUNT(M33,M17)&lt;2,"",M33/M17*100)</f>
        <v/>
      </c>
      <c r="N34" s="178">
        <f>IF(COUNT(N33,N17)&lt;2,"",N33/N17*100)</f>
        <v/>
      </c>
      <c r="O34" s="178">
        <f>IF(COUNT(O33,O17)&lt;2,"",O33/O17*100)</f>
        <v/>
      </c>
      <c r="P34" s="178">
        <f>IF(COUNT(P33,P17)&lt;2,"",P33/P17*100)</f>
        <v/>
      </c>
      <c r="Q34" s="178">
        <f>IF(COUNT(Q33,Q17)&lt;2,"",Q33/Q17*100)</f>
        <v/>
      </c>
      <c r="R34" s="178">
        <f>IF(COUNT(R33,R17)&lt;2,"",R33/R17*100)</f>
        <v/>
      </c>
      <c r="S34" s="178">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78" t="n"/>
      <c r="E36" s="156" t="inlineStr">
        <is>
          <t>Share of all new vehicles sold in the year.</t>
        </is>
      </c>
      <c r="F36" s="178">
        <f>IF(COUNT(F35,F17)&lt;2,"",F35/F17*100)</f>
        <v/>
      </c>
      <c r="G36" s="178">
        <f>IF(COUNT(G35,G17)&lt;2,"",G35/G17*100)</f>
        <v/>
      </c>
      <c r="H36" s="178">
        <f>IF(COUNT(H35,H17)&lt;2,"",H35/H17*100)</f>
        <v/>
      </c>
      <c r="I36" s="178">
        <f>IF(COUNT(I35,I17)&lt;2,"",I35/I17*100)</f>
        <v/>
      </c>
      <c r="J36" s="178">
        <f>IF(COUNT(J35,J17)&lt;2,"",J35/J17*100)</f>
        <v/>
      </c>
      <c r="K36" s="178">
        <f>IF(COUNT(K35,K17)&lt;2,"",K35/K17*100)</f>
        <v/>
      </c>
      <c r="L36" s="178">
        <f>IF(COUNT(L35,L17)&lt;2,"",L35/L17*100)</f>
        <v/>
      </c>
      <c r="M36" s="178">
        <f>IF(COUNT(M35,M17)&lt;2,"",M35/M17*100)</f>
        <v/>
      </c>
      <c r="N36" s="178">
        <f>IF(COUNT(N35,N17)&lt;2,"",N35/N17*100)</f>
        <v/>
      </c>
      <c r="O36" s="178">
        <f>IF(COUNT(O35,O17)&lt;2,"",O35/O17*100)</f>
        <v/>
      </c>
      <c r="P36" s="178">
        <f>IF(COUNT(P35,P17)&lt;2,"",P35/P17*100)</f>
        <v/>
      </c>
      <c r="Q36" s="178">
        <f>IF(COUNT(Q35,Q17)&lt;2,"",Q35/Q17*100)</f>
        <v/>
      </c>
      <c r="R36" s="178">
        <f>IF(COUNT(R35,R17)&lt;2,"",R35/R17*100)</f>
        <v/>
      </c>
      <c r="S36" s="178">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204" t="inlineStr">
        <is>
          <t>diesel</t>
        </is>
      </c>
      <c r="B5" s="204" t="inlineStr">
        <is>
          <t>road_activity</t>
        </is>
      </c>
      <c r="C5" s="204" t="inlineStr">
        <is>
          <t>index_2024_100</t>
        </is>
      </c>
      <c r="D5" s="204" t="inlineStr">
        <is>
          <t>100</t>
        </is>
      </c>
      <c r="E5" s="204" t="inlineStr">
        <is>
          <t>road freight payload 980 Mt in 2024 (Stats SA P7162)</t>
        </is>
      </c>
      <c r="F5" s="204" t="inlineStr">
        <is>
          <t>95 / 115 / 135</t>
        </is>
      </c>
      <c r="G5" s="204" t="inlineStr">
        <is>
          <t>95 / 115 / 135</t>
        </is>
      </c>
      <c r="H5" s="204" t="inlineStr">
        <is>
          <t>95 / 135 / 175</t>
        </is>
      </c>
      <c r="I5" s="204" t="inlineStr">
        <is>
          <t>95 / 135 / 150</t>
        </is>
      </c>
      <c r="J5" s="204" t="inlineStr">
        <is>
          <t>replacement proposed</t>
        </is>
      </c>
      <c r="K5" s="204"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204" t="inlineStr">
        <is>
          <t>diesel</t>
        </is>
      </c>
      <c r="B6" s="204" t="inlineStr">
        <is>
          <t>rail_diversion</t>
        </is>
      </c>
      <c r="C6" s="204" t="inlineStr">
        <is>
          <t>percent</t>
        </is>
      </c>
      <c r="D6" s="204" t="inlineStr">
        <is>
          <t>0</t>
        </is>
      </c>
      <c r="E6" s="204" t="inlineStr">
        <is>
          <t>rail 161 Mt and road 980 Mt in 2024 (Stats SA P7162)</t>
        </is>
      </c>
      <c r="F6" s="204" t="inlineStr">
        <is>
          <t>0 / 10 / 20</t>
        </is>
      </c>
      <c r="G6" s="204" t="inlineStr">
        <is>
          <t>0 / 3 / 9</t>
        </is>
      </c>
      <c r="H6" s="204" t="inlineStr">
        <is>
          <t>0 / 20 / 35</t>
        </is>
      </c>
      <c r="I6" s="204" t="inlineStr">
        <is>
          <t>0 / 7 / 13</t>
        </is>
      </c>
      <c r="J6" s="204" t="inlineStr">
        <is>
          <t>replacement proposed</t>
        </is>
      </c>
      <c r="K6" s="204"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204" t="inlineStr">
        <is>
          <t>diesel</t>
        </is>
      </c>
      <c r="B7" s="204" t="inlineStr">
        <is>
          <t>ocgt_generation</t>
        </is>
      </c>
      <c r="C7" s="204" t="inlineStr">
        <is>
          <t>index_FY2024_100</t>
        </is>
      </c>
      <c r="D7" s="204" t="inlineStr">
        <is>
          <t>100</t>
        </is>
      </c>
      <c r="E7" s="204" t="inlineStr">
        <is>
          <t>Eskom and independent OCGT output 5,143 GWh, year to March 2024</t>
        </is>
      </c>
      <c r="F7" s="204" t="inlineStr">
        <is>
          <t>10 / 25 / 60</t>
        </is>
      </c>
      <c r="G7" s="204" t="inlineStr">
        <is>
          <t>10 / 25 / 60</t>
        </is>
      </c>
      <c r="H7" s="204" t="inlineStr">
        <is>
          <t>5 / 15 / 50</t>
        </is>
      </c>
      <c r="I7" s="204" t="inlineStr">
        <is>
          <t>5 / 15 / 50</t>
        </is>
      </c>
      <c r="J7" s="204" t="inlineStr">
        <is>
          <t>no change</t>
        </is>
      </c>
      <c r="K7" s="204" t="inlineStr">
        <is>
          <t>Year to March 2025 is 55 and year to March 2026 is 21 on this index, so the medium of 25 in 2030 holds today's level. Reported burn is 0.31 litres per kWh in three years. No change proposed.</t>
        </is>
      </c>
    </row>
    <row r="8">
      <c r="A8" s="204" t="inlineStr">
        <is>
          <t>diesel</t>
        </is>
      </c>
      <c r="B8" s="204" t="inlineStr">
        <is>
          <t>new_cohort_efficiency</t>
        </is>
      </c>
      <c r="C8" s="204" t="inlineStr">
        <is>
          <t>percent_per_year</t>
        </is>
      </c>
      <c r="D8" s="204" t="inlineStr">
        <is>
          <t>0.5 to 1.0</t>
        </is>
      </c>
      <c r="E8" s="204" t="inlineStr">
        <is>
          <t>registered diesel efficiency paths (low and high demand cases)</t>
        </is>
      </c>
      <c r="F8" s="204" t="inlineStr">
        <is>
          <t>0.5 / 0.75 / 1</t>
        </is>
      </c>
      <c r="G8" s="204" t="inlineStr">
        <is>
          <t>0.5 / 0.75 / 1</t>
        </is>
      </c>
      <c r="H8" s="204" t="inlineStr">
        <is>
          <t>0.5 / 0.75 / 1</t>
        </is>
      </c>
      <c r="I8" s="204" t="inlineStr">
        <is>
          <t>0.5 / 0.75 / 1</t>
        </is>
      </c>
      <c r="J8" s="204" t="inlineStr">
        <is>
          <t>no change</t>
        </is>
      </c>
      <c r="K8" s="204" t="inlineStr">
        <is>
          <t>Low and high equal the registered endpoints. Neither has a source. No change proposed.</t>
        </is>
      </c>
    </row>
    <row r="9">
      <c r="A9" s="204" t="inlineStr">
        <is>
          <t>diesel</t>
        </is>
      </c>
      <c r="B9" s="204" t="inlineStr">
        <is>
          <t>plant_utilisation</t>
        </is>
      </c>
      <c r="C9" s="204" t="inlineStr">
        <is>
          <t>percent</t>
        </is>
      </c>
      <c r="D9" s="204" t="inlineStr">
        <is>
          <t>67</t>
        </is>
      </c>
      <c r="E9" s="204" t="inlineStr">
        <is>
          <t>reported 2024 output over reported capacity, three plants; indicative</t>
        </is>
      </c>
      <c r="F9" s="204" t="inlineStr">
        <is>
          <t>60 / 75 / 90</t>
        </is>
      </c>
      <c r="G9" s="204" t="inlineStr">
        <is>
          <t>60 / 75 / 90</t>
        </is>
      </c>
      <c r="H9" s="204" t="inlineStr">
        <is>
          <t>60 / 75 / 90</t>
        </is>
      </c>
      <c r="I9" s="204" t="inlineStr">
        <is>
          <t>60 / 75 / 90</t>
        </is>
      </c>
      <c r="J9" s="204" t="inlineStr">
        <is>
          <t>no change</t>
        </is>
      </c>
      <c r="K9" s="204"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204" t="inlineStr">
        <is>
          <t>diesel</t>
        </is>
      </c>
      <c r="B10" s="204" t="inlineStr">
        <is>
          <t>product_yield</t>
        </is>
      </c>
      <c r="C10" s="204" t="inlineStr">
        <is>
          <t>percent</t>
        </is>
      </c>
      <c r="D10" s="204" t="inlineStr">
        <is>
          <t>29</t>
        </is>
      </c>
      <c r="E10" s="204" t="inlineStr">
        <is>
          <t>diesel share of refinery output in 2024 (JODI; lowest reliability)</t>
        </is>
      </c>
      <c r="F10" s="204" t="inlineStr">
        <is>
          <t>20 / 25 / 30</t>
        </is>
      </c>
      <c r="G10" s="204" t="inlineStr">
        <is>
          <t>25 / 30 / 40</t>
        </is>
      </c>
      <c r="H10" s="204" t="inlineStr">
        <is>
          <t>20 / 25 / 30</t>
        </is>
      </c>
      <c r="I10" s="204" t="inlineStr">
        <is>
          <t>25 / 30 / 40</t>
        </is>
      </c>
      <c r="J10" s="204" t="inlineStr">
        <is>
          <t>replacement proposed</t>
        </is>
      </c>
      <c r="K10" s="204"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204" t="inlineStr">
        <is>
          <t>diesel</t>
        </is>
      </c>
      <c r="B11" s="204" t="inlineStr">
        <is>
          <t>restart_capacity</t>
        </is>
      </c>
      <c r="C11" s="204" t="inlineStr">
        <is>
          <t>thousand_bbl_per_day</t>
        </is>
      </c>
      <c r="D11" s="204" t="inlineStr">
        <is>
          <t>0</t>
        </is>
      </c>
      <c r="E11" s="204" t="inlineStr">
        <is>
          <t>no committed addition</t>
        </is>
      </c>
      <c r="F11" s="204" t="inlineStr">
        <is>
          <t>0 / 0 / 0</t>
        </is>
      </c>
      <c r="G11" s="204" t="inlineStr">
        <is>
          <t>0 / 0 / 0</t>
        </is>
      </c>
      <c r="H11" s="204" t="inlineStr">
        <is>
          <t>0 / 0 / 400</t>
        </is>
      </c>
      <c r="I11" s="204" t="inlineStr">
        <is>
          <t>0 / 0 / 400</t>
        </is>
      </c>
      <c r="J11" s="204" t="inlineStr">
        <is>
          <t>no change</t>
        </is>
      </c>
      <c r="K11" s="204" t="inlineStr">
        <is>
          <t>Existing conditional illustration; no investment decision, timing or product slate is sourced.</t>
        </is>
      </c>
    </row>
    <row r="12">
      <c r="A12" s="204" t="inlineStr">
        <is>
          <t>jet</t>
        </is>
      </c>
      <c r="B12" s="204" t="inlineStr">
        <is>
          <t>aircraft_movements</t>
        </is>
      </c>
      <c r="C12" s="204" t="inlineStr">
        <is>
          <t>index_2024_100</t>
        </is>
      </c>
      <c r="D12" s="204" t="inlineStr">
        <is>
          <t>100</t>
        </is>
      </c>
      <c r="E12" s="204" t="inlineStr">
        <is>
          <t>456,214 movements at ACSA airports in 2024</t>
        </is>
      </c>
      <c r="F12" s="204" t="inlineStr">
        <is>
          <t>100 / 120 / 140</t>
        </is>
      </c>
      <c r="G12" s="204" t="inlineStr">
        <is>
          <t>100 / 110 / 125</t>
        </is>
      </c>
      <c r="H12" s="204" t="inlineStr">
        <is>
          <t>100 / 145 / 190</t>
        </is>
      </c>
      <c r="I12" s="204" t="inlineStr">
        <is>
          <t>100 / 120 / 140</t>
        </is>
      </c>
      <c r="J12" s="204" t="inlineStr">
        <is>
          <t>replacement proposed</t>
        </is>
      </c>
      <c r="K12" s="204"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204" t="inlineStr">
        <is>
          <t>jet</t>
        </is>
      </c>
      <c r="B13" s="204" t="inlineStr">
        <is>
          <t>fuel_burn_per_movement</t>
        </is>
      </c>
      <c r="C13" s="204" t="inlineStr">
        <is>
          <t>index_2024_100</t>
        </is>
      </c>
      <c r="D13" s="204" t="inlineStr">
        <is>
          <t>100</t>
        </is>
      </c>
      <c r="E13" s="204" t="inlineStr">
        <is>
          <t>4,090 litres of jet sold per movement in 2024</t>
        </is>
      </c>
      <c r="F13" s="204" t="inlineStr">
        <is>
          <t>80 / 90 / 100</t>
        </is>
      </c>
      <c r="G13" s="204" t="inlineStr">
        <is>
          <t>80 / 90 / 113</t>
        </is>
      </c>
      <c r="H13" s="204" t="inlineStr">
        <is>
          <t>65 / 80 / 100</t>
        </is>
      </c>
      <c r="I13" s="204" t="inlineStr">
        <is>
          <t>65 / 80 / 113</t>
        </is>
      </c>
      <c r="J13" s="204" t="inlineStr">
        <is>
          <t>replacement proposed</t>
        </is>
      </c>
      <c r="K13" s="204"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204" t="inlineStr">
        <is>
          <t>jet</t>
        </is>
      </c>
      <c r="B14" s="204" t="inlineStr">
        <is>
          <t>saf_volume_share</t>
        </is>
      </c>
      <c r="C14" s="204" t="inlineStr">
        <is>
          <t>percent</t>
        </is>
      </c>
      <c r="D14" s="204" t="inlineStr">
        <is>
          <t>0</t>
        </is>
      </c>
      <c r="E14" s="204" t="inlineStr">
        <is>
          <t>no sustainable aviation fuel supply recorded in the sources held; unsourced</t>
        </is>
      </c>
      <c r="F14" s="204" t="inlineStr">
        <is>
          <t>0 / 2 / 5</t>
        </is>
      </c>
      <c r="G14" s="204" t="inlineStr">
        <is>
          <t>0 / 2 / 5</t>
        </is>
      </c>
      <c r="H14" s="204" t="inlineStr">
        <is>
          <t>0 / 5 / 10</t>
        </is>
      </c>
      <c r="I14" s="204" t="inlineStr">
        <is>
          <t>0 / 5 / 10</t>
        </is>
      </c>
      <c r="J14" s="204" t="inlineStr">
        <is>
          <t>no change</t>
        </is>
      </c>
      <c r="K14" s="204" t="inlineStr">
        <is>
          <t>No South African blend requirement is sourced. No change proposed.</t>
        </is>
      </c>
    </row>
    <row r="15">
      <c r="A15" s="204" t="inlineStr">
        <is>
          <t>jet</t>
        </is>
      </c>
      <c r="B15" s="204" t="inlineStr">
        <is>
          <t>plant_utilisation</t>
        </is>
      </c>
      <c r="C15" s="204" t="inlineStr">
        <is>
          <t>percent</t>
        </is>
      </c>
      <c r="D15" s="204" t="inlineStr">
        <is>
          <t>67</t>
        </is>
      </c>
      <c r="E15" s="204" t="inlineStr">
        <is>
          <t>reported 2024 output over reported capacity, three plants; indicative</t>
        </is>
      </c>
      <c r="F15" s="204" t="inlineStr">
        <is>
          <t>60 / 75 / 90</t>
        </is>
      </c>
      <c r="G15" s="204" t="inlineStr">
        <is>
          <t>60 / 75 / 90</t>
        </is>
      </c>
      <c r="H15" s="204" t="inlineStr">
        <is>
          <t>60 / 75 / 90</t>
        </is>
      </c>
      <c r="I15" s="204" t="inlineStr">
        <is>
          <t>60 / 75 / 90</t>
        </is>
      </c>
      <c r="J15" s="204" t="inlineStr">
        <is>
          <t>no change</t>
        </is>
      </c>
      <c r="K15" s="204"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204" t="inlineStr">
        <is>
          <t>jet</t>
        </is>
      </c>
      <c r="B16" s="204" t="inlineStr">
        <is>
          <t>product_yield</t>
        </is>
      </c>
      <c r="C16" s="204" t="inlineStr">
        <is>
          <t>percent</t>
        </is>
      </c>
      <c r="D16" s="204" t="inlineStr">
        <is>
          <t>10</t>
        </is>
      </c>
      <c r="E16" s="204" t="inlineStr">
        <is>
          <t>registered legacy yield for capable plants</t>
        </is>
      </c>
      <c r="F16" s="204" t="inlineStr">
        <is>
          <t>5 / 10 / 15</t>
        </is>
      </c>
      <c r="G16" s="204" t="inlineStr">
        <is>
          <t>5 / 10 / 15</t>
        </is>
      </c>
      <c r="H16" s="204" t="inlineStr">
        <is>
          <t>5 / 10 / 15</t>
        </is>
      </c>
      <c r="I16" s="204" t="inlineStr">
        <is>
          <t>5 / 10 / 15</t>
        </is>
      </c>
      <c r="J16" s="204" t="inlineStr">
        <is>
          <t>no change</t>
        </is>
      </c>
      <c r="K16" s="204" t="inlineStr">
        <is>
          <t>Jet was 5 to 8% of the five fuels produced in the 2017-2021 energy balances, consistent with the range. No change proposed.</t>
        </is>
      </c>
    </row>
    <row r="17">
      <c r="A17" s="204" t="inlineStr">
        <is>
          <t>jet</t>
        </is>
      </c>
      <c r="B17" s="204" t="inlineStr">
        <is>
          <t>restart_capacity</t>
        </is>
      </c>
      <c r="C17" s="204" t="inlineStr">
        <is>
          <t>thousand_bbl_per_day</t>
        </is>
      </c>
      <c r="D17" s="204" t="inlineStr">
        <is>
          <t>0</t>
        </is>
      </c>
      <c r="E17" s="204" t="inlineStr">
        <is>
          <t>no committed addition</t>
        </is>
      </c>
      <c r="F17" s="204" t="inlineStr">
        <is>
          <t>0 / 0 / 0</t>
        </is>
      </c>
      <c r="G17" s="204" t="inlineStr">
        <is>
          <t>0 / 0 / 0</t>
        </is>
      </c>
      <c r="H17" s="204" t="inlineStr">
        <is>
          <t>0 / 0 / 400</t>
        </is>
      </c>
      <c r="I17" s="204" t="inlineStr">
        <is>
          <t>0 / 0 / 400</t>
        </is>
      </c>
      <c r="J17" s="204" t="inlineStr">
        <is>
          <t>no change</t>
        </is>
      </c>
      <c r="K17" s="204" t="inlineStr">
        <is>
          <t>Existing conditional illustration; no investment decision, timing or product slate is sourced.</t>
        </is>
      </c>
    </row>
    <row r="18">
      <c r="A18" s="204" t="inlineStr">
        <is>
          <t>petrol</t>
        </is>
      </c>
      <c r="B18" s="204" t="inlineStr">
        <is>
          <t>passenger_mileage</t>
        </is>
      </c>
      <c r="C18" s="204" t="inlineStr">
        <is>
          <t>km_per_vehicle_year</t>
        </is>
      </c>
      <c r="D18" s="204" t="inlineStr">
        <is>
          <t>17000</t>
        </is>
      </c>
      <c r="E18" s="204" t="inlineStr">
        <is>
          <t>registered placeholder; not an observation</t>
        </is>
      </c>
      <c r="F18" s="204" t="inlineStr">
        <is>
          <t>13600 / 17000 / 20400</t>
        </is>
      </c>
      <c r="G18" s="204" t="inlineStr">
        <is>
          <t>12900 / 14500 / 17000</t>
        </is>
      </c>
      <c r="H18" s="204" t="inlineStr">
        <is>
          <t>13600 / 17000 / 20400</t>
        </is>
      </c>
      <c r="I18" s="204" t="inlineStr">
        <is>
          <t>12900 / 14500 / 17000</t>
        </is>
      </c>
      <c r="J18" s="204" t="inlineStr">
        <is>
          <t>replacement proposed</t>
        </is>
      </c>
      <c r="K18" s="204"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204" t="inlineStr">
        <is>
          <t>petrol</t>
        </is>
      </c>
      <c r="B19" s="204" t="inlineStr">
        <is>
          <t>gdp_growth</t>
        </is>
      </c>
      <c r="C19" s="204" t="inlineStr">
        <is>
          <t>percent_per_year</t>
        </is>
      </c>
      <c r="D19" s="204" t="inlineStr">
        <is>
          <t>0.5</t>
        </is>
      </c>
      <c r="E19" s="204" t="inlineStr">
        <is>
          <t>real GDP growth in 2024 (Stats SA P0441)</t>
        </is>
      </c>
      <c r="F19" s="204" t="inlineStr">
        <is>
          <t>1 / 2 / 3</t>
        </is>
      </c>
      <c r="G19" s="204" t="inlineStr">
        <is>
          <t>0.7 / 1.6 / 2</t>
        </is>
      </c>
      <c r="H19" s="204" t="inlineStr">
        <is>
          <t>1 / 2 / 3</t>
        </is>
      </c>
      <c r="I19" s="204" t="inlineStr">
        <is>
          <t>0.7 / 1.6 / 2</t>
        </is>
      </c>
      <c r="J19" s="204" t="inlineStr">
        <is>
          <t>replacement proposed</t>
        </is>
      </c>
      <c r="K19" s="204"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204" t="inlineStr">
        <is>
          <t>petrol</t>
        </is>
      </c>
      <c r="B20" s="204" t="inlineStr">
        <is>
          <t>bev_new_sales_share</t>
        </is>
      </c>
      <c r="C20" s="204" t="inlineStr">
        <is>
          <t>percent</t>
        </is>
      </c>
      <c r="D20" s="204" t="inlineStr">
        <is>
          <t>0.2</t>
        </is>
      </c>
      <c r="E20" s="204" t="inlineStr">
        <is>
          <t>1,088 battery electric vehicles sold in 2025, share of all new vehicles (naamsa)</t>
        </is>
      </c>
      <c r="F20" s="204" t="inlineStr">
        <is>
          <t>5 / 15 / 30</t>
        </is>
      </c>
      <c r="G20" s="204" t="inlineStr">
        <is>
          <t>0.5 / 4 / 20</t>
        </is>
      </c>
      <c r="H20" s="204" t="inlineStr">
        <is>
          <t>15 / 35 / 60</t>
        </is>
      </c>
      <c r="I20" s="204" t="inlineStr">
        <is>
          <t>2 / 15 / 40</t>
        </is>
      </c>
      <c r="J20" s="204" t="inlineStr">
        <is>
          <t>replacement proposed</t>
        </is>
      </c>
      <c r="K20" s="204"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204" t="inlineStr">
        <is>
          <t>petrol</t>
        </is>
      </c>
      <c r="B21" s="204" t="inlineStr">
        <is>
          <t>new_cohort_efficiency</t>
        </is>
      </c>
      <c r="C21" s="204" t="inlineStr">
        <is>
          <t>percent_per_year</t>
        </is>
      </c>
      <c r="D21" s="204" t="inlineStr">
        <is>
          <t>1.0 to 1.5</t>
        </is>
      </c>
      <c r="E21" s="204" t="inlineStr">
        <is>
          <t>registered petrol efficiency paths (low and high demand cases)</t>
        </is>
      </c>
      <c r="F21" s="204" t="inlineStr">
        <is>
          <t>1 / 1.25 / 1.5</t>
        </is>
      </c>
      <c r="G21" s="204" t="inlineStr">
        <is>
          <t>1 / 1.25 / 1.5</t>
        </is>
      </c>
      <c r="H21" s="204" t="inlineStr">
        <is>
          <t>1 / 1.25 / 1.5</t>
        </is>
      </c>
      <c r="I21" s="204" t="inlineStr">
        <is>
          <t>1 / 1.25 / 1.5</t>
        </is>
      </c>
      <c r="J21" s="204" t="inlineStr">
        <is>
          <t>no change</t>
        </is>
      </c>
      <c r="K21" s="204" t="inlineStr">
        <is>
          <t>Low and high equal the registered endpoints. Neither has a source. No change proposed.</t>
        </is>
      </c>
    </row>
    <row r="22">
      <c r="A22" s="204" t="inlineStr">
        <is>
          <t>petrol</t>
        </is>
      </c>
      <c r="B22" s="204" t="inlineStr">
        <is>
          <t>plant_utilisation</t>
        </is>
      </c>
      <c r="C22" s="204" t="inlineStr">
        <is>
          <t>percent</t>
        </is>
      </c>
      <c r="D22" s="204" t="inlineStr">
        <is>
          <t>67</t>
        </is>
      </c>
      <c r="E22" s="204" t="inlineStr">
        <is>
          <t>reported 2024 output over reported capacity, three plants; indicative</t>
        </is>
      </c>
      <c r="F22" s="204" t="inlineStr">
        <is>
          <t>60 / 75 / 90</t>
        </is>
      </c>
      <c r="G22" s="204" t="inlineStr">
        <is>
          <t>60 / 75 / 90</t>
        </is>
      </c>
      <c r="H22" s="204" t="inlineStr">
        <is>
          <t>60 / 75 / 90</t>
        </is>
      </c>
      <c r="I22" s="204" t="inlineStr">
        <is>
          <t>60 / 75 / 90</t>
        </is>
      </c>
      <c r="J22" s="204" t="inlineStr">
        <is>
          <t>no change</t>
        </is>
      </c>
      <c r="K22" s="204"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204" t="inlineStr">
        <is>
          <t>petrol</t>
        </is>
      </c>
      <c r="B23" s="204" t="inlineStr">
        <is>
          <t>product_yield</t>
        </is>
      </c>
      <c r="C23" s="204" t="inlineStr">
        <is>
          <t>percent</t>
        </is>
      </c>
      <c r="D23" s="204" t="inlineStr">
        <is>
          <t>54</t>
        </is>
      </c>
      <c r="E23" s="204" t="inlineStr">
        <is>
          <t>petrol share of refinery output in 2024 (JODI; lowest reliability)</t>
        </is>
      </c>
      <c r="F23" s="204" t="inlineStr">
        <is>
          <t>35 / 45 / 55</t>
        </is>
      </c>
      <c r="G23" s="204" t="inlineStr">
        <is>
          <t>45 / 50 / 55</t>
        </is>
      </c>
      <c r="H23" s="204" t="inlineStr">
        <is>
          <t>35 / 45 / 55</t>
        </is>
      </c>
      <c r="I23" s="204" t="inlineStr">
        <is>
          <t>45 / 50 / 55</t>
        </is>
      </c>
      <c r="J23" s="204" t="inlineStr">
        <is>
          <t>replacement proposed</t>
        </is>
      </c>
      <c r="K23" s="204"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204" t="inlineStr">
        <is>
          <t>petrol</t>
        </is>
      </c>
      <c r="B24" s="204" t="inlineStr">
        <is>
          <t>restart_capacity</t>
        </is>
      </c>
      <c r="C24" s="204" t="inlineStr">
        <is>
          <t>thousand_bbl_per_day</t>
        </is>
      </c>
      <c r="D24" s="204" t="inlineStr">
        <is>
          <t>0</t>
        </is>
      </c>
      <c r="E24" s="204" t="inlineStr">
        <is>
          <t>no committed addition</t>
        </is>
      </c>
      <c r="F24" s="204" t="inlineStr">
        <is>
          <t>0 / 0 / 0</t>
        </is>
      </c>
      <c r="G24" s="204" t="inlineStr">
        <is>
          <t>0 / 0 / 0</t>
        </is>
      </c>
      <c r="H24" s="204" t="inlineStr">
        <is>
          <t>0 / 0 / 400</t>
        </is>
      </c>
      <c r="I24" s="204" t="inlineStr">
        <is>
          <t>0 / 0 / 400</t>
        </is>
      </c>
      <c r="J24" s="204" t="inlineStr">
        <is>
          <t>no change</t>
        </is>
      </c>
      <c r="K24" s="204" t="inlineStr">
        <is>
          <t>Existing conditional illustration; no investment decision, timing or product slate is sourced.</t>
        </is>
      </c>
    </row>
    <row r="25">
      <c r="A25" s="204" t="inlineStr">
        <is>
          <t>diesel</t>
        </is>
      </c>
      <c r="B25" s="204" t="inlineStr">
        <is>
          <t>real_fuel_price</t>
        </is>
      </c>
      <c r="C25" s="204" t="inlineStr">
        <is>
          <t>index_2024_100</t>
        </is>
      </c>
      <c r="D25" s="204" t="inlineStr">
        <is>
          <t>100</t>
        </is>
      </c>
      <c r="E25" s="204" t="inlineStr">
        <is>
          <t>regulated inland price deflated by headline CPI, 2024 average</t>
        </is>
      </c>
      <c r="F25" s="204" t="inlineStr">
        <is>
          <t>- / - / -</t>
        </is>
      </c>
      <c r="G25" s="204" t="inlineStr">
        <is>
          <t>80 / 100 / 140</t>
        </is>
      </c>
      <c r="H25" s="204" t="inlineStr">
        <is>
          <t>- / - / -</t>
        </is>
      </c>
      <c r="I25" s="204" t="inlineStr">
        <is>
          <t>80 / 100 / 140</t>
        </is>
      </c>
      <c r="J25" s="204" t="inlineStr">
        <is>
          <t>added lever</t>
        </is>
      </c>
      <c r="K25" s="204"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204" t="inlineStr">
        <is>
          <t>diesel</t>
        </is>
      </c>
      <c r="B26" s="204" t="inlineStr">
        <is>
          <t>private_backup_generation</t>
        </is>
      </c>
      <c r="C26" s="204" t="inlineStr">
        <is>
          <t>bn_litres_per_year</t>
        </is>
      </c>
      <c r="D26" s="204" t="inlineStr">
        <is>
          <t>not measured</t>
        </is>
      </c>
      <c r="E26" s="204" t="inlineStr">
        <is>
          <t>no measured volume exists</t>
        </is>
      </c>
      <c r="F26" s="204" t="inlineStr">
        <is>
          <t>- / - / -</t>
        </is>
      </c>
      <c r="G26" s="204" t="inlineStr">
        <is>
          <t>0 / 0 / 0.5</t>
        </is>
      </c>
      <c r="H26" s="204" t="inlineStr">
        <is>
          <t>- / - / -</t>
        </is>
      </c>
      <c r="I26" s="204" t="inlineStr">
        <is>
          <t>0 / 0 / 0.5</t>
        </is>
      </c>
      <c r="J26" s="204" t="inlineStr">
        <is>
          <t>added lever</t>
        </is>
      </c>
      <c r="K26" s="204"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204" t="inlineStr">
        <is>
          <t>diesel</t>
        </is>
      </c>
      <c r="B27" s="204" t="inlineStr">
        <is>
          <t>electric_share_of_new_truck_sales</t>
        </is>
      </c>
      <c r="C27" s="204" t="inlineStr">
        <is>
          <t>percent</t>
        </is>
      </c>
      <c r="D27" s="204" t="inlineStr">
        <is>
          <t>not reported</t>
        </is>
      </c>
      <c r="E27" s="204" t="inlineStr">
        <is>
          <t>naamsa reports electrified sales for the whole market only; assumed close to zero</t>
        </is>
      </c>
      <c r="F27" s="204" t="inlineStr">
        <is>
          <t>- / - / -</t>
        </is>
      </c>
      <c r="G27" s="204" t="inlineStr">
        <is>
          <t>0 / 0.4 / 3</t>
        </is>
      </c>
      <c r="H27" s="204" t="inlineStr">
        <is>
          <t>- / - / -</t>
        </is>
      </c>
      <c r="I27" s="204" t="inlineStr">
        <is>
          <t>0 / 3 / 9</t>
        </is>
      </c>
      <c r="J27" s="204" t="inlineStr">
        <is>
          <t>added lever</t>
        </is>
      </c>
      <c r="K27" s="204"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204" t="inlineStr">
        <is>
          <t>diesel</t>
        </is>
      </c>
      <c r="B28" s="204" t="inlineStr">
        <is>
          <t>electric_share_of_new_light_commercial_sales</t>
        </is>
      </c>
      <c r="C28" s="204" t="inlineStr">
        <is>
          <t>percent</t>
        </is>
      </c>
      <c r="D28" s="204" t="inlineStr">
        <is>
          <t>not reported</t>
        </is>
      </c>
      <c r="E28" s="204" t="inlineStr">
        <is>
          <t>naamsa reports electrified sales for the whole market only; assumed close to zero</t>
        </is>
      </c>
      <c r="F28" s="204" t="inlineStr">
        <is>
          <t>- / - / -</t>
        </is>
      </c>
      <c r="G28" s="204" t="inlineStr">
        <is>
          <t>0 / 1 / 5</t>
        </is>
      </c>
      <c r="H28" s="204" t="inlineStr">
        <is>
          <t>- / - / -</t>
        </is>
      </c>
      <c r="I28" s="204" t="inlineStr">
        <is>
          <t>0 / 5 / 10</t>
        </is>
      </c>
      <c r="J28" s="204" t="inlineStr">
        <is>
          <t>added lever</t>
        </is>
      </c>
      <c r="K28" s="204"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204" t="inlineStr">
        <is>
          <t>petrol</t>
        </is>
      </c>
      <c r="B29" s="204" t="inlineStr">
        <is>
          <t>real_fuel_price</t>
        </is>
      </c>
      <c r="C29" s="204" t="inlineStr">
        <is>
          <t>index_2024_100</t>
        </is>
      </c>
      <c r="D29" s="204" t="inlineStr">
        <is>
          <t>100</t>
        </is>
      </c>
      <c r="E29" s="204" t="inlineStr">
        <is>
          <t>regulated inland price deflated by headline CPI, 2024 average</t>
        </is>
      </c>
      <c r="F29" s="204" t="inlineStr">
        <is>
          <t>- / - / -</t>
        </is>
      </c>
      <c r="G29" s="204" t="inlineStr">
        <is>
          <t>80 / 100 / 120</t>
        </is>
      </c>
      <c r="H29" s="204" t="inlineStr">
        <is>
          <t>- / - / -</t>
        </is>
      </c>
      <c r="I29" s="204" t="inlineStr">
        <is>
          <t>80 / 100 / 120</t>
        </is>
      </c>
      <c r="J29" s="204" t="inlineStr">
        <is>
          <t>added lever</t>
        </is>
      </c>
      <c r="K29" s="204"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204" t="inlineStr">
        <is>
          <t>petrol</t>
        </is>
      </c>
      <c r="B30" s="204" t="inlineStr">
        <is>
          <t>plug_in_hybrid_new_sales_share</t>
        </is>
      </c>
      <c r="C30" s="204" t="inlineStr">
        <is>
          <t>percent</t>
        </is>
      </c>
      <c r="D30" s="204" t="inlineStr">
        <is>
          <t>0.5</t>
        </is>
      </c>
      <c r="E30" s="204" t="inlineStr">
        <is>
          <t>share of all new vehicles in 2025 (naamsa)</t>
        </is>
      </c>
      <c r="F30" s="204" t="inlineStr">
        <is>
          <t>- / - / -</t>
        </is>
      </c>
      <c r="G30" s="204" t="inlineStr">
        <is>
          <t>0.5 / 1.2 / 2.1</t>
        </is>
      </c>
      <c r="H30" s="204" t="inlineStr">
        <is>
          <t>- / - / -</t>
        </is>
      </c>
      <c r="I30" s="204" t="inlineStr">
        <is>
          <t>0.5 / 2 / 3.7</t>
        </is>
      </c>
      <c r="J30" s="204" t="inlineStr">
        <is>
          <t>added lever</t>
        </is>
      </c>
      <c r="K30" s="204"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204" t="inlineStr">
        <is>
          <t>petrol</t>
        </is>
      </c>
      <c r="B31" s="204" t="inlineStr">
        <is>
          <t>conventional_hybrid_new_sales_share</t>
        </is>
      </c>
      <c r="C31" s="204" t="inlineStr">
        <is>
          <t>percent</t>
        </is>
      </c>
      <c r="D31" s="204" t="inlineStr">
        <is>
          <t>2.1</t>
        </is>
      </c>
      <c r="E31" s="204" t="inlineStr">
        <is>
          <t>share of all new vehicles in 2025 (naamsa)</t>
        </is>
      </c>
      <c r="F31" s="204" t="inlineStr">
        <is>
          <t>- / - / -</t>
        </is>
      </c>
      <c r="G31" s="204" t="inlineStr">
        <is>
          <t>2.1 / 4.4 / 6.7</t>
        </is>
      </c>
      <c r="H31" s="204" t="inlineStr">
        <is>
          <t>- / - / -</t>
        </is>
      </c>
      <c r="I31" s="204" t="inlineStr">
        <is>
          <t>2.1 / 6.7 / 11.3</t>
        </is>
      </c>
      <c r="J31" s="204" t="inlineStr">
        <is>
          <t>added lever</t>
        </is>
      </c>
      <c r="K31" s="204"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204" t="inlineStr">
        <is>
          <t>petrol</t>
        </is>
      </c>
      <c r="B32" s="204" t="inlineStr">
        <is>
          <t>rail_passenger_journeys</t>
        </is>
      </c>
      <c r="C32" s="204" t="inlineStr">
        <is>
          <t>million_per_year</t>
        </is>
      </c>
      <c r="D32" s="204" t="inlineStr">
        <is>
          <t>74</t>
        </is>
      </c>
      <c r="E32" s="204" t="inlineStr">
        <is>
          <t>rail passenger journeys in 2024 (Stats SA P7162)</t>
        </is>
      </c>
      <c r="F32" s="204" t="inlineStr">
        <is>
          <t>- / - / -</t>
        </is>
      </c>
      <c r="G32" s="204" t="inlineStr">
        <is>
          <t>100 / 180 / 320</t>
        </is>
      </c>
      <c r="H32" s="204" t="inlineStr">
        <is>
          <t>- / - / -</t>
        </is>
      </c>
      <c r="I32" s="204" t="inlineStr">
        <is>
          <t>100 / 250 / 320</t>
        </is>
      </c>
      <c r="J32" s="204" t="inlineStr">
        <is>
          <t>added lever</t>
        </is>
      </c>
      <c r="K32" s="204"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204" t="inlineStr">
        <is>
          <t>throughput</t>
        </is>
      </c>
      <c r="B33" s="204" t="inlineStr">
        <is>
          <t>exports_to_neighbours</t>
        </is>
      </c>
      <c r="C33" s="204" t="inlineStr">
        <is>
          <t>bn_litres_per_year</t>
        </is>
      </c>
      <c r="D33" s="204" t="inlineStr">
        <is>
          <t>1.48</t>
        </is>
      </c>
      <c r="E33" s="204" t="inlineStr">
        <is>
          <t>petrol and diesel exported to nine neighbouring countries in 2024 (SARS customs)</t>
        </is>
      </c>
      <c r="F33" s="204" t="inlineStr">
        <is>
          <t>- / - / -</t>
        </is>
      </c>
      <c r="G33" s="204" t="inlineStr">
        <is>
          <t>0.7 / 1.4 / 1.7</t>
        </is>
      </c>
      <c r="H33" s="204" t="inlineStr">
        <is>
          <t>- / - / -</t>
        </is>
      </c>
      <c r="I33" s="204" t="inlineStr">
        <is>
          <t>0.7 / 1.4 / 1.7</t>
        </is>
      </c>
      <c r="J33" s="204" t="inlineStr">
        <is>
          <t>added lever</t>
        </is>
      </c>
      <c r="K33" s="204"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204" t="inlineStr">
        <is>
          <t>G01</t>
        </is>
      </c>
      <c r="B5" s="204" t="inlineStr">
        <is>
          <t>National fuel balance</t>
        </is>
      </c>
      <c r="C5" s="204" t="inlineStr">
        <is>
          <t>Narrowed</t>
        </is>
      </c>
      <c r="D5" s="204" t="inlineStr">
        <is>
          <t>Balance rebuilt on customs trade for 2014-2025; Road Accident Fund levy found as an independent count.</t>
        </is>
      </c>
      <c r="E5" s="204" t="inlineStr">
        <is>
          <t>No sales after 2023; no production after 2021 (the last energy balance); no stock series.</t>
        </is>
      </c>
      <c r="F5" s="204" t="inlineStr">
        <is>
          <t>History, sections 2-5</t>
        </is>
      </c>
    </row>
    <row r="6">
      <c r="A6" s="204" t="inlineStr">
        <is>
          <t>G02</t>
        </is>
      </c>
      <c r="B6" s="204" t="inlineStr">
        <is>
          <t>Fleet and new sales</t>
        </is>
      </c>
      <c r="C6" s="204" t="inlineStr">
        <is>
          <t>Narrowed</t>
        </is>
      </c>
      <c r="D6" s="204" t="inlineStr">
        <is>
          <t>Registered vehicles by class 2021-2025, new sales 2017-2025 and apparent retirements lined up against the model.</t>
        </is>
      </c>
      <c r="E6" s="204" t="inlineStr">
        <is>
          <t>Stock by age and by fuel within each class is in no source held.</t>
        </is>
      </c>
      <c r="F6" s="204" t="inlineStr">
        <is>
          <t>Vehicle history</t>
        </is>
      </c>
    </row>
    <row r="7">
      <c r="A7" s="204" t="inlineStr">
        <is>
          <t>G03</t>
        </is>
      </c>
      <c r="B7" s="204" t="inlineStr">
        <is>
          <t>Passenger electrification</t>
        </is>
      </c>
      <c r="C7" s="204" t="inlineStr">
        <is>
          <t>Narrowed</t>
        </is>
      </c>
      <c r="D7" s="204" t="inlineStr">
        <is>
          <t>Battery electric, plug-in and conventional hybrid sales and shares, 2019-2025.</t>
        </is>
      </c>
      <c r="E7" s="204" t="inlineStr">
        <is>
          <t>Passenger-only denominators; electric vehicles in the fleet after 2023; fuel saved by hybrids.</t>
        </is>
      </c>
      <c r="F7" s="204" t="inlineStr">
        <is>
          <t>Vehicle history, section 4</t>
        </is>
      </c>
    </row>
    <row r="8">
      <c r="A8" s="204" t="inlineStr">
        <is>
          <t>G04</t>
        </is>
      </c>
      <c r="B8" s="204" t="inlineStr">
        <is>
          <t>Road freight activity</t>
        </is>
      </c>
      <c r="C8" s="204" t="inlineStr">
        <is>
          <t>Narrowed</t>
        </is>
      </c>
      <c r="D8" s="204" t="inlineStr">
        <is>
          <t>Heavy vehicle diesel is estimated for every year and set against road freight tonnes, giving litres per tonne. Stats SA fuel purchases by road freight firms give a floor of about 2.9 bn litres (2019) and 3.2 bn (2023).</t>
        </is>
      </c>
      <c r="E8" s="204" t="inlineStr">
        <is>
          <t>An annual tonne-kilometre series (only 2013 is published); distance, payload and empty running; light commercial freight scope.</t>
        </is>
      </c>
      <c r="F8" s="204" t="inlineStr">
        <is>
          <t>Diesel by use, sections 3, 3b and 4</t>
        </is>
      </c>
    </row>
    <row r="9">
      <c r="A9" s="204" t="inlineStr">
        <is>
          <t>G05</t>
        </is>
      </c>
      <c r="B9" s="204" t="inlineStr">
        <is>
          <t>Freight electrification</t>
        </is>
      </c>
      <c r="C9" s="204" t="inlineStr">
        <is>
          <t>Proposed</t>
        </is>
      </c>
      <c r="D9" s="204"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204" t="inlineStr">
        <is>
          <t>South African sales of electric trucks by size; duty cycles that could switch first; charging at depots.</t>
        </is>
      </c>
      <c r="F9" s="204" t="inlineStr">
        <is>
          <t>HML response</t>
        </is>
      </c>
    </row>
    <row r="10">
      <c r="A10" s="204" t="inlineStr">
        <is>
          <t>G06</t>
        </is>
      </c>
      <c r="B10" s="204" t="inlineStr">
        <is>
          <t>Manufacturing</t>
        </is>
      </c>
      <c r="C10" s="204" t="inlineStr">
        <is>
          <t>Narrowed</t>
        </is>
      </c>
      <c r="D10" s="204" t="inlineStr">
        <is>
          <t>Manufacturing and other industry diesel by difference, 2016-2021 (0.16-0.23 bn litres), with litres per index point.</t>
        </is>
      </c>
      <c r="E10" s="204" t="inlineStr">
        <is>
          <t>Sub-sector detail; the balance has no manufacturing lines before 2016.</t>
        </is>
      </c>
      <c r="F10" s="204" t="inlineStr">
        <is>
          <t>Sector history</t>
        </is>
      </c>
    </row>
    <row r="11">
      <c r="A11" s="204" t="inlineStr">
        <is>
          <t>G07</t>
        </is>
      </c>
      <c r="B11" s="204" t="inlineStr">
        <is>
          <t>Mining and construction</t>
        </is>
      </c>
      <c r="C11" s="204" t="inlineStr">
        <is>
          <t>Narrowed</t>
        </is>
      </c>
      <c r="D11" s="204" t="inlineStr">
        <is>
          <t>Mining diesel 2012-2021 with litres per index point (11-17 million); indicative 2022-2025.</t>
        </is>
      </c>
      <c r="E11" s="204" t="inlineStr">
        <is>
          <t>Observed fuel after 2021; site and commodity split; on-road boundary.</t>
        </is>
      </c>
      <c r="F11" s="204" t="inlineStr">
        <is>
          <t>Sector history</t>
        </is>
      </c>
    </row>
    <row r="12">
      <c r="A12" s="204" t="inlineStr">
        <is>
          <t>G08</t>
        </is>
      </c>
      <c r="B12" s="204" t="inlineStr">
        <is>
          <t>Agriculture</t>
        </is>
      </c>
      <c r="C12" s="204" t="inlineStr">
        <is>
          <t>Narrowed</t>
        </is>
      </c>
      <c r="D12" s="204" t="inlineStr">
        <is>
          <t>Agriculture diesel 2012-2021 with litres per rand of value added; indicative 2022-2025. Rebated diesel across all rebate sectors is 1.46 bn litres (year to March 2025).</t>
        </is>
      </c>
      <c r="E12" s="204" t="inlineStr">
        <is>
          <t>A fuel baseline after 2021; crop and irrigation activity.</t>
        </is>
      </c>
      <c r="F12" s="204" t="inlineStr">
        <is>
          <t>Sector history</t>
        </is>
      </c>
    </row>
    <row r="13">
      <c r="A13" s="204" t="inlineStr">
        <is>
          <t>G09</t>
        </is>
      </c>
      <c r="B13" s="204" t="inlineStr">
        <is>
          <t>Generation</t>
        </is>
      </c>
      <c r="C13" s="204" t="inlineStr">
        <is>
          <t>Narrowed</t>
        </is>
      </c>
      <c r="D13" s="204" t="inlineStr">
        <is>
          <t>Generation to the year ending March 2026; 0.31 litres per kWh in three reported years. The model's 2024 figure (3.58 bn litres) is at least 2 bn above reported burn.</t>
        </is>
      </c>
      <c r="E13" s="204" t="inlineStr">
        <is>
          <t>Matched fuel burn by calendar year; private backup generation has no measured volume.</t>
        </is>
      </c>
      <c r="F13" s="204" t="inlineStr">
        <is>
          <t>Diesel by use, section 1</t>
        </is>
      </c>
    </row>
    <row r="14">
      <c r="A14" s="204" t="inlineStr">
        <is>
          <t>G10</t>
        </is>
      </c>
      <c r="B14" s="204" t="inlineStr">
        <is>
          <t>Aviation</t>
        </is>
      </c>
      <c r="C14" s="204" t="inlineStr">
        <is>
          <t>Narrowed</t>
        </is>
      </c>
      <c r="D14" s="204" t="inlineStr">
        <is>
          <t>Jet sales, trade, production and aircraft movements lined up; jet sold per movement computed.</t>
        </is>
      </c>
      <c r="E14" s="204" t="inlineStr">
        <is>
          <t>Cargo, aircraft and route mix; airports outside ACSA; jet by airport.</t>
        </is>
      </c>
      <c r="F14" s="204" t="inlineStr">
        <is>
          <t>History, section 7</t>
        </is>
      </c>
    </row>
    <row r="15">
      <c r="A15" s="204" t="inlineStr">
        <is>
          <t>G11</t>
        </is>
      </c>
      <c r="B15" s="204" t="inlineStr">
        <is>
          <t>Provincial demand</t>
        </is>
      </c>
      <c r="C15" s="204" t="inlineStr">
        <is>
          <t>Narrowed</t>
        </is>
      </c>
      <c r="D15" s="204" t="inlineStr">
        <is>
          <t>2013-2022 observed; 2023 estimated with the best of six methods back-tested; 2024 blank (no national total).</t>
        </is>
      </c>
      <c r="E15" s="204" t="inlineStr">
        <is>
          <t>District data after 2023 quarter 1, which the department has not published; 2025 national total.</t>
        </is>
      </c>
      <c r="F15" s="204" t="inlineStr">
        <is>
          <t>History, sections 1 and 6</t>
        </is>
      </c>
    </row>
    <row r="16">
      <c r="A16" s="204" t="inlineStr">
        <is>
          <t>G12</t>
        </is>
      </c>
      <c r="B16" s="204" t="inlineStr">
        <is>
          <t>Marine and other coverage</t>
        </is>
      </c>
      <c r="C16" s="204" t="inlineStr">
        <is>
          <t>Open</t>
        </is>
      </c>
      <c r="D16" s="204" t="inlineStr">
        <is>
          <t>Nothing new. The model's marine placeholder equals the 2007 balance figure.</t>
        </is>
      </c>
      <c r="E16" s="204" t="inlineStr">
        <is>
          <t>Everything listed.</t>
        </is>
      </c>
      <c r="F16" s="204" t="inlineStr"/>
    </row>
    <row r="17">
      <c r="A17" s="204" t="inlineStr">
        <is>
          <t>G13</t>
        </is>
      </c>
      <c r="B17" s="204" t="inlineStr">
        <is>
          <t>Ranges and annual forecast paths</t>
        </is>
      </c>
      <c r="C17" s="204" t="inlineStr">
        <is>
          <t>Proposed</t>
        </is>
      </c>
      <c r="D17" s="204" t="inlineStr">
        <is>
          <t>Baseline, rationale and source for all 20 levers; 39 of 120 values with a proposed replacement; nine levers added.</t>
        </is>
      </c>
      <c r="E17" s="204" t="inlineStr">
        <is>
          <t>Agreement on the reference case and annual paths.</t>
        </is>
      </c>
      <c r="F17" s="204" t="inlineStr">
        <is>
          <t>HML response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85" t="inlineStr">
        <is>
          <t>Evidence row</t>
        </is>
      </c>
      <c r="B4" s="185" t="inlineStr">
        <is>
          <t>Series</t>
        </is>
      </c>
      <c r="C4" s="185" t="inlineStr">
        <is>
          <t>Year</t>
        </is>
      </c>
      <c r="D4" s="185" t="inlineStr">
        <is>
          <t>Workbook value</t>
        </is>
      </c>
      <c r="E4" s="185" t="inlineStr">
        <is>
          <t>Recomputed from inputs</t>
        </is>
      </c>
      <c r="F4" s="185" t="inlineStr">
        <is>
          <t>Result</t>
        </is>
      </c>
      <c r="G4" s="185" t="inlineStr">
        <is>
          <t>Input file</t>
        </is>
      </c>
    </row>
    <row r="5">
      <c r="A5" s="1" t="inlineStr">
        <is>
          <t>F5</t>
        </is>
      </c>
      <c r="B5" s="1" t="inlineStr">
        <is>
          <t>sales_petrol</t>
        </is>
      </c>
      <c r="C5" s="1" t="n">
        <v>2022</v>
      </c>
      <c r="D5" s="205" t="n">
        <v>9185</v>
      </c>
      <c r="E5" s="205" t="n">
        <v>9185</v>
      </c>
      <c r="F5" s="1" t="inlineStr">
        <is>
          <t>matches</t>
        </is>
      </c>
      <c r="G5" s="1" t="inlineStr">
        <is>
          <t>fuel_sales_fiasa.csv</t>
        </is>
      </c>
    </row>
    <row r="6">
      <c r="A6" s="1" t="inlineStr">
        <is>
          <t>G5</t>
        </is>
      </c>
      <c r="B6" s="1" t="inlineStr">
        <is>
          <t>sales_petrol</t>
        </is>
      </c>
      <c r="C6" s="1" t="n">
        <v>2023</v>
      </c>
      <c r="D6" s="205" t="n">
        <v>9037</v>
      </c>
      <c r="E6" s="205" t="n">
        <v>9037</v>
      </c>
      <c r="F6" s="1" t="inlineStr">
        <is>
          <t>matches</t>
        </is>
      </c>
      <c r="G6" s="1" t="inlineStr">
        <is>
          <t>fuel_sales_fiasa.csv</t>
        </is>
      </c>
    </row>
    <row r="7">
      <c r="A7" s="1" t="inlineStr">
        <is>
          <t>H5</t>
        </is>
      </c>
      <c r="B7" s="1" t="inlineStr">
        <is>
          <t>sales_petrol</t>
        </is>
      </c>
      <c r="C7" s="1" t="n">
        <v>2024</v>
      </c>
      <c r="D7" s="205" t="n">
        <v>9029</v>
      </c>
      <c r="E7" s="205" t="n">
        <v>9029</v>
      </c>
      <c r="F7" s="1" t="inlineStr">
        <is>
          <t>matches</t>
        </is>
      </c>
      <c r="G7" s="1" t="inlineStr">
        <is>
          <t>fuel_sales_fiasa.csv</t>
        </is>
      </c>
    </row>
    <row r="8">
      <c r="A8" s="1" t="inlineStr">
        <is>
          <t>F6</t>
        </is>
      </c>
      <c r="B8" s="1" t="inlineStr">
        <is>
          <t>dept_petrol</t>
        </is>
      </c>
      <c r="C8" s="1" t="n">
        <v>2022</v>
      </c>
      <c r="D8" s="205" t="n">
        <v>9184.869915572999</v>
      </c>
      <c r="E8" s="205" t="n">
        <v>9184.869915572999</v>
      </c>
      <c r="F8" s="1" t="inlineStr">
        <is>
          <t>matches</t>
        </is>
      </c>
      <c r="G8" s="1" t="inlineStr">
        <is>
          <t>fuel_sales_department.csv</t>
        </is>
      </c>
    </row>
    <row r="9">
      <c r="A9" s="1" t="inlineStr">
        <is>
          <t>G6</t>
        </is>
      </c>
      <c r="B9" s="1" t="inlineStr">
        <is>
          <t>dept_petrol</t>
        </is>
      </c>
      <c r="C9" s="1" t="n">
        <v>2023</v>
      </c>
      <c r="D9" s="205" t="n">
        <v>9036.950113492001</v>
      </c>
      <c r="E9" s="205" t="n">
        <v>9036.950113492001</v>
      </c>
      <c r="F9" s="1" t="inlineStr">
        <is>
          <t>matches</t>
        </is>
      </c>
      <c r="G9" s="1" t="inlineStr">
        <is>
          <t>fuel_sales_department.csv</t>
        </is>
      </c>
    </row>
    <row r="10">
      <c r="A10" s="1" t="inlineStr">
        <is>
          <t>F7</t>
        </is>
      </c>
      <c r="B10" s="1" t="inlineStr">
        <is>
          <t>sales_diesel</t>
        </is>
      </c>
      <c r="C10" s="1" t="n">
        <v>2022</v>
      </c>
      <c r="D10" s="205" t="n">
        <v>12717</v>
      </c>
      <c r="E10" s="205" t="n">
        <v>12717</v>
      </c>
      <c r="F10" s="1" t="inlineStr">
        <is>
          <t>matches</t>
        </is>
      </c>
      <c r="G10" s="1" t="inlineStr">
        <is>
          <t>fuel_sales_fiasa.csv</t>
        </is>
      </c>
    </row>
    <row r="11">
      <c r="A11" s="1" t="inlineStr">
        <is>
          <t>G7</t>
        </is>
      </c>
      <c r="B11" s="1" t="inlineStr">
        <is>
          <t>sales_diesel</t>
        </is>
      </c>
      <c r="C11" s="1" t="n">
        <v>2023</v>
      </c>
      <c r="D11" s="205" t="n">
        <v>12907</v>
      </c>
      <c r="E11" s="205" t="n">
        <v>12907</v>
      </c>
      <c r="F11" s="1" t="inlineStr">
        <is>
          <t>matches</t>
        </is>
      </c>
      <c r="G11" s="1" t="inlineStr">
        <is>
          <t>fuel_sales_fiasa.csv</t>
        </is>
      </c>
    </row>
    <row r="12">
      <c r="A12" s="1" t="inlineStr">
        <is>
          <t>H7</t>
        </is>
      </c>
      <c r="B12" s="1" t="inlineStr">
        <is>
          <t>sales_diesel</t>
        </is>
      </c>
      <c r="C12" s="1" t="n">
        <v>2024</v>
      </c>
      <c r="D12" s="205" t="n">
        <v>11734</v>
      </c>
      <c r="E12" s="205" t="n">
        <v>11734</v>
      </c>
      <c r="F12" s="1" t="inlineStr">
        <is>
          <t>matches</t>
        </is>
      </c>
      <c r="G12" s="1" t="inlineStr">
        <is>
          <t>fuel_sales_fiasa.csv</t>
        </is>
      </c>
    </row>
    <row r="13">
      <c r="A13" s="1" t="inlineStr">
        <is>
          <t>F8</t>
        </is>
      </c>
      <c r="B13" s="1" t="inlineStr">
        <is>
          <t>dept_diesel</t>
        </is>
      </c>
      <c r="C13" s="1" t="n">
        <v>2022</v>
      </c>
      <c r="D13" s="205" t="n">
        <v>12717.326319019</v>
      </c>
      <c r="E13" s="205" t="n">
        <v>12717.326319019</v>
      </c>
      <c r="F13" s="1" t="inlineStr">
        <is>
          <t>matches</t>
        </is>
      </c>
      <c r="G13" s="1" t="inlineStr">
        <is>
          <t>fuel_sales_department.csv</t>
        </is>
      </c>
    </row>
    <row r="14">
      <c r="A14" s="1" t="inlineStr">
        <is>
          <t>G8</t>
        </is>
      </c>
      <c r="B14" s="1" t="inlineStr">
        <is>
          <t>dept_diesel</t>
        </is>
      </c>
      <c r="C14" s="1" t="n">
        <v>2023</v>
      </c>
      <c r="D14" s="205" t="n">
        <v>12907.499965808</v>
      </c>
      <c r="E14" s="205" t="n">
        <v>12907.499965808</v>
      </c>
      <c r="F14" s="1" t="inlineStr">
        <is>
          <t>matches</t>
        </is>
      </c>
      <c r="G14" s="1" t="inlineStr">
        <is>
          <t>fuel_sales_department.csv</t>
        </is>
      </c>
    </row>
    <row r="15">
      <c r="A15" s="1" t="inlineStr">
        <is>
          <t>F9</t>
        </is>
      </c>
      <c r="B15" s="1" t="inlineStr">
        <is>
          <t>sales_jet</t>
        </is>
      </c>
      <c r="C15" s="1" t="n">
        <v>2022</v>
      </c>
      <c r="D15" s="205" t="n">
        <v>1478</v>
      </c>
      <c r="E15" s="205" t="n">
        <v>1478</v>
      </c>
      <c r="F15" s="1" t="inlineStr">
        <is>
          <t>matches</t>
        </is>
      </c>
      <c r="G15" s="1" t="inlineStr">
        <is>
          <t>fuel_sales_fiasa.csv</t>
        </is>
      </c>
    </row>
    <row r="16">
      <c r="A16" s="1" t="inlineStr">
        <is>
          <t>G9</t>
        </is>
      </c>
      <c r="B16" s="1" t="inlineStr">
        <is>
          <t>sales_jet</t>
        </is>
      </c>
      <c r="C16" s="1" t="n">
        <v>2023</v>
      </c>
      <c r="D16" s="205" t="n">
        <v>1844</v>
      </c>
      <c r="E16" s="205" t="n">
        <v>1844</v>
      </c>
      <c r="F16" s="1" t="inlineStr">
        <is>
          <t>matches</t>
        </is>
      </c>
      <c r="G16" s="1" t="inlineStr">
        <is>
          <t>fuel_sales_fiasa.csv</t>
        </is>
      </c>
    </row>
    <row r="17">
      <c r="A17" s="1" t="inlineStr">
        <is>
          <t>H9</t>
        </is>
      </c>
      <c r="B17" s="1" t="inlineStr">
        <is>
          <t>sales_jet</t>
        </is>
      </c>
      <c r="C17" s="1" t="n">
        <v>2024</v>
      </c>
      <c r="D17" s="205" t="n">
        <v>1955</v>
      </c>
      <c r="E17" s="205" t="n">
        <v>1955</v>
      </c>
      <c r="F17" s="1" t="inlineStr">
        <is>
          <t>matches</t>
        </is>
      </c>
      <c r="G17" s="1" t="inlineStr">
        <is>
          <t>fuel_sales_fiasa.csv</t>
        </is>
      </c>
    </row>
    <row r="18">
      <c r="A18" s="1" t="inlineStr">
        <is>
          <t>F10</t>
        </is>
      </c>
      <c r="B18" s="1" t="inlineStr">
        <is>
          <t>dept_jet</t>
        </is>
      </c>
      <c r="C18" s="1" t="n">
        <v>2022</v>
      </c>
      <c r="D18" s="205" t="n">
        <v>1478.149852603</v>
      </c>
      <c r="E18" s="205" t="n">
        <v>1478.149852603</v>
      </c>
      <c r="F18" s="1" t="inlineStr">
        <is>
          <t>matches</t>
        </is>
      </c>
      <c r="G18" s="1" t="inlineStr">
        <is>
          <t>fuel_sales_department.csv</t>
        </is>
      </c>
    </row>
    <row r="19">
      <c r="A19" s="1" t="inlineStr">
        <is>
          <t>G10</t>
        </is>
      </c>
      <c r="B19" s="1" t="inlineStr">
        <is>
          <t>dept_jet</t>
        </is>
      </c>
      <c r="C19" s="1" t="n">
        <v>2023</v>
      </c>
      <c r="D19" s="205" t="n">
        <v>1843.971762465</v>
      </c>
      <c r="E19" s="205" t="n">
        <v>1843.971762465</v>
      </c>
      <c r="F19" s="1" t="inlineStr">
        <is>
          <t>matches</t>
        </is>
      </c>
      <c r="G19" s="1" t="inlineStr">
        <is>
          <t>fuel_sales_department.csv</t>
        </is>
      </c>
    </row>
    <row r="20">
      <c r="A20" s="1" t="inlineStr">
        <is>
          <t>F11</t>
        </is>
      </c>
      <c r="B20" s="1" t="inlineStr">
        <is>
          <t>sales_fuel_oil</t>
        </is>
      </c>
      <c r="C20" s="1" t="n">
        <v>2022</v>
      </c>
      <c r="D20" s="205" t="n">
        <v>594</v>
      </c>
      <c r="E20" s="205" t="n">
        <v>594</v>
      </c>
      <c r="F20" s="1" t="inlineStr">
        <is>
          <t>matches</t>
        </is>
      </c>
      <c r="G20" s="1" t="inlineStr">
        <is>
          <t>fuel_sales_fiasa.csv</t>
        </is>
      </c>
    </row>
    <row r="21">
      <c r="A21" s="1" t="inlineStr">
        <is>
          <t>G11</t>
        </is>
      </c>
      <c r="B21" s="1" t="inlineStr">
        <is>
          <t>sales_fuel_oil</t>
        </is>
      </c>
      <c r="C21" s="1" t="n">
        <v>2023</v>
      </c>
      <c r="D21" s="205" t="n">
        <v>658</v>
      </c>
      <c r="E21" s="205" t="n">
        <v>658</v>
      </c>
      <c r="F21" s="1" t="inlineStr">
        <is>
          <t>matches</t>
        </is>
      </c>
      <c r="G21" s="1" t="inlineStr">
        <is>
          <t>fuel_sales_fiasa.csv</t>
        </is>
      </c>
    </row>
    <row r="22">
      <c r="A22" s="1" t="inlineStr">
        <is>
          <t>H11</t>
        </is>
      </c>
      <c r="B22" s="1" t="inlineStr">
        <is>
          <t>sales_fuel_oil</t>
        </is>
      </c>
      <c r="C22" s="1" t="n">
        <v>2024</v>
      </c>
      <c r="D22" s="205" t="n">
        <v>441</v>
      </c>
      <c r="E22" s="205" t="n">
        <v>441</v>
      </c>
      <c r="F22" s="1" t="inlineStr">
        <is>
          <t>matches</t>
        </is>
      </c>
      <c r="G22" s="1" t="inlineStr">
        <is>
          <t>fuel_sales_fiasa.csv</t>
        </is>
      </c>
    </row>
    <row r="23">
      <c r="A23" s="1" t="inlineStr">
        <is>
          <t>F12</t>
        </is>
      </c>
      <c r="B23" s="1" t="inlineStr">
        <is>
          <t>dept_fuel_oil</t>
        </is>
      </c>
      <c r="C23" s="1" t="n">
        <v>2022</v>
      </c>
      <c r="D23" s="205" t="n">
        <v>594.0401649620001</v>
      </c>
      <c r="E23" s="205" t="n">
        <v>594.0401649620001</v>
      </c>
      <c r="F23" s="1" t="inlineStr">
        <is>
          <t>matches</t>
        </is>
      </c>
      <c r="G23" s="1" t="inlineStr">
        <is>
          <t>fuel_sales_department.csv</t>
        </is>
      </c>
    </row>
    <row r="24">
      <c r="A24" s="1" t="inlineStr">
        <is>
          <t>G12</t>
        </is>
      </c>
      <c r="B24" s="1" t="inlineStr">
        <is>
          <t>dept_fuel_oil</t>
        </is>
      </c>
      <c r="C24" s="1" t="n">
        <v>2023</v>
      </c>
      <c r="D24" s="205" t="n">
        <v>658.0930416160001</v>
      </c>
      <c r="E24" s="205" t="n">
        <v>658.0930416160001</v>
      </c>
      <c r="F24" s="1" t="inlineStr">
        <is>
          <t>matches</t>
        </is>
      </c>
      <c r="G24" s="1" t="inlineStr">
        <is>
          <t>fuel_sales_department.csv</t>
        </is>
      </c>
    </row>
    <row r="25">
      <c r="A25" s="1" t="inlineStr">
        <is>
          <t>F25</t>
        </is>
      </c>
      <c r="B25" s="1" t="inlineStr">
        <is>
          <t>macro_gdp_per_capita</t>
        </is>
      </c>
      <c r="C25" s="1" t="n">
        <v>2022</v>
      </c>
      <c r="D25" s="205" t="n">
        <v>76055.06748983047</v>
      </c>
      <c r="E25" s="205" t="n">
        <v>76055.06748983047</v>
      </c>
      <c r="F25" s="1" t="inlineStr">
        <is>
          <t>matches</t>
        </is>
      </c>
      <c r="G25" s="1" t="inlineStr">
        <is>
          <t>macro_statssa.csv</t>
        </is>
      </c>
    </row>
    <row r="26">
      <c r="A26" s="1" t="inlineStr">
        <is>
          <t>G25</t>
        </is>
      </c>
      <c r="B26" s="1" t="inlineStr">
        <is>
          <t>macro_gdp_per_capita</t>
        </is>
      </c>
      <c r="C26" s="1" t="n">
        <v>2023</v>
      </c>
      <c r="D26" s="205" t="n">
        <v>75781.52071231291</v>
      </c>
      <c r="E26" s="205" t="n">
        <v>75781.52071231291</v>
      </c>
      <c r="F26" s="1" t="inlineStr">
        <is>
          <t>matches</t>
        </is>
      </c>
      <c r="G26" s="1" t="inlineStr">
        <is>
          <t>macro_statssa.csv</t>
        </is>
      </c>
    </row>
    <row r="27">
      <c r="A27" s="1" t="inlineStr">
        <is>
          <t>H25</t>
        </is>
      </c>
      <c r="B27" s="1" t="inlineStr">
        <is>
          <t>macro_gdp_per_capita</t>
        </is>
      </c>
      <c r="C27" s="1" t="n">
        <v>2024</v>
      </c>
      <c r="D27" s="205" t="n">
        <v>75255.62912098455</v>
      </c>
      <c r="E27" s="205" t="n">
        <v>75255.62912098455</v>
      </c>
      <c r="F27" s="1" t="inlineStr">
        <is>
          <t>matches</t>
        </is>
      </c>
      <c r="G27" s="1" t="inlineStr">
        <is>
          <t>macro_statssa.csv</t>
        </is>
      </c>
    </row>
    <row r="28">
      <c r="A28" s="1" t="inlineStr">
        <is>
          <t>I25</t>
        </is>
      </c>
      <c r="B28" s="1" t="inlineStr">
        <is>
          <t>macro_gdp_per_capita</t>
        </is>
      </c>
      <c r="C28" s="1" t="n">
        <v>2025</v>
      </c>
      <c r="D28" s="205" t="n">
        <v>75149.98563223911</v>
      </c>
      <c r="E28" s="205" t="n">
        <v>75149.98563223911</v>
      </c>
      <c r="F28" s="1" t="inlineStr">
        <is>
          <t>matches</t>
        </is>
      </c>
      <c r="G28" s="1" t="inlineStr">
        <is>
          <t>macro_statssa.csv</t>
        </is>
      </c>
    </row>
    <row r="29">
      <c r="A29" s="1" t="inlineStr">
        <is>
          <t>F26</t>
        </is>
      </c>
      <c r="B29" s="1" t="inlineStr">
        <is>
          <t>macro_agriculture_forestry_and_fishing</t>
        </is>
      </c>
      <c r="C29" s="1" t="n">
        <v>2022</v>
      </c>
      <c r="D29" s="205" t="n">
        <v>131.7706421450265</v>
      </c>
      <c r="E29" s="205" t="n">
        <v>131.7706421450265</v>
      </c>
      <c r="F29" s="1" t="inlineStr">
        <is>
          <t>matches</t>
        </is>
      </c>
      <c r="G29" s="1" t="inlineStr">
        <is>
          <t>macro_statssa.csv</t>
        </is>
      </c>
    </row>
    <row r="30">
      <c r="A30" s="1" t="inlineStr">
        <is>
          <t>G26</t>
        </is>
      </c>
      <c r="B30" s="1" t="inlineStr">
        <is>
          <t>macro_agriculture_forestry_and_fishing</t>
        </is>
      </c>
      <c r="C30" s="1" t="n">
        <v>2023</v>
      </c>
      <c r="D30" s="205" t="n">
        <v>125.7466421450265</v>
      </c>
      <c r="E30" s="205" t="n">
        <v>125.7466421450265</v>
      </c>
      <c r="F30" s="1" t="inlineStr">
        <is>
          <t>matches</t>
        </is>
      </c>
      <c r="G30" s="1" t="inlineStr">
        <is>
          <t>macro_statssa.csv</t>
        </is>
      </c>
    </row>
    <row r="31">
      <c r="A31" s="1" t="inlineStr">
        <is>
          <t>H26</t>
        </is>
      </c>
      <c r="B31" s="1" t="inlineStr">
        <is>
          <t>macro_agriculture_forestry_and_fishing</t>
        </is>
      </c>
      <c r="C31" s="1" t="n">
        <v>2024</v>
      </c>
      <c r="D31" s="205" t="n">
        <v>114.7916421450265</v>
      </c>
      <c r="E31" s="205" t="n">
        <v>114.7916421450265</v>
      </c>
      <c r="F31" s="1" t="inlineStr">
        <is>
          <t>matches</t>
        </is>
      </c>
      <c r="G31" s="1" t="inlineStr">
        <is>
          <t>macro_statssa.csv</t>
        </is>
      </c>
    </row>
    <row r="32">
      <c r="A32" s="1" t="inlineStr">
        <is>
          <t>I26</t>
        </is>
      </c>
      <c r="B32" s="1" t="inlineStr">
        <is>
          <t>macro_agriculture_forestry_and_fishing</t>
        </is>
      </c>
      <c r="C32" s="1" t="n">
        <v>2025</v>
      </c>
      <c r="D32" s="205" t="n">
        <v>134.7967469817132</v>
      </c>
      <c r="E32" s="205" t="n">
        <v>134.7967469817132</v>
      </c>
      <c r="F32" s="1" t="inlineStr">
        <is>
          <t>matches</t>
        </is>
      </c>
      <c r="G32" s="1" t="inlineStr">
        <is>
          <t>macro_statssa.csv</t>
        </is>
      </c>
    </row>
    <row r="33">
      <c r="A33" s="1" t="inlineStr">
        <is>
          <t>F27</t>
        </is>
      </c>
      <c r="B33" s="1" t="inlineStr">
        <is>
          <t>macro_manufacturing</t>
        </is>
      </c>
      <c r="C33" s="1" t="n">
        <v>2022</v>
      </c>
      <c r="D33" s="205" t="n">
        <v>523.0907540648606</v>
      </c>
      <c r="E33" s="205" t="n">
        <v>523.0907540648606</v>
      </c>
      <c r="F33" s="1" t="inlineStr">
        <is>
          <t>matches</t>
        </is>
      </c>
      <c r="G33" s="1" t="inlineStr">
        <is>
          <t>macro_statssa.csv</t>
        </is>
      </c>
    </row>
    <row r="34">
      <c r="A34" s="1" t="inlineStr">
        <is>
          <t>G27</t>
        </is>
      </c>
      <c r="B34" s="1" t="inlineStr">
        <is>
          <t>macro_manufacturing</t>
        </is>
      </c>
      <c r="C34" s="1" t="n">
        <v>2023</v>
      </c>
      <c r="D34" s="205" t="n">
        <v>524.9937540648609</v>
      </c>
      <c r="E34" s="205" t="n">
        <v>524.9937540648609</v>
      </c>
      <c r="F34" s="1" t="inlineStr">
        <is>
          <t>matches</t>
        </is>
      </c>
      <c r="G34" s="1" t="inlineStr">
        <is>
          <t>macro_statssa.csv</t>
        </is>
      </c>
    </row>
    <row r="35">
      <c r="A35" s="1" t="inlineStr">
        <is>
          <t>H27</t>
        </is>
      </c>
      <c r="B35" s="1" t="inlineStr">
        <is>
          <t>macro_manufacturing</t>
        </is>
      </c>
      <c r="C35" s="1" t="n">
        <v>2024</v>
      </c>
      <c r="D35" s="205" t="n">
        <v>523.150754064861</v>
      </c>
      <c r="E35" s="205" t="n">
        <v>523.150754064861</v>
      </c>
      <c r="F35" s="1" t="inlineStr">
        <is>
          <t>matches</t>
        </is>
      </c>
      <c r="G35" s="1" t="inlineStr">
        <is>
          <t>macro_statssa.csv</t>
        </is>
      </c>
    </row>
    <row r="36">
      <c r="A36" s="1" t="inlineStr">
        <is>
          <t>I27</t>
        </is>
      </c>
      <c r="B36" s="1" t="inlineStr">
        <is>
          <t>macro_manufacturing</t>
        </is>
      </c>
      <c r="C36" s="1" t="n">
        <v>2025</v>
      </c>
      <c r="D36" s="205" t="n">
        <v>516.9856529750193</v>
      </c>
      <c r="E36" s="205" t="n">
        <v>516.9856529750193</v>
      </c>
      <c r="F36" s="1" t="inlineStr">
        <is>
          <t>matches</t>
        </is>
      </c>
      <c r="G36" s="1" t="inlineStr">
        <is>
          <t>macro_statssa.csv</t>
        </is>
      </c>
    </row>
    <row r="37">
      <c r="A37" s="1" t="inlineStr">
        <is>
          <t>F28</t>
        </is>
      </c>
      <c r="B37" s="1" t="inlineStr">
        <is>
          <t>macro_mining_and_quarrying</t>
        </is>
      </c>
      <c r="C37" s="1" t="n">
        <v>2022</v>
      </c>
      <c r="D37" s="205" t="n">
        <v>204.4529227196744</v>
      </c>
      <c r="E37" s="205" t="n">
        <v>204.4529227196744</v>
      </c>
      <c r="F37" s="1" t="inlineStr">
        <is>
          <t>matches</t>
        </is>
      </c>
      <c r="G37" s="1" t="inlineStr">
        <is>
          <t>macro_statssa.csv</t>
        </is>
      </c>
    </row>
    <row r="38">
      <c r="A38" s="1" t="inlineStr">
        <is>
          <t>G28</t>
        </is>
      </c>
      <c r="B38" s="1" t="inlineStr">
        <is>
          <t>macro_mining_and_quarrying</t>
        </is>
      </c>
      <c r="C38" s="1" t="n">
        <v>2023</v>
      </c>
      <c r="D38" s="205" t="n">
        <v>204.2286999662737</v>
      </c>
      <c r="E38" s="205" t="n">
        <v>204.2286999662738</v>
      </c>
      <c r="F38" s="1" t="inlineStr">
        <is>
          <t>matches</t>
        </is>
      </c>
      <c r="G38" s="1" t="inlineStr">
        <is>
          <t>macro_statssa.csv</t>
        </is>
      </c>
    </row>
    <row r="39">
      <c r="A39" s="1" t="inlineStr">
        <is>
          <t>H28</t>
        </is>
      </c>
      <c r="B39" s="1" t="inlineStr">
        <is>
          <t>macro_mining_and_quarrying</t>
        </is>
      </c>
      <c r="C39" s="1" t="n">
        <v>2024</v>
      </c>
      <c r="D39" s="205" t="n">
        <v>205.1258295918731</v>
      </c>
      <c r="E39" s="205" t="n">
        <v>205.1258295918731</v>
      </c>
      <c r="F39" s="1" t="inlineStr">
        <is>
          <t>matches</t>
        </is>
      </c>
      <c r="G39" s="1" t="inlineStr">
        <is>
          <t>macro_statssa.csv</t>
        </is>
      </c>
    </row>
    <row r="40">
      <c r="A40" s="1" t="inlineStr">
        <is>
          <t>I28</t>
        </is>
      </c>
      <c r="B40" s="1" t="inlineStr">
        <is>
          <t>macro_mining_and_quarrying</t>
        </is>
      </c>
      <c r="C40" s="1" t="n">
        <v>2025</v>
      </c>
      <c r="D40" s="205" t="n">
        <v>205.4648860142573</v>
      </c>
      <c r="E40" s="205" t="n">
        <v>205.4648860142574</v>
      </c>
      <c r="F40" s="1" t="inlineStr">
        <is>
          <t>matches</t>
        </is>
      </c>
      <c r="G40" s="1" t="inlineStr">
        <is>
          <t>macro_statssa.csv</t>
        </is>
      </c>
    </row>
    <row r="41">
      <c r="A41" s="1" t="inlineStr">
        <is>
          <t>F29</t>
        </is>
      </c>
      <c r="B41" s="1" t="inlineStr">
        <is>
          <t>macro_construction</t>
        </is>
      </c>
      <c r="C41" s="1" t="n">
        <v>2022</v>
      </c>
      <c r="D41" s="205" t="n">
        <v>110.0650907489087</v>
      </c>
      <c r="E41" s="205" t="n">
        <v>110.0650907489087</v>
      </c>
      <c r="F41" s="1" t="inlineStr">
        <is>
          <t>matches</t>
        </is>
      </c>
      <c r="G41" s="1" t="inlineStr">
        <is>
          <t>macro_statssa.csv</t>
        </is>
      </c>
    </row>
    <row r="42">
      <c r="A42" s="1" t="inlineStr">
        <is>
          <t>G29</t>
        </is>
      </c>
      <c r="B42" s="1" t="inlineStr">
        <is>
          <t>macro_construction</t>
        </is>
      </c>
      <c r="C42" s="1" t="n">
        <v>2023</v>
      </c>
      <c r="D42" s="205" t="n">
        <v>109.5650907489087</v>
      </c>
      <c r="E42" s="205" t="n">
        <v>109.5650907489087</v>
      </c>
      <c r="F42" s="1" t="inlineStr">
        <is>
          <t>matches</t>
        </is>
      </c>
      <c r="G42" s="1" t="inlineStr">
        <is>
          <t>macro_statssa.csv</t>
        </is>
      </c>
    </row>
    <row r="43">
      <c r="A43" s="1" t="inlineStr">
        <is>
          <t>H29</t>
        </is>
      </c>
      <c r="B43" s="1" t="inlineStr">
        <is>
          <t>macro_construction</t>
        </is>
      </c>
      <c r="C43" s="1" t="n">
        <v>2024</v>
      </c>
      <c r="D43" s="205" t="n">
        <v>103.6250907489087</v>
      </c>
      <c r="E43" s="205" t="n">
        <v>103.6250907489087</v>
      </c>
      <c r="F43" s="1" t="inlineStr">
        <is>
          <t>matches</t>
        </is>
      </c>
      <c r="G43" s="1" t="inlineStr">
        <is>
          <t>macro_statssa.csv</t>
        </is>
      </c>
    </row>
    <row r="44">
      <c r="A44" s="1" t="inlineStr">
        <is>
          <t>I29</t>
        </is>
      </c>
      <c r="B44" s="1" t="inlineStr">
        <is>
          <t>macro_construction</t>
        </is>
      </c>
      <c r="C44" s="1" t="n">
        <v>2025</v>
      </c>
      <c r="D44" s="205" t="n">
        <v>99.09852067977131</v>
      </c>
      <c r="E44" s="205" t="n">
        <v>99.09852067977131</v>
      </c>
      <c r="F44" s="1" t="inlineStr">
        <is>
          <t>matches</t>
        </is>
      </c>
      <c r="G44" s="1" t="inlineStr">
        <is>
          <t>macro_statssa.csv</t>
        </is>
      </c>
    </row>
    <row r="45">
      <c r="A45" s="1" t="inlineStr">
        <is>
          <t>F30</t>
        </is>
      </c>
      <c r="B45" s="1" t="inlineStr">
        <is>
          <t>manufacturing_volume_total</t>
        </is>
      </c>
      <c r="C45" s="1" t="n">
        <v>2022</v>
      </c>
      <c r="D45" s="205" t="n">
        <v>93.14166666666667</v>
      </c>
      <c r="E45" s="205" t="n">
        <v>93.14166666666667</v>
      </c>
      <c r="F45" s="1" t="inlineStr">
        <is>
          <t>matches</t>
        </is>
      </c>
      <c r="G45" s="1" t="inlineStr">
        <is>
          <t>activity_statssa_monthly.csv</t>
        </is>
      </c>
    </row>
    <row r="46">
      <c r="A46" s="1" t="inlineStr">
        <is>
          <t>G30</t>
        </is>
      </c>
      <c r="B46" s="1" t="inlineStr">
        <is>
          <t>manufacturing_volume_total</t>
        </is>
      </c>
      <c r="C46" s="1" t="n">
        <v>2023</v>
      </c>
      <c r="D46" s="205" t="n">
        <v>93.71666666666665</v>
      </c>
      <c r="E46" s="205" t="n">
        <v>93.71666666666665</v>
      </c>
      <c r="F46" s="1" t="inlineStr">
        <is>
          <t>matches</t>
        </is>
      </c>
      <c r="G46" s="1" t="inlineStr">
        <is>
          <t>activity_statssa_monthly.csv</t>
        </is>
      </c>
    </row>
    <row r="47">
      <c r="A47" s="1" t="inlineStr">
        <is>
          <t>H30</t>
        </is>
      </c>
      <c r="B47" s="1" t="inlineStr">
        <is>
          <t>manufacturing_volume_total</t>
        </is>
      </c>
      <c r="C47" s="1" t="n">
        <v>2024</v>
      </c>
      <c r="D47" s="205" t="n">
        <v>93.33333333333333</v>
      </c>
      <c r="E47" s="205" t="n">
        <v>93.33333333333333</v>
      </c>
      <c r="F47" s="1" t="inlineStr">
        <is>
          <t>matches</t>
        </is>
      </c>
      <c r="G47" s="1" t="inlineStr">
        <is>
          <t>activity_statssa_monthly.csv</t>
        </is>
      </c>
    </row>
    <row r="48">
      <c r="A48" s="1" t="inlineStr">
        <is>
          <t>I30</t>
        </is>
      </c>
      <c r="B48" s="1" t="inlineStr">
        <is>
          <t>manufacturing_volume_total</t>
        </is>
      </c>
      <c r="C48" s="1" t="n">
        <v>2025</v>
      </c>
      <c r="D48" s="205" t="n">
        <v>92.14166666666665</v>
      </c>
      <c r="E48" s="205" t="n">
        <v>92.14166666666667</v>
      </c>
      <c r="F48" s="1" t="inlineStr">
        <is>
          <t>matches</t>
        </is>
      </c>
      <c r="G48" s="1" t="inlineStr">
        <is>
          <t>activity_statssa_monthly.csv</t>
        </is>
      </c>
    </row>
    <row r="49">
      <c r="A49" s="1" t="inlineStr">
        <is>
          <t>F31</t>
        </is>
      </c>
      <c r="B49" s="1" t="inlineStr">
        <is>
          <t>mining_volume_total</t>
        </is>
      </c>
      <c r="C49" s="1" t="n">
        <v>2022</v>
      </c>
      <c r="D49" s="205" t="n">
        <v>93.00833333333334</v>
      </c>
      <c r="E49" s="205" t="n">
        <v>93.00833333333333</v>
      </c>
      <c r="F49" s="1" t="inlineStr">
        <is>
          <t>matches</t>
        </is>
      </c>
      <c r="G49" s="1" t="inlineStr">
        <is>
          <t>activity_statssa_monthly.csv</t>
        </is>
      </c>
    </row>
    <row r="50">
      <c r="A50" s="1" t="inlineStr">
        <is>
          <t>G31</t>
        </is>
      </c>
      <c r="B50" s="1" t="inlineStr">
        <is>
          <t>mining_volume_total</t>
        </is>
      </c>
      <c r="C50" s="1" t="n">
        <v>2023</v>
      </c>
      <c r="D50" s="205" t="n">
        <v>93.01666666666667</v>
      </c>
      <c r="E50" s="205" t="n">
        <v>93.01666666666667</v>
      </c>
      <c r="F50" s="1" t="inlineStr">
        <is>
          <t>matches</t>
        </is>
      </c>
      <c r="G50" s="1" t="inlineStr">
        <is>
          <t>activity_statssa_monthly.csv</t>
        </is>
      </c>
    </row>
    <row r="51">
      <c r="A51" s="1" t="inlineStr">
        <is>
          <t>H31</t>
        </is>
      </c>
      <c r="B51" s="1" t="inlineStr">
        <is>
          <t>mining_volume_total</t>
        </is>
      </c>
      <c r="C51" s="1" t="n">
        <v>2024</v>
      </c>
      <c r="D51" s="205" t="n">
        <v>93.53333333333332</v>
      </c>
      <c r="E51" s="205" t="n">
        <v>93.53333333333335</v>
      </c>
      <c r="F51" s="1" t="inlineStr">
        <is>
          <t>matches</t>
        </is>
      </c>
      <c r="G51" s="1" t="inlineStr">
        <is>
          <t>activity_statssa_monthly.csv</t>
        </is>
      </c>
    </row>
    <row r="52">
      <c r="A52" s="1" t="inlineStr">
        <is>
          <t>I31</t>
        </is>
      </c>
      <c r="B52" s="1" t="inlineStr">
        <is>
          <t>mining_volume_total</t>
        </is>
      </c>
      <c r="C52" s="1" t="n">
        <v>2025</v>
      </c>
      <c r="D52" s="205" t="n">
        <v>93.70833333333333</v>
      </c>
      <c r="E52" s="205" t="n">
        <v>93.70833333333333</v>
      </c>
      <c r="F52" s="1" t="inlineStr">
        <is>
          <t>matches</t>
        </is>
      </c>
      <c r="G52" s="1" t="inlineStr">
        <is>
          <t>activity_statssa_monthly.csv</t>
        </is>
      </c>
    </row>
    <row r="53">
      <c r="A53" s="1" t="inlineStr">
        <is>
          <t>F43</t>
        </is>
      </c>
      <c r="B53" s="1" t="inlineStr">
        <is>
          <t>Provincial: EC petrol / million L/year</t>
        </is>
      </c>
      <c r="C53" s="1" t="n">
        <v>2022</v>
      </c>
      <c r="D53" s="205" t="n">
        <v>703.1324447169991</v>
      </c>
      <c r="E53" s="205" t="n">
        <v>703.132444716999</v>
      </c>
      <c r="F53" s="1" t="inlineStr">
        <is>
          <t>matches</t>
        </is>
      </c>
      <c r="G53" s="1" t="inlineStr">
        <is>
          <t>fuel_sales_department_by_province.csv</t>
        </is>
      </c>
    </row>
    <row r="54">
      <c r="A54" s="1" t="inlineStr">
        <is>
          <t>F44</t>
        </is>
      </c>
      <c r="B54" s="1" t="inlineStr">
        <is>
          <t>Provincial: FS petrol / million L/year</t>
        </is>
      </c>
      <c r="C54" s="1" t="n">
        <v>2022</v>
      </c>
      <c r="D54" s="205" t="n">
        <v>587.4580081820001</v>
      </c>
      <c r="E54" s="205" t="n">
        <v>587.4580081820001</v>
      </c>
      <c r="F54" s="1" t="inlineStr">
        <is>
          <t>matches</t>
        </is>
      </c>
      <c r="G54" s="1" t="inlineStr">
        <is>
          <t>fuel_sales_department_by_province.csv</t>
        </is>
      </c>
    </row>
    <row r="55">
      <c r="A55" s="1" t="inlineStr">
        <is>
          <t>F45</t>
        </is>
      </c>
      <c r="B55" s="1" t="inlineStr">
        <is>
          <t>Provincial: GP petrol / million L/year</t>
        </is>
      </c>
      <c r="C55" s="1" t="n">
        <v>2022</v>
      </c>
      <c r="D55" s="205" t="n">
        <v>3530.440256933996</v>
      </c>
      <c r="E55" s="205" t="n">
        <v>3530.440256933996</v>
      </c>
      <c r="F55" s="1" t="inlineStr">
        <is>
          <t>matches</t>
        </is>
      </c>
      <c r="G55" s="1" t="inlineStr">
        <is>
          <t>fuel_sales_department_by_province.csv</t>
        </is>
      </c>
    </row>
    <row r="56">
      <c r="A56" s="1" t="inlineStr">
        <is>
          <t>F46</t>
        </is>
      </c>
      <c r="B56" s="1" t="inlineStr">
        <is>
          <t>Provincial: KZN petrol / million L/year</t>
        </is>
      </c>
      <c r="C56" s="1" t="n">
        <v>2022</v>
      </c>
      <c r="D56" s="205" t="n">
        <v>1498.937893394999</v>
      </c>
      <c r="E56" s="205" t="n">
        <v>1498.937893394999</v>
      </c>
      <c r="F56" s="1" t="inlineStr">
        <is>
          <t>matches</t>
        </is>
      </c>
      <c r="G56" s="1" t="inlineStr">
        <is>
          <t>fuel_sales_department_by_province.csv</t>
        </is>
      </c>
    </row>
    <row r="57">
      <c r="A57" s="1" t="inlineStr">
        <is>
          <t>F47</t>
        </is>
      </c>
      <c r="B57" s="1" t="inlineStr">
        <is>
          <t>Provincial: LP petrol / million L/year</t>
        </is>
      </c>
      <c r="C57" s="1" t="n">
        <v>2022</v>
      </c>
      <c r="D57" s="205" t="n">
        <v>273.644045045999</v>
      </c>
      <c r="E57" s="205" t="n">
        <v>273.644045045999</v>
      </c>
      <c r="F57" s="1" t="inlineStr">
        <is>
          <t>matches</t>
        </is>
      </c>
      <c r="G57" s="1" t="inlineStr">
        <is>
          <t>fuel_sales_department_by_province.csv</t>
        </is>
      </c>
    </row>
    <row r="58">
      <c r="A58" s="1" t="inlineStr">
        <is>
          <t>F48</t>
        </is>
      </c>
      <c r="B58" s="1" t="inlineStr">
        <is>
          <t>Provincial: MP petrol / million L/year</t>
        </is>
      </c>
      <c r="C58" s="1" t="n">
        <v>2022</v>
      </c>
      <c r="D58" s="205" t="n">
        <v>612.2656460789989</v>
      </c>
      <c r="E58" s="205" t="n">
        <v>612.2656460789989</v>
      </c>
      <c r="F58" s="1" t="inlineStr">
        <is>
          <t>matches</t>
        </is>
      </c>
      <c r="G58" s="1" t="inlineStr">
        <is>
          <t>fuel_sales_department_by_province.csv</t>
        </is>
      </c>
    </row>
    <row r="59">
      <c r="A59" s="1" t="inlineStr">
        <is>
          <t>F49</t>
        </is>
      </c>
      <c r="B59" s="1" t="inlineStr">
        <is>
          <t>Provincial: NC petrol / million L/year</t>
        </is>
      </c>
      <c r="C59" s="1" t="n">
        <v>2022</v>
      </c>
      <c r="D59" s="205" t="n">
        <v>99.82992901300001</v>
      </c>
      <c r="E59" s="205" t="n">
        <v>99.829929013</v>
      </c>
      <c r="F59" s="1" t="inlineStr">
        <is>
          <t>matches</t>
        </is>
      </c>
      <c r="G59" s="1" t="inlineStr">
        <is>
          <t>fuel_sales_department_by_province.csv</t>
        </is>
      </c>
    </row>
    <row r="60">
      <c r="A60" s="1" t="inlineStr">
        <is>
          <t>F50</t>
        </is>
      </c>
      <c r="B60" s="1" t="inlineStr">
        <is>
          <t>Provincial: NW petrol / million L/year</t>
        </is>
      </c>
      <c r="C60" s="1" t="n">
        <v>2022</v>
      </c>
      <c r="D60" s="205" t="n">
        <v>448.1562321239999</v>
      </c>
      <c r="E60" s="205" t="n">
        <v>448.1562321239999</v>
      </c>
      <c r="F60" s="1" t="inlineStr">
        <is>
          <t>matches</t>
        </is>
      </c>
      <c r="G60" s="1" t="inlineStr">
        <is>
          <t>fuel_sales_department_by_province.csv</t>
        </is>
      </c>
    </row>
    <row r="61">
      <c r="A61" s="1" t="inlineStr">
        <is>
          <t>F51</t>
        </is>
      </c>
      <c r="B61" s="1" t="inlineStr">
        <is>
          <t>Provincial: WC petrol / million L/year</t>
        </is>
      </c>
      <c r="C61" s="1" t="n">
        <v>2022</v>
      </c>
      <c r="D61" s="205" t="n">
        <v>1431.005460082997</v>
      </c>
      <c r="E61" s="205" t="n">
        <v>1431.005460082997</v>
      </c>
      <c r="F61" s="1" t="inlineStr">
        <is>
          <t>matches</t>
        </is>
      </c>
      <c r="G61" s="1" t="inlineStr">
        <is>
          <t>fuel_sales_department_by_province.csv</t>
        </is>
      </c>
    </row>
    <row r="62">
      <c r="A62" s="1" t="inlineStr">
        <is>
          <t>F52</t>
        </is>
      </c>
      <c r="B62" s="1" t="inlineStr">
        <is>
          <t>Provincial: EC diesel / million L/year</t>
        </is>
      </c>
      <c r="C62" s="1" t="n">
        <v>2022</v>
      </c>
      <c r="D62" s="205" t="n">
        <v>1032.35218272</v>
      </c>
      <c r="E62" s="205" t="n">
        <v>1032.35218272</v>
      </c>
      <c r="F62" s="1" t="inlineStr">
        <is>
          <t>matches</t>
        </is>
      </c>
      <c r="G62" s="1" t="inlineStr">
        <is>
          <t>fuel_sales_department_by_province.csv</t>
        </is>
      </c>
    </row>
    <row r="63">
      <c r="A63" s="1" t="inlineStr">
        <is>
          <t>F53</t>
        </is>
      </c>
      <c r="B63" s="1" t="inlineStr">
        <is>
          <t>Provincial: FS diesel / million L/year</t>
        </is>
      </c>
      <c r="C63" s="1" t="n">
        <v>2022</v>
      </c>
      <c r="D63" s="205" t="n">
        <v>781.8611598310002</v>
      </c>
      <c r="E63" s="205" t="n">
        <v>781.8611598310002</v>
      </c>
      <c r="F63" s="1" t="inlineStr">
        <is>
          <t>matches</t>
        </is>
      </c>
      <c r="G63" s="1" t="inlineStr">
        <is>
          <t>fuel_sales_department_by_province.csv</t>
        </is>
      </c>
    </row>
    <row r="64">
      <c r="A64" s="1" t="inlineStr">
        <is>
          <t>F54</t>
        </is>
      </c>
      <c r="B64" s="1" t="inlineStr">
        <is>
          <t>Provincial: GP diesel / million L/year</t>
        </is>
      </c>
      <c r="C64" s="1" t="n">
        <v>2022</v>
      </c>
      <c r="D64" s="205" t="n">
        <v>3278.990501961999</v>
      </c>
      <c r="E64" s="205" t="n">
        <v>3278.990501961999</v>
      </c>
      <c r="F64" s="1" t="inlineStr">
        <is>
          <t>matches</t>
        </is>
      </c>
      <c r="G64" s="1" t="inlineStr">
        <is>
          <t>fuel_sales_department_by_province.csv</t>
        </is>
      </c>
    </row>
    <row r="65">
      <c r="A65" s="1" t="inlineStr">
        <is>
          <t>F55</t>
        </is>
      </c>
      <c r="B65" s="1" t="inlineStr">
        <is>
          <t>Provincial: KZN diesel / million L/year</t>
        </is>
      </c>
      <c r="C65" s="1" t="n">
        <v>2022</v>
      </c>
      <c r="D65" s="205" t="n">
        <v>2785.554802503</v>
      </c>
      <c r="E65" s="205" t="n">
        <v>2785.554802503</v>
      </c>
      <c r="F65" s="1" t="inlineStr">
        <is>
          <t>matches</t>
        </is>
      </c>
      <c r="G65" s="1" t="inlineStr">
        <is>
          <t>fuel_sales_department_by_province.csv</t>
        </is>
      </c>
    </row>
    <row r="66">
      <c r="A66" s="1" t="inlineStr">
        <is>
          <t>F56</t>
        </is>
      </c>
      <c r="B66" s="1" t="inlineStr">
        <is>
          <t>Provincial: LP diesel / million L/year</t>
        </is>
      </c>
      <c r="C66" s="1" t="n">
        <v>2022</v>
      </c>
      <c r="D66" s="205" t="n">
        <v>221.987440248</v>
      </c>
      <c r="E66" s="205" t="n">
        <v>221.987440248</v>
      </c>
      <c r="F66" s="1" t="inlineStr">
        <is>
          <t>matches</t>
        </is>
      </c>
      <c r="G66" s="1" t="inlineStr">
        <is>
          <t>fuel_sales_department_by_province.csv</t>
        </is>
      </c>
    </row>
    <row r="67">
      <c r="A67" s="1" t="inlineStr">
        <is>
          <t>F57</t>
        </is>
      </c>
      <c r="B67" s="1" t="inlineStr">
        <is>
          <t>Provincial: MP diesel / million L/year</t>
        </is>
      </c>
      <c r="C67" s="1" t="n">
        <v>2022</v>
      </c>
      <c r="D67" s="205" t="n">
        <v>1144.924075864997</v>
      </c>
      <c r="E67" s="205" t="n">
        <v>1144.924075864997</v>
      </c>
      <c r="F67" s="1" t="inlineStr">
        <is>
          <t>matches</t>
        </is>
      </c>
      <c r="G67" s="1" t="inlineStr">
        <is>
          <t>fuel_sales_department_by_province.csv</t>
        </is>
      </c>
    </row>
    <row r="68">
      <c r="A68" s="1" t="inlineStr">
        <is>
          <t>F58</t>
        </is>
      </c>
      <c r="B68" s="1" t="inlineStr">
        <is>
          <t>Provincial: NC diesel / million L/year</t>
        </is>
      </c>
      <c r="C68" s="1" t="n">
        <v>2022</v>
      </c>
      <c r="D68" s="205" t="n">
        <v>351.9801199100001</v>
      </c>
      <c r="E68" s="205" t="n">
        <v>351.9801199100001</v>
      </c>
      <c r="F68" s="1" t="inlineStr">
        <is>
          <t>matches</t>
        </is>
      </c>
      <c r="G68" s="1" t="inlineStr">
        <is>
          <t>fuel_sales_department_by_province.csv</t>
        </is>
      </c>
    </row>
    <row r="69">
      <c r="A69" s="1" t="inlineStr">
        <is>
          <t>F59</t>
        </is>
      </c>
      <c r="B69" s="1" t="inlineStr">
        <is>
          <t>Provincial: NW diesel / million L/year</t>
        </is>
      </c>
      <c r="C69" s="1" t="n">
        <v>2022</v>
      </c>
      <c r="D69" s="205" t="n">
        <v>619.906488913</v>
      </c>
      <c r="E69" s="205" t="n">
        <v>619.906488913</v>
      </c>
      <c r="F69" s="1" t="inlineStr">
        <is>
          <t>matches</t>
        </is>
      </c>
      <c r="G69" s="1" t="inlineStr">
        <is>
          <t>fuel_sales_department_by_province.csv</t>
        </is>
      </c>
    </row>
    <row r="70">
      <c r="A70" s="1" t="inlineStr">
        <is>
          <t>F60</t>
        </is>
      </c>
      <c r="B70" s="1" t="inlineStr">
        <is>
          <t>Provincial: WC diesel / million L/year</t>
        </is>
      </c>
      <c r="C70" s="1" t="n">
        <v>2022</v>
      </c>
      <c r="D70" s="205" t="n">
        <v>2499.769547067</v>
      </c>
      <c r="E70" s="205"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DR01 balance, Sector history, Diesel by use, Demand by use, DR04 routes, DR04 entry points, DR04 transport cost, DR07 evidence, DR07 power diesel, DR07 fleet by province, DR07 efficiency and rail, Power fleet, Vehicle history, HML response, Gap status, Checks, History sources. No other cell changed.</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85" t="inlineStr">
        <is>
          <t>Used for</t>
        </is>
      </c>
      <c r="B4" s="185" t="inlineStr">
        <is>
          <t>Publisher</t>
        </is>
      </c>
      <c r="C4" s="185" t="inlineStr">
        <is>
          <t>Link</t>
        </is>
      </c>
      <c r="D4" s="185" t="inlineStr">
        <is>
          <t>Original file</t>
        </is>
      </c>
      <c r="E4" s="185" t="inlineStr">
        <is>
          <t>Where the original is kept</t>
        </is>
      </c>
      <c r="F4" s="185" t="inlineStr">
        <is>
          <t>Extract in the repository</t>
        </is>
      </c>
      <c r="G4" s="185" t="inlineStr">
        <is>
          <t>Refresh command</t>
        </is>
      </c>
      <c r="H4" s="185" t="inlineStr">
        <is>
          <t>Periods</t>
        </is>
      </c>
      <c r="I4" s="185" t="inlineStr">
        <is>
          <t>Limits</t>
        </is>
      </c>
    </row>
    <row r="5">
      <c r="A5" s="204" t="inlineStr">
        <is>
          <t>History sections 1 and 4: national sales</t>
        </is>
      </c>
      <c r="B5" s="204" t="inlineStr">
        <is>
          <t>Department of Mineral and Petroleum Resources (energy department)</t>
        </is>
      </c>
      <c r="C5" s="204" t="inlineStr">
        <is>
          <t>https://www.dmpr.gov.za/Portals/0/Energy_Website/files/media/SA FUEL SALES VOLUME/</t>
        </is>
      </c>
      <c r="D5" s="204" t="inlineStr">
        <is>
          <t>&lt;year&gt;-...-FSV....xls(x), national annual workbooks 2005-2023</t>
        </is>
      </c>
      <c r="E5" s="204" t="inlineStr">
        <is>
          <t>local to Manish and Nigel; not on main</t>
        </is>
      </c>
      <c r="F5" s="204" t="inlineStr">
        <is>
          <t>assumptions/2026/timeseries/fuel_sales_department.csv</t>
        </is>
      </c>
      <c r="G5" s="204" t="inlineStr">
        <is>
          <t>python -m lfm.scripts.fetch_energy_dept --vintage 2026</t>
        </is>
      </c>
      <c r="H5" s="204" t="inlineStr">
        <is>
          <t>2005-2023</t>
        </is>
      </c>
      <c r="I5" s="204" t="inlineStr">
        <is>
          <t>2013 corrected on manish-branch (published sheet). Series ends 2023.</t>
        </is>
      </c>
    </row>
    <row r="6">
      <c r="A6" s="204" t="inlineStr">
        <is>
          <t>History section 1: sales by province</t>
        </is>
      </c>
      <c r="B6" s="204" t="inlineStr">
        <is>
          <t>Department of Mineral and Petroleum Resources (energy department)</t>
        </is>
      </c>
      <c r="C6" s="204" t="inlineStr">
        <is>
          <t>https://www.dmpr.gov.za/Portals/0/Energy_Website/files/media/SA FUEL SALES VOLUME/</t>
        </is>
      </c>
      <c r="D6" s="204" t="inlineStr">
        <is>
          <t>&lt;year&gt;-...-Magisterial-Districts-data.xlsx, quarterly sheets</t>
        </is>
      </c>
      <c r="E6" s="204" t="inlineStr">
        <is>
          <t>local to Manish and Nigel; not on main (2013 annual workbook on manish-branch)</t>
        </is>
      </c>
      <c r="F6" s="204" t="inlineStr">
        <is>
          <t>assumptions/2026/timeseries/fuel_sales_department_by_province.csv</t>
        </is>
      </c>
      <c r="G6" s="204" t="inlineStr">
        <is>
          <t>python -m lfm.scripts.fetch_energy_dept --vintage 2026</t>
        </is>
      </c>
      <c r="H6" s="204" t="inlineStr">
        <is>
          <t>2013-2022</t>
        </is>
      </c>
      <c r="I6" s="204" t="inlineStr">
        <is>
          <t>Ends 2022. 2018 understated about 1.8% (district Q1 sheet incomplete). 2014-Q3 differs from national file.</t>
        </is>
      </c>
    </row>
    <row r="7">
      <c r="A7" s="204" t="inlineStr">
        <is>
          <t>History section 2: imports and exports</t>
        </is>
      </c>
      <c r="B7" s="204" t="inlineStr">
        <is>
          <t>South African Revenue Service, trade statistics</t>
        </is>
      </c>
      <c r="C7" s="204" t="inlineStr">
        <is>
          <t>https://tools.sars.gov.za/tradestatsportal/data_download.aspx</t>
        </is>
      </c>
      <c r="D7" s="204" t="inlineStr">
        <is>
          <t>sars-&lt;imports|exports&gt;-chapter27-fuels-&lt;year&gt;.xlsx, 2010-2026</t>
        </is>
      </c>
      <c r="E7" s="204" t="inlineStr">
        <is>
          <t>on manish-branch (external/data/raw/sars/)</t>
        </is>
      </c>
      <c r="F7" s="204" t="inlineStr">
        <is>
          <t>assumptions/2026/timeseries/fuel_trade_sars.csv</t>
        </is>
      </c>
      <c r="G7" s="204" t="inlineStr">
        <is>
          <t>python -m lfm.scripts.fetch_sars --vintage 2026</t>
        </is>
      </c>
      <c r="H7" s="204" t="inlineStr">
        <is>
          <t>2010-2026</t>
        </is>
      </c>
      <c r="I7" s="204" t="inlineStr">
        <is>
          <t>Primary record of imports and exports from 2014. Kilograms to 2012, litres from 2014, both in 2013.</t>
        </is>
      </c>
    </row>
    <row r="8">
      <c r="A8" s="204" t="inlineStr">
        <is>
          <t>History section 2: FIASA comparison rows</t>
        </is>
      </c>
      <c r="B8" s="204" t="inlineStr">
        <is>
          <t>Fuels Industry Association of South Africa (from customs data)</t>
        </is>
      </c>
      <c r="C8" s="204" t="inlineStr">
        <is>
          <t>https://fuelsindustry.org.za/publications/annual-reports/</t>
        </is>
      </c>
      <c r="D8" s="204" t="inlineStr">
        <is>
          <t>annual-report-&lt;year&gt;.pdf; 2025 edition pp.47-49</t>
        </is>
      </c>
      <c r="E8" s="204" t="inlineStr">
        <is>
          <t>local to Manish and Nigel; not on main; 2025 edition on main</t>
        </is>
      </c>
      <c r="F8" s="204" t="inlineStr">
        <is>
          <t>assumptions/2026/timeseries/fuel_trade_fiasa.csv</t>
        </is>
      </c>
      <c r="G8" s="204" t="inlineStr">
        <is>
          <t>python -m lfm.scripts.fetch_fuel_sales --vintage 2026</t>
        </is>
      </c>
      <c r="H8" s="204" t="inlineStr">
        <is>
          <t>2009-2025</t>
        </is>
      </c>
      <c r="I8" s="204" t="inlineStr">
        <is>
          <t>Cross-check, and the record before 2014; SARS is primary from 2014. 'Kerosene' is jet plus paraffin. Its 2024 diesel import figure is 4.000 bn L above customs.</t>
        </is>
      </c>
    </row>
    <row r="9">
      <c r="A9" s="204" t="inlineStr">
        <is>
          <t>History section 4: FIASA comparison row</t>
        </is>
      </c>
      <c r="B9" s="204" t="inlineStr">
        <is>
          <t>Fuels Industry Association of South Africa</t>
        </is>
      </c>
      <c r="C9" s="204" t="inlineStr">
        <is>
          <t>https://fuelsindustry.org.za/publications/annual-reports/</t>
        </is>
      </c>
      <c r="D9" s="204" t="inlineStr">
        <is>
          <t>annual-report-&lt;year&gt;.pdf, 2021-2025 editions</t>
        </is>
      </c>
      <c r="E9" s="204" t="inlineStr">
        <is>
          <t>local to Manish and Nigel; not on main; 2025 edition on main</t>
        </is>
      </c>
      <c r="F9" s="204" t="inlineStr">
        <is>
          <t>assumptions/2026/timeseries/fuel_sales_fiasa.csv</t>
        </is>
      </c>
      <c r="G9" s="204" t="inlineStr">
        <is>
          <t>python -m lfm.scripts.fetch_fuel_sales --vintage 2026</t>
        </is>
      </c>
      <c r="H9" s="204" t="inlineStr">
        <is>
          <t>2009-2024</t>
        </is>
      </c>
      <c r="I9" s="204" t="inlineStr">
        <is>
          <t>Used for 2024 only. Its 2013 figures equal the department's superseded sheet.</t>
        </is>
      </c>
    </row>
    <row r="10">
      <c r="A10" s="204" t="inlineStr">
        <is>
          <t>History section 3 and Sector history: production and diesel by sector</t>
        </is>
      </c>
      <c r="B10" s="204" t="inlineStr">
        <is>
          <t>Department of Mineral and Petroleum Resources (energy department)</t>
        </is>
      </c>
      <c r="C10" s="204" t="inlineStr">
        <is>
          <t>https://www.dmpr.gov.za/Portals/0/Energy_Website/files/media/Energy_Balances.html</t>
        </is>
      </c>
      <c r="D10" s="204" t="inlineStr">
        <is>
          <t>&lt;year&gt;-Commodity-Flow-and-Energy-Balance.xlsx, 2007-2021</t>
        </is>
      </c>
      <c r="E10" s="204" t="inlineStr">
        <is>
          <t>local to Manish and Nigel; not on main</t>
        </is>
      </c>
      <c r="F10" s="204" t="inlineStr">
        <is>
          <t>assumptions/2026/timeseries/energy_balance_department.csv</t>
        </is>
      </c>
      <c r="G10" s="204" t="inlineStr">
        <is>
          <t>python -m lfm.scripts.fetch_energy_dept --vintage 2026</t>
        </is>
      </c>
      <c r="H10" s="204" t="inlineStr">
        <is>
          <t>2007-2021</t>
        </is>
      </c>
      <c r="I10" s="204" t="inlineStr">
        <is>
          <t>Ends 2021. Sector definitions shift in 2016. Fuel oil not extracted.</t>
        </is>
      </c>
    </row>
    <row r="11">
      <c r="A11" s="204" t="inlineStr">
        <is>
          <t>History section 3: refinery output reported to JODI (comparison only, not used)</t>
        </is>
      </c>
      <c r="B11" s="204" t="inlineStr">
        <is>
          <t>JODI oil database (South Africa's submissions)</t>
        </is>
      </c>
      <c r="C11" s="204" t="inlineStr">
        <is>
          <t>https://www.jodidata.org/oil/database/data-downloads.aspx</t>
        </is>
      </c>
      <c r="D11" s="204" t="inlineStr">
        <is>
          <t>jodi-secondary-zaf-2017-2022.csv; jodi-secondary-zaf-2023-2025.csv</t>
        </is>
      </c>
      <c r="E11" s="204" t="inlineStr">
        <is>
          <t>on manish-branch (external/data/raw/jodi/)</t>
        </is>
      </c>
      <c r="F11" s="204" t="inlineStr">
        <is>
          <t>assumptions/2026/timeseries/oil_balance_jodi.csv</t>
        </is>
      </c>
      <c r="G11" s="204" t="inlineStr">
        <is>
          <t>python -m lfm.scripts.stage_jodi --vintage 2026</t>
        </is>
      </c>
      <c r="H11" s="204" t="inlineStr">
        <is>
          <t>2017-2024</t>
        </is>
      </c>
      <c r="I11" s="204" t="inlineStr">
        <is>
          <t>Lowest JODI assessment code throughout. Diesel refinery output agrees with the energy balance within 4% for 2017-2021; petrol is 12-24% higher. Imports, demand and stocks are not usable.</t>
        </is>
      </c>
    </row>
    <row r="12">
      <c r="A12" s="204" t="inlineStr">
        <is>
          <t>DR04 entry points: petrol and diesel imports by customs office</t>
        </is>
      </c>
      <c r="B12" s="204" t="inlineStr">
        <is>
          <t>South African Revenue Service, trade statistics</t>
        </is>
      </c>
      <c r="C12" s="204" t="inlineStr">
        <is>
          <t>https://tools.sars.gov.za/tradestatsportal/data_download.aspx</t>
        </is>
      </c>
      <c r="D12" s="204" t="inlineStr">
        <is>
          <t>same workbooks</t>
        </is>
      </c>
      <c r="E12" s="204" t="inlineStr">
        <is>
          <t>on manish-branch (external/data/raw/sars/)</t>
        </is>
      </c>
      <c r="F12" s="204" t="inlineStr">
        <is>
          <t>assumptions/2026/timeseries/fuel_trade_sars_by_office.csv</t>
        </is>
      </c>
      <c r="G12" s="204" t="inlineStr">
        <is>
          <t>python -m lfm.scripts.fetch_sars --vintage 2026</t>
        </is>
      </c>
      <c r="H12" s="204" t="inlineStr">
        <is>
          <t>2010-2026</t>
        </is>
      </c>
      <c r="I12" s="204" t="inlineStr">
        <is>
          <t>Customs office that cleared the goods: a proxy for entry port, not a terminal record.</t>
        </is>
      </c>
    </row>
    <row r="13">
      <c r="A13" s="204" t="inlineStr">
        <is>
          <t>History section 3: operators' reported output</t>
        </is>
      </c>
      <c r="B13" s="204" t="inlineStr">
        <is>
          <t>Sasol (production and sales metrics); Glencore (annual reports)</t>
        </is>
      </c>
      <c r="C13" s="204" t="inlineStr">
        <is>
          <t>https://www.sasol.com/</t>
        </is>
      </c>
      <c r="D13" s="204" t="inlineStr">
        <is>
          <t>sasol-metrics-fy2022/2025/2026.pdf, p.4; GLEN-2023/2024/2025-Annual-Report.pdf</t>
        </is>
      </c>
      <c r="E13" s="204" t="inlineStr">
        <is>
          <t>Sasol files on manish-branch (external/data/raw/sasol/); Glencore reports by link only</t>
        </is>
      </c>
      <c r="F13" s="204" t="inlineStr">
        <is>
          <t>assumptions/2026/reference/refinery_output_operators.csv</t>
        </is>
      </c>
      <c r="G13" s="204" t="inlineStr">
        <is>
          <t>none</t>
        </is>
      </c>
      <c r="H13" s="204" t="inlineStr">
        <is>
          <t>2020-2026</t>
        </is>
      </c>
      <c r="I13" s="204" t="inlineStr">
        <is>
          <t>All refined products, no product split; fiscal and calendar years; Astron as energy content.</t>
        </is>
      </c>
    </row>
    <row r="14">
      <c r="A14" s="204" t="inlineStr">
        <is>
          <t>History section 5: litres levied</t>
        </is>
      </c>
      <c r="B14" s="204" t="inlineStr">
        <is>
          <t>Road Accident Fund</t>
        </is>
      </c>
      <c r="C14" s="204" t="inlineStr">
        <is>
          <t>https://static.pmg.org.za/RAF_Annual_Report_2025.pdf</t>
        </is>
      </c>
      <c r="D14" s="204" t="inlineStr">
        <is>
          <t>raf-annual-report-2024-25.pdf, note 16 (p.183)</t>
        </is>
      </c>
      <c r="E14" s="204" t="inlineStr">
        <is>
          <t>on manish-branch (external/data/raw/raf/)</t>
        </is>
      </c>
      <c r="F14" s="204" t="inlineStr">
        <is>
          <t>assumptions/2026/reference/fuel_levy_revenue_raf.csv</t>
        </is>
      </c>
      <c r="G14" s="204" t="inlineStr">
        <is>
          <t>none</t>
        </is>
      </c>
      <c r="H14" s="204" t="inlineStr">
        <is>
          <t>2024-2025</t>
        </is>
      </c>
      <c r="I14" s="204" t="inlineStr">
        <is>
          <t>Gross levies and diesel rebate in rand; litres derived in the balance note. Fiscal years; petrol and diesel together.</t>
        </is>
      </c>
    </row>
    <row r="15">
      <c r="A15" s="204" t="inlineStr">
        <is>
          <t>Sector history: mining and manufacturing volume indices</t>
        </is>
      </c>
      <c r="B15" s="204" t="inlineStr">
        <is>
          <t>Statistics South Africa (P2041 mining, P3041.2 manufacturing, P7162 land transport, P0141 CPI)</t>
        </is>
      </c>
      <c r="C15" s="204" t="inlineStr">
        <is>
          <t>https://www.statssa.gov.za/?page_id=1847</t>
        </is>
      </c>
      <c r="D15" s="204" t="inlineStr">
        <is>
          <t>release zips, July and August 2026</t>
        </is>
      </c>
      <c r="E15" s="204" t="inlineStr">
        <is>
          <t>on manish-branch (external/data/raw/statssa/)</t>
        </is>
      </c>
      <c r="F15" s="204" t="inlineStr">
        <is>
          <t>assumptions/2026/timeseries/activity_statssa_monthly.csv</t>
        </is>
      </c>
      <c r="G15" s="204" t="inlineStr">
        <is>
          <t>python -m lfm.scripts.fetch_statssa_monthly --vintage 2026</t>
        </is>
      </c>
      <c r="H15" s="204" t="inlineStr">
        <is>
          <t>1998-01-2026-08</t>
        </is>
      </c>
      <c r="I15" s="204" t="inlineStr">
        <is>
          <t>Activity measures, not fuel volumes. Not seasonally adjusted. Tonnes, not tonne-kilometres.</t>
        </is>
      </c>
    </row>
    <row r="16">
      <c r="A16" s="204" t="inlineStr">
        <is>
          <t>Sector history: agriculture real value added</t>
        </is>
      </c>
      <c r="B16" s="204" t="inlineStr">
        <is>
          <t>Statistics South Africa (P0441 GDP; P0302 mid-year population)</t>
        </is>
      </c>
      <c r="C16" s="204" t="inlineStr">
        <is>
          <t>https://www.statssa.gov.za/?page_id=1854&amp;PPN=P0441</t>
        </is>
      </c>
      <c r="D16" s="204" t="inlineStr">
        <is>
          <t>GDP P0441 - GDP Time series Q2 2026.xlsx (Annual sheet); Country projection ... (2002-2026).xlsx</t>
        </is>
      </c>
      <c r="E16" s="204" t="inlineStr">
        <is>
          <t>on manish-branch (external/data/raw/statssa/)</t>
        </is>
      </c>
      <c r="F16" s="204" t="inlineStr">
        <is>
          <t>assumptions/2026/timeseries/macro_statssa.csv</t>
        </is>
      </c>
      <c r="G16" s="204" t="inlineStr">
        <is>
          <t>python -m lfm.scripts.fetch_economy --vintage 2026</t>
        </is>
      </c>
      <c r="H16" s="204" t="inlineStr">
        <is>
          <t>1993-2050</t>
        </is>
      </c>
      <c r="I16" s="204" t="inlineStr">
        <is>
          <t>Manual placement each release. Years after 2026 are projections, not observations.</t>
        </is>
      </c>
    </row>
    <row r="17">
      <c r="A17" s="204" t="inlineStr">
        <is>
          <t>History section 7: aircraft movements</t>
        </is>
      </c>
      <c r="B17" s="204" t="inlineStr">
        <is>
          <t>Airports Company South Africa</t>
        </is>
      </c>
      <c r="C17" s="204" t="inlineStr">
        <is>
          <t>https://www.airports.co.za/StatisticsLib/</t>
        </is>
      </c>
      <c r="D17" s="204" t="inlineStr">
        <is>
          <t>derived from the monthly file</t>
        </is>
      </c>
      <c r="E17" s="204" t="inlineStr">
        <is>
          <t>derived</t>
        </is>
      </c>
      <c r="F17" s="204" t="inlineStr">
        <is>
          <t>assumptions/2026/timeseries/air_traffic_acsa_annual.csv</t>
        </is>
      </c>
      <c r="G17" s="204" t="inlineStr">
        <is>
          <t>python -m lfm.scripts.fetch_acsa --vintage 2026</t>
        </is>
      </c>
      <c r="H17" s="204" t="inlineStr">
        <is>
          <t>2013-2025</t>
        </is>
      </c>
      <c r="I17" s="204" t="inlineStr"/>
    </row>
    <row r="18">
      <c r="A18" s="204" t="inlineStr">
        <is>
          <t>History section 6: quarter 1 2023 provincial shares</t>
        </is>
      </c>
      <c r="B18" s="204" t="inlineStr">
        <is>
          <t>Department of Mineral and Petroleum Resources (energy department)</t>
        </is>
      </c>
      <c r="C18" s="204" t="inlineStr">
        <is>
          <t>https://www.dmpr.gov.za/Portals/0/Energy_Website/files/media/SA FUEL SALES VOLUME/</t>
        </is>
      </c>
      <c r="D18" s="204" t="inlineStr">
        <is>
          <t>same workbooks; source_file column names each one</t>
        </is>
      </c>
      <c r="E18" s="204" t="inlineStr">
        <is>
          <t>local to Manish and Nigel; not on main</t>
        </is>
      </c>
      <c r="F18" s="204" t="inlineStr">
        <is>
          <t>assumptions/2026/timeseries/fuel_sales_department_by_province_quarterly.csv</t>
        </is>
      </c>
      <c r="G18" s="204" t="inlineStr">
        <is>
          <t>python -m lfm.scripts.fetch_energy_dept --vintage 2026</t>
        </is>
      </c>
      <c r="H18" s="204" t="inlineStr">
        <is>
          <t>2013-Q1-2023-Q1</t>
        </is>
      </c>
      <c r="I18" s="204" t="inlineStr">
        <is>
          <t>26 province/product years have blank quarters in the source (none petrol or diesel).</t>
        </is>
      </c>
    </row>
    <row r="19">
      <c r="A19" s="204" t="inlineStr">
        <is>
          <t>History section 6: provincial GDP used to move the 2024 shares</t>
        </is>
      </c>
      <c r="B19" s="204" t="inlineStr">
        <is>
          <t>Statistics South Africa (P0441.2 Provincial GDP)</t>
        </is>
      </c>
      <c r="C19" s="204" t="inlineStr">
        <is>
          <t>https://www.statssa.gov.za/?page_id=1847</t>
        </is>
      </c>
      <c r="D19" s="204" t="inlineStr">
        <is>
          <t>P0441.2  Provincial Gross Domestic Product(2024).zip, Tables 2-10, block c</t>
        </is>
      </c>
      <c r="E19" s="204" t="inlineStr">
        <is>
          <t>on manish-branch (external/data/raw/statssa/)</t>
        </is>
      </c>
      <c r="F19" s="204" t="inlineStr">
        <is>
          <t>assumptions/2026/timeseries/gdp_by_province_statssa.csv</t>
        </is>
      </c>
      <c r="G19" s="204" t="inlineStr">
        <is>
          <t>python -m lfm.scripts.fetch_economy --vintage 2026</t>
        </is>
      </c>
      <c r="H19" s="204" t="inlineStr">
        <is>
          <t>2013-2024</t>
        </is>
      </c>
      <c r="I19" s="204" t="inlineStr">
        <is>
          <t>Annual, 2013-2024. Economic activity by province, not fuel litres.</t>
        </is>
      </c>
    </row>
    <row r="20">
      <c r="A20" s="204" t="inlineStr">
        <is>
          <t>Diesel by use and Power fleet: power generation</t>
        </is>
      </c>
      <c r="B20" s="204" t="inlineStr">
        <is>
          <t>Eskom integrated reports</t>
        </is>
      </c>
      <c r="C20" s="204" t="inlineStr">
        <is>
          <t>https://www.eskom.co.za/investors/integrated-results/</t>
        </is>
      </c>
      <c r="D20" s="204" t="inlineStr">
        <is>
          <t>integrated report PDFs, years to March 2022-2026</t>
        </is>
      </c>
      <c r="E20" s="204" t="inlineStr">
        <is>
          <t>local to Manish and Nigel; not on main</t>
        </is>
      </c>
      <c r="F20" s="204" t="inlineStr">
        <is>
          <t>assumptions/2026/timeseries/ocgt_generation_eskom.csv</t>
        </is>
      </c>
      <c r="G20" s="204" t="inlineStr">
        <is>
          <t>python -m lfm.scripts.fetch_eskom --vintage 2026</t>
        </is>
      </c>
      <c r="H20" s="204" t="inlineStr">
        <is>
          <t>2022-2026</t>
        </is>
      </c>
      <c r="I20" s="204" t="inlineStr">
        <is>
          <t>GWh for financial years; diesel litres not reported in the extract.</t>
        </is>
      </c>
    </row>
    <row r="21">
      <c r="A21" s="204" t="inlineStr">
        <is>
          <t>Power fleet: stations, capacities and retirement dates</t>
        </is>
      </c>
      <c r="B21" s="204" t="inlineStr">
        <is>
          <t>Eskom; press reports</t>
        </is>
      </c>
      <c r="C21" s="204" t="inlineStr">
        <is>
          <t>https://www.eskom.co.za/eskom-divisions/gx/peaking-power-stations/</t>
        </is>
      </c>
      <c r="D21" s="204" t="inlineStr">
        <is>
          <t>eskom-gx0001-generation-plant-mix-rev29.pdf</t>
        </is>
      </c>
      <c r="E21" s="204" t="inlineStr">
        <is>
          <t>on manish-branch (external/data/raw/eskom/)</t>
        </is>
      </c>
      <c r="F21" s="204" t="inlineStr">
        <is>
          <t>assumptions/2026/infrastructure/power_fleet_diesel.csv</t>
        </is>
      </c>
      <c r="G21" s="204" t="inlineStr">
        <is>
          <t>none</t>
        </is>
      </c>
      <c r="H21" s="204" t="inlineStr">
        <is>
          <t>-</t>
        </is>
      </c>
      <c r="I21" s="204" t="inlineStr">
        <is>
          <t>Diesel peaking stations and coal stations being retired, with capacities and dates. Three rows are marked to confirm.</t>
        </is>
      </c>
    </row>
    <row r="22">
      <c r="A22" s="204" t="inlineStr">
        <is>
          <t>Diesel by use: the 0.31 litres per kWh factor</t>
        </is>
      </c>
      <c r="B22" s="204" t="inlineStr">
        <is>
          <t>Parliament (replies by the Ministers of Public Enterprises and of Electricity and Energy)</t>
        </is>
      </c>
      <c r="C22" s="204" t="inlineStr">
        <is>
          <t>https://pmg.org.za/committee-question/30686/</t>
        </is>
      </c>
      <c r="D22" s="204" t="inlineStr">
        <is>
          <t>reply NW1980 (2025); press reports for 2022 and 2023</t>
        </is>
      </c>
      <c r="E22" s="204" t="inlineStr">
        <is>
          <t>by link only</t>
        </is>
      </c>
      <c r="F22" s="204" t="inlineStr">
        <is>
          <t>assumptions/2026/reference/ocgt_diesel_burn_reported.csv</t>
        </is>
      </c>
      <c r="G22" s="204" t="inlineStr">
        <is>
          <t>none</t>
        </is>
      </c>
      <c r="H22" s="204" t="inlineStr">
        <is>
          <t>2022-2025</t>
        </is>
      </c>
      <c r="I22" s="204" t="inlineStr">
        <is>
          <t>Three years; none for the year to March 2024. Implies 0.31 litres per kWh; not adopted in the model.</t>
        </is>
      </c>
    </row>
    <row r="23">
      <c r="A23" s="204" t="inlineStr">
        <is>
          <t>Diesel by use: price used to convert road freight fuel spending to litres</t>
        </is>
      </c>
      <c r="B23" s="204" t="inlineStr">
        <is>
          <t>Department of Mineral and Petroleum Resources (energy department)</t>
        </is>
      </c>
      <c r="C23" s="204" t="inlineStr">
        <is>
          <t>https://www.dmpr.gov.za/Portals/0/Energy_Website/files/media/</t>
        </is>
      </c>
      <c r="D23" s="204" t="inlineStr">
        <is>
          <t>fuel-price-history-&lt;year&gt;.pdf, 2011-2025; price-breakdown-&lt;year&gt;-&lt;month&gt;.pdf to February 2026; cef-daily-&lt;date&gt;.pdf from February 2026 (Central Energy Fund)</t>
        </is>
      </c>
      <c r="E23" s="204" t="inlineStr">
        <is>
          <t>local to Manish and Nigel; not on main</t>
        </is>
      </c>
      <c r="F23" s="204" t="inlineStr">
        <is>
          <t>assumptions/2026/timeseries/fuel_prices_department.csv</t>
        </is>
      </c>
      <c r="G23" s="204" t="inlineStr">
        <is>
          <t>python -m lfm.scripts.fetch_energy_dept --vintage 2026</t>
        </is>
      </c>
      <c r="H23" s="204" t="inlineStr">
        <is>
          <t>2011-01-2026-10</t>
        </is>
      </c>
      <c r="I23" s="204" t="inlineStr">
        <is>
          <t>Runs to October 2026. Department to February 2026, then CEF daily sheets, which give inland prices only: coastal diesel has no value from December 2025, coastal petrol and paraffin none from March 2026.</t>
        </is>
      </c>
    </row>
    <row r="24">
      <c r="A24" s="204" t="inlineStr">
        <is>
          <t>Diesel by use and Vehicle history: vehicle classes, distance and fuel use</t>
        </is>
      </c>
      <c r="B24" s="204" t="inlineStr">
        <is>
          <t>Stone, Merven, Maseela and Moonsamy (2018), J. Energy in Southern Africa 29(2), and supplement</t>
        </is>
      </c>
      <c r="C24" s="204" t="inlineStr">
        <is>
          <t>https://www.scielo.org.za/pdf/jesa/v29n2/06.pdf</t>
        </is>
      </c>
      <c r="D24" s="204" t="inlineStr">
        <is>
          <t>stone-2018-vehicle-parc-model-jesa-29-2.pdf; stone-2018-supplementary.pdf</t>
        </is>
      </c>
      <c r="E24" s="204" t="inlineStr">
        <is>
          <t>on manish-branch (external/data/raw/literature/)</t>
        </is>
      </c>
      <c r="F24" s="204" t="inlineStr">
        <is>
          <t>assumptions/2026/reference/vehicle_parameters_stone2018.csv</t>
        </is>
      </c>
      <c r="G24" s="204" t="inlineStr">
        <is>
          <t>none</t>
        </is>
      </c>
      <c r="H24" s="204" t="inlineStr">
        <is>
          <t>-</t>
        </is>
      </c>
      <c r="I24" s="204" t="inlineStr">
        <is>
          <t>Values are for 2014. Transcription not independently re-checked.</t>
        </is>
      </c>
    </row>
    <row r="25">
      <c r="A25" s="204" t="inlineStr">
        <is>
          <t>Vehicle history: registered vehicles by class</t>
        </is>
      </c>
      <c r="B25" s="204" t="inlineStr">
        <is>
          <t>NaTIS (Road Traffic Management Corporation)</t>
        </is>
      </c>
      <c r="C25" s="204" t="inlineStr">
        <is>
          <t>https://www.natis.gov.za/</t>
        </is>
      </c>
      <c r="D25" s="204" t="inlineStr">
        <is>
          <t>monthly live vehicle population PDFs</t>
        </is>
      </c>
      <c r="E25" s="204" t="inlineStr">
        <is>
          <t>local to Manish and Nigel; not on main</t>
        </is>
      </c>
      <c r="F25" s="204" t="inlineStr">
        <is>
          <t>assumptions/2026/timeseries/vehicle_population_natis.csv</t>
        </is>
      </c>
      <c r="G25" s="204" t="inlineStr">
        <is>
          <t>python -m lfm.scripts.fetch_natis --vintage 2026</t>
        </is>
      </c>
      <c r="H25" s="204" t="inlineStr">
        <is>
          <t>2021-02-2026-06</t>
        </is>
      </c>
      <c r="I25" s="204" t="inlineStr">
        <is>
          <t>All fuels together; no petrol/diesel split.</t>
        </is>
      </c>
    </row>
    <row r="26">
      <c r="A26" s="204" t="inlineStr">
        <is>
          <t>Vehicle history: new sales by segment</t>
        </is>
      </c>
      <c r="B26" s="204" t="inlineStr">
        <is>
          <t>naamsa, quarterly review of business conditions</t>
        </is>
      </c>
      <c r="C26" s="204" t="inlineStr">
        <is>
          <t>https://naamsa.net/quarterly-reviews/</t>
        </is>
      </c>
      <c r="D26" s="204" t="inlineStr">
        <is>
          <t>quarterly review PDFs</t>
        </is>
      </c>
      <c r="E26" s="204" t="inlineStr">
        <is>
          <t>local to Manish and Nigel; not on main</t>
        </is>
      </c>
      <c r="F26" s="204" t="inlineStr">
        <is>
          <t>assumptions/2026/timeseries/new_vehicle_market_naamsa.csv</t>
        </is>
      </c>
      <c r="G26" s="204" t="inlineStr">
        <is>
          <t>python -m lfm.scripts.fetch_naamsa --vintage 2026</t>
        </is>
      </c>
      <c r="H26" s="204" t="inlineStr">
        <is>
          <t>2015-2027</t>
        </is>
      </c>
      <c r="I26" s="204" t="inlineStr">
        <is>
          <t>2026-2027 are naamsa's own outlook, not observations.</t>
        </is>
      </c>
    </row>
    <row r="27">
      <c r="A27" s="204" t="inlineStr">
        <is>
          <t>Vehicle history: electrified new sales</t>
        </is>
      </c>
      <c r="B27" s="204" t="inlineStr">
        <is>
          <t>naamsa, quarterly review of business conditions</t>
        </is>
      </c>
      <c r="C27" s="204" t="inlineStr">
        <is>
          <t>https://naamsa.net/quarterly-reviews/</t>
        </is>
      </c>
      <c r="D27" s="204" t="inlineStr">
        <is>
          <t>quarterly review PDFs</t>
        </is>
      </c>
      <c r="E27" s="204" t="inlineStr">
        <is>
          <t>local to Manish and Nigel; not on main</t>
        </is>
      </c>
      <c r="F27" s="204" t="inlineStr">
        <is>
          <t>assumptions/2026/timeseries/nev_sales_naamsa.csv</t>
        </is>
      </c>
      <c r="G27" s="204" t="inlineStr">
        <is>
          <t>python -m lfm.scripts.fetch_naamsa --vintage 2026</t>
        </is>
      </c>
      <c r="H27" s="204" t="inlineStr">
        <is>
          <t>2019-2025</t>
        </is>
      </c>
      <c r="I27" s="204" t="inlineStr">
        <is>
          <t>New sales, not fleet. Audit logged parser warnings on the 5 October refresh.</t>
        </is>
      </c>
    </row>
    <row r="28">
      <c r="A28" s="204" t="inlineStr">
        <is>
          <t>Vehicle history: fuel split of the registered fleet</t>
        </is>
      </c>
      <c r="B28" s="204" t="inlineStr">
        <is>
          <t>Department of Transport, Transport Statistics Bulletin 2023, Table 2.8 (source: RTMC)</t>
        </is>
      </c>
      <c r="C28" s="204" t="inlineStr">
        <is>
          <t>https://www.transport.gov.za/wp-content/uploads/2023/02/Transport-Statistics-Bulletin-2023.pdf</t>
        </is>
      </c>
      <c r="D28" s="204" t="inlineStr">
        <is>
          <t>dot-transport-statistics-bulletin-2023.pdf, p.40</t>
        </is>
      </c>
      <c r="E28" s="204" t="inlineStr">
        <is>
          <t>on manish-branch (external/data/raw/literature/)</t>
        </is>
      </c>
      <c r="F28" s="204" t="inlineStr">
        <is>
          <t>assumptions/2026/reference/vehicle_population_by_fuel_dot2023.csv</t>
        </is>
      </c>
      <c r="G28" s="204" t="inlineStr">
        <is>
          <t>none</t>
        </is>
      </c>
      <c r="H28" s="204" t="inlineStr">
        <is>
          <t>2023-12-2023-12</t>
        </is>
      </c>
      <c r="I28" s="204" t="inlineStr">
        <is>
          <t>One date only (December 2023). No later edition found.</t>
        </is>
      </c>
    </row>
    <row r="29">
      <c r="A29" s="204" t="inlineStr">
        <is>
          <t>Diesel by use: fuel bought by road freight businesses</t>
        </is>
      </c>
      <c r="B29" s="204" t="inlineStr">
        <is>
          <t>Statistics South Africa</t>
        </is>
      </c>
      <c r="C29" s="204" t="inlineStr">
        <is>
          <t>https://www.statssa.gov.za/?page_id=1854&amp;PPN=Report-71-02-01</t>
        </is>
      </c>
      <c r="D29" s="204" t="inlineStr">
        <is>
          <t>Report-71-02-012023.pdf, Table 20 (p.33)</t>
        </is>
      </c>
      <c r="E29" s="204" t="inlineStr">
        <is>
          <t>on manish-branch (external/data/raw/statssa/statssa-transport-and-storage-industry-2023.pdf)</t>
        </is>
      </c>
      <c r="F29" s="204" t="inlineStr">
        <is>
          <t>typed into build_demand_baseline_workbook.py (ROAD_FREIGHT_FUEL_RAND)</t>
        </is>
      </c>
      <c r="G29" s="204" t="inlineStr">
        <is>
          <t>none</t>
        </is>
      </c>
      <c r="H29" s="204" t="inlineStr">
        <is>
          <t>2019, 2023</t>
        </is>
      </c>
      <c r="I29" s="204" t="inlineStr">
        <is>
          <t>Hire-and-reward operators only; 2023 preliminary</t>
        </is>
      </c>
    </row>
    <row r="30">
      <c r="A30" s="204" t="inlineStr">
        <is>
          <t>Diesel by use: land freight share of diesel</t>
        </is>
      </c>
      <c r="B30" s="204" t="inlineStr">
        <is>
          <t>Merven, Hartley and Ahjum (2019), SA-TIED Working Paper 60</t>
        </is>
      </c>
      <c r="C30" s="204" t="inlineStr">
        <is>
          <t>https://sa-tied.wider.unu.edu/sites/default/files/pdf/SATIED_WP60_Merven_Hartley_Ahjum_April_2019.pdf</t>
        </is>
      </c>
      <c r="D30" s="204" t="inlineStr">
        <is>
          <t>p.10</t>
        </is>
      </c>
      <c r="E30" s="204" t="inlineStr">
        <is>
          <t>on manish-branch (external/data/raw/literature/)</t>
        </is>
      </c>
      <c r="F30" s="204" t="inlineStr">
        <is>
          <t>quoted on the sheet</t>
        </is>
      </c>
      <c r="G30" s="204" t="inlineStr">
        <is>
          <t>none</t>
        </is>
      </c>
      <c r="H30" s="204" t="inlineStr">
        <is>
          <t>2012</t>
        </is>
      </c>
      <c r="I30" s="204" t="inlineStr">
        <is>
          <t>Modelled; same research group as the vehicle study</t>
        </is>
      </c>
    </row>
    <row r="31">
      <c r="A31" s="204" t="inlineStr">
        <is>
          <t>Vehicle history and Diesel by use: the model's settings</t>
        </is>
      </c>
      <c r="B31" s="204" t="inlineStr">
        <is>
          <t>AIA (Reatile workbook, March 2025)</t>
        </is>
      </c>
      <c r="C31" s="204" t="inlineStr"/>
      <c r="D31" s="204" t="inlineStr">
        <is>
          <t>assumptions/2026/vehicles.yaml</t>
        </is>
      </c>
      <c r="E31" s="204" t="inlineStr">
        <is>
          <t>in the repository</t>
        </is>
      </c>
      <c r="F31" s="204" t="inlineStr">
        <is>
          <t>assumptions/2026/vehicles.yaml</t>
        </is>
      </c>
      <c r="G31" s="204" t="inlineStr">
        <is>
          <t>none</t>
        </is>
      </c>
      <c r="H31" s="204" t="inlineStr"/>
      <c r="I31" s="204" t="inlineStr">
        <is>
          <t>Placeholders without a published source</t>
        </is>
      </c>
    </row>
    <row r="32">
      <c r="A32" s="204" t="inlineStr">
        <is>
          <t>HML response</t>
        </is>
      </c>
      <c r="B32" s="204" t="inlineStr">
        <is>
          <t>AIA (analyst), from the sources named in each row</t>
        </is>
      </c>
      <c r="C32" s="204" t="inlineStr"/>
      <c r="D32" s="204" t="inlineStr">
        <is>
          <t>workstreams/WS2_model_development/fuel_lever_response_2026-10-07.csv</t>
        </is>
      </c>
      <c r="E32" s="204" t="inlineStr">
        <is>
          <t>in the repository</t>
        </is>
      </c>
      <c r="F32" s="204" t="inlineStr">
        <is>
          <t>same file</t>
        </is>
      </c>
      <c r="G32" s="204" t="inlineStr">
        <is>
          <t>python -m lfm.scripts.build_fuel_lever_response --vintage 2026</t>
        </is>
      </c>
      <c r="H32" s="204" t="inlineStr">
        <is>
          <t>2030, 2035</t>
        </is>
      </c>
      <c r="I32" s="204"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2026-10-08T20:01:42Z</dcterms:created>
  <dcterms:modified xmlns:dcterms="http://purl.org/dc/terms/" xmlns:xsi="http://www.w3.org/2001/XMLSchema-instance" xsi:type="dcterms:W3CDTF">2026-10-08T20:01:44Z</dcterms:modified>
</cp:coreProperties>
</file>